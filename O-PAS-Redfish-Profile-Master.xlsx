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Ru Or\Downloads\"/>
    </mc:Choice>
  </mc:AlternateContent>
  <xr:revisionPtr revIDLastSave="0" documentId="13_ncr:1_{BF724885-0D09-434A-A005-F90BC7129D7E}" xr6:coauthVersionLast="47" xr6:coauthVersionMax="47" xr10:uidLastSave="{00000000-0000-0000-0000-000000000000}"/>
  <bookViews>
    <workbookView xWindow="10718" yWindow="0" windowWidth="10965" windowHeight="12863" activeTab="1" xr2:uid="{00000000-000D-0000-FFFF-FFFF00000000}"/>
  </bookViews>
  <sheets>
    <sheet name="Instructions" sheetId="3" r:id="rId1"/>
    <sheet name="Profile" sheetId="1" r:id="rId2"/>
    <sheet name="Enum" sheetId="2" r:id="rId3"/>
    <sheet name="Sheet1" sheetId="4" r:id="rId4"/>
    <sheet name="Sheet2" sheetId="5" r:id="rId5"/>
    <sheet name="Sheet3" sheetId="6" r:id="rId6"/>
  </sheets>
  <definedNames>
    <definedName name="_AccountService" localSheetId="1">Profile!$A$3163</definedName>
    <definedName name="_ActionInfo" localSheetId="1">Profile!$A$1736</definedName>
    <definedName name="_Assembly" localSheetId="1">Profile!$A$1987</definedName>
    <definedName name="_AttributeRegistry" localSheetId="1">Profile!$A$1183</definedName>
    <definedName name="_BootOption" localSheetId="1">Profile!$A$20</definedName>
    <definedName name="_Chassis" localSheetId="1">Profile!$A$1990</definedName>
    <definedName name="_Common_Properties" localSheetId="1">Profile!$A$1258</definedName>
    <definedName name="_ComputerSystem" localSheetId="1">Profile!$A$21</definedName>
    <definedName name="_Drive" localSheetId="1">Profile!$A$2087</definedName>
    <definedName name="_Endpoint" localSheetId="1">Profile!#REF!</definedName>
    <definedName name="_EthernetInterface" localSheetId="1">Profile!$A$1358</definedName>
    <definedName name="_Event" localSheetId="1">Profile!$A$601</definedName>
    <definedName name="_EventDestination" localSheetId="1">Profile!$A$629</definedName>
    <definedName name="_EventService" localSheetId="1">Profile!$A$653</definedName>
    <definedName name="_ExternalAccountProvider" localSheetId="1">Profile!$A$3240</definedName>
    <definedName name="_xlnm._FilterDatabase" localSheetId="1" hidden="1">Profile!$A$1:$AW$4640</definedName>
    <definedName name="_Hlk524428920" localSheetId="1">Profile!$A$637</definedName>
    <definedName name="_Hlk524430808" localSheetId="1">Profile!$A$3109</definedName>
    <definedName name="_HostInterface" localSheetId="1">Profile!$A$969</definedName>
    <definedName name="_Identifier" localSheetId="1">Profile!$A$3141</definedName>
    <definedName name="_IP_Address" localSheetId="1">Profile!$A$1435</definedName>
    <definedName name="_Job" localSheetId="1">Profile!$A$1751</definedName>
    <definedName name="_JobService" localSheetId="1">Profile!$A$1789</definedName>
    <definedName name="_JSONSchemaFile" localSheetId="1">Profile!$A$1275</definedName>
    <definedName name="_Location" localSheetId="1">Profile!$A$2159</definedName>
    <definedName name="_LogEntry" localSheetId="1">Profile!$A$695</definedName>
    <definedName name="_LogService" localSheetId="1">Profile!$A$726</definedName>
    <definedName name="_MaintenanceWindow" localSheetId="1">Profile!$A$1816</definedName>
    <definedName name="_Manager" localSheetId="1">Profile!$A$1011</definedName>
    <definedName name="_ManagerAccount" localSheetId="1">Profile!$A$3241</definedName>
    <definedName name="_ManagerNetworkProtocol" localSheetId="1">Profile!$A$1470</definedName>
    <definedName name="_Memory" localSheetId="1">Profile!#REF!</definedName>
    <definedName name="_MemoryChunks" localSheetId="1">Profile!$A$263</definedName>
    <definedName name="_MemoryDomain" localSheetId="1">Profile!$A$264</definedName>
    <definedName name="_MemoryMetrics_1" localSheetId="1">Profile!$A$265</definedName>
    <definedName name="_Message" localSheetId="1">Profile!$A$1291</definedName>
    <definedName name="_MessageRegistry" localSheetId="1">Profile!$A$1305</definedName>
    <definedName name="_MessageRegistryFile" localSheetId="1">Profile!$A$1316</definedName>
    <definedName name="_MetricDefinition" localSheetId="1">Profile!$A$747</definedName>
    <definedName name="_MetricReport" localSheetId="1">Profile!$A$793</definedName>
    <definedName name="_MetricReportDefinition" localSheetId="1">Profile!$A$811</definedName>
    <definedName name="_NetworkAdapter_1" localSheetId="1">Profile!$A$2809</definedName>
    <definedName name="_NetworkDeviceFunction" localSheetId="1">Profile!$A$1538</definedName>
    <definedName name="_NetworkInterface" localSheetId="1">Profile!$A$1623</definedName>
    <definedName name="_NetworkPort" localSheetId="1">Profile!$A$1643</definedName>
    <definedName name="_OperationApplyTimeSupport" localSheetId="1">Profile!$A$1826</definedName>
    <definedName name="_PCIeDevice" localSheetId="1">Profile!$A$2864</definedName>
    <definedName name="_PCIeFunction" localSheetId="1">Profile!$A$300</definedName>
    <definedName name="_PCIeSlots" localSheetId="1">Profile!$A$2895</definedName>
    <definedName name="_Port" localSheetId="1">Profile!$A$1685</definedName>
    <definedName name="_Power_1" localSheetId="1">Profile!$A$2920</definedName>
    <definedName name="_PreferredApplyTime" localSheetId="1">Profile!$A$1839</definedName>
    <definedName name="_PrivilegeRegistry" localSheetId="1">Profile!$A$3261</definedName>
    <definedName name="_Processor" localSheetId="1">Profile!$A$336</definedName>
    <definedName name="_Redundancy" localSheetId="1">Profile!$A$1851</definedName>
    <definedName name="_Ref534807854" localSheetId="1">Profile!#REF!</definedName>
    <definedName name="_Ref534808450" localSheetId="1">Profile!$A$266</definedName>
    <definedName name="_Ref534808663" localSheetId="1">Profile!$A$301</definedName>
    <definedName name="_Ref534808775" localSheetId="1">Profile!$A$337</definedName>
    <definedName name="_Ref534809695" localSheetId="1">Profile!$A$417</definedName>
    <definedName name="_Ref534811760" localSheetId="1">Profile!$A$22</definedName>
    <definedName name="_Ref534814697" localSheetId="1">Profile!$A$497</definedName>
    <definedName name="_Ref534815085" localSheetId="1">Profile!$A$566</definedName>
    <definedName name="_Ref534815250" localSheetId="1">Profile!$A$602</definedName>
    <definedName name="_Ref534815443" localSheetId="1">Profile!$A$632</definedName>
    <definedName name="_Ref534815524" localSheetId="1">Profile!$A$654</definedName>
    <definedName name="_Ref534815729" localSheetId="1">Profile!$A$696</definedName>
    <definedName name="_Ref534876995" localSheetId="1">Profile!$A$731</definedName>
    <definedName name="_Ref534877180" localSheetId="1">Profile!$A$750</definedName>
    <definedName name="_Ref534877312" localSheetId="1">Profile!$A$794</definedName>
    <definedName name="_Ref534877798" localSheetId="1">Profile!$A$812</definedName>
    <definedName name="_Ref534877913" localSheetId="1">Profile!$A$844</definedName>
    <definedName name="_Ref534878025" localSheetId="1">Profile!$A$857</definedName>
    <definedName name="_Ref534878136" localSheetId="1">Profile!$A$866</definedName>
    <definedName name="_Ref534878185" localSheetId="1">Profile!$A$876</definedName>
    <definedName name="_Ref534878254" localSheetId="1">Profile!$A$893</definedName>
    <definedName name="_Ref534878433" localSheetId="1">Profile!$A$919</definedName>
    <definedName name="_Ref534878508" localSheetId="1">Profile!$A$970</definedName>
    <definedName name="_Ref534878613" localSheetId="1">Profile!$A$1012</definedName>
    <definedName name="_Ref534879225" localSheetId="1">Profile!$A$1095</definedName>
    <definedName name="_Ref534879309" localSheetId="1">Profile!$A$1114</definedName>
    <definedName name="_Ref534880462" localSheetId="1">Profile!$A$1184</definedName>
    <definedName name="_Ref534880849" localSheetId="1">Profile!$A$1259</definedName>
    <definedName name="_Ref534880972" localSheetId="1">Profile!$A$1276</definedName>
    <definedName name="_Ref534881058" localSheetId="1">Profile!$A$1293</definedName>
    <definedName name="_Ref534881141" localSheetId="1">Profile!$A$1306</definedName>
    <definedName name="_Ref534881225" localSheetId="1">Profile!$A$1317</definedName>
    <definedName name="_Ref534881320" localSheetId="1">Profile!$A$1338</definedName>
    <definedName name="_Ref534881666" localSheetId="1">Profile!$A$1359</definedName>
    <definedName name="_Ref534881904" localSheetId="1">Profile!$A$1438</definedName>
    <definedName name="_Ref534882112" localSheetId="1">Profile!$A$1456</definedName>
    <definedName name="_Ref534882266" localSheetId="1">Profile!$A$1463</definedName>
    <definedName name="_Ref534882331" localSheetId="1">Profile!$A$1471</definedName>
    <definedName name="_Ref534884751" localSheetId="1">Profile!$A$1539</definedName>
    <definedName name="_Ref534885102" localSheetId="1">Profile!$A$1624</definedName>
    <definedName name="_Ref534886663" localSheetId="1">Profile!$A$1645</definedName>
    <definedName name="_Ref534886968" localSheetId="1">Profile!$A$1689</definedName>
    <definedName name="_Ref534887039" localSheetId="1">Profile!$A$1703</definedName>
    <definedName name="_Ref534887133" localSheetId="1">Profile!$A$1725</definedName>
    <definedName name="_Ref534887209" localSheetId="1">Profile!$A$1737</definedName>
    <definedName name="_Ref534887306" localSheetId="1">Profile!$A$1752</definedName>
    <definedName name="_Ref534887465" localSheetId="1">Profile!$A$1790</definedName>
    <definedName name="_Ref534887569" localSheetId="1">Profile!$A$1817</definedName>
    <definedName name="_Ref534887655" localSheetId="1">Profile!$A$1829</definedName>
    <definedName name="_Ref534887742" localSheetId="1">Profile!$A$1840</definedName>
    <definedName name="_Ref534888403" localSheetId="1">Profile!$A$1852</definedName>
    <definedName name="_Ref534888514" localSheetId="1">Profile!$A$1870</definedName>
    <definedName name="_Ref534888610" localSheetId="1">Profile!$A$1889</definedName>
    <definedName name="_Ref534888697" localSheetId="1">Profile!$A$1905</definedName>
    <definedName name="_Ref534888812" localSheetId="1">Profile!$A$1926</definedName>
    <definedName name="_Ref534888902" localSheetId="1">Profile!$A$1947</definedName>
    <definedName name="_Ref534888991" localSheetId="1">Profile!$A$1967</definedName>
    <definedName name="_Ref534889158" localSheetId="1">Profile!$A$1991</definedName>
    <definedName name="_Ref534889558" localSheetId="1">Profile!$A$2088</definedName>
    <definedName name="_Ref534889801" localSheetId="1">Profile!$A$2162</definedName>
    <definedName name="_Ref534893162" localSheetId="1">Profile!$A$2810</definedName>
    <definedName name="_Ref534893856" localSheetId="1">Profile!$A$2865</definedName>
    <definedName name="_Ref534894010" localSheetId="1">Profile!$A$2902</definedName>
    <definedName name="_Ref534894201" localSheetId="1">Profile!$A$2921</definedName>
    <definedName name="_Ref534894553" localSheetId="1">Profile!$A$3067</definedName>
    <definedName name="_Ref534894829" localSheetId="1">Profile!$A$3142</definedName>
    <definedName name="_Ref534894957" localSheetId="1">Profile!$A$3151</definedName>
    <definedName name="_Ref534895050" localSheetId="1">Profile!$A$3166</definedName>
    <definedName name="_Ref534895567" localSheetId="1">Profile!$A$3242</definedName>
    <definedName name="_Ref534895725" localSheetId="1">Profile!$A$3265</definedName>
    <definedName name="_Ref534895798" localSheetId="1">Profile!$A$3281</definedName>
    <definedName name="_Ref534898097" localSheetId="1">Profile!$A$2161</definedName>
    <definedName name="_Ref534972216" localSheetId="1">Profile!$A$2</definedName>
    <definedName name="_Role" localSheetId="1">Profile!$A$3262</definedName>
    <definedName name="_Schedule" localSheetId="1">Profile!$A$1869</definedName>
    <definedName name="_SecureBoot" localSheetId="1">Profile!$A$3280</definedName>
    <definedName name="_SerialInterface" localSheetId="1">Profile!$A$1092</definedName>
    <definedName name="_ServiceRoot" localSheetId="1">Profile!$A$1113</definedName>
    <definedName name="_Session" localSheetId="1">Profile!$A$1688</definedName>
    <definedName name="_SessionService" localSheetId="1">Profile!$A$1702</definedName>
    <definedName name="_Settings" localSheetId="1">Profile!$A$1888</definedName>
    <definedName name="_SimpleStorage" localSheetId="1">Profile!$A$414</definedName>
    <definedName name="_SoftwareInventory" localSheetId="1">Profile!$A$1904</definedName>
    <definedName name="_Status" localSheetId="1">Profile!$A$842</definedName>
    <definedName name="_Storage" localSheetId="1">Profile!$A$495</definedName>
    <definedName name="_Switch" localSheetId="1">Profile!$A$1722</definedName>
    <definedName name="_Task" localSheetId="1">Profile!$A$1925</definedName>
    <definedName name="_TaskService" localSheetId="1">Profile!$A$1946</definedName>
    <definedName name="_TelemetryService" localSheetId="1">Profile!$A$892</definedName>
    <definedName name="_Thermal_1" localSheetId="1">Profile!$A$3066</definedName>
    <definedName name="_Toc528775624" localSheetId="1">Profile!$A$599</definedName>
    <definedName name="_Toc528775625" localSheetId="1">Profile!$A$968</definedName>
    <definedName name="_Toc528775626" localSheetId="1">Profile!$A$1182</definedName>
    <definedName name="_Toc528775627" localSheetId="1">Profile!$A$1356</definedName>
    <definedName name="_Toc528775628" localSheetId="1">Profile!$A$1733</definedName>
    <definedName name="_Toc528775629" localSheetId="1">Profile!$A$1986</definedName>
    <definedName name="_Toc528775630" localSheetId="1">Profile!$A$3140</definedName>
    <definedName name="_Toc534974514" localSheetId="1">Profile!$A$600</definedName>
    <definedName name="_Toc534974518" localSheetId="1">Profile!$A$1735</definedName>
    <definedName name="_Triggers" localSheetId="1">Profile!$A$918</definedName>
    <definedName name="_UpdateService" localSheetId="1">Profile!$A$1966</definedName>
    <definedName name="_VirtualMedia" localSheetId="1">Profile!$A$1181</definedName>
    <definedName name="_VLanNetworkInterface" localSheetId="1">Profile!$A$1724</definedName>
    <definedName name="_Volume" localSheetId="1">Profile!$A$564</definedName>
    <definedName name="_xlnm.Print_Area" localSheetId="1">Profile!$A:$AV</definedName>
    <definedName name="_xlnm.Print_Area" localSheetId="4">Sheet2!$G:$J</definedName>
  </definedNames>
  <calcPr calcId="191029"/>
</workbook>
</file>

<file path=xl/calcChain.xml><?xml version="1.0" encoding="utf-8"?>
<calcChain xmlns="http://schemas.openxmlformats.org/spreadsheetml/2006/main">
  <c r="AV3953" i="1" l="1"/>
  <c r="AV3954" i="1"/>
  <c r="AV3952" i="1"/>
  <c r="AV3598" i="1"/>
  <c r="AV3503" i="1"/>
  <c r="AV3502" i="1"/>
  <c r="AV3500" i="1"/>
  <c r="AV1701" i="1"/>
  <c r="AV1700" i="1"/>
  <c r="AV1640" i="1"/>
  <c r="AV1639" i="1"/>
  <c r="AV1607" i="1"/>
  <c r="AV1606" i="1"/>
  <c r="AV2932" i="1"/>
  <c r="AV2931" i="1"/>
  <c r="AV2946" i="1"/>
  <c r="AV2945" i="1"/>
  <c r="AV2812" i="1"/>
  <c r="AV2803" i="1"/>
  <c r="AV2791" i="1"/>
  <c r="AC2203" i="1"/>
  <c r="AB2203" i="1"/>
  <c r="AA2203" i="1"/>
  <c r="AC2255" i="1"/>
  <c r="AB2255" i="1"/>
  <c r="AA2255" i="1"/>
  <c r="AC2296" i="1"/>
  <c r="AB2296" i="1"/>
  <c r="AA2296" i="1"/>
  <c r="AC2365" i="1"/>
  <c r="AB2365" i="1"/>
  <c r="AA2365" i="1"/>
  <c r="AC2458" i="1"/>
  <c r="AB2458" i="1"/>
  <c r="AA2458" i="1"/>
  <c r="AC2518" i="1"/>
  <c r="AB2518" i="1"/>
  <c r="AA2518" i="1"/>
  <c r="AC2575" i="1"/>
  <c r="AB2575" i="1"/>
  <c r="AA2575" i="1"/>
  <c r="AC2616" i="1"/>
  <c r="AB2616" i="1"/>
  <c r="AA2616" i="1"/>
  <c r="AC2651" i="1"/>
  <c r="AB2651" i="1"/>
  <c r="AA2651" i="1"/>
  <c r="AV2452" i="1"/>
  <c r="AV2701" i="1"/>
  <c r="AV2700" i="1"/>
  <c r="AV2655" i="1"/>
  <c r="AV2654" i="1"/>
  <c r="G2654" i="1"/>
  <c r="E2654" i="1"/>
  <c r="C2654" i="1"/>
  <c r="AV2653" i="1"/>
  <c r="AO2653" i="1"/>
  <c r="AN2653" i="1"/>
  <c r="AM2653" i="1"/>
  <c r="AV2652" i="1"/>
  <c r="AO2652" i="1"/>
  <c r="AN2652" i="1"/>
  <c r="AM2652" i="1"/>
  <c r="AV2651" i="1"/>
  <c r="AV2650" i="1"/>
  <c r="AV2649" i="1"/>
  <c r="AV2648" i="1"/>
  <c r="AV2647" i="1"/>
  <c r="AV2646" i="1"/>
  <c r="AV2645" i="1"/>
  <c r="AV2620" i="1"/>
  <c r="AV2619" i="1"/>
  <c r="G2619" i="1"/>
  <c r="E2619" i="1"/>
  <c r="C2619" i="1"/>
  <c r="AV2618" i="1"/>
  <c r="AO2618" i="1"/>
  <c r="AN2618" i="1"/>
  <c r="AM2618" i="1"/>
  <c r="AV2617" i="1"/>
  <c r="AO2617" i="1"/>
  <c r="AN2617" i="1"/>
  <c r="AM2617" i="1"/>
  <c r="AV2616" i="1"/>
  <c r="AV2615" i="1"/>
  <c r="AV2614" i="1"/>
  <c r="AV2613" i="1"/>
  <c r="AV2612" i="1"/>
  <c r="AV2611" i="1"/>
  <c r="AV2610" i="1"/>
  <c r="AV2579" i="1"/>
  <c r="AV2578" i="1"/>
  <c r="G2578" i="1"/>
  <c r="E2578" i="1"/>
  <c r="C2578" i="1"/>
  <c r="AV2577" i="1"/>
  <c r="AO2577" i="1"/>
  <c r="AN2577" i="1"/>
  <c r="AM2577" i="1"/>
  <c r="AV2576" i="1"/>
  <c r="AO2576" i="1"/>
  <c r="AN2576" i="1"/>
  <c r="AM2576" i="1"/>
  <c r="AV2575" i="1"/>
  <c r="AV2574" i="1"/>
  <c r="AV2573" i="1"/>
  <c r="AV2572" i="1"/>
  <c r="AV2571" i="1"/>
  <c r="AV2570" i="1"/>
  <c r="AV2569" i="1"/>
  <c r="AV2522" i="1"/>
  <c r="AV2521" i="1"/>
  <c r="G2521" i="1"/>
  <c r="E2521" i="1"/>
  <c r="C2521" i="1"/>
  <c r="AV2520" i="1"/>
  <c r="AO2520" i="1"/>
  <c r="AN2520" i="1"/>
  <c r="AM2520" i="1"/>
  <c r="AV2519" i="1"/>
  <c r="AO2519" i="1"/>
  <c r="AN2519" i="1"/>
  <c r="AM2519" i="1"/>
  <c r="AV2518" i="1"/>
  <c r="AV2517" i="1"/>
  <c r="AV2516" i="1"/>
  <c r="AV2515" i="1"/>
  <c r="AV2514" i="1"/>
  <c r="AV2513" i="1"/>
  <c r="AV2512" i="1"/>
  <c r="AV2462" i="1"/>
  <c r="AV2461" i="1"/>
  <c r="G2461" i="1"/>
  <c r="E2461" i="1"/>
  <c r="C2461" i="1"/>
  <c r="AV2460" i="1"/>
  <c r="AO2460" i="1"/>
  <c r="AN2460" i="1"/>
  <c r="AM2460" i="1"/>
  <c r="AV2459" i="1"/>
  <c r="AO2459" i="1"/>
  <c r="AN2459" i="1"/>
  <c r="AM2459" i="1"/>
  <c r="AV2458" i="1"/>
  <c r="AV2457" i="1"/>
  <c r="AV2456" i="1"/>
  <c r="AV2455" i="1"/>
  <c r="AV2454" i="1"/>
  <c r="AV2453" i="1"/>
  <c r="AV2451" i="1"/>
  <c r="AV2369" i="1"/>
  <c r="AV2368" i="1"/>
  <c r="G2368" i="1"/>
  <c r="E2368" i="1"/>
  <c r="C2368" i="1"/>
  <c r="AV2367" i="1"/>
  <c r="AO2367" i="1"/>
  <c r="AN2367" i="1"/>
  <c r="AM2367" i="1"/>
  <c r="AV2366" i="1"/>
  <c r="AO2366" i="1"/>
  <c r="AN2366" i="1"/>
  <c r="AM2366" i="1"/>
  <c r="AV2365" i="1"/>
  <c r="AV2364" i="1"/>
  <c r="AV2363" i="1"/>
  <c r="AV2362" i="1"/>
  <c r="AV2361" i="1"/>
  <c r="AV2360" i="1"/>
  <c r="AV2358" i="1"/>
  <c r="AV2300" i="1"/>
  <c r="AV2299" i="1"/>
  <c r="G2299" i="1"/>
  <c r="E2299" i="1"/>
  <c r="C2299" i="1"/>
  <c r="AV2298" i="1"/>
  <c r="AO2298" i="1"/>
  <c r="AN2298" i="1"/>
  <c r="AM2298" i="1"/>
  <c r="AV2297" i="1"/>
  <c r="AO2297" i="1"/>
  <c r="AN2297" i="1"/>
  <c r="AM2297" i="1"/>
  <c r="AV2296" i="1"/>
  <c r="AV2295" i="1"/>
  <c r="AV2294" i="1"/>
  <c r="AV2293" i="1"/>
  <c r="AV2292" i="1"/>
  <c r="AV2291" i="1"/>
  <c r="AV2290" i="1"/>
  <c r="AV2259" i="1"/>
  <c r="AV2258" i="1"/>
  <c r="G2258" i="1"/>
  <c r="E2258" i="1"/>
  <c r="C2258" i="1"/>
  <c r="AV2257" i="1"/>
  <c r="AO2257" i="1"/>
  <c r="AN2257" i="1"/>
  <c r="AM2257" i="1"/>
  <c r="AV2256" i="1"/>
  <c r="AO2256" i="1"/>
  <c r="AN2256" i="1"/>
  <c r="AM2256" i="1"/>
  <c r="AV2255" i="1"/>
  <c r="AV2254" i="1"/>
  <c r="AV2253" i="1"/>
  <c r="AV2252" i="1"/>
  <c r="AV2251" i="1"/>
  <c r="AV2250" i="1"/>
  <c r="AV2249" i="1"/>
  <c r="G2206" i="1"/>
  <c r="E2206" i="1"/>
  <c r="C2206" i="1"/>
  <c r="AV2207" i="1"/>
  <c r="AV2206" i="1"/>
  <c r="AV2205" i="1"/>
  <c r="AO2205" i="1"/>
  <c r="AN2205" i="1"/>
  <c r="AM2205" i="1"/>
  <c r="AV2204" i="1"/>
  <c r="AO2204" i="1"/>
  <c r="AN2204" i="1"/>
  <c r="AM2204" i="1"/>
  <c r="AV2203" i="1"/>
  <c r="AV2202" i="1"/>
  <c r="AV2201" i="1"/>
  <c r="AV2200" i="1"/>
  <c r="AV2702" i="1"/>
  <c r="AV105" i="1"/>
  <c r="AV104" i="1"/>
  <c r="AV86" i="1"/>
  <c r="AV2194" i="1"/>
  <c r="AV2192" i="1"/>
  <c r="AV2189" i="1"/>
  <c r="AV2188" i="1"/>
  <c r="AV2177" i="1"/>
  <c r="AV2176" i="1"/>
  <c r="AV2132" i="1"/>
  <c r="AV3228" i="1"/>
  <c r="AV3229" i="1"/>
  <c r="AV536" i="1"/>
  <c r="AV4181" i="1"/>
  <c r="AV166" i="1"/>
  <c r="AV167" i="1"/>
  <c r="AV3950" i="1"/>
  <c r="AE4914" i="1"/>
  <c r="AC4914" i="1"/>
  <c r="AE4913" i="1"/>
  <c r="AC4913" i="1"/>
  <c r="AE4912" i="1"/>
  <c r="AV4646" i="1"/>
  <c r="AV4648" i="1"/>
  <c r="AV4647" i="1"/>
  <c r="AV4645" i="1"/>
  <c r="AV4644" i="1"/>
  <c r="AV4643" i="1"/>
  <c r="AV4642" i="1"/>
  <c r="AV4641" i="1"/>
  <c r="AV4650" i="1" l="1"/>
  <c r="AV4160" i="1" l="1"/>
  <c r="AV4159" i="1"/>
  <c r="AV4158" i="1"/>
  <c r="AV4157" i="1"/>
  <c r="AV4156" i="1"/>
  <c r="AV4155" i="1"/>
  <c r="AV4154" i="1"/>
  <c r="AV4153" i="1"/>
  <c r="AV4152" i="1"/>
  <c r="AC4152" i="1"/>
  <c r="AB4152" i="1"/>
  <c r="AA4152" i="1"/>
  <c r="AV4151" i="1"/>
  <c r="AV4150" i="1"/>
  <c r="AV4125" i="1"/>
  <c r="AV4124" i="1"/>
  <c r="AV4123" i="1"/>
  <c r="AV4122" i="1"/>
  <c r="AV4121" i="1"/>
  <c r="AV4120" i="1"/>
  <c r="AV4119" i="1"/>
  <c r="AV4118" i="1"/>
  <c r="AV4117" i="1"/>
  <c r="AC4117" i="1"/>
  <c r="AB4117" i="1"/>
  <c r="AA4117" i="1"/>
  <c r="AV4116" i="1"/>
  <c r="AV4115" i="1"/>
  <c r="AV4089" i="1"/>
  <c r="AV4088" i="1"/>
  <c r="AV4087" i="1"/>
  <c r="AV4086" i="1"/>
  <c r="AV4085" i="1"/>
  <c r="AV4084" i="1"/>
  <c r="AV4083" i="1"/>
  <c r="AV4082" i="1"/>
  <c r="AV4081" i="1"/>
  <c r="AC4081" i="1"/>
  <c r="AB4081" i="1"/>
  <c r="AA4081" i="1"/>
  <c r="AV4080" i="1"/>
  <c r="AV4079" i="1"/>
  <c r="AV4090" i="1"/>
  <c r="AV4091" i="1"/>
  <c r="AA4092" i="1"/>
  <c r="AB4092" i="1"/>
  <c r="AC4092" i="1"/>
  <c r="AV4092" i="1"/>
  <c r="AM4093" i="1"/>
  <c r="AN4093" i="1"/>
  <c r="AO4093" i="1"/>
  <c r="AV4093" i="1"/>
  <c r="AM4094" i="1"/>
  <c r="AN4094" i="1"/>
  <c r="AO4094" i="1"/>
  <c r="AV4094" i="1"/>
  <c r="AV4095" i="1"/>
  <c r="AV4096" i="1"/>
  <c r="AV4097" i="1"/>
  <c r="AV4098" i="1"/>
  <c r="AV4099" i="1"/>
  <c r="AV4100" i="1"/>
  <c r="AV4106" i="1"/>
  <c r="AV4184" i="1"/>
  <c r="AV4183" i="1"/>
  <c r="AV4182" i="1"/>
  <c r="AV4178" i="1"/>
  <c r="AV4177" i="1"/>
  <c r="AV4176" i="1"/>
  <c r="AV4175" i="1"/>
  <c r="AV4174" i="1"/>
  <c r="AV4173" i="1"/>
  <c r="AV4172" i="1"/>
  <c r="AV4171" i="1"/>
  <c r="AV4170" i="1"/>
  <c r="AV4169" i="1"/>
  <c r="AV4168" i="1"/>
  <c r="AV4167" i="1"/>
  <c r="AV4166" i="1"/>
  <c r="AV4165" i="1"/>
  <c r="AO4165" i="1"/>
  <c r="AN4165" i="1"/>
  <c r="AM4165" i="1"/>
  <c r="AV4164" i="1"/>
  <c r="AO4164" i="1"/>
  <c r="AN4164" i="1"/>
  <c r="AM4164" i="1"/>
  <c r="AV4163" i="1"/>
  <c r="AC4163" i="1"/>
  <c r="AB4163" i="1"/>
  <c r="AA4163" i="1"/>
  <c r="AV4162" i="1"/>
  <c r="AV4161" i="1"/>
  <c r="AV4149" i="1"/>
  <c r="AV4148" i="1"/>
  <c r="AV4147" i="1"/>
  <c r="AV4146" i="1"/>
  <c r="AV4143" i="1"/>
  <c r="AV4142" i="1"/>
  <c r="AV4141" i="1"/>
  <c r="AV4140" i="1"/>
  <c r="AV4139" i="1"/>
  <c r="AV4138" i="1"/>
  <c r="AV4137" i="1"/>
  <c r="AV4136" i="1"/>
  <c r="AV4135" i="1"/>
  <c r="AV4134" i="1"/>
  <c r="AV4133" i="1"/>
  <c r="AV4132" i="1"/>
  <c r="AV4131" i="1"/>
  <c r="AV4130" i="1"/>
  <c r="AO4130" i="1"/>
  <c r="AN4130" i="1"/>
  <c r="AM4130" i="1"/>
  <c r="AV4129" i="1"/>
  <c r="AO4129" i="1"/>
  <c r="AN4129" i="1"/>
  <c r="AM4129" i="1"/>
  <c r="AV4128" i="1"/>
  <c r="AC4128" i="1"/>
  <c r="AB4128" i="1"/>
  <c r="AA4128" i="1"/>
  <c r="AV4127" i="1"/>
  <c r="AV4126" i="1"/>
  <c r="AE4910" i="1"/>
  <c r="AC4910" i="1"/>
  <c r="AE4909" i="1"/>
  <c r="AC4909" i="1"/>
  <c r="AE4908" i="1"/>
  <c r="AC4908" i="1"/>
  <c r="AE4907" i="1"/>
  <c r="AV4105" i="1"/>
  <c r="AV4114" i="1"/>
  <c r="AV4113" i="1"/>
  <c r="AV4112" i="1"/>
  <c r="AV4111" i="1"/>
  <c r="AV4108" i="1"/>
  <c r="AV4107" i="1"/>
  <c r="AV4104" i="1"/>
  <c r="AV4103" i="1"/>
  <c r="AV4102" i="1"/>
  <c r="AV4101" i="1"/>
  <c r="AV3991" i="1"/>
  <c r="AV3990" i="1"/>
  <c r="AI3990" i="1"/>
  <c r="AV3993" i="1"/>
  <c r="AV3992" i="1"/>
  <c r="AI3992" i="1"/>
  <c r="AV3995" i="1"/>
  <c r="AV3994" i="1"/>
  <c r="AI3994" i="1"/>
  <c r="AB3474" i="1" l="1"/>
  <c r="AA3474" i="1"/>
  <c r="AC3472" i="1"/>
  <c r="AC3474" i="1" s="1"/>
  <c r="AB3472" i="1"/>
  <c r="AA3472" i="1"/>
  <c r="AB1363" i="1"/>
  <c r="AA1363" i="1"/>
  <c r="AC1361" i="1"/>
  <c r="AC1363" i="1" s="1"/>
  <c r="AB1361" i="1"/>
  <c r="AA1361" i="1"/>
  <c r="AB11" i="1" l="1"/>
  <c r="AA11" i="1"/>
  <c r="AC3401" i="1"/>
  <c r="AC3383" i="1"/>
  <c r="AC3263" i="1"/>
  <c r="AC3160" i="1"/>
  <c r="AC3056" i="1"/>
  <c r="AC3030" i="1"/>
  <c r="AC3002" i="1"/>
  <c r="AC2961" i="1"/>
  <c r="AC2896" i="1"/>
  <c r="AC2771" i="1"/>
  <c r="AC2706" i="1"/>
  <c r="AC2116" i="1"/>
  <c r="AC2065" i="1"/>
  <c r="AC2042" i="1"/>
  <c r="AC2015" i="1"/>
  <c r="AC1988" i="1"/>
  <c r="AC1875" i="1"/>
  <c r="AC1842" i="1"/>
  <c r="AC1805" i="1"/>
  <c r="AC1780" i="1"/>
  <c r="AC1764" i="1"/>
  <c r="AC1713" i="1"/>
  <c r="AC1686" i="1"/>
  <c r="AC1598" i="1"/>
  <c r="AC1531" i="1"/>
  <c r="AC1420" i="1"/>
  <c r="AC1378" i="1"/>
  <c r="AC1322" i="1"/>
  <c r="AC1232" i="1"/>
  <c r="AC1160" i="1"/>
  <c r="AC1137" i="1"/>
  <c r="AC1065" i="1"/>
  <c r="AC1053" i="1"/>
  <c r="AC1013" i="1"/>
  <c r="AC961" i="1"/>
  <c r="AC930" i="1"/>
  <c r="AC847" i="1"/>
  <c r="AC822" i="1"/>
  <c r="AC784" i="1"/>
  <c r="AC757" i="1"/>
  <c r="AC723" i="1"/>
  <c r="AC686" i="1"/>
  <c r="AC655" i="1"/>
  <c r="AC626" i="1"/>
  <c r="AC591" i="1"/>
  <c r="AC519" i="1"/>
  <c r="AC489" i="1"/>
  <c r="AC444" i="1"/>
  <c r="AC357" i="1"/>
  <c r="AC318" i="1"/>
  <c r="AC284" i="1"/>
  <c r="AC179" i="1"/>
  <c r="AC43" i="1"/>
  <c r="AC31" i="1"/>
  <c r="AC9" i="1"/>
  <c r="AC11" i="1" s="1"/>
  <c r="AC3352" i="1"/>
  <c r="AC3441" i="1" l="1"/>
  <c r="AB3441" i="1"/>
  <c r="AA3441" i="1"/>
  <c r="AC3456" i="1"/>
  <c r="AB3456" i="1"/>
  <c r="AA3456" i="1"/>
  <c r="AB3401" i="1"/>
  <c r="AA3401" i="1"/>
  <c r="AB3385" i="1"/>
  <c r="AA3385" i="1"/>
  <c r="AC3385" i="1"/>
  <c r="AB3383" i="1"/>
  <c r="AA3383" i="1"/>
  <c r="AC3354" i="1"/>
  <c r="AB3354" i="1"/>
  <c r="AA3354" i="1"/>
  <c r="AB3352" i="1"/>
  <c r="AA3352" i="1"/>
  <c r="AB3265" i="1"/>
  <c r="AA3265" i="1"/>
  <c r="AC3265" i="1"/>
  <c r="AB3263" i="1"/>
  <c r="AA3263" i="1"/>
  <c r="AC3162" i="1"/>
  <c r="AB3162" i="1"/>
  <c r="AA3162" i="1"/>
  <c r="AB3160" i="1"/>
  <c r="AA3160" i="1"/>
  <c r="AC3058" i="1"/>
  <c r="AB3058" i="1"/>
  <c r="AA3058" i="1"/>
  <c r="AB3056" i="1"/>
  <c r="AA3056" i="1"/>
  <c r="AC3032" i="1"/>
  <c r="AB3032" i="1"/>
  <c r="AA3032" i="1"/>
  <c r="AB3030" i="1"/>
  <c r="AA3030" i="1"/>
  <c r="AB3004" i="1"/>
  <c r="AA3004" i="1"/>
  <c r="AC3004" i="1"/>
  <c r="AB3002" i="1"/>
  <c r="AA3002" i="1"/>
  <c r="AC2963" i="1"/>
  <c r="AB2963" i="1"/>
  <c r="AA2963" i="1"/>
  <c r="AB2961" i="1"/>
  <c r="AA2961" i="1"/>
  <c r="AC2898" i="1"/>
  <c r="AB2898" i="1"/>
  <c r="AA2898" i="1"/>
  <c r="AB2896" i="1"/>
  <c r="AA2896" i="1"/>
  <c r="AC2773" i="1"/>
  <c r="AB2773" i="1"/>
  <c r="AA2773" i="1"/>
  <c r="AB2771" i="1"/>
  <c r="AA2771" i="1"/>
  <c r="AB2706" i="1"/>
  <c r="AA2706" i="1"/>
  <c r="AB2118" i="1"/>
  <c r="AA2118" i="1"/>
  <c r="AC2118" i="1"/>
  <c r="AB2116" i="1"/>
  <c r="AA2116" i="1"/>
  <c r="AC2067" i="1"/>
  <c r="AB2067" i="1"/>
  <c r="AA2067" i="1"/>
  <c r="AB2065" i="1"/>
  <c r="AA2065" i="1"/>
  <c r="AB2044" i="1"/>
  <c r="AA2044" i="1"/>
  <c r="AC2044" i="1"/>
  <c r="AB2042" i="1"/>
  <c r="AA2042" i="1"/>
  <c r="AB2017" i="1"/>
  <c r="AA2017" i="1"/>
  <c r="AC2017" i="1"/>
  <c r="AB2015" i="1"/>
  <c r="AA2015" i="1"/>
  <c r="AB1990" i="1"/>
  <c r="AA1990" i="1"/>
  <c r="AC1990" i="1"/>
  <c r="AB1988" i="1"/>
  <c r="AA1988" i="1"/>
  <c r="AB1877" i="1"/>
  <c r="AA1877" i="1"/>
  <c r="AC1877" i="1"/>
  <c r="AB1875" i="1"/>
  <c r="AA1875" i="1"/>
  <c r="AC1844" i="1"/>
  <c r="AB1844" i="1"/>
  <c r="AA1844" i="1"/>
  <c r="AB1842" i="1"/>
  <c r="AA1842" i="1"/>
  <c r="AB1807" i="1"/>
  <c r="AA1807" i="1"/>
  <c r="AC1807" i="1"/>
  <c r="AB1805" i="1"/>
  <c r="AA1805" i="1"/>
  <c r="AC1782" i="1"/>
  <c r="AB1782" i="1"/>
  <c r="AA1782" i="1"/>
  <c r="AB1780" i="1"/>
  <c r="AA1780" i="1"/>
  <c r="AB1766" i="1"/>
  <c r="AA1766" i="1"/>
  <c r="AC1766" i="1"/>
  <c r="AB1764" i="1"/>
  <c r="AA1764" i="1"/>
  <c r="AC1715" i="1"/>
  <c r="AB1715" i="1"/>
  <c r="AA1715" i="1"/>
  <c r="AB1713" i="1"/>
  <c r="AA1713" i="1"/>
  <c r="AB1688" i="1"/>
  <c r="AA1688" i="1"/>
  <c r="AC1688" i="1"/>
  <c r="AB1686" i="1"/>
  <c r="AA1686" i="1"/>
  <c r="AB1600" i="1"/>
  <c r="AA1600" i="1"/>
  <c r="AC1600" i="1"/>
  <c r="AB1598" i="1"/>
  <c r="AA1598" i="1"/>
  <c r="AC1533" i="1"/>
  <c r="AB1533" i="1"/>
  <c r="AA1533" i="1"/>
  <c r="AB1531" i="1"/>
  <c r="AA1531" i="1"/>
  <c r="AC1422" i="1"/>
  <c r="AB1422" i="1"/>
  <c r="AA1422" i="1"/>
  <c r="AB1420" i="1"/>
  <c r="AA1420" i="1"/>
  <c r="AB1380" i="1"/>
  <c r="AA1380" i="1"/>
  <c r="AC1380" i="1"/>
  <c r="AB1378" i="1"/>
  <c r="AA1378" i="1"/>
  <c r="AB1324" i="1"/>
  <c r="AA1324" i="1"/>
  <c r="AC1324" i="1"/>
  <c r="AB1322" i="1"/>
  <c r="AA1322" i="1"/>
  <c r="AB1234" i="1"/>
  <c r="AA1234" i="1"/>
  <c r="AC1234" i="1"/>
  <c r="AB1232" i="1"/>
  <c r="AA1232" i="1"/>
  <c r="AB1162" i="1"/>
  <c r="AA1162" i="1"/>
  <c r="AC1162" i="1"/>
  <c r="AB1160" i="1"/>
  <c r="AA1160" i="1"/>
  <c r="AB1139" i="1"/>
  <c r="AA1139" i="1"/>
  <c r="AC1139" i="1"/>
  <c r="AB1137" i="1"/>
  <c r="AA1137" i="1"/>
  <c r="AC1067" i="1"/>
  <c r="AB1067" i="1"/>
  <c r="AA1067" i="1"/>
  <c r="AB1065" i="1"/>
  <c r="AA1065" i="1"/>
  <c r="AB1053" i="1"/>
  <c r="AA1053" i="1"/>
  <c r="AB1015" i="1"/>
  <c r="AA1015" i="1"/>
  <c r="AC1015" i="1"/>
  <c r="AB1013" i="1"/>
  <c r="AA1013" i="1"/>
  <c r="AB963" i="1"/>
  <c r="AA963" i="1"/>
  <c r="AC963" i="1"/>
  <c r="AB961" i="1"/>
  <c r="AA961" i="1"/>
  <c r="AB932" i="1"/>
  <c r="AA932" i="1"/>
  <c r="AC932" i="1"/>
  <c r="AB930" i="1"/>
  <c r="AA930" i="1"/>
  <c r="AB849" i="1"/>
  <c r="AA849" i="1"/>
  <c r="AC849" i="1"/>
  <c r="AB847" i="1"/>
  <c r="AA847" i="1"/>
  <c r="AB824" i="1"/>
  <c r="AA824" i="1"/>
  <c r="AC824" i="1"/>
  <c r="AB822" i="1"/>
  <c r="AA822" i="1"/>
  <c r="AB786" i="1"/>
  <c r="AA786" i="1"/>
  <c r="AC786" i="1"/>
  <c r="AB784" i="1"/>
  <c r="AA784" i="1"/>
  <c r="AB759" i="1"/>
  <c r="AA759" i="1"/>
  <c r="AC759" i="1"/>
  <c r="AB757" i="1"/>
  <c r="AA757" i="1"/>
  <c r="AB725" i="1"/>
  <c r="AA725" i="1"/>
  <c r="AC725" i="1"/>
  <c r="AB723" i="1"/>
  <c r="AA723" i="1"/>
  <c r="AC688" i="1"/>
  <c r="AB688" i="1"/>
  <c r="AA688" i="1"/>
  <c r="AB686" i="1"/>
  <c r="AA686" i="1"/>
  <c r="AB657" i="1"/>
  <c r="AA657" i="1"/>
  <c r="AC657" i="1"/>
  <c r="AB655" i="1"/>
  <c r="AA655" i="1"/>
  <c r="AB628" i="1"/>
  <c r="AA628" i="1"/>
  <c r="AC628" i="1"/>
  <c r="AB626" i="1"/>
  <c r="AA626" i="1"/>
  <c r="AB593" i="1"/>
  <c r="AA593" i="1"/>
  <c r="AC593" i="1"/>
  <c r="AB591" i="1"/>
  <c r="AA591" i="1"/>
  <c r="AB521" i="1"/>
  <c r="AA521" i="1"/>
  <c r="AC521" i="1"/>
  <c r="AB519" i="1"/>
  <c r="AA519" i="1"/>
  <c r="AC491" i="1"/>
  <c r="AB491" i="1"/>
  <c r="AA491" i="1"/>
  <c r="AB489" i="1"/>
  <c r="AA489" i="1"/>
  <c r="AB444" i="1"/>
  <c r="AA444" i="1"/>
  <c r="AB359" i="1"/>
  <c r="AA359" i="1"/>
  <c r="AC359" i="1"/>
  <c r="AB357" i="1"/>
  <c r="AA357" i="1"/>
  <c r="AC320" i="1"/>
  <c r="AB320" i="1"/>
  <c r="AA320" i="1"/>
  <c r="AB318" i="1"/>
  <c r="AA318" i="1"/>
  <c r="AC286" i="1"/>
  <c r="AB286" i="1"/>
  <c r="AA286" i="1"/>
  <c r="AB284" i="1"/>
  <c r="AA284" i="1"/>
  <c r="AC181" i="1"/>
  <c r="AB181" i="1"/>
  <c r="AA181" i="1"/>
  <c r="AB179" i="1"/>
  <c r="AA179" i="1"/>
  <c r="AC45" i="1"/>
  <c r="AB45" i="1"/>
  <c r="AA45" i="1"/>
  <c r="AB43" i="1"/>
  <c r="AA43" i="1"/>
  <c r="AB31" i="1"/>
  <c r="AA31" i="1"/>
  <c r="AB9" i="1"/>
  <c r="AA9" i="1"/>
  <c r="AV4611" i="1" l="1"/>
  <c r="AV4619" i="1"/>
  <c r="D5000" i="5" l="1"/>
  <c r="D4999" i="5"/>
  <c r="D4998" i="5"/>
  <c r="D4997" i="5"/>
  <c r="D4996" i="5"/>
  <c r="D4995" i="5"/>
  <c r="D4994" i="5"/>
  <c r="D4993" i="5"/>
  <c r="D4992" i="5"/>
  <c r="D4991" i="5"/>
  <c r="D4990" i="5"/>
  <c r="D4989" i="5"/>
  <c r="D4988" i="5"/>
  <c r="D4987" i="5"/>
  <c r="D4986" i="5"/>
  <c r="D4985" i="5"/>
  <c r="D4984" i="5"/>
  <c r="D4983" i="5"/>
  <c r="D4982" i="5"/>
  <c r="D4981" i="5"/>
  <c r="D4980" i="5"/>
  <c r="D4979" i="5"/>
  <c r="D4978" i="5"/>
  <c r="D4977" i="5"/>
  <c r="D4976" i="5"/>
  <c r="D4975" i="5"/>
  <c r="D4974" i="5"/>
  <c r="D4973" i="5"/>
  <c r="D4972" i="5"/>
  <c r="D4971" i="5"/>
  <c r="D4970" i="5"/>
  <c r="D4969" i="5"/>
  <c r="D4968" i="5"/>
  <c r="D4967" i="5"/>
  <c r="D4966" i="5"/>
  <c r="D4965" i="5"/>
  <c r="D4964" i="5"/>
  <c r="D4963" i="5"/>
  <c r="D4962" i="5"/>
  <c r="D4961" i="5"/>
  <c r="D4960" i="5"/>
  <c r="D4959" i="5"/>
  <c r="D4958" i="5"/>
  <c r="D4957" i="5"/>
  <c r="D4956" i="5"/>
  <c r="D4955" i="5"/>
  <c r="D4954" i="5"/>
  <c r="D4953" i="5"/>
  <c r="D4952" i="5"/>
  <c r="D4951" i="5"/>
  <c r="D4950" i="5"/>
  <c r="D4949" i="5"/>
  <c r="D4948" i="5"/>
  <c r="D4947" i="5"/>
  <c r="D4946" i="5"/>
  <c r="D4945" i="5"/>
  <c r="D4944" i="5"/>
  <c r="D4943" i="5"/>
  <c r="D4942" i="5"/>
  <c r="D4941" i="5"/>
  <c r="D4940" i="5"/>
  <c r="D4939" i="5"/>
  <c r="D4938" i="5"/>
  <c r="D4937" i="5"/>
  <c r="D4936" i="5"/>
  <c r="D4935" i="5"/>
  <c r="D4934" i="5"/>
  <c r="D4933" i="5"/>
  <c r="D4932" i="5"/>
  <c r="D4931" i="5"/>
  <c r="D4930" i="5"/>
  <c r="D4929" i="5"/>
  <c r="D4928" i="5"/>
  <c r="D4927" i="5"/>
  <c r="D4926" i="5"/>
  <c r="D4925" i="5"/>
  <c r="D4924" i="5"/>
  <c r="D4923" i="5"/>
  <c r="D4922" i="5"/>
  <c r="D4921" i="5"/>
  <c r="D4920" i="5"/>
  <c r="D4919" i="5"/>
  <c r="D4918" i="5"/>
  <c r="D4917" i="5"/>
  <c r="D4916" i="5"/>
  <c r="D4915" i="5"/>
  <c r="D4914" i="5"/>
  <c r="D4913" i="5"/>
  <c r="D4912" i="5"/>
  <c r="D4911" i="5"/>
  <c r="D4910" i="5"/>
  <c r="D4909" i="5"/>
  <c r="D4908" i="5"/>
  <c r="D4907" i="5"/>
  <c r="D4906" i="5"/>
  <c r="D4905" i="5"/>
  <c r="D4904" i="5"/>
  <c r="D4903" i="5"/>
  <c r="D4902" i="5"/>
  <c r="D4901" i="5"/>
  <c r="D4900" i="5"/>
  <c r="D4899" i="5"/>
  <c r="D4898" i="5"/>
  <c r="D4897" i="5"/>
  <c r="D4896" i="5"/>
  <c r="D4895" i="5"/>
  <c r="D4894" i="5"/>
  <c r="D4893" i="5"/>
  <c r="D4892" i="5"/>
  <c r="D4891" i="5"/>
  <c r="D4890" i="5"/>
  <c r="D4889" i="5"/>
  <c r="D4888" i="5"/>
  <c r="D4887" i="5"/>
  <c r="D4886" i="5"/>
  <c r="D4885" i="5"/>
  <c r="D4884" i="5"/>
  <c r="D4883" i="5"/>
  <c r="D4882" i="5"/>
  <c r="D4881" i="5"/>
  <c r="D4880" i="5"/>
  <c r="D4879" i="5"/>
  <c r="D4878" i="5"/>
  <c r="D4877" i="5"/>
  <c r="D4876" i="5"/>
  <c r="D4875" i="5"/>
  <c r="D4874" i="5"/>
  <c r="D4873" i="5"/>
  <c r="D4872" i="5"/>
  <c r="D4871" i="5"/>
  <c r="D4870" i="5"/>
  <c r="D4869" i="5"/>
  <c r="D4868" i="5"/>
  <c r="D4867" i="5"/>
  <c r="D4866" i="5"/>
  <c r="D4865" i="5"/>
  <c r="D4864" i="5"/>
  <c r="D4863" i="5"/>
  <c r="D4862" i="5"/>
  <c r="D4861" i="5"/>
  <c r="D4860" i="5"/>
  <c r="D4859" i="5"/>
  <c r="D4858" i="5"/>
  <c r="D4857" i="5"/>
  <c r="D4856" i="5"/>
  <c r="D4855" i="5"/>
  <c r="D4854" i="5"/>
  <c r="D4853" i="5"/>
  <c r="D4852" i="5"/>
  <c r="D4851" i="5"/>
  <c r="D4850" i="5"/>
  <c r="D4849" i="5"/>
  <c r="D4848" i="5"/>
  <c r="D4847" i="5"/>
  <c r="D4846" i="5"/>
  <c r="D4845" i="5"/>
  <c r="D4844" i="5"/>
  <c r="D4843" i="5"/>
  <c r="D4842" i="5"/>
  <c r="D4841" i="5"/>
  <c r="D4840" i="5"/>
  <c r="D4839" i="5"/>
  <c r="D4838" i="5"/>
  <c r="D4837" i="5"/>
  <c r="D4836" i="5"/>
  <c r="D4835" i="5"/>
  <c r="D4834" i="5"/>
  <c r="D4833" i="5"/>
  <c r="D4832" i="5"/>
  <c r="D4831" i="5"/>
  <c r="D4830" i="5"/>
  <c r="D4829" i="5"/>
  <c r="D4828" i="5"/>
  <c r="D4827" i="5"/>
  <c r="D4826" i="5"/>
  <c r="D4825" i="5"/>
  <c r="D4824" i="5"/>
  <c r="D4823" i="5"/>
  <c r="D4822" i="5"/>
  <c r="D4821" i="5"/>
  <c r="D4820" i="5"/>
  <c r="D4819" i="5"/>
  <c r="D4818" i="5"/>
  <c r="D4817" i="5"/>
  <c r="D4816" i="5"/>
  <c r="D4815" i="5"/>
  <c r="D4814" i="5"/>
  <c r="D4813" i="5"/>
  <c r="D4812" i="5"/>
  <c r="D4811" i="5"/>
  <c r="D4810" i="5"/>
  <c r="D4809" i="5"/>
  <c r="D4808" i="5"/>
  <c r="D4807" i="5"/>
  <c r="D4806" i="5"/>
  <c r="D4805" i="5"/>
  <c r="D4804" i="5"/>
  <c r="D4803" i="5"/>
  <c r="D4802" i="5"/>
  <c r="D4801" i="5"/>
  <c r="D4800" i="5"/>
  <c r="D4799" i="5"/>
  <c r="D4798" i="5"/>
  <c r="D4797" i="5"/>
  <c r="D4796" i="5"/>
  <c r="D4795" i="5"/>
  <c r="D4794" i="5"/>
  <c r="D4793" i="5"/>
  <c r="D4792" i="5"/>
  <c r="D4791" i="5"/>
  <c r="D4790" i="5"/>
  <c r="D4789" i="5"/>
  <c r="D4788" i="5"/>
  <c r="D4787" i="5"/>
  <c r="D4786" i="5"/>
  <c r="D4785" i="5"/>
  <c r="D4784" i="5"/>
  <c r="D4783" i="5"/>
  <c r="D4782" i="5"/>
  <c r="D4781" i="5"/>
  <c r="D4780" i="5"/>
  <c r="D4779" i="5"/>
  <c r="D4778" i="5"/>
  <c r="D4777" i="5"/>
  <c r="D4776" i="5"/>
  <c r="D4775" i="5"/>
  <c r="D4774" i="5"/>
  <c r="D4773" i="5"/>
  <c r="D4772" i="5"/>
  <c r="D4771" i="5"/>
  <c r="D4770" i="5"/>
  <c r="D4769" i="5"/>
  <c r="D4768" i="5"/>
  <c r="D4767" i="5"/>
  <c r="D4766" i="5"/>
  <c r="D4765" i="5"/>
  <c r="D4764" i="5"/>
  <c r="D4763" i="5"/>
  <c r="D4762" i="5"/>
  <c r="D4761" i="5"/>
  <c r="D4760" i="5"/>
  <c r="D4759" i="5"/>
  <c r="D4758" i="5"/>
  <c r="D4757" i="5"/>
  <c r="D4756" i="5"/>
  <c r="D4755" i="5"/>
  <c r="D4754" i="5"/>
  <c r="D4753" i="5"/>
  <c r="D4752" i="5"/>
  <c r="D4751" i="5"/>
  <c r="D4750" i="5"/>
  <c r="D4749" i="5"/>
  <c r="D4748" i="5"/>
  <c r="D4747" i="5"/>
  <c r="D4746" i="5"/>
  <c r="D4745" i="5"/>
  <c r="D4744" i="5"/>
  <c r="D4743" i="5"/>
  <c r="D4742" i="5"/>
  <c r="D4741" i="5"/>
  <c r="D4740" i="5"/>
  <c r="D4739" i="5"/>
  <c r="D4738" i="5"/>
  <c r="D4737" i="5"/>
  <c r="D4736" i="5"/>
  <c r="D4735" i="5"/>
  <c r="D4734" i="5"/>
  <c r="D4733" i="5"/>
  <c r="D4732" i="5"/>
  <c r="D4731" i="5"/>
  <c r="D4730" i="5"/>
  <c r="D4729" i="5"/>
  <c r="D4728" i="5"/>
  <c r="D4727" i="5"/>
  <c r="D4726" i="5"/>
  <c r="D4725" i="5"/>
  <c r="D4724" i="5"/>
  <c r="D4723" i="5"/>
  <c r="D4722" i="5"/>
  <c r="D4721" i="5"/>
  <c r="D4720" i="5"/>
  <c r="D4719" i="5"/>
  <c r="D4718" i="5"/>
  <c r="D4717" i="5"/>
  <c r="D4716" i="5"/>
  <c r="D4715" i="5"/>
  <c r="D4714" i="5"/>
  <c r="D4713" i="5"/>
  <c r="D4712" i="5"/>
  <c r="D4711" i="5"/>
  <c r="D4710" i="5"/>
  <c r="D4709" i="5"/>
  <c r="D4708" i="5"/>
  <c r="D4707" i="5"/>
  <c r="D4706" i="5"/>
  <c r="D4705" i="5"/>
  <c r="D4704" i="5"/>
  <c r="D4703" i="5"/>
  <c r="D4702" i="5"/>
  <c r="D4701" i="5"/>
  <c r="D4700" i="5"/>
  <c r="D4699" i="5"/>
  <c r="D4698" i="5"/>
  <c r="D4697" i="5"/>
  <c r="D4696" i="5"/>
  <c r="D4695" i="5"/>
  <c r="D4694" i="5"/>
  <c r="D4693" i="5"/>
  <c r="D4692" i="5"/>
  <c r="D4691" i="5"/>
  <c r="D4690" i="5"/>
  <c r="D4689" i="5"/>
  <c r="D4688" i="5"/>
  <c r="D4687" i="5"/>
  <c r="D4686" i="5"/>
  <c r="D4685" i="5"/>
  <c r="D4684" i="5"/>
  <c r="D4683" i="5"/>
  <c r="D4682" i="5"/>
  <c r="D4681" i="5"/>
  <c r="D4680" i="5"/>
  <c r="D4679" i="5"/>
  <c r="D4678" i="5"/>
  <c r="D4677" i="5"/>
  <c r="D4676" i="5"/>
  <c r="D4675" i="5"/>
  <c r="D4674" i="5"/>
  <c r="D4673" i="5"/>
  <c r="D4672" i="5"/>
  <c r="D4671" i="5"/>
  <c r="D4670" i="5"/>
  <c r="D4669" i="5"/>
  <c r="D4668" i="5"/>
  <c r="D4667" i="5"/>
  <c r="D4666" i="5"/>
  <c r="D4665" i="5"/>
  <c r="D4664" i="5"/>
  <c r="D4663" i="5"/>
  <c r="D4662" i="5"/>
  <c r="D4661" i="5"/>
  <c r="D4660" i="5"/>
  <c r="D4659" i="5"/>
  <c r="D4658" i="5"/>
  <c r="D4657" i="5"/>
  <c r="D4656" i="5"/>
  <c r="D4655" i="5"/>
  <c r="D4654" i="5"/>
  <c r="D4653" i="5"/>
  <c r="D4652" i="5"/>
  <c r="D4651" i="5"/>
  <c r="D4650" i="5"/>
  <c r="D4649" i="5"/>
  <c r="D4648" i="5"/>
  <c r="D4647" i="5"/>
  <c r="D4646" i="5"/>
  <c r="D4645" i="5"/>
  <c r="D4644" i="5"/>
  <c r="D4643" i="5"/>
  <c r="D4642" i="5"/>
  <c r="D4641" i="5"/>
  <c r="D4640" i="5"/>
  <c r="D4639" i="5"/>
  <c r="D4638" i="5"/>
  <c r="D4637" i="5"/>
  <c r="D4636" i="5"/>
  <c r="D4635" i="5"/>
  <c r="D4634" i="5"/>
  <c r="D4633" i="5"/>
  <c r="D4632" i="5"/>
  <c r="D4631" i="5"/>
  <c r="D4630" i="5"/>
  <c r="D4629" i="5"/>
  <c r="D4628" i="5"/>
  <c r="D4627" i="5"/>
  <c r="D4626" i="5"/>
  <c r="D4625" i="5"/>
  <c r="D4624" i="5"/>
  <c r="D4623" i="5"/>
  <c r="D4622" i="5"/>
  <c r="D4621" i="5"/>
  <c r="D4620" i="5"/>
  <c r="D4619" i="5"/>
  <c r="D4618" i="5"/>
  <c r="D4617" i="5"/>
  <c r="D4616" i="5"/>
  <c r="D4615" i="5"/>
  <c r="D4614" i="5"/>
  <c r="D4613" i="5"/>
  <c r="D4612" i="5"/>
  <c r="D4611" i="5"/>
  <c r="D4610" i="5"/>
  <c r="D4609" i="5"/>
  <c r="D4608" i="5"/>
  <c r="D4607" i="5"/>
  <c r="D4606" i="5"/>
  <c r="D4605" i="5"/>
  <c r="D4604" i="5"/>
  <c r="D4603" i="5"/>
  <c r="D4602" i="5"/>
  <c r="D4601" i="5"/>
  <c r="D4600" i="5"/>
  <c r="D4599" i="5"/>
  <c r="D4598" i="5"/>
  <c r="D4597" i="5"/>
  <c r="D4596" i="5"/>
  <c r="D4595" i="5"/>
  <c r="D4594" i="5"/>
  <c r="D4593" i="5"/>
  <c r="D4592" i="5"/>
  <c r="D4591" i="5"/>
  <c r="D4590" i="5"/>
  <c r="D4589" i="5"/>
  <c r="D4588" i="5"/>
  <c r="D4587" i="5"/>
  <c r="D4586" i="5"/>
  <c r="D4585" i="5"/>
  <c r="D4584" i="5"/>
  <c r="D4583" i="5"/>
  <c r="D4582" i="5"/>
  <c r="D4581" i="5"/>
  <c r="D4580" i="5"/>
  <c r="D4579" i="5"/>
  <c r="D4578" i="5"/>
  <c r="D4577" i="5"/>
  <c r="D4576" i="5"/>
  <c r="D4575" i="5"/>
  <c r="D4574" i="5"/>
  <c r="D4573" i="5"/>
  <c r="D4572" i="5"/>
  <c r="D4571" i="5"/>
  <c r="D4570" i="5"/>
  <c r="D4569" i="5"/>
  <c r="D4568" i="5"/>
  <c r="D4567" i="5"/>
  <c r="D4566" i="5"/>
  <c r="D4565" i="5"/>
  <c r="D4564" i="5"/>
  <c r="D4563" i="5"/>
  <c r="D4562" i="5"/>
  <c r="D4561" i="5"/>
  <c r="D4560" i="5"/>
  <c r="D4559" i="5"/>
  <c r="D4558" i="5"/>
  <c r="D4557" i="5"/>
  <c r="D4556" i="5"/>
  <c r="D4555" i="5"/>
  <c r="D4554" i="5"/>
  <c r="D4553" i="5"/>
  <c r="D4552" i="5"/>
  <c r="D4551" i="5"/>
  <c r="D4550" i="5"/>
  <c r="D4549" i="5"/>
  <c r="D4548" i="5"/>
  <c r="D4547" i="5"/>
  <c r="D4546" i="5"/>
  <c r="D4545" i="5"/>
  <c r="D4544" i="5"/>
  <c r="D4543" i="5"/>
  <c r="D4542" i="5"/>
  <c r="D4541" i="5"/>
  <c r="D4540" i="5"/>
  <c r="D4539" i="5"/>
  <c r="D4538" i="5"/>
  <c r="D4537" i="5"/>
  <c r="D4536" i="5"/>
  <c r="D4535" i="5"/>
  <c r="D4534" i="5"/>
  <c r="D4533" i="5"/>
  <c r="D4532" i="5"/>
  <c r="D4531" i="5"/>
  <c r="D4530" i="5"/>
  <c r="D4529" i="5"/>
  <c r="D4528" i="5"/>
  <c r="D4527" i="5"/>
  <c r="D4526" i="5"/>
  <c r="D4525" i="5"/>
  <c r="D4524" i="5"/>
  <c r="D4523" i="5"/>
  <c r="D4522" i="5"/>
  <c r="D4521" i="5"/>
  <c r="D4520" i="5"/>
  <c r="D4519" i="5"/>
  <c r="D4518" i="5"/>
  <c r="D4517" i="5"/>
  <c r="D4516" i="5"/>
  <c r="D4515" i="5"/>
  <c r="D4514" i="5"/>
  <c r="D4513" i="5"/>
  <c r="D4512" i="5"/>
  <c r="D4511" i="5"/>
  <c r="D4510" i="5"/>
  <c r="D4509" i="5"/>
  <c r="D4508" i="5"/>
  <c r="D4507" i="5"/>
  <c r="D4506" i="5"/>
  <c r="D4505" i="5"/>
  <c r="D4504" i="5"/>
  <c r="D4503" i="5"/>
  <c r="D4502" i="5"/>
  <c r="D4501" i="5"/>
  <c r="D4500" i="5"/>
  <c r="D4499" i="5"/>
  <c r="D4498" i="5"/>
  <c r="D4497" i="5"/>
  <c r="D4496" i="5"/>
  <c r="D4495" i="5"/>
  <c r="D4494" i="5"/>
  <c r="D4493" i="5"/>
  <c r="D4492" i="5"/>
  <c r="D4491" i="5"/>
  <c r="D4490" i="5"/>
  <c r="D4489" i="5"/>
  <c r="D4488" i="5"/>
  <c r="D4487" i="5"/>
  <c r="D4486" i="5"/>
  <c r="D4485" i="5"/>
  <c r="D4484" i="5"/>
  <c r="D4483" i="5"/>
  <c r="D4482" i="5"/>
  <c r="D4481" i="5"/>
  <c r="D4480" i="5"/>
  <c r="D4479" i="5"/>
  <c r="D4478" i="5"/>
  <c r="D4477" i="5"/>
  <c r="D4476" i="5"/>
  <c r="D4475" i="5"/>
  <c r="D4474" i="5"/>
  <c r="D4473" i="5"/>
  <c r="D4472" i="5"/>
  <c r="D4471" i="5"/>
  <c r="D4470" i="5"/>
  <c r="D4469" i="5"/>
  <c r="D4468" i="5"/>
  <c r="D4467" i="5"/>
  <c r="D4466" i="5"/>
  <c r="D4465" i="5"/>
  <c r="D4464" i="5"/>
  <c r="D4463" i="5"/>
  <c r="D4462" i="5"/>
  <c r="D4461" i="5"/>
  <c r="D4460" i="5"/>
  <c r="D4459" i="5"/>
  <c r="D4458" i="5"/>
  <c r="D4457" i="5"/>
  <c r="D4456" i="5"/>
  <c r="D4455" i="5"/>
  <c r="D4454" i="5"/>
  <c r="D4453" i="5"/>
  <c r="D4452" i="5"/>
  <c r="D4451" i="5"/>
  <c r="D4450" i="5"/>
  <c r="D4449" i="5"/>
  <c r="D4448" i="5"/>
  <c r="D4447" i="5"/>
  <c r="D4446" i="5"/>
  <c r="D4445" i="5"/>
  <c r="D4444" i="5"/>
  <c r="D4443" i="5"/>
  <c r="D4442" i="5"/>
  <c r="D4441" i="5"/>
  <c r="D4440" i="5"/>
  <c r="D4439" i="5"/>
  <c r="D4438" i="5"/>
  <c r="D4437" i="5"/>
  <c r="D4436" i="5"/>
  <c r="D4435" i="5"/>
  <c r="D4434" i="5"/>
  <c r="D4433" i="5"/>
  <c r="D4432" i="5"/>
  <c r="D4431" i="5"/>
  <c r="D4430" i="5"/>
  <c r="D4429" i="5"/>
  <c r="D4428" i="5"/>
  <c r="D4427" i="5"/>
  <c r="D4426" i="5"/>
  <c r="D4425" i="5"/>
  <c r="D4424" i="5"/>
  <c r="D4423" i="5"/>
  <c r="D4422" i="5"/>
  <c r="D4421" i="5"/>
  <c r="D4420" i="5"/>
  <c r="D4419" i="5"/>
  <c r="D4418" i="5"/>
  <c r="D4417" i="5"/>
  <c r="D4416" i="5"/>
  <c r="D4415" i="5"/>
  <c r="D4414" i="5"/>
  <c r="D4413" i="5"/>
  <c r="D4412" i="5"/>
  <c r="D4411" i="5"/>
  <c r="D4410" i="5"/>
  <c r="D4409" i="5"/>
  <c r="D4408" i="5"/>
  <c r="D4407" i="5"/>
  <c r="D4406" i="5"/>
  <c r="D4405" i="5"/>
  <c r="D4404" i="5"/>
  <c r="D4403" i="5"/>
  <c r="D4402" i="5"/>
  <c r="D4401" i="5"/>
  <c r="D4400" i="5"/>
  <c r="D4399" i="5"/>
  <c r="D4398" i="5"/>
  <c r="D4397" i="5"/>
  <c r="D4396" i="5"/>
  <c r="D4395" i="5"/>
  <c r="D4394" i="5"/>
  <c r="D4393" i="5"/>
  <c r="D4392" i="5"/>
  <c r="D4391" i="5"/>
  <c r="D4390" i="5"/>
  <c r="D4389" i="5"/>
  <c r="D4388" i="5"/>
  <c r="D4387" i="5"/>
  <c r="D4386" i="5"/>
  <c r="D4385" i="5"/>
  <c r="D4384" i="5"/>
  <c r="D4383" i="5"/>
  <c r="D4382" i="5"/>
  <c r="D4381" i="5"/>
  <c r="D4380" i="5"/>
  <c r="D4379" i="5"/>
  <c r="D4378" i="5"/>
  <c r="D4377" i="5"/>
  <c r="D4376" i="5"/>
  <c r="D4375" i="5"/>
  <c r="D4374" i="5"/>
  <c r="D4373" i="5"/>
  <c r="D4372" i="5"/>
  <c r="D4371" i="5"/>
  <c r="D4370" i="5"/>
  <c r="D4369" i="5"/>
  <c r="D4368" i="5"/>
  <c r="D4367" i="5"/>
  <c r="D4366" i="5"/>
  <c r="D4365" i="5"/>
  <c r="D4364" i="5"/>
  <c r="D4363" i="5"/>
  <c r="D4362" i="5"/>
  <c r="D4361" i="5"/>
  <c r="D4360" i="5"/>
  <c r="D4359" i="5"/>
  <c r="D4358" i="5"/>
  <c r="D4357" i="5"/>
  <c r="D4356" i="5"/>
  <c r="D4355" i="5"/>
  <c r="D4354" i="5"/>
  <c r="D4353" i="5"/>
  <c r="D4352" i="5"/>
  <c r="D4351" i="5"/>
  <c r="D4350" i="5"/>
  <c r="D4349" i="5"/>
  <c r="D4348" i="5"/>
  <c r="D4347" i="5"/>
  <c r="D4346" i="5"/>
  <c r="D4345" i="5"/>
  <c r="D4344" i="5"/>
  <c r="D4343" i="5"/>
  <c r="D4342" i="5"/>
  <c r="D4341" i="5"/>
  <c r="D4340" i="5"/>
  <c r="D4339" i="5"/>
  <c r="D4338" i="5"/>
  <c r="D4337" i="5"/>
  <c r="D4336" i="5"/>
  <c r="D4335" i="5"/>
  <c r="D4334" i="5"/>
  <c r="D4333" i="5"/>
  <c r="D4332" i="5"/>
  <c r="D4331" i="5"/>
  <c r="D4330" i="5"/>
  <c r="D4329" i="5"/>
  <c r="D4328" i="5"/>
  <c r="D4327" i="5"/>
  <c r="D4326" i="5"/>
  <c r="D4325" i="5"/>
  <c r="D4324" i="5"/>
  <c r="D4323" i="5"/>
  <c r="D4322" i="5"/>
  <c r="D4321" i="5"/>
  <c r="D4320" i="5"/>
  <c r="D4319" i="5"/>
  <c r="D4318" i="5"/>
  <c r="D4317" i="5"/>
  <c r="D4316" i="5"/>
  <c r="D4315" i="5"/>
  <c r="D4314" i="5"/>
  <c r="D4313" i="5"/>
  <c r="D4312" i="5"/>
  <c r="D4311" i="5"/>
  <c r="D4310" i="5"/>
  <c r="D4309" i="5"/>
  <c r="D4308" i="5"/>
  <c r="D4307" i="5"/>
  <c r="D4306" i="5"/>
  <c r="D4305" i="5"/>
  <c r="D4304" i="5"/>
  <c r="D4303" i="5"/>
  <c r="D4302" i="5"/>
  <c r="D4301" i="5"/>
  <c r="D4300" i="5"/>
  <c r="D4299" i="5"/>
  <c r="D4298" i="5"/>
  <c r="D4297" i="5"/>
  <c r="D4296" i="5"/>
  <c r="D4295" i="5"/>
  <c r="D4294" i="5"/>
  <c r="D4293" i="5"/>
  <c r="D4292" i="5"/>
  <c r="D4291" i="5"/>
  <c r="D4290" i="5"/>
  <c r="D4289" i="5"/>
  <c r="D4288" i="5"/>
  <c r="D4287" i="5"/>
  <c r="D4286" i="5"/>
  <c r="D4285" i="5"/>
  <c r="D4284" i="5"/>
  <c r="D4283" i="5"/>
  <c r="D4282" i="5"/>
  <c r="D4281" i="5"/>
  <c r="D4280" i="5"/>
  <c r="D4279" i="5"/>
  <c r="D4278" i="5"/>
  <c r="D4277" i="5"/>
  <c r="D4276" i="5"/>
  <c r="D4275" i="5"/>
  <c r="D4274" i="5"/>
  <c r="D4273" i="5"/>
  <c r="D4272" i="5"/>
  <c r="D4271" i="5"/>
  <c r="D4270" i="5"/>
  <c r="D4269" i="5"/>
  <c r="D4268" i="5"/>
  <c r="D4267" i="5"/>
  <c r="D4266" i="5"/>
  <c r="D4265" i="5"/>
  <c r="D4264" i="5"/>
  <c r="D4263" i="5"/>
  <c r="D4262" i="5"/>
  <c r="D4261" i="5"/>
  <c r="D4260" i="5"/>
  <c r="D4259" i="5"/>
  <c r="D4258" i="5"/>
  <c r="D4257" i="5"/>
  <c r="D4256" i="5"/>
  <c r="D4255" i="5"/>
  <c r="D4254" i="5"/>
  <c r="D4253" i="5"/>
  <c r="D4252" i="5"/>
  <c r="D4251" i="5"/>
  <c r="D4250" i="5"/>
  <c r="D4249" i="5"/>
  <c r="D4248" i="5"/>
  <c r="D4247" i="5"/>
  <c r="D4246" i="5"/>
  <c r="D4245" i="5"/>
  <c r="D4244" i="5"/>
  <c r="D4243" i="5"/>
  <c r="D4242" i="5"/>
  <c r="D4241" i="5"/>
  <c r="D4240" i="5"/>
  <c r="D4239" i="5"/>
  <c r="D4238" i="5"/>
  <c r="D4237" i="5"/>
  <c r="D4236" i="5"/>
  <c r="D4235" i="5"/>
  <c r="D4234" i="5"/>
  <c r="D4233" i="5"/>
  <c r="D4232" i="5"/>
  <c r="D4231" i="5"/>
  <c r="D4230" i="5"/>
  <c r="D4229" i="5"/>
  <c r="D4228" i="5"/>
  <c r="D4227" i="5"/>
  <c r="D4226" i="5"/>
  <c r="D4225" i="5"/>
  <c r="D4224" i="5"/>
  <c r="D4223" i="5"/>
  <c r="D4222" i="5"/>
  <c r="D4221" i="5"/>
  <c r="D4220" i="5"/>
  <c r="D4219" i="5"/>
  <c r="D4218" i="5"/>
  <c r="D4217" i="5"/>
  <c r="D4216" i="5"/>
  <c r="D4215" i="5"/>
  <c r="D4214" i="5"/>
  <c r="D4213" i="5"/>
  <c r="D4212" i="5"/>
  <c r="D4211" i="5"/>
  <c r="D4210" i="5"/>
  <c r="D4209" i="5"/>
  <c r="D4208" i="5"/>
  <c r="D4207" i="5"/>
  <c r="D4206" i="5"/>
  <c r="D4205" i="5"/>
  <c r="D4204" i="5"/>
  <c r="D4203" i="5"/>
  <c r="D4202" i="5"/>
  <c r="D4201" i="5"/>
  <c r="D4200" i="5"/>
  <c r="D4199" i="5"/>
  <c r="D4198" i="5"/>
  <c r="D4197" i="5"/>
  <c r="D4196" i="5"/>
  <c r="D4195" i="5"/>
  <c r="D4194" i="5"/>
  <c r="D4193" i="5"/>
  <c r="D4192" i="5"/>
  <c r="D4191" i="5"/>
  <c r="D4190" i="5"/>
  <c r="D4189" i="5"/>
  <c r="D4188" i="5"/>
  <c r="D4187" i="5"/>
  <c r="D4186" i="5"/>
  <c r="D4185" i="5"/>
  <c r="D4184" i="5"/>
  <c r="D4183" i="5"/>
  <c r="D4182" i="5"/>
  <c r="D4181" i="5"/>
  <c r="D4180" i="5"/>
  <c r="D4179" i="5"/>
  <c r="D4178" i="5"/>
  <c r="D4177" i="5"/>
  <c r="D4176" i="5"/>
  <c r="D4175" i="5"/>
  <c r="D4174" i="5"/>
  <c r="D4173" i="5"/>
  <c r="D4172" i="5"/>
  <c r="D4171" i="5"/>
  <c r="D4170" i="5"/>
  <c r="D4169" i="5"/>
  <c r="D4168" i="5"/>
  <c r="D4167" i="5"/>
  <c r="D4166" i="5"/>
  <c r="D4165" i="5"/>
  <c r="D4164" i="5"/>
  <c r="D4163" i="5"/>
  <c r="D4162" i="5"/>
  <c r="D4161" i="5"/>
  <c r="D4160" i="5"/>
  <c r="D4159" i="5"/>
  <c r="D4158" i="5"/>
  <c r="D4157" i="5"/>
  <c r="D4156" i="5"/>
  <c r="D4155" i="5"/>
  <c r="D4154" i="5"/>
  <c r="D4153" i="5"/>
  <c r="D4152" i="5"/>
  <c r="D4151" i="5"/>
  <c r="D4150" i="5"/>
  <c r="D4149" i="5"/>
  <c r="D4148" i="5"/>
  <c r="D4147" i="5"/>
  <c r="D4146" i="5"/>
  <c r="D4145" i="5"/>
  <c r="D4144" i="5"/>
  <c r="D4143" i="5"/>
  <c r="D4142" i="5"/>
  <c r="D4141" i="5"/>
  <c r="D4140" i="5"/>
  <c r="D4139" i="5"/>
  <c r="D4138" i="5"/>
  <c r="D4137" i="5"/>
  <c r="D4136" i="5"/>
  <c r="D4135" i="5"/>
  <c r="D4134" i="5"/>
  <c r="D4133" i="5"/>
  <c r="D4132" i="5"/>
  <c r="D4131" i="5"/>
  <c r="D4130" i="5"/>
  <c r="D4129" i="5"/>
  <c r="D4128" i="5"/>
  <c r="D4127" i="5"/>
  <c r="D4126" i="5"/>
  <c r="D4125" i="5"/>
  <c r="D4124" i="5"/>
  <c r="D4123" i="5"/>
  <c r="D4122" i="5"/>
  <c r="D4121" i="5"/>
  <c r="D4120" i="5"/>
  <c r="D4119" i="5"/>
  <c r="D4118" i="5"/>
  <c r="D4117" i="5"/>
  <c r="D4116" i="5"/>
  <c r="D4115" i="5"/>
  <c r="D4114" i="5"/>
  <c r="D4113" i="5"/>
  <c r="D4112" i="5"/>
  <c r="D4111" i="5"/>
  <c r="D4110" i="5"/>
  <c r="D4109" i="5"/>
  <c r="D4108" i="5"/>
  <c r="D4107" i="5"/>
  <c r="D4106" i="5"/>
  <c r="D4105" i="5"/>
  <c r="D4104" i="5"/>
  <c r="D4103" i="5"/>
  <c r="D4102" i="5"/>
  <c r="D4101" i="5"/>
  <c r="D4100" i="5"/>
  <c r="D4099" i="5"/>
  <c r="D4098" i="5"/>
  <c r="D4097" i="5"/>
  <c r="D4096" i="5"/>
  <c r="D4095" i="5"/>
  <c r="D4094" i="5"/>
  <c r="D4093" i="5"/>
  <c r="D4092" i="5"/>
  <c r="D4091" i="5"/>
  <c r="D4090" i="5"/>
  <c r="D4089" i="5"/>
  <c r="D4088" i="5"/>
  <c r="D4087" i="5"/>
  <c r="D4086" i="5"/>
  <c r="D4085" i="5"/>
  <c r="D4084" i="5"/>
  <c r="D4083" i="5"/>
  <c r="D4082" i="5"/>
  <c r="D4081" i="5"/>
  <c r="D4080" i="5"/>
  <c r="D4079" i="5"/>
  <c r="D4078" i="5"/>
  <c r="D4077" i="5"/>
  <c r="D4076" i="5"/>
  <c r="D4075" i="5"/>
  <c r="D4074" i="5"/>
  <c r="D4073" i="5"/>
  <c r="D4072" i="5"/>
  <c r="D4071" i="5"/>
  <c r="D4070" i="5"/>
  <c r="D4069" i="5"/>
  <c r="D4068" i="5"/>
  <c r="D4067" i="5"/>
  <c r="D4066" i="5"/>
  <c r="D4065" i="5"/>
  <c r="D4064" i="5"/>
  <c r="D4063" i="5"/>
  <c r="D4062" i="5"/>
  <c r="D4061" i="5"/>
  <c r="D4060" i="5"/>
  <c r="D4059" i="5"/>
  <c r="D4058" i="5"/>
  <c r="D4057" i="5"/>
  <c r="D4056" i="5"/>
  <c r="D4055" i="5"/>
  <c r="D4054" i="5"/>
  <c r="D4053" i="5"/>
  <c r="D4052" i="5"/>
  <c r="D4051" i="5"/>
  <c r="D4050" i="5"/>
  <c r="D4049" i="5"/>
  <c r="D4048" i="5"/>
  <c r="D4047" i="5"/>
  <c r="D4046" i="5"/>
  <c r="D4045" i="5"/>
  <c r="D4044" i="5"/>
  <c r="D4043" i="5"/>
  <c r="D4042" i="5"/>
  <c r="D4041" i="5"/>
  <c r="D4040" i="5"/>
  <c r="D4039" i="5"/>
  <c r="D4038" i="5"/>
  <c r="D4037" i="5"/>
  <c r="D4036" i="5"/>
  <c r="D4035" i="5"/>
  <c r="D4034" i="5"/>
  <c r="D4033" i="5"/>
  <c r="D4032" i="5"/>
  <c r="D4031" i="5"/>
  <c r="D4030" i="5"/>
  <c r="D4029" i="5"/>
  <c r="D4028" i="5"/>
  <c r="D4027" i="5"/>
  <c r="D4026" i="5"/>
  <c r="D4025" i="5"/>
  <c r="D4024" i="5"/>
  <c r="D4023" i="5"/>
  <c r="D4022" i="5"/>
  <c r="D4021" i="5"/>
  <c r="D4020" i="5"/>
  <c r="D4019" i="5"/>
  <c r="D4018" i="5"/>
  <c r="D4017" i="5"/>
  <c r="D4016" i="5"/>
  <c r="D4015" i="5"/>
  <c r="D4014" i="5"/>
  <c r="D4013" i="5"/>
  <c r="D4012" i="5"/>
  <c r="D4011" i="5"/>
  <c r="D4010" i="5"/>
  <c r="D4009" i="5"/>
  <c r="D4008" i="5"/>
  <c r="D4007" i="5"/>
  <c r="D4006" i="5"/>
  <c r="D4005" i="5"/>
  <c r="D4004" i="5"/>
  <c r="D4003" i="5"/>
  <c r="D4002" i="5"/>
  <c r="D4001" i="5"/>
  <c r="D4000" i="5"/>
  <c r="D3999" i="5"/>
  <c r="D3998" i="5"/>
  <c r="D3997" i="5"/>
  <c r="D3996" i="5"/>
  <c r="D3995" i="5"/>
  <c r="D3994" i="5"/>
  <c r="D3993" i="5"/>
  <c r="D3992" i="5"/>
  <c r="D3991" i="5"/>
  <c r="D3990" i="5"/>
  <c r="D3989" i="5"/>
  <c r="D3988" i="5"/>
  <c r="D3987" i="5"/>
  <c r="D3986" i="5"/>
  <c r="D3985" i="5"/>
  <c r="D3984" i="5"/>
  <c r="D3983" i="5"/>
  <c r="D3982" i="5"/>
  <c r="D3981" i="5"/>
  <c r="D3980" i="5"/>
  <c r="D3979" i="5"/>
  <c r="D3978" i="5"/>
  <c r="D3977" i="5"/>
  <c r="D3976" i="5"/>
  <c r="D3975" i="5"/>
  <c r="D3974" i="5"/>
  <c r="D3973" i="5"/>
  <c r="D3972" i="5"/>
  <c r="D3971" i="5"/>
  <c r="D3970" i="5"/>
  <c r="D3969" i="5"/>
  <c r="D3968" i="5"/>
  <c r="D3967" i="5"/>
  <c r="D3966" i="5"/>
  <c r="D3965" i="5"/>
  <c r="D3964" i="5"/>
  <c r="D3963" i="5"/>
  <c r="D3962" i="5"/>
  <c r="D3961" i="5"/>
  <c r="D3960" i="5"/>
  <c r="D3959" i="5"/>
  <c r="D3958" i="5"/>
  <c r="D3957" i="5"/>
  <c r="D3956" i="5"/>
  <c r="D3955" i="5"/>
  <c r="D3954" i="5"/>
  <c r="D3953" i="5"/>
  <c r="D3952" i="5"/>
  <c r="D3951" i="5"/>
  <c r="D3950" i="5"/>
  <c r="D3949" i="5"/>
  <c r="D3948" i="5"/>
  <c r="D3947" i="5"/>
  <c r="D3946" i="5"/>
  <c r="D3945" i="5"/>
  <c r="D3944" i="5"/>
  <c r="D3943" i="5"/>
  <c r="D3942" i="5"/>
  <c r="D3941" i="5"/>
  <c r="D3940" i="5"/>
  <c r="D3939" i="5"/>
  <c r="D3938" i="5"/>
  <c r="D3937" i="5"/>
  <c r="D3936" i="5"/>
  <c r="D3935" i="5"/>
  <c r="D3934" i="5"/>
  <c r="D3933" i="5"/>
  <c r="D3932" i="5"/>
  <c r="D3931" i="5"/>
  <c r="D3930" i="5"/>
  <c r="D3929" i="5"/>
  <c r="D3928" i="5"/>
  <c r="D3927" i="5"/>
  <c r="D3926" i="5"/>
  <c r="D3925" i="5"/>
  <c r="D3924" i="5"/>
  <c r="D3923" i="5"/>
  <c r="D3922" i="5"/>
  <c r="D3921" i="5"/>
  <c r="D3920" i="5"/>
  <c r="D3919" i="5"/>
  <c r="D3918" i="5"/>
  <c r="D3917" i="5"/>
  <c r="D3916" i="5"/>
  <c r="D3915" i="5"/>
  <c r="D3914" i="5"/>
  <c r="D3913" i="5"/>
  <c r="D3912" i="5"/>
  <c r="D3911" i="5"/>
  <c r="D3910" i="5"/>
  <c r="D3909" i="5"/>
  <c r="D3908" i="5"/>
  <c r="D3907" i="5"/>
  <c r="D3906" i="5"/>
  <c r="D3905" i="5"/>
  <c r="D3904" i="5"/>
  <c r="D3903" i="5"/>
  <c r="D3902" i="5"/>
  <c r="D3901" i="5"/>
  <c r="D3900" i="5"/>
  <c r="D3899" i="5"/>
  <c r="D3898" i="5"/>
  <c r="D3897" i="5"/>
  <c r="D3896" i="5"/>
  <c r="D3895" i="5"/>
  <c r="D3894" i="5"/>
  <c r="D3893" i="5"/>
  <c r="D3892" i="5"/>
  <c r="D3891" i="5"/>
  <c r="D3890" i="5"/>
  <c r="D3889" i="5"/>
  <c r="D3888" i="5"/>
  <c r="D3887" i="5"/>
  <c r="D3886" i="5"/>
  <c r="D3885" i="5"/>
  <c r="D3884" i="5"/>
  <c r="D3883" i="5"/>
  <c r="D3882" i="5"/>
  <c r="D3881" i="5"/>
  <c r="D3880" i="5"/>
  <c r="D3879" i="5"/>
  <c r="D3878" i="5"/>
  <c r="D3877" i="5"/>
  <c r="D3876" i="5"/>
  <c r="D3875" i="5"/>
  <c r="D3874" i="5"/>
  <c r="D3873" i="5"/>
  <c r="D3872" i="5"/>
  <c r="D3871" i="5"/>
  <c r="D3870" i="5"/>
  <c r="D3869" i="5"/>
  <c r="D3868" i="5"/>
  <c r="D3867" i="5"/>
  <c r="D3866" i="5"/>
  <c r="D3865" i="5"/>
  <c r="D3864" i="5"/>
  <c r="D3863" i="5"/>
  <c r="D3862" i="5"/>
  <c r="D3861" i="5"/>
  <c r="D3860" i="5"/>
  <c r="D3859" i="5"/>
  <c r="D3858" i="5"/>
  <c r="D3857" i="5"/>
  <c r="D3856" i="5"/>
  <c r="D3855" i="5"/>
  <c r="D3854" i="5"/>
  <c r="D3853" i="5"/>
  <c r="D3852" i="5"/>
  <c r="D3851" i="5"/>
  <c r="D3850" i="5"/>
  <c r="D3849" i="5"/>
  <c r="D3848" i="5"/>
  <c r="D3847" i="5"/>
  <c r="D3846" i="5"/>
  <c r="D3845" i="5"/>
  <c r="D3844" i="5"/>
  <c r="D3843" i="5"/>
  <c r="D3842" i="5"/>
  <c r="D3841" i="5"/>
  <c r="D3840" i="5"/>
  <c r="D3839" i="5"/>
  <c r="D3838" i="5"/>
  <c r="D3837" i="5"/>
  <c r="D3836" i="5"/>
  <c r="D3835" i="5"/>
  <c r="D3834" i="5"/>
  <c r="D3833" i="5"/>
  <c r="D3832" i="5"/>
  <c r="D3831" i="5"/>
  <c r="D3830" i="5"/>
  <c r="D3829" i="5"/>
  <c r="D3828" i="5"/>
  <c r="D3827" i="5"/>
  <c r="D3826" i="5"/>
  <c r="D3825" i="5"/>
  <c r="D3824" i="5"/>
  <c r="D3823" i="5"/>
  <c r="D3822" i="5"/>
  <c r="D3821" i="5"/>
  <c r="D3820" i="5"/>
  <c r="D3819" i="5"/>
  <c r="D3818" i="5"/>
  <c r="D3817" i="5"/>
  <c r="D3816" i="5"/>
  <c r="D3815" i="5"/>
  <c r="D3814" i="5"/>
  <c r="D3813" i="5"/>
  <c r="D3812" i="5"/>
  <c r="D3811" i="5"/>
  <c r="D3810" i="5"/>
  <c r="D3809" i="5"/>
  <c r="D3808" i="5"/>
  <c r="D3807" i="5"/>
  <c r="D3806" i="5"/>
  <c r="D3805" i="5"/>
  <c r="D3804" i="5"/>
  <c r="D3803" i="5"/>
  <c r="D3802" i="5"/>
  <c r="D3801" i="5"/>
  <c r="D3800" i="5"/>
  <c r="D3799" i="5"/>
  <c r="D3798" i="5"/>
  <c r="D3797" i="5"/>
  <c r="D3796" i="5"/>
  <c r="D3795" i="5"/>
  <c r="D3794" i="5"/>
  <c r="D3793" i="5"/>
  <c r="D3792" i="5"/>
  <c r="D3791" i="5"/>
  <c r="D3790" i="5"/>
  <c r="D3789" i="5"/>
  <c r="D3788" i="5"/>
  <c r="D3787" i="5"/>
  <c r="D3786" i="5"/>
  <c r="D3785" i="5"/>
  <c r="D3784" i="5"/>
  <c r="D3783" i="5"/>
  <c r="D3782" i="5"/>
  <c r="D3781" i="5"/>
  <c r="D3780" i="5"/>
  <c r="D3779" i="5"/>
  <c r="D3778" i="5"/>
  <c r="D3777" i="5"/>
  <c r="D3776" i="5"/>
  <c r="D3775" i="5"/>
  <c r="D3774" i="5"/>
  <c r="D3773" i="5"/>
  <c r="D3772" i="5"/>
  <c r="D3771" i="5"/>
  <c r="D3770" i="5"/>
  <c r="D3769" i="5"/>
  <c r="D3768" i="5"/>
  <c r="D3767" i="5"/>
  <c r="D3766" i="5"/>
  <c r="D3765" i="5"/>
  <c r="D3764" i="5"/>
  <c r="D3763" i="5"/>
  <c r="D3762" i="5"/>
  <c r="D3761" i="5"/>
  <c r="D3760" i="5"/>
  <c r="D3759" i="5"/>
  <c r="D3758" i="5"/>
  <c r="D3757" i="5"/>
  <c r="D3756" i="5"/>
  <c r="D3755" i="5"/>
  <c r="D3754" i="5"/>
  <c r="D3753" i="5"/>
  <c r="D3752" i="5"/>
  <c r="D3751" i="5"/>
  <c r="D3750" i="5"/>
  <c r="D3749" i="5"/>
  <c r="D3748" i="5"/>
  <c r="D3747" i="5"/>
  <c r="D3746" i="5"/>
  <c r="D3745" i="5"/>
  <c r="D3744" i="5"/>
  <c r="D3743" i="5"/>
  <c r="D3742" i="5"/>
  <c r="D3741" i="5"/>
  <c r="D3740" i="5"/>
  <c r="D3739" i="5"/>
  <c r="D3738" i="5"/>
  <c r="D3737" i="5"/>
  <c r="D3736" i="5"/>
  <c r="D3735" i="5"/>
  <c r="D3734" i="5"/>
  <c r="D3733" i="5"/>
  <c r="D3732" i="5"/>
  <c r="D3731" i="5"/>
  <c r="D3730" i="5"/>
  <c r="D3729" i="5"/>
  <c r="D3728" i="5"/>
  <c r="D3727" i="5"/>
  <c r="D3726" i="5"/>
  <c r="D3725" i="5"/>
  <c r="D3724" i="5"/>
  <c r="D3723" i="5"/>
  <c r="D3722" i="5"/>
  <c r="D3721" i="5"/>
  <c r="D3720" i="5"/>
  <c r="D3719" i="5"/>
  <c r="D3718" i="5"/>
  <c r="D3717" i="5"/>
  <c r="D3716" i="5"/>
  <c r="D3715" i="5"/>
  <c r="D3714" i="5"/>
  <c r="D3713" i="5"/>
  <c r="D3712" i="5"/>
  <c r="D3711" i="5"/>
  <c r="D3710" i="5"/>
  <c r="D3709" i="5"/>
  <c r="D3708" i="5"/>
  <c r="D3707" i="5"/>
  <c r="D3706" i="5"/>
  <c r="D3705" i="5"/>
  <c r="D3704" i="5"/>
  <c r="D3703" i="5"/>
  <c r="D3702" i="5"/>
  <c r="D3701" i="5"/>
  <c r="D3700" i="5"/>
  <c r="D3699" i="5"/>
  <c r="D3698" i="5"/>
  <c r="D3697" i="5"/>
  <c r="D3696" i="5"/>
  <c r="D3695" i="5"/>
  <c r="D3694" i="5"/>
  <c r="D3693" i="5"/>
  <c r="D3692" i="5"/>
  <c r="D3691" i="5"/>
  <c r="D3690" i="5"/>
  <c r="D3689" i="5"/>
  <c r="D3688" i="5"/>
  <c r="D3687" i="5"/>
  <c r="D3686" i="5"/>
  <c r="D3685" i="5"/>
  <c r="D3684" i="5"/>
  <c r="D3683" i="5"/>
  <c r="D3682" i="5"/>
  <c r="D3681" i="5"/>
  <c r="D3680" i="5"/>
  <c r="D3679" i="5"/>
  <c r="D3678" i="5"/>
  <c r="D3677" i="5"/>
  <c r="D3676" i="5"/>
  <c r="D3675" i="5"/>
  <c r="D3674" i="5"/>
  <c r="D3673" i="5"/>
  <c r="D3672" i="5"/>
  <c r="D3671" i="5"/>
  <c r="D3670" i="5"/>
  <c r="D3669" i="5"/>
  <c r="D3668" i="5"/>
  <c r="D3667" i="5"/>
  <c r="D3666" i="5"/>
  <c r="D3665" i="5"/>
  <c r="D3664" i="5"/>
  <c r="D3663" i="5"/>
  <c r="D3662" i="5"/>
  <c r="D3661" i="5"/>
  <c r="D3660" i="5"/>
  <c r="D3659" i="5"/>
  <c r="D3658" i="5"/>
  <c r="D3657" i="5"/>
  <c r="D3656" i="5"/>
  <c r="D3655" i="5"/>
  <c r="D3654" i="5"/>
  <c r="D3653" i="5"/>
  <c r="D3652" i="5"/>
  <c r="D3651" i="5"/>
  <c r="D3650" i="5"/>
  <c r="D3649" i="5"/>
  <c r="D3648" i="5"/>
  <c r="D3647" i="5"/>
  <c r="D3646" i="5"/>
  <c r="D3645" i="5"/>
  <c r="D3644" i="5"/>
  <c r="D3643" i="5"/>
  <c r="D3642" i="5"/>
  <c r="D3641" i="5"/>
  <c r="D3640" i="5"/>
  <c r="D3639" i="5"/>
  <c r="D3638" i="5"/>
  <c r="D3637" i="5"/>
  <c r="D3636" i="5"/>
  <c r="D3635" i="5"/>
  <c r="D3634" i="5"/>
  <c r="D3633" i="5"/>
  <c r="D3632" i="5"/>
  <c r="D3631" i="5"/>
  <c r="D3630" i="5"/>
  <c r="D3629" i="5"/>
  <c r="D3628" i="5"/>
  <c r="D3627" i="5"/>
  <c r="D3626" i="5"/>
  <c r="D3625" i="5"/>
  <c r="D3624" i="5"/>
  <c r="D3623" i="5"/>
  <c r="D3622" i="5"/>
  <c r="D3621" i="5"/>
  <c r="D3620" i="5"/>
  <c r="D3619" i="5"/>
  <c r="D3618" i="5"/>
  <c r="D3617" i="5"/>
  <c r="D3616" i="5"/>
  <c r="D3615" i="5"/>
  <c r="D3614" i="5"/>
  <c r="D3613" i="5"/>
  <c r="D3612" i="5"/>
  <c r="D3611" i="5"/>
  <c r="D3610" i="5"/>
  <c r="D3609" i="5"/>
  <c r="D3608" i="5"/>
  <c r="D3607" i="5"/>
  <c r="D3606" i="5"/>
  <c r="D3605" i="5"/>
  <c r="D3604" i="5"/>
  <c r="D3603" i="5"/>
  <c r="D3602" i="5"/>
  <c r="D3601" i="5"/>
  <c r="D3600" i="5"/>
  <c r="D3599" i="5"/>
  <c r="D3598" i="5"/>
  <c r="D3597" i="5"/>
  <c r="D3596" i="5"/>
  <c r="D3595" i="5"/>
  <c r="D3594" i="5"/>
  <c r="D3593" i="5"/>
  <c r="D3592" i="5"/>
  <c r="D3591" i="5"/>
  <c r="D3590" i="5"/>
  <c r="D3589" i="5"/>
  <c r="D3588" i="5"/>
  <c r="D3587" i="5"/>
  <c r="D3586" i="5"/>
  <c r="D3585" i="5"/>
  <c r="D3584" i="5"/>
  <c r="D3583" i="5"/>
  <c r="D3582" i="5"/>
  <c r="D3581" i="5"/>
  <c r="D3580" i="5"/>
  <c r="D3579" i="5"/>
  <c r="D3578" i="5"/>
  <c r="D3577" i="5"/>
  <c r="D3576" i="5"/>
  <c r="D3575" i="5"/>
  <c r="D3574" i="5"/>
  <c r="D3573" i="5"/>
  <c r="D3572" i="5"/>
  <c r="D3571" i="5"/>
  <c r="D3570" i="5"/>
  <c r="D3569" i="5"/>
  <c r="D3568" i="5"/>
  <c r="D3567" i="5"/>
  <c r="D3566" i="5"/>
  <c r="D3565" i="5"/>
  <c r="D3564" i="5"/>
  <c r="D3563" i="5"/>
  <c r="D3562" i="5"/>
  <c r="D3561" i="5"/>
  <c r="D3560" i="5"/>
  <c r="D3559" i="5"/>
  <c r="D3558" i="5"/>
  <c r="D3557" i="5"/>
  <c r="D3556" i="5"/>
  <c r="D3555" i="5"/>
  <c r="D3554" i="5"/>
  <c r="D3553" i="5"/>
  <c r="D3552" i="5"/>
  <c r="D3551" i="5"/>
  <c r="D3550" i="5"/>
  <c r="D3549" i="5"/>
  <c r="D3548" i="5"/>
  <c r="D3547" i="5"/>
  <c r="D3546" i="5"/>
  <c r="D3545" i="5"/>
  <c r="D3544" i="5"/>
  <c r="D3543" i="5"/>
  <c r="D3542" i="5"/>
  <c r="D3541" i="5"/>
  <c r="D3540" i="5"/>
  <c r="D3539" i="5"/>
  <c r="D3538" i="5"/>
  <c r="D3537" i="5"/>
  <c r="D3536" i="5"/>
  <c r="D3535" i="5"/>
  <c r="D3534" i="5"/>
  <c r="D3533" i="5"/>
  <c r="D3532" i="5"/>
  <c r="D3531" i="5"/>
  <c r="D3530" i="5"/>
  <c r="D3529" i="5"/>
  <c r="D3528" i="5"/>
  <c r="D3527" i="5"/>
  <c r="D3526" i="5"/>
  <c r="D3525" i="5"/>
  <c r="D3524" i="5"/>
  <c r="D3523" i="5"/>
  <c r="D3522" i="5"/>
  <c r="D3521" i="5"/>
  <c r="D3520" i="5"/>
  <c r="D3519" i="5"/>
  <c r="D3518" i="5"/>
  <c r="D3517" i="5"/>
  <c r="D3516" i="5"/>
  <c r="D3515" i="5"/>
  <c r="D3514" i="5"/>
  <c r="D3513" i="5"/>
  <c r="D3512" i="5"/>
  <c r="D3511" i="5"/>
  <c r="D3510" i="5"/>
  <c r="D3509" i="5"/>
  <c r="D3508" i="5"/>
  <c r="D3507" i="5"/>
  <c r="D3506" i="5"/>
  <c r="D3505" i="5"/>
  <c r="D3504" i="5"/>
  <c r="D3503" i="5"/>
  <c r="D3502" i="5"/>
  <c r="D3501" i="5"/>
  <c r="D3500" i="5"/>
  <c r="D3499" i="5"/>
  <c r="D3498" i="5"/>
  <c r="D3497" i="5"/>
  <c r="D3496" i="5"/>
  <c r="D3495" i="5"/>
  <c r="D3494" i="5"/>
  <c r="D3493" i="5"/>
  <c r="D3492" i="5"/>
  <c r="D3491" i="5"/>
  <c r="D3490" i="5"/>
  <c r="D3489" i="5"/>
  <c r="D3488" i="5"/>
  <c r="D3487" i="5"/>
  <c r="D3486" i="5"/>
  <c r="D3485" i="5"/>
  <c r="D3484" i="5"/>
  <c r="D3483" i="5"/>
  <c r="D3482" i="5"/>
  <c r="D3481" i="5"/>
  <c r="D3480" i="5"/>
  <c r="D3479" i="5"/>
  <c r="D3478" i="5"/>
  <c r="D3477" i="5"/>
  <c r="D3476" i="5"/>
  <c r="D3475" i="5"/>
  <c r="D3474" i="5"/>
  <c r="D3473" i="5"/>
  <c r="D3472" i="5"/>
  <c r="D3471" i="5"/>
  <c r="D3470" i="5"/>
  <c r="D3469" i="5"/>
  <c r="D3468" i="5"/>
  <c r="D3467" i="5"/>
  <c r="D3466" i="5"/>
  <c r="D3465" i="5"/>
  <c r="D3464" i="5"/>
  <c r="D3463" i="5"/>
  <c r="D3462" i="5"/>
  <c r="D3461" i="5"/>
  <c r="D3460" i="5"/>
  <c r="D3459" i="5"/>
  <c r="D3458" i="5"/>
  <c r="D3457" i="5"/>
  <c r="D3456" i="5"/>
  <c r="D3455" i="5"/>
  <c r="D3454" i="5"/>
  <c r="D3453" i="5"/>
  <c r="D3452" i="5"/>
  <c r="D3451" i="5"/>
  <c r="D3450" i="5"/>
  <c r="D3449" i="5"/>
  <c r="D3448" i="5"/>
  <c r="D3447" i="5"/>
  <c r="D3446" i="5"/>
  <c r="D3445" i="5"/>
  <c r="D3444" i="5"/>
  <c r="D3443" i="5"/>
  <c r="D3442" i="5"/>
  <c r="D3441" i="5"/>
  <c r="D3440" i="5"/>
  <c r="D3439" i="5"/>
  <c r="D3438" i="5"/>
  <c r="D3437" i="5"/>
  <c r="D3436" i="5"/>
  <c r="D3435" i="5"/>
  <c r="D3434" i="5"/>
  <c r="D3433" i="5"/>
  <c r="D3432" i="5"/>
  <c r="D3431" i="5"/>
  <c r="D3430" i="5"/>
  <c r="D3429" i="5"/>
  <c r="D3428" i="5"/>
  <c r="D3427" i="5"/>
  <c r="D3426" i="5"/>
  <c r="D3425" i="5"/>
  <c r="D3424" i="5"/>
  <c r="D3423" i="5"/>
  <c r="D3422" i="5"/>
  <c r="D3421" i="5"/>
  <c r="D3420" i="5"/>
  <c r="D3419" i="5"/>
  <c r="D3418" i="5"/>
  <c r="D3417" i="5"/>
  <c r="D3416" i="5"/>
  <c r="D3415" i="5"/>
  <c r="D3414" i="5"/>
  <c r="D3413" i="5"/>
  <c r="D3412" i="5"/>
  <c r="D3411" i="5"/>
  <c r="D3410" i="5"/>
  <c r="D3409" i="5"/>
  <c r="D3408" i="5"/>
  <c r="D3407" i="5"/>
  <c r="D3406" i="5"/>
  <c r="D3405" i="5"/>
  <c r="D3404" i="5"/>
  <c r="D3403" i="5"/>
  <c r="D3402" i="5"/>
  <c r="D3401" i="5"/>
  <c r="D3400" i="5"/>
  <c r="D3399" i="5"/>
  <c r="D3398" i="5"/>
  <c r="D3397" i="5"/>
  <c r="D3396" i="5"/>
  <c r="D3395" i="5"/>
  <c r="D3394" i="5"/>
  <c r="D3393" i="5"/>
  <c r="D3392" i="5"/>
  <c r="D3391" i="5"/>
  <c r="D3390" i="5"/>
  <c r="D3389" i="5"/>
  <c r="D3388" i="5"/>
  <c r="D3387" i="5"/>
  <c r="D3386" i="5"/>
  <c r="D3385" i="5"/>
  <c r="D3384" i="5"/>
  <c r="D3383" i="5"/>
  <c r="D3382" i="5"/>
  <c r="D3381" i="5"/>
  <c r="D3380" i="5"/>
  <c r="D3379" i="5"/>
  <c r="D3378" i="5"/>
  <c r="D3377" i="5"/>
  <c r="D3376" i="5"/>
  <c r="D3375" i="5"/>
  <c r="D3374" i="5"/>
  <c r="D3373" i="5"/>
  <c r="D3372" i="5"/>
  <c r="D3371" i="5"/>
  <c r="D3370" i="5"/>
  <c r="D3369" i="5"/>
  <c r="D3368" i="5"/>
  <c r="D3367" i="5"/>
  <c r="D3366" i="5"/>
  <c r="D3365" i="5"/>
  <c r="D3364" i="5"/>
  <c r="D3363" i="5"/>
  <c r="D3362" i="5"/>
  <c r="D3361" i="5"/>
  <c r="D3360" i="5"/>
  <c r="D3359" i="5"/>
  <c r="D3358" i="5"/>
  <c r="D3357" i="5"/>
  <c r="D3356" i="5"/>
  <c r="D3355" i="5"/>
  <c r="D3354" i="5"/>
  <c r="D3353" i="5"/>
  <c r="D3352" i="5"/>
  <c r="D3351" i="5"/>
  <c r="D3350" i="5"/>
  <c r="D3349" i="5"/>
  <c r="D3348" i="5"/>
  <c r="D3347" i="5"/>
  <c r="D3346" i="5"/>
  <c r="D3345" i="5"/>
  <c r="D3344" i="5"/>
  <c r="D3343" i="5"/>
  <c r="D3342" i="5"/>
  <c r="D3341" i="5"/>
  <c r="D3340" i="5"/>
  <c r="D3339" i="5"/>
  <c r="D3338" i="5"/>
  <c r="D3337" i="5"/>
  <c r="D3336" i="5"/>
  <c r="D3335" i="5"/>
  <c r="D3334" i="5"/>
  <c r="D3333" i="5"/>
  <c r="D3332" i="5"/>
  <c r="D3331" i="5"/>
  <c r="D3330" i="5"/>
  <c r="D3329" i="5"/>
  <c r="D3328" i="5"/>
  <c r="D3327" i="5"/>
  <c r="D3326" i="5"/>
  <c r="D3325" i="5"/>
  <c r="D3324" i="5"/>
  <c r="D3323" i="5"/>
  <c r="D3322" i="5"/>
  <c r="D3321" i="5"/>
  <c r="D3320" i="5"/>
  <c r="D3319" i="5"/>
  <c r="D3318" i="5"/>
  <c r="D3317" i="5"/>
  <c r="D3316" i="5"/>
  <c r="D3315" i="5"/>
  <c r="D3314" i="5"/>
  <c r="D3313" i="5"/>
  <c r="D3312" i="5"/>
  <c r="D3311" i="5"/>
  <c r="D3310" i="5"/>
  <c r="D3309" i="5"/>
  <c r="D3308" i="5"/>
  <c r="D3307" i="5"/>
  <c r="D3306" i="5"/>
  <c r="D3305" i="5"/>
  <c r="D3304" i="5"/>
  <c r="D3303" i="5"/>
  <c r="D3302" i="5"/>
  <c r="D3301" i="5"/>
  <c r="D3300" i="5"/>
  <c r="D3299" i="5"/>
  <c r="D3298" i="5"/>
  <c r="D3297" i="5"/>
  <c r="D3296" i="5"/>
  <c r="D3295" i="5"/>
  <c r="D3294" i="5"/>
  <c r="D3293" i="5"/>
  <c r="D3292" i="5"/>
  <c r="D3291" i="5"/>
  <c r="D3290" i="5"/>
  <c r="D3289" i="5"/>
  <c r="D3288" i="5"/>
  <c r="D3287" i="5"/>
  <c r="D3286" i="5"/>
  <c r="D3285" i="5"/>
  <c r="D3284" i="5"/>
  <c r="D3283" i="5"/>
  <c r="D3282" i="5"/>
  <c r="D3281" i="5"/>
  <c r="D3280" i="5"/>
  <c r="D3279" i="5"/>
  <c r="D3278" i="5"/>
  <c r="D3277" i="5"/>
  <c r="D3276" i="5"/>
  <c r="D3275" i="5"/>
  <c r="D3274" i="5"/>
  <c r="D3273" i="5"/>
  <c r="D3272" i="5"/>
  <c r="D3271" i="5"/>
  <c r="D3270" i="5"/>
  <c r="D3269" i="5"/>
  <c r="D3268" i="5"/>
  <c r="D3267" i="5"/>
  <c r="D3266" i="5"/>
  <c r="D3265" i="5"/>
  <c r="D3264" i="5"/>
  <c r="D3263" i="5"/>
  <c r="D3262" i="5"/>
  <c r="D3261" i="5"/>
  <c r="D3260" i="5"/>
  <c r="D3259" i="5"/>
  <c r="D3258" i="5"/>
  <c r="D3257" i="5"/>
  <c r="D3256" i="5"/>
  <c r="D3255" i="5"/>
  <c r="D3254" i="5"/>
  <c r="D3253" i="5"/>
  <c r="D3252" i="5"/>
  <c r="D3251" i="5"/>
  <c r="D3250" i="5"/>
  <c r="D3249" i="5"/>
  <c r="D3248" i="5"/>
  <c r="D3247" i="5"/>
  <c r="D3246" i="5"/>
  <c r="D3245" i="5"/>
  <c r="D3244" i="5"/>
  <c r="D3243" i="5"/>
  <c r="D3242" i="5"/>
  <c r="D3241" i="5"/>
  <c r="D3240" i="5"/>
  <c r="D3239" i="5"/>
  <c r="D3238" i="5"/>
  <c r="D3237" i="5"/>
  <c r="D3236" i="5"/>
  <c r="D3235" i="5"/>
  <c r="D3234" i="5"/>
  <c r="D3233" i="5"/>
  <c r="D3232" i="5"/>
  <c r="D3231" i="5"/>
  <c r="D3230" i="5"/>
  <c r="D3229" i="5"/>
  <c r="D3228" i="5"/>
  <c r="D3227" i="5"/>
  <c r="D3226" i="5"/>
  <c r="D3225" i="5"/>
  <c r="D3224" i="5"/>
  <c r="D3223" i="5"/>
  <c r="D3222" i="5"/>
  <c r="D3221" i="5"/>
  <c r="D3220" i="5"/>
  <c r="D3219" i="5"/>
  <c r="D3218" i="5"/>
  <c r="D3217" i="5"/>
  <c r="D3216" i="5"/>
  <c r="D3215" i="5"/>
  <c r="D3214" i="5"/>
  <c r="D3213" i="5"/>
  <c r="D3212" i="5"/>
  <c r="D3211" i="5"/>
  <c r="D3210" i="5"/>
  <c r="D3209" i="5"/>
  <c r="D3208" i="5"/>
  <c r="D3207" i="5"/>
  <c r="D3206" i="5"/>
  <c r="D3205" i="5"/>
  <c r="D3204" i="5"/>
  <c r="D3203" i="5"/>
  <c r="D3202" i="5"/>
  <c r="D3201" i="5"/>
  <c r="D3200" i="5"/>
  <c r="D3199" i="5"/>
  <c r="D3198" i="5"/>
  <c r="D3197" i="5"/>
  <c r="D3196" i="5"/>
  <c r="D3195" i="5"/>
  <c r="D3194" i="5"/>
  <c r="D3193" i="5"/>
  <c r="D3192" i="5"/>
  <c r="D3191" i="5"/>
  <c r="D3190" i="5"/>
  <c r="D3189" i="5"/>
  <c r="D3188" i="5"/>
  <c r="D3187" i="5"/>
  <c r="D3186" i="5"/>
  <c r="D3185" i="5"/>
  <c r="D3184" i="5"/>
  <c r="D3183" i="5"/>
  <c r="D3182" i="5"/>
  <c r="D3181" i="5"/>
  <c r="D3180" i="5"/>
  <c r="D3179" i="5"/>
  <c r="D3178" i="5"/>
  <c r="D3177" i="5"/>
  <c r="D3176" i="5"/>
  <c r="D3175" i="5"/>
  <c r="D3174" i="5"/>
  <c r="D3173" i="5"/>
  <c r="D3172" i="5"/>
  <c r="D3171" i="5"/>
  <c r="D3170" i="5"/>
  <c r="D3169" i="5"/>
  <c r="D3168" i="5"/>
  <c r="D3167" i="5"/>
  <c r="D3166" i="5"/>
  <c r="D3165" i="5"/>
  <c r="D3164" i="5"/>
  <c r="D3163" i="5"/>
  <c r="D3162" i="5"/>
  <c r="D3161" i="5"/>
  <c r="D3160" i="5"/>
  <c r="D3159" i="5"/>
  <c r="D3158" i="5"/>
  <c r="D3157" i="5"/>
  <c r="D3156" i="5"/>
  <c r="D3155" i="5"/>
  <c r="D3154" i="5"/>
  <c r="D3153" i="5"/>
  <c r="D3152" i="5"/>
  <c r="D3151" i="5"/>
  <c r="D3150" i="5"/>
  <c r="D3149" i="5"/>
  <c r="D3148" i="5"/>
  <c r="D3147" i="5"/>
  <c r="D3146" i="5"/>
  <c r="D3145" i="5"/>
  <c r="D3144" i="5"/>
  <c r="D3143" i="5"/>
  <c r="D3142" i="5"/>
  <c r="D3141" i="5"/>
  <c r="D3140" i="5"/>
  <c r="D3139" i="5"/>
  <c r="D3138" i="5"/>
  <c r="D3137" i="5"/>
  <c r="D3136" i="5"/>
  <c r="D3135" i="5"/>
  <c r="D3134" i="5"/>
  <c r="D3133" i="5"/>
  <c r="D3132" i="5"/>
  <c r="D3131" i="5"/>
  <c r="D3130" i="5"/>
  <c r="D3129" i="5"/>
  <c r="D3128" i="5"/>
  <c r="D3127" i="5"/>
  <c r="D3126" i="5"/>
  <c r="D3125" i="5"/>
  <c r="D3124" i="5"/>
  <c r="D3123" i="5"/>
  <c r="D3122" i="5"/>
  <c r="D3121" i="5"/>
  <c r="D3120" i="5"/>
  <c r="D3119" i="5"/>
  <c r="D3118" i="5"/>
  <c r="D3117" i="5"/>
  <c r="D3116" i="5"/>
  <c r="D3115" i="5"/>
  <c r="D3114" i="5"/>
  <c r="D3113" i="5"/>
  <c r="D3112" i="5"/>
  <c r="D3111" i="5"/>
  <c r="D3110" i="5"/>
  <c r="D3109" i="5"/>
  <c r="D3108" i="5"/>
  <c r="D3107" i="5"/>
  <c r="D3106" i="5"/>
  <c r="D3105" i="5"/>
  <c r="D3104" i="5"/>
  <c r="D3103" i="5"/>
  <c r="D3102" i="5"/>
  <c r="D3101" i="5"/>
  <c r="D3100" i="5"/>
  <c r="D3099" i="5"/>
  <c r="D3098" i="5"/>
  <c r="D3097" i="5"/>
  <c r="D3096" i="5"/>
  <c r="D3095" i="5"/>
  <c r="D3094" i="5"/>
  <c r="D3093" i="5"/>
  <c r="D3092" i="5"/>
  <c r="D3091" i="5"/>
  <c r="D3090" i="5"/>
  <c r="D3089" i="5"/>
  <c r="D3088" i="5"/>
  <c r="D3087" i="5"/>
  <c r="D3086" i="5"/>
  <c r="D3085" i="5"/>
  <c r="D3084" i="5"/>
  <c r="D3083" i="5"/>
  <c r="D3082" i="5"/>
  <c r="D3081" i="5"/>
  <c r="D3080" i="5"/>
  <c r="D3079" i="5"/>
  <c r="D3078" i="5"/>
  <c r="D3077" i="5"/>
  <c r="D3076" i="5"/>
  <c r="D3075" i="5"/>
  <c r="D3074" i="5"/>
  <c r="D3073" i="5"/>
  <c r="D3072" i="5"/>
  <c r="D3071" i="5"/>
  <c r="D3070" i="5"/>
  <c r="D3069" i="5"/>
  <c r="D3068" i="5"/>
  <c r="D3067" i="5"/>
  <c r="D3066" i="5"/>
  <c r="D3065" i="5"/>
  <c r="D3064" i="5"/>
  <c r="D3063" i="5"/>
  <c r="D3062" i="5"/>
  <c r="D3061" i="5"/>
  <c r="D3060" i="5"/>
  <c r="D3059" i="5"/>
  <c r="D3058" i="5"/>
  <c r="D3057" i="5"/>
  <c r="D3056" i="5"/>
  <c r="D3055" i="5"/>
  <c r="D3054" i="5"/>
  <c r="D3053" i="5"/>
  <c r="D3052" i="5"/>
  <c r="D3051" i="5"/>
  <c r="D3050" i="5"/>
  <c r="D3049" i="5"/>
  <c r="D3048" i="5"/>
  <c r="D3047" i="5"/>
  <c r="D3046" i="5"/>
  <c r="D3045" i="5"/>
  <c r="D3044" i="5"/>
  <c r="D3043" i="5"/>
  <c r="D3042" i="5"/>
  <c r="D3041" i="5"/>
  <c r="D3040" i="5"/>
  <c r="D3039" i="5"/>
  <c r="D3038" i="5"/>
  <c r="D3037" i="5"/>
  <c r="D3036" i="5"/>
  <c r="D3035" i="5"/>
  <c r="D3034" i="5"/>
  <c r="D3033" i="5"/>
  <c r="D3032" i="5"/>
  <c r="D3031" i="5"/>
  <c r="D3030" i="5"/>
  <c r="D3029" i="5"/>
  <c r="D3028" i="5"/>
  <c r="D3027" i="5"/>
  <c r="D3026" i="5"/>
  <c r="D3025" i="5"/>
  <c r="D3024" i="5"/>
  <c r="D3023" i="5"/>
  <c r="D3022" i="5"/>
  <c r="D3021" i="5"/>
  <c r="D3020" i="5"/>
  <c r="D3019" i="5"/>
  <c r="D3018" i="5"/>
  <c r="D3017" i="5"/>
  <c r="D3016" i="5"/>
  <c r="D3015" i="5"/>
  <c r="D3014" i="5"/>
  <c r="D3013" i="5"/>
  <c r="D3012" i="5"/>
  <c r="D3011" i="5"/>
  <c r="D3010" i="5"/>
  <c r="D3009" i="5"/>
  <c r="D3008" i="5"/>
  <c r="D3007" i="5"/>
  <c r="D3006" i="5"/>
  <c r="D3005" i="5"/>
  <c r="D3004" i="5"/>
  <c r="D3003" i="5"/>
  <c r="D3002" i="5"/>
  <c r="D3001" i="5"/>
  <c r="D3000" i="5"/>
  <c r="D2999" i="5"/>
  <c r="D2998" i="5"/>
  <c r="D2997" i="5"/>
  <c r="D2996" i="5"/>
  <c r="D2995" i="5"/>
  <c r="D2994" i="5"/>
  <c r="D2993" i="5"/>
  <c r="D2992" i="5"/>
  <c r="D2991" i="5"/>
  <c r="D2990" i="5"/>
  <c r="D2989" i="5"/>
  <c r="D2988" i="5"/>
  <c r="D2987" i="5"/>
  <c r="D2986" i="5"/>
  <c r="D2985" i="5"/>
  <c r="D2984" i="5"/>
  <c r="D2983" i="5"/>
  <c r="D2982" i="5"/>
  <c r="D2981" i="5"/>
  <c r="D2980" i="5"/>
  <c r="D2979" i="5"/>
  <c r="D2978" i="5"/>
  <c r="D2977" i="5"/>
  <c r="D2976" i="5"/>
  <c r="D2975" i="5"/>
  <c r="D2974" i="5"/>
  <c r="D2973" i="5"/>
  <c r="D2972" i="5"/>
  <c r="D2971" i="5"/>
  <c r="D2970" i="5"/>
  <c r="D2969" i="5"/>
  <c r="D2968" i="5"/>
  <c r="D2967" i="5"/>
  <c r="D2966" i="5"/>
  <c r="D2965" i="5"/>
  <c r="D2964" i="5"/>
  <c r="D2963" i="5"/>
  <c r="D2962" i="5"/>
  <c r="D2961" i="5"/>
  <c r="D2960" i="5"/>
  <c r="D2959" i="5"/>
  <c r="D2958" i="5"/>
  <c r="D2957" i="5"/>
  <c r="D2956" i="5"/>
  <c r="D2955" i="5"/>
  <c r="D2954" i="5"/>
  <c r="D2953" i="5"/>
  <c r="D2952" i="5"/>
  <c r="D2951" i="5"/>
  <c r="D2950" i="5"/>
  <c r="D2949" i="5"/>
  <c r="D2948" i="5"/>
  <c r="D2947" i="5"/>
  <c r="D2946" i="5"/>
  <c r="D2945" i="5"/>
  <c r="D2944" i="5"/>
  <c r="D2943" i="5"/>
  <c r="D2942" i="5"/>
  <c r="D2941" i="5"/>
  <c r="D2940" i="5"/>
  <c r="D2939" i="5"/>
  <c r="D2938" i="5"/>
  <c r="D2937" i="5"/>
  <c r="D2936" i="5"/>
  <c r="D2935" i="5"/>
  <c r="D2934" i="5"/>
  <c r="D2933" i="5"/>
  <c r="D2932" i="5"/>
  <c r="D2931" i="5"/>
  <c r="D2930" i="5"/>
  <c r="D2929" i="5"/>
  <c r="D2928" i="5"/>
  <c r="D2927" i="5"/>
  <c r="D2926" i="5"/>
  <c r="D2925" i="5"/>
  <c r="D2924" i="5"/>
  <c r="D2923" i="5"/>
  <c r="D2922" i="5"/>
  <c r="D2921" i="5"/>
  <c r="D2920" i="5"/>
  <c r="D2919" i="5"/>
  <c r="D2918" i="5"/>
  <c r="D2917" i="5"/>
  <c r="D2916" i="5"/>
  <c r="D2915" i="5"/>
  <c r="D2914" i="5"/>
  <c r="D2913" i="5"/>
  <c r="D2912" i="5"/>
  <c r="D2911" i="5"/>
  <c r="D2910" i="5"/>
  <c r="D2909" i="5"/>
  <c r="D2908" i="5"/>
  <c r="D2907" i="5"/>
  <c r="D2906" i="5"/>
  <c r="D2905" i="5"/>
  <c r="D2904" i="5"/>
  <c r="D2903" i="5"/>
  <c r="D2902" i="5"/>
  <c r="D2901" i="5"/>
  <c r="D2900" i="5"/>
  <c r="D2899" i="5"/>
  <c r="D2898" i="5"/>
  <c r="D2897" i="5"/>
  <c r="D2896" i="5"/>
  <c r="D2895" i="5"/>
  <c r="D2894" i="5"/>
  <c r="D2893" i="5"/>
  <c r="D2892" i="5"/>
  <c r="D2891" i="5"/>
  <c r="D2890" i="5"/>
  <c r="D2889" i="5"/>
  <c r="D2888" i="5"/>
  <c r="D2887" i="5"/>
  <c r="D2886" i="5"/>
  <c r="D2885" i="5"/>
  <c r="D2884" i="5"/>
  <c r="D2883" i="5"/>
  <c r="D2882" i="5"/>
  <c r="D2881" i="5"/>
  <c r="D2880" i="5"/>
  <c r="D2879" i="5"/>
  <c r="D2878" i="5"/>
  <c r="D2877" i="5"/>
  <c r="D2876" i="5"/>
  <c r="D2875" i="5"/>
  <c r="D2874" i="5"/>
  <c r="D2873" i="5"/>
  <c r="D2872" i="5"/>
  <c r="D2871" i="5"/>
  <c r="D2870" i="5"/>
  <c r="D2869" i="5"/>
  <c r="D2868" i="5"/>
  <c r="D2867" i="5"/>
  <c r="D2866" i="5"/>
  <c r="D2865" i="5"/>
  <c r="D2864" i="5"/>
  <c r="D2863" i="5"/>
  <c r="D2861" i="5"/>
  <c r="D2860" i="5"/>
  <c r="D2859" i="5"/>
  <c r="D2858" i="5"/>
  <c r="D2857" i="5"/>
  <c r="D2856" i="5"/>
  <c r="D2855" i="5"/>
  <c r="D2854" i="5"/>
  <c r="D2853" i="5"/>
  <c r="D2852" i="5"/>
  <c r="D2851" i="5"/>
  <c r="D2850" i="5"/>
  <c r="D2849" i="5"/>
  <c r="D2848" i="5"/>
  <c r="D2847" i="5"/>
  <c r="D2846" i="5"/>
  <c r="D2845" i="5"/>
  <c r="D2844" i="5"/>
  <c r="D2843" i="5"/>
  <c r="D2842" i="5"/>
  <c r="D2841" i="5"/>
  <c r="D2840" i="5"/>
  <c r="D2839" i="5"/>
  <c r="D2838" i="5"/>
  <c r="D2837" i="5"/>
  <c r="D2836" i="5"/>
  <c r="D2835" i="5"/>
  <c r="D2834" i="5"/>
  <c r="D2833" i="5"/>
  <c r="D2832" i="5"/>
  <c r="D2831" i="5"/>
  <c r="D2830" i="5"/>
  <c r="D2829" i="5"/>
  <c r="D2828" i="5"/>
  <c r="D2827" i="5"/>
  <c r="D2826" i="5"/>
  <c r="D2825" i="5"/>
  <c r="D2824" i="5"/>
  <c r="D2823" i="5"/>
  <c r="D2822" i="5"/>
  <c r="D2821" i="5"/>
  <c r="D2820" i="5"/>
  <c r="D2819" i="5"/>
  <c r="D2818" i="5"/>
  <c r="D2817" i="5"/>
  <c r="D2816" i="5"/>
  <c r="D2815" i="5"/>
  <c r="D2814" i="5"/>
  <c r="D2813" i="5"/>
  <c r="D2812" i="5"/>
  <c r="D2811" i="5"/>
  <c r="D2810" i="5"/>
  <c r="D2809" i="5"/>
  <c r="D2808" i="5"/>
  <c r="D2807" i="5"/>
  <c r="D2806" i="5"/>
  <c r="D2805" i="5"/>
  <c r="D2804" i="5"/>
  <c r="D2803" i="5"/>
  <c r="D2802" i="5"/>
  <c r="D2801" i="5"/>
  <c r="D2800" i="5"/>
  <c r="D2799" i="5"/>
  <c r="D2798" i="5"/>
  <c r="D2797" i="5"/>
  <c r="D2796" i="5"/>
  <c r="D2795" i="5"/>
  <c r="D2794" i="5"/>
  <c r="D2793" i="5"/>
  <c r="D2792" i="5"/>
  <c r="D2791" i="5"/>
  <c r="D2790" i="5"/>
  <c r="D2789" i="5"/>
  <c r="D2788" i="5"/>
  <c r="D2787" i="5"/>
  <c r="D2786" i="5"/>
  <c r="D2785" i="5"/>
  <c r="D2784" i="5"/>
  <c r="D2783" i="5"/>
  <c r="D2782" i="5"/>
  <c r="D2781" i="5"/>
  <c r="D2780" i="5"/>
  <c r="D2779" i="5"/>
  <c r="D2778" i="5"/>
  <c r="D2777" i="5"/>
  <c r="D2776" i="5"/>
  <c r="D2775" i="5"/>
  <c r="D2774" i="5"/>
  <c r="D2772" i="5"/>
  <c r="D2771" i="5"/>
  <c r="D2770" i="5"/>
  <c r="D2769" i="5"/>
  <c r="D2768" i="5"/>
  <c r="D2767" i="5"/>
  <c r="D2766" i="5"/>
  <c r="D2765" i="5"/>
  <c r="D2764" i="5"/>
  <c r="D2763" i="5"/>
  <c r="D2762" i="5"/>
  <c r="D2761" i="5"/>
  <c r="D2760" i="5"/>
  <c r="D2759" i="5"/>
  <c r="D2758" i="5"/>
  <c r="D2757" i="5"/>
  <c r="D2756" i="5"/>
  <c r="D2755" i="5"/>
  <c r="D2754" i="5"/>
  <c r="D2753" i="5"/>
  <c r="D2752" i="5"/>
  <c r="D2751" i="5"/>
  <c r="D2750" i="5"/>
  <c r="D2749" i="5"/>
  <c r="D2748" i="5"/>
  <c r="D2747" i="5"/>
  <c r="D2746" i="5"/>
  <c r="D2745" i="5"/>
  <c r="D2744" i="5"/>
  <c r="D2743" i="5"/>
  <c r="D2741" i="5"/>
  <c r="D2740" i="5"/>
  <c r="D2739" i="5"/>
  <c r="D2738" i="5"/>
  <c r="D2737" i="5"/>
  <c r="D2736" i="5"/>
  <c r="D2735" i="5"/>
  <c r="D2734" i="5"/>
  <c r="D2733" i="5"/>
  <c r="D2732" i="5"/>
  <c r="D2731" i="5"/>
  <c r="D2730" i="5"/>
  <c r="D2729" i="5"/>
  <c r="D2728" i="5"/>
  <c r="D2727" i="5"/>
  <c r="D2726" i="5"/>
  <c r="D2725" i="5"/>
  <c r="D2724" i="5"/>
  <c r="D2723" i="5"/>
  <c r="D2722" i="5"/>
  <c r="D2721" i="5"/>
  <c r="D2720" i="5"/>
  <c r="D2719" i="5"/>
  <c r="D2718" i="5"/>
  <c r="D2717" i="5"/>
  <c r="D2716" i="5"/>
  <c r="D2715" i="5"/>
  <c r="D2714" i="5"/>
  <c r="D2713" i="5"/>
  <c r="D2712" i="5"/>
  <c r="D2711" i="5"/>
  <c r="D2710" i="5"/>
  <c r="D2709" i="5"/>
  <c r="D2708" i="5"/>
  <c r="D2707" i="5"/>
  <c r="D2706" i="5"/>
  <c r="D2705" i="5"/>
  <c r="D2704" i="5"/>
  <c r="D2703" i="5"/>
  <c r="D2702" i="5"/>
  <c r="D2701" i="5"/>
  <c r="D2700" i="5"/>
  <c r="D2699" i="5"/>
  <c r="D2698" i="5"/>
  <c r="D2697" i="5"/>
  <c r="D2696" i="5"/>
  <c r="D2695" i="5"/>
  <c r="D2694" i="5"/>
  <c r="D2693" i="5"/>
  <c r="D2692" i="5"/>
  <c r="D2691" i="5"/>
  <c r="D2690" i="5"/>
  <c r="D2689" i="5"/>
  <c r="D2688" i="5"/>
  <c r="D2687" i="5"/>
  <c r="D2686" i="5"/>
  <c r="D2685" i="5"/>
  <c r="D2684" i="5"/>
  <c r="D2683" i="5"/>
  <c r="D2682" i="5"/>
  <c r="D2681" i="5"/>
  <c r="D2680" i="5"/>
  <c r="D2679" i="5"/>
  <c r="D2678" i="5"/>
  <c r="D2677" i="5"/>
  <c r="D2676" i="5"/>
  <c r="D2675" i="5"/>
  <c r="D2674" i="5"/>
  <c r="D2673" i="5"/>
  <c r="D2672" i="5"/>
  <c r="D2671" i="5"/>
  <c r="D2670" i="5"/>
  <c r="D2669" i="5"/>
  <c r="D2668" i="5"/>
  <c r="D2667" i="5"/>
  <c r="D2666" i="5"/>
  <c r="D2665" i="5"/>
  <c r="D2664" i="5"/>
  <c r="D2663" i="5"/>
  <c r="D2662" i="5"/>
  <c r="D2661" i="5"/>
  <c r="D2660" i="5"/>
  <c r="D2659" i="5"/>
  <c r="D2658" i="5"/>
  <c r="D2657" i="5"/>
  <c r="D2656" i="5"/>
  <c r="D2654" i="5"/>
  <c r="D2653" i="5"/>
  <c r="D2652" i="5"/>
  <c r="D2651" i="5"/>
  <c r="D2650" i="5"/>
  <c r="D2649" i="5"/>
  <c r="D2648" i="5"/>
  <c r="D2647" i="5"/>
  <c r="D2646" i="5"/>
  <c r="D2645" i="5"/>
  <c r="D2644" i="5"/>
  <c r="D2643" i="5"/>
  <c r="D2642" i="5"/>
  <c r="D2641" i="5"/>
  <c r="D2640" i="5"/>
  <c r="D2639" i="5"/>
  <c r="D2638" i="5"/>
  <c r="D2637" i="5"/>
  <c r="D2636" i="5"/>
  <c r="D2635" i="5"/>
  <c r="D2634" i="5"/>
  <c r="D2633" i="5"/>
  <c r="D2632" i="5"/>
  <c r="D2631" i="5"/>
  <c r="D2630" i="5"/>
  <c r="D2629" i="5"/>
  <c r="D2628" i="5"/>
  <c r="D2627" i="5"/>
  <c r="D2626" i="5"/>
  <c r="D2625" i="5"/>
  <c r="D2624" i="5"/>
  <c r="D2623" i="5"/>
  <c r="D2622" i="5"/>
  <c r="D2621" i="5"/>
  <c r="D2620" i="5"/>
  <c r="D2619" i="5"/>
  <c r="D2618" i="5"/>
  <c r="D2617" i="5"/>
  <c r="D2616" i="5"/>
  <c r="D2615" i="5"/>
  <c r="D2614" i="5"/>
  <c r="D2613" i="5"/>
  <c r="D2612" i="5"/>
  <c r="D2611" i="5"/>
  <c r="D2610" i="5"/>
  <c r="D2609" i="5"/>
  <c r="D2608" i="5"/>
  <c r="D2607" i="5"/>
  <c r="D2606" i="5"/>
  <c r="D2605" i="5"/>
  <c r="D2604" i="5"/>
  <c r="D2603" i="5"/>
  <c r="D2602" i="5"/>
  <c r="D2601" i="5"/>
  <c r="D2600" i="5"/>
  <c r="D2599" i="5"/>
  <c r="D2598" i="5"/>
  <c r="D2597" i="5"/>
  <c r="D2596" i="5"/>
  <c r="D2595" i="5"/>
  <c r="D2594" i="5"/>
  <c r="D2593" i="5"/>
  <c r="D2592" i="5"/>
  <c r="D2591" i="5"/>
  <c r="D2590" i="5"/>
  <c r="D2589" i="5"/>
  <c r="D2588" i="5"/>
  <c r="D2587" i="5"/>
  <c r="D2586" i="5"/>
  <c r="D2585" i="5"/>
  <c r="D2584" i="5"/>
  <c r="D2583" i="5"/>
  <c r="D2582" i="5"/>
  <c r="D2581" i="5"/>
  <c r="D2580" i="5"/>
  <c r="D2579" i="5"/>
  <c r="D2578" i="5"/>
  <c r="D2577" i="5"/>
  <c r="D2576" i="5"/>
  <c r="D2575" i="5"/>
  <c r="D2574" i="5"/>
  <c r="D2573" i="5"/>
  <c r="D2572" i="5"/>
  <c r="D2571" i="5"/>
  <c r="D2570" i="5"/>
  <c r="D2569" i="5"/>
  <c r="D2568" i="5"/>
  <c r="D2567" i="5"/>
  <c r="D2566" i="5"/>
  <c r="D2565" i="5"/>
  <c r="D2564" i="5"/>
  <c r="D2563" i="5"/>
  <c r="D2562" i="5"/>
  <c r="D2561" i="5"/>
  <c r="D2560" i="5"/>
  <c r="D2559" i="5"/>
  <c r="D2558" i="5"/>
  <c r="D2557" i="5"/>
  <c r="D2555" i="5"/>
  <c r="D2554" i="5"/>
  <c r="D2553" i="5"/>
  <c r="D2552" i="5"/>
  <c r="D2551" i="5"/>
  <c r="D2550" i="5"/>
  <c r="D2549" i="5"/>
  <c r="D2548" i="5"/>
  <c r="D2547" i="5"/>
  <c r="D2546" i="5"/>
  <c r="D2545" i="5"/>
  <c r="D2544" i="5"/>
  <c r="D2543" i="5"/>
  <c r="D2542" i="5"/>
  <c r="D2541" i="5"/>
  <c r="D2540" i="5"/>
  <c r="D2539" i="5"/>
  <c r="D2538" i="5"/>
  <c r="D2537" i="5"/>
  <c r="D2536" i="5"/>
  <c r="D2535" i="5"/>
  <c r="D2534" i="5"/>
  <c r="D2533" i="5"/>
  <c r="D2532" i="5"/>
  <c r="D2531" i="5"/>
  <c r="D2530" i="5"/>
  <c r="D2529" i="5"/>
  <c r="D2528" i="5"/>
  <c r="D2527" i="5"/>
  <c r="D2526" i="5"/>
  <c r="D2525" i="5"/>
  <c r="D2524" i="5"/>
  <c r="D2523" i="5"/>
  <c r="D2522" i="5"/>
  <c r="D2521" i="5"/>
  <c r="D2520" i="5"/>
  <c r="D2519" i="5"/>
  <c r="D2518" i="5"/>
  <c r="D2517" i="5"/>
  <c r="D2516" i="5"/>
  <c r="D2515" i="5"/>
  <c r="D2514" i="5"/>
  <c r="D2513" i="5"/>
  <c r="D2512" i="5"/>
  <c r="D2511" i="5"/>
  <c r="D2510" i="5"/>
  <c r="D2509" i="5"/>
  <c r="D2508" i="5"/>
  <c r="D2507" i="5"/>
  <c r="D2506" i="5"/>
  <c r="D2505" i="5"/>
  <c r="D2504" i="5"/>
  <c r="D2503" i="5"/>
  <c r="D2502" i="5"/>
  <c r="D2501" i="5"/>
  <c r="D2500" i="5"/>
  <c r="D2499" i="5"/>
  <c r="D2498" i="5"/>
  <c r="D2497" i="5"/>
  <c r="D2496" i="5"/>
  <c r="D2495" i="5"/>
  <c r="D2494" i="5"/>
  <c r="D2493" i="5"/>
  <c r="D2492" i="5"/>
  <c r="D2491" i="5"/>
  <c r="D2490" i="5"/>
  <c r="D2489" i="5"/>
  <c r="D2488" i="5"/>
  <c r="D2487" i="5"/>
  <c r="D2486" i="5"/>
  <c r="D2485" i="5"/>
  <c r="D2484" i="5"/>
  <c r="D2483" i="5"/>
  <c r="D2482" i="5"/>
  <c r="D2481" i="5"/>
  <c r="D2480" i="5"/>
  <c r="D2479" i="5"/>
  <c r="D2478" i="5"/>
  <c r="D2477" i="5"/>
  <c r="D2476" i="5"/>
  <c r="D2475" i="5"/>
  <c r="D2474" i="5"/>
  <c r="D2473" i="5"/>
  <c r="D2472" i="5"/>
  <c r="D2471" i="5"/>
  <c r="D2470" i="5"/>
  <c r="D2469" i="5"/>
  <c r="D2468" i="5"/>
  <c r="D2467" i="5"/>
  <c r="D2466" i="5"/>
  <c r="D2465" i="5"/>
  <c r="D2464" i="5"/>
  <c r="D2463" i="5"/>
  <c r="D2462" i="5"/>
  <c r="D2461" i="5"/>
  <c r="D2460" i="5"/>
  <c r="D2459" i="5"/>
  <c r="D2457" i="5"/>
  <c r="D2456" i="5"/>
  <c r="D2455" i="5"/>
  <c r="D2454" i="5"/>
  <c r="D2453" i="5"/>
  <c r="D2452" i="5"/>
  <c r="D2451" i="5"/>
  <c r="D2450" i="5"/>
  <c r="D2449" i="5"/>
  <c r="D2448" i="5"/>
  <c r="D2447" i="5"/>
  <c r="D2446" i="5"/>
  <c r="D2445" i="5"/>
  <c r="D2444" i="5"/>
  <c r="D2443" i="5"/>
  <c r="D2442" i="5"/>
  <c r="D2441" i="5"/>
  <c r="D2440" i="5"/>
  <c r="D2439" i="5"/>
  <c r="D2438" i="5"/>
  <c r="D2437" i="5"/>
  <c r="D2436" i="5"/>
  <c r="D2435" i="5"/>
  <c r="D2434" i="5"/>
  <c r="D2433" i="5"/>
  <c r="D2432" i="5"/>
  <c r="D2431" i="5"/>
  <c r="D2430" i="5"/>
  <c r="D2429" i="5"/>
  <c r="D2428" i="5"/>
  <c r="D2427" i="5"/>
  <c r="D2426" i="5"/>
  <c r="D2425" i="5"/>
  <c r="D2424" i="5"/>
  <c r="D2423" i="5"/>
  <c r="D2422" i="5"/>
  <c r="D2421" i="5"/>
  <c r="D2420" i="5"/>
  <c r="D2419" i="5"/>
  <c r="D2418" i="5"/>
  <c r="D2417" i="5"/>
  <c r="D2416" i="5"/>
  <c r="D2415" i="5"/>
  <c r="D2414" i="5"/>
  <c r="D2413" i="5"/>
  <c r="D2412" i="5"/>
  <c r="D2411" i="5"/>
  <c r="D2410" i="5"/>
  <c r="D2409" i="5"/>
  <c r="D2407" i="5"/>
  <c r="D2406" i="5"/>
  <c r="D2405" i="5"/>
  <c r="D2404" i="5"/>
  <c r="D2403" i="5"/>
  <c r="D2402" i="5"/>
  <c r="D2401" i="5"/>
  <c r="D2400" i="5"/>
  <c r="D2399" i="5"/>
  <c r="D2398" i="5"/>
  <c r="D2397" i="5"/>
  <c r="D2396" i="5"/>
  <c r="D2395" i="5"/>
  <c r="D2394" i="5"/>
  <c r="D2393" i="5"/>
  <c r="D2392" i="5"/>
  <c r="D2391" i="5"/>
  <c r="D2390" i="5"/>
  <c r="D2389" i="5"/>
  <c r="D2388" i="5"/>
  <c r="D2387" i="5"/>
  <c r="D2386" i="5"/>
  <c r="D2385" i="5"/>
  <c r="D2384" i="5"/>
  <c r="D2383" i="5"/>
  <c r="D2382" i="5"/>
  <c r="D2381" i="5"/>
  <c r="D2380" i="5"/>
  <c r="D2379" i="5"/>
  <c r="D2378" i="5"/>
  <c r="D2377" i="5"/>
  <c r="D2376" i="5"/>
  <c r="D2375" i="5"/>
  <c r="D2374" i="5"/>
  <c r="D2373" i="5"/>
  <c r="D2372" i="5"/>
  <c r="D2371" i="5"/>
  <c r="D2370" i="5"/>
  <c r="D2368" i="5"/>
  <c r="D2367" i="5"/>
  <c r="D2366" i="5"/>
  <c r="D2365" i="5"/>
  <c r="D2364" i="5"/>
  <c r="D2363" i="5"/>
  <c r="D2362" i="5"/>
  <c r="D2361" i="5"/>
  <c r="D2360" i="5"/>
  <c r="D2359" i="5"/>
  <c r="D2358" i="5"/>
  <c r="D2357" i="5"/>
  <c r="D2356" i="5"/>
  <c r="D2355" i="5"/>
  <c r="D2354" i="5"/>
  <c r="D2353" i="5"/>
  <c r="D2352" i="5"/>
  <c r="D2351" i="5"/>
  <c r="D2350" i="5"/>
  <c r="D2349" i="5"/>
  <c r="D2348" i="5"/>
  <c r="D2347" i="5"/>
  <c r="D2346" i="5"/>
  <c r="D2345" i="5"/>
  <c r="D2344" i="5"/>
  <c r="D2343" i="5"/>
  <c r="D2342" i="5"/>
  <c r="D2341" i="5"/>
  <c r="D2340" i="5"/>
  <c r="D2339" i="5"/>
  <c r="D2338" i="5"/>
  <c r="D2337" i="5"/>
  <c r="D2336" i="5"/>
  <c r="D2335" i="5"/>
  <c r="D2334" i="5"/>
  <c r="D2333" i="5"/>
  <c r="D2332" i="5"/>
  <c r="D2331" i="5"/>
  <c r="D2330" i="5"/>
  <c r="D2329" i="5"/>
  <c r="D2328" i="5"/>
  <c r="D2327" i="5"/>
  <c r="D2326" i="5"/>
  <c r="D2325" i="5"/>
  <c r="D2324" i="5"/>
  <c r="D2323" i="5"/>
  <c r="D2322" i="5"/>
  <c r="D2321" i="5"/>
  <c r="D2320" i="5"/>
  <c r="D2319" i="5"/>
  <c r="D2318" i="5"/>
  <c r="D2317" i="5"/>
  <c r="D2316" i="5"/>
  <c r="D2315" i="5"/>
  <c r="D2314" i="5"/>
  <c r="D2313" i="5"/>
  <c r="D2312" i="5"/>
  <c r="D2311" i="5"/>
  <c r="D2309" i="5"/>
  <c r="D2308" i="5"/>
  <c r="D2307" i="5"/>
  <c r="D2306" i="5"/>
  <c r="D2305" i="5"/>
  <c r="D2304" i="5"/>
  <c r="D2303" i="5"/>
  <c r="D2302" i="5"/>
  <c r="D2301" i="5"/>
  <c r="D2300" i="5"/>
  <c r="D2299" i="5"/>
  <c r="D2298" i="5"/>
  <c r="D2297" i="5"/>
  <c r="D2296" i="5"/>
  <c r="D2295" i="5"/>
  <c r="D2294" i="5"/>
  <c r="D2293" i="5"/>
  <c r="D2292" i="5"/>
  <c r="D2291" i="5"/>
  <c r="D2290" i="5"/>
  <c r="D2289" i="5"/>
  <c r="D2288" i="5"/>
  <c r="D2287" i="5"/>
  <c r="D2286" i="5"/>
  <c r="D2285" i="5"/>
  <c r="D2284" i="5"/>
  <c r="D2283" i="5"/>
  <c r="D2282" i="5"/>
  <c r="D2281" i="5"/>
  <c r="D2280" i="5"/>
  <c r="D2279" i="5"/>
  <c r="D2278" i="5"/>
  <c r="D2277" i="5"/>
  <c r="D2276" i="5"/>
  <c r="D2275" i="5"/>
  <c r="D2274" i="5"/>
  <c r="D2273" i="5"/>
  <c r="D2272" i="5"/>
  <c r="D2271" i="5"/>
  <c r="D2270" i="5"/>
  <c r="D2269" i="5"/>
  <c r="D2268" i="5"/>
  <c r="D2267" i="5"/>
  <c r="D2266" i="5"/>
  <c r="D2265" i="5"/>
  <c r="D2264" i="5"/>
  <c r="D2263" i="5"/>
  <c r="D2262" i="5"/>
  <c r="D2261" i="5"/>
  <c r="D2260" i="5"/>
  <c r="D2259" i="5"/>
  <c r="D2258" i="5"/>
  <c r="D2257" i="5"/>
  <c r="D2256" i="5"/>
  <c r="D2255" i="5"/>
  <c r="D2254" i="5"/>
  <c r="D2253" i="5"/>
  <c r="D2252" i="5"/>
  <c r="D2251" i="5"/>
  <c r="D2250" i="5"/>
  <c r="D2249" i="5"/>
  <c r="D2248" i="5"/>
  <c r="D2247" i="5"/>
  <c r="D2246" i="5"/>
  <c r="D2245" i="5"/>
  <c r="D2244" i="5"/>
  <c r="D2243" i="5"/>
  <c r="D2242" i="5"/>
  <c r="D2241" i="5"/>
  <c r="D2240" i="5"/>
  <c r="D2239" i="5"/>
  <c r="D2238" i="5"/>
  <c r="D2237" i="5"/>
  <c r="D2236" i="5"/>
  <c r="D2235" i="5"/>
  <c r="D2234" i="5"/>
  <c r="D2233" i="5"/>
  <c r="D2232" i="5"/>
  <c r="D2231" i="5"/>
  <c r="D2230" i="5"/>
  <c r="D2229" i="5"/>
  <c r="D2228" i="5"/>
  <c r="D2227" i="5"/>
  <c r="D2226" i="5"/>
  <c r="D2225" i="5"/>
  <c r="D2224" i="5"/>
  <c r="D2223" i="5"/>
  <c r="D2222" i="5"/>
  <c r="D2221" i="5"/>
  <c r="D2220" i="5"/>
  <c r="D2219" i="5"/>
  <c r="D2218" i="5"/>
  <c r="D2217" i="5"/>
  <c r="D2216" i="5"/>
  <c r="D2215" i="5"/>
  <c r="D2214" i="5"/>
  <c r="D2213" i="5"/>
  <c r="D2212" i="5"/>
  <c r="D2211" i="5"/>
  <c r="D2210" i="5"/>
  <c r="D2209" i="5"/>
  <c r="D2208" i="5"/>
  <c r="D2207" i="5"/>
  <c r="D2206" i="5"/>
  <c r="D2205" i="5"/>
  <c r="D2204" i="5"/>
  <c r="D2203" i="5"/>
  <c r="D2202" i="5"/>
  <c r="D2201" i="5"/>
  <c r="D2200" i="5"/>
  <c r="D2199" i="5"/>
  <c r="D2198" i="5"/>
  <c r="D2197" i="5"/>
  <c r="D2196" i="5"/>
  <c r="D2195" i="5"/>
  <c r="D2194" i="5"/>
  <c r="D2193" i="5"/>
  <c r="D2192" i="5"/>
  <c r="D2191" i="5"/>
  <c r="D2190" i="5"/>
  <c r="D2188" i="5"/>
  <c r="D2187" i="5"/>
  <c r="D2186" i="5"/>
  <c r="D2185" i="5"/>
  <c r="D2184" i="5"/>
  <c r="D2183" i="5"/>
  <c r="D2182" i="5"/>
  <c r="D2181" i="5"/>
  <c r="D2180" i="5"/>
  <c r="D2179" i="5"/>
  <c r="D2178" i="5"/>
  <c r="D2177" i="5"/>
  <c r="D2176" i="5"/>
  <c r="D2175" i="5"/>
  <c r="D2174" i="5"/>
  <c r="D2173" i="5"/>
  <c r="D2172" i="5"/>
  <c r="D2171" i="5"/>
  <c r="D2170" i="5"/>
  <c r="D2169" i="5"/>
  <c r="D2168" i="5"/>
  <c r="D2167" i="5"/>
  <c r="D2166" i="5"/>
  <c r="D2165" i="5"/>
  <c r="D2164" i="5"/>
  <c r="D2163" i="5"/>
  <c r="D2162" i="5"/>
  <c r="D2161" i="5"/>
  <c r="D2160" i="5"/>
  <c r="D2159" i="5"/>
  <c r="D2158" i="5"/>
  <c r="D2157" i="5"/>
  <c r="D2156" i="5"/>
  <c r="D2155" i="5"/>
  <c r="D2154" i="5"/>
  <c r="D2153" i="5"/>
  <c r="D2152" i="5"/>
  <c r="D2151" i="5"/>
  <c r="D2150" i="5"/>
  <c r="D2149" i="5"/>
  <c r="D2148" i="5"/>
  <c r="D2147" i="5"/>
  <c r="D2146" i="5"/>
  <c r="D2145" i="5"/>
  <c r="D2144" i="5"/>
  <c r="D2143" i="5"/>
  <c r="D2142" i="5"/>
  <c r="D2141" i="5"/>
  <c r="D2140" i="5"/>
  <c r="D2139" i="5"/>
  <c r="D2138" i="5"/>
  <c r="D2137" i="5"/>
  <c r="D2136" i="5"/>
  <c r="D2135" i="5"/>
  <c r="D2134" i="5"/>
  <c r="D2133" i="5"/>
  <c r="D2132" i="5"/>
  <c r="D2131" i="5"/>
  <c r="D2130" i="5"/>
  <c r="D2129" i="5"/>
  <c r="D2128" i="5"/>
  <c r="D2127" i="5"/>
  <c r="D2126" i="5"/>
  <c r="D2125" i="5"/>
  <c r="D2124" i="5"/>
  <c r="D2123" i="5"/>
  <c r="D2122" i="5"/>
  <c r="D2121" i="5"/>
  <c r="D2120" i="5"/>
  <c r="D2119" i="5"/>
  <c r="D2118" i="5"/>
  <c r="D2117" i="5"/>
  <c r="D2116" i="5"/>
  <c r="D2115" i="5"/>
  <c r="D2114" i="5"/>
  <c r="D2113" i="5"/>
  <c r="D2112" i="5"/>
  <c r="D2111" i="5"/>
  <c r="D2110" i="5"/>
  <c r="D2109" i="5"/>
  <c r="D2108" i="5"/>
  <c r="D2107" i="5"/>
  <c r="D2106" i="5"/>
  <c r="D2105" i="5"/>
  <c r="D2104" i="5"/>
  <c r="D2103" i="5"/>
  <c r="D2102" i="5"/>
  <c r="D2101" i="5"/>
  <c r="D2100" i="5"/>
  <c r="D2099" i="5"/>
  <c r="D2098" i="5"/>
  <c r="D2097" i="5"/>
  <c r="D2096" i="5"/>
  <c r="D2095" i="5"/>
  <c r="D2094" i="5"/>
  <c r="D2093" i="5"/>
  <c r="D2092" i="5"/>
  <c r="D2091" i="5"/>
  <c r="D2090" i="5"/>
  <c r="D2089" i="5"/>
  <c r="D2088" i="5"/>
  <c r="D2087" i="5"/>
  <c r="D2086" i="5"/>
  <c r="D2085" i="5"/>
  <c r="D2084" i="5"/>
  <c r="D2083" i="5"/>
  <c r="D2082" i="5"/>
  <c r="D2081" i="5"/>
  <c r="D2080" i="5"/>
  <c r="D2079" i="5"/>
  <c r="D2078" i="5"/>
  <c r="D2077" i="5"/>
  <c r="D2076" i="5"/>
  <c r="D2075" i="5"/>
  <c r="D2074" i="5"/>
  <c r="D2073" i="5"/>
  <c r="D2072" i="5"/>
  <c r="D2071" i="5"/>
  <c r="D2070" i="5"/>
  <c r="D2069" i="5"/>
  <c r="D2068" i="5"/>
  <c r="D2067" i="5"/>
  <c r="D2066" i="5"/>
  <c r="D2065" i="5"/>
  <c r="D2064" i="5"/>
  <c r="D2063" i="5"/>
  <c r="D2062" i="5"/>
  <c r="D2061" i="5"/>
  <c r="D2060" i="5"/>
  <c r="D2059" i="5"/>
  <c r="D2058" i="5"/>
  <c r="D2057" i="5"/>
  <c r="D2056" i="5"/>
  <c r="D2055" i="5"/>
  <c r="D2054" i="5"/>
  <c r="D2053" i="5"/>
  <c r="D2052" i="5"/>
  <c r="D2051" i="5"/>
  <c r="D2050" i="5"/>
  <c r="D2049" i="5"/>
  <c r="D2047" i="5"/>
  <c r="D2046" i="5"/>
  <c r="D2045" i="5"/>
  <c r="D2044" i="5"/>
  <c r="D2043" i="5"/>
  <c r="D2042" i="5"/>
  <c r="D2041" i="5"/>
  <c r="D2040" i="5"/>
  <c r="D2039" i="5"/>
  <c r="D2038" i="5"/>
  <c r="D2037" i="5"/>
  <c r="D2036" i="5"/>
  <c r="D2035" i="5"/>
  <c r="D2034" i="5"/>
  <c r="D2033" i="5"/>
  <c r="D2032" i="5"/>
  <c r="D2031" i="5"/>
  <c r="D2030" i="5"/>
  <c r="D2029" i="5"/>
  <c r="D2028" i="5"/>
  <c r="D2027" i="5"/>
  <c r="D2026" i="5"/>
  <c r="D2025" i="5"/>
  <c r="D2024" i="5"/>
  <c r="D2023" i="5"/>
  <c r="D2022" i="5"/>
  <c r="D2021" i="5"/>
  <c r="D2020" i="5"/>
  <c r="D2019" i="5"/>
  <c r="D2018" i="5"/>
  <c r="D2017" i="5"/>
  <c r="D2016" i="5"/>
  <c r="D2015" i="5"/>
  <c r="D2014" i="5"/>
  <c r="D2013" i="5"/>
  <c r="D2012" i="5"/>
  <c r="D2011" i="5"/>
  <c r="D2010" i="5"/>
  <c r="D2009" i="5"/>
  <c r="D2008" i="5"/>
  <c r="D2007" i="5"/>
  <c r="D2006" i="5"/>
  <c r="D2005" i="5"/>
  <c r="D2004" i="5"/>
  <c r="D2003" i="5"/>
  <c r="D2002" i="5"/>
  <c r="D2001" i="5"/>
  <c r="D2000" i="5"/>
  <c r="D1998" i="5"/>
  <c r="D1997" i="5"/>
  <c r="D1996" i="5"/>
  <c r="D1995" i="5"/>
  <c r="D1994" i="5"/>
  <c r="D1993" i="5"/>
  <c r="D1992" i="5"/>
  <c r="D1991" i="5"/>
  <c r="D1990" i="5"/>
  <c r="D1989" i="5"/>
  <c r="D1988" i="5"/>
  <c r="D1987" i="5"/>
  <c r="D1986" i="5"/>
  <c r="D1985" i="5"/>
  <c r="D1984" i="5"/>
  <c r="D1983" i="5"/>
  <c r="D1982" i="5"/>
  <c r="D1981" i="5"/>
  <c r="D1980" i="5"/>
  <c r="D1979" i="5"/>
  <c r="D1977" i="5"/>
  <c r="D1976" i="5"/>
  <c r="D1975" i="5"/>
  <c r="D1974" i="5"/>
  <c r="D1973" i="5"/>
  <c r="D1972" i="5"/>
  <c r="D1971" i="5"/>
  <c r="D1970" i="5"/>
  <c r="D1969" i="5"/>
  <c r="D1968" i="5"/>
  <c r="D1967" i="5"/>
  <c r="D1966" i="5"/>
  <c r="D1965" i="5"/>
  <c r="D1964" i="5"/>
  <c r="D1963" i="5"/>
  <c r="D1962" i="5"/>
  <c r="D1961" i="5"/>
  <c r="D1960" i="5"/>
  <c r="D1959" i="5"/>
  <c r="D1958" i="5"/>
  <c r="D1957" i="5"/>
  <c r="D1956" i="5"/>
  <c r="D1955" i="5"/>
  <c r="D1954" i="5"/>
  <c r="D1953" i="5"/>
  <c r="D1952" i="5"/>
  <c r="D1950" i="5"/>
  <c r="D1949" i="5"/>
  <c r="D1948" i="5"/>
  <c r="D1947" i="5"/>
  <c r="D1946" i="5"/>
  <c r="D1945" i="5"/>
  <c r="D1944" i="5"/>
  <c r="D1943" i="5"/>
  <c r="D1942" i="5"/>
  <c r="D1941" i="5"/>
  <c r="D1940" i="5"/>
  <c r="D1939" i="5"/>
  <c r="D1938" i="5"/>
  <c r="D1937" i="5"/>
  <c r="D1936" i="5"/>
  <c r="D1935" i="5"/>
  <c r="D1934" i="5"/>
  <c r="D1933" i="5"/>
  <c r="D1932" i="5"/>
  <c r="D1931" i="5"/>
  <c r="D1930" i="5"/>
  <c r="D1929" i="5"/>
  <c r="D1928" i="5"/>
  <c r="D1927" i="5"/>
  <c r="D1925" i="5"/>
  <c r="D1924" i="5"/>
  <c r="D1923" i="5"/>
  <c r="D1922" i="5"/>
  <c r="D1921" i="5"/>
  <c r="D1920" i="5"/>
  <c r="D1919" i="5"/>
  <c r="D1918" i="5"/>
  <c r="D1917" i="5"/>
  <c r="D1916" i="5"/>
  <c r="D1915" i="5"/>
  <c r="D1914" i="5"/>
  <c r="D1913" i="5"/>
  <c r="D1912" i="5"/>
  <c r="D1911" i="5"/>
  <c r="D1910" i="5"/>
  <c r="D1909" i="5"/>
  <c r="D1908" i="5"/>
  <c r="D1907" i="5"/>
  <c r="D1906" i="5"/>
  <c r="D1905" i="5"/>
  <c r="D1904" i="5"/>
  <c r="D1903" i="5"/>
  <c r="D1902" i="5"/>
  <c r="D1901" i="5"/>
  <c r="D1900" i="5"/>
  <c r="D1899" i="5"/>
  <c r="D1898" i="5"/>
  <c r="D1897" i="5"/>
  <c r="D1896" i="5"/>
  <c r="D1895" i="5"/>
  <c r="D1894" i="5"/>
  <c r="D1893" i="5"/>
  <c r="D1892" i="5"/>
  <c r="D1891" i="5"/>
  <c r="D1890" i="5"/>
  <c r="D1889" i="5"/>
  <c r="D1888" i="5"/>
  <c r="D1887" i="5"/>
  <c r="D1886" i="5"/>
  <c r="D1885" i="5"/>
  <c r="D1884" i="5"/>
  <c r="D1883" i="5"/>
  <c r="D1882" i="5"/>
  <c r="D1881" i="5"/>
  <c r="D1880" i="5"/>
  <c r="D1879" i="5"/>
  <c r="D1878" i="5"/>
  <c r="D1877" i="5"/>
  <c r="D1876" i="5"/>
  <c r="D1875" i="5"/>
  <c r="D1874" i="5"/>
  <c r="D1873" i="5"/>
  <c r="D1872" i="5"/>
  <c r="D1871" i="5"/>
  <c r="D1870" i="5"/>
  <c r="D1869" i="5"/>
  <c r="D1868" i="5"/>
  <c r="D1867" i="5"/>
  <c r="D1866" i="5"/>
  <c r="D1865" i="5"/>
  <c r="D1864" i="5"/>
  <c r="D1863" i="5"/>
  <c r="D1862" i="5"/>
  <c r="D1861" i="5"/>
  <c r="D1860" i="5"/>
  <c r="D1859" i="5"/>
  <c r="D1858" i="5"/>
  <c r="D1857" i="5"/>
  <c r="D1856" i="5"/>
  <c r="D1855" i="5"/>
  <c r="D1854" i="5"/>
  <c r="D1853" i="5"/>
  <c r="D1852" i="5"/>
  <c r="D1851" i="5"/>
  <c r="D1850" i="5"/>
  <c r="D1849" i="5"/>
  <c r="D1848" i="5"/>
  <c r="D1847" i="5"/>
  <c r="D1846" i="5"/>
  <c r="D1845" i="5"/>
  <c r="D1844" i="5"/>
  <c r="D1843" i="5"/>
  <c r="D1842" i="5"/>
  <c r="D1841" i="5"/>
  <c r="D1840" i="5"/>
  <c r="D1839" i="5"/>
  <c r="D1838" i="5"/>
  <c r="D1837" i="5"/>
  <c r="D1836" i="5"/>
  <c r="D1835" i="5"/>
  <c r="D1834" i="5"/>
  <c r="D1833" i="5"/>
  <c r="D1832" i="5"/>
  <c r="D1831" i="5"/>
  <c r="D1830" i="5"/>
  <c r="D1829" i="5"/>
  <c r="D1828" i="5"/>
  <c r="D1827" i="5"/>
  <c r="D1826" i="5"/>
  <c r="D1825" i="5"/>
  <c r="D1824" i="5"/>
  <c r="D1823" i="5"/>
  <c r="D1822" i="5"/>
  <c r="D1821" i="5"/>
  <c r="D1820" i="5"/>
  <c r="D1819" i="5"/>
  <c r="D1818" i="5"/>
  <c r="D1816" i="5"/>
  <c r="D1815" i="5"/>
  <c r="D1814" i="5"/>
  <c r="D1813" i="5"/>
  <c r="D1812" i="5"/>
  <c r="D1811" i="5"/>
  <c r="D1810" i="5"/>
  <c r="D1809" i="5"/>
  <c r="D1808" i="5"/>
  <c r="D1807" i="5"/>
  <c r="D1806" i="5"/>
  <c r="D1805" i="5"/>
  <c r="D1804" i="5"/>
  <c r="D1803" i="5"/>
  <c r="D1802" i="5"/>
  <c r="D1801" i="5"/>
  <c r="D1800" i="5"/>
  <c r="D1799" i="5"/>
  <c r="D1798" i="5"/>
  <c r="D1797" i="5"/>
  <c r="D1796" i="5"/>
  <c r="D1795" i="5"/>
  <c r="D1794" i="5"/>
  <c r="D1793" i="5"/>
  <c r="D1792" i="5"/>
  <c r="D1791" i="5"/>
  <c r="D1790" i="5"/>
  <c r="D1789" i="5"/>
  <c r="D1788" i="5"/>
  <c r="D1787" i="5"/>
  <c r="D1786" i="5"/>
  <c r="D1785" i="5"/>
  <c r="D1783" i="5"/>
  <c r="D1782" i="5"/>
  <c r="D1781" i="5"/>
  <c r="D1780" i="5"/>
  <c r="D1779" i="5"/>
  <c r="D1778" i="5"/>
  <c r="D1777" i="5"/>
  <c r="D1776" i="5"/>
  <c r="D1775" i="5"/>
  <c r="D1774" i="5"/>
  <c r="D1773" i="5"/>
  <c r="D1772" i="5"/>
  <c r="D1771" i="5"/>
  <c r="D1770" i="5"/>
  <c r="D1769" i="5"/>
  <c r="D1768" i="5"/>
  <c r="D1767" i="5"/>
  <c r="D1766" i="5"/>
  <c r="D1764" i="5"/>
  <c r="D1763" i="5"/>
  <c r="D1762" i="5"/>
  <c r="D1761" i="5"/>
  <c r="D1760" i="5"/>
  <c r="D1759" i="5"/>
  <c r="D1758" i="5"/>
  <c r="D1757" i="5"/>
  <c r="D1756" i="5"/>
  <c r="D1755" i="5"/>
  <c r="D1754" i="5"/>
  <c r="D1753" i="5"/>
  <c r="D1752" i="5"/>
  <c r="D1751" i="5"/>
  <c r="D1750" i="5"/>
  <c r="D1749" i="5"/>
  <c r="D1748" i="5"/>
  <c r="D1746" i="5"/>
  <c r="D1745" i="5"/>
  <c r="D1744" i="5"/>
  <c r="D1743" i="5"/>
  <c r="D1742" i="5"/>
  <c r="D1741" i="5"/>
  <c r="D1740" i="5"/>
  <c r="D1739" i="5"/>
  <c r="D1738" i="5"/>
  <c r="D1737" i="5"/>
  <c r="D1736" i="5"/>
  <c r="D1735" i="5"/>
  <c r="D1734" i="5"/>
  <c r="D1733" i="5"/>
  <c r="D1732" i="5"/>
  <c r="D1731" i="5"/>
  <c r="D1730" i="5"/>
  <c r="D1729" i="5"/>
  <c r="D1728" i="5"/>
  <c r="D1727" i="5"/>
  <c r="D1726" i="5"/>
  <c r="D1725" i="5"/>
  <c r="D1723" i="5"/>
  <c r="D1722" i="5"/>
  <c r="D1721" i="5"/>
  <c r="D1720" i="5"/>
  <c r="D1719" i="5"/>
  <c r="D1718" i="5"/>
  <c r="D1717" i="5"/>
  <c r="D1716" i="5"/>
  <c r="D1715" i="5"/>
  <c r="D1714" i="5"/>
  <c r="D1713" i="5"/>
  <c r="D1712" i="5"/>
  <c r="D1711" i="5"/>
  <c r="D1710" i="5"/>
  <c r="D1709" i="5"/>
  <c r="D1707" i="5"/>
  <c r="D1706" i="5"/>
  <c r="D1705" i="5"/>
  <c r="D1704" i="5"/>
  <c r="D1703" i="5"/>
  <c r="D1702" i="5"/>
  <c r="D1701" i="5"/>
  <c r="D1700" i="5"/>
  <c r="D1699" i="5"/>
  <c r="D1698" i="5"/>
  <c r="D1697" i="5"/>
  <c r="D1696" i="5"/>
  <c r="D1695" i="5"/>
  <c r="D1694" i="5"/>
  <c r="D1693" i="5"/>
  <c r="D1692" i="5"/>
  <c r="D1691" i="5"/>
  <c r="D1690" i="5"/>
  <c r="D1689" i="5"/>
  <c r="D1688" i="5"/>
  <c r="D1687" i="5"/>
  <c r="D1686" i="5"/>
  <c r="D1685" i="5"/>
  <c r="D1684" i="5"/>
  <c r="D1683" i="5"/>
  <c r="D1682" i="5"/>
  <c r="D1681" i="5"/>
  <c r="D1680" i="5"/>
  <c r="D1679" i="5"/>
  <c r="D1678" i="5"/>
  <c r="D1677" i="5"/>
  <c r="D1676" i="5"/>
  <c r="D1675" i="5"/>
  <c r="D1674" i="5"/>
  <c r="D1673" i="5"/>
  <c r="D1672" i="5"/>
  <c r="D1671" i="5"/>
  <c r="D1670" i="5"/>
  <c r="D1669" i="5"/>
  <c r="D1668" i="5"/>
  <c r="D1667" i="5"/>
  <c r="D1666" i="5"/>
  <c r="D1665" i="5"/>
  <c r="D1664" i="5"/>
  <c r="D1663" i="5"/>
  <c r="D1662" i="5"/>
  <c r="D1661" i="5"/>
  <c r="D1660" i="5"/>
  <c r="D1658" i="5"/>
  <c r="D1657" i="5"/>
  <c r="D1656" i="5"/>
  <c r="D1655" i="5"/>
  <c r="D1654" i="5"/>
  <c r="D1653" i="5"/>
  <c r="D1652" i="5"/>
  <c r="D1651" i="5"/>
  <c r="D1650" i="5"/>
  <c r="D1649" i="5"/>
  <c r="D1648" i="5"/>
  <c r="D1647" i="5"/>
  <c r="D1646" i="5"/>
  <c r="D1645" i="5"/>
  <c r="D1644" i="5"/>
  <c r="D1643" i="5"/>
  <c r="D1642" i="5"/>
  <c r="D1641" i="5"/>
  <c r="D1640" i="5"/>
  <c r="D1639" i="5"/>
  <c r="D1638" i="5"/>
  <c r="D1637" i="5"/>
  <c r="D1635" i="5"/>
  <c r="D1634" i="5"/>
  <c r="D1633" i="5"/>
  <c r="D1632" i="5"/>
  <c r="D1631" i="5"/>
  <c r="D1630" i="5"/>
  <c r="D1629" i="5"/>
  <c r="D1628" i="5"/>
  <c r="D1627" i="5"/>
  <c r="D1626" i="5"/>
  <c r="D1625" i="5"/>
  <c r="D1624" i="5"/>
  <c r="D1623" i="5"/>
  <c r="D1622" i="5"/>
  <c r="D1621" i="5"/>
  <c r="D1620" i="5"/>
  <c r="D1619" i="5"/>
  <c r="D1618" i="5"/>
  <c r="D1617" i="5"/>
  <c r="D1616" i="5"/>
  <c r="D1615" i="5"/>
  <c r="D1614" i="5"/>
  <c r="D1613" i="5"/>
  <c r="D1612" i="5"/>
  <c r="D1611" i="5"/>
  <c r="D1610" i="5"/>
  <c r="D1609" i="5"/>
  <c r="D1608" i="5"/>
  <c r="D1607" i="5"/>
  <c r="D1606" i="5"/>
  <c r="D1605" i="5"/>
  <c r="D1604" i="5"/>
  <c r="D1603" i="5"/>
  <c r="D1602" i="5"/>
  <c r="D1601" i="5"/>
  <c r="D1600" i="5"/>
  <c r="D1599" i="5"/>
  <c r="D1598" i="5"/>
  <c r="D1597" i="5"/>
  <c r="D1596" i="5"/>
  <c r="D1595" i="5"/>
  <c r="D1594" i="5"/>
  <c r="D1593" i="5"/>
  <c r="D1592" i="5"/>
  <c r="D1591" i="5"/>
  <c r="D1590" i="5"/>
  <c r="D1589" i="5"/>
  <c r="D1588" i="5"/>
  <c r="D1587" i="5"/>
  <c r="D1586" i="5"/>
  <c r="D1585" i="5"/>
  <c r="D1584" i="5"/>
  <c r="D1583" i="5"/>
  <c r="D1582" i="5"/>
  <c r="D1581" i="5"/>
  <c r="D1580" i="5"/>
  <c r="D1579" i="5"/>
  <c r="D1578" i="5"/>
  <c r="D1577" i="5"/>
  <c r="D1576" i="5"/>
  <c r="D1575" i="5"/>
  <c r="D1574" i="5"/>
  <c r="D1573" i="5"/>
  <c r="D1572" i="5"/>
  <c r="D1571" i="5"/>
  <c r="D1570" i="5"/>
  <c r="D1569" i="5"/>
  <c r="D1568" i="5"/>
  <c r="D1567" i="5"/>
  <c r="D1566" i="5"/>
  <c r="D1565" i="5"/>
  <c r="D1564" i="5"/>
  <c r="D1563" i="5"/>
  <c r="D1562" i="5"/>
  <c r="D1561" i="5"/>
  <c r="D1560" i="5"/>
  <c r="D1559" i="5"/>
  <c r="D1558" i="5"/>
  <c r="D1557" i="5"/>
  <c r="D1556" i="5"/>
  <c r="D1555" i="5"/>
  <c r="D1553" i="5"/>
  <c r="D1552" i="5"/>
  <c r="D1551" i="5"/>
  <c r="D1550" i="5"/>
  <c r="D1549" i="5"/>
  <c r="D1548" i="5"/>
  <c r="D1547" i="5"/>
  <c r="D1546" i="5"/>
  <c r="D1545" i="5"/>
  <c r="D1544" i="5"/>
  <c r="D1543" i="5"/>
  <c r="D1542" i="5"/>
  <c r="D1541" i="5"/>
  <c r="D1540" i="5"/>
  <c r="D1539" i="5"/>
  <c r="D1538" i="5"/>
  <c r="D1537" i="5"/>
  <c r="D1536" i="5"/>
  <c r="D1535" i="5"/>
  <c r="D1534" i="5"/>
  <c r="D1533" i="5"/>
  <c r="D1532" i="5"/>
  <c r="D1531" i="5"/>
  <c r="D1530" i="5"/>
  <c r="D1529" i="5"/>
  <c r="D1528" i="5"/>
  <c r="D1527" i="5"/>
  <c r="D1526" i="5"/>
  <c r="D1525" i="5"/>
  <c r="D1524" i="5"/>
  <c r="D1523" i="5"/>
  <c r="D1522" i="5"/>
  <c r="D1521" i="5"/>
  <c r="D1520" i="5"/>
  <c r="D1519" i="5"/>
  <c r="D1518" i="5"/>
  <c r="D1517" i="5"/>
  <c r="D1516" i="5"/>
  <c r="D1515" i="5"/>
  <c r="D1514" i="5"/>
  <c r="D1513" i="5"/>
  <c r="D1512" i="5"/>
  <c r="D1511" i="5"/>
  <c r="D1510" i="5"/>
  <c r="D1509" i="5"/>
  <c r="D1508" i="5"/>
  <c r="D1507" i="5"/>
  <c r="D1506" i="5"/>
  <c r="D1505" i="5"/>
  <c r="D1504" i="5"/>
  <c r="D1503" i="5"/>
  <c r="D1502" i="5"/>
  <c r="D1501" i="5"/>
  <c r="D1500" i="5"/>
  <c r="D1499" i="5"/>
  <c r="D1498" i="5"/>
  <c r="D1497" i="5"/>
  <c r="D1496" i="5"/>
  <c r="D1495" i="5"/>
  <c r="D1494" i="5"/>
  <c r="D1493" i="5"/>
  <c r="D1492" i="5"/>
  <c r="D1491" i="5"/>
  <c r="D1490" i="5"/>
  <c r="D1488" i="5"/>
  <c r="D1487" i="5"/>
  <c r="D1486" i="5"/>
  <c r="D1485" i="5"/>
  <c r="D1484" i="5"/>
  <c r="D1483" i="5"/>
  <c r="D1482" i="5"/>
  <c r="D1481" i="5"/>
  <c r="D1480" i="5"/>
  <c r="D1479" i="5"/>
  <c r="D1478" i="5"/>
  <c r="D1477" i="5"/>
  <c r="D1476" i="5"/>
  <c r="D1475" i="5"/>
  <c r="D1474" i="5"/>
  <c r="D1473" i="5"/>
  <c r="D1472" i="5"/>
  <c r="D1471" i="5"/>
  <c r="D1470" i="5"/>
  <c r="D1469" i="5"/>
  <c r="D1468" i="5"/>
  <c r="D1467" i="5"/>
  <c r="D1466" i="5"/>
  <c r="D1465" i="5"/>
  <c r="D1464" i="5"/>
  <c r="D1463" i="5"/>
  <c r="D1462" i="5"/>
  <c r="D1461" i="5"/>
  <c r="D1460" i="5"/>
  <c r="D1459" i="5"/>
  <c r="D1458" i="5"/>
  <c r="D1457" i="5"/>
  <c r="D1456" i="5"/>
  <c r="D1455" i="5"/>
  <c r="D1454" i="5"/>
  <c r="D1453" i="5"/>
  <c r="D1452" i="5"/>
  <c r="D1451" i="5"/>
  <c r="D1450" i="5"/>
  <c r="D1449" i="5"/>
  <c r="D1448" i="5"/>
  <c r="D1447" i="5"/>
  <c r="D1446" i="5"/>
  <c r="D1445" i="5"/>
  <c r="D1444" i="5"/>
  <c r="D1443" i="5"/>
  <c r="D1442" i="5"/>
  <c r="D1441" i="5"/>
  <c r="D1440" i="5"/>
  <c r="D1439" i="5"/>
  <c r="D1438" i="5"/>
  <c r="D1437" i="5"/>
  <c r="D1436" i="5"/>
  <c r="D1435" i="5"/>
  <c r="D1434" i="5"/>
  <c r="D1433" i="5"/>
  <c r="D1432" i="5"/>
  <c r="D1431" i="5"/>
  <c r="D1430" i="5"/>
  <c r="D1429" i="5"/>
  <c r="D1428" i="5"/>
  <c r="D1427" i="5"/>
  <c r="D1426" i="5"/>
  <c r="D1425" i="5"/>
  <c r="D1424" i="5"/>
  <c r="D1423" i="5"/>
  <c r="D1422" i="5"/>
  <c r="D1421" i="5"/>
  <c r="D1420" i="5"/>
  <c r="D1419" i="5"/>
  <c r="D1418" i="5"/>
  <c r="D1417" i="5"/>
  <c r="D1416" i="5"/>
  <c r="D1415" i="5"/>
  <c r="D1414" i="5"/>
  <c r="D1413" i="5"/>
  <c r="D1412" i="5"/>
  <c r="D1411" i="5"/>
  <c r="D1410" i="5"/>
  <c r="D1409" i="5"/>
  <c r="D1408" i="5"/>
  <c r="D1407" i="5"/>
  <c r="D1406" i="5"/>
  <c r="D1405" i="5"/>
  <c r="D1404" i="5"/>
  <c r="D1403" i="5"/>
  <c r="D1402" i="5"/>
  <c r="D1401" i="5"/>
  <c r="D1400" i="5"/>
  <c r="D1399" i="5"/>
  <c r="D1398" i="5"/>
  <c r="D1397" i="5"/>
  <c r="D1396" i="5"/>
  <c r="D1395" i="5"/>
  <c r="D1394" i="5"/>
  <c r="D1393" i="5"/>
  <c r="D1392" i="5"/>
  <c r="D1391" i="5"/>
  <c r="D1390" i="5"/>
  <c r="D1389" i="5"/>
  <c r="D1388" i="5"/>
  <c r="D1387" i="5"/>
  <c r="D1386" i="5"/>
  <c r="D1385" i="5"/>
  <c r="D1384" i="5"/>
  <c r="D1383" i="5"/>
  <c r="D1382" i="5"/>
  <c r="D1381" i="5"/>
  <c r="D1379" i="5"/>
  <c r="D1378" i="5"/>
  <c r="D1377" i="5"/>
  <c r="D1376" i="5"/>
  <c r="D1375" i="5"/>
  <c r="D1374" i="5"/>
  <c r="D1373" i="5"/>
  <c r="D1372" i="5"/>
  <c r="D1371" i="5"/>
  <c r="D1370" i="5"/>
  <c r="D1369" i="5"/>
  <c r="D1368" i="5"/>
  <c r="D1367" i="5"/>
  <c r="D1366" i="5"/>
  <c r="D1365" i="5"/>
  <c r="D1364" i="5"/>
  <c r="D1363" i="5"/>
  <c r="D1362" i="5"/>
  <c r="D1361" i="5"/>
  <c r="D1360" i="5"/>
  <c r="D1359" i="5"/>
  <c r="D1358" i="5"/>
  <c r="D1357" i="5"/>
  <c r="D1356" i="5"/>
  <c r="D1355" i="5"/>
  <c r="D1354" i="5"/>
  <c r="D1353" i="5"/>
  <c r="D1352" i="5"/>
  <c r="D1351" i="5"/>
  <c r="D1350" i="5"/>
  <c r="D1349" i="5"/>
  <c r="D1348" i="5"/>
  <c r="D1347" i="5"/>
  <c r="D1346" i="5"/>
  <c r="D1345" i="5"/>
  <c r="D1344" i="5"/>
  <c r="D1343" i="5"/>
  <c r="D1342" i="5"/>
  <c r="D1341" i="5"/>
  <c r="D1340" i="5"/>
  <c r="D1339" i="5"/>
  <c r="D1337" i="5"/>
  <c r="D1336" i="5"/>
  <c r="D1335" i="5"/>
  <c r="D1334" i="5"/>
  <c r="D1333" i="5"/>
  <c r="D1332" i="5"/>
  <c r="D1331" i="5"/>
  <c r="D1330" i="5"/>
  <c r="D1329" i="5"/>
  <c r="D1328" i="5"/>
  <c r="D1327" i="5"/>
  <c r="D1326" i="5"/>
  <c r="D1325" i="5"/>
  <c r="D1324" i="5"/>
  <c r="D1323" i="5"/>
  <c r="D1322" i="5"/>
  <c r="D1320" i="5"/>
  <c r="D1319" i="5"/>
  <c r="D1318" i="5"/>
  <c r="D1317" i="5"/>
  <c r="D1316" i="5"/>
  <c r="D1315" i="5"/>
  <c r="D1314" i="5"/>
  <c r="D1313" i="5"/>
  <c r="D1312" i="5"/>
  <c r="D1311" i="5"/>
  <c r="D1310" i="5"/>
  <c r="D1309" i="5"/>
  <c r="D1308" i="5"/>
  <c r="D1307" i="5"/>
  <c r="D1306" i="5"/>
  <c r="D1305" i="5"/>
  <c r="D1304" i="5"/>
  <c r="D1303" i="5"/>
  <c r="D1302" i="5"/>
  <c r="D1301" i="5"/>
  <c r="D1300" i="5"/>
  <c r="D1299" i="5"/>
  <c r="D1298" i="5"/>
  <c r="D1297" i="5"/>
  <c r="D1296" i="5"/>
  <c r="D1295" i="5"/>
  <c r="D1294" i="5"/>
  <c r="D1293" i="5"/>
  <c r="D1292" i="5"/>
  <c r="D1291" i="5"/>
  <c r="D1290" i="5"/>
  <c r="D1289" i="5"/>
  <c r="D1288" i="5"/>
  <c r="D1287" i="5"/>
  <c r="D1286" i="5"/>
  <c r="D1285" i="5"/>
  <c r="D1284" i="5"/>
  <c r="D1283" i="5"/>
  <c r="D1281" i="5"/>
  <c r="D1280" i="5"/>
  <c r="D1279" i="5"/>
  <c r="D1278" i="5"/>
  <c r="D1277" i="5"/>
  <c r="D1276" i="5"/>
  <c r="D1275" i="5"/>
  <c r="D1274" i="5"/>
  <c r="D1273" i="5"/>
  <c r="D1272" i="5"/>
  <c r="D1271" i="5"/>
  <c r="D1270" i="5"/>
  <c r="D1269" i="5"/>
  <c r="D1268" i="5"/>
  <c r="D1267" i="5"/>
  <c r="D1266" i="5"/>
  <c r="D1265" i="5"/>
  <c r="D1264" i="5"/>
  <c r="D1263" i="5"/>
  <c r="D1262" i="5"/>
  <c r="D1261" i="5"/>
  <c r="D1260" i="5"/>
  <c r="D1259" i="5"/>
  <c r="D1258" i="5"/>
  <c r="D1257" i="5"/>
  <c r="D1256" i="5"/>
  <c r="D1255" i="5"/>
  <c r="D1254" i="5"/>
  <c r="D1253" i="5"/>
  <c r="D1252" i="5"/>
  <c r="D1251" i="5"/>
  <c r="D1250" i="5"/>
  <c r="D1249" i="5"/>
  <c r="D1248" i="5"/>
  <c r="D1247" i="5"/>
  <c r="D1246" i="5"/>
  <c r="D1245" i="5"/>
  <c r="D1244" i="5"/>
  <c r="D1243" i="5"/>
  <c r="D1242" i="5"/>
  <c r="D1241" i="5"/>
  <c r="D1240" i="5"/>
  <c r="D1239" i="5"/>
  <c r="D1238" i="5"/>
  <c r="D1237" i="5"/>
  <c r="D1236" i="5"/>
  <c r="D1235" i="5"/>
  <c r="D1234" i="5"/>
  <c r="D1233" i="5"/>
  <c r="D1232" i="5"/>
  <c r="D1231" i="5"/>
  <c r="D1230" i="5"/>
  <c r="D1229" i="5"/>
  <c r="D1228" i="5"/>
  <c r="D1227" i="5"/>
  <c r="D1226" i="5"/>
  <c r="D1225" i="5"/>
  <c r="D1224" i="5"/>
  <c r="D1223" i="5"/>
  <c r="D1222" i="5"/>
  <c r="D1221" i="5"/>
  <c r="D1220" i="5"/>
  <c r="D1219" i="5"/>
  <c r="D1218" i="5"/>
  <c r="D1217" i="5"/>
  <c r="D1216" i="5"/>
  <c r="D1215" i="5"/>
  <c r="D1214" i="5"/>
  <c r="D1213" i="5"/>
  <c r="D1212" i="5"/>
  <c r="D1211" i="5"/>
  <c r="D1210" i="5"/>
  <c r="D1209" i="5"/>
  <c r="D1208" i="5"/>
  <c r="D1207" i="5"/>
  <c r="D1206" i="5"/>
  <c r="D1205" i="5"/>
  <c r="D1204" i="5"/>
  <c r="D1203" i="5"/>
  <c r="D1202" i="5"/>
  <c r="D1201" i="5"/>
  <c r="D1200" i="5"/>
  <c r="D1199" i="5"/>
  <c r="D1198" i="5"/>
  <c r="D1197" i="5"/>
  <c r="D1196" i="5"/>
  <c r="D1195" i="5"/>
  <c r="D1194" i="5"/>
  <c r="D1193" i="5"/>
  <c r="D1191" i="5"/>
  <c r="D1190" i="5"/>
  <c r="D1189" i="5"/>
  <c r="D1188" i="5"/>
  <c r="D1187" i="5"/>
  <c r="D1186" i="5"/>
  <c r="D1185" i="5"/>
  <c r="D1184" i="5"/>
  <c r="D1183" i="5"/>
  <c r="D1182" i="5"/>
  <c r="D1181" i="5"/>
  <c r="D1180" i="5"/>
  <c r="D1179" i="5"/>
  <c r="D1178" i="5"/>
  <c r="D1177" i="5"/>
  <c r="D1176" i="5"/>
  <c r="D1175" i="5"/>
  <c r="D1174" i="5"/>
  <c r="D1173" i="5"/>
  <c r="D1172" i="5"/>
  <c r="D1171" i="5"/>
  <c r="D1170" i="5"/>
  <c r="D1169" i="5"/>
  <c r="D1168" i="5"/>
  <c r="D1167" i="5"/>
  <c r="D1166" i="5"/>
  <c r="D1165" i="5"/>
  <c r="D1164" i="5"/>
  <c r="D1163" i="5"/>
  <c r="D1162" i="5"/>
  <c r="D1161" i="5"/>
  <c r="D1160" i="5"/>
  <c r="D1159" i="5"/>
  <c r="D1158" i="5"/>
  <c r="D1157" i="5"/>
  <c r="D1156" i="5"/>
  <c r="D1155" i="5"/>
  <c r="D1154" i="5"/>
  <c r="D1153" i="5"/>
  <c r="D1152" i="5"/>
  <c r="D1151" i="5"/>
  <c r="D1150" i="5"/>
  <c r="D1149" i="5"/>
  <c r="D1148" i="5"/>
  <c r="D1147" i="5"/>
  <c r="D1146" i="5"/>
  <c r="D1145" i="5"/>
  <c r="D1144" i="5"/>
  <c r="D1143" i="5"/>
  <c r="D1142" i="5"/>
  <c r="D1141" i="5"/>
  <c r="D1140" i="5"/>
  <c r="D1139" i="5"/>
  <c r="D1138" i="5"/>
  <c r="D1137" i="5"/>
  <c r="D1136" i="5"/>
  <c r="D1135" i="5"/>
  <c r="D1134" i="5"/>
  <c r="D1133" i="5"/>
  <c r="D1132" i="5"/>
  <c r="D1131" i="5"/>
  <c r="D1130" i="5"/>
  <c r="D1129" i="5"/>
  <c r="D1128" i="5"/>
  <c r="D1127" i="5"/>
  <c r="D1126" i="5"/>
  <c r="D1125" i="5"/>
  <c r="D1124" i="5"/>
  <c r="D1123" i="5"/>
  <c r="D1122" i="5"/>
  <c r="D1121" i="5"/>
  <c r="D1119" i="5"/>
  <c r="D1118" i="5"/>
  <c r="D1117" i="5"/>
  <c r="D1116" i="5"/>
  <c r="D1115" i="5"/>
  <c r="D1114" i="5"/>
  <c r="D1113" i="5"/>
  <c r="D1112" i="5"/>
  <c r="D1111" i="5"/>
  <c r="D1110" i="5"/>
  <c r="D1109" i="5"/>
  <c r="D1108" i="5"/>
  <c r="D1107" i="5"/>
  <c r="D1106" i="5"/>
  <c r="D1105" i="5"/>
  <c r="D1104" i="5"/>
  <c r="D1103" i="5"/>
  <c r="D1102" i="5"/>
  <c r="D1101" i="5"/>
  <c r="D1100" i="5"/>
  <c r="D1099" i="5"/>
  <c r="D1098" i="5"/>
  <c r="D1096" i="5"/>
  <c r="D1095" i="5"/>
  <c r="D1094" i="5"/>
  <c r="D1093" i="5"/>
  <c r="D1092" i="5"/>
  <c r="D1091" i="5"/>
  <c r="D1090" i="5"/>
  <c r="D1089" i="5"/>
  <c r="D1088" i="5"/>
  <c r="D1087" i="5"/>
  <c r="D1086" i="5"/>
  <c r="D1085" i="5"/>
  <c r="D1084" i="5"/>
  <c r="D1083" i="5"/>
  <c r="D1082" i="5"/>
  <c r="D1081" i="5"/>
  <c r="D1080" i="5"/>
  <c r="D1079" i="5"/>
  <c r="D1078" i="5"/>
  <c r="D1077" i="5"/>
  <c r="D1076" i="5"/>
  <c r="D1075" i="5"/>
  <c r="D1074" i="5"/>
  <c r="D1073" i="5"/>
  <c r="D1072" i="5"/>
  <c r="D1071" i="5"/>
  <c r="D1070" i="5"/>
  <c r="D1069" i="5"/>
  <c r="D1068" i="5"/>
  <c r="D1067" i="5"/>
  <c r="D1066" i="5"/>
  <c r="D1065" i="5"/>
  <c r="D1064" i="5"/>
  <c r="D1063" i="5"/>
  <c r="D1062" i="5"/>
  <c r="D1061" i="5"/>
  <c r="D1060" i="5"/>
  <c r="D1059" i="5"/>
  <c r="D1058" i="5"/>
  <c r="D1057" i="5"/>
  <c r="D1056" i="5"/>
  <c r="D1055" i="5"/>
  <c r="D1054" i="5"/>
  <c r="D1053" i="5"/>
  <c r="D1052" i="5"/>
  <c r="D1051" i="5"/>
  <c r="D1050" i="5"/>
  <c r="D1049" i="5"/>
  <c r="D1048" i="5"/>
  <c r="D1047" i="5"/>
  <c r="D1046" i="5"/>
  <c r="D1045" i="5"/>
  <c r="D1044" i="5"/>
  <c r="D1043" i="5"/>
  <c r="D1042" i="5"/>
  <c r="D1041" i="5"/>
  <c r="D1040" i="5"/>
  <c r="D1039" i="5"/>
  <c r="D1038" i="5"/>
  <c r="D1037" i="5"/>
  <c r="D1036" i="5"/>
  <c r="D1035" i="5"/>
  <c r="D1034" i="5"/>
  <c r="D1033" i="5"/>
  <c r="D1032" i="5"/>
  <c r="D1031" i="5"/>
  <c r="D1030" i="5"/>
  <c r="D1029" i="5"/>
  <c r="D1028" i="5"/>
  <c r="D1026" i="5"/>
  <c r="D1025" i="5"/>
  <c r="D1024" i="5"/>
  <c r="D1023" i="5"/>
  <c r="D1022" i="5"/>
  <c r="D1021" i="5"/>
  <c r="D1020" i="5"/>
  <c r="D1019" i="5"/>
  <c r="D1018" i="5"/>
  <c r="D1017" i="5"/>
  <c r="D1016" i="5"/>
  <c r="D1015" i="5"/>
  <c r="D1014" i="5"/>
  <c r="D1013" i="5"/>
  <c r="D1012" i="5"/>
  <c r="D1011" i="5"/>
  <c r="D1010" i="5"/>
  <c r="D1009" i="5"/>
  <c r="D1008" i="5"/>
  <c r="D1007" i="5"/>
  <c r="D1006" i="5"/>
  <c r="D1005" i="5"/>
  <c r="D1004" i="5"/>
  <c r="D1003" i="5"/>
  <c r="D1002" i="5"/>
  <c r="D1001" i="5"/>
  <c r="D1000" i="5"/>
  <c r="D999" i="5"/>
  <c r="D998" i="5"/>
  <c r="D997" i="5"/>
  <c r="D996" i="5"/>
  <c r="D995" i="5"/>
  <c r="D994" i="5"/>
  <c r="D993" i="5"/>
  <c r="D992" i="5"/>
  <c r="D991" i="5"/>
  <c r="D990" i="5"/>
  <c r="D989" i="5"/>
  <c r="D988" i="5"/>
  <c r="D987" i="5"/>
  <c r="D986" i="5"/>
  <c r="D985" i="5"/>
  <c r="D984" i="5"/>
  <c r="D983" i="5"/>
  <c r="D982" i="5"/>
  <c r="D981" i="5"/>
  <c r="D980" i="5"/>
  <c r="D979" i="5"/>
  <c r="D978" i="5"/>
  <c r="D976" i="5"/>
  <c r="D975" i="5"/>
  <c r="D974" i="5"/>
  <c r="D973" i="5"/>
  <c r="D972" i="5"/>
  <c r="D971" i="5"/>
  <c r="D970" i="5"/>
  <c r="D969" i="5"/>
  <c r="D968" i="5"/>
  <c r="D967" i="5"/>
  <c r="D966" i="5"/>
  <c r="D965" i="5"/>
  <c r="D964" i="5"/>
  <c r="D963" i="5"/>
  <c r="D962" i="5"/>
  <c r="D961" i="5"/>
  <c r="D960" i="5"/>
  <c r="D959" i="5"/>
  <c r="D958" i="5"/>
  <c r="D957" i="5"/>
  <c r="D956" i="5"/>
  <c r="D955" i="5"/>
  <c r="D954" i="5"/>
  <c r="D953" i="5"/>
  <c r="D952" i="5"/>
  <c r="D951" i="5"/>
  <c r="D950" i="5"/>
  <c r="D949" i="5"/>
  <c r="D948" i="5"/>
  <c r="D947" i="5"/>
  <c r="D946" i="5"/>
  <c r="D945" i="5"/>
  <c r="D944" i="5"/>
  <c r="D943" i="5"/>
  <c r="D942" i="5"/>
  <c r="D941" i="5"/>
  <c r="D940" i="5"/>
  <c r="D939" i="5"/>
  <c r="D938" i="5"/>
  <c r="D937" i="5"/>
  <c r="D936" i="5"/>
  <c r="D935" i="5"/>
  <c r="D934" i="5"/>
  <c r="D933" i="5"/>
  <c r="D932" i="5"/>
  <c r="D931" i="5"/>
  <c r="D930" i="5"/>
  <c r="D929" i="5"/>
  <c r="D928" i="5"/>
  <c r="D926" i="5"/>
  <c r="D925" i="5"/>
  <c r="D924" i="5"/>
  <c r="D923" i="5"/>
  <c r="D922" i="5"/>
  <c r="D921" i="5"/>
  <c r="D920" i="5"/>
  <c r="D919" i="5"/>
  <c r="D918" i="5"/>
  <c r="D917" i="5"/>
  <c r="D916" i="5"/>
  <c r="D915" i="5"/>
  <c r="D914" i="5"/>
  <c r="D913" i="5"/>
  <c r="D912" i="5"/>
  <c r="D911" i="5"/>
  <c r="D910" i="5"/>
  <c r="D909" i="5"/>
  <c r="D908" i="5"/>
  <c r="D907" i="5"/>
  <c r="D906" i="5"/>
  <c r="D905" i="5"/>
  <c r="D904" i="5"/>
  <c r="D903" i="5"/>
  <c r="D902" i="5"/>
  <c r="D901" i="5"/>
  <c r="D900" i="5"/>
  <c r="D899" i="5"/>
  <c r="D897" i="5"/>
  <c r="D896" i="5"/>
  <c r="D895" i="5"/>
  <c r="D894" i="5"/>
  <c r="D893" i="5"/>
  <c r="D892" i="5"/>
  <c r="D891" i="5"/>
  <c r="D890" i="5"/>
  <c r="D889" i="5"/>
  <c r="D888" i="5"/>
  <c r="D887" i="5"/>
  <c r="D886" i="5"/>
  <c r="D885" i="5"/>
  <c r="D884" i="5"/>
  <c r="D883" i="5"/>
  <c r="D882" i="5"/>
  <c r="D881" i="5"/>
  <c r="D880" i="5"/>
  <c r="D879" i="5"/>
  <c r="D878" i="5"/>
  <c r="D877" i="5"/>
  <c r="D876" i="5"/>
  <c r="D875" i="5"/>
  <c r="D874" i="5"/>
  <c r="D873" i="5"/>
  <c r="D872" i="5"/>
  <c r="D871" i="5"/>
  <c r="D870" i="5"/>
  <c r="D869" i="5"/>
  <c r="D868" i="5"/>
  <c r="D867" i="5"/>
  <c r="D866" i="5"/>
  <c r="D865" i="5"/>
  <c r="D864" i="5"/>
  <c r="D863" i="5"/>
  <c r="D862" i="5"/>
  <c r="D861" i="5"/>
  <c r="D860" i="5"/>
  <c r="D859" i="5"/>
  <c r="D858" i="5"/>
  <c r="D857" i="5"/>
  <c r="D856" i="5"/>
  <c r="D855" i="5"/>
  <c r="D854" i="5"/>
  <c r="D853" i="5"/>
  <c r="D852" i="5"/>
  <c r="D851" i="5"/>
  <c r="D850" i="5"/>
  <c r="D849" i="5"/>
  <c r="D848" i="5"/>
  <c r="D847" i="5"/>
  <c r="D846" i="5"/>
  <c r="D845" i="5"/>
  <c r="D844" i="5"/>
  <c r="D843" i="5"/>
  <c r="D842" i="5"/>
  <c r="D841" i="5"/>
  <c r="D840" i="5"/>
  <c r="D839" i="5"/>
  <c r="D838" i="5"/>
  <c r="D837" i="5"/>
  <c r="D836" i="5"/>
  <c r="D835" i="5"/>
  <c r="D834" i="5"/>
  <c r="D833" i="5"/>
  <c r="D832" i="5"/>
  <c r="D831" i="5"/>
  <c r="D830" i="5"/>
  <c r="D829" i="5"/>
  <c r="D828" i="5"/>
  <c r="D827" i="5"/>
  <c r="D826" i="5"/>
  <c r="D825" i="5"/>
  <c r="D824" i="5"/>
  <c r="D823" i="5"/>
  <c r="D822" i="5"/>
  <c r="D821" i="5"/>
  <c r="D820" i="5"/>
  <c r="D819" i="5"/>
  <c r="D818" i="5"/>
  <c r="D816" i="5"/>
  <c r="D815" i="5"/>
  <c r="D814" i="5"/>
  <c r="D813" i="5"/>
  <c r="D812" i="5"/>
  <c r="D811" i="5"/>
  <c r="D810" i="5"/>
  <c r="D809" i="5"/>
  <c r="D808" i="5"/>
  <c r="D807" i="5"/>
  <c r="D806" i="5"/>
  <c r="D805" i="5"/>
  <c r="D804" i="5"/>
  <c r="D803" i="5"/>
  <c r="D802" i="5"/>
  <c r="D801" i="5"/>
  <c r="D800" i="5"/>
  <c r="D799" i="5"/>
  <c r="D798" i="5"/>
  <c r="D797" i="5"/>
  <c r="D796" i="5"/>
  <c r="D795" i="5"/>
  <c r="D794" i="5"/>
  <c r="D793" i="5"/>
  <c r="D791" i="5"/>
  <c r="D790" i="5"/>
  <c r="D789" i="5"/>
  <c r="D788" i="5"/>
  <c r="D787" i="5"/>
  <c r="D786" i="5"/>
  <c r="D785" i="5"/>
  <c r="D784" i="5"/>
  <c r="D783" i="5"/>
  <c r="D782" i="5"/>
  <c r="D781" i="5"/>
  <c r="D780" i="5"/>
  <c r="D779" i="5"/>
  <c r="D778" i="5"/>
  <c r="D777" i="5"/>
  <c r="D776" i="5"/>
  <c r="D775" i="5"/>
  <c r="D774" i="5"/>
  <c r="D773" i="5"/>
  <c r="D772" i="5"/>
  <c r="D771" i="5"/>
  <c r="D770" i="5"/>
  <c r="D769" i="5"/>
  <c r="D768" i="5"/>
  <c r="D767" i="5"/>
  <c r="D766" i="5"/>
  <c r="D765" i="5"/>
  <c r="D764" i="5"/>
  <c r="D763" i="5"/>
  <c r="D762" i="5"/>
  <c r="D761" i="5"/>
  <c r="D760" i="5"/>
  <c r="D759" i="5"/>
  <c r="D758" i="5"/>
  <c r="D757" i="5"/>
  <c r="D756" i="5"/>
  <c r="D755" i="5"/>
  <c r="D753" i="5"/>
  <c r="D752" i="5"/>
  <c r="D751" i="5"/>
  <c r="D750" i="5"/>
  <c r="D749" i="5"/>
  <c r="D748" i="5"/>
  <c r="D747" i="5"/>
  <c r="D746" i="5"/>
  <c r="D745" i="5"/>
  <c r="D744" i="5"/>
  <c r="D743" i="5"/>
  <c r="D742" i="5"/>
  <c r="D741" i="5"/>
  <c r="D740" i="5"/>
  <c r="D739" i="5"/>
  <c r="D738" i="5"/>
  <c r="D737" i="5"/>
  <c r="D736" i="5"/>
  <c r="D735" i="5"/>
  <c r="D734" i="5"/>
  <c r="D733" i="5"/>
  <c r="D732" i="5"/>
  <c r="D731" i="5"/>
  <c r="D730" i="5"/>
  <c r="D728" i="5"/>
  <c r="D727" i="5"/>
  <c r="D726" i="5"/>
  <c r="D725" i="5"/>
  <c r="D724" i="5"/>
  <c r="D723" i="5"/>
  <c r="D722" i="5"/>
  <c r="D721" i="5"/>
  <c r="D720" i="5"/>
  <c r="D719" i="5"/>
  <c r="D718" i="5"/>
  <c r="D717" i="5"/>
  <c r="D716" i="5"/>
  <c r="D715" i="5"/>
  <c r="D714" i="5"/>
  <c r="D713" i="5"/>
  <c r="D712" i="5"/>
  <c r="D711" i="5"/>
  <c r="D710" i="5"/>
  <c r="D709" i="5"/>
  <c r="D708" i="5"/>
  <c r="D707" i="5"/>
  <c r="D706" i="5"/>
  <c r="D705" i="5"/>
  <c r="D704" i="5"/>
  <c r="D703" i="5"/>
  <c r="D702" i="5"/>
  <c r="D701" i="5"/>
  <c r="D700" i="5"/>
  <c r="D699" i="5"/>
  <c r="D698" i="5"/>
  <c r="D697" i="5"/>
  <c r="D696" i="5"/>
  <c r="D694" i="5"/>
  <c r="D693" i="5"/>
  <c r="D692" i="5"/>
  <c r="D691" i="5"/>
  <c r="D690" i="5"/>
  <c r="D689" i="5"/>
  <c r="D688" i="5"/>
  <c r="D687" i="5"/>
  <c r="D686" i="5"/>
  <c r="D685" i="5"/>
  <c r="D684" i="5"/>
  <c r="D683" i="5"/>
  <c r="D682" i="5"/>
  <c r="D681" i="5"/>
  <c r="D680" i="5"/>
  <c r="D679" i="5"/>
  <c r="D678" i="5"/>
  <c r="D677" i="5"/>
  <c r="D676" i="5"/>
  <c r="D675" i="5"/>
  <c r="D674" i="5"/>
  <c r="D673" i="5"/>
  <c r="D672" i="5"/>
  <c r="D671" i="5"/>
  <c r="D670" i="5"/>
  <c r="D669" i="5"/>
  <c r="D668" i="5"/>
  <c r="D667" i="5"/>
  <c r="D666" i="5"/>
  <c r="D665" i="5"/>
  <c r="D664" i="5"/>
  <c r="D663" i="5"/>
  <c r="D662" i="5"/>
  <c r="D661" i="5"/>
  <c r="D659" i="5"/>
  <c r="D658" i="5"/>
  <c r="D657" i="5"/>
  <c r="D656" i="5"/>
  <c r="D655" i="5"/>
  <c r="D654" i="5"/>
  <c r="D653" i="5"/>
  <c r="D652" i="5"/>
  <c r="D651" i="5"/>
  <c r="D650" i="5"/>
  <c r="D649" i="5"/>
  <c r="D648" i="5"/>
  <c r="D647" i="5"/>
  <c r="D646" i="5"/>
  <c r="D645" i="5"/>
  <c r="D644" i="5"/>
  <c r="D643" i="5"/>
  <c r="D642" i="5"/>
  <c r="D641" i="5"/>
  <c r="D640" i="5"/>
  <c r="D639" i="5"/>
  <c r="D638" i="5"/>
  <c r="D637" i="5"/>
  <c r="D636" i="5"/>
  <c r="D635" i="5"/>
  <c r="D634" i="5"/>
  <c r="D633" i="5"/>
  <c r="D632" i="5"/>
  <c r="D630" i="5"/>
  <c r="D629" i="5"/>
  <c r="D628" i="5"/>
  <c r="D627" i="5"/>
  <c r="D626" i="5"/>
  <c r="D625" i="5"/>
  <c r="D624" i="5"/>
  <c r="D623" i="5"/>
  <c r="D622" i="5"/>
  <c r="D621" i="5"/>
  <c r="D620" i="5"/>
  <c r="D619" i="5"/>
  <c r="D618" i="5"/>
  <c r="D617" i="5"/>
  <c r="D616" i="5"/>
  <c r="D615" i="5"/>
  <c r="D614" i="5"/>
  <c r="D613" i="5"/>
  <c r="D612" i="5"/>
  <c r="D611" i="5"/>
  <c r="D610" i="5"/>
  <c r="D609" i="5"/>
  <c r="D608" i="5"/>
  <c r="D607" i="5"/>
  <c r="D606" i="5"/>
  <c r="D605" i="5"/>
  <c r="D604" i="5"/>
  <c r="D603" i="5"/>
  <c r="D601" i="5"/>
  <c r="D600" i="5"/>
  <c r="D599" i="5"/>
  <c r="D598" i="5"/>
  <c r="D597" i="5"/>
  <c r="D596" i="5"/>
  <c r="D595" i="5"/>
  <c r="D594" i="5"/>
  <c r="D593" i="5"/>
  <c r="D592" i="5"/>
  <c r="D591" i="5"/>
  <c r="D590" i="5"/>
  <c r="D589" i="5"/>
  <c r="D588" i="5"/>
  <c r="D587" i="5"/>
  <c r="D586" i="5"/>
  <c r="D585" i="5"/>
  <c r="D584" i="5"/>
  <c r="D583" i="5"/>
  <c r="D582" i="5"/>
  <c r="D581" i="5"/>
  <c r="D580" i="5"/>
  <c r="D579" i="5"/>
  <c r="D578" i="5"/>
  <c r="D577" i="5"/>
  <c r="D576" i="5"/>
  <c r="D575" i="5"/>
  <c r="D574" i="5"/>
  <c r="D573" i="5"/>
  <c r="D572" i="5"/>
  <c r="D571" i="5"/>
  <c r="D570" i="5"/>
  <c r="D568" i="5"/>
  <c r="D567" i="5"/>
  <c r="D566" i="5"/>
  <c r="D565" i="5"/>
  <c r="D564" i="5"/>
  <c r="D563" i="5"/>
  <c r="D562" i="5"/>
  <c r="D561" i="5"/>
  <c r="D560" i="5"/>
  <c r="D559" i="5"/>
  <c r="D558" i="5"/>
  <c r="D557" i="5"/>
  <c r="D556" i="5"/>
  <c r="D555" i="5"/>
  <c r="D554" i="5"/>
  <c r="D553" i="5"/>
  <c r="D552" i="5"/>
  <c r="D551" i="5"/>
  <c r="D550" i="5"/>
  <c r="D549" i="5"/>
  <c r="D548" i="5"/>
  <c r="D547" i="5"/>
  <c r="D546" i="5"/>
  <c r="D545" i="5"/>
  <c r="D544" i="5"/>
  <c r="D543" i="5"/>
  <c r="D542" i="5"/>
  <c r="D541" i="5"/>
  <c r="D540" i="5"/>
  <c r="D539" i="5"/>
  <c r="D538" i="5"/>
  <c r="D537" i="5"/>
  <c r="D536" i="5"/>
  <c r="D535" i="5"/>
  <c r="D534" i="5"/>
  <c r="D533" i="5"/>
  <c r="D532" i="5"/>
  <c r="D531" i="5"/>
  <c r="D530" i="5"/>
  <c r="D529" i="5"/>
  <c r="D528" i="5"/>
  <c r="D527" i="5"/>
  <c r="D526" i="5"/>
  <c r="D525" i="5"/>
  <c r="D524" i="5"/>
  <c r="D523" i="5"/>
  <c r="D522" i="5"/>
  <c r="D521" i="5"/>
  <c r="D520" i="5"/>
  <c r="D519" i="5"/>
  <c r="D518" i="5"/>
  <c r="D517" i="5"/>
  <c r="D516" i="5"/>
  <c r="D515" i="5"/>
  <c r="D514" i="5"/>
  <c r="D513" i="5"/>
  <c r="D512" i="5"/>
  <c r="D511" i="5"/>
  <c r="D510" i="5"/>
  <c r="D509" i="5"/>
  <c r="D508" i="5"/>
  <c r="D507" i="5"/>
  <c r="D506" i="5"/>
  <c r="D505" i="5"/>
  <c r="D504" i="5"/>
  <c r="D502" i="5"/>
  <c r="D501" i="5"/>
  <c r="D500" i="5"/>
  <c r="D499" i="5"/>
  <c r="D498" i="5"/>
  <c r="D497" i="5"/>
  <c r="D496" i="5"/>
  <c r="D495" i="5"/>
  <c r="D494" i="5"/>
  <c r="D493" i="5"/>
  <c r="D492" i="5"/>
  <c r="D491" i="5"/>
  <c r="D490" i="5"/>
  <c r="D489" i="5"/>
  <c r="D488" i="5"/>
  <c r="D487" i="5"/>
  <c r="D486" i="5"/>
  <c r="D485" i="5"/>
  <c r="D484" i="5"/>
  <c r="D483" i="5"/>
  <c r="D482" i="5"/>
  <c r="D481" i="5"/>
  <c r="D480" i="5"/>
  <c r="D479" i="5"/>
  <c r="D478" i="5"/>
  <c r="D477" i="5"/>
  <c r="D476" i="5"/>
  <c r="D474" i="5"/>
  <c r="D473" i="5"/>
  <c r="D472" i="5"/>
  <c r="D471" i="5"/>
  <c r="D470" i="5"/>
  <c r="D469" i="5"/>
  <c r="D468" i="5"/>
  <c r="D467" i="5"/>
  <c r="D466" i="5"/>
  <c r="D465" i="5"/>
  <c r="D464" i="5"/>
  <c r="D463" i="5"/>
  <c r="D462" i="5"/>
  <c r="D461" i="5"/>
  <c r="D460" i="5"/>
  <c r="D459" i="5"/>
  <c r="D458" i="5"/>
  <c r="D457" i="5"/>
  <c r="D456" i="5"/>
  <c r="D455" i="5"/>
  <c r="D454" i="5"/>
  <c r="D453" i="5"/>
  <c r="D452" i="5"/>
  <c r="D451" i="5"/>
  <c r="D450" i="5"/>
  <c r="D449" i="5"/>
  <c r="D448" i="5"/>
  <c r="D447" i="5"/>
  <c r="D446" i="5"/>
  <c r="D445" i="5"/>
  <c r="D444" i="5"/>
  <c r="D443" i="5"/>
  <c r="D442" i="5"/>
  <c r="D441" i="5"/>
  <c r="D440" i="5"/>
  <c r="D439" i="5"/>
  <c r="D438" i="5"/>
  <c r="D437" i="5"/>
  <c r="D436" i="5"/>
  <c r="D435" i="5"/>
  <c r="D434" i="5"/>
  <c r="D433" i="5"/>
  <c r="D432" i="5"/>
  <c r="D431" i="5"/>
  <c r="D430" i="5"/>
  <c r="D429" i="5"/>
  <c r="D427" i="5"/>
  <c r="D426" i="5"/>
  <c r="D425" i="5"/>
  <c r="D424" i="5"/>
  <c r="D423" i="5"/>
  <c r="D422" i="5"/>
  <c r="D421" i="5"/>
  <c r="D420" i="5"/>
  <c r="D419" i="5"/>
  <c r="D418" i="5"/>
  <c r="D417" i="5"/>
  <c r="D416" i="5"/>
  <c r="D415" i="5"/>
  <c r="D414" i="5"/>
  <c r="D413" i="5"/>
  <c r="D412" i="5"/>
  <c r="D411" i="5"/>
  <c r="D410" i="5"/>
  <c r="D409" i="5"/>
  <c r="D408" i="5"/>
  <c r="D407" i="5"/>
  <c r="D406" i="5"/>
  <c r="D405" i="5"/>
  <c r="D404" i="5"/>
  <c r="D403" i="5"/>
  <c r="D402" i="5"/>
  <c r="D401" i="5"/>
  <c r="D400" i="5"/>
  <c r="D399" i="5"/>
  <c r="D398" i="5"/>
  <c r="D397" i="5"/>
  <c r="D396" i="5"/>
  <c r="D395" i="5"/>
  <c r="D394" i="5"/>
  <c r="D393" i="5"/>
  <c r="D392" i="5"/>
  <c r="D391" i="5"/>
  <c r="D390" i="5"/>
  <c r="D389" i="5"/>
  <c r="D388" i="5"/>
  <c r="D387" i="5"/>
  <c r="D386" i="5"/>
  <c r="D385" i="5"/>
  <c r="D384" i="5"/>
  <c r="D383" i="5"/>
  <c r="D382" i="5"/>
  <c r="D381" i="5"/>
  <c r="D380" i="5"/>
  <c r="D379" i="5"/>
  <c r="D378" i="5"/>
  <c r="D377" i="5"/>
  <c r="D376" i="5"/>
  <c r="D375" i="5"/>
  <c r="D374" i="5"/>
  <c r="D373" i="5"/>
  <c r="D372" i="5"/>
  <c r="D371" i="5"/>
  <c r="D370" i="5"/>
  <c r="D369" i="5"/>
  <c r="D368" i="5"/>
  <c r="D367" i="5"/>
  <c r="D366" i="5"/>
  <c r="D365" i="5"/>
  <c r="D364" i="5"/>
  <c r="D363" i="5"/>
  <c r="D362" i="5"/>
  <c r="D361" i="5"/>
  <c r="D360" i="5"/>
  <c r="D359" i="5"/>
  <c r="D358" i="5"/>
  <c r="D357" i="5"/>
  <c r="D356" i="5"/>
  <c r="D355" i="5"/>
  <c r="D354" i="5"/>
  <c r="D353" i="5"/>
  <c r="D352" i="5"/>
  <c r="D351" i="5"/>
  <c r="D350" i="5"/>
  <c r="D349" i="5"/>
  <c r="D348" i="5"/>
  <c r="D347" i="5"/>
  <c r="D346" i="5"/>
  <c r="D344" i="5"/>
  <c r="D343" i="5"/>
  <c r="D342" i="5"/>
  <c r="D341" i="5"/>
  <c r="D340" i="5"/>
  <c r="D339" i="5"/>
  <c r="D338" i="5"/>
  <c r="D337" i="5"/>
  <c r="D336" i="5"/>
  <c r="D335" i="5"/>
  <c r="D334" i="5"/>
  <c r="D333" i="5"/>
  <c r="D332" i="5"/>
  <c r="D331" i="5"/>
  <c r="D330" i="5"/>
  <c r="D329" i="5"/>
  <c r="D328" i="5"/>
  <c r="D327" i="5"/>
  <c r="D326" i="5"/>
  <c r="D325" i="5"/>
  <c r="D324" i="5"/>
  <c r="D323" i="5"/>
  <c r="D322" i="5"/>
  <c r="D321" i="5"/>
  <c r="D320" i="5"/>
  <c r="D319" i="5"/>
  <c r="D318" i="5"/>
  <c r="D317" i="5"/>
  <c r="D316" i="5"/>
  <c r="D315" i="5"/>
  <c r="D314" i="5"/>
  <c r="D313" i="5"/>
  <c r="D312" i="5"/>
  <c r="D311" i="5"/>
  <c r="D310" i="5"/>
  <c r="D309" i="5"/>
  <c r="D307" i="5"/>
  <c r="D306" i="5"/>
  <c r="D305" i="5"/>
  <c r="D304" i="5"/>
  <c r="D303" i="5"/>
  <c r="D302" i="5"/>
  <c r="D301" i="5"/>
  <c r="D300" i="5"/>
  <c r="D299" i="5"/>
  <c r="D298" i="5"/>
  <c r="D297" i="5"/>
  <c r="D296" i="5"/>
  <c r="D295" i="5"/>
  <c r="D294" i="5"/>
  <c r="D293" i="5"/>
  <c r="D292" i="5"/>
  <c r="D291" i="5"/>
  <c r="D290" i="5"/>
  <c r="D289" i="5"/>
  <c r="D288" i="5"/>
  <c r="D287" i="5"/>
  <c r="D286" i="5"/>
  <c r="D285" i="5"/>
  <c r="D284" i="5"/>
  <c r="D283" i="5"/>
  <c r="D282" i="5"/>
  <c r="D281" i="5"/>
  <c r="D280" i="5"/>
  <c r="D279" i="5"/>
  <c r="D278" i="5"/>
  <c r="D277" i="5"/>
  <c r="D276" i="5"/>
  <c r="D275" i="5"/>
  <c r="D273" i="5"/>
  <c r="D272" i="5"/>
  <c r="D271" i="5"/>
  <c r="D270" i="5"/>
  <c r="D269" i="5"/>
  <c r="D268" i="5"/>
  <c r="D267" i="5"/>
  <c r="D266" i="5"/>
  <c r="D265" i="5"/>
  <c r="D264" i="5"/>
  <c r="D263" i="5"/>
  <c r="D262" i="5"/>
  <c r="D261" i="5"/>
  <c r="D260" i="5"/>
  <c r="D259" i="5"/>
  <c r="D258" i="5"/>
  <c r="D257" i="5"/>
  <c r="D256" i="5"/>
  <c r="D255" i="5"/>
  <c r="D254" i="5"/>
  <c r="D253" i="5"/>
  <c r="D252" i="5"/>
  <c r="D251" i="5"/>
  <c r="D250" i="5"/>
  <c r="D249" i="5"/>
  <c r="D248" i="5"/>
  <c r="D247" i="5"/>
  <c r="D246" i="5"/>
  <c r="D245" i="5"/>
  <c r="D244" i="5"/>
  <c r="D243" i="5"/>
  <c r="D242" i="5"/>
  <c r="D241" i="5"/>
  <c r="D240" i="5"/>
  <c r="D239" i="5"/>
  <c r="D238" i="5"/>
  <c r="D237" i="5"/>
  <c r="D236" i="5"/>
  <c r="D235" i="5"/>
  <c r="D234" i="5"/>
  <c r="D233" i="5"/>
  <c r="D232" i="5"/>
  <c r="D231" i="5"/>
  <c r="D230" i="5"/>
  <c r="D229" i="5"/>
  <c r="D228" i="5"/>
  <c r="D227" i="5"/>
  <c r="D226" i="5"/>
  <c r="D225" i="5"/>
  <c r="D224" i="5"/>
  <c r="D223" i="5"/>
  <c r="D222" i="5"/>
  <c r="D221" i="5"/>
  <c r="D220" i="5"/>
  <c r="D219" i="5"/>
  <c r="D218" i="5"/>
  <c r="D217" i="5"/>
  <c r="D216" i="5"/>
  <c r="D215" i="5"/>
  <c r="D214" i="5"/>
  <c r="D213" i="5"/>
  <c r="D212" i="5"/>
  <c r="D211" i="5"/>
  <c r="D210" i="5"/>
  <c r="D209" i="5"/>
  <c r="D208" i="5"/>
  <c r="D207" i="5"/>
  <c r="D206" i="5"/>
  <c r="D205" i="5"/>
  <c r="D204" i="5"/>
  <c r="D203" i="5"/>
  <c r="D202" i="5"/>
  <c r="D201" i="5"/>
  <c r="D200" i="5"/>
  <c r="D199" i="5"/>
  <c r="D198" i="5"/>
  <c r="D197" i="5"/>
  <c r="D196" i="5"/>
  <c r="D195" i="5"/>
  <c r="D194" i="5"/>
  <c r="D193" i="5"/>
  <c r="D192" i="5"/>
  <c r="D191" i="5"/>
  <c r="D190" i="5"/>
  <c r="D189" i="5"/>
  <c r="D188" i="5"/>
  <c r="D187" i="5"/>
  <c r="D186" i="5"/>
  <c r="D185" i="5"/>
  <c r="D184" i="5"/>
  <c r="D183" i="5"/>
  <c r="D182" i="5"/>
  <c r="D181" i="5"/>
  <c r="D180" i="5"/>
  <c r="D179" i="5"/>
  <c r="D178" i="5"/>
  <c r="D177" i="5"/>
  <c r="D176" i="5"/>
  <c r="D175" i="5"/>
  <c r="D174" i="5"/>
  <c r="D173" i="5"/>
  <c r="D172" i="5"/>
  <c r="D170" i="5"/>
  <c r="D169" i="5"/>
  <c r="D168" i="5"/>
  <c r="D167" i="5"/>
  <c r="D166" i="5"/>
  <c r="D165" i="5"/>
  <c r="D164" i="5"/>
  <c r="D163" i="5"/>
  <c r="D162" i="5"/>
  <c r="D161" i="5"/>
  <c r="D160" i="5"/>
  <c r="D159" i="5"/>
  <c r="D158" i="5"/>
  <c r="D157" i="5"/>
  <c r="D156" i="5"/>
  <c r="D155" i="5"/>
  <c r="D154" i="5"/>
  <c r="D153" i="5"/>
  <c r="D152" i="5"/>
  <c r="D151" i="5"/>
  <c r="D150" i="5"/>
  <c r="D149" i="5"/>
  <c r="D148" i="5"/>
  <c r="D147" i="5"/>
  <c r="D146" i="5"/>
  <c r="D145" i="5"/>
  <c r="D144" i="5"/>
  <c r="D143" i="5"/>
  <c r="D142" i="5"/>
  <c r="D141" i="5"/>
  <c r="D140" i="5"/>
  <c r="D139" i="5"/>
  <c r="D138" i="5"/>
  <c r="D137" i="5"/>
  <c r="D136" i="5"/>
  <c r="D135" i="5"/>
  <c r="D134" i="5"/>
  <c r="D133" i="5"/>
  <c r="D132" i="5"/>
  <c r="D131" i="5"/>
  <c r="D130" i="5"/>
  <c r="D129" i="5"/>
  <c r="D128" i="5"/>
  <c r="D127" i="5"/>
  <c r="D126" i="5"/>
  <c r="D125" i="5"/>
  <c r="D124" i="5"/>
  <c r="D123" i="5"/>
  <c r="D122" i="5"/>
  <c r="D121" i="5"/>
  <c r="D120" i="5"/>
  <c r="D119" i="5"/>
  <c r="D118" i="5"/>
  <c r="D117" i="5"/>
  <c r="D116" i="5"/>
  <c r="D115" i="5"/>
  <c r="D114" i="5"/>
  <c r="D113" i="5"/>
  <c r="D112" i="5"/>
  <c r="D111" i="5"/>
  <c r="D110" i="5"/>
  <c r="D109" i="5"/>
  <c r="D108" i="5"/>
  <c r="D107" i="5"/>
  <c r="D106" i="5"/>
  <c r="D105" i="5"/>
  <c r="D104" i="5"/>
  <c r="D103" i="5"/>
  <c r="D102" i="5"/>
  <c r="D101" i="5"/>
  <c r="D100" i="5"/>
  <c r="D99" i="5"/>
  <c r="D98" i="5"/>
  <c r="D97" i="5"/>
  <c r="D96" i="5"/>
  <c r="D95" i="5"/>
  <c r="D94" i="5"/>
  <c r="D93" i="5"/>
  <c r="D92" i="5"/>
  <c r="D91" i="5"/>
  <c r="D90" i="5"/>
  <c r="D89" i="5"/>
  <c r="D88" i="5"/>
  <c r="D87" i="5"/>
  <c r="D86" i="5"/>
  <c r="D85" i="5"/>
  <c r="D84" i="5"/>
  <c r="D83" i="5"/>
  <c r="D82" i="5"/>
  <c r="D81" i="5"/>
  <c r="D80" i="5"/>
  <c r="D79" i="5"/>
  <c r="D78" i="5"/>
  <c r="D77" i="5"/>
  <c r="D76" i="5"/>
  <c r="D75" i="5"/>
  <c r="D74" i="5"/>
  <c r="D73" i="5"/>
  <c r="D72" i="5"/>
  <c r="D71" i="5"/>
  <c r="D70" i="5"/>
  <c r="D69" i="5"/>
  <c r="D68" i="5"/>
  <c r="D67" i="5"/>
  <c r="D66" i="5"/>
  <c r="D65" i="5"/>
  <c r="D64" i="5"/>
  <c r="D63" i="5"/>
  <c r="D62" i="5"/>
  <c r="D61" i="5"/>
  <c r="D60" i="5"/>
  <c r="D59" i="5"/>
  <c r="D58" i="5"/>
  <c r="D57" i="5"/>
  <c r="D56" i="5"/>
  <c r="D55" i="5"/>
  <c r="D54" i="5"/>
  <c r="D53" i="5"/>
  <c r="D52" i="5"/>
  <c r="D51" i="5"/>
  <c r="D50" i="5"/>
  <c r="D49" i="5"/>
  <c r="D47" i="5"/>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3" i="5"/>
  <c r="D12" i="5"/>
  <c r="D11" i="5"/>
  <c r="D10" i="5"/>
  <c r="D9" i="5"/>
  <c r="D8" i="5"/>
  <c r="D7" i="5"/>
  <c r="D6" i="5"/>
  <c r="D5" i="5"/>
  <c r="D4" i="5"/>
  <c r="D3" i="5"/>
  <c r="D2" i="5"/>
  <c r="D1" i="5"/>
  <c r="C5000" i="5"/>
  <c r="B5000" i="5"/>
  <c r="A5000" i="5"/>
  <c r="C4999" i="5"/>
  <c r="B4999" i="5"/>
  <c r="A4999" i="5"/>
  <c r="C4998" i="5"/>
  <c r="B4998" i="5"/>
  <c r="A4998" i="5"/>
  <c r="C4997" i="5"/>
  <c r="B4997" i="5"/>
  <c r="A4997" i="5"/>
  <c r="C4996" i="5"/>
  <c r="B4996" i="5"/>
  <c r="A4996" i="5"/>
  <c r="C4995" i="5"/>
  <c r="B4995" i="5"/>
  <c r="A4995" i="5"/>
  <c r="C4994" i="5"/>
  <c r="B4994" i="5"/>
  <c r="A4994" i="5"/>
  <c r="C4993" i="5"/>
  <c r="B4993" i="5"/>
  <c r="A4993" i="5"/>
  <c r="C4992" i="5"/>
  <c r="B4992" i="5"/>
  <c r="A4992" i="5"/>
  <c r="C4991" i="5"/>
  <c r="B4991" i="5"/>
  <c r="A4991" i="5"/>
  <c r="C4990" i="5"/>
  <c r="B4990" i="5"/>
  <c r="A4990" i="5"/>
  <c r="C4989" i="5"/>
  <c r="B4989" i="5"/>
  <c r="A4989" i="5"/>
  <c r="C4988" i="5"/>
  <c r="B4988" i="5"/>
  <c r="A4988" i="5"/>
  <c r="C4987" i="5"/>
  <c r="B4987" i="5"/>
  <c r="A4987" i="5"/>
  <c r="C4986" i="5"/>
  <c r="B4986" i="5"/>
  <c r="A4986" i="5"/>
  <c r="C4985" i="5"/>
  <c r="B4985" i="5"/>
  <c r="A4985" i="5"/>
  <c r="C4984" i="5"/>
  <c r="B4984" i="5"/>
  <c r="A4984" i="5"/>
  <c r="C4983" i="5"/>
  <c r="B4983" i="5"/>
  <c r="A4983" i="5"/>
  <c r="C4982" i="5"/>
  <c r="B4982" i="5"/>
  <c r="A4982" i="5"/>
  <c r="C4981" i="5"/>
  <c r="B4981" i="5"/>
  <c r="A4981" i="5"/>
  <c r="C4980" i="5"/>
  <c r="B4980" i="5"/>
  <c r="A4980" i="5"/>
  <c r="C4979" i="5"/>
  <c r="B4979" i="5"/>
  <c r="A4979" i="5"/>
  <c r="C4978" i="5"/>
  <c r="B4978" i="5"/>
  <c r="A4978" i="5"/>
  <c r="C4977" i="5"/>
  <c r="B4977" i="5"/>
  <c r="A4977" i="5"/>
  <c r="C4976" i="5"/>
  <c r="B4976" i="5"/>
  <c r="A4976" i="5"/>
  <c r="C4975" i="5"/>
  <c r="B4975" i="5"/>
  <c r="A4975" i="5"/>
  <c r="C4974" i="5"/>
  <c r="B4974" i="5"/>
  <c r="A4974" i="5"/>
  <c r="C4973" i="5"/>
  <c r="B4973" i="5"/>
  <c r="A4973" i="5"/>
  <c r="C4972" i="5"/>
  <c r="B4972" i="5"/>
  <c r="A4972" i="5"/>
  <c r="C4971" i="5"/>
  <c r="B4971" i="5"/>
  <c r="A4971" i="5"/>
  <c r="C4970" i="5"/>
  <c r="B4970" i="5"/>
  <c r="A4970" i="5"/>
  <c r="C4969" i="5"/>
  <c r="B4969" i="5"/>
  <c r="A4969" i="5"/>
  <c r="C4968" i="5"/>
  <c r="B4968" i="5"/>
  <c r="A4968" i="5"/>
  <c r="C4967" i="5"/>
  <c r="B4967" i="5"/>
  <c r="A4967" i="5"/>
  <c r="C4966" i="5"/>
  <c r="B4966" i="5"/>
  <c r="A4966" i="5"/>
  <c r="C4965" i="5"/>
  <c r="B4965" i="5"/>
  <c r="A4965" i="5"/>
  <c r="C4964" i="5"/>
  <c r="B4964" i="5"/>
  <c r="A4964" i="5"/>
  <c r="C4963" i="5"/>
  <c r="B4963" i="5"/>
  <c r="A4963" i="5"/>
  <c r="C4962" i="5"/>
  <c r="B4962" i="5"/>
  <c r="A4962" i="5"/>
  <c r="C4961" i="5"/>
  <c r="B4961" i="5"/>
  <c r="A4961" i="5"/>
  <c r="C4960" i="5"/>
  <c r="B4960" i="5"/>
  <c r="A4960" i="5"/>
  <c r="C4959" i="5"/>
  <c r="B4959" i="5"/>
  <c r="A4959" i="5"/>
  <c r="C4958" i="5"/>
  <c r="B4958" i="5"/>
  <c r="A4958" i="5"/>
  <c r="C4957" i="5"/>
  <c r="B4957" i="5"/>
  <c r="A4957" i="5"/>
  <c r="C4956" i="5"/>
  <c r="B4956" i="5"/>
  <c r="A4956" i="5"/>
  <c r="C4955" i="5"/>
  <c r="B4955" i="5"/>
  <c r="A4955" i="5"/>
  <c r="C4954" i="5"/>
  <c r="B4954" i="5"/>
  <c r="A4954" i="5"/>
  <c r="C4953" i="5"/>
  <c r="B4953" i="5"/>
  <c r="A4953" i="5"/>
  <c r="C4952" i="5"/>
  <c r="B4952" i="5"/>
  <c r="A4952" i="5"/>
  <c r="C4951" i="5"/>
  <c r="B4951" i="5"/>
  <c r="A4951" i="5"/>
  <c r="C4950" i="5"/>
  <c r="B4950" i="5"/>
  <c r="A4950" i="5"/>
  <c r="C4949" i="5"/>
  <c r="B4949" i="5"/>
  <c r="A4949" i="5"/>
  <c r="C4948" i="5"/>
  <c r="B4948" i="5"/>
  <c r="A4948" i="5"/>
  <c r="C4947" i="5"/>
  <c r="B4947" i="5"/>
  <c r="A4947" i="5"/>
  <c r="C4946" i="5"/>
  <c r="B4946" i="5"/>
  <c r="A4946" i="5"/>
  <c r="C4945" i="5"/>
  <c r="B4945" i="5"/>
  <c r="A4945" i="5"/>
  <c r="C4944" i="5"/>
  <c r="B4944" i="5"/>
  <c r="A4944" i="5"/>
  <c r="C4943" i="5"/>
  <c r="B4943" i="5"/>
  <c r="A4943" i="5"/>
  <c r="C4942" i="5"/>
  <c r="B4942" i="5"/>
  <c r="A4942" i="5"/>
  <c r="C4941" i="5"/>
  <c r="B4941" i="5"/>
  <c r="A4941" i="5"/>
  <c r="C4940" i="5"/>
  <c r="B4940" i="5"/>
  <c r="A4940" i="5"/>
  <c r="C4939" i="5"/>
  <c r="B4939" i="5"/>
  <c r="A4939" i="5"/>
  <c r="C4938" i="5"/>
  <c r="B4938" i="5"/>
  <c r="A4938" i="5"/>
  <c r="C4937" i="5"/>
  <c r="B4937" i="5"/>
  <c r="A4937" i="5"/>
  <c r="C4936" i="5"/>
  <c r="B4936" i="5"/>
  <c r="A4936" i="5"/>
  <c r="C4935" i="5"/>
  <c r="B4935" i="5"/>
  <c r="A4935" i="5"/>
  <c r="C4934" i="5"/>
  <c r="B4934" i="5"/>
  <c r="A4934" i="5"/>
  <c r="C4933" i="5"/>
  <c r="B4933" i="5"/>
  <c r="A4933" i="5"/>
  <c r="C4932" i="5"/>
  <c r="B4932" i="5"/>
  <c r="A4932" i="5"/>
  <c r="C4931" i="5"/>
  <c r="B4931" i="5"/>
  <c r="A4931" i="5"/>
  <c r="C4930" i="5"/>
  <c r="B4930" i="5"/>
  <c r="A4930" i="5"/>
  <c r="C4929" i="5"/>
  <c r="B4929" i="5"/>
  <c r="A4929" i="5"/>
  <c r="C4928" i="5"/>
  <c r="B4928" i="5"/>
  <c r="A4928" i="5"/>
  <c r="C4927" i="5"/>
  <c r="B4927" i="5"/>
  <c r="A4927" i="5"/>
  <c r="C4926" i="5"/>
  <c r="B4926" i="5"/>
  <c r="A4926" i="5"/>
  <c r="C4925" i="5"/>
  <c r="B4925" i="5"/>
  <c r="A4925" i="5"/>
  <c r="C4924" i="5"/>
  <c r="B4924" i="5"/>
  <c r="A4924" i="5"/>
  <c r="C4923" i="5"/>
  <c r="B4923" i="5"/>
  <c r="A4923" i="5"/>
  <c r="C4922" i="5"/>
  <c r="B4922" i="5"/>
  <c r="A4922" i="5"/>
  <c r="C4921" i="5"/>
  <c r="B4921" i="5"/>
  <c r="A4921" i="5"/>
  <c r="C4920" i="5"/>
  <c r="B4920" i="5"/>
  <c r="A4920" i="5"/>
  <c r="C4919" i="5"/>
  <c r="B4919" i="5"/>
  <c r="A4919" i="5"/>
  <c r="C4918" i="5"/>
  <c r="B4918" i="5"/>
  <c r="A4918" i="5"/>
  <c r="C4917" i="5"/>
  <c r="B4917" i="5"/>
  <c r="A4917" i="5"/>
  <c r="C4916" i="5"/>
  <c r="B4916" i="5"/>
  <c r="A4916" i="5"/>
  <c r="C4915" i="5"/>
  <c r="B4915" i="5"/>
  <c r="A4915" i="5"/>
  <c r="C4914" i="5"/>
  <c r="B4914" i="5"/>
  <c r="A4914" i="5"/>
  <c r="C4913" i="5"/>
  <c r="B4913" i="5"/>
  <c r="A4913" i="5"/>
  <c r="C4912" i="5"/>
  <c r="B4912" i="5"/>
  <c r="A4912" i="5"/>
  <c r="C4911" i="5"/>
  <c r="B4911" i="5"/>
  <c r="A4911" i="5"/>
  <c r="C4910" i="5"/>
  <c r="B4910" i="5"/>
  <c r="A4910" i="5"/>
  <c r="C4909" i="5"/>
  <c r="B4909" i="5"/>
  <c r="A4909" i="5"/>
  <c r="C4908" i="5"/>
  <c r="B4908" i="5"/>
  <c r="A4908" i="5"/>
  <c r="C4907" i="5"/>
  <c r="B4907" i="5"/>
  <c r="A4907" i="5"/>
  <c r="C4906" i="5"/>
  <c r="B4906" i="5"/>
  <c r="A4906" i="5"/>
  <c r="C4905" i="5"/>
  <c r="B4905" i="5"/>
  <c r="A4905" i="5"/>
  <c r="C4904" i="5"/>
  <c r="B4904" i="5"/>
  <c r="A4904" i="5"/>
  <c r="C4903" i="5"/>
  <c r="B4903" i="5"/>
  <c r="A4903" i="5"/>
  <c r="C4902" i="5"/>
  <c r="B4902" i="5"/>
  <c r="A4902" i="5"/>
  <c r="C4901" i="5"/>
  <c r="B4901" i="5"/>
  <c r="A4901" i="5"/>
  <c r="C4900" i="5"/>
  <c r="B4900" i="5"/>
  <c r="A4900" i="5"/>
  <c r="C4899" i="5"/>
  <c r="B4899" i="5"/>
  <c r="A4899" i="5"/>
  <c r="C4898" i="5"/>
  <c r="B4898" i="5"/>
  <c r="A4898" i="5"/>
  <c r="C4897" i="5"/>
  <c r="B4897" i="5"/>
  <c r="A4897" i="5"/>
  <c r="C4896" i="5"/>
  <c r="B4896" i="5"/>
  <c r="A4896" i="5"/>
  <c r="C4895" i="5"/>
  <c r="B4895" i="5"/>
  <c r="A4895" i="5"/>
  <c r="C4894" i="5"/>
  <c r="B4894" i="5"/>
  <c r="A4894" i="5"/>
  <c r="C4893" i="5"/>
  <c r="B4893" i="5"/>
  <c r="A4893" i="5"/>
  <c r="C4892" i="5"/>
  <c r="B4892" i="5"/>
  <c r="A4892" i="5"/>
  <c r="C4891" i="5"/>
  <c r="B4891" i="5"/>
  <c r="A4891" i="5"/>
  <c r="C4890" i="5"/>
  <c r="B4890" i="5"/>
  <c r="A4890" i="5"/>
  <c r="C4889" i="5"/>
  <c r="B4889" i="5"/>
  <c r="A4889" i="5"/>
  <c r="C4888" i="5"/>
  <c r="B4888" i="5"/>
  <c r="A4888" i="5"/>
  <c r="C4887" i="5"/>
  <c r="B4887" i="5"/>
  <c r="A4887" i="5"/>
  <c r="C4886" i="5"/>
  <c r="B4886" i="5"/>
  <c r="A4886" i="5"/>
  <c r="C4885" i="5"/>
  <c r="B4885" i="5"/>
  <c r="A4885" i="5"/>
  <c r="C4884" i="5"/>
  <c r="B4884" i="5"/>
  <c r="A4884" i="5"/>
  <c r="C4883" i="5"/>
  <c r="B4883" i="5"/>
  <c r="A4883" i="5"/>
  <c r="C4882" i="5"/>
  <c r="B4882" i="5"/>
  <c r="A4882" i="5"/>
  <c r="C4881" i="5"/>
  <c r="B4881" i="5"/>
  <c r="A4881" i="5"/>
  <c r="C4880" i="5"/>
  <c r="B4880" i="5"/>
  <c r="A4880" i="5"/>
  <c r="C4879" i="5"/>
  <c r="B4879" i="5"/>
  <c r="A4879" i="5"/>
  <c r="C4878" i="5"/>
  <c r="B4878" i="5"/>
  <c r="A4878" i="5"/>
  <c r="C4877" i="5"/>
  <c r="B4877" i="5"/>
  <c r="A4877" i="5"/>
  <c r="C4876" i="5"/>
  <c r="B4876" i="5"/>
  <c r="A4876" i="5"/>
  <c r="C4875" i="5"/>
  <c r="B4875" i="5"/>
  <c r="A4875" i="5"/>
  <c r="C4874" i="5"/>
  <c r="B4874" i="5"/>
  <c r="A4874" i="5"/>
  <c r="C4873" i="5"/>
  <c r="B4873" i="5"/>
  <c r="A4873" i="5"/>
  <c r="C4872" i="5"/>
  <c r="B4872" i="5"/>
  <c r="A4872" i="5"/>
  <c r="C4871" i="5"/>
  <c r="B4871" i="5"/>
  <c r="A4871" i="5"/>
  <c r="C4870" i="5"/>
  <c r="B4870" i="5"/>
  <c r="A4870" i="5"/>
  <c r="C4869" i="5"/>
  <c r="B4869" i="5"/>
  <c r="A4869" i="5"/>
  <c r="C4868" i="5"/>
  <c r="B4868" i="5"/>
  <c r="A4868" i="5"/>
  <c r="C4867" i="5"/>
  <c r="B4867" i="5"/>
  <c r="A4867" i="5"/>
  <c r="C4866" i="5"/>
  <c r="B4866" i="5"/>
  <c r="A4866" i="5"/>
  <c r="C4865" i="5"/>
  <c r="B4865" i="5"/>
  <c r="A4865" i="5"/>
  <c r="C4864" i="5"/>
  <c r="B4864" i="5"/>
  <c r="A4864" i="5"/>
  <c r="C4863" i="5"/>
  <c r="B4863" i="5"/>
  <c r="A4863" i="5"/>
  <c r="C4862" i="5"/>
  <c r="B4862" i="5"/>
  <c r="A4862" i="5"/>
  <c r="C4861" i="5"/>
  <c r="B4861" i="5"/>
  <c r="A4861" i="5"/>
  <c r="C4860" i="5"/>
  <c r="B4860" i="5"/>
  <c r="A4860" i="5"/>
  <c r="C4859" i="5"/>
  <c r="B4859" i="5"/>
  <c r="A4859" i="5"/>
  <c r="C4858" i="5"/>
  <c r="B4858" i="5"/>
  <c r="A4858" i="5"/>
  <c r="C4857" i="5"/>
  <c r="B4857" i="5"/>
  <c r="A4857" i="5"/>
  <c r="C4856" i="5"/>
  <c r="B4856" i="5"/>
  <c r="A4856" i="5"/>
  <c r="C4855" i="5"/>
  <c r="B4855" i="5"/>
  <c r="A4855" i="5"/>
  <c r="C4854" i="5"/>
  <c r="B4854" i="5"/>
  <c r="A4854" i="5"/>
  <c r="C4853" i="5"/>
  <c r="B4853" i="5"/>
  <c r="A4853" i="5"/>
  <c r="C4852" i="5"/>
  <c r="B4852" i="5"/>
  <c r="A4852" i="5"/>
  <c r="C4851" i="5"/>
  <c r="B4851" i="5"/>
  <c r="A4851" i="5"/>
  <c r="C4850" i="5"/>
  <c r="B4850" i="5"/>
  <c r="A4850" i="5"/>
  <c r="C4849" i="5"/>
  <c r="B4849" i="5"/>
  <c r="A4849" i="5"/>
  <c r="C4848" i="5"/>
  <c r="B4848" i="5"/>
  <c r="A4848" i="5"/>
  <c r="C4847" i="5"/>
  <c r="B4847" i="5"/>
  <c r="A4847" i="5"/>
  <c r="C4846" i="5"/>
  <c r="B4846" i="5"/>
  <c r="A4846" i="5"/>
  <c r="C4845" i="5"/>
  <c r="B4845" i="5"/>
  <c r="A4845" i="5"/>
  <c r="C4844" i="5"/>
  <c r="B4844" i="5"/>
  <c r="A4844" i="5"/>
  <c r="C4843" i="5"/>
  <c r="B4843" i="5"/>
  <c r="A4843" i="5"/>
  <c r="C4842" i="5"/>
  <c r="B4842" i="5"/>
  <c r="A4842" i="5"/>
  <c r="C4841" i="5"/>
  <c r="B4841" i="5"/>
  <c r="A4841" i="5"/>
  <c r="C4840" i="5"/>
  <c r="B4840" i="5"/>
  <c r="A4840" i="5"/>
  <c r="C4839" i="5"/>
  <c r="B4839" i="5"/>
  <c r="A4839" i="5"/>
  <c r="C4838" i="5"/>
  <c r="B4838" i="5"/>
  <c r="A4838" i="5"/>
  <c r="C4837" i="5"/>
  <c r="B4837" i="5"/>
  <c r="A4837" i="5"/>
  <c r="C4836" i="5"/>
  <c r="B4836" i="5"/>
  <c r="A4836" i="5"/>
  <c r="C4835" i="5"/>
  <c r="B4835" i="5"/>
  <c r="A4835" i="5"/>
  <c r="C4834" i="5"/>
  <c r="B4834" i="5"/>
  <c r="A4834" i="5"/>
  <c r="C4833" i="5"/>
  <c r="B4833" i="5"/>
  <c r="A4833" i="5"/>
  <c r="C4832" i="5"/>
  <c r="B4832" i="5"/>
  <c r="A4832" i="5"/>
  <c r="C4831" i="5"/>
  <c r="B4831" i="5"/>
  <c r="A4831" i="5"/>
  <c r="C4830" i="5"/>
  <c r="B4830" i="5"/>
  <c r="A4830" i="5"/>
  <c r="C4829" i="5"/>
  <c r="B4829" i="5"/>
  <c r="A4829" i="5"/>
  <c r="C4828" i="5"/>
  <c r="B4828" i="5"/>
  <c r="A4828" i="5"/>
  <c r="C4827" i="5"/>
  <c r="B4827" i="5"/>
  <c r="A4827" i="5"/>
  <c r="C4826" i="5"/>
  <c r="B4826" i="5"/>
  <c r="A4826" i="5"/>
  <c r="C4825" i="5"/>
  <c r="B4825" i="5"/>
  <c r="A4825" i="5"/>
  <c r="C4824" i="5"/>
  <c r="B4824" i="5"/>
  <c r="A4824" i="5"/>
  <c r="C4823" i="5"/>
  <c r="B4823" i="5"/>
  <c r="A4823" i="5"/>
  <c r="C4822" i="5"/>
  <c r="B4822" i="5"/>
  <c r="A4822" i="5"/>
  <c r="C4821" i="5"/>
  <c r="B4821" i="5"/>
  <c r="A4821" i="5"/>
  <c r="C4820" i="5"/>
  <c r="B4820" i="5"/>
  <c r="A4820" i="5"/>
  <c r="C4819" i="5"/>
  <c r="B4819" i="5"/>
  <c r="A4819" i="5"/>
  <c r="C4818" i="5"/>
  <c r="B4818" i="5"/>
  <c r="A4818" i="5"/>
  <c r="C4817" i="5"/>
  <c r="B4817" i="5"/>
  <c r="A4817" i="5"/>
  <c r="C4816" i="5"/>
  <c r="B4816" i="5"/>
  <c r="A4816" i="5"/>
  <c r="C4815" i="5"/>
  <c r="B4815" i="5"/>
  <c r="A4815" i="5"/>
  <c r="C4814" i="5"/>
  <c r="B4814" i="5"/>
  <c r="A4814" i="5"/>
  <c r="C4813" i="5"/>
  <c r="B4813" i="5"/>
  <c r="A4813" i="5"/>
  <c r="C4812" i="5"/>
  <c r="B4812" i="5"/>
  <c r="A4812" i="5"/>
  <c r="C4811" i="5"/>
  <c r="B4811" i="5"/>
  <c r="A4811" i="5"/>
  <c r="C4810" i="5"/>
  <c r="B4810" i="5"/>
  <c r="A4810" i="5"/>
  <c r="C4809" i="5"/>
  <c r="B4809" i="5"/>
  <c r="A4809" i="5"/>
  <c r="C4808" i="5"/>
  <c r="B4808" i="5"/>
  <c r="A4808" i="5"/>
  <c r="C4807" i="5"/>
  <c r="B4807" i="5"/>
  <c r="A4807" i="5"/>
  <c r="C4806" i="5"/>
  <c r="B4806" i="5"/>
  <c r="A4806" i="5"/>
  <c r="C4805" i="5"/>
  <c r="B4805" i="5"/>
  <c r="A4805" i="5"/>
  <c r="C4804" i="5"/>
  <c r="B4804" i="5"/>
  <c r="A4804" i="5"/>
  <c r="C4803" i="5"/>
  <c r="B4803" i="5"/>
  <c r="A4803" i="5"/>
  <c r="C4802" i="5"/>
  <c r="B4802" i="5"/>
  <c r="A4802" i="5"/>
  <c r="C4801" i="5"/>
  <c r="B4801" i="5"/>
  <c r="A4801" i="5"/>
  <c r="C4800" i="5"/>
  <c r="B4800" i="5"/>
  <c r="A4800" i="5"/>
  <c r="C4799" i="5"/>
  <c r="B4799" i="5"/>
  <c r="A4799" i="5"/>
  <c r="C4798" i="5"/>
  <c r="B4798" i="5"/>
  <c r="A4798" i="5"/>
  <c r="C4797" i="5"/>
  <c r="B4797" i="5"/>
  <c r="A4797" i="5"/>
  <c r="C4796" i="5"/>
  <c r="B4796" i="5"/>
  <c r="A4796" i="5"/>
  <c r="C4795" i="5"/>
  <c r="B4795" i="5"/>
  <c r="A4795" i="5"/>
  <c r="C4794" i="5"/>
  <c r="B4794" i="5"/>
  <c r="A4794" i="5"/>
  <c r="C4793" i="5"/>
  <c r="B4793" i="5"/>
  <c r="A4793" i="5"/>
  <c r="C4792" i="5"/>
  <c r="B4792" i="5"/>
  <c r="A4792" i="5"/>
  <c r="C4791" i="5"/>
  <c r="B4791" i="5"/>
  <c r="A4791" i="5"/>
  <c r="C4790" i="5"/>
  <c r="B4790" i="5"/>
  <c r="A4790" i="5"/>
  <c r="C4789" i="5"/>
  <c r="B4789" i="5"/>
  <c r="A4789" i="5"/>
  <c r="C4788" i="5"/>
  <c r="B4788" i="5"/>
  <c r="A4788" i="5"/>
  <c r="C4787" i="5"/>
  <c r="B4787" i="5"/>
  <c r="A4787" i="5"/>
  <c r="C4786" i="5"/>
  <c r="B4786" i="5"/>
  <c r="A4786" i="5"/>
  <c r="C4785" i="5"/>
  <c r="B4785" i="5"/>
  <c r="A4785" i="5"/>
  <c r="C4784" i="5"/>
  <c r="B4784" i="5"/>
  <c r="A4784" i="5"/>
  <c r="C4783" i="5"/>
  <c r="B4783" i="5"/>
  <c r="A4783" i="5"/>
  <c r="C4782" i="5"/>
  <c r="B4782" i="5"/>
  <c r="A4782" i="5"/>
  <c r="C4781" i="5"/>
  <c r="B4781" i="5"/>
  <c r="A4781" i="5"/>
  <c r="C4780" i="5"/>
  <c r="B4780" i="5"/>
  <c r="A4780" i="5"/>
  <c r="C4779" i="5"/>
  <c r="B4779" i="5"/>
  <c r="A4779" i="5"/>
  <c r="C4778" i="5"/>
  <c r="B4778" i="5"/>
  <c r="A4778" i="5"/>
  <c r="C4777" i="5"/>
  <c r="B4777" i="5"/>
  <c r="A4777" i="5"/>
  <c r="C4776" i="5"/>
  <c r="B4776" i="5"/>
  <c r="A4776" i="5"/>
  <c r="C4775" i="5"/>
  <c r="B4775" i="5"/>
  <c r="A4775" i="5"/>
  <c r="C4774" i="5"/>
  <c r="B4774" i="5"/>
  <c r="A4774" i="5"/>
  <c r="C4773" i="5"/>
  <c r="B4773" i="5"/>
  <c r="A4773" i="5"/>
  <c r="C4772" i="5"/>
  <c r="B4772" i="5"/>
  <c r="A4772" i="5"/>
  <c r="C4771" i="5"/>
  <c r="B4771" i="5"/>
  <c r="A4771" i="5"/>
  <c r="C4770" i="5"/>
  <c r="B4770" i="5"/>
  <c r="A4770" i="5"/>
  <c r="C4769" i="5"/>
  <c r="B4769" i="5"/>
  <c r="A4769" i="5"/>
  <c r="C4768" i="5"/>
  <c r="B4768" i="5"/>
  <c r="A4768" i="5"/>
  <c r="C4767" i="5"/>
  <c r="B4767" i="5"/>
  <c r="A4767" i="5"/>
  <c r="C4766" i="5"/>
  <c r="B4766" i="5"/>
  <c r="A4766" i="5"/>
  <c r="C4765" i="5"/>
  <c r="B4765" i="5"/>
  <c r="A4765" i="5"/>
  <c r="C4764" i="5"/>
  <c r="B4764" i="5"/>
  <c r="A4764" i="5"/>
  <c r="C4763" i="5"/>
  <c r="B4763" i="5"/>
  <c r="A4763" i="5"/>
  <c r="C4762" i="5"/>
  <c r="B4762" i="5"/>
  <c r="A4762" i="5"/>
  <c r="C4761" i="5"/>
  <c r="B4761" i="5"/>
  <c r="A4761" i="5"/>
  <c r="C4760" i="5"/>
  <c r="B4760" i="5"/>
  <c r="A4760" i="5"/>
  <c r="C4759" i="5"/>
  <c r="B4759" i="5"/>
  <c r="A4759" i="5"/>
  <c r="C4758" i="5"/>
  <c r="B4758" i="5"/>
  <c r="A4758" i="5"/>
  <c r="C4757" i="5"/>
  <c r="B4757" i="5"/>
  <c r="A4757" i="5"/>
  <c r="C4756" i="5"/>
  <c r="B4756" i="5"/>
  <c r="A4756" i="5"/>
  <c r="C4755" i="5"/>
  <c r="B4755" i="5"/>
  <c r="A4755" i="5"/>
  <c r="C4754" i="5"/>
  <c r="B4754" i="5"/>
  <c r="A4754" i="5"/>
  <c r="C4753" i="5"/>
  <c r="B4753" i="5"/>
  <c r="A4753" i="5"/>
  <c r="C4752" i="5"/>
  <c r="B4752" i="5"/>
  <c r="A4752" i="5"/>
  <c r="C4751" i="5"/>
  <c r="B4751" i="5"/>
  <c r="A4751" i="5"/>
  <c r="C4750" i="5"/>
  <c r="B4750" i="5"/>
  <c r="A4750" i="5"/>
  <c r="C4749" i="5"/>
  <c r="B4749" i="5"/>
  <c r="A4749" i="5"/>
  <c r="C4748" i="5"/>
  <c r="B4748" i="5"/>
  <c r="A4748" i="5"/>
  <c r="C4747" i="5"/>
  <c r="B4747" i="5"/>
  <c r="A4747" i="5"/>
  <c r="C4746" i="5"/>
  <c r="B4746" i="5"/>
  <c r="A4746" i="5"/>
  <c r="C4745" i="5"/>
  <c r="B4745" i="5"/>
  <c r="A4745" i="5"/>
  <c r="C4744" i="5"/>
  <c r="B4744" i="5"/>
  <c r="A4744" i="5"/>
  <c r="C4743" i="5"/>
  <c r="B4743" i="5"/>
  <c r="A4743" i="5"/>
  <c r="C4742" i="5"/>
  <c r="B4742" i="5"/>
  <c r="A4742" i="5"/>
  <c r="C4741" i="5"/>
  <c r="B4741" i="5"/>
  <c r="A4741" i="5"/>
  <c r="C4740" i="5"/>
  <c r="B4740" i="5"/>
  <c r="A4740" i="5"/>
  <c r="C4739" i="5"/>
  <c r="B4739" i="5"/>
  <c r="A4739" i="5"/>
  <c r="C4738" i="5"/>
  <c r="B4738" i="5"/>
  <c r="A4738" i="5"/>
  <c r="C4737" i="5"/>
  <c r="B4737" i="5"/>
  <c r="A4737" i="5"/>
  <c r="C4736" i="5"/>
  <c r="B4736" i="5"/>
  <c r="A4736" i="5"/>
  <c r="C4735" i="5"/>
  <c r="B4735" i="5"/>
  <c r="A4735" i="5"/>
  <c r="C4734" i="5"/>
  <c r="B4734" i="5"/>
  <c r="A4734" i="5"/>
  <c r="C4733" i="5"/>
  <c r="B4733" i="5"/>
  <c r="A4733" i="5"/>
  <c r="C4732" i="5"/>
  <c r="B4732" i="5"/>
  <c r="A4732" i="5"/>
  <c r="C4731" i="5"/>
  <c r="B4731" i="5"/>
  <c r="A4731" i="5"/>
  <c r="C4730" i="5"/>
  <c r="B4730" i="5"/>
  <c r="A4730" i="5"/>
  <c r="C4729" i="5"/>
  <c r="B4729" i="5"/>
  <c r="A4729" i="5"/>
  <c r="C4728" i="5"/>
  <c r="B4728" i="5"/>
  <c r="A4728" i="5"/>
  <c r="C4727" i="5"/>
  <c r="B4727" i="5"/>
  <c r="A4727" i="5"/>
  <c r="C4726" i="5"/>
  <c r="B4726" i="5"/>
  <c r="A4726" i="5"/>
  <c r="C4725" i="5"/>
  <c r="B4725" i="5"/>
  <c r="A4725" i="5"/>
  <c r="C4724" i="5"/>
  <c r="B4724" i="5"/>
  <c r="A4724" i="5"/>
  <c r="C4723" i="5"/>
  <c r="B4723" i="5"/>
  <c r="A4723" i="5"/>
  <c r="C4722" i="5"/>
  <c r="B4722" i="5"/>
  <c r="A4722" i="5"/>
  <c r="C4721" i="5"/>
  <c r="B4721" i="5"/>
  <c r="A4721" i="5"/>
  <c r="C4720" i="5"/>
  <c r="B4720" i="5"/>
  <c r="A4720" i="5"/>
  <c r="C4719" i="5"/>
  <c r="B4719" i="5"/>
  <c r="A4719" i="5"/>
  <c r="C4718" i="5"/>
  <c r="B4718" i="5"/>
  <c r="A4718" i="5"/>
  <c r="C4717" i="5"/>
  <c r="B4717" i="5"/>
  <c r="A4717" i="5"/>
  <c r="C4716" i="5"/>
  <c r="B4716" i="5"/>
  <c r="A4716" i="5"/>
  <c r="C4715" i="5"/>
  <c r="B4715" i="5"/>
  <c r="A4715" i="5"/>
  <c r="C4714" i="5"/>
  <c r="B4714" i="5"/>
  <c r="A4714" i="5"/>
  <c r="C4713" i="5"/>
  <c r="B4713" i="5"/>
  <c r="A4713" i="5"/>
  <c r="C4712" i="5"/>
  <c r="B4712" i="5"/>
  <c r="A4712" i="5"/>
  <c r="C4711" i="5"/>
  <c r="B4711" i="5"/>
  <c r="A4711" i="5"/>
  <c r="C4710" i="5"/>
  <c r="B4710" i="5"/>
  <c r="A4710" i="5"/>
  <c r="C4709" i="5"/>
  <c r="B4709" i="5"/>
  <c r="A4709" i="5"/>
  <c r="C4708" i="5"/>
  <c r="B4708" i="5"/>
  <c r="A4708" i="5"/>
  <c r="C4707" i="5"/>
  <c r="B4707" i="5"/>
  <c r="A4707" i="5"/>
  <c r="C4706" i="5"/>
  <c r="B4706" i="5"/>
  <c r="A4706" i="5"/>
  <c r="C4705" i="5"/>
  <c r="B4705" i="5"/>
  <c r="A4705" i="5"/>
  <c r="C4704" i="5"/>
  <c r="B4704" i="5"/>
  <c r="A4704" i="5"/>
  <c r="C4703" i="5"/>
  <c r="B4703" i="5"/>
  <c r="A4703" i="5"/>
  <c r="C4702" i="5"/>
  <c r="B4702" i="5"/>
  <c r="A4702" i="5"/>
  <c r="C4701" i="5"/>
  <c r="B4701" i="5"/>
  <c r="A4701" i="5"/>
  <c r="C4700" i="5"/>
  <c r="B4700" i="5"/>
  <c r="A4700" i="5"/>
  <c r="C4699" i="5"/>
  <c r="B4699" i="5"/>
  <c r="A4699" i="5"/>
  <c r="C4698" i="5"/>
  <c r="B4698" i="5"/>
  <c r="A4698" i="5"/>
  <c r="C4697" i="5"/>
  <c r="B4697" i="5"/>
  <c r="A4697" i="5"/>
  <c r="C4696" i="5"/>
  <c r="B4696" i="5"/>
  <c r="A4696" i="5"/>
  <c r="C4695" i="5"/>
  <c r="B4695" i="5"/>
  <c r="A4695" i="5"/>
  <c r="C4694" i="5"/>
  <c r="B4694" i="5"/>
  <c r="A4694" i="5"/>
  <c r="C4693" i="5"/>
  <c r="B4693" i="5"/>
  <c r="A4693" i="5"/>
  <c r="C4692" i="5"/>
  <c r="B4692" i="5"/>
  <c r="A4692" i="5"/>
  <c r="C4691" i="5"/>
  <c r="B4691" i="5"/>
  <c r="A4691" i="5"/>
  <c r="C4690" i="5"/>
  <c r="B4690" i="5"/>
  <c r="A4690" i="5"/>
  <c r="C4689" i="5"/>
  <c r="B4689" i="5"/>
  <c r="A4689" i="5"/>
  <c r="C4688" i="5"/>
  <c r="B4688" i="5"/>
  <c r="A4688" i="5"/>
  <c r="C4687" i="5"/>
  <c r="B4687" i="5"/>
  <c r="A4687" i="5"/>
  <c r="C4686" i="5"/>
  <c r="B4686" i="5"/>
  <c r="A4686" i="5"/>
  <c r="C4685" i="5"/>
  <c r="B4685" i="5"/>
  <c r="A4685" i="5"/>
  <c r="C4684" i="5"/>
  <c r="B4684" i="5"/>
  <c r="A4684" i="5"/>
  <c r="C4683" i="5"/>
  <c r="B4683" i="5"/>
  <c r="A4683" i="5"/>
  <c r="C4682" i="5"/>
  <c r="B4682" i="5"/>
  <c r="A4682" i="5"/>
  <c r="C4681" i="5"/>
  <c r="B4681" i="5"/>
  <c r="A4681" i="5"/>
  <c r="C4680" i="5"/>
  <c r="B4680" i="5"/>
  <c r="A4680" i="5"/>
  <c r="C4679" i="5"/>
  <c r="B4679" i="5"/>
  <c r="A4679" i="5"/>
  <c r="C4678" i="5"/>
  <c r="B4678" i="5"/>
  <c r="A4678" i="5"/>
  <c r="C4677" i="5"/>
  <c r="B4677" i="5"/>
  <c r="A4677" i="5"/>
  <c r="C4676" i="5"/>
  <c r="B4676" i="5"/>
  <c r="A4676" i="5"/>
  <c r="C4675" i="5"/>
  <c r="B4675" i="5"/>
  <c r="A4675" i="5"/>
  <c r="C4674" i="5"/>
  <c r="B4674" i="5"/>
  <c r="A4674" i="5"/>
  <c r="C4673" i="5"/>
  <c r="B4673" i="5"/>
  <c r="A4673" i="5"/>
  <c r="C4672" i="5"/>
  <c r="B4672" i="5"/>
  <c r="A4672" i="5"/>
  <c r="C4671" i="5"/>
  <c r="B4671" i="5"/>
  <c r="A4671" i="5"/>
  <c r="C4670" i="5"/>
  <c r="B4670" i="5"/>
  <c r="A4670" i="5"/>
  <c r="C4669" i="5"/>
  <c r="B4669" i="5"/>
  <c r="A4669" i="5"/>
  <c r="C4668" i="5"/>
  <c r="B4668" i="5"/>
  <c r="A4668" i="5"/>
  <c r="C4667" i="5"/>
  <c r="B4667" i="5"/>
  <c r="A4667" i="5"/>
  <c r="C4666" i="5"/>
  <c r="B4666" i="5"/>
  <c r="A4666" i="5"/>
  <c r="C4665" i="5"/>
  <c r="B4665" i="5"/>
  <c r="A4665" i="5"/>
  <c r="C4664" i="5"/>
  <c r="B4664" i="5"/>
  <c r="A4664" i="5"/>
  <c r="C4663" i="5"/>
  <c r="B4663" i="5"/>
  <c r="A4663" i="5"/>
  <c r="C4662" i="5"/>
  <c r="B4662" i="5"/>
  <c r="A4662" i="5"/>
  <c r="C4661" i="5"/>
  <c r="B4661" i="5"/>
  <c r="A4661" i="5"/>
  <c r="C4660" i="5"/>
  <c r="B4660" i="5"/>
  <c r="A4660" i="5"/>
  <c r="C4659" i="5"/>
  <c r="B4659" i="5"/>
  <c r="A4659" i="5"/>
  <c r="C4658" i="5"/>
  <c r="B4658" i="5"/>
  <c r="A4658" i="5"/>
  <c r="C4657" i="5"/>
  <c r="B4657" i="5"/>
  <c r="A4657" i="5"/>
  <c r="C4656" i="5"/>
  <c r="B4656" i="5"/>
  <c r="A4656" i="5"/>
  <c r="C4655" i="5"/>
  <c r="B4655" i="5"/>
  <c r="A4655" i="5"/>
  <c r="C4654" i="5"/>
  <c r="B4654" i="5"/>
  <c r="A4654" i="5"/>
  <c r="C4653" i="5"/>
  <c r="B4653" i="5"/>
  <c r="A4653" i="5"/>
  <c r="C4652" i="5"/>
  <c r="B4652" i="5"/>
  <c r="A4652" i="5"/>
  <c r="C4651" i="5"/>
  <c r="B4651" i="5"/>
  <c r="A4651" i="5"/>
  <c r="C4650" i="5"/>
  <c r="B4650" i="5"/>
  <c r="A4650" i="5"/>
  <c r="C4649" i="5"/>
  <c r="B4649" i="5"/>
  <c r="A4649" i="5"/>
  <c r="C4648" i="5"/>
  <c r="B4648" i="5"/>
  <c r="A4648" i="5"/>
  <c r="C4647" i="5"/>
  <c r="B4647" i="5"/>
  <c r="A4647" i="5"/>
  <c r="C4646" i="5"/>
  <c r="B4646" i="5"/>
  <c r="A4646" i="5"/>
  <c r="C4645" i="5"/>
  <c r="B4645" i="5"/>
  <c r="A4645" i="5"/>
  <c r="C4644" i="5"/>
  <c r="B4644" i="5"/>
  <c r="A4644" i="5"/>
  <c r="C4643" i="5"/>
  <c r="B4643" i="5"/>
  <c r="A4643" i="5"/>
  <c r="C4642" i="5"/>
  <c r="B4642" i="5"/>
  <c r="A4642" i="5"/>
  <c r="C4641" i="5"/>
  <c r="B4641" i="5"/>
  <c r="A4641" i="5"/>
  <c r="C4640" i="5"/>
  <c r="B4640" i="5"/>
  <c r="A4640" i="5"/>
  <c r="C4639" i="5"/>
  <c r="B4639" i="5"/>
  <c r="A4639" i="5"/>
  <c r="C4638" i="5"/>
  <c r="B4638" i="5"/>
  <c r="A4638" i="5"/>
  <c r="C4637" i="5"/>
  <c r="B4637" i="5"/>
  <c r="A4637" i="5"/>
  <c r="C4636" i="5"/>
  <c r="B4636" i="5"/>
  <c r="A4636" i="5"/>
  <c r="C4635" i="5"/>
  <c r="B4635" i="5"/>
  <c r="A4635" i="5"/>
  <c r="C4634" i="5"/>
  <c r="B4634" i="5"/>
  <c r="A4634" i="5"/>
  <c r="C4633" i="5"/>
  <c r="B4633" i="5"/>
  <c r="A4633" i="5"/>
  <c r="C4632" i="5"/>
  <c r="B4632" i="5"/>
  <c r="A4632" i="5"/>
  <c r="C4631" i="5"/>
  <c r="B4631" i="5"/>
  <c r="A4631" i="5"/>
  <c r="C4630" i="5"/>
  <c r="B4630" i="5"/>
  <c r="A4630" i="5"/>
  <c r="C4629" i="5"/>
  <c r="B4629" i="5"/>
  <c r="A4629" i="5"/>
  <c r="C4628" i="5"/>
  <c r="B4628" i="5"/>
  <c r="A4628" i="5"/>
  <c r="C4627" i="5"/>
  <c r="B4627" i="5"/>
  <c r="A4627" i="5"/>
  <c r="C4626" i="5"/>
  <c r="B4626" i="5"/>
  <c r="A4626" i="5"/>
  <c r="C4625" i="5"/>
  <c r="B4625" i="5"/>
  <c r="A4625" i="5"/>
  <c r="C4624" i="5"/>
  <c r="B4624" i="5"/>
  <c r="A4624" i="5"/>
  <c r="C4623" i="5"/>
  <c r="B4623" i="5"/>
  <c r="A4623" i="5"/>
  <c r="C4622" i="5"/>
  <c r="B4622" i="5"/>
  <c r="A4622" i="5"/>
  <c r="C4621" i="5"/>
  <c r="B4621" i="5"/>
  <c r="A4621" i="5"/>
  <c r="C4620" i="5"/>
  <c r="B4620" i="5"/>
  <c r="A4620" i="5"/>
  <c r="C4619" i="5"/>
  <c r="B4619" i="5"/>
  <c r="A4619" i="5"/>
  <c r="C4618" i="5"/>
  <c r="B4618" i="5"/>
  <c r="A4618" i="5"/>
  <c r="C4617" i="5"/>
  <c r="B4617" i="5"/>
  <c r="A4617" i="5"/>
  <c r="C4616" i="5"/>
  <c r="B4616" i="5"/>
  <c r="A4616" i="5"/>
  <c r="C4615" i="5"/>
  <c r="B4615" i="5"/>
  <c r="A4615" i="5"/>
  <c r="C4614" i="5"/>
  <c r="B4614" i="5"/>
  <c r="A4614" i="5"/>
  <c r="C4613" i="5"/>
  <c r="B4613" i="5"/>
  <c r="A4613" i="5"/>
  <c r="C4612" i="5"/>
  <c r="B4612" i="5"/>
  <c r="A4612" i="5"/>
  <c r="C4611" i="5"/>
  <c r="B4611" i="5"/>
  <c r="A4611" i="5"/>
  <c r="C4610" i="5"/>
  <c r="B4610" i="5"/>
  <c r="A4610" i="5"/>
  <c r="C4609" i="5"/>
  <c r="B4609" i="5"/>
  <c r="A4609" i="5"/>
  <c r="C4608" i="5"/>
  <c r="B4608" i="5"/>
  <c r="A4608" i="5"/>
  <c r="C4607" i="5"/>
  <c r="B4607" i="5"/>
  <c r="A4607" i="5"/>
  <c r="C4606" i="5"/>
  <c r="B4606" i="5"/>
  <c r="A4606" i="5"/>
  <c r="C4605" i="5"/>
  <c r="B4605" i="5"/>
  <c r="A4605" i="5"/>
  <c r="C4604" i="5"/>
  <c r="B4604" i="5"/>
  <c r="A4604" i="5"/>
  <c r="C4603" i="5"/>
  <c r="B4603" i="5"/>
  <c r="A4603" i="5"/>
  <c r="C4602" i="5"/>
  <c r="B4602" i="5"/>
  <c r="A4602" i="5"/>
  <c r="C4601" i="5"/>
  <c r="B4601" i="5"/>
  <c r="A4601" i="5"/>
  <c r="C4600" i="5"/>
  <c r="B4600" i="5"/>
  <c r="A4600" i="5"/>
  <c r="C4599" i="5"/>
  <c r="B4599" i="5"/>
  <c r="A4599" i="5"/>
  <c r="C4598" i="5"/>
  <c r="B4598" i="5"/>
  <c r="A4598" i="5"/>
  <c r="C4597" i="5"/>
  <c r="B4597" i="5"/>
  <c r="A4597" i="5"/>
  <c r="C4596" i="5"/>
  <c r="B4596" i="5"/>
  <c r="A4596" i="5"/>
  <c r="C4595" i="5"/>
  <c r="B4595" i="5"/>
  <c r="A4595" i="5"/>
  <c r="C4594" i="5"/>
  <c r="B4594" i="5"/>
  <c r="A4594" i="5"/>
  <c r="C4593" i="5"/>
  <c r="B4593" i="5"/>
  <c r="A4593" i="5"/>
  <c r="C4592" i="5"/>
  <c r="B4592" i="5"/>
  <c r="A4592" i="5"/>
  <c r="C4591" i="5"/>
  <c r="B4591" i="5"/>
  <c r="A4591" i="5"/>
  <c r="C4590" i="5"/>
  <c r="B4590" i="5"/>
  <c r="A4590" i="5"/>
  <c r="C4589" i="5"/>
  <c r="B4589" i="5"/>
  <c r="A4589" i="5"/>
  <c r="C4588" i="5"/>
  <c r="B4588" i="5"/>
  <c r="A4588" i="5"/>
  <c r="C4587" i="5"/>
  <c r="B4587" i="5"/>
  <c r="A4587" i="5"/>
  <c r="C4586" i="5"/>
  <c r="B4586" i="5"/>
  <c r="A4586" i="5"/>
  <c r="C4585" i="5"/>
  <c r="B4585" i="5"/>
  <c r="A4585" i="5"/>
  <c r="C4584" i="5"/>
  <c r="B4584" i="5"/>
  <c r="A4584" i="5"/>
  <c r="C4583" i="5"/>
  <c r="B4583" i="5"/>
  <c r="A4583" i="5"/>
  <c r="C4582" i="5"/>
  <c r="B4582" i="5"/>
  <c r="A4582" i="5"/>
  <c r="C4581" i="5"/>
  <c r="B4581" i="5"/>
  <c r="A4581" i="5"/>
  <c r="C4580" i="5"/>
  <c r="B4580" i="5"/>
  <c r="A4580" i="5"/>
  <c r="C4579" i="5"/>
  <c r="B4579" i="5"/>
  <c r="A4579" i="5"/>
  <c r="C4578" i="5"/>
  <c r="B4578" i="5"/>
  <c r="A4578" i="5"/>
  <c r="C4577" i="5"/>
  <c r="B4577" i="5"/>
  <c r="A4577" i="5"/>
  <c r="C4576" i="5"/>
  <c r="B4576" i="5"/>
  <c r="A4576" i="5"/>
  <c r="C4575" i="5"/>
  <c r="B4575" i="5"/>
  <c r="A4575" i="5"/>
  <c r="C4574" i="5"/>
  <c r="B4574" i="5"/>
  <c r="A4574" i="5"/>
  <c r="C4573" i="5"/>
  <c r="B4573" i="5"/>
  <c r="A4573" i="5"/>
  <c r="C4572" i="5"/>
  <c r="B4572" i="5"/>
  <c r="A4572" i="5"/>
  <c r="C4571" i="5"/>
  <c r="B4571" i="5"/>
  <c r="A4571" i="5"/>
  <c r="C4570" i="5"/>
  <c r="B4570" i="5"/>
  <c r="A4570" i="5"/>
  <c r="C4569" i="5"/>
  <c r="B4569" i="5"/>
  <c r="A4569" i="5"/>
  <c r="C4568" i="5"/>
  <c r="B4568" i="5"/>
  <c r="A4568" i="5"/>
  <c r="C4567" i="5"/>
  <c r="B4567" i="5"/>
  <c r="A4567" i="5"/>
  <c r="C4566" i="5"/>
  <c r="B4566" i="5"/>
  <c r="A4566" i="5"/>
  <c r="C4565" i="5"/>
  <c r="B4565" i="5"/>
  <c r="A4565" i="5"/>
  <c r="C4564" i="5"/>
  <c r="B4564" i="5"/>
  <c r="A4564" i="5"/>
  <c r="C4563" i="5"/>
  <c r="B4563" i="5"/>
  <c r="A4563" i="5"/>
  <c r="C4562" i="5"/>
  <c r="B4562" i="5"/>
  <c r="A4562" i="5"/>
  <c r="C4561" i="5"/>
  <c r="B4561" i="5"/>
  <c r="A4561" i="5"/>
  <c r="C4560" i="5"/>
  <c r="B4560" i="5"/>
  <c r="A4560" i="5"/>
  <c r="C4559" i="5"/>
  <c r="B4559" i="5"/>
  <c r="A4559" i="5"/>
  <c r="C4558" i="5"/>
  <c r="B4558" i="5"/>
  <c r="A4558" i="5"/>
  <c r="C4557" i="5"/>
  <c r="B4557" i="5"/>
  <c r="A4557" i="5"/>
  <c r="C4556" i="5"/>
  <c r="B4556" i="5"/>
  <c r="A4556" i="5"/>
  <c r="C4555" i="5"/>
  <c r="B4555" i="5"/>
  <c r="A4555" i="5"/>
  <c r="C4554" i="5"/>
  <c r="B4554" i="5"/>
  <c r="A4554" i="5"/>
  <c r="C4553" i="5"/>
  <c r="B4553" i="5"/>
  <c r="A4553" i="5"/>
  <c r="C4552" i="5"/>
  <c r="B4552" i="5"/>
  <c r="A4552" i="5"/>
  <c r="C4551" i="5"/>
  <c r="B4551" i="5"/>
  <c r="A4551" i="5"/>
  <c r="C4550" i="5"/>
  <c r="B4550" i="5"/>
  <c r="A4550" i="5"/>
  <c r="C4549" i="5"/>
  <c r="B4549" i="5"/>
  <c r="A4549" i="5"/>
  <c r="C4548" i="5"/>
  <c r="B4548" i="5"/>
  <c r="A4548" i="5"/>
  <c r="C4547" i="5"/>
  <c r="B4547" i="5"/>
  <c r="A4547" i="5"/>
  <c r="C4546" i="5"/>
  <c r="B4546" i="5"/>
  <c r="A4546" i="5"/>
  <c r="C4545" i="5"/>
  <c r="B4545" i="5"/>
  <c r="A4545" i="5"/>
  <c r="C4544" i="5"/>
  <c r="B4544" i="5"/>
  <c r="A4544" i="5"/>
  <c r="C4543" i="5"/>
  <c r="B4543" i="5"/>
  <c r="A4543" i="5"/>
  <c r="C4542" i="5"/>
  <c r="B4542" i="5"/>
  <c r="A4542" i="5"/>
  <c r="C4541" i="5"/>
  <c r="B4541" i="5"/>
  <c r="A4541" i="5"/>
  <c r="C4540" i="5"/>
  <c r="B4540" i="5"/>
  <c r="A4540" i="5"/>
  <c r="C4539" i="5"/>
  <c r="B4539" i="5"/>
  <c r="A4539" i="5"/>
  <c r="C4538" i="5"/>
  <c r="B4538" i="5"/>
  <c r="A4538" i="5"/>
  <c r="C4537" i="5"/>
  <c r="B4537" i="5"/>
  <c r="A4537" i="5"/>
  <c r="C4536" i="5"/>
  <c r="B4536" i="5"/>
  <c r="A4536" i="5"/>
  <c r="C4535" i="5"/>
  <c r="B4535" i="5"/>
  <c r="A4535" i="5"/>
  <c r="C4534" i="5"/>
  <c r="B4534" i="5"/>
  <c r="A4534" i="5"/>
  <c r="C4533" i="5"/>
  <c r="B4533" i="5"/>
  <c r="A4533" i="5"/>
  <c r="C4532" i="5"/>
  <c r="B4532" i="5"/>
  <c r="A4532" i="5"/>
  <c r="C4531" i="5"/>
  <c r="B4531" i="5"/>
  <c r="A4531" i="5"/>
  <c r="C4530" i="5"/>
  <c r="B4530" i="5"/>
  <c r="A4530" i="5"/>
  <c r="C4529" i="5"/>
  <c r="B4529" i="5"/>
  <c r="A4529" i="5"/>
  <c r="C4528" i="5"/>
  <c r="B4528" i="5"/>
  <c r="A4528" i="5"/>
  <c r="C4527" i="5"/>
  <c r="B4527" i="5"/>
  <c r="A4527" i="5"/>
  <c r="C4526" i="5"/>
  <c r="B4526" i="5"/>
  <c r="A4526" i="5"/>
  <c r="C4525" i="5"/>
  <c r="B4525" i="5"/>
  <c r="A4525" i="5"/>
  <c r="C4524" i="5"/>
  <c r="B4524" i="5"/>
  <c r="A4524" i="5"/>
  <c r="C4523" i="5"/>
  <c r="B4523" i="5"/>
  <c r="A4523" i="5"/>
  <c r="C4522" i="5"/>
  <c r="B4522" i="5"/>
  <c r="A4522" i="5"/>
  <c r="C4521" i="5"/>
  <c r="B4521" i="5"/>
  <c r="A4521" i="5"/>
  <c r="C4520" i="5"/>
  <c r="B4520" i="5"/>
  <c r="A4520" i="5"/>
  <c r="C4519" i="5"/>
  <c r="B4519" i="5"/>
  <c r="A4519" i="5"/>
  <c r="C4518" i="5"/>
  <c r="B4518" i="5"/>
  <c r="A4518" i="5"/>
  <c r="C4517" i="5"/>
  <c r="B4517" i="5"/>
  <c r="A4517" i="5"/>
  <c r="C4516" i="5"/>
  <c r="B4516" i="5"/>
  <c r="A4516" i="5"/>
  <c r="C4515" i="5"/>
  <c r="B4515" i="5"/>
  <c r="A4515" i="5"/>
  <c r="C4514" i="5"/>
  <c r="B4514" i="5"/>
  <c r="A4514" i="5"/>
  <c r="C4513" i="5"/>
  <c r="B4513" i="5"/>
  <c r="A4513" i="5"/>
  <c r="C4512" i="5"/>
  <c r="B4512" i="5"/>
  <c r="A4512" i="5"/>
  <c r="C4511" i="5"/>
  <c r="B4511" i="5"/>
  <c r="A4511" i="5"/>
  <c r="C4510" i="5"/>
  <c r="B4510" i="5"/>
  <c r="A4510" i="5"/>
  <c r="C4509" i="5"/>
  <c r="B4509" i="5"/>
  <c r="A4509" i="5"/>
  <c r="C4508" i="5"/>
  <c r="B4508" i="5"/>
  <c r="A4508" i="5"/>
  <c r="C4507" i="5"/>
  <c r="B4507" i="5"/>
  <c r="A4507" i="5"/>
  <c r="C4506" i="5"/>
  <c r="B4506" i="5"/>
  <c r="A4506" i="5"/>
  <c r="C4505" i="5"/>
  <c r="B4505" i="5"/>
  <c r="A4505" i="5"/>
  <c r="C4504" i="5"/>
  <c r="B4504" i="5"/>
  <c r="A4504" i="5"/>
  <c r="C4503" i="5"/>
  <c r="B4503" i="5"/>
  <c r="A4503" i="5"/>
  <c r="C4502" i="5"/>
  <c r="B4502" i="5"/>
  <c r="A4502" i="5"/>
  <c r="C4501" i="5"/>
  <c r="B4501" i="5"/>
  <c r="A4501" i="5"/>
  <c r="C4500" i="5"/>
  <c r="B4500" i="5"/>
  <c r="A4500" i="5"/>
  <c r="C4499" i="5"/>
  <c r="B4499" i="5"/>
  <c r="A4499" i="5"/>
  <c r="C4498" i="5"/>
  <c r="B4498" i="5"/>
  <c r="A4498" i="5"/>
  <c r="C4497" i="5"/>
  <c r="B4497" i="5"/>
  <c r="A4497" i="5"/>
  <c r="C4496" i="5"/>
  <c r="B4496" i="5"/>
  <c r="A4496" i="5"/>
  <c r="C4495" i="5"/>
  <c r="B4495" i="5"/>
  <c r="A4495" i="5"/>
  <c r="C4494" i="5"/>
  <c r="B4494" i="5"/>
  <c r="A4494" i="5"/>
  <c r="C4493" i="5"/>
  <c r="B4493" i="5"/>
  <c r="A4493" i="5"/>
  <c r="C4492" i="5"/>
  <c r="B4492" i="5"/>
  <c r="A4492" i="5"/>
  <c r="C4491" i="5"/>
  <c r="B4491" i="5"/>
  <c r="A4491" i="5"/>
  <c r="C4490" i="5"/>
  <c r="B4490" i="5"/>
  <c r="A4490" i="5"/>
  <c r="C4489" i="5"/>
  <c r="B4489" i="5"/>
  <c r="A4489" i="5"/>
  <c r="C4488" i="5"/>
  <c r="B4488" i="5"/>
  <c r="A4488" i="5"/>
  <c r="C4487" i="5"/>
  <c r="B4487" i="5"/>
  <c r="A4487" i="5"/>
  <c r="C4486" i="5"/>
  <c r="B4486" i="5"/>
  <c r="A4486" i="5"/>
  <c r="C4485" i="5"/>
  <c r="B4485" i="5"/>
  <c r="A4485" i="5"/>
  <c r="C4484" i="5"/>
  <c r="B4484" i="5"/>
  <c r="A4484" i="5"/>
  <c r="C4483" i="5"/>
  <c r="B4483" i="5"/>
  <c r="A4483" i="5"/>
  <c r="C4482" i="5"/>
  <c r="B4482" i="5"/>
  <c r="A4482" i="5"/>
  <c r="C4481" i="5"/>
  <c r="B4481" i="5"/>
  <c r="A4481" i="5"/>
  <c r="C4480" i="5"/>
  <c r="B4480" i="5"/>
  <c r="A4480" i="5"/>
  <c r="C4479" i="5"/>
  <c r="B4479" i="5"/>
  <c r="A4479" i="5"/>
  <c r="C4478" i="5"/>
  <c r="B4478" i="5"/>
  <c r="A4478" i="5"/>
  <c r="C4477" i="5"/>
  <c r="B4477" i="5"/>
  <c r="A4477" i="5"/>
  <c r="C4476" i="5"/>
  <c r="B4476" i="5"/>
  <c r="A4476" i="5"/>
  <c r="C4475" i="5"/>
  <c r="B4475" i="5"/>
  <c r="A4475" i="5"/>
  <c r="C4474" i="5"/>
  <c r="B4474" i="5"/>
  <c r="A4474" i="5"/>
  <c r="C4473" i="5"/>
  <c r="B4473" i="5"/>
  <c r="A4473" i="5"/>
  <c r="C4472" i="5"/>
  <c r="B4472" i="5"/>
  <c r="A4472" i="5"/>
  <c r="C4471" i="5"/>
  <c r="B4471" i="5"/>
  <c r="A4471" i="5"/>
  <c r="C4470" i="5"/>
  <c r="B4470" i="5"/>
  <c r="A4470" i="5"/>
  <c r="C4469" i="5"/>
  <c r="B4469" i="5"/>
  <c r="A4469" i="5"/>
  <c r="C4468" i="5"/>
  <c r="B4468" i="5"/>
  <c r="A4468" i="5"/>
  <c r="C4467" i="5"/>
  <c r="B4467" i="5"/>
  <c r="A4467" i="5"/>
  <c r="C4466" i="5"/>
  <c r="B4466" i="5"/>
  <c r="A4466" i="5"/>
  <c r="C4465" i="5"/>
  <c r="B4465" i="5"/>
  <c r="A4465" i="5"/>
  <c r="C4464" i="5"/>
  <c r="B4464" i="5"/>
  <c r="A4464" i="5"/>
  <c r="C4463" i="5"/>
  <c r="B4463" i="5"/>
  <c r="A4463" i="5"/>
  <c r="C4462" i="5"/>
  <c r="B4462" i="5"/>
  <c r="A4462" i="5"/>
  <c r="C4461" i="5"/>
  <c r="B4461" i="5"/>
  <c r="A4461" i="5"/>
  <c r="C4460" i="5"/>
  <c r="B4460" i="5"/>
  <c r="A4460" i="5"/>
  <c r="C4459" i="5"/>
  <c r="B4459" i="5"/>
  <c r="A4459" i="5"/>
  <c r="C4458" i="5"/>
  <c r="B4458" i="5"/>
  <c r="A4458" i="5"/>
  <c r="C4457" i="5"/>
  <c r="B4457" i="5"/>
  <c r="A4457" i="5"/>
  <c r="C4456" i="5"/>
  <c r="B4456" i="5"/>
  <c r="A4456" i="5"/>
  <c r="C4455" i="5"/>
  <c r="B4455" i="5"/>
  <c r="A4455" i="5"/>
  <c r="C4454" i="5"/>
  <c r="B4454" i="5"/>
  <c r="A4454" i="5"/>
  <c r="C4453" i="5"/>
  <c r="B4453" i="5"/>
  <c r="A4453" i="5"/>
  <c r="C4452" i="5"/>
  <c r="B4452" i="5"/>
  <c r="A4452" i="5"/>
  <c r="C4451" i="5"/>
  <c r="B4451" i="5"/>
  <c r="A4451" i="5"/>
  <c r="C4450" i="5"/>
  <c r="B4450" i="5"/>
  <c r="A4450" i="5"/>
  <c r="C4449" i="5"/>
  <c r="B4449" i="5"/>
  <c r="A4449" i="5"/>
  <c r="C4448" i="5"/>
  <c r="B4448" i="5"/>
  <c r="A4448" i="5"/>
  <c r="C4447" i="5"/>
  <c r="B4447" i="5"/>
  <c r="A4447" i="5"/>
  <c r="C4446" i="5"/>
  <c r="B4446" i="5"/>
  <c r="A4446" i="5"/>
  <c r="C4445" i="5"/>
  <c r="B4445" i="5"/>
  <c r="A4445" i="5"/>
  <c r="C4444" i="5"/>
  <c r="B4444" i="5"/>
  <c r="A4444" i="5"/>
  <c r="C4443" i="5"/>
  <c r="B4443" i="5"/>
  <c r="A4443" i="5"/>
  <c r="C4442" i="5"/>
  <c r="B4442" i="5"/>
  <c r="A4442" i="5"/>
  <c r="C4441" i="5"/>
  <c r="B4441" i="5"/>
  <c r="A4441" i="5"/>
  <c r="C4440" i="5"/>
  <c r="B4440" i="5"/>
  <c r="A4440" i="5"/>
  <c r="C4439" i="5"/>
  <c r="B4439" i="5"/>
  <c r="A4439" i="5"/>
  <c r="C4438" i="5"/>
  <c r="B4438" i="5"/>
  <c r="A4438" i="5"/>
  <c r="C4437" i="5"/>
  <c r="B4437" i="5"/>
  <c r="A4437" i="5"/>
  <c r="C4436" i="5"/>
  <c r="B4436" i="5"/>
  <c r="A4436" i="5"/>
  <c r="C4435" i="5"/>
  <c r="B4435" i="5"/>
  <c r="A4435" i="5"/>
  <c r="C4434" i="5"/>
  <c r="B4434" i="5"/>
  <c r="A4434" i="5"/>
  <c r="C4433" i="5"/>
  <c r="B4433" i="5"/>
  <c r="A4433" i="5"/>
  <c r="C4432" i="5"/>
  <c r="B4432" i="5"/>
  <c r="A4432" i="5"/>
  <c r="C4431" i="5"/>
  <c r="B4431" i="5"/>
  <c r="A4431" i="5"/>
  <c r="C4430" i="5"/>
  <c r="B4430" i="5"/>
  <c r="A4430" i="5"/>
  <c r="C4429" i="5"/>
  <c r="B4429" i="5"/>
  <c r="A4429" i="5"/>
  <c r="C4428" i="5"/>
  <c r="B4428" i="5"/>
  <c r="A4428" i="5"/>
  <c r="C4427" i="5"/>
  <c r="B4427" i="5"/>
  <c r="A4427" i="5"/>
  <c r="C4426" i="5"/>
  <c r="B4426" i="5"/>
  <c r="A4426" i="5"/>
  <c r="C4425" i="5"/>
  <c r="B4425" i="5"/>
  <c r="A4425" i="5"/>
  <c r="C4424" i="5"/>
  <c r="B4424" i="5"/>
  <c r="A4424" i="5"/>
  <c r="C4423" i="5"/>
  <c r="B4423" i="5"/>
  <c r="A4423" i="5"/>
  <c r="C4422" i="5"/>
  <c r="B4422" i="5"/>
  <c r="A4422" i="5"/>
  <c r="C4421" i="5"/>
  <c r="B4421" i="5"/>
  <c r="A4421" i="5"/>
  <c r="C4420" i="5"/>
  <c r="B4420" i="5"/>
  <c r="A4420" i="5"/>
  <c r="C4419" i="5"/>
  <c r="B4419" i="5"/>
  <c r="A4419" i="5"/>
  <c r="C4418" i="5"/>
  <c r="B4418" i="5"/>
  <c r="A4418" i="5"/>
  <c r="C4417" i="5"/>
  <c r="B4417" i="5"/>
  <c r="A4417" i="5"/>
  <c r="C4416" i="5"/>
  <c r="B4416" i="5"/>
  <c r="A4416" i="5"/>
  <c r="C4415" i="5"/>
  <c r="B4415" i="5"/>
  <c r="A4415" i="5"/>
  <c r="C4414" i="5"/>
  <c r="B4414" i="5"/>
  <c r="A4414" i="5"/>
  <c r="C4413" i="5"/>
  <c r="B4413" i="5"/>
  <c r="A4413" i="5"/>
  <c r="C4412" i="5"/>
  <c r="B4412" i="5"/>
  <c r="A4412" i="5"/>
  <c r="C4411" i="5"/>
  <c r="B4411" i="5"/>
  <c r="A4411" i="5"/>
  <c r="C4410" i="5"/>
  <c r="B4410" i="5"/>
  <c r="A4410" i="5"/>
  <c r="C4409" i="5"/>
  <c r="B4409" i="5"/>
  <c r="A4409" i="5"/>
  <c r="C4408" i="5"/>
  <c r="B4408" i="5"/>
  <c r="A4408" i="5"/>
  <c r="C4407" i="5"/>
  <c r="B4407" i="5"/>
  <c r="A4407" i="5"/>
  <c r="C4406" i="5"/>
  <c r="B4406" i="5"/>
  <c r="A4406" i="5"/>
  <c r="C4405" i="5"/>
  <c r="B4405" i="5"/>
  <c r="A4405" i="5"/>
  <c r="C4404" i="5"/>
  <c r="B4404" i="5"/>
  <c r="A4404" i="5"/>
  <c r="C4403" i="5"/>
  <c r="B4403" i="5"/>
  <c r="A4403" i="5"/>
  <c r="C4402" i="5"/>
  <c r="B4402" i="5"/>
  <c r="A4402" i="5"/>
  <c r="C4401" i="5"/>
  <c r="B4401" i="5"/>
  <c r="A4401" i="5"/>
  <c r="C4400" i="5"/>
  <c r="B4400" i="5"/>
  <c r="A4400" i="5"/>
  <c r="C4399" i="5"/>
  <c r="B4399" i="5"/>
  <c r="A4399" i="5"/>
  <c r="C4398" i="5"/>
  <c r="B4398" i="5"/>
  <c r="A4398" i="5"/>
  <c r="C4397" i="5"/>
  <c r="B4397" i="5"/>
  <c r="A4397" i="5"/>
  <c r="C4396" i="5"/>
  <c r="B4396" i="5"/>
  <c r="A4396" i="5"/>
  <c r="C4395" i="5"/>
  <c r="B4395" i="5"/>
  <c r="A4395" i="5"/>
  <c r="C4394" i="5"/>
  <c r="B4394" i="5"/>
  <c r="A4394" i="5"/>
  <c r="C4393" i="5"/>
  <c r="B4393" i="5"/>
  <c r="A4393" i="5"/>
  <c r="C4392" i="5"/>
  <c r="B4392" i="5"/>
  <c r="A4392" i="5"/>
  <c r="C4391" i="5"/>
  <c r="B4391" i="5"/>
  <c r="A4391" i="5"/>
  <c r="C4390" i="5"/>
  <c r="B4390" i="5"/>
  <c r="A4390" i="5"/>
  <c r="C4389" i="5"/>
  <c r="B4389" i="5"/>
  <c r="A4389" i="5"/>
  <c r="C4388" i="5"/>
  <c r="B4388" i="5"/>
  <c r="A4388" i="5"/>
  <c r="C4387" i="5"/>
  <c r="B4387" i="5"/>
  <c r="A4387" i="5"/>
  <c r="C4386" i="5"/>
  <c r="B4386" i="5"/>
  <c r="A4386" i="5"/>
  <c r="C4385" i="5"/>
  <c r="B4385" i="5"/>
  <c r="A4385" i="5"/>
  <c r="C4384" i="5"/>
  <c r="B4384" i="5"/>
  <c r="A4384" i="5"/>
  <c r="C4383" i="5"/>
  <c r="B4383" i="5"/>
  <c r="A4383" i="5"/>
  <c r="C4382" i="5"/>
  <c r="B4382" i="5"/>
  <c r="A4382" i="5"/>
  <c r="C4381" i="5"/>
  <c r="B4381" i="5"/>
  <c r="A4381" i="5"/>
  <c r="C4380" i="5"/>
  <c r="B4380" i="5"/>
  <c r="A4380" i="5"/>
  <c r="C4379" i="5"/>
  <c r="B4379" i="5"/>
  <c r="A4379" i="5"/>
  <c r="C4378" i="5"/>
  <c r="B4378" i="5"/>
  <c r="A4378" i="5"/>
  <c r="C4377" i="5"/>
  <c r="B4377" i="5"/>
  <c r="A4377" i="5"/>
  <c r="C4376" i="5"/>
  <c r="B4376" i="5"/>
  <c r="A4376" i="5"/>
  <c r="C4375" i="5"/>
  <c r="B4375" i="5"/>
  <c r="A4375" i="5"/>
  <c r="C4374" i="5"/>
  <c r="B4374" i="5"/>
  <c r="A4374" i="5"/>
  <c r="C4373" i="5"/>
  <c r="B4373" i="5"/>
  <c r="A4373" i="5"/>
  <c r="C4372" i="5"/>
  <c r="B4372" i="5"/>
  <c r="A4372" i="5"/>
  <c r="C4371" i="5"/>
  <c r="B4371" i="5"/>
  <c r="A4371" i="5"/>
  <c r="C4370" i="5"/>
  <c r="B4370" i="5"/>
  <c r="A4370" i="5"/>
  <c r="C4369" i="5"/>
  <c r="B4369" i="5"/>
  <c r="A4369" i="5"/>
  <c r="C4368" i="5"/>
  <c r="B4368" i="5"/>
  <c r="A4368" i="5"/>
  <c r="C4367" i="5"/>
  <c r="B4367" i="5"/>
  <c r="A4367" i="5"/>
  <c r="C4366" i="5"/>
  <c r="B4366" i="5"/>
  <c r="A4366" i="5"/>
  <c r="C4365" i="5"/>
  <c r="B4365" i="5"/>
  <c r="A4365" i="5"/>
  <c r="C4364" i="5"/>
  <c r="B4364" i="5"/>
  <c r="A4364" i="5"/>
  <c r="C4363" i="5"/>
  <c r="B4363" i="5"/>
  <c r="A4363" i="5"/>
  <c r="C4362" i="5"/>
  <c r="B4362" i="5"/>
  <c r="A4362" i="5"/>
  <c r="C4361" i="5"/>
  <c r="B4361" i="5"/>
  <c r="A4361" i="5"/>
  <c r="C4360" i="5"/>
  <c r="B4360" i="5"/>
  <c r="A4360" i="5"/>
  <c r="C4359" i="5"/>
  <c r="B4359" i="5"/>
  <c r="A4359" i="5"/>
  <c r="C4358" i="5"/>
  <c r="B4358" i="5"/>
  <c r="A4358" i="5"/>
  <c r="C4357" i="5"/>
  <c r="B4357" i="5"/>
  <c r="A4357" i="5"/>
  <c r="C4356" i="5"/>
  <c r="B4356" i="5"/>
  <c r="A4356" i="5"/>
  <c r="C4355" i="5"/>
  <c r="B4355" i="5"/>
  <c r="A4355" i="5"/>
  <c r="C4354" i="5"/>
  <c r="B4354" i="5"/>
  <c r="A4354" i="5"/>
  <c r="C4353" i="5"/>
  <c r="B4353" i="5"/>
  <c r="A4353" i="5"/>
  <c r="C4352" i="5"/>
  <c r="B4352" i="5"/>
  <c r="A4352" i="5"/>
  <c r="C4351" i="5"/>
  <c r="B4351" i="5"/>
  <c r="A4351" i="5"/>
  <c r="C4350" i="5"/>
  <c r="B4350" i="5"/>
  <c r="A4350" i="5"/>
  <c r="C4349" i="5"/>
  <c r="B4349" i="5"/>
  <c r="A4349" i="5"/>
  <c r="C4348" i="5"/>
  <c r="B4348" i="5"/>
  <c r="A4348" i="5"/>
  <c r="C4347" i="5"/>
  <c r="B4347" i="5"/>
  <c r="A4347" i="5"/>
  <c r="C4346" i="5"/>
  <c r="B4346" i="5"/>
  <c r="A4346" i="5"/>
  <c r="C4345" i="5"/>
  <c r="B4345" i="5"/>
  <c r="A4345" i="5"/>
  <c r="C4344" i="5"/>
  <c r="B4344" i="5"/>
  <c r="A4344" i="5"/>
  <c r="C4343" i="5"/>
  <c r="B4343" i="5"/>
  <c r="A4343" i="5"/>
  <c r="C4342" i="5"/>
  <c r="B4342" i="5"/>
  <c r="A4342" i="5"/>
  <c r="C4341" i="5"/>
  <c r="B4341" i="5"/>
  <c r="A4341" i="5"/>
  <c r="C4340" i="5"/>
  <c r="B4340" i="5"/>
  <c r="A4340" i="5"/>
  <c r="C4339" i="5"/>
  <c r="B4339" i="5"/>
  <c r="A4339" i="5"/>
  <c r="C4338" i="5"/>
  <c r="B4338" i="5"/>
  <c r="A4338" i="5"/>
  <c r="C4337" i="5"/>
  <c r="B4337" i="5"/>
  <c r="A4337" i="5"/>
  <c r="C4336" i="5"/>
  <c r="B4336" i="5"/>
  <c r="A4336" i="5"/>
  <c r="C4335" i="5"/>
  <c r="B4335" i="5"/>
  <c r="A4335" i="5"/>
  <c r="C4334" i="5"/>
  <c r="B4334" i="5"/>
  <c r="A4334" i="5"/>
  <c r="C4333" i="5"/>
  <c r="B4333" i="5"/>
  <c r="A4333" i="5"/>
  <c r="C4332" i="5"/>
  <c r="B4332" i="5"/>
  <c r="A4332" i="5"/>
  <c r="C4331" i="5"/>
  <c r="B4331" i="5"/>
  <c r="A4331" i="5"/>
  <c r="C4330" i="5"/>
  <c r="B4330" i="5"/>
  <c r="A4330" i="5"/>
  <c r="C4329" i="5"/>
  <c r="B4329" i="5"/>
  <c r="A4329" i="5"/>
  <c r="C4328" i="5"/>
  <c r="B4328" i="5"/>
  <c r="A4328" i="5"/>
  <c r="C4327" i="5"/>
  <c r="B4327" i="5"/>
  <c r="A4327" i="5"/>
  <c r="C4326" i="5"/>
  <c r="B4326" i="5"/>
  <c r="A4326" i="5"/>
  <c r="C4325" i="5"/>
  <c r="B4325" i="5"/>
  <c r="A4325" i="5"/>
  <c r="C4324" i="5"/>
  <c r="B4324" i="5"/>
  <c r="A4324" i="5"/>
  <c r="C4323" i="5"/>
  <c r="B4323" i="5"/>
  <c r="A4323" i="5"/>
  <c r="C4322" i="5"/>
  <c r="B4322" i="5"/>
  <c r="A4322" i="5"/>
  <c r="C4321" i="5"/>
  <c r="B4321" i="5"/>
  <c r="A4321" i="5"/>
  <c r="C4320" i="5"/>
  <c r="B4320" i="5"/>
  <c r="A4320" i="5"/>
  <c r="C4319" i="5"/>
  <c r="B4319" i="5"/>
  <c r="A4319" i="5"/>
  <c r="C4318" i="5"/>
  <c r="B4318" i="5"/>
  <c r="A4318" i="5"/>
  <c r="C4317" i="5"/>
  <c r="B4317" i="5"/>
  <c r="A4317" i="5"/>
  <c r="C4316" i="5"/>
  <c r="B4316" i="5"/>
  <c r="A4316" i="5"/>
  <c r="C4315" i="5"/>
  <c r="B4315" i="5"/>
  <c r="A4315" i="5"/>
  <c r="C4314" i="5"/>
  <c r="B4314" i="5"/>
  <c r="A4314" i="5"/>
  <c r="C4313" i="5"/>
  <c r="B4313" i="5"/>
  <c r="A4313" i="5"/>
  <c r="C4312" i="5"/>
  <c r="B4312" i="5"/>
  <c r="A4312" i="5"/>
  <c r="C4311" i="5"/>
  <c r="B4311" i="5"/>
  <c r="A4311" i="5"/>
  <c r="C4310" i="5"/>
  <c r="B4310" i="5"/>
  <c r="A4310" i="5"/>
  <c r="C4309" i="5"/>
  <c r="B4309" i="5"/>
  <c r="A4309" i="5"/>
  <c r="C4308" i="5"/>
  <c r="B4308" i="5"/>
  <c r="A4308" i="5"/>
  <c r="C4307" i="5"/>
  <c r="B4307" i="5"/>
  <c r="A4307" i="5"/>
  <c r="C4306" i="5"/>
  <c r="B4306" i="5"/>
  <c r="A4306" i="5"/>
  <c r="C4305" i="5"/>
  <c r="B4305" i="5"/>
  <c r="A4305" i="5"/>
  <c r="C4304" i="5"/>
  <c r="B4304" i="5"/>
  <c r="A4304" i="5"/>
  <c r="C4303" i="5"/>
  <c r="B4303" i="5"/>
  <c r="A4303" i="5"/>
  <c r="C4302" i="5"/>
  <c r="B4302" i="5"/>
  <c r="A4302" i="5"/>
  <c r="C4301" i="5"/>
  <c r="B4301" i="5"/>
  <c r="A4301" i="5"/>
  <c r="C4300" i="5"/>
  <c r="B4300" i="5"/>
  <c r="A4300" i="5"/>
  <c r="C4299" i="5"/>
  <c r="B4299" i="5"/>
  <c r="A4299" i="5"/>
  <c r="C4298" i="5"/>
  <c r="B4298" i="5"/>
  <c r="A4298" i="5"/>
  <c r="C4297" i="5"/>
  <c r="B4297" i="5"/>
  <c r="A4297" i="5"/>
  <c r="C4296" i="5"/>
  <c r="B4296" i="5"/>
  <c r="A4296" i="5"/>
  <c r="C4295" i="5"/>
  <c r="B4295" i="5"/>
  <c r="A4295" i="5"/>
  <c r="C4294" i="5"/>
  <c r="B4294" i="5"/>
  <c r="A4294" i="5"/>
  <c r="C4293" i="5"/>
  <c r="B4293" i="5"/>
  <c r="A4293" i="5"/>
  <c r="C4292" i="5"/>
  <c r="B4292" i="5"/>
  <c r="A4292" i="5"/>
  <c r="C4291" i="5"/>
  <c r="B4291" i="5"/>
  <c r="A4291" i="5"/>
  <c r="C4290" i="5"/>
  <c r="B4290" i="5"/>
  <c r="A4290" i="5"/>
  <c r="C4289" i="5"/>
  <c r="B4289" i="5"/>
  <c r="A4289" i="5"/>
  <c r="C4288" i="5"/>
  <c r="B4288" i="5"/>
  <c r="A4288" i="5"/>
  <c r="C4287" i="5"/>
  <c r="B4287" i="5"/>
  <c r="A4287" i="5"/>
  <c r="C4286" i="5"/>
  <c r="B4286" i="5"/>
  <c r="A4286" i="5"/>
  <c r="C4285" i="5"/>
  <c r="B4285" i="5"/>
  <c r="A4285" i="5"/>
  <c r="C4284" i="5"/>
  <c r="B4284" i="5"/>
  <c r="A4284" i="5"/>
  <c r="C4283" i="5"/>
  <c r="B4283" i="5"/>
  <c r="A4283" i="5"/>
  <c r="C4282" i="5"/>
  <c r="B4282" i="5"/>
  <c r="A4282" i="5"/>
  <c r="C4281" i="5"/>
  <c r="B4281" i="5"/>
  <c r="A4281" i="5"/>
  <c r="C4280" i="5"/>
  <c r="B4280" i="5"/>
  <c r="A4280" i="5"/>
  <c r="C4279" i="5"/>
  <c r="B4279" i="5"/>
  <c r="A4279" i="5"/>
  <c r="C4278" i="5"/>
  <c r="B4278" i="5"/>
  <c r="A4278" i="5"/>
  <c r="C4277" i="5"/>
  <c r="B4277" i="5"/>
  <c r="A4277" i="5"/>
  <c r="C4276" i="5"/>
  <c r="B4276" i="5"/>
  <c r="A4276" i="5"/>
  <c r="C4275" i="5"/>
  <c r="B4275" i="5"/>
  <c r="A4275" i="5"/>
  <c r="C4274" i="5"/>
  <c r="B4274" i="5"/>
  <c r="A4274" i="5"/>
  <c r="C4273" i="5"/>
  <c r="B4273" i="5"/>
  <c r="A4273" i="5"/>
  <c r="C4272" i="5"/>
  <c r="B4272" i="5"/>
  <c r="A4272" i="5"/>
  <c r="C4271" i="5"/>
  <c r="B4271" i="5"/>
  <c r="A4271" i="5"/>
  <c r="C4270" i="5"/>
  <c r="B4270" i="5"/>
  <c r="A4270" i="5"/>
  <c r="C4269" i="5"/>
  <c r="B4269" i="5"/>
  <c r="A4269" i="5"/>
  <c r="C4268" i="5"/>
  <c r="B4268" i="5"/>
  <c r="A4268" i="5"/>
  <c r="C4267" i="5"/>
  <c r="B4267" i="5"/>
  <c r="A4267" i="5"/>
  <c r="C4266" i="5"/>
  <c r="B4266" i="5"/>
  <c r="A4266" i="5"/>
  <c r="C4265" i="5"/>
  <c r="B4265" i="5"/>
  <c r="A4265" i="5"/>
  <c r="C4264" i="5"/>
  <c r="B4264" i="5"/>
  <c r="A4264" i="5"/>
  <c r="C4263" i="5"/>
  <c r="B4263" i="5"/>
  <c r="A4263" i="5"/>
  <c r="C4262" i="5"/>
  <c r="B4262" i="5"/>
  <c r="A4262" i="5"/>
  <c r="C4261" i="5"/>
  <c r="B4261" i="5"/>
  <c r="A4261" i="5"/>
  <c r="C4260" i="5"/>
  <c r="B4260" i="5"/>
  <c r="A4260" i="5"/>
  <c r="C4259" i="5"/>
  <c r="B4259" i="5"/>
  <c r="A4259" i="5"/>
  <c r="C4258" i="5"/>
  <c r="B4258" i="5"/>
  <c r="A4258" i="5"/>
  <c r="C4257" i="5"/>
  <c r="B4257" i="5"/>
  <c r="A4257" i="5"/>
  <c r="C4256" i="5"/>
  <c r="B4256" i="5"/>
  <c r="A4256" i="5"/>
  <c r="C4255" i="5"/>
  <c r="B4255" i="5"/>
  <c r="A4255" i="5"/>
  <c r="C4254" i="5"/>
  <c r="B4254" i="5"/>
  <c r="A4254" i="5"/>
  <c r="C4253" i="5"/>
  <c r="B4253" i="5"/>
  <c r="A4253" i="5"/>
  <c r="C4252" i="5"/>
  <c r="B4252" i="5"/>
  <c r="A4252" i="5"/>
  <c r="C4251" i="5"/>
  <c r="B4251" i="5"/>
  <c r="A4251" i="5"/>
  <c r="C4250" i="5"/>
  <c r="B4250" i="5"/>
  <c r="A4250" i="5"/>
  <c r="C4249" i="5"/>
  <c r="B4249" i="5"/>
  <c r="A4249" i="5"/>
  <c r="C4248" i="5"/>
  <c r="B4248" i="5"/>
  <c r="A4248" i="5"/>
  <c r="C4247" i="5"/>
  <c r="B4247" i="5"/>
  <c r="A4247" i="5"/>
  <c r="C4246" i="5"/>
  <c r="B4246" i="5"/>
  <c r="A4246" i="5"/>
  <c r="C4245" i="5"/>
  <c r="B4245" i="5"/>
  <c r="A4245" i="5"/>
  <c r="C4244" i="5"/>
  <c r="B4244" i="5"/>
  <c r="A4244" i="5"/>
  <c r="C4243" i="5"/>
  <c r="B4243" i="5"/>
  <c r="A4243" i="5"/>
  <c r="C4242" i="5"/>
  <c r="B4242" i="5"/>
  <c r="A4242" i="5"/>
  <c r="C4241" i="5"/>
  <c r="B4241" i="5"/>
  <c r="A4241" i="5"/>
  <c r="C4240" i="5"/>
  <c r="B4240" i="5"/>
  <c r="A4240" i="5"/>
  <c r="C4239" i="5"/>
  <c r="B4239" i="5"/>
  <c r="A4239" i="5"/>
  <c r="C4238" i="5"/>
  <c r="B4238" i="5"/>
  <c r="A4238" i="5"/>
  <c r="C4237" i="5"/>
  <c r="B4237" i="5"/>
  <c r="A4237" i="5"/>
  <c r="C4236" i="5"/>
  <c r="B4236" i="5"/>
  <c r="A4236" i="5"/>
  <c r="C4235" i="5"/>
  <c r="B4235" i="5"/>
  <c r="A4235" i="5"/>
  <c r="C4234" i="5"/>
  <c r="B4234" i="5"/>
  <c r="A4234" i="5"/>
  <c r="C4233" i="5"/>
  <c r="B4233" i="5"/>
  <c r="A4233" i="5"/>
  <c r="C4232" i="5"/>
  <c r="B4232" i="5"/>
  <c r="A4232" i="5"/>
  <c r="C4231" i="5"/>
  <c r="B4231" i="5"/>
  <c r="A4231" i="5"/>
  <c r="C4230" i="5"/>
  <c r="B4230" i="5"/>
  <c r="A4230" i="5"/>
  <c r="C4229" i="5"/>
  <c r="B4229" i="5"/>
  <c r="A4229" i="5"/>
  <c r="C4228" i="5"/>
  <c r="B4228" i="5"/>
  <c r="A4228" i="5"/>
  <c r="C4227" i="5"/>
  <c r="B4227" i="5"/>
  <c r="A4227" i="5"/>
  <c r="C4226" i="5"/>
  <c r="B4226" i="5"/>
  <c r="A4226" i="5"/>
  <c r="C4225" i="5"/>
  <c r="B4225" i="5"/>
  <c r="A4225" i="5"/>
  <c r="C4224" i="5"/>
  <c r="B4224" i="5"/>
  <c r="A4224" i="5"/>
  <c r="C4223" i="5"/>
  <c r="B4223" i="5"/>
  <c r="A4223" i="5"/>
  <c r="C4222" i="5"/>
  <c r="B4222" i="5"/>
  <c r="A4222" i="5"/>
  <c r="C4221" i="5"/>
  <c r="B4221" i="5"/>
  <c r="A4221" i="5"/>
  <c r="C4220" i="5"/>
  <c r="B4220" i="5"/>
  <c r="A4220" i="5"/>
  <c r="C4219" i="5"/>
  <c r="B4219" i="5"/>
  <c r="A4219" i="5"/>
  <c r="C4218" i="5"/>
  <c r="B4218" i="5"/>
  <c r="A4218" i="5"/>
  <c r="C4217" i="5"/>
  <c r="B4217" i="5"/>
  <c r="A4217" i="5"/>
  <c r="C4216" i="5"/>
  <c r="B4216" i="5"/>
  <c r="A4216" i="5"/>
  <c r="C4215" i="5"/>
  <c r="B4215" i="5"/>
  <c r="A4215" i="5"/>
  <c r="C4214" i="5"/>
  <c r="B4214" i="5"/>
  <c r="A4214" i="5"/>
  <c r="C4213" i="5"/>
  <c r="B4213" i="5"/>
  <c r="A4213" i="5"/>
  <c r="C4212" i="5"/>
  <c r="B4212" i="5"/>
  <c r="A4212" i="5"/>
  <c r="C4211" i="5"/>
  <c r="B4211" i="5"/>
  <c r="A4211" i="5"/>
  <c r="C4210" i="5"/>
  <c r="B4210" i="5"/>
  <c r="A4210" i="5"/>
  <c r="C4209" i="5"/>
  <c r="B4209" i="5"/>
  <c r="A4209" i="5"/>
  <c r="C4208" i="5"/>
  <c r="B4208" i="5"/>
  <c r="A4208" i="5"/>
  <c r="C4207" i="5"/>
  <c r="B4207" i="5"/>
  <c r="A4207" i="5"/>
  <c r="C4206" i="5"/>
  <c r="B4206" i="5"/>
  <c r="A4206" i="5"/>
  <c r="C4205" i="5"/>
  <c r="B4205" i="5"/>
  <c r="A4205" i="5"/>
  <c r="C4204" i="5"/>
  <c r="B4204" i="5"/>
  <c r="A4204" i="5"/>
  <c r="C4203" i="5"/>
  <c r="B4203" i="5"/>
  <c r="A4203" i="5"/>
  <c r="C4202" i="5"/>
  <c r="B4202" i="5"/>
  <c r="A4202" i="5"/>
  <c r="C4201" i="5"/>
  <c r="B4201" i="5"/>
  <c r="A4201" i="5"/>
  <c r="C4200" i="5"/>
  <c r="B4200" i="5"/>
  <c r="A4200" i="5"/>
  <c r="C4199" i="5"/>
  <c r="B4199" i="5"/>
  <c r="A4199" i="5"/>
  <c r="C4198" i="5"/>
  <c r="B4198" i="5"/>
  <c r="A4198" i="5"/>
  <c r="C4197" i="5"/>
  <c r="B4197" i="5"/>
  <c r="A4197" i="5"/>
  <c r="C4196" i="5"/>
  <c r="B4196" i="5"/>
  <c r="A4196" i="5"/>
  <c r="C4195" i="5"/>
  <c r="B4195" i="5"/>
  <c r="A4195" i="5"/>
  <c r="C4194" i="5"/>
  <c r="B4194" i="5"/>
  <c r="A4194" i="5"/>
  <c r="C4193" i="5"/>
  <c r="B4193" i="5"/>
  <c r="A4193" i="5"/>
  <c r="C4192" i="5"/>
  <c r="B4192" i="5"/>
  <c r="A4192" i="5"/>
  <c r="C4191" i="5"/>
  <c r="B4191" i="5"/>
  <c r="A4191" i="5"/>
  <c r="C4190" i="5"/>
  <c r="B4190" i="5"/>
  <c r="A4190" i="5"/>
  <c r="C4189" i="5"/>
  <c r="B4189" i="5"/>
  <c r="A4189" i="5"/>
  <c r="C4188" i="5"/>
  <c r="B4188" i="5"/>
  <c r="A4188" i="5"/>
  <c r="C4187" i="5"/>
  <c r="B4187" i="5"/>
  <c r="A4187" i="5"/>
  <c r="C4186" i="5"/>
  <c r="B4186" i="5"/>
  <c r="A4186" i="5"/>
  <c r="C4185" i="5"/>
  <c r="B4185" i="5"/>
  <c r="A4185" i="5"/>
  <c r="C4184" i="5"/>
  <c r="B4184" i="5"/>
  <c r="A4184" i="5"/>
  <c r="C4183" i="5"/>
  <c r="B4183" i="5"/>
  <c r="A4183" i="5"/>
  <c r="C4182" i="5"/>
  <c r="B4182" i="5"/>
  <c r="A4182" i="5"/>
  <c r="C4181" i="5"/>
  <c r="B4181" i="5"/>
  <c r="A4181" i="5"/>
  <c r="C4180" i="5"/>
  <c r="B4180" i="5"/>
  <c r="A4180" i="5"/>
  <c r="C4179" i="5"/>
  <c r="B4179" i="5"/>
  <c r="A4179" i="5"/>
  <c r="C4178" i="5"/>
  <c r="B4178" i="5"/>
  <c r="A4178" i="5"/>
  <c r="C4177" i="5"/>
  <c r="B4177" i="5"/>
  <c r="A4177" i="5"/>
  <c r="C4176" i="5"/>
  <c r="B4176" i="5"/>
  <c r="A4176" i="5"/>
  <c r="C4175" i="5"/>
  <c r="B4175" i="5"/>
  <c r="A4175" i="5"/>
  <c r="C4174" i="5"/>
  <c r="B4174" i="5"/>
  <c r="A4174" i="5"/>
  <c r="C4173" i="5"/>
  <c r="B4173" i="5"/>
  <c r="A4173" i="5"/>
  <c r="C4172" i="5"/>
  <c r="B4172" i="5"/>
  <c r="A4172" i="5"/>
  <c r="C4171" i="5"/>
  <c r="B4171" i="5"/>
  <c r="A4171" i="5"/>
  <c r="C4170" i="5"/>
  <c r="B4170" i="5"/>
  <c r="A4170" i="5"/>
  <c r="C4169" i="5"/>
  <c r="B4169" i="5"/>
  <c r="A4169" i="5"/>
  <c r="C4168" i="5"/>
  <c r="B4168" i="5"/>
  <c r="A4168" i="5"/>
  <c r="C4167" i="5"/>
  <c r="B4167" i="5"/>
  <c r="A4167" i="5"/>
  <c r="C4166" i="5"/>
  <c r="B4166" i="5"/>
  <c r="A4166" i="5"/>
  <c r="C4165" i="5"/>
  <c r="B4165" i="5"/>
  <c r="A4165" i="5"/>
  <c r="C4164" i="5"/>
  <c r="B4164" i="5"/>
  <c r="A4164" i="5"/>
  <c r="C4163" i="5"/>
  <c r="B4163" i="5"/>
  <c r="A4163" i="5"/>
  <c r="C4162" i="5"/>
  <c r="B4162" i="5"/>
  <c r="A4162" i="5"/>
  <c r="C4161" i="5"/>
  <c r="B4161" i="5"/>
  <c r="A4161" i="5"/>
  <c r="C4160" i="5"/>
  <c r="B4160" i="5"/>
  <c r="A4160" i="5"/>
  <c r="C4159" i="5"/>
  <c r="B4159" i="5"/>
  <c r="A4159" i="5"/>
  <c r="C4158" i="5"/>
  <c r="B4158" i="5"/>
  <c r="A4158" i="5"/>
  <c r="C4157" i="5"/>
  <c r="B4157" i="5"/>
  <c r="A4157" i="5"/>
  <c r="C4156" i="5"/>
  <c r="B4156" i="5"/>
  <c r="A4156" i="5"/>
  <c r="C4155" i="5"/>
  <c r="B4155" i="5"/>
  <c r="A4155" i="5"/>
  <c r="C4154" i="5"/>
  <c r="B4154" i="5"/>
  <c r="A4154" i="5"/>
  <c r="C4153" i="5"/>
  <c r="B4153" i="5"/>
  <c r="A4153" i="5"/>
  <c r="C4152" i="5"/>
  <c r="B4152" i="5"/>
  <c r="A4152" i="5"/>
  <c r="C4151" i="5"/>
  <c r="B4151" i="5"/>
  <c r="A4151" i="5"/>
  <c r="C4150" i="5"/>
  <c r="B4150" i="5"/>
  <c r="A4150" i="5"/>
  <c r="C4149" i="5"/>
  <c r="B4149" i="5"/>
  <c r="A4149" i="5"/>
  <c r="C4148" i="5"/>
  <c r="B4148" i="5"/>
  <c r="A4148" i="5"/>
  <c r="C4147" i="5"/>
  <c r="B4147" i="5"/>
  <c r="A4147" i="5"/>
  <c r="C4146" i="5"/>
  <c r="B4146" i="5"/>
  <c r="A4146" i="5"/>
  <c r="C4145" i="5"/>
  <c r="B4145" i="5"/>
  <c r="A4145" i="5"/>
  <c r="C4144" i="5"/>
  <c r="B4144" i="5"/>
  <c r="A4144" i="5"/>
  <c r="C4143" i="5"/>
  <c r="B4143" i="5"/>
  <c r="A4143" i="5"/>
  <c r="C4142" i="5"/>
  <c r="B4142" i="5"/>
  <c r="A4142" i="5"/>
  <c r="C4141" i="5"/>
  <c r="B4141" i="5"/>
  <c r="A4141" i="5"/>
  <c r="C4140" i="5"/>
  <c r="B4140" i="5"/>
  <c r="A4140" i="5"/>
  <c r="C4139" i="5"/>
  <c r="B4139" i="5"/>
  <c r="A4139" i="5"/>
  <c r="C4138" i="5"/>
  <c r="B4138" i="5"/>
  <c r="A4138" i="5"/>
  <c r="C4137" i="5"/>
  <c r="B4137" i="5"/>
  <c r="A4137" i="5"/>
  <c r="C4136" i="5"/>
  <c r="B4136" i="5"/>
  <c r="A4136" i="5"/>
  <c r="C4135" i="5"/>
  <c r="B4135" i="5"/>
  <c r="A4135" i="5"/>
  <c r="C4134" i="5"/>
  <c r="B4134" i="5"/>
  <c r="A4134" i="5"/>
  <c r="C4133" i="5"/>
  <c r="B4133" i="5"/>
  <c r="A4133" i="5"/>
  <c r="C4132" i="5"/>
  <c r="B4132" i="5"/>
  <c r="A4132" i="5"/>
  <c r="C4131" i="5"/>
  <c r="B4131" i="5"/>
  <c r="A4131" i="5"/>
  <c r="C4130" i="5"/>
  <c r="B4130" i="5"/>
  <c r="A4130" i="5"/>
  <c r="C4129" i="5"/>
  <c r="B4129" i="5"/>
  <c r="A4129" i="5"/>
  <c r="C4128" i="5"/>
  <c r="B4128" i="5"/>
  <c r="A4128" i="5"/>
  <c r="C4127" i="5"/>
  <c r="B4127" i="5"/>
  <c r="A4127" i="5"/>
  <c r="C4126" i="5"/>
  <c r="B4126" i="5"/>
  <c r="A4126" i="5"/>
  <c r="C4125" i="5"/>
  <c r="B4125" i="5"/>
  <c r="A4125" i="5"/>
  <c r="C4124" i="5"/>
  <c r="B4124" i="5"/>
  <c r="A4124" i="5"/>
  <c r="C4123" i="5"/>
  <c r="B4123" i="5"/>
  <c r="A4123" i="5"/>
  <c r="C4122" i="5"/>
  <c r="B4122" i="5"/>
  <c r="A4122" i="5"/>
  <c r="C4121" i="5"/>
  <c r="B4121" i="5"/>
  <c r="A4121" i="5"/>
  <c r="C4120" i="5"/>
  <c r="B4120" i="5"/>
  <c r="A4120" i="5"/>
  <c r="C4119" i="5"/>
  <c r="B4119" i="5"/>
  <c r="A4119" i="5"/>
  <c r="C4118" i="5"/>
  <c r="B4118" i="5"/>
  <c r="A4118" i="5"/>
  <c r="C4117" i="5"/>
  <c r="B4117" i="5"/>
  <c r="A4117" i="5"/>
  <c r="C4116" i="5"/>
  <c r="B4116" i="5"/>
  <c r="A4116" i="5"/>
  <c r="C4115" i="5"/>
  <c r="B4115" i="5"/>
  <c r="A4115" i="5"/>
  <c r="C4114" i="5"/>
  <c r="B4114" i="5"/>
  <c r="A4114" i="5"/>
  <c r="C4113" i="5"/>
  <c r="B4113" i="5"/>
  <c r="A4113" i="5"/>
  <c r="C4112" i="5"/>
  <c r="B4112" i="5"/>
  <c r="A4112" i="5"/>
  <c r="C4111" i="5"/>
  <c r="B4111" i="5"/>
  <c r="A4111" i="5"/>
  <c r="C4110" i="5"/>
  <c r="B4110" i="5"/>
  <c r="A4110" i="5"/>
  <c r="C4109" i="5"/>
  <c r="B4109" i="5"/>
  <c r="A4109" i="5"/>
  <c r="C4108" i="5"/>
  <c r="B4108" i="5"/>
  <c r="A4108" i="5"/>
  <c r="C4107" i="5"/>
  <c r="B4107" i="5"/>
  <c r="A4107" i="5"/>
  <c r="C4106" i="5"/>
  <c r="B4106" i="5"/>
  <c r="A4106" i="5"/>
  <c r="C4105" i="5"/>
  <c r="B4105" i="5"/>
  <c r="A4105" i="5"/>
  <c r="C4104" i="5"/>
  <c r="B4104" i="5"/>
  <c r="A4104" i="5"/>
  <c r="C4103" i="5"/>
  <c r="B4103" i="5"/>
  <c r="A4103" i="5"/>
  <c r="C4102" i="5"/>
  <c r="B4102" i="5"/>
  <c r="A4102" i="5"/>
  <c r="C4101" i="5"/>
  <c r="B4101" i="5"/>
  <c r="A4101" i="5"/>
  <c r="C4100" i="5"/>
  <c r="B4100" i="5"/>
  <c r="A4100" i="5"/>
  <c r="C4099" i="5"/>
  <c r="B4099" i="5"/>
  <c r="A4099" i="5"/>
  <c r="C4098" i="5"/>
  <c r="B4098" i="5"/>
  <c r="A4098" i="5"/>
  <c r="C4097" i="5"/>
  <c r="B4097" i="5"/>
  <c r="A4097" i="5"/>
  <c r="C4096" i="5"/>
  <c r="B4096" i="5"/>
  <c r="A4096" i="5"/>
  <c r="C4095" i="5"/>
  <c r="B4095" i="5"/>
  <c r="A4095" i="5"/>
  <c r="C4094" i="5"/>
  <c r="B4094" i="5"/>
  <c r="A4094" i="5"/>
  <c r="C4093" i="5"/>
  <c r="B4093" i="5"/>
  <c r="A4093" i="5"/>
  <c r="C4092" i="5"/>
  <c r="B4092" i="5"/>
  <c r="A4092" i="5"/>
  <c r="C4091" i="5"/>
  <c r="B4091" i="5"/>
  <c r="A4091" i="5"/>
  <c r="C4090" i="5"/>
  <c r="B4090" i="5"/>
  <c r="A4090" i="5"/>
  <c r="C4089" i="5"/>
  <c r="B4089" i="5"/>
  <c r="A4089" i="5"/>
  <c r="C4088" i="5"/>
  <c r="B4088" i="5"/>
  <c r="A4088" i="5"/>
  <c r="C4087" i="5"/>
  <c r="B4087" i="5"/>
  <c r="A4087" i="5"/>
  <c r="C4086" i="5"/>
  <c r="B4086" i="5"/>
  <c r="A4086" i="5"/>
  <c r="C4085" i="5"/>
  <c r="B4085" i="5"/>
  <c r="A4085" i="5"/>
  <c r="C4084" i="5"/>
  <c r="B4084" i="5"/>
  <c r="A4084" i="5"/>
  <c r="C4083" i="5"/>
  <c r="B4083" i="5"/>
  <c r="A4083" i="5"/>
  <c r="C4082" i="5"/>
  <c r="B4082" i="5"/>
  <c r="A4082" i="5"/>
  <c r="C4081" i="5"/>
  <c r="B4081" i="5"/>
  <c r="A4081" i="5"/>
  <c r="C4080" i="5"/>
  <c r="B4080" i="5"/>
  <c r="A4080" i="5"/>
  <c r="C4079" i="5"/>
  <c r="B4079" i="5"/>
  <c r="A4079" i="5"/>
  <c r="C4078" i="5"/>
  <c r="B4078" i="5"/>
  <c r="A4078" i="5"/>
  <c r="C4077" i="5"/>
  <c r="B4077" i="5"/>
  <c r="A4077" i="5"/>
  <c r="C4076" i="5"/>
  <c r="B4076" i="5"/>
  <c r="A4076" i="5"/>
  <c r="C4075" i="5"/>
  <c r="B4075" i="5"/>
  <c r="A4075" i="5"/>
  <c r="C4074" i="5"/>
  <c r="B4074" i="5"/>
  <c r="A4074" i="5"/>
  <c r="C4073" i="5"/>
  <c r="B4073" i="5"/>
  <c r="A4073" i="5"/>
  <c r="C4072" i="5"/>
  <c r="B4072" i="5"/>
  <c r="A4072" i="5"/>
  <c r="C4071" i="5"/>
  <c r="B4071" i="5"/>
  <c r="A4071" i="5"/>
  <c r="C4070" i="5"/>
  <c r="B4070" i="5"/>
  <c r="A4070" i="5"/>
  <c r="C4069" i="5"/>
  <c r="B4069" i="5"/>
  <c r="A4069" i="5"/>
  <c r="C4068" i="5"/>
  <c r="B4068" i="5"/>
  <c r="A4068" i="5"/>
  <c r="C4067" i="5"/>
  <c r="B4067" i="5"/>
  <c r="A4067" i="5"/>
  <c r="C4066" i="5"/>
  <c r="B4066" i="5"/>
  <c r="A4066" i="5"/>
  <c r="C4065" i="5"/>
  <c r="B4065" i="5"/>
  <c r="A4065" i="5"/>
  <c r="C4064" i="5"/>
  <c r="B4064" i="5"/>
  <c r="A4064" i="5"/>
  <c r="C4063" i="5"/>
  <c r="B4063" i="5"/>
  <c r="A4063" i="5"/>
  <c r="C4062" i="5"/>
  <c r="B4062" i="5"/>
  <c r="A4062" i="5"/>
  <c r="C4061" i="5"/>
  <c r="B4061" i="5"/>
  <c r="A4061" i="5"/>
  <c r="C4060" i="5"/>
  <c r="B4060" i="5"/>
  <c r="A4060" i="5"/>
  <c r="C4059" i="5"/>
  <c r="B4059" i="5"/>
  <c r="A4059" i="5"/>
  <c r="C4058" i="5"/>
  <c r="B4058" i="5"/>
  <c r="A4058" i="5"/>
  <c r="C4057" i="5"/>
  <c r="B4057" i="5"/>
  <c r="A4057" i="5"/>
  <c r="C4056" i="5"/>
  <c r="B4056" i="5"/>
  <c r="A4056" i="5"/>
  <c r="C4055" i="5"/>
  <c r="B4055" i="5"/>
  <c r="A4055" i="5"/>
  <c r="C4054" i="5"/>
  <c r="B4054" i="5"/>
  <c r="A4054" i="5"/>
  <c r="C4053" i="5"/>
  <c r="B4053" i="5"/>
  <c r="A4053" i="5"/>
  <c r="C4052" i="5"/>
  <c r="B4052" i="5"/>
  <c r="A4052" i="5"/>
  <c r="C4051" i="5"/>
  <c r="B4051" i="5"/>
  <c r="A4051" i="5"/>
  <c r="C4050" i="5"/>
  <c r="B4050" i="5"/>
  <c r="A4050" i="5"/>
  <c r="C4049" i="5"/>
  <c r="B4049" i="5"/>
  <c r="A4049" i="5"/>
  <c r="C4048" i="5"/>
  <c r="B4048" i="5"/>
  <c r="A4048" i="5"/>
  <c r="C4047" i="5"/>
  <c r="B4047" i="5"/>
  <c r="A4047" i="5"/>
  <c r="C4046" i="5"/>
  <c r="B4046" i="5"/>
  <c r="A4046" i="5"/>
  <c r="C4045" i="5"/>
  <c r="B4045" i="5"/>
  <c r="A4045" i="5"/>
  <c r="C4044" i="5"/>
  <c r="B4044" i="5"/>
  <c r="A4044" i="5"/>
  <c r="C4043" i="5"/>
  <c r="B4043" i="5"/>
  <c r="A4043" i="5"/>
  <c r="C4042" i="5"/>
  <c r="B4042" i="5"/>
  <c r="A4042" i="5"/>
  <c r="C4041" i="5"/>
  <c r="B4041" i="5"/>
  <c r="A4041" i="5"/>
  <c r="C4040" i="5"/>
  <c r="B4040" i="5"/>
  <c r="A4040" i="5"/>
  <c r="C4039" i="5"/>
  <c r="B4039" i="5"/>
  <c r="A4039" i="5"/>
  <c r="C4038" i="5"/>
  <c r="B4038" i="5"/>
  <c r="A4038" i="5"/>
  <c r="C4037" i="5"/>
  <c r="B4037" i="5"/>
  <c r="A4037" i="5"/>
  <c r="C4036" i="5"/>
  <c r="B4036" i="5"/>
  <c r="A4036" i="5"/>
  <c r="C4035" i="5"/>
  <c r="B4035" i="5"/>
  <c r="A4035" i="5"/>
  <c r="C4034" i="5"/>
  <c r="B4034" i="5"/>
  <c r="A4034" i="5"/>
  <c r="C4033" i="5"/>
  <c r="B4033" i="5"/>
  <c r="A4033" i="5"/>
  <c r="C4032" i="5"/>
  <c r="B4032" i="5"/>
  <c r="A4032" i="5"/>
  <c r="C4031" i="5"/>
  <c r="B4031" i="5"/>
  <c r="A4031" i="5"/>
  <c r="C4030" i="5"/>
  <c r="B4030" i="5"/>
  <c r="A4030" i="5"/>
  <c r="C4029" i="5"/>
  <c r="B4029" i="5"/>
  <c r="A4029" i="5"/>
  <c r="C4028" i="5"/>
  <c r="B4028" i="5"/>
  <c r="A4028" i="5"/>
  <c r="C4027" i="5"/>
  <c r="B4027" i="5"/>
  <c r="A4027" i="5"/>
  <c r="C4026" i="5"/>
  <c r="B4026" i="5"/>
  <c r="A4026" i="5"/>
  <c r="C4025" i="5"/>
  <c r="B4025" i="5"/>
  <c r="A4025" i="5"/>
  <c r="C4024" i="5"/>
  <c r="B4024" i="5"/>
  <c r="A4024" i="5"/>
  <c r="C4023" i="5"/>
  <c r="B4023" i="5"/>
  <c r="A4023" i="5"/>
  <c r="C4022" i="5"/>
  <c r="B4022" i="5"/>
  <c r="A4022" i="5"/>
  <c r="C4021" i="5"/>
  <c r="B4021" i="5"/>
  <c r="A4021" i="5"/>
  <c r="C4020" i="5"/>
  <c r="B4020" i="5"/>
  <c r="A4020" i="5"/>
  <c r="C4019" i="5"/>
  <c r="B4019" i="5"/>
  <c r="A4019" i="5"/>
  <c r="C4018" i="5"/>
  <c r="B4018" i="5"/>
  <c r="A4018" i="5"/>
  <c r="C4017" i="5"/>
  <c r="B4017" i="5"/>
  <c r="A4017" i="5"/>
  <c r="C4016" i="5"/>
  <c r="B4016" i="5"/>
  <c r="A4016" i="5"/>
  <c r="C4015" i="5"/>
  <c r="B4015" i="5"/>
  <c r="A4015" i="5"/>
  <c r="C4014" i="5"/>
  <c r="B4014" i="5"/>
  <c r="A4014" i="5"/>
  <c r="C4013" i="5"/>
  <c r="B4013" i="5"/>
  <c r="A4013" i="5"/>
  <c r="C4012" i="5"/>
  <c r="B4012" i="5"/>
  <c r="A4012" i="5"/>
  <c r="C4011" i="5"/>
  <c r="B4011" i="5"/>
  <c r="A4011" i="5"/>
  <c r="C4010" i="5"/>
  <c r="B4010" i="5"/>
  <c r="A4010" i="5"/>
  <c r="C4009" i="5"/>
  <c r="B4009" i="5"/>
  <c r="A4009" i="5"/>
  <c r="C4008" i="5"/>
  <c r="B4008" i="5"/>
  <c r="A4008" i="5"/>
  <c r="C4007" i="5"/>
  <c r="B4007" i="5"/>
  <c r="A4007" i="5"/>
  <c r="C4006" i="5"/>
  <c r="B4006" i="5"/>
  <c r="A4006" i="5"/>
  <c r="C4005" i="5"/>
  <c r="B4005" i="5"/>
  <c r="A4005" i="5"/>
  <c r="C4004" i="5"/>
  <c r="B4004" i="5"/>
  <c r="A4004" i="5"/>
  <c r="C4003" i="5"/>
  <c r="B4003" i="5"/>
  <c r="A4003" i="5"/>
  <c r="C4002" i="5"/>
  <c r="B4002" i="5"/>
  <c r="A4002" i="5"/>
  <c r="C4001" i="5"/>
  <c r="B4001" i="5"/>
  <c r="A4001" i="5"/>
  <c r="C4000" i="5"/>
  <c r="B4000" i="5"/>
  <c r="A4000" i="5"/>
  <c r="C3999" i="5"/>
  <c r="B3999" i="5"/>
  <c r="A3999" i="5"/>
  <c r="C3998" i="5"/>
  <c r="B3998" i="5"/>
  <c r="A3998" i="5"/>
  <c r="C3997" i="5"/>
  <c r="B3997" i="5"/>
  <c r="A3997" i="5"/>
  <c r="C3996" i="5"/>
  <c r="B3996" i="5"/>
  <c r="A3996" i="5"/>
  <c r="C3995" i="5"/>
  <c r="B3995" i="5"/>
  <c r="A3995" i="5"/>
  <c r="C3994" i="5"/>
  <c r="B3994" i="5"/>
  <c r="A3994" i="5"/>
  <c r="C3993" i="5"/>
  <c r="B3993" i="5"/>
  <c r="A3993" i="5"/>
  <c r="C3992" i="5"/>
  <c r="B3992" i="5"/>
  <c r="A3992" i="5"/>
  <c r="C3991" i="5"/>
  <c r="B3991" i="5"/>
  <c r="A3991" i="5"/>
  <c r="C3990" i="5"/>
  <c r="B3990" i="5"/>
  <c r="A3990" i="5"/>
  <c r="C3989" i="5"/>
  <c r="B3989" i="5"/>
  <c r="A3989" i="5"/>
  <c r="C3988" i="5"/>
  <c r="B3988" i="5"/>
  <c r="A3988" i="5"/>
  <c r="C3987" i="5"/>
  <c r="B3987" i="5"/>
  <c r="A3987" i="5"/>
  <c r="C3986" i="5"/>
  <c r="B3986" i="5"/>
  <c r="A3986" i="5"/>
  <c r="C3985" i="5"/>
  <c r="B3985" i="5"/>
  <c r="A3985" i="5"/>
  <c r="C3984" i="5"/>
  <c r="B3984" i="5"/>
  <c r="A3984" i="5"/>
  <c r="C3983" i="5"/>
  <c r="B3983" i="5"/>
  <c r="A3983" i="5"/>
  <c r="C3982" i="5"/>
  <c r="B3982" i="5"/>
  <c r="A3982" i="5"/>
  <c r="C3981" i="5"/>
  <c r="B3981" i="5"/>
  <c r="A3981" i="5"/>
  <c r="C3980" i="5"/>
  <c r="B3980" i="5"/>
  <c r="A3980" i="5"/>
  <c r="C3979" i="5"/>
  <c r="B3979" i="5"/>
  <c r="A3979" i="5"/>
  <c r="C3978" i="5"/>
  <c r="B3978" i="5"/>
  <c r="A3978" i="5"/>
  <c r="C3977" i="5"/>
  <c r="B3977" i="5"/>
  <c r="A3977" i="5"/>
  <c r="C3976" i="5"/>
  <c r="B3976" i="5"/>
  <c r="A3976" i="5"/>
  <c r="C3975" i="5"/>
  <c r="B3975" i="5"/>
  <c r="A3975" i="5"/>
  <c r="C3974" i="5"/>
  <c r="B3974" i="5"/>
  <c r="A3974" i="5"/>
  <c r="C3973" i="5"/>
  <c r="B3973" i="5"/>
  <c r="A3973" i="5"/>
  <c r="C3972" i="5"/>
  <c r="B3972" i="5"/>
  <c r="A3972" i="5"/>
  <c r="C3971" i="5"/>
  <c r="B3971" i="5"/>
  <c r="A3971" i="5"/>
  <c r="C3970" i="5"/>
  <c r="B3970" i="5"/>
  <c r="A3970" i="5"/>
  <c r="C3969" i="5"/>
  <c r="B3969" i="5"/>
  <c r="A3969" i="5"/>
  <c r="C3968" i="5"/>
  <c r="B3968" i="5"/>
  <c r="A3968" i="5"/>
  <c r="C3967" i="5"/>
  <c r="B3967" i="5"/>
  <c r="A3967" i="5"/>
  <c r="C3966" i="5"/>
  <c r="B3966" i="5"/>
  <c r="A3966" i="5"/>
  <c r="C3965" i="5"/>
  <c r="B3965" i="5"/>
  <c r="A3965" i="5"/>
  <c r="C3964" i="5"/>
  <c r="B3964" i="5"/>
  <c r="A3964" i="5"/>
  <c r="C3963" i="5"/>
  <c r="B3963" i="5"/>
  <c r="A3963" i="5"/>
  <c r="C3962" i="5"/>
  <c r="B3962" i="5"/>
  <c r="A3962" i="5"/>
  <c r="C3961" i="5"/>
  <c r="B3961" i="5"/>
  <c r="A3961" i="5"/>
  <c r="C3960" i="5"/>
  <c r="B3960" i="5"/>
  <c r="A3960" i="5"/>
  <c r="C3959" i="5"/>
  <c r="B3959" i="5"/>
  <c r="A3959" i="5"/>
  <c r="C3958" i="5"/>
  <c r="B3958" i="5"/>
  <c r="A3958" i="5"/>
  <c r="C3957" i="5"/>
  <c r="B3957" i="5"/>
  <c r="A3957" i="5"/>
  <c r="C3956" i="5"/>
  <c r="B3956" i="5"/>
  <c r="A3956" i="5"/>
  <c r="C3955" i="5"/>
  <c r="B3955" i="5"/>
  <c r="A3955" i="5"/>
  <c r="C3954" i="5"/>
  <c r="B3954" i="5"/>
  <c r="A3954" i="5"/>
  <c r="C3953" i="5"/>
  <c r="B3953" i="5"/>
  <c r="A3953" i="5"/>
  <c r="C3952" i="5"/>
  <c r="B3952" i="5"/>
  <c r="A3952" i="5"/>
  <c r="C3951" i="5"/>
  <c r="B3951" i="5"/>
  <c r="A3951" i="5"/>
  <c r="C3950" i="5"/>
  <c r="B3950" i="5"/>
  <c r="A3950" i="5"/>
  <c r="C3949" i="5"/>
  <c r="B3949" i="5"/>
  <c r="A3949" i="5"/>
  <c r="C3948" i="5"/>
  <c r="B3948" i="5"/>
  <c r="A3948" i="5"/>
  <c r="C3947" i="5"/>
  <c r="B3947" i="5"/>
  <c r="A3947" i="5"/>
  <c r="C3946" i="5"/>
  <c r="B3946" i="5"/>
  <c r="A3946" i="5"/>
  <c r="C3945" i="5"/>
  <c r="B3945" i="5"/>
  <c r="A3945" i="5"/>
  <c r="C3944" i="5"/>
  <c r="B3944" i="5"/>
  <c r="A3944" i="5"/>
  <c r="C3943" i="5"/>
  <c r="B3943" i="5"/>
  <c r="A3943" i="5"/>
  <c r="C3942" i="5"/>
  <c r="B3942" i="5"/>
  <c r="A3942" i="5"/>
  <c r="C3941" i="5"/>
  <c r="B3941" i="5"/>
  <c r="A3941" i="5"/>
  <c r="C3940" i="5"/>
  <c r="B3940" i="5"/>
  <c r="A3940" i="5"/>
  <c r="C3939" i="5"/>
  <c r="B3939" i="5"/>
  <c r="A3939" i="5"/>
  <c r="C3938" i="5"/>
  <c r="B3938" i="5"/>
  <c r="A3938" i="5"/>
  <c r="C3937" i="5"/>
  <c r="B3937" i="5"/>
  <c r="A3937" i="5"/>
  <c r="C3936" i="5"/>
  <c r="B3936" i="5"/>
  <c r="A3936" i="5"/>
  <c r="C3935" i="5"/>
  <c r="B3935" i="5"/>
  <c r="A3935" i="5"/>
  <c r="C3934" i="5"/>
  <c r="B3934" i="5"/>
  <c r="A3934" i="5"/>
  <c r="C3933" i="5"/>
  <c r="B3933" i="5"/>
  <c r="A3933" i="5"/>
  <c r="C3932" i="5"/>
  <c r="B3932" i="5"/>
  <c r="A3932" i="5"/>
  <c r="C3931" i="5"/>
  <c r="B3931" i="5"/>
  <c r="A3931" i="5"/>
  <c r="C3930" i="5"/>
  <c r="B3930" i="5"/>
  <c r="A3930" i="5"/>
  <c r="C3929" i="5"/>
  <c r="B3929" i="5"/>
  <c r="A3929" i="5"/>
  <c r="C3928" i="5"/>
  <c r="B3928" i="5"/>
  <c r="A3928" i="5"/>
  <c r="C3927" i="5"/>
  <c r="B3927" i="5"/>
  <c r="A3927" i="5"/>
  <c r="C3926" i="5"/>
  <c r="B3926" i="5"/>
  <c r="A3926" i="5"/>
  <c r="C3925" i="5"/>
  <c r="B3925" i="5"/>
  <c r="A3925" i="5"/>
  <c r="C3924" i="5"/>
  <c r="B3924" i="5"/>
  <c r="A3924" i="5"/>
  <c r="C3923" i="5"/>
  <c r="B3923" i="5"/>
  <c r="A3923" i="5"/>
  <c r="C3922" i="5"/>
  <c r="B3922" i="5"/>
  <c r="A3922" i="5"/>
  <c r="C3921" i="5"/>
  <c r="B3921" i="5"/>
  <c r="A3921" i="5"/>
  <c r="C3920" i="5"/>
  <c r="B3920" i="5"/>
  <c r="A3920" i="5"/>
  <c r="C3919" i="5"/>
  <c r="B3919" i="5"/>
  <c r="A3919" i="5"/>
  <c r="C3918" i="5"/>
  <c r="B3918" i="5"/>
  <c r="A3918" i="5"/>
  <c r="C3917" i="5"/>
  <c r="B3917" i="5"/>
  <c r="A3917" i="5"/>
  <c r="C3916" i="5"/>
  <c r="B3916" i="5"/>
  <c r="A3916" i="5"/>
  <c r="C3915" i="5"/>
  <c r="B3915" i="5"/>
  <c r="A3915" i="5"/>
  <c r="C3914" i="5"/>
  <c r="B3914" i="5"/>
  <c r="A3914" i="5"/>
  <c r="C3913" i="5"/>
  <c r="B3913" i="5"/>
  <c r="A3913" i="5"/>
  <c r="C3912" i="5"/>
  <c r="B3912" i="5"/>
  <c r="A3912" i="5"/>
  <c r="C3911" i="5"/>
  <c r="B3911" i="5"/>
  <c r="A3911" i="5"/>
  <c r="C3910" i="5"/>
  <c r="B3910" i="5"/>
  <c r="A3910" i="5"/>
  <c r="C3909" i="5"/>
  <c r="B3909" i="5"/>
  <c r="A3909" i="5"/>
  <c r="C3908" i="5"/>
  <c r="B3908" i="5"/>
  <c r="A3908" i="5"/>
  <c r="C3907" i="5"/>
  <c r="B3907" i="5"/>
  <c r="A3907" i="5"/>
  <c r="C3906" i="5"/>
  <c r="B3906" i="5"/>
  <c r="A3906" i="5"/>
  <c r="C3905" i="5"/>
  <c r="B3905" i="5"/>
  <c r="A3905" i="5"/>
  <c r="C3904" i="5"/>
  <c r="B3904" i="5"/>
  <c r="A3904" i="5"/>
  <c r="C3903" i="5"/>
  <c r="B3903" i="5"/>
  <c r="A3903" i="5"/>
  <c r="C3902" i="5"/>
  <c r="B3902" i="5"/>
  <c r="A3902" i="5"/>
  <c r="C3901" i="5"/>
  <c r="A3901" i="5"/>
  <c r="C3900" i="5"/>
  <c r="B3900" i="5"/>
  <c r="A3900" i="5"/>
  <c r="C3899" i="5"/>
  <c r="B3899" i="5"/>
  <c r="A3899" i="5"/>
  <c r="C3898" i="5"/>
  <c r="B3898" i="5"/>
  <c r="A3898" i="5"/>
  <c r="C3897" i="5"/>
  <c r="B3897" i="5"/>
  <c r="A3897" i="5"/>
  <c r="C3896" i="5"/>
  <c r="B3896" i="5"/>
  <c r="A3896" i="5"/>
  <c r="C3895" i="5"/>
  <c r="B3895" i="5"/>
  <c r="A3895" i="5"/>
  <c r="C3894" i="5"/>
  <c r="B3894" i="5"/>
  <c r="A3894" i="5"/>
  <c r="C3893" i="5"/>
  <c r="B3893" i="5"/>
  <c r="A3893" i="5"/>
  <c r="C3892" i="5"/>
  <c r="B3892" i="5"/>
  <c r="A3892" i="5"/>
  <c r="C3891" i="5"/>
  <c r="B3891" i="5"/>
  <c r="A3891" i="5"/>
  <c r="C3890" i="5"/>
  <c r="B3890" i="5"/>
  <c r="A3890" i="5"/>
  <c r="C3889" i="5"/>
  <c r="B3889" i="5"/>
  <c r="A3889" i="5"/>
  <c r="C3888" i="5"/>
  <c r="B3888" i="5"/>
  <c r="A3888" i="5"/>
  <c r="C3887" i="5"/>
  <c r="A3887" i="5"/>
  <c r="C3886" i="5"/>
  <c r="A3886" i="5"/>
  <c r="C3885" i="5"/>
  <c r="A3885" i="5"/>
  <c r="C3884" i="5"/>
  <c r="B3884" i="5"/>
  <c r="A3884" i="5"/>
  <c r="C3883" i="5"/>
  <c r="B3883" i="5"/>
  <c r="A3883" i="5"/>
  <c r="C3882" i="5"/>
  <c r="B3882" i="5"/>
  <c r="A3882" i="5"/>
  <c r="C3881" i="5"/>
  <c r="B3881" i="5"/>
  <c r="A3881" i="5"/>
  <c r="C3880" i="5"/>
  <c r="B3880" i="5"/>
  <c r="A3880" i="5"/>
  <c r="C3879" i="5"/>
  <c r="B3879" i="5"/>
  <c r="A3879" i="5"/>
  <c r="C3878" i="5"/>
  <c r="B3878" i="5"/>
  <c r="A3878" i="5"/>
  <c r="C3877" i="5"/>
  <c r="B3877" i="5"/>
  <c r="A3877" i="5"/>
  <c r="C3876" i="5"/>
  <c r="B3876" i="5"/>
  <c r="A3876" i="5"/>
  <c r="C3875" i="5"/>
  <c r="B3875" i="5"/>
  <c r="A3875" i="5"/>
  <c r="C3874" i="5"/>
  <c r="B3874" i="5"/>
  <c r="A3874" i="5"/>
  <c r="C3873" i="5"/>
  <c r="B3873" i="5"/>
  <c r="A3873" i="5"/>
  <c r="C3872" i="5"/>
  <c r="B3872" i="5"/>
  <c r="A3872" i="5"/>
  <c r="C3871" i="5"/>
  <c r="B3871" i="5"/>
  <c r="A3871" i="5"/>
  <c r="C3870" i="5"/>
  <c r="B3870" i="5"/>
  <c r="A3870" i="5"/>
  <c r="C3869" i="5"/>
  <c r="B3869" i="5"/>
  <c r="A3869" i="5"/>
  <c r="C3868" i="5"/>
  <c r="B3868" i="5"/>
  <c r="A3868" i="5"/>
  <c r="C3867" i="5"/>
  <c r="B3867" i="5"/>
  <c r="A3867" i="5"/>
  <c r="C3866" i="5"/>
  <c r="B3866" i="5"/>
  <c r="A3866" i="5"/>
  <c r="C3865" i="5"/>
  <c r="B3865" i="5"/>
  <c r="A3865" i="5"/>
  <c r="C3864" i="5"/>
  <c r="B3864" i="5"/>
  <c r="A3864" i="5"/>
  <c r="C3863" i="5"/>
  <c r="B3863" i="5"/>
  <c r="A3863" i="5"/>
  <c r="C3862" i="5"/>
  <c r="B3862" i="5"/>
  <c r="A3862" i="5"/>
  <c r="C3861" i="5"/>
  <c r="B3861" i="5"/>
  <c r="A3861" i="5"/>
  <c r="C3860" i="5"/>
  <c r="B3860" i="5"/>
  <c r="A3860" i="5"/>
  <c r="C3859" i="5"/>
  <c r="B3859" i="5"/>
  <c r="A3859" i="5"/>
  <c r="C3858" i="5"/>
  <c r="B3858" i="5"/>
  <c r="A3858" i="5"/>
  <c r="C3857" i="5"/>
  <c r="B3857" i="5"/>
  <c r="A3857" i="5"/>
  <c r="C3856" i="5"/>
  <c r="B3856" i="5"/>
  <c r="A3856" i="5"/>
  <c r="C3855" i="5"/>
  <c r="B3855" i="5"/>
  <c r="A3855" i="5"/>
  <c r="C3854" i="5"/>
  <c r="B3854" i="5"/>
  <c r="A3854" i="5"/>
  <c r="C3853" i="5"/>
  <c r="B3853" i="5"/>
  <c r="A3853" i="5"/>
  <c r="C3852" i="5"/>
  <c r="B3852" i="5"/>
  <c r="A3852" i="5"/>
  <c r="C3851" i="5"/>
  <c r="B3851" i="5"/>
  <c r="A3851" i="5"/>
  <c r="C3850" i="5"/>
  <c r="B3850" i="5"/>
  <c r="A3850" i="5"/>
  <c r="C3849" i="5"/>
  <c r="B3849" i="5"/>
  <c r="A3849" i="5"/>
  <c r="C3848" i="5"/>
  <c r="B3848" i="5"/>
  <c r="A3848" i="5"/>
  <c r="C3847" i="5"/>
  <c r="B3847" i="5"/>
  <c r="A3847" i="5"/>
  <c r="C3846" i="5"/>
  <c r="B3846" i="5"/>
  <c r="A3846" i="5"/>
  <c r="C3845" i="5"/>
  <c r="B3845" i="5"/>
  <c r="A3845" i="5"/>
  <c r="C3844" i="5"/>
  <c r="B3844" i="5"/>
  <c r="A3844" i="5"/>
  <c r="C3843" i="5"/>
  <c r="B3843" i="5"/>
  <c r="A3843" i="5"/>
  <c r="C3842" i="5"/>
  <c r="B3842" i="5"/>
  <c r="A3842" i="5"/>
  <c r="C3841" i="5"/>
  <c r="B3841" i="5"/>
  <c r="A3841" i="5"/>
  <c r="C3840" i="5"/>
  <c r="B3840" i="5"/>
  <c r="A3840" i="5"/>
  <c r="C3839" i="5"/>
  <c r="B3839" i="5"/>
  <c r="A3839" i="5"/>
  <c r="C3838" i="5"/>
  <c r="B3838" i="5"/>
  <c r="A3838" i="5"/>
  <c r="C3837" i="5"/>
  <c r="B3837" i="5"/>
  <c r="A3837" i="5"/>
  <c r="C3836" i="5"/>
  <c r="B3836" i="5"/>
  <c r="A3836" i="5"/>
  <c r="C3835" i="5"/>
  <c r="B3835" i="5"/>
  <c r="A3835" i="5"/>
  <c r="C3834" i="5"/>
  <c r="B3834" i="5"/>
  <c r="A3834" i="5"/>
  <c r="C3833" i="5"/>
  <c r="B3833" i="5"/>
  <c r="A3833" i="5"/>
  <c r="C3832" i="5"/>
  <c r="B3832" i="5"/>
  <c r="A3832" i="5"/>
  <c r="C3831" i="5"/>
  <c r="B3831" i="5"/>
  <c r="A3831" i="5"/>
  <c r="C3830" i="5"/>
  <c r="B3830" i="5"/>
  <c r="A3830" i="5"/>
  <c r="C3829" i="5"/>
  <c r="B3829" i="5"/>
  <c r="A3829" i="5"/>
  <c r="C3828" i="5"/>
  <c r="B3828" i="5"/>
  <c r="A3828" i="5"/>
  <c r="C3827" i="5"/>
  <c r="B3827" i="5"/>
  <c r="A3827" i="5"/>
  <c r="C3826" i="5"/>
  <c r="B3826" i="5"/>
  <c r="A3826" i="5"/>
  <c r="C3825" i="5"/>
  <c r="B3825" i="5"/>
  <c r="A3825" i="5"/>
  <c r="C3824" i="5"/>
  <c r="B3824" i="5"/>
  <c r="A3824" i="5"/>
  <c r="C3823" i="5"/>
  <c r="B3823" i="5"/>
  <c r="A3823" i="5"/>
  <c r="C3822" i="5"/>
  <c r="B3822" i="5"/>
  <c r="A3822" i="5"/>
  <c r="C3821" i="5"/>
  <c r="B3821" i="5"/>
  <c r="A3821" i="5"/>
  <c r="C3820" i="5"/>
  <c r="B3820" i="5"/>
  <c r="A3820" i="5"/>
  <c r="C3819" i="5"/>
  <c r="B3819" i="5"/>
  <c r="A3819" i="5"/>
  <c r="C3818" i="5"/>
  <c r="B3818" i="5"/>
  <c r="A3818" i="5"/>
  <c r="C3817" i="5"/>
  <c r="B3817" i="5"/>
  <c r="A3817" i="5"/>
  <c r="C3816" i="5"/>
  <c r="B3816" i="5"/>
  <c r="A3816" i="5"/>
  <c r="C3815" i="5"/>
  <c r="B3815" i="5"/>
  <c r="A3815" i="5"/>
  <c r="C3814" i="5"/>
  <c r="B3814" i="5"/>
  <c r="A3814" i="5"/>
  <c r="C3813" i="5"/>
  <c r="B3813" i="5"/>
  <c r="A3813" i="5"/>
  <c r="C3812" i="5"/>
  <c r="B3812" i="5"/>
  <c r="A3812" i="5"/>
  <c r="C3811" i="5"/>
  <c r="B3811" i="5"/>
  <c r="A3811" i="5"/>
  <c r="C3810" i="5"/>
  <c r="B3810" i="5"/>
  <c r="A3810" i="5"/>
  <c r="C3809" i="5"/>
  <c r="B3809" i="5"/>
  <c r="A3809" i="5"/>
  <c r="C3808" i="5"/>
  <c r="B3808" i="5"/>
  <c r="A3808" i="5"/>
  <c r="C3807" i="5"/>
  <c r="B3807" i="5"/>
  <c r="A3807" i="5"/>
  <c r="C3806" i="5"/>
  <c r="B3806" i="5"/>
  <c r="A3806" i="5"/>
  <c r="C3805" i="5"/>
  <c r="B3805" i="5"/>
  <c r="A3805" i="5"/>
  <c r="C3804" i="5"/>
  <c r="B3804" i="5"/>
  <c r="A3804" i="5"/>
  <c r="C3803" i="5"/>
  <c r="B3803" i="5"/>
  <c r="A3803" i="5"/>
  <c r="C3802" i="5"/>
  <c r="B3802" i="5"/>
  <c r="A3802" i="5"/>
  <c r="C3801" i="5"/>
  <c r="B3801" i="5"/>
  <c r="A3801" i="5"/>
  <c r="C3800" i="5"/>
  <c r="B3800" i="5"/>
  <c r="A3800" i="5"/>
  <c r="C3799" i="5"/>
  <c r="B3799" i="5"/>
  <c r="A3799" i="5"/>
  <c r="C3798" i="5"/>
  <c r="B3798" i="5"/>
  <c r="A3798" i="5"/>
  <c r="C3797" i="5"/>
  <c r="B3797" i="5"/>
  <c r="A3797" i="5"/>
  <c r="C3796" i="5"/>
  <c r="B3796" i="5"/>
  <c r="A3796" i="5"/>
  <c r="C3795" i="5"/>
  <c r="B3795" i="5"/>
  <c r="A3795" i="5"/>
  <c r="C3794" i="5"/>
  <c r="B3794" i="5"/>
  <c r="A3794" i="5"/>
  <c r="C3793" i="5"/>
  <c r="B3793" i="5"/>
  <c r="A3793" i="5"/>
  <c r="C3792" i="5"/>
  <c r="B3792" i="5"/>
  <c r="A3792" i="5"/>
  <c r="C3791" i="5"/>
  <c r="B3791" i="5"/>
  <c r="A3791" i="5"/>
  <c r="C3790" i="5"/>
  <c r="B3790" i="5"/>
  <c r="A3790" i="5"/>
  <c r="C3789" i="5"/>
  <c r="B3789" i="5"/>
  <c r="A3789" i="5"/>
  <c r="C3788" i="5"/>
  <c r="B3788" i="5"/>
  <c r="A3788" i="5"/>
  <c r="C3787" i="5"/>
  <c r="B3787" i="5"/>
  <c r="A3787" i="5"/>
  <c r="C3786" i="5"/>
  <c r="B3786" i="5"/>
  <c r="A3786" i="5"/>
  <c r="C3785" i="5"/>
  <c r="B3785" i="5"/>
  <c r="A3785" i="5"/>
  <c r="C3784" i="5"/>
  <c r="B3784" i="5"/>
  <c r="A3784" i="5"/>
  <c r="C3783" i="5"/>
  <c r="B3783" i="5"/>
  <c r="A3783" i="5"/>
  <c r="C3782" i="5"/>
  <c r="B3782" i="5"/>
  <c r="A3782" i="5"/>
  <c r="C3781" i="5"/>
  <c r="B3781" i="5"/>
  <c r="A3781" i="5"/>
  <c r="C3780" i="5"/>
  <c r="B3780" i="5"/>
  <c r="A3780" i="5"/>
  <c r="C3779" i="5"/>
  <c r="B3779" i="5"/>
  <c r="A3779" i="5"/>
  <c r="C3778" i="5"/>
  <c r="B3778" i="5"/>
  <c r="A3778" i="5"/>
  <c r="C3777" i="5"/>
  <c r="B3777" i="5"/>
  <c r="A3777" i="5"/>
  <c r="C3776" i="5"/>
  <c r="B3776" i="5"/>
  <c r="A3776" i="5"/>
  <c r="C3775" i="5"/>
  <c r="B3775" i="5"/>
  <c r="A3775" i="5"/>
  <c r="C3774" i="5"/>
  <c r="B3774" i="5"/>
  <c r="A3774" i="5"/>
  <c r="C3773" i="5"/>
  <c r="B3773" i="5"/>
  <c r="A3773" i="5"/>
  <c r="C3772" i="5"/>
  <c r="B3772" i="5"/>
  <c r="A3772" i="5"/>
  <c r="C3771" i="5"/>
  <c r="B3771" i="5"/>
  <c r="A3771" i="5"/>
  <c r="C3770" i="5"/>
  <c r="B3770" i="5"/>
  <c r="A3770" i="5"/>
  <c r="C3769" i="5"/>
  <c r="B3769" i="5"/>
  <c r="A3769" i="5"/>
  <c r="C3768" i="5"/>
  <c r="B3768" i="5"/>
  <c r="A3768" i="5"/>
  <c r="C3767" i="5"/>
  <c r="B3767" i="5"/>
  <c r="A3767" i="5"/>
  <c r="C3766" i="5"/>
  <c r="B3766" i="5"/>
  <c r="A3766" i="5"/>
  <c r="C3765" i="5"/>
  <c r="B3765" i="5"/>
  <c r="A3765" i="5"/>
  <c r="C3764" i="5"/>
  <c r="B3764" i="5"/>
  <c r="A3764" i="5"/>
  <c r="C3763" i="5"/>
  <c r="B3763" i="5"/>
  <c r="A3763" i="5"/>
  <c r="C3762" i="5"/>
  <c r="B3762" i="5"/>
  <c r="A3762" i="5"/>
  <c r="C3761" i="5"/>
  <c r="B3761" i="5"/>
  <c r="A3761" i="5"/>
  <c r="C3760" i="5"/>
  <c r="B3760" i="5"/>
  <c r="A3760" i="5"/>
  <c r="C3759" i="5"/>
  <c r="B3759" i="5"/>
  <c r="A3759" i="5"/>
  <c r="C3758" i="5"/>
  <c r="B3758" i="5"/>
  <c r="A3758" i="5"/>
  <c r="C3757" i="5"/>
  <c r="B3757" i="5"/>
  <c r="A3757" i="5"/>
  <c r="C3756" i="5"/>
  <c r="B3756" i="5"/>
  <c r="A3756" i="5"/>
  <c r="C3755" i="5"/>
  <c r="B3755" i="5"/>
  <c r="A3755" i="5"/>
  <c r="C3754" i="5"/>
  <c r="B3754" i="5"/>
  <c r="A3754" i="5"/>
  <c r="C3753" i="5"/>
  <c r="B3753" i="5"/>
  <c r="A3753" i="5"/>
  <c r="C3752" i="5"/>
  <c r="B3752" i="5"/>
  <c r="A3752" i="5"/>
  <c r="C3751" i="5"/>
  <c r="B3751" i="5"/>
  <c r="A3751" i="5"/>
  <c r="C3750" i="5"/>
  <c r="B3750" i="5"/>
  <c r="A3750" i="5"/>
  <c r="C3749" i="5"/>
  <c r="B3749" i="5"/>
  <c r="A3749" i="5"/>
  <c r="C3748" i="5"/>
  <c r="B3748" i="5"/>
  <c r="A3748" i="5"/>
  <c r="C3747" i="5"/>
  <c r="B3747" i="5"/>
  <c r="A3747" i="5"/>
  <c r="C3746" i="5"/>
  <c r="B3746" i="5"/>
  <c r="A3746" i="5"/>
  <c r="C3745" i="5"/>
  <c r="B3745" i="5"/>
  <c r="A3745" i="5"/>
  <c r="C3744" i="5"/>
  <c r="B3744" i="5"/>
  <c r="A3744" i="5"/>
  <c r="C3743" i="5"/>
  <c r="B3743" i="5"/>
  <c r="A3743" i="5"/>
  <c r="C3742" i="5"/>
  <c r="B3742" i="5"/>
  <c r="A3742" i="5"/>
  <c r="C3741" i="5"/>
  <c r="B3741" i="5"/>
  <c r="A3741" i="5"/>
  <c r="C3740" i="5"/>
  <c r="B3740" i="5"/>
  <c r="A3740" i="5"/>
  <c r="C3739" i="5"/>
  <c r="B3739" i="5"/>
  <c r="A3739" i="5"/>
  <c r="C3738" i="5"/>
  <c r="B3738" i="5"/>
  <c r="A3738" i="5"/>
  <c r="C3737" i="5"/>
  <c r="B3737" i="5"/>
  <c r="A3737" i="5"/>
  <c r="C3736" i="5"/>
  <c r="B3736" i="5"/>
  <c r="A3736" i="5"/>
  <c r="C3735" i="5"/>
  <c r="B3735" i="5"/>
  <c r="A3735" i="5"/>
  <c r="C3734" i="5"/>
  <c r="B3734" i="5"/>
  <c r="A3734" i="5"/>
  <c r="C3733" i="5"/>
  <c r="B3733" i="5"/>
  <c r="A3733" i="5"/>
  <c r="C3732" i="5"/>
  <c r="B3732" i="5"/>
  <c r="A3732" i="5"/>
  <c r="C3731" i="5"/>
  <c r="B3731" i="5"/>
  <c r="A3731" i="5"/>
  <c r="C3730" i="5"/>
  <c r="B3730" i="5"/>
  <c r="A3730" i="5"/>
  <c r="C3729" i="5"/>
  <c r="B3729" i="5"/>
  <c r="A3729" i="5"/>
  <c r="C3728" i="5"/>
  <c r="B3728" i="5"/>
  <c r="A3728" i="5"/>
  <c r="C3727" i="5"/>
  <c r="B3727" i="5"/>
  <c r="A3727" i="5"/>
  <c r="C3726" i="5"/>
  <c r="B3726" i="5"/>
  <c r="A3726" i="5"/>
  <c r="C3725" i="5"/>
  <c r="B3725" i="5"/>
  <c r="A3725" i="5"/>
  <c r="C3724" i="5"/>
  <c r="B3724" i="5"/>
  <c r="A3724" i="5"/>
  <c r="C3723" i="5"/>
  <c r="B3723" i="5"/>
  <c r="A3723" i="5"/>
  <c r="C3722" i="5"/>
  <c r="B3722" i="5"/>
  <c r="A3722" i="5"/>
  <c r="C3721" i="5"/>
  <c r="B3721" i="5"/>
  <c r="A3721" i="5"/>
  <c r="C3720" i="5"/>
  <c r="B3720" i="5"/>
  <c r="A3720" i="5"/>
  <c r="C3719" i="5"/>
  <c r="B3719" i="5"/>
  <c r="A3719" i="5"/>
  <c r="C3718" i="5"/>
  <c r="B3718" i="5"/>
  <c r="A3718" i="5"/>
  <c r="C3717" i="5"/>
  <c r="B3717" i="5"/>
  <c r="A3717" i="5"/>
  <c r="C3716" i="5"/>
  <c r="B3716" i="5"/>
  <c r="A3716" i="5"/>
  <c r="C3715" i="5"/>
  <c r="B3715" i="5"/>
  <c r="A3715" i="5"/>
  <c r="C3714" i="5"/>
  <c r="B3714" i="5"/>
  <c r="A3714" i="5"/>
  <c r="C3713" i="5"/>
  <c r="B3713" i="5"/>
  <c r="A3713" i="5"/>
  <c r="C3712" i="5"/>
  <c r="B3712" i="5"/>
  <c r="A3712" i="5"/>
  <c r="C3711" i="5"/>
  <c r="B3711" i="5"/>
  <c r="A3711" i="5"/>
  <c r="C3710" i="5"/>
  <c r="B3710" i="5"/>
  <c r="A3710" i="5"/>
  <c r="C3709" i="5"/>
  <c r="B3709" i="5"/>
  <c r="A3709" i="5"/>
  <c r="C3708" i="5"/>
  <c r="B3708" i="5"/>
  <c r="A3708" i="5"/>
  <c r="C3707" i="5"/>
  <c r="B3707" i="5"/>
  <c r="A3707" i="5"/>
  <c r="C3706" i="5"/>
  <c r="B3706" i="5"/>
  <c r="A3706" i="5"/>
  <c r="C3705" i="5"/>
  <c r="B3705" i="5"/>
  <c r="A3705" i="5"/>
  <c r="C3704" i="5"/>
  <c r="B3704" i="5"/>
  <c r="A3704" i="5"/>
  <c r="C3703" i="5"/>
  <c r="B3703" i="5"/>
  <c r="A3703" i="5"/>
  <c r="C3702" i="5"/>
  <c r="B3702" i="5"/>
  <c r="A3702" i="5"/>
  <c r="C3701" i="5"/>
  <c r="B3701" i="5"/>
  <c r="A3701" i="5"/>
  <c r="C3700" i="5"/>
  <c r="B3700" i="5"/>
  <c r="A3700" i="5"/>
  <c r="C3699" i="5"/>
  <c r="B3699" i="5"/>
  <c r="A3699" i="5"/>
  <c r="C3698" i="5"/>
  <c r="B3698" i="5"/>
  <c r="A3698" i="5"/>
  <c r="C3697" i="5"/>
  <c r="B3697" i="5"/>
  <c r="A3697" i="5"/>
  <c r="C3696" i="5"/>
  <c r="B3696" i="5"/>
  <c r="A3696" i="5"/>
  <c r="C3695" i="5"/>
  <c r="B3695" i="5"/>
  <c r="A3695" i="5"/>
  <c r="C3694" i="5"/>
  <c r="B3694" i="5"/>
  <c r="A3694" i="5"/>
  <c r="C3693" i="5"/>
  <c r="B3693" i="5"/>
  <c r="A3693" i="5"/>
  <c r="C3692" i="5"/>
  <c r="B3692" i="5"/>
  <c r="A3692" i="5"/>
  <c r="C3691" i="5"/>
  <c r="B3691" i="5"/>
  <c r="A3691" i="5"/>
  <c r="C3690" i="5"/>
  <c r="B3690" i="5"/>
  <c r="A3690" i="5"/>
  <c r="C3689" i="5"/>
  <c r="B3689" i="5"/>
  <c r="A3689" i="5"/>
  <c r="C3688" i="5"/>
  <c r="B3688" i="5"/>
  <c r="A3688" i="5"/>
  <c r="C3687" i="5"/>
  <c r="B3687" i="5"/>
  <c r="A3687" i="5"/>
  <c r="C3686" i="5"/>
  <c r="B3686" i="5"/>
  <c r="A3686" i="5"/>
  <c r="C3685" i="5"/>
  <c r="B3685" i="5"/>
  <c r="A3685" i="5"/>
  <c r="C3684" i="5"/>
  <c r="B3684" i="5"/>
  <c r="A3684" i="5"/>
  <c r="C3683" i="5"/>
  <c r="B3683" i="5"/>
  <c r="A3683" i="5"/>
  <c r="C3682" i="5"/>
  <c r="B3682" i="5"/>
  <c r="A3682" i="5"/>
  <c r="C3681" i="5"/>
  <c r="B3681" i="5"/>
  <c r="A3681" i="5"/>
  <c r="C3680" i="5"/>
  <c r="B3680" i="5"/>
  <c r="A3680" i="5"/>
  <c r="C3679" i="5"/>
  <c r="B3679" i="5"/>
  <c r="A3679" i="5"/>
  <c r="C3678" i="5"/>
  <c r="B3678" i="5"/>
  <c r="A3678" i="5"/>
  <c r="C3677" i="5"/>
  <c r="B3677" i="5"/>
  <c r="A3677" i="5"/>
  <c r="C3676" i="5"/>
  <c r="B3676" i="5"/>
  <c r="A3676" i="5"/>
  <c r="C3675" i="5"/>
  <c r="B3675" i="5"/>
  <c r="A3675" i="5"/>
  <c r="C3674" i="5"/>
  <c r="B3674" i="5"/>
  <c r="A3674" i="5"/>
  <c r="C3673" i="5"/>
  <c r="B3673" i="5"/>
  <c r="A3673" i="5"/>
  <c r="C3672" i="5"/>
  <c r="B3672" i="5"/>
  <c r="A3672" i="5"/>
  <c r="C3671" i="5"/>
  <c r="B3671" i="5"/>
  <c r="A3671" i="5"/>
  <c r="C3670" i="5"/>
  <c r="B3670" i="5"/>
  <c r="A3670" i="5"/>
  <c r="C3669" i="5"/>
  <c r="B3669" i="5"/>
  <c r="A3669" i="5"/>
  <c r="C3668" i="5"/>
  <c r="B3668" i="5"/>
  <c r="A3668" i="5"/>
  <c r="C3667" i="5"/>
  <c r="B3667" i="5"/>
  <c r="A3667" i="5"/>
  <c r="C3666" i="5"/>
  <c r="B3666" i="5"/>
  <c r="A3666" i="5"/>
  <c r="C3665" i="5"/>
  <c r="B3665" i="5"/>
  <c r="A3665" i="5"/>
  <c r="C3664" i="5"/>
  <c r="B3664" i="5"/>
  <c r="A3664" i="5"/>
  <c r="C3663" i="5"/>
  <c r="B3663" i="5"/>
  <c r="A3663" i="5"/>
  <c r="C3662" i="5"/>
  <c r="B3662" i="5"/>
  <c r="A3662" i="5"/>
  <c r="C3661" i="5"/>
  <c r="B3661" i="5"/>
  <c r="A3661" i="5"/>
  <c r="C3660" i="5"/>
  <c r="B3660" i="5"/>
  <c r="A3660" i="5"/>
  <c r="C3659" i="5"/>
  <c r="B3659" i="5"/>
  <c r="A3659" i="5"/>
  <c r="C3658" i="5"/>
  <c r="B3658" i="5"/>
  <c r="A3658" i="5"/>
  <c r="C3657" i="5"/>
  <c r="B3657" i="5"/>
  <c r="A3657" i="5"/>
  <c r="C3656" i="5"/>
  <c r="B3656" i="5"/>
  <c r="A3656" i="5"/>
  <c r="C3655" i="5"/>
  <c r="B3655" i="5"/>
  <c r="A3655" i="5"/>
  <c r="C3654" i="5"/>
  <c r="B3654" i="5"/>
  <c r="A3654" i="5"/>
  <c r="C3653" i="5"/>
  <c r="B3653" i="5"/>
  <c r="A3653" i="5"/>
  <c r="C3652" i="5"/>
  <c r="B3652" i="5"/>
  <c r="A3652" i="5"/>
  <c r="C3651" i="5"/>
  <c r="B3651" i="5"/>
  <c r="A3651" i="5"/>
  <c r="C3650" i="5"/>
  <c r="B3650" i="5"/>
  <c r="A3650" i="5"/>
  <c r="C3649" i="5"/>
  <c r="B3649" i="5"/>
  <c r="A3649" i="5"/>
  <c r="C3648" i="5"/>
  <c r="B3648" i="5"/>
  <c r="A3648" i="5"/>
  <c r="C3647" i="5"/>
  <c r="B3647" i="5"/>
  <c r="A3647" i="5"/>
  <c r="C3646" i="5"/>
  <c r="B3646" i="5"/>
  <c r="A3646" i="5"/>
  <c r="C3645" i="5"/>
  <c r="B3645" i="5"/>
  <c r="A3645" i="5"/>
  <c r="C3644" i="5"/>
  <c r="B3644" i="5"/>
  <c r="A3644" i="5"/>
  <c r="C3643" i="5"/>
  <c r="B3643" i="5"/>
  <c r="A3643" i="5"/>
  <c r="C3642" i="5"/>
  <c r="B3642" i="5"/>
  <c r="A3642" i="5"/>
  <c r="C3641" i="5"/>
  <c r="B3641" i="5"/>
  <c r="A3641" i="5"/>
  <c r="C3640" i="5"/>
  <c r="B3640" i="5"/>
  <c r="A3640" i="5"/>
  <c r="C3639" i="5"/>
  <c r="B3639" i="5"/>
  <c r="A3639" i="5"/>
  <c r="C3638" i="5"/>
  <c r="B3638" i="5"/>
  <c r="A3638" i="5"/>
  <c r="C3637" i="5"/>
  <c r="B3637" i="5"/>
  <c r="A3637" i="5"/>
  <c r="C3636" i="5"/>
  <c r="B3636" i="5"/>
  <c r="A3636" i="5"/>
  <c r="C3635" i="5"/>
  <c r="B3635" i="5"/>
  <c r="A3635" i="5"/>
  <c r="C3634" i="5"/>
  <c r="B3634" i="5"/>
  <c r="A3634" i="5"/>
  <c r="C3633" i="5"/>
  <c r="B3633" i="5"/>
  <c r="A3633" i="5"/>
  <c r="C3632" i="5"/>
  <c r="B3632" i="5"/>
  <c r="A3632" i="5"/>
  <c r="C3631" i="5"/>
  <c r="B3631" i="5"/>
  <c r="A3631" i="5"/>
  <c r="C3630" i="5"/>
  <c r="B3630" i="5"/>
  <c r="A3630" i="5"/>
  <c r="C3629" i="5"/>
  <c r="B3629" i="5"/>
  <c r="A3629" i="5"/>
  <c r="C3628" i="5"/>
  <c r="B3628" i="5"/>
  <c r="A3628" i="5"/>
  <c r="C3627" i="5"/>
  <c r="B3627" i="5"/>
  <c r="A3627" i="5"/>
  <c r="C3626" i="5"/>
  <c r="B3626" i="5"/>
  <c r="A3626" i="5"/>
  <c r="C3625" i="5"/>
  <c r="B3625" i="5"/>
  <c r="A3625" i="5"/>
  <c r="C3624" i="5"/>
  <c r="B3624" i="5"/>
  <c r="A3624" i="5"/>
  <c r="C3623" i="5"/>
  <c r="B3623" i="5"/>
  <c r="A3623" i="5"/>
  <c r="C3622" i="5"/>
  <c r="B3622" i="5"/>
  <c r="A3622" i="5"/>
  <c r="C3621" i="5"/>
  <c r="B3621" i="5"/>
  <c r="A3621" i="5"/>
  <c r="C3620" i="5"/>
  <c r="B3620" i="5"/>
  <c r="A3620" i="5"/>
  <c r="C3619" i="5"/>
  <c r="B3619" i="5"/>
  <c r="A3619" i="5"/>
  <c r="C3618" i="5"/>
  <c r="B3618" i="5"/>
  <c r="A3618" i="5"/>
  <c r="C3617" i="5"/>
  <c r="B3617" i="5"/>
  <c r="A3617" i="5"/>
  <c r="C3616" i="5"/>
  <c r="B3616" i="5"/>
  <c r="A3616" i="5"/>
  <c r="C3615" i="5"/>
  <c r="B3615" i="5"/>
  <c r="A3615" i="5"/>
  <c r="C3614" i="5"/>
  <c r="B3614" i="5"/>
  <c r="A3614" i="5"/>
  <c r="C3613" i="5"/>
  <c r="B3613" i="5"/>
  <c r="A3613" i="5"/>
  <c r="C3612" i="5"/>
  <c r="B3612" i="5"/>
  <c r="A3612" i="5"/>
  <c r="C3611" i="5"/>
  <c r="B3611" i="5"/>
  <c r="A3611" i="5"/>
  <c r="C3610" i="5"/>
  <c r="B3610" i="5"/>
  <c r="A3610" i="5"/>
  <c r="C3609" i="5"/>
  <c r="B3609" i="5"/>
  <c r="A3609" i="5"/>
  <c r="C3608" i="5"/>
  <c r="B3608" i="5"/>
  <c r="A3608" i="5"/>
  <c r="C3607" i="5"/>
  <c r="B3607" i="5"/>
  <c r="A3607" i="5"/>
  <c r="C3606" i="5"/>
  <c r="B3606" i="5"/>
  <c r="A3606" i="5"/>
  <c r="C3605" i="5"/>
  <c r="B3605" i="5"/>
  <c r="A3605" i="5"/>
  <c r="C3604" i="5"/>
  <c r="B3604" i="5"/>
  <c r="A3604" i="5"/>
  <c r="C3603" i="5"/>
  <c r="B3603" i="5"/>
  <c r="A3603" i="5"/>
  <c r="C3602" i="5"/>
  <c r="B3602" i="5"/>
  <c r="A3602" i="5"/>
  <c r="C3601" i="5"/>
  <c r="B3601" i="5"/>
  <c r="A3601" i="5"/>
  <c r="C3600" i="5"/>
  <c r="B3600" i="5"/>
  <c r="A3600" i="5"/>
  <c r="C3599" i="5"/>
  <c r="B3599" i="5"/>
  <c r="A3599" i="5"/>
  <c r="C3598" i="5"/>
  <c r="B3598" i="5"/>
  <c r="A3598" i="5"/>
  <c r="C3597" i="5"/>
  <c r="B3597" i="5"/>
  <c r="A3597" i="5"/>
  <c r="C3596" i="5"/>
  <c r="B3596" i="5"/>
  <c r="A3596" i="5"/>
  <c r="C3595" i="5"/>
  <c r="B3595" i="5"/>
  <c r="A3595" i="5"/>
  <c r="C3594" i="5"/>
  <c r="B3594" i="5"/>
  <c r="A3594" i="5"/>
  <c r="C3593" i="5"/>
  <c r="B3593" i="5"/>
  <c r="A3593" i="5"/>
  <c r="C3592" i="5"/>
  <c r="B3592" i="5"/>
  <c r="A3592" i="5"/>
  <c r="C3591" i="5"/>
  <c r="B3591" i="5"/>
  <c r="A3591" i="5"/>
  <c r="C3590" i="5"/>
  <c r="B3590" i="5"/>
  <c r="A3590" i="5"/>
  <c r="C3589" i="5"/>
  <c r="B3589" i="5"/>
  <c r="A3589" i="5"/>
  <c r="C3588" i="5"/>
  <c r="B3588" i="5"/>
  <c r="A3588" i="5"/>
  <c r="C3587" i="5"/>
  <c r="B3587" i="5"/>
  <c r="A3587" i="5"/>
  <c r="C3586" i="5"/>
  <c r="B3586" i="5"/>
  <c r="A3586" i="5"/>
  <c r="C3585" i="5"/>
  <c r="B3585" i="5"/>
  <c r="A3585" i="5"/>
  <c r="C3584" i="5"/>
  <c r="B3584" i="5"/>
  <c r="A3584" i="5"/>
  <c r="C3583" i="5"/>
  <c r="B3583" i="5"/>
  <c r="A3583" i="5"/>
  <c r="C3582" i="5"/>
  <c r="B3582" i="5"/>
  <c r="A3582" i="5"/>
  <c r="C3581" i="5"/>
  <c r="B3581" i="5"/>
  <c r="A3581" i="5"/>
  <c r="C3580" i="5"/>
  <c r="B3580" i="5"/>
  <c r="A3580" i="5"/>
  <c r="C3579" i="5"/>
  <c r="B3579" i="5"/>
  <c r="A3579" i="5"/>
  <c r="C3578" i="5"/>
  <c r="B3578" i="5"/>
  <c r="A3578" i="5"/>
  <c r="C3577" i="5"/>
  <c r="B3577" i="5"/>
  <c r="A3577" i="5"/>
  <c r="C3576" i="5"/>
  <c r="B3576" i="5"/>
  <c r="A3576" i="5"/>
  <c r="C3575" i="5"/>
  <c r="B3575" i="5"/>
  <c r="A3575" i="5"/>
  <c r="C3574" i="5"/>
  <c r="B3574" i="5"/>
  <c r="A3574" i="5"/>
  <c r="C3573" i="5"/>
  <c r="B3573" i="5"/>
  <c r="A3573" i="5"/>
  <c r="C3572" i="5"/>
  <c r="B3572" i="5"/>
  <c r="A3572" i="5"/>
  <c r="C3571" i="5"/>
  <c r="B3571" i="5"/>
  <c r="A3571" i="5"/>
  <c r="C3570" i="5"/>
  <c r="B3570" i="5"/>
  <c r="A3570" i="5"/>
  <c r="C3569" i="5"/>
  <c r="B3569" i="5"/>
  <c r="A3569" i="5"/>
  <c r="C3568" i="5"/>
  <c r="B3568" i="5"/>
  <c r="A3568" i="5"/>
  <c r="C3567" i="5"/>
  <c r="B3567" i="5"/>
  <c r="A3567" i="5"/>
  <c r="C3566" i="5"/>
  <c r="B3566" i="5"/>
  <c r="A3566" i="5"/>
  <c r="C3565" i="5"/>
  <c r="B3565" i="5"/>
  <c r="A3565" i="5"/>
  <c r="C3564" i="5"/>
  <c r="B3564" i="5"/>
  <c r="A3564" i="5"/>
  <c r="C3563" i="5"/>
  <c r="B3563" i="5"/>
  <c r="A3563" i="5"/>
  <c r="C3562" i="5"/>
  <c r="B3562" i="5"/>
  <c r="A3562" i="5"/>
  <c r="C3561" i="5"/>
  <c r="B3561" i="5"/>
  <c r="A3561" i="5"/>
  <c r="C3560" i="5"/>
  <c r="B3560" i="5"/>
  <c r="A3560" i="5"/>
  <c r="C3559" i="5"/>
  <c r="B3559" i="5"/>
  <c r="A3559" i="5"/>
  <c r="C3558" i="5"/>
  <c r="B3558" i="5"/>
  <c r="A3558" i="5"/>
  <c r="C3557" i="5"/>
  <c r="B3557" i="5"/>
  <c r="A3557" i="5"/>
  <c r="C3556" i="5"/>
  <c r="B3556" i="5"/>
  <c r="A3556" i="5"/>
  <c r="C3555" i="5"/>
  <c r="B3555" i="5"/>
  <c r="A3555" i="5"/>
  <c r="C3554" i="5"/>
  <c r="B3554" i="5"/>
  <c r="A3554" i="5"/>
  <c r="C3553" i="5"/>
  <c r="B3553" i="5"/>
  <c r="A3553" i="5"/>
  <c r="C3552" i="5"/>
  <c r="B3552" i="5"/>
  <c r="A3552" i="5"/>
  <c r="C3551" i="5"/>
  <c r="B3551" i="5"/>
  <c r="A3551" i="5"/>
  <c r="C3550" i="5"/>
  <c r="B3550" i="5"/>
  <c r="A3550" i="5"/>
  <c r="C3549" i="5"/>
  <c r="B3549" i="5"/>
  <c r="A3549" i="5"/>
  <c r="C3548" i="5"/>
  <c r="B3548" i="5"/>
  <c r="A3548" i="5"/>
  <c r="C3547" i="5"/>
  <c r="B3547" i="5"/>
  <c r="A3547" i="5"/>
  <c r="C3546" i="5"/>
  <c r="B3546" i="5"/>
  <c r="A3546" i="5"/>
  <c r="C3545" i="5"/>
  <c r="B3545" i="5"/>
  <c r="A3545" i="5"/>
  <c r="C3544" i="5"/>
  <c r="B3544" i="5"/>
  <c r="A3544" i="5"/>
  <c r="C3543" i="5"/>
  <c r="B3543" i="5"/>
  <c r="A3543" i="5"/>
  <c r="C3542" i="5"/>
  <c r="B3542" i="5"/>
  <c r="A3542" i="5"/>
  <c r="C3541" i="5"/>
  <c r="B3541" i="5"/>
  <c r="A3541" i="5"/>
  <c r="C3540" i="5"/>
  <c r="B3540" i="5"/>
  <c r="A3540" i="5"/>
  <c r="C3539" i="5"/>
  <c r="B3539" i="5"/>
  <c r="A3539" i="5"/>
  <c r="C3538" i="5"/>
  <c r="B3538" i="5"/>
  <c r="A3538" i="5"/>
  <c r="C3537" i="5"/>
  <c r="B3537" i="5"/>
  <c r="A3537" i="5"/>
  <c r="C3536" i="5"/>
  <c r="B3536" i="5"/>
  <c r="A3536" i="5"/>
  <c r="C3535" i="5"/>
  <c r="B3535" i="5"/>
  <c r="A3535" i="5"/>
  <c r="C3534" i="5"/>
  <c r="B3534" i="5"/>
  <c r="A3534" i="5"/>
  <c r="C3533" i="5"/>
  <c r="B3533" i="5"/>
  <c r="A3533" i="5"/>
  <c r="C3532" i="5"/>
  <c r="B3532" i="5"/>
  <c r="A3532" i="5"/>
  <c r="C3531" i="5"/>
  <c r="B3531" i="5"/>
  <c r="A3531" i="5"/>
  <c r="C3530" i="5"/>
  <c r="B3530" i="5"/>
  <c r="A3530" i="5"/>
  <c r="C3529" i="5"/>
  <c r="B3529" i="5"/>
  <c r="A3529" i="5"/>
  <c r="C3528" i="5"/>
  <c r="B3528" i="5"/>
  <c r="A3528" i="5"/>
  <c r="C3527" i="5"/>
  <c r="B3527" i="5"/>
  <c r="A3527" i="5"/>
  <c r="C3526" i="5"/>
  <c r="B3526" i="5"/>
  <c r="A3526" i="5"/>
  <c r="C3525" i="5"/>
  <c r="B3525" i="5"/>
  <c r="A3525" i="5"/>
  <c r="C3524" i="5"/>
  <c r="B3524" i="5"/>
  <c r="A3524" i="5"/>
  <c r="C3523" i="5"/>
  <c r="B3523" i="5"/>
  <c r="A3523" i="5"/>
  <c r="C3522" i="5"/>
  <c r="B3522" i="5"/>
  <c r="A3522" i="5"/>
  <c r="C3521" i="5"/>
  <c r="B3521" i="5"/>
  <c r="A3521" i="5"/>
  <c r="C3520" i="5"/>
  <c r="B3520" i="5"/>
  <c r="A3520" i="5"/>
  <c r="C3519" i="5"/>
  <c r="B3519" i="5"/>
  <c r="A3519" i="5"/>
  <c r="C3518" i="5"/>
  <c r="B3518" i="5"/>
  <c r="A3518" i="5"/>
  <c r="C3517" i="5"/>
  <c r="B3517" i="5"/>
  <c r="A3517" i="5"/>
  <c r="C3516" i="5"/>
  <c r="B3516" i="5"/>
  <c r="A3516" i="5"/>
  <c r="C3515" i="5"/>
  <c r="B3515" i="5"/>
  <c r="A3515" i="5"/>
  <c r="C3514" i="5"/>
  <c r="B3514" i="5"/>
  <c r="A3514" i="5"/>
  <c r="C3513" i="5"/>
  <c r="B3513" i="5"/>
  <c r="A3513" i="5"/>
  <c r="C3512" i="5"/>
  <c r="B3512" i="5"/>
  <c r="A3512" i="5"/>
  <c r="C3511" i="5"/>
  <c r="B3511" i="5"/>
  <c r="A3511" i="5"/>
  <c r="C3510" i="5"/>
  <c r="B3510" i="5"/>
  <c r="A3510" i="5"/>
  <c r="C3509" i="5"/>
  <c r="B3509" i="5"/>
  <c r="A3509" i="5"/>
  <c r="C3508" i="5"/>
  <c r="B3508" i="5"/>
  <c r="A3508" i="5"/>
  <c r="C3507" i="5"/>
  <c r="B3507" i="5"/>
  <c r="A3507" i="5"/>
  <c r="C3506" i="5"/>
  <c r="B3506" i="5"/>
  <c r="A3506" i="5"/>
  <c r="C3505" i="5"/>
  <c r="B3505" i="5"/>
  <c r="A3505" i="5"/>
  <c r="C3504" i="5"/>
  <c r="B3504" i="5"/>
  <c r="A3504" i="5"/>
  <c r="C3503" i="5"/>
  <c r="B3503" i="5"/>
  <c r="A3503" i="5"/>
  <c r="C3502" i="5"/>
  <c r="B3502" i="5"/>
  <c r="A3502" i="5"/>
  <c r="C3501" i="5"/>
  <c r="B3501" i="5"/>
  <c r="A3501" i="5"/>
  <c r="C3500" i="5"/>
  <c r="B3500" i="5"/>
  <c r="A3500" i="5"/>
  <c r="C3499" i="5"/>
  <c r="B3499" i="5"/>
  <c r="A3499" i="5"/>
  <c r="C3498" i="5"/>
  <c r="B3498" i="5"/>
  <c r="A3498" i="5"/>
  <c r="C3497" i="5"/>
  <c r="B3497" i="5"/>
  <c r="A3497" i="5"/>
  <c r="C3496" i="5"/>
  <c r="B3496" i="5"/>
  <c r="A3496" i="5"/>
  <c r="C3495" i="5"/>
  <c r="B3495" i="5"/>
  <c r="A3495" i="5"/>
  <c r="C3494" i="5"/>
  <c r="B3494" i="5"/>
  <c r="A3494" i="5"/>
  <c r="C3493" i="5"/>
  <c r="B3493" i="5"/>
  <c r="A3493" i="5"/>
  <c r="C3492" i="5"/>
  <c r="B3492" i="5"/>
  <c r="A3492" i="5"/>
  <c r="C3491" i="5"/>
  <c r="B3491" i="5"/>
  <c r="A3491" i="5"/>
  <c r="C3490" i="5"/>
  <c r="B3490" i="5"/>
  <c r="A3490" i="5"/>
  <c r="C3489" i="5"/>
  <c r="B3489" i="5"/>
  <c r="A3489" i="5"/>
  <c r="C3488" i="5"/>
  <c r="B3488" i="5"/>
  <c r="A3488" i="5"/>
  <c r="C3487" i="5"/>
  <c r="B3487" i="5"/>
  <c r="A3487" i="5"/>
  <c r="C3486" i="5"/>
  <c r="B3486" i="5"/>
  <c r="A3486" i="5"/>
  <c r="C3485" i="5"/>
  <c r="B3485" i="5"/>
  <c r="A3485" i="5"/>
  <c r="C3484" i="5"/>
  <c r="B3484" i="5"/>
  <c r="A3484" i="5"/>
  <c r="C3483" i="5"/>
  <c r="B3483" i="5"/>
  <c r="A3483" i="5"/>
  <c r="C3482" i="5"/>
  <c r="B3482" i="5"/>
  <c r="A3482" i="5"/>
  <c r="C3481" i="5"/>
  <c r="B3481" i="5"/>
  <c r="A3481" i="5"/>
  <c r="C3480" i="5"/>
  <c r="B3480" i="5"/>
  <c r="A3480" i="5"/>
  <c r="C3479" i="5"/>
  <c r="B3479" i="5"/>
  <c r="A3479" i="5"/>
  <c r="C3478" i="5"/>
  <c r="B3478" i="5"/>
  <c r="A3478" i="5"/>
  <c r="C3477" i="5"/>
  <c r="B3477" i="5"/>
  <c r="A3477" i="5"/>
  <c r="C3476" i="5"/>
  <c r="B3476" i="5"/>
  <c r="A3476" i="5"/>
  <c r="C3475" i="5"/>
  <c r="B3475" i="5"/>
  <c r="A3475" i="5"/>
  <c r="C3474" i="5"/>
  <c r="B3474" i="5"/>
  <c r="A3474" i="5"/>
  <c r="C3473" i="5"/>
  <c r="B3473" i="5"/>
  <c r="A3473" i="5"/>
  <c r="C3472" i="5"/>
  <c r="B3472" i="5"/>
  <c r="A3472" i="5"/>
  <c r="C3471" i="5"/>
  <c r="B3471" i="5"/>
  <c r="A3471" i="5"/>
  <c r="C3470" i="5"/>
  <c r="B3470" i="5"/>
  <c r="A3470" i="5"/>
  <c r="C3469" i="5"/>
  <c r="B3469" i="5"/>
  <c r="A3469" i="5"/>
  <c r="C3468" i="5"/>
  <c r="B3468" i="5"/>
  <c r="A3468" i="5"/>
  <c r="C3467" i="5"/>
  <c r="B3467" i="5"/>
  <c r="A3467" i="5"/>
  <c r="C3466" i="5"/>
  <c r="B3466" i="5"/>
  <c r="A3466" i="5"/>
  <c r="C3465" i="5"/>
  <c r="B3465" i="5"/>
  <c r="A3465" i="5"/>
  <c r="C3464" i="5"/>
  <c r="B3464" i="5"/>
  <c r="A3464" i="5"/>
  <c r="C3463" i="5"/>
  <c r="B3463" i="5"/>
  <c r="A3463" i="5"/>
  <c r="C3462" i="5"/>
  <c r="B3462" i="5"/>
  <c r="A3462" i="5"/>
  <c r="C3461" i="5"/>
  <c r="B3461" i="5"/>
  <c r="A3461" i="5"/>
  <c r="C3460" i="5"/>
  <c r="B3460" i="5"/>
  <c r="A3460" i="5"/>
  <c r="C3459" i="5"/>
  <c r="B3459" i="5"/>
  <c r="A3459" i="5"/>
  <c r="C3458" i="5"/>
  <c r="B3458" i="5"/>
  <c r="A3458" i="5"/>
  <c r="C3457" i="5"/>
  <c r="B3457" i="5"/>
  <c r="A3457" i="5"/>
  <c r="C3456" i="5"/>
  <c r="B3456" i="5"/>
  <c r="A3456" i="5"/>
  <c r="C3455" i="5"/>
  <c r="B3455" i="5"/>
  <c r="A3455" i="5"/>
  <c r="C3454" i="5"/>
  <c r="B3454" i="5"/>
  <c r="A3454" i="5"/>
  <c r="C3453" i="5"/>
  <c r="B3453" i="5"/>
  <c r="A3453" i="5"/>
  <c r="C3452" i="5"/>
  <c r="B3452" i="5"/>
  <c r="A3452" i="5"/>
  <c r="C3451" i="5"/>
  <c r="B3451" i="5"/>
  <c r="A3451" i="5"/>
  <c r="C3450" i="5"/>
  <c r="B3450" i="5"/>
  <c r="A3450" i="5"/>
  <c r="C3449" i="5"/>
  <c r="B3449" i="5"/>
  <c r="A3449" i="5"/>
  <c r="C3448" i="5"/>
  <c r="B3448" i="5"/>
  <c r="A3448" i="5"/>
  <c r="C3447" i="5"/>
  <c r="B3447" i="5"/>
  <c r="A3447" i="5"/>
  <c r="C3446" i="5"/>
  <c r="B3446" i="5"/>
  <c r="A3446" i="5"/>
  <c r="C3445" i="5"/>
  <c r="B3445" i="5"/>
  <c r="A3445" i="5"/>
  <c r="C3444" i="5"/>
  <c r="B3444" i="5"/>
  <c r="A3444" i="5"/>
  <c r="C3443" i="5"/>
  <c r="B3443" i="5"/>
  <c r="A3443" i="5"/>
  <c r="C3442" i="5"/>
  <c r="B3442" i="5"/>
  <c r="A3442" i="5"/>
  <c r="C3441" i="5"/>
  <c r="B3441" i="5"/>
  <c r="A3441" i="5"/>
  <c r="C3440" i="5"/>
  <c r="B3440" i="5"/>
  <c r="A3440" i="5"/>
  <c r="C3439" i="5"/>
  <c r="B3439" i="5"/>
  <c r="A3439" i="5"/>
  <c r="C3438" i="5"/>
  <c r="B3438" i="5"/>
  <c r="A3438" i="5"/>
  <c r="C3437" i="5"/>
  <c r="B3437" i="5"/>
  <c r="A3437" i="5"/>
  <c r="C3436" i="5"/>
  <c r="B3436" i="5"/>
  <c r="A3436" i="5"/>
  <c r="C3435" i="5"/>
  <c r="B3435" i="5"/>
  <c r="A3435" i="5"/>
  <c r="C3434" i="5"/>
  <c r="B3434" i="5"/>
  <c r="A3434" i="5"/>
  <c r="C3433" i="5"/>
  <c r="B3433" i="5"/>
  <c r="A3433" i="5"/>
  <c r="C3432" i="5"/>
  <c r="B3432" i="5"/>
  <c r="A3432" i="5"/>
  <c r="C3431" i="5"/>
  <c r="B3431" i="5"/>
  <c r="A3431" i="5"/>
  <c r="C3430" i="5"/>
  <c r="B3430" i="5"/>
  <c r="A3430" i="5"/>
  <c r="C3429" i="5"/>
  <c r="B3429" i="5"/>
  <c r="A3429" i="5"/>
  <c r="C3428" i="5"/>
  <c r="B3428" i="5"/>
  <c r="A3428" i="5"/>
  <c r="C3427" i="5"/>
  <c r="B3427" i="5"/>
  <c r="A3427" i="5"/>
  <c r="C3426" i="5"/>
  <c r="B3426" i="5"/>
  <c r="A3426" i="5"/>
  <c r="C3425" i="5"/>
  <c r="B3425" i="5"/>
  <c r="A3425" i="5"/>
  <c r="C3424" i="5"/>
  <c r="B3424" i="5"/>
  <c r="A3424" i="5"/>
  <c r="C3423" i="5"/>
  <c r="B3423" i="5"/>
  <c r="A3423" i="5"/>
  <c r="C3422" i="5"/>
  <c r="B3422" i="5"/>
  <c r="A3422" i="5"/>
  <c r="C3421" i="5"/>
  <c r="B3421" i="5"/>
  <c r="A3421" i="5"/>
  <c r="C3420" i="5"/>
  <c r="B3420" i="5"/>
  <c r="A3420" i="5"/>
  <c r="C3419" i="5"/>
  <c r="B3419" i="5"/>
  <c r="A3419" i="5"/>
  <c r="C3418" i="5"/>
  <c r="B3418" i="5"/>
  <c r="A3418" i="5"/>
  <c r="C3417" i="5"/>
  <c r="B3417" i="5"/>
  <c r="A3417" i="5"/>
  <c r="C3416" i="5"/>
  <c r="B3416" i="5"/>
  <c r="A3416" i="5"/>
  <c r="C3415" i="5"/>
  <c r="B3415" i="5"/>
  <c r="A3415" i="5"/>
  <c r="C3414" i="5"/>
  <c r="B3414" i="5"/>
  <c r="A3414" i="5"/>
  <c r="C3413" i="5"/>
  <c r="B3413" i="5"/>
  <c r="A3413" i="5"/>
  <c r="C3412" i="5"/>
  <c r="B3412" i="5"/>
  <c r="A3412" i="5"/>
  <c r="C3411" i="5"/>
  <c r="B3411" i="5"/>
  <c r="A3411" i="5"/>
  <c r="C3410" i="5"/>
  <c r="B3410" i="5"/>
  <c r="A3410" i="5"/>
  <c r="C3409" i="5"/>
  <c r="B3409" i="5"/>
  <c r="A3409" i="5"/>
  <c r="C3408" i="5"/>
  <c r="B3408" i="5"/>
  <c r="A3408" i="5"/>
  <c r="C3407" i="5"/>
  <c r="B3407" i="5"/>
  <c r="A3407" i="5"/>
  <c r="C3406" i="5"/>
  <c r="B3406" i="5"/>
  <c r="A3406" i="5"/>
  <c r="C3405" i="5"/>
  <c r="B3405" i="5"/>
  <c r="A3405" i="5"/>
  <c r="C3404" i="5"/>
  <c r="B3404" i="5"/>
  <c r="A3404" i="5"/>
  <c r="C3403" i="5"/>
  <c r="B3403" i="5"/>
  <c r="A3403" i="5"/>
  <c r="C3402" i="5"/>
  <c r="B3402" i="5"/>
  <c r="A3402" i="5"/>
  <c r="C3401" i="5"/>
  <c r="B3401" i="5"/>
  <c r="A3401" i="5"/>
  <c r="C3400" i="5"/>
  <c r="B3400" i="5"/>
  <c r="A3400" i="5"/>
  <c r="C3399" i="5"/>
  <c r="B3399" i="5"/>
  <c r="A3399" i="5"/>
  <c r="C3398" i="5"/>
  <c r="B3398" i="5"/>
  <c r="A3398" i="5"/>
  <c r="C3397" i="5"/>
  <c r="B3397" i="5"/>
  <c r="A3397" i="5"/>
  <c r="C3396" i="5"/>
  <c r="B3396" i="5"/>
  <c r="A3396" i="5"/>
  <c r="C3395" i="5"/>
  <c r="B3395" i="5"/>
  <c r="A3395" i="5"/>
  <c r="C3394" i="5"/>
  <c r="B3394" i="5"/>
  <c r="A3394" i="5"/>
  <c r="C3393" i="5"/>
  <c r="B3393" i="5"/>
  <c r="A3393" i="5"/>
  <c r="C3392" i="5"/>
  <c r="B3392" i="5"/>
  <c r="A3392" i="5"/>
  <c r="C3391" i="5"/>
  <c r="B3391" i="5"/>
  <c r="A3391" i="5"/>
  <c r="C3390" i="5"/>
  <c r="B3390" i="5"/>
  <c r="A3390" i="5"/>
  <c r="C3389" i="5"/>
  <c r="B3389" i="5"/>
  <c r="A3389" i="5"/>
  <c r="C3388" i="5"/>
  <c r="B3388" i="5"/>
  <c r="A3388" i="5"/>
  <c r="C3387" i="5"/>
  <c r="B3387" i="5"/>
  <c r="A3387" i="5"/>
  <c r="C3386" i="5"/>
  <c r="B3386" i="5"/>
  <c r="A3386" i="5"/>
  <c r="C3385" i="5"/>
  <c r="B3385" i="5"/>
  <c r="A3385" i="5"/>
  <c r="C3384" i="5"/>
  <c r="B3384" i="5"/>
  <c r="A3384" i="5"/>
  <c r="C3383" i="5"/>
  <c r="B3383" i="5"/>
  <c r="A3383" i="5"/>
  <c r="C3382" i="5"/>
  <c r="B3382" i="5"/>
  <c r="A3382" i="5"/>
  <c r="C3381" i="5"/>
  <c r="B3381" i="5"/>
  <c r="A3381" i="5"/>
  <c r="C3380" i="5"/>
  <c r="B3380" i="5"/>
  <c r="A3380" i="5"/>
  <c r="C3379" i="5"/>
  <c r="B3379" i="5"/>
  <c r="A3379" i="5"/>
  <c r="C3378" i="5"/>
  <c r="B3378" i="5"/>
  <c r="A3378" i="5"/>
  <c r="C3377" i="5"/>
  <c r="B3377" i="5"/>
  <c r="A3377" i="5"/>
  <c r="C3376" i="5"/>
  <c r="B3376" i="5"/>
  <c r="A3376" i="5"/>
  <c r="C3375" i="5"/>
  <c r="B3375" i="5"/>
  <c r="A3375" i="5"/>
  <c r="C3374" i="5"/>
  <c r="B3374" i="5"/>
  <c r="A3374" i="5"/>
  <c r="C3373" i="5"/>
  <c r="B3373" i="5"/>
  <c r="A3373" i="5"/>
  <c r="C3372" i="5"/>
  <c r="B3372" i="5"/>
  <c r="A3372" i="5"/>
  <c r="C3371" i="5"/>
  <c r="B3371" i="5"/>
  <c r="A3371" i="5"/>
  <c r="C3370" i="5"/>
  <c r="B3370" i="5"/>
  <c r="A3370" i="5"/>
  <c r="C3369" i="5"/>
  <c r="B3369" i="5"/>
  <c r="A3369" i="5"/>
  <c r="C3368" i="5"/>
  <c r="B3368" i="5"/>
  <c r="A3368" i="5"/>
  <c r="C3367" i="5"/>
  <c r="B3367" i="5"/>
  <c r="A3367" i="5"/>
  <c r="C3366" i="5"/>
  <c r="B3366" i="5"/>
  <c r="A3366" i="5"/>
  <c r="C3365" i="5"/>
  <c r="B3365" i="5"/>
  <c r="A3365" i="5"/>
  <c r="C3364" i="5"/>
  <c r="B3364" i="5"/>
  <c r="A3364" i="5"/>
  <c r="C3363" i="5"/>
  <c r="B3363" i="5"/>
  <c r="A3363" i="5"/>
  <c r="C3362" i="5"/>
  <c r="B3362" i="5"/>
  <c r="A3362" i="5"/>
  <c r="C3361" i="5"/>
  <c r="B3361" i="5"/>
  <c r="A3361" i="5"/>
  <c r="C3360" i="5"/>
  <c r="B3360" i="5"/>
  <c r="A3360" i="5"/>
  <c r="C3359" i="5"/>
  <c r="B3359" i="5"/>
  <c r="A3359" i="5"/>
  <c r="C3358" i="5"/>
  <c r="B3358" i="5"/>
  <c r="A3358" i="5"/>
  <c r="C3357" i="5"/>
  <c r="B3357" i="5"/>
  <c r="A3357" i="5"/>
  <c r="C3356" i="5"/>
  <c r="B3356" i="5"/>
  <c r="A3356" i="5"/>
  <c r="C3355" i="5"/>
  <c r="B3355" i="5"/>
  <c r="A3355" i="5"/>
  <c r="C3354" i="5"/>
  <c r="B3354" i="5"/>
  <c r="A3354" i="5"/>
  <c r="C3353" i="5"/>
  <c r="B3353" i="5"/>
  <c r="A3353" i="5"/>
  <c r="C3352" i="5"/>
  <c r="B3352" i="5"/>
  <c r="A3352" i="5"/>
  <c r="C3351" i="5"/>
  <c r="B3351" i="5"/>
  <c r="A3351" i="5"/>
  <c r="C3350" i="5"/>
  <c r="B3350" i="5"/>
  <c r="A3350" i="5"/>
  <c r="C3349" i="5"/>
  <c r="B3349" i="5"/>
  <c r="A3349" i="5"/>
  <c r="C3348" i="5"/>
  <c r="B3348" i="5"/>
  <c r="A3348" i="5"/>
  <c r="C3347" i="5"/>
  <c r="B3347" i="5"/>
  <c r="A3347" i="5"/>
  <c r="C3346" i="5"/>
  <c r="B3346" i="5"/>
  <c r="A3346" i="5"/>
  <c r="C3345" i="5"/>
  <c r="B3345" i="5"/>
  <c r="A3345" i="5"/>
  <c r="C3344" i="5"/>
  <c r="B3344" i="5"/>
  <c r="A3344" i="5"/>
  <c r="C3343" i="5"/>
  <c r="B3343" i="5"/>
  <c r="A3343" i="5"/>
  <c r="C3342" i="5"/>
  <c r="B3342" i="5"/>
  <c r="A3342" i="5"/>
  <c r="C3341" i="5"/>
  <c r="B3341" i="5"/>
  <c r="A3341" i="5"/>
  <c r="C3340" i="5"/>
  <c r="B3340" i="5"/>
  <c r="A3340" i="5"/>
  <c r="C3339" i="5"/>
  <c r="B3339" i="5"/>
  <c r="A3339" i="5"/>
  <c r="C3338" i="5"/>
  <c r="B3338" i="5"/>
  <c r="A3338" i="5"/>
  <c r="C3337" i="5"/>
  <c r="B3337" i="5"/>
  <c r="A3337" i="5"/>
  <c r="C3336" i="5"/>
  <c r="B3336" i="5"/>
  <c r="A3336" i="5"/>
  <c r="C3335" i="5"/>
  <c r="B3335" i="5"/>
  <c r="A3335" i="5"/>
  <c r="C3334" i="5"/>
  <c r="B3334" i="5"/>
  <c r="A3334" i="5"/>
  <c r="C3333" i="5"/>
  <c r="B3333" i="5"/>
  <c r="A3333" i="5"/>
  <c r="C3332" i="5"/>
  <c r="B3332" i="5"/>
  <c r="A3332" i="5"/>
  <c r="C3331" i="5"/>
  <c r="B3331" i="5"/>
  <c r="A3331" i="5"/>
  <c r="C3330" i="5"/>
  <c r="B3330" i="5"/>
  <c r="A3330" i="5"/>
  <c r="C3329" i="5"/>
  <c r="B3329" i="5"/>
  <c r="A3329" i="5"/>
  <c r="C3328" i="5"/>
  <c r="B3328" i="5"/>
  <c r="A3328" i="5"/>
  <c r="C3327" i="5"/>
  <c r="B3327" i="5"/>
  <c r="A3327" i="5"/>
  <c r="C3326" i="5"/>
  <c r="B3326" i="5"/>
  <c r="A3326" i="5"/>
  <c r="C3325" i="5"/>
  <c r="B3325" i="5"/>
  <c r="A3325" i="5"/>
  <c r="C3324" i="5"/>
  <c r="B3324" i="5"/>
  <c r="A3324" i="5"/>
  <c r="C3323" i="5"/>
  <c r="B3323" i="5"/>
  <c r="A3323" i="5"/>
  <c r="C3322" i="5"/>
  <c r="B3322" i="5"/>
  <c r="A3322" i="5"/>
  <c r="C3321" i="5"/>
  <c r="B3321" i="5"/>
  <c r="A3321" i="5"/>
  <c r="C3320" i="5"/>
  <c r="B3320" i="5"/>
  <c r="A3320" i="5"/>
  <c r="C3319" i="5"/>
  <c r="B3319" i="5"/>
  <c r="A3319" i="5"/>
  <c r="C3318" i="5"/>
  <c r="B3318" i="5"/>
  <c r="A3318" i="5"/>
  <c r="C3317" i="5"/>
  <c r="B3317" i="5"/>
  <c r="A3317" i="5"/>
  <c r="C3316" i="5"/>
  <c r="B3316" i="5"/>
  <c r="A3316" i="5"/>
  <c r="C3315" i="5"/>
  <c r="B3315" i="5"/>
  <c r="A3315" i="5"/>
  <c r="C3314" i="5"/>
  <c r="B3314" i="5"/>
  <c r="A3314" i="5"/>
  <c r="C3313" i="5"/>
  <c r="B3313" i="5"/>
  <c r="A3313" i="5"/>
  <c r="C3312" i="5"/>
  <c r="B3312" i="5"/>
  <c r="A3312" i="5"/>
  <c r="C3311" i="5"/>
  <c r="B3311" i="5"/>
  <c r="A3311" i="5"/>
  <c r="C3310" i="5"/>
  <c r="B3310" i="5"/>
  <c r="A3310" i="5"/>
  <c r="C3309" i="5"/>
  <c r="B3309" i="5"/>
  <c r="A3309" i="5"/>
  <c r="C3308" i="5"/>
  <c r="B3308" i="5"/>
  <c r="A3308" i="5"/>
  <c r="C3307" i="5"/>
  <c r="B3307" i="5"/>
  <c r="A3307" i="5"/>
  <c r="C3306" i="5"/>
  <c r="B3306" i="5"/>
  <c r="A3306" i="5"/>
  <c r="C3305" i="5"/>
  <c r="B3305" i="5"/>
  <c r="A3305" i="5"/>
  <c r="C3304" i="5"/>
  <c r="B3304" i="5"/>
  <c r="A3304" i="5"/>
  <c r="C3303" i="5"/>
  <c r="B3303" i="5"/>
  <c r="A3303" i="5"/>
  <c r="C3302" i="5"/>
  <c r="B3302" i="5"/>
  <c r="A3302" i="5"/>
  <c r="C3301" i="5"/>
  <c r="B3301" i="5"/>
  <c r="A3301" i="5"/>
  <c r="C3300" i="5"/>
  <c r="B3300" i="5"/>
  <c r="A3300" i="5"/>
  <c r="C3299" i="5"/>
  <c r="B3299" i="5"/>
  <c r="A3299" i="5"/>
  <c r="C3298" i="5"/>
  <c r="B3298" i="5"/>
  <c r="A3298" i="5"/>
  <c r="C3297" i="5"/>
  <c r="B3297" i="5"/>
  <c r="A3297" i="5"/>
  <c r="C3296" i="5"/>
  <c r="B3296" i="5"/>
  <c r="A3296" i="5"/>
  <c r="C3295" i="5"/>
  <c r="B3295" i="5"/>
  <c r="A3295" i="5"/>
  <c r="C3294" i="5"/>
  <c r="B3294" i="5"/>
  <c r="A3294" i="5"/>
  <c r="C3293" i="5"/>
  <c r="B3293" i="5"/>
  <c r="A3293" i="5"/>
  <c r="C3292" i="5"/>
  <c r="B3292" i="5"/>
  <c r="A3292" i="5"/>
  <c r="C3291" i="5"/>
  <c r="B3291" i="5"/>
  <c r="A3291" i="5"/>
  <c r="C3290" i="5"/>
  <c r="B3290" i="5"/>
  <c r="A3290" i="5"/>
  <c r="C3289" i="5"/>
  <c r="B3289" i="5"/>
  <c r="A3289" i="5"/>
  <c r="C3288" i="5"/>
  <c r="B3288" i="5"/>
  <c r="A3288" i="5"/>
  <c r="C3287" i="5"/>
  <c r="B3287" i="5"/>
  <c r="A3287" i="5"/>
  <c r="C3286" i="5"/>
  <c r="B3286" i="5"/>
  <c r="A3286" i="5"/>
  <c r="C3285" i="5"/>
  <c r="B3285" i="5"/>
  <c r="A3285" i="5"/>
  <c r="C3284" i="5"/>
  <c r="B3284" i="5"/>
  <c r="A3284" i="5"/>
  <c r="C3283" i="5"/>
  <c r="B3283" i="5"/>
  <c r="A3283" i="5"/>
  <c r="C3282" i="5"/>
  <c r="B3282" i="5"/>
  <c r="A3282" i="5"/>
  <c r="C3281" i="5"/>
  <c r="B3281" i="5"/>
  <c r="A3281" i="5"/>
  <c r="C3280" i="5"/>
  <c r="B3280" i="5"/>
  <c r="A3280" i="5"/>
  <c r="C3279" i="5"/>
  <c r="B3279" i="5"/>
  <c r="A3279" i="5"/>
  <c r="C3278" i="5"/>
  <c r="B3278" i="5"/>
  <c r="A3278" i="5"/>
  <c r="C3277" i="5"/>
  <c r="B3277" i="5"/>
  <c r="A3277" i="5"/>
  <c r="C3276" i="5"/>
  <c r="B3276" i="5"/>
  <c r="A3276" i="5"/>
  <c r="C3275" i="5"/>
  <c r="B3275" i="5"/>
  <c r="A3275" i="5"/>
  <c r="C3274" i="5"/>
  <c r="B3274" i="5"/>
  <c r="A3274" i="5"/>
  <c r="C3273" i="5"/>
  <c r="B3273" i="5"/>
  <c r="A3273" i="5"/>
  <c r="C3272" i="5"/>
  <c r="B3272" i="5"/>
  <c r="A3272" i="5"/>
  <c r="C3271" i="5"/>
  <c r="B3271" i="5"/>
  <c r="A3271" i="5"/>
  <c r="C3270" i="5"/>
  <c r="B3270" i="5"/>
  <c r="A3270" i="5"/>
  <c r="C3269" i="5"/>
  <c r="B3269" i="5"/>
  <c r="A3269" i="5"/>
  <c r="C3268" i="5"/>
  <c r="B3268" i="5"/>
  <c r="A3268" i="5"/>
  <c r="C3267" i="5"/>
  <c r="B3267" i="5"/>
  <c r="A3267" i="5"/>
  <c r="C3266" i="5"/>
  <c r="B3266" i="5"/>
  <c r="A3266" i="5"/>
  <c r="C3265" i="5"/>
  <c r="B3265" i="5"/>
  <c r="A3265" i="5"/>
  <c r="C3264" i="5"/>
  <c r="B3264" i="5"/>
  <c r="A3264" i="5"/>
  <c r="C3263" i="5"/>
  <c r="B3263" i="5"/>
  <c r="A3263" i="5"/>
  <c r="C3262" i="5"/>
  <c r="B3262" i="5"/>
  <c r="A3262" i="5"/>
  <c r="C3261" i="5"/>
  <c r="B3261" i="5"/>
  <c r="A3261" i="5"/>
  <c r="C3260" i="5"/>
  <c r="B3260" i="5"/>
  <c r="A3260" i="5"/>
  <c r="C3259" i="5"/>
  <c r="B3259" i="5"/>
  <c r="A3259" i="5"/>
  <c r="C3258" i="5"/>
  <c r="B3258" i="5"/>
  <c r="A3258" i="5"/>
  <c r="C3257" i="5"/>
  <c r="B3257" i="5"/>
  <c r="A3257" i="5"/>
  <c r="C3256" i="5"/>
  <c r="B3256" i="5"/>
  <c r="A3256" i="5"/>
  <c r="C3255" i="5"/>
  <c r="B3255" i="5"/>
  <c r="A3255" i="5"/>
  <c r="C3254" i="5"/>
  <c r="B3254" i="5"/>
  <c r="A3254" i="5"/>
  <c r="C3253" i="5"/>
  <c r="B3253" i="5"/>
  <c r="A3253" i="5"/>
  <c r="C3252" i="5"/>
  <c r="B3252" i="5"/>
  <c r="A3252" i="5"/>
  <c r="C3251" i="5"/>
  <c r="B3251" i="5"/>
  <c r="A3251" i="5"/>
  <c r="C3250" i="5"/>
  <c r="B3250" i="5"/>
  <c r="A3250" i="5"/>
  <c r="C3249" i="5"/>
  <c r="B3249" i="5"/>
  <c r="A3249" i="5"/>
  <c r="C3248" i="5"/>
  <c r="B3248" i="5"/>
  <c r="A3248" i="5"/>
  <c r="C3247" i="5"/>
  <c r="B3247" i="5"/>
  <c r="A3247" i="5"/>
  <c r="C3246" i="5"/>
  <c r="B3246" i="5"/>
  <c r="A3246" i="5"/>
  <c r="C3245" i="5"/>
  <c r="B3245" i="5"/>
  <c r="A3245" i="5"/>
  <c r="C3244" i="5"/>
  <c r="B3244" i="5"/>
  <c r="A3244" i="5"/>
  <c r="C3243" i="5"/>
  <c r="B3243" i="5"/>
  <c r="A3243" i="5"/>
  <c r="C3242" i="5"/>
  <c r="B3242" i="5"/>
  <c r="A3242" i="5"/>
  <c r="C3241" i="5"/>
  <c r="B3241" i="5"/>
  <c r="A3241" i="5"/>
  <c r="C3240" i="5"/>
  <c r="B3240" i="5"/>
  <c r="A3240" i="5"/>
  <c r="C3239" i="5"/>
  <c r="B3239" i="5"/>
  <c r="A3239" i="5"/>
  <c r="C3238" i="5"/>
  <c r="B3238" i="5"/>
  <c r="A3238" i="5"/>
  <c r="C3237" i="5"/>
  <c r="B3237" i="5"/>
  <c r="A3237" i="5"/>
  <c r="C3236" i="5"/>
  <c r="B3236" i="5"/>
  <c r="A3236" i="5"/>
  <c r="C3235" i="5"/>
  <c r="B3235" i="5"/>
  <c r="A3235" i="5"/>
  <c r="C3234" i="5"/>
  <c r="B3234" i="5"/>
  <c r="A3234" i="5"/>
  <c r="C3233" i="5"/>
  <c r="B3233" i="5"/>
  <c r="A3233" i="5"/>
  <c r="C3232" i="5"/>
  <c r="B3232" i="5"/>
  <c r="A3232" i="5"/>
  <c r="C3231" i="5"/>
  <c r="B3231" i="5"/>
  <c r="A3231" i="5"/>
  <c r="C3230" i="5"/>
  <c r="B3230" i="5"/>
  <c r="A3230" i="5"/>
  <c r="C3229" i="5"/>
  <c r="B3229" i="5"/>
  <c r="A3229" i="5"/>
  <c r="C3228" i="5"/>
  <c r="B3228" i="5"/>
  <c r="A3228" i="5"/>
  <c r="C3227" i="5"/>
  <c r="B3227" i="5"/>
  <c r="A3227" i="5"/>
  <c r="C3226" i="5"/>
  <c r="B3226" i="5"/>
  <c r="A3226" i="5"/>
  <c r="C3225" i="5"/>
  <c r="B3225" i="5"/>
  <c r="A3225" i="5"/>
  <c r="C3224" i="5"/>
  <c r="B3224" i="5"/>
  <c r="A3224" i="5"/>
  <c r="C3223" i="5"/>
  <c r="B3223" i="5"/>
  <c r="A3223" i="5"/>
  <c r="C3222" i="5"/>
  <c r="B3222" i="5"/>
  <c r="A3222" i="5"/>
  <c r="C3221" i="5"/>
  <c r="B3221" i="5"/>
  <c r="A3221" i="5"/>
  <c r="C3220" i="5"/>
  <c r="B3220" i="5"/>
  <c r="A3220" i="5"/>
  <c r="C3219" i="5"/>
  <c r="B3219" i="5"/>
  <c r="A3219" i="5"/>
  <c r="C3218" i="5"/>
  <c r="B3218" i="5"/>
  <c r="A3218" i="5"/>
  <c r="C3217" i="5"/>
  <c r="B3217" i="5"/>
  <c r="A3217" i="5"/>
  <c r="C3216" i="5"/>
  <c r="B3216" i="5"/>
  <c r="A3216" i="5"/>
  <c r="C3215" i="5"/>
  <c r="B3215" i="5"/>
  <c r="A3215" i="5"/>
  <c r="C3214" i="5"/>
  <c r="B3214" i="5"/>
  <c r="A3214" i="5"/>
  <c r="C3213" i="5"/>
  <c r="B3213" i="5"/>
  <c r="A3213" i="5"/>
  <c r="C3212" i="5"/>
  <c r="B3212" i="5"/>
  <c r="A3212" i="5"/>
  <c r="C3211" i="5"/>
  <c r="B3211" i="5"/>
  <c r="A3211" i="5"/>
  <c r="C3210" i="5"/>
  <c r="B3210" i="5"/>
  <c r="A3210" i="5"/>
  <c r="C3209" i="5"/>
  <c r="B3209" i="5"/>
  <c r="A3209" i="5"/>
  <c r="C3208" i="5"/>
  <c r="B3208" i="5"/>
  <c r="A3208" i="5"/>
  <c r="C3207" i="5"/>
  <c r="B3207" i="5"/>
  <c r="A3207" i="5"/>
  <c r="C3206" i="5"/>
  <c r="B3206" i="5"/>
  <c r="A3206" i="5"/>
  <c r="C3205" i="5"/>
  <c r="B3205" i="5"/>
  <c r="A3205" i="5"/>
  <c r="C3204" i="5"/>
  <c r="B3204" i="5"/>
  <c r="A3204" i="5"/>
  <c r="C3203" i="5"/>
  <c r="B3203" i="5"/>
  <c r="A3203" i="5"/>
  <c r="C3202" i="5"/>
  <c r="B3202" i="5"/>
  <c r="A3202" i="5"/>
  <c r="C3201" i="5"/>
  <c r="B3201" i="5"/>
  <c r="A3201" i="5"/>
  <c r="C3200" i="5"/>
  <c r="B3200" i="5"/>
  <c r="A3200" i="5"/>
  <c r="C3199" i="5"/>
  <c r="B3199" i="5"/>
  <c r="A3199" i="5"/>
  <c r="C3198" i="5"/>
  <c r="B3198" i="5"/>
  <c r="A3198" i="5"/>
  <c r="C3197" i="5"/>
  <c r="B3197" i="5"/>
  <c r="A3197" i="5"/>
  <c r="C3196" i="5"/>
  <c r="B3196" i="5"/>
  <c r="A3196" i="5"/>
  <c r="C3195" i="5"/>
  <c r="B3195" i="5"/>
  <c r="A3195" i="5"/>
  <c r="C3194" i="5"/>
  <c r="B3194" i="5"/>
  <c r="A3194" i="5"/>
  <c r="C3193" i="5"/>
  <c r="B3193" i="5"/>
  <c r="A3193" i="5"/>
  <c r="C3192" i="5"/>
  <c r="B3192" i="5"/>
  <c r="A3192" i="5"/>
  <c r="C3191" i="5"/>
  <c r="B3191" i="5"/>
  <c r="A3191" i="5"/>
  <c r="C3190" i="5"/>
  <c r="B3190" i="5"/>
  <c r="A3190" i="5"/>
  <c r="C3189" i="5"/>
  <c r="B3189" i="5"/>
  <c r="A3189" i="5"/>
  <c r="C3188" i="5"/>
  <c r="B3188" i="5"/>
  <c r="A3188" i="5"/>
  <c r="C3187" i="5"/>
  <c r="B3187" i="5"/>
  <c r="A3187" i="5"/>
  <c r="C3186" i="5"/>
  <c r="B3186" i="5"/>
  <c r="A3186" i="5"/>
  <c r="C3185" i="5"/>
  <c r="B3185" i="5"/>
  <c r="A3185" i="5"/>
  <c r="C3184" i="5"/>
  <c r="B3184" i="5"/>
  <c r="A3184" i="5"/>
  <c r="C3183" i="5"/>
  <c r="B3183" i="5"/>
  <c r="A3183" i="5"/>
  <c r="C3182" i="5"/>
  <c r="B3182" i="5"/>
  <c r="A3182" i="5"/>
  <c r="C3181" i="5"/>
  <c r="B3181" i="5"/>
  <c r="A3181" i="5"/>
  <c r="C3180" i="5"/>
  <c r="B3180" i="5"/>
  <c r="A3180" i="5"/>
  <c r="C3179" i="5"/>
  <c r="B3179" i="5"/>
  <c r="A3179" i="5"/>
  <c r="C3178" i="5"/>
  <c r="B3178" i="5"/>
  <c r="A3178" i="5"/>
  <c r="C3177" i="5"/>
  <c r="B3177" i="5"/>
  <c r="A3177" i="5"/>
  <c r="C3176" i="5"/>
  <c r="B3176" i="5"/>
  <c r="A3176" i="5"/>
  <c r="C3175" i="5"/>
  <c r="B3175" i="5"/>
  <c r="A3175" i="5"/>
  <c r="C3174" i="5"/>
  <c r="B3174" i="5"/>
  <c r="A3174" i="5"/>
  <c r="C3173" i="5"/>
  <c r="B3173" i="5"/>
  <c r="A3173" i="5"/>
  <c r="C3172" i="5"/>
  <c r="B3172" i="5"/>
  <c r="A3172" i="5"/>
  <c r="C3171" i="5"/>
  <c r="B3171" i="5"/>
  <c r="A3171" i="5"/>
  <c r="C3170" i="5"/>
  <c r="B3170" i="5"/>
  <c r="A3170" i="5"/>
  <c r="C3169" i="5"/>
  <c r="B3169" i="5"/>
  <c r="A3169" i="5"/>
  <c r="C3168" i="5"/>
  <c r="B3168" i="5"/>
  <c r="A3168" i="5"/>
  <c r="C3167" i="5"/>
  <c r="B3167" i="5"/>
  <c r="A3167" i="5"/>
  <c r="C3166" i="5"/>
  <c r="B3166" i="5"/>
  <c r="A3166" i="5"/>
  <c r="C3165" i="5"/>
  <c r="B3165" i="5"/>
  <c r="A3165" i="5"/>
  <c r="C3164" i="5"/>
  <c r="B3164" i="5"/>
  <c r="A3164" i="5"/>
  <c r="C3163" i="5"/>
  <c r="B3163" i="5"/>
  <c r="A3163" i="5"/>
  <c r="C3162" i="5"/>
  <c r="B3162" i="5"/>
  <c r="A3162" i="5"/>
  <c r="C3161" i="5"/>
  <c r="B3161" i="5"/>
  <c r="A3161" i="5"/>
  <c r="C3160" i="5"/>
  <c r="B3160" i="5"/>
  <c r="A3160" i="5"/>
  <c r="C3159" i="5"/>
  <c r="B3159" i="5"/>
  <c r="A3159" i="5"/>
  <c r="C3158" i="5"/>
  <c r="B3158" i="5"/>
  <c r="A3158" i="5"/>
  <c r="C3157" i="5"/>
  <c r="B3157" i="5"/>
  <c r="A3157" i="5"/>
  <c r="C3156" i="5"/>
  <c r="B3156" i="5"/>
  <c r="A3156" i="5"/>
  <c r="C3155" i="5"/>
  <c r="B3155" i="5"/>
  <c r="A3155" i="5"/>
  <c r="C3154" i="5"/>
  <c r="B3154" i="5"/>
  <c r="A3154" i="5"/>
  <c r="C3153" i="5"/>
  <c r="B3153" i="5"/>
  <c r="A3153" i="5"/>
  <c r="C3152" i="5"/>
  <c r="B3152" i="5"/>
  <c r="A3152" i="5"/>
  <c r="C3151" i="5"/>
  <c r="B3151" i="5"/>
  <c r="A3151" i="5"/>
  <c r="C3150" i="5"/>
  <c r="B3150" i="5"/>
  <c r="A3150" i="5"/>
  <c r="C3149" i="5"/>
  <c r="B3149" i="5"/>
  <c r="A3149" i="5"/>
  <c r="C3148" i="5"/>
  <c r="B3148" i="5"/>
  <c r="A3148" i="5"/>
  <c r="C3147" i="5"/>
  <c r="B3147" i="5"/>
  <c r="A3147" i="5"/>
  <c r="C3146" i="5"/>
  <c r="B3146" i="5"/>
  <c r="A3146" i="5"/>
  <c r="C3145" i="5"/>
  <c r="B3145" i="5"/>
  <c r="A3145" i="5"/>
  <c r="C3144" i="5"/>
  <c r="B3144" i="5"/>
  <c r="A3144" i="5"/>
  <c r="C3143" i="5"/>
  <c r="B3143" i="5"/>
  <c r="A3143" i="5"/>
  <c r="C3142" i="5"/>
  <c r="B3142" i="5"/>
  <c r="A3142" i="5"/>
  <c r="C3141" i="5"/>
  <c r="B3141" i="5"/>
  <c r="A3141" i="5"/>
  <c r="C3140" i="5"/>
  <c r="B3140" i="5"/>
  <c r="A3140" i="5"/>
  <c r="C3139" i="5"/>
  <c r="B3139" i="5"/>
  <c r="A3139" i="5"/>
  <c r="C3138" i="5"/>
  <c r="B3138" i="5"/>
  <c r="A3138" i="5"/>
  <c r="C3137" i="5"/>
  <c r="B3137" i="5"/>
  <c r="A3137" i="5"/>
  <c r="C3136" i="5"/>
  <c r="B3136" i="5"/>
  <c r="A3136" i="5"/>
  <c r="C3135" i="5"/>
  <c r="B3135" i="5"/>
  <c r="A3135" i="5"/>
  <c r="C3134" i="5"/>
  <c r="B3134" i="5"/>
  <c r="A3134" i="5"/>
  <c r="C3133" i="5"/>
  <c r="B3133" i="5"/>
  <c r="A3133" i="5"/>
  <c r="C3132" i="5"/>
  <c r="B3132" i="5"/>
  <c r="A3132" i="5"/>
  <c r="C3131" i="5"/>
  <c r="B3131" i="5"/>
  <c r="A3131" i="5"/>
  <c r="C3130" i="5"/>
  <c r="B3130" i="5"/>
  <c r="A3130" i="5"/>
  <c r="C3129" i="5"/>
  <c r="B3129" i="5"/>
  <c r="A3129" i="5"/>
  <c r="C3128" i="5"/>
  <c r="B3128" i="5"/>
  <c r="A3128" i="5"/>
  <c r="C3127" i="5"/>
  <c r="B3127" i="5"/>
  <c r="A3127" i="5"/>
  <c r="C3126" i="5"/>
  <c r="B3126" i="5"/>
  <c r="A3126" i="5"/>
  <c r="C3125" i="5"/>
  <c r="B3125" i="5"/>
  <c r="A3125" i="5"/>
  <c r="C3124" i="5"/>
  <c r="B3124" i="5"/>
  <c r="A3124" i="5"/>
  <c r="C3123" i="5"/>
  <c r="B3123" i="5"/>
  <c r="A3123" i="5"/>
  <c r="C3122" i="5"/>
  <c r="B3122" i="5"/>
  <c r="A3122" i="5"/>
  <c r="C3121" i="5"/>
  <c r="B3121" i="5"/>
  <c r="A3121" i="5"/>
  <c r="C3120" i="5"/>
  <c r="B3120" i="5"/>
  <c r="A3120" i="5"/>
  <c r="C3119" i="5"/>
  <c r="B3119" i="5"/>
  <c r="A3119" i="5"/>
  <c r="C3118" i="5"/>
  <c r="B3118" i="5"/>
  <c r="A3118" i="5"/>
  <c r="C3117" i="5"/>
  <c r="B3117" i="5"/>
  <c r="A3117" i="5"/>
  <c r="C3116" i="5"/>
  <c r="B3116" i="5"/>
  <c r="A3116" i="5"/>
  <c r="C3115" i="5"/>
  <c r="B3115" i="5"/>
  <c r="A3115" i="5"/>
  <c r="C3114" i="5"/>
  <c r="B3114" i="5"/>
  <c r="A3114" i="5"/>
  <c r="C3113" i="5"/>
  <c r="B3113" i="5"/>
  <c r="A3113" i="5"/>
  <c r="C3112" i="5"/>
  <c r="B3112" i="5"/>
  <c r="A3112" i="5"/>
  <c r="C3111" i="5"/>
  <c r="B3111" i="5"/>
  <c r="A3111" i="5"/>
  <c r="C3110" i="5"/>
  <c r="B3110" i="5"/>
  <c r="A3110" i="5"/>
  <c r="C3109" i="5"/>
  <c r="B3109" i="5"/>
  <c r="A3109" i="5"/>
  <c r="C3108" i="5"/>
  <c r="B3108" i="5"/>
  <c r="A3108" i="5"/>
  <c r="C3107" i="5"/>
  <c r="B3107" i="5"/>
  <c r="A3107" i="5"/>
  <c r="C3106" i="5"/>
  <c r="B3106" i="5"/>
  <c r="A3106" i="5"/>
  <c r="C3105" i="5"/>
  <c r="B3105" i="5"/>
  <c r="A3105" i="5"/>
  <c r="C3104" i="5"/>
  <c r="B3104" i="5"/>
  <c r="A3104" i="5"/>
  <c r="C3103" i="5"/>
  <c r="B3103" i="5"/>
  <c r="A3103" i="5"/>
  <c r="C3102" i="5"/>
  <c r="B3102" i="5"/>
  <c r="A3102" i="5"/>
  <c r="C3101" i="5"/>
  <c r="B3101" i="5"/>
  <c r="A3101" i="5"/>
  <c r="C3100" i="5"/>
  <c r="B3100" i="5"/>
  <c r="A3100" i="5"/>
  <c r="C3099" i="5"/>
  <c r="B3099" i="5"/>
  <c r="A3099" i="5"/>
  <c r="C3098" i="5"/>
  <c r="B3098" i="5"/>
  <c r="A3098" i="5"/>
  <c r="C3097" i="5"/>
  <c r="B3097" i="5"/>
  <c r="A3097" i="5"/>
  <c r="C3096" i="5"/>
  <c r="B3096" i="5"/>
  <c r="A3096" i="5"/>
  <c r="C3095" i="5"/>
  <c r="B3095" i="5"/>
  <c r="A3095" i="5"/>
  <c r="C3094" i="5"/>
  <c r="B3094" i="5"/>
  <c r="A3094" i="5"/>
  <c r="C3093" i="5"/>
  <c r="B3093" i="5"/>
  <c r="A3093" i="5"/>
  <c r="C3092" i="5"/>
  <c r="B3092" i="5"/>
  <c r="A3092" i="5"/>
  <c r="C3091" i="5"/>
  <c r="B3091" i="5"/>
  <c r="A3091" i="5"/>
  <c r="C3090" i="5"/>
  <c r="B3090" i="5"/>
  <c r="A3090" i="5"/>
  <c r="C3089" i="5"/>
  <c r="B3089" i="5"/>
  <c r="A3089" i="5"/>
  <c r="C3088" i="5"/>
  <c r="B3088" i="5"/>
  <c r="A3088" i="5"/>
  <c r="C3087" i="5"/>
  <c r="B3087" i="5"/>
  <c r="A3087" i="5"/>
  <c r="C3086" i="5"/>
  <c r="B3086" i="5"/>
  <c r="A3086" i="5"/>
  <c r="C3085" i="5"/>
  <c r="B3085" i="5"/>
  <c r="A3085" i="5"/>
  <c r="C3084" i="5"/>
  <c r="B3084" i="5"/>
  <c r="A3084" i="5"/>
  <c r="C3083" i="5"/>
  <c r="B3083" i="5"/>
  <c r="A3083" i="5"/>
  <c r="C3082" i="5"/>
  <c r="B3082" i="5"/>
  <c r="A3082" i="5"/>
  <c r="C3081" i="5"/>
  <c r="B3081" i="5"/>
  <c r="A3081" i="5"/>
  <c r="C3080" i="5"/>
  <c r="B3080" i="5"/>
  <c r="A3080" i="5"/>
  <c r="C3079" i="5"/>
  <c r="B3079" i="5"/>
  <c r="A3079" i="5"/>
  <c r="C3078" i="5"/>
  <c r="B3078" i="5"/>
  <c r="A3078" i="5"/>
  <c r="C3077" i="5"/>
  <c r="B3077" i="5"/>
  <c r="A3077" i="5"/>
  <c r="C3076" i="5"/>
  <c r="B3076" i="5"/>
  <c r="A3076" i="5"/>
  <c r="C3075" i="5"/>
  <c r="B3075" i="5"/>
  <c r="A3075" i="5"/>
  <c r="C3074" i="5"/>
  <c r="B3074" i="5"/>
  <c r="A3074" i="5"/>
  <c r="C3073" i="5"/>
  <c r="B3073" i="5"/>
  <c r="A3073" i="5"/>
  <c r="C3072" i="5"/>
  <c r="B3072" i="5"/>
  <c r="A3072" i="5"/>
  <c r="C3071" i="5"/>
  <c r="B3071" i="5"/>
  <c r="A3071" i="5"/>
  <c r="C3070" i="5"/>
  <c r="B3070" i="5"/>
  <c r="A3070" i="5"/>
  <c r="C3069" i="5"/>
  <c r="B3069" i="5"/>
  <c r="A3069" i="5"/>
  <c r="C3068" i="5"/>
  <c r="B3068" i="5"/>
  <c r="A3068" i="5"/>
  <c r="C3067" i="5"/>
  <c r="B3067" i="5"/>
  <c r="A3067" i="5"/>
  <c r="C3066" i="5"/>
  <c r="B3066" i="5"/>
  <c r="A3066" i="5"/>
  <c r="C3065" i="5"/>
  <c r="B3065" i="5"/>
  <c r="A3065" i="5"/>
  <c r="C3064" i="5"/>
  <c r="B3064" i="5"/>
  <c r="A3064" i="5"/>
  <c r="C3063" i="5"/>
  <c r="B3063" i="5"/>
  <c r="A3063" i="5"/>
  <c r="C3062" i="5"/>
  <c r="B3062" i="5"/>
  <c r="A3062" i="5"/>
  <c r="C3061" i="5"/>
  <c r="B3061" i="5"/>
  <c r="A3061" i="5"/>
  <c r="C3060" i="5"/>
  <c r="B3060" i="5"/>
  <c r="A3060" i="5"/>
  <c r="C3059" i="5"/>
  <c r="B3059" i="5"/>
  <c r="A3059" i="5"/>
  <c r="C3058" i="5"/>
  <c r="B3058" i="5"/>
  <c r="A3058" i="5"/>
  <c r="C3057" i="5"/>
  <c r="B3057" i="5"/>
  <c r="A3057" i="5"/>
  <c r="C3056" i="5"/>
  <c r="B3056" i="5"/>
  <c r="A3056" i="5"/>
  <c r="C3055" i="5"/>
  <c r="B3055" i="5"/>
  <c r="A3055" i="5"/>
  <c r="C3054" i="5"/>
  <c r="B3054" i="5"/>
  <c r="A3054" i="5"/>
  <c r="C3053" i="5"/>
  <c r="B3053" i="5"/>
  <c r="A3053" i="5"/>
  <c r="C3052" i="5"/>
  <c r="B3052" i="5"/>
  <c r="A3052" i="5"/>
  <c r="C3051" i="5"/>
  <c r="B3051" i="5"/>
  <c r="A3051" i="5"/>
  <c r="C3050" i="5"/>
  <c r="B3050" i="5"/>
  <c r="A3050" i="5"/>
  <c r="C3049" i="5"/>
  <c r="B3049" i="5"/>
  <c r="A3049" i="5"/>
  <c r="C3048" i="5"/>
  <c r="B3048" i="5"/>
  <c r="A3048" i="5"/>
  <c r="C3047" i="5"/>
  <c r="B3047" i="5"/>
  <c r="A3047" i="5"/>
  <c r="C3046" i="5"/>
  <c r="B3046" i="5"/>
  <c r="A3046" i="5"/>
  <c r="C3045" i="5"/>
  <c r="B3045" i="5"/>
  <c r="A3045" i="5"/>
  <c r="C3044" i="5"/>
  <c r="B3044" i="5"/>
  <c r="A3044" i="5"/>
  <c r="C3043" i="5"/>
  <c r="B3043" i="5"/>
  <c r="A3043" i="5"/>
  <c r="C3042" i="5"/>
  <c r="B3042" i="5"/>
  <c r="A3042" i="5"/>
  <c r="C3041" i="5"/>
  <c r="B3041" i="5"/>
  <c r="A3041" i="5"/>
  <c r="C3040" i="5"/>
  <c r="B3040" i="5"/>
  <c r="A3040" i="5"/>
  <c r="C3039" i="5"/>
  <c r="B3039" i="5"/>
  <c r="A3039" i="5"/>
  <c r="C3038" i="5"/>
  <c r="B3038" i="5"/>
  <c r="A3038" i="5"/>
  <c r="C3037" i="5"/>
  <c r="B3037" i="5"/>
  <c r="A3037" i="5"/>
  <c r="C3036" i="5"/>
  <c r="B3036" i="5"/>
  <c r="A3036" i="5"/>
  <c r="C3035" i="5"/>
  <c r="B3035" i="5"/>
  <c r="A3035" i="5"/>
  <c r="C3034" i="5"/>
  <c r="B3034" i="5"/>
  <c r="A3034" i="5"/>
  <c r="C3033" i="5"/>
  <c r="B3033" i="5"/>
  <c r="A3033" i="5"/>
  <c r="C3032" i="5"/>
  <c r="B3032" i="5"/>
  <c r="A3032" i="5"/>
  <c r="C3031" i="5"/>
  <c r="B3031" i="5"/>
  <c r="A3031" i="5"/>
  <c r="C3030" i="5"/>
  <c r="B3030" i="5"/>
  <c r="A3030" i="5"/>
  <c r="C3029" i="5"/>
  <c r="B3029" i="5"/>
  <c r="A3029" i="5"/>
  <c r="C3028" i="5"/>
  <c r="B3028" i="5"/>
  <c r="A3028" i="5"/>
  <c r="C3027" i="5"/>
  <c r="B3027" i="5"/>
  <c r="A3027" i="5"/>
  <c r="C3026" i="5"/>
  <c r="B3026" i="5"/>
  <c r="A3026" i="5"/>
  <c r="C3025" i="5"/>
  <c r="B3025" i="5"/>
  <c r="A3025" i="5"/>
  <c r="C3024" i="5"/>
  <c r="B3024" i="5"/>
  <c r="A3024" i="5"/>
  <c r="C3023" i="5"/>
  <c r="B3023" i="5"/>
  <c r="A3023" i="5"/>
  <c r="C3022" i="5"/>
  <c r="B3022" i="5"/>
  <c r="A3022" i="5"/>
  <c r="C3021" i="5"/>
  <c r="B3021" i="5"/>
  <c r="A3021" i="5"/>
  <c r="C3020" i="5"/>
  <c r="B3020" i="5"/>
  <c r="A3020" i="5"/>
  <c r="C3019" i="5"/>
  <c r="B3019" i="5"/>
  <c r="A3019" i="5"/>
  <c r="C3018" i="5"/>
  <c r="B3018" i="5"/>
  <c r="A3018" i="5"/>
  <c r="C3017" i="5"/>
  <c r="B3017" i="5"/>
  <c r="A3017" i="5"/>
  <c r="C3016" i="5"/>
  <c r="B3016" i="5"/>
  <c r="A3016" i="5"/>
  <c r="C3015" i="5"/>
  <c r="B3015" i="5"/>
  <c r="A3015" i="5"/>
  <c r="C3014" i="5"/>
  <c r="B3014" i="5"/>
  <c r="A3014" i="5"/>
  <c r="C3013" i="5"/>
  <c r="B3013" i="5"/>
  <c r="A3013" i="5"/>
  <c r="C3012" i="5"/>
  <c r="B3012" i="5"/>
  <c r="A3012" i="5"/>
  <c r="C3011" i="5"/>
  <c r="B3011" i="5"/>
  <c r="A3011" i="5"/>
  <c r="C3010" i="5"/>
  <c r="B3010" i="5"/>
  <c r="A3010" i="5"/>
  <c r="C3009" i="5"/>
  <c r="B3009" i="5"/>
  <c r="A3009" i="5"/>
  <c r="C3008" i="5"/>
  <c r="B3008" i="5"/>
  <c r="A3008" i="5"/>
  <c r="C3007" i="5"/>
  <c r="B3007" i="5"/>
  <c r="A3007" i="5"/>
  <c r="C3006" i="5"/>
  <c r="B3006" i="5"/>
  <c r="A3006" i="5"/>
  <c r="C3005" i="5"/>
  <c r="B3005" i="5"/>
  <c r="A3005" i="5"/>
  <c r="C3004" i="5"/>
  <c r="B3004" i="5"/>
  <c r="A3004" i="5"/>
  <c r="C3003" i="5"/>
  <c r="B3003" i="5"/>
  <c r="A3003" i="5"/>
  <c r="C3002" i="5"/>
  <c r="B3002" i="5"/>
  <c r="A3002" i="5"/>
  <c r="C3001" i="5"/>
  <c r="B3001" i="5"/>
  <c r="A3001" i="5"/>
  <c r="C3000" i="5"/>
  <c r="B3000" i="5"/>
  <c r="A3000" i="5"/>
  <c r="C2999" i="5"/>
  <c r="B2999" i="5"/>
  <c r="A2999" i="5"/>
  <c r="C2998" i="5"/>
  <c r="B2998" i="5"/>
  <c r="A2998" i="5"/>
  <c r="C2997" i="5"/>
  <c r="B2997" i="5"/>
  <c r="A2997" i="5"/>
  <c r="C2996" i="5"/>
  <c r="B2996" i="5"/>
  <c r="A2996" i="5"/>
  <c r="C2995" i="5"/>
  <c r="B2995" i="5"/>
  <c r="A2995" i="5"/>
  <c r="C2994" i="5"/>
  <c r="B2994" i="5"/>
  <c r="A2994" i="5"/>
  <c r="C2993" i="5"/>
  <c r="B2993" i="5"/>
  <c r="A2993" i="5"/>
  <c r="C2992" i="5"/>
  <c r="B2992" i="5"/>
  <c r="A2992" i="5"/>
  <c r="C2991" i="5"/>
  <c r="B2991" i="5"/>
  <c r="A2991" i="5"/>
  <c r="C2990" i="5"/>
  <c r="B2990" i="5"/>
  <c r="A2990" i="5"/>
  <c r="C2989" i="5"/>
  <c r="B2989" i="5"/>
  <c r="A2989" i="5"/>
  <c r="C2988" i="5"/>
  <c r="B2988" i="5"/>
  <c r="A2988" i="5"/>
  <c r="C2987" i="5"/>
  <c r="B2987" i="5"/>
  <c r="A2987" i="5"/>
  <c r="C2986" i="5"/>
  <c r="B2986" i="5"/>
  <c r="A2986" i="5"/>
  <c r="C2985" i="5"/>
  <c r="B2985" i="5"/>
  <c r="A2985" i="5"/>
  <c r="C2984" i="5"/>
  <c r="B2984" i="5"/>
  <c r="A2984" i="5"/>
  <c r="C2983" i="5"/>
  <c r="B2983" i="5"/>
  <c r="A2983" i="5"/>
  <c r="C2982" i="5"/>
  <c r="B2982" i="5"/>
  <c r="A2982" i="5"/>
  <c r="C2981" i="5"/>
  <c r="B2981" i="5"/>
  <c r="A2981" i="5"/>
  <c r="C2980" i="5"/>
  <c r="B2980" i="5"/>
  <c r="A2980" i="5"/>
  <c r="C2979" i="5"/>
  <c r="B2979" i="5"/>
  <c r="A2979" i="5"/>
  <c r="C2978" i="5"/>
  <c r="B2978" i="5"/>
  <c r="A2978" i="5"/>
  <c r="C2977" i="5"/>
  <c r="B2977" i="5"/>
  <c r="A2977" i="5"/>
  <c r="C2976" i="5"/>
  <c r="B2976" i="5"/>
  <c r="A2976" i="5"/>
  <c r="C2975" i="5"/>
  <c r="B2975" i="5"/>
  <c r="A2975" i="5"/>
  <c r="C2974" i="5"/>
  <c r="B2974" i="5"/>
  <c r="A2974" i="5"/>
  <c r="C2973" i="5"/>
  <c r="B2973" i="5"/>
  <c r="A2973" i="5"/>
  <c r="C2972" i="5"/>
  <c r="B2972" i="5"/>
  <c r="A2972" i="5"/>
  <c r="C2971" i="5"/>
  <c r="B2971" i="5"/>
  <c r="A2971" i="5"/>
  <c r="C2970" i="5"/>
  <c r="B2970" i="5"/>
  <c r="A2970" i="5"/>
  <c r="C2969" i="5"/>
  <c r="B2969" i="5"/>
  <c r="A2969" i="5"/>
  <c r="C2968" i="5"/>
  <c r="B2968" i="5"/>
  <c r="A2968" i="5"/>
  <c r="C2967" i="5"/>
  <c r="B2967" i="5"/>
  <c r="A2967" i="5"/>
  <c r="C2966" i="5"/>
  <c r="B2966" i="5"/>
  <c r="A2966" i="5"/>
  <c r="C2965" i="5"/>
  <c r="B2965" i="5"/>
  <c r="A2965" i="5"/>
  <c r="C2964" i="5"/>
  <c r="B2964" i="5"/>
  <c r="A2964" i="5"/>
  <c r="C2963" i="5"/>
  <c r="B2963" i="5"/>
  <c r="A2963" i="5"/>
  <c r="C2962" i="5"/>
  <c r="B2962" i="5"/>
  <c r="A2962" i="5"/>
  <c r="C2961" i="5"/>
  <c r="B2961" i="5"/>
  <c r="A2961" i="5"/>
  <c r="C2960" i="5"/>
  <c r="B2960" i="5"/>
  <c r="A2960" i="5"/>
  <c r="C2959" i="5"/>
  <c r="B2959" i="5"/>
  <c r="A2959" i="5"/>
  <c r="C2958" i="5"/>
  <c r="B2958" i="5"/>
  <c r="A2958" i="5"/>
  <c r="C2957" i="5"/>
  <c r="B2957" i="5"/>
  <c r="A2957" i="5"/>
  <c r="C2956" i="5"/>
  <c r="B2956" i="5"/>
  <c r="A2956" i="5"/>
  <c r="C2955" i="5"/>
  <c r="B2955" i="5"/>
  <c r="A2955" i="5"/>
  <c r="C2954" i="5"/>
  <c r="B2954" i="5"/>
  <c r="A2954" i="5"/>
  <c r="C2953" i="5"/>
  <c r="B2953" i="5"/>
  <c r="A2953" i="5"/>
  <c r="C2952" i="5"/>
  <c r="B2952" i="5"/>
  <c r="A2952" i="5"/>
  <c r="C2951" i="5"/>
  <c r="B2951" i="5"/>
  <c r="A2951" i="5"/>
  <c r="C2950" i="5"/>
  <c r="B2950" i="5"/>
  <c r="A2950" i="5"/>
  <c r="C2949" i="5"/>
  <c r="B2949" i="5"/>
  <c r="A2949" i="5"/>
  <c r="C2948" i="5"/>
  <c r="B2948" i="5"/>
  <c r="A2948" i="5"/>
  <c r="C2947" i="5"/>
  <c r="B2947" i="5"/>
  <c r="A2947" i="5"/>
  <c r="C2946" i="5"/>
  <c r="B2946" i="5"/>
  <c r="A2946" i="5"/>
  <c r="C2945" i="5"/>
  <c r="B2945" i="5"/>
  <c r="A2945" i="5"/>
  <c r="C2944" i="5"/>
  <c r="B2944" i="5"/>
  <c r="A2944" i="5"/>
  <c r="C2943" i="5"/>
  <c r="B2943" i="5"/>
  <c r="A2943" i="5"/>
  <c r="C2942" i="5"/>
  <c r="B2942" i="5"/>
  <c r="A2942" i="5"/>
  <c r="C2941" i="5"/>
  <c r="B2941" i="5"/>
  <c r="A2941" i="5"/>
  <c r="C2940" i="5"/>
  <c r="B2940" i="5"/>
  <c r="A2940" i="5"/>
  <c r="C2939" i="5"/>
  <c r="B2939" i="5"/>
  <c r="A2939" i="5"/>
  <c r="C2938" i="5"/>
  <c r="B2938" i="5"/>
  <c r="A2938" i="5"/>
  <c r="C2937" i="5"/>
  <c r="B2937" i="5"/>
  <c r="A2937" i="5"/>
  <c r="C2936" i="5"/>
  <c r="B2936" i="5"/>
  <c r="A2936" i="5"/>
  <c r="C2935" i="5"/>
  <c r="B2935" i="5"/>
  <c r="A2935" i="5"/>
  <c r="C2934" i="5"/>
  <c r="B2934" i="5"/>
  <c r="A2934" i="5"/>
  <c r="C2933" i="5"/>
  <c r="B2933" i="5"/>
  <c r="A2933" i="5"/>
  <c r="C2932" i="5"/>
  <c r="B2932" i="5"/>
  <c r="A2932" i="5"/>
  <c r="C2931" i="5"/>
  <c r="B2931" i="5"/>
  <c r="A2931" i="5"/>
  <c r="C2930" i="5"/>
  <c r="B2930" i="5"/>
  <c r="A2930" i="5"/>
  <c r="C2929" i="5"/>
  <c r="B2929" i="5"/>
  <c r="A2929" i="5"/>
  <c r="C2928" i="5"/>
  <c r="B2928" i="5"/>
  <c r="A2928" i="5"/>
  <c r="C2927" i="5"/>
  <c r="B2927" i="5"/>
  <c r="A2927" i="5"/>
  <c r="C2926" i="5"/>
  <c r="B2926" i="5"/>
  <c r="A2926" i="5"/>
  <c r="C2925" i="5"/>
  <c r="B2925" i="5"/>
  <c r="A2925" i="5"/>
  <c r="C2924" i="5"/>
  <c r="B2924" i="5"/>
  <c r="A2924" i="5"/>
  <c r="C2923" i="5"/>
  <c r="B2923" i="5"/>
  <c r="A2923" i="5"/>
  <c r="C2922" i="5"/>
  <c r="B2922" i="5"/>
  <c r="A2922" i="5"/>
  <c r="C2921" i="5"/>
  <c r="B2921" i="5"/>
  <c r="A2921" i="5"/>
  <c r="C2920" i="5"/>
  <c r="B2920" i="5"/>
  <c r="A2920" i="5"/>
  <c r="C2919" i="5"/>
  <c r="B2919" i="5"/>
  <c r="A2919" i="5"/>
  <c r="C2918" i="5"/>
  <c r="B2918" i="5"/>
  <c r="A2918" i="5"/>
  <c r="C2917" i="5"/>
  <c r="B2917" i="5"/>
  <c r="A2917" i="5"/>
  <c r="C2916" i="5"/>
  <c r="B2916" i="5"/>
  <c r="A2916" i="5"/>
  <c r="C2915" i="5"/>
  <c r="B2915" i="5"/>
  <c r="A2915" i="5"/>
  <c r="C2914" i="5"/>
  <c r="B2914" i="5"/>
  <c r="A2914" i="5"/>
  <c r="C2913" i="5"/>
  <c r="B2913" i="5"/>
  <c r="A2913" i="5"/>
  <c r="C2912" i="5"/>
  <c r="B2912" i="5"/>
  <c r="A2912" i="5"/>
  <c r="C2911" i="5"/>
  <c r="B2911" i="5"/>
  <c r="A2911" i="5"/>
  <c r="C2910" i="5"/>
  <c r="B2910" i="5"/>
  <c r="A2910" i="5"/>
  <c r="C2909" i="5"/>
  <c r="B2909" i="5"/>
  <c r="A2909" i="5"/>
  <c r="C2908" i="5"/>
  <c r="B2908" i="5"/>
  <c r="A2908" i="5"/>
  <c r="C2907" i="5"/>
  <c r="B2907" i="5"/>
  <c r="A2907" i="5"/>
  <c r="C2906" i="5"/>
  <c r="B2906" i="5"/>
  <c r="A2906" i="5"/>
  <c r="C2905" i="5"/>
  <c r="B2905" i="5"/>
  <c r="A2905" i="5"/>
  <c r="C2904" i="5"/>
  <c r="B2904" i="5"/>
  <c r="A2904" i="5"/>
  <c r="C2903" i="5"/>
  <c r="B2903" i="5"/>
  <c r="A2903" i="5"/>
  <c r="C2902" i="5"/>
  <c r="B2902" i="5"/>
  <c r="A2902" i="5"/>
  <c r="C2901" i="5"/>
  <c r="B2901" i="5"/>
  <c r="A2901" i="5"/>
  <c r="C2900" i="5"/>
  <c r="B2900" i="5"/>
  <c r="A2900" i="5"/>
  <c r="C2899" i="5"/>
  <c r="B2899" i="5"/>
  <c r="A2899" i="5"/>
  <c r="C2898" i="5"/>
  <c r="B2898" i="5"/>
  <c r="A2898" i="5"/>
  <c r="C2897" i="5"/>
  <c r="B2897" i="5"/>
  <c r="A2897" i="5"/>
  <c r="C2896" i="5"/>
  <c r="B2896" i="5"/>
  <c r="A2896" i="5"/>
  <c r="C2895" i="5"/>
  <c r="B2895" i="5"/>
  <c r="A2895" i="5"/>
  <c r="C2894" i="5"/>
  <c r="B2894" i="5"/>
  <c r="A2894" i="5"/>
  <c r="C2893" i="5"/>
  <c r="B2893" i="5"/>
  <c r="A2893" i="5"/>
  <c r="C2892" i="5"/>
  <c r="B2892" i="5"/>
  <c r="A2892" i="5"/>
  <c r="C2891" i="5"/>
  <c r="B2891" i="5"/>
  <c r="A2891" i="5"/>
  <c r="C2890" i="5"/>
  <c r="B2890" i="5"/>
  <c r="A2890" i="5"/>
  <c r="C2889" i="5"/>
  <c r="B2889" i="5"/>
  <c r="A2889" i="5"/>
  <c r="C2888" i="5"/>
  <c r="B2888" i="5"/>
  <c r="A2888" i="5"/>
  <c r="C2887" i="5"/>
  <c r="B2887" i="5"/>
  <c r="A2887" i="5"/>
  <c r="C2886" i="5"/>
  <c r="B2886" i="5"/>
  <c r="A2886" i="5"/>
  <c r="C2885" i="5"/>
  <c r="B2885" i="5"/>
  <c r="A2885" i="5"/>
  <c r="C2884" i="5"/>
  <c r="B2884" i="5"/>
  <c r="A2884" i="5"/>
  <c r="C2883" i="5"/>
  <c r="B2883" i="5"/>
  <c r="A2883" i="5"/>
  <c r="C2882" i="5"/>
  <c r="B2882" i="5"/>
  <c r="A2882" i="5"/>
  <c r="C2881" i="5"/>
  <c r="B2881" i="5"/>
  <c r="A2881" i="5"/>
  <c r="C2880" i="5"/>
  <c r="B2880" i="5"/>
  <c r="A2880" i="5"/>
  <c r="C2879" i="5"/>
  <c r="B2879" i="5"/>
  <c r="A2879" i="5"/>
  <c r="C2878" i="5"/>
  <c r="B2878" i="5"/>
  <c r="A2878" i="5"/>
  <c r="C2877" i="5"/>
  <c r="B2877" i="5"/>
  <c r="A2877" i="5"/>
  <c r="C2876" i="5"/>
  <c r="B2876" i="5"/>
  <c r="A2876" i="5"/>
  <c r="C2875" i="5"/>
  <c r="B2875" i="5"/>
  <c r="A2875" i="5"/>
  <c r="C2874" i="5"/>
  <c r="B2874" i="5"/>
  <c r="A2874" i="5"/>
  <c r="C2873" i="5"/>
  <c r="B2873" i="5"/>
  <c r="A2873" i="5"/>
  <c r="C2872" i="5"/>
  <c r="B2872" i="5"/>
  <c r="A2872" i="5"/>
  <c r="C2871" i="5"/>
  <c r="B2871" i="5"/>
  <c r="A2871" i="5"/>
  <c r="C2870" i="5"/>
  <c r="B2870" i="5"/>
  <c r="A2870" i="5"/>
  <c r="C2869" i="5"/>
  <c r="B2869" i="5"/>
  <c r="A2869" i="5"/>
  <c r="C2868" i="5"/>
  <c r="B2868" i="5"/>
  <c r="A2868" i="5"/>
  <c r="C2867" i="5"/>
  <c r="B2867" i="5"/>
  <c r="A2867" i="5"/>
  <c r="C2866" i="5"/>
  <c r="B2866" i="5"/>
  <c r="A2866" i="5"/>
  <c r="C2865" i="5"/>
  <c r="B2865" i="5"/>
  <c r="A2865" i="5"/>
  <c r="C2864" i="5"/>
  <c r="B2864" i="5"/>
  <c r="A2864" i="5"/>
  <c r="C2863" i="5"/>
  <c r="B2863" i="5"/>
  <c r="A2863" i="5"/>
  <c r="C2862" i="5"/>
  <c r="B2862" i="5"/>
  <c r="A2862" i="5"/>
  <c r="C2861" i="5"/>
  <c r="B2861" i="5"/>
  <c r="A2861" i="5"/>
  <c r="C2860" i="5"/>
  <c r="B2860" i="5"/>
  <c r="A2860" i="5"/>
  <c r="C2859" i="5"/>
  <c r="B2859" i="5"/>
  <c r="A2859" i="5"/>
  <c r="C2858" i="5"/>
  <c r="B2858" i="5"/>
  <c r="A2858" i="5"/>
  <c r="C2857" i="5"/>
  <c r="B2857" i="5"/>
  <c r="A2857" i="5"/>
  <c r="C2856" i="5"/>
  <c r="B2856" i="5"/>
  <c r="A2856" i="5"/>
  <c r="C2855" i="5"/>
  <c r="B2855" i="5"/>
  <c r="A2855" i="5"/>
  <c r="C2854" i="5"/>
  <c r="B2854" i="5"/>
  <c r="A2854" i="5"/>
  <c r="C2853" i="5"/>
  <c r="B2853" i="5"/>
  <c r="A2853" i="5"/>
  <c r="C2852" i="5"/>
  <c r="B2852" i="5"/>
  <c r="A2852" i="5"/>
  <c r="C2851" i="5"/>
  <c r="B2851" i="5"/>
  <c r="A2851" i="5"/>
  <c r="C2850" i="5"/>
  <c r="B2850" i="5"/>
  <c r="A2850" i="5"/>
  <c r="C2849" i="5"/>
  <c r="B2849" i="5"/>
  <c r="A2849" i="5"/>
  <c r="C2848" i="5"/>
  <c r="B2848" i="5"/>
  <c r="A2848" i="5"/>
  <c r="C2847" i="5"/>
  <c r="B2847" i="5"/>
  <c r="A2847" i="5"/>
  <c r="C2846" i="5"/>
  <c r="B2846" i="5"/>
  <c r="A2846" i="5"/>
  <c r="C2845" i="5"/>
  <c r="B2845" i="5"/>
  <c r="A2845" i="5"/>
  <c r="C2844" i="5"/>
  <c r="B2844" i="5"/>
  <c r="A2844" i="5"/>
  <c r="C2843" i="5"/>
  <c r="B2843" i="5"/>
  <c r="A2843" i="5"/>
  <c r="C2842" i="5"/>
  <c r="B2842" i="5"/>
  <c r="A2842" i="5"/>
  <c r="C2841" i="5"/>
  <c r="B2841" i="5"/>
  <c r="A2841" i="5"/>
  <c r="C2840" i="5"/>
  <c r="B2840" i="5"/>
  <c r="A2840" i="5"/>
  <c r="C2839" i="5"/>
  <c r="B2839" i="5"/>
  <c r="A2839" i="5"/>
  <c r="C2838" i="5"/>
  <c r="B2838" i="5"/>
  <c r="A2838" i="5"/>
  <c r="C2837" i="5"/>
  <c r="B2837" i="5"/>
  <c r="A2837" i="5"/>
  <c r="C2836" i="5"/>
  <c r="B2836" i="5"/>
  <c r="A2836" i="5"/>
  <c r="C2835" i="5"/>
  <c r="B2835" i="5"/>
  <c r="A2835" i="5"/>
  <c r="C2834" i="5"/>
  <c r="B2834" i="5"/>
  <c r="A2834" i="5"/>
  <c r="C2833" i="5"/>
  <c r="B2833" i="5"/>
  <c r="A2833" i="5"/>
  <c r="C2832" i="5"/>
  <c r="B2832" i="5"/>
  <c r="A2832" i="5"/>
  <c r="C2831" i="5"/>
  <c r="B2831" i="5"/>
  <c r="A2831" i="5"/>
  <c r="C2830" i="5"/>
  <c r="B2830" i="5"/>
  <c r="A2830" i="5"/>
  <c r="C2829" i="5"/>
  <c r="B2829" i="5"/>
  <c r="A2829" i="5"/>
  <c r="C2828" i="5"/>
  <c r="B2828" i="5"/>
  <c r="A2828" i="5"/>
  <c r="C2827" i="5"/>
  <c r="B2827" i="5"/>
  <c r="A2827" i="5"/>
  <c r="C2826" i="5"/>
  <c r="B2826" i="5"/>
  <c r="A2826" i="5"/>
  <c r="C2825" i="5"/>
  <c r="B2825" i="5"/>
  <c r="A2825" i="5"/>
  <c r="C2824" i="5"/>
  <c r="B2824" i="5"/>
  <c r="A2824" i="5"/>
  <c r="C2823" i="5"/>
  <c r="B2823" i="5"/>
  <c r="A2823" i="5"/>
  <c r="C2822" i="5"/>
  <c r="B2822" i="5"/>
  <c r="A2822" i="5"/>
  <c r="C2821" i="5"/>
  <c r="B2821" i="5"/>
  <c r="A2821" i="5"/>
  <c r="C2820" i="5"/>
  <c r="B2820" i="5"/>
  <c r="A2820" i="5"/>
  <c r="C2819" i="5"/>
  <c r="B2819" i="5"/>
  <c r="A2819" i="5"/>
  <c r="C2818" i="5"/>
  <c r="B2818" i="5"/>
  <c r="A2818" i="5"/>
  <c r="C2817" i="5"/>
  <c r="B2817" i="5"/>
  <c r="A2817" i="5"/>
  <c r="C2816" i="5"/>
  <c r="B2816" i="5"/>
  <c r="A2816" i="5"/>
  <c r="C2815" i="5"/>
  <c r="B2815" i="5"/>
  <c r="A2815" i="5"/>
  <c r="C2814" i="5"/>
  <c r="B2814" i="5"/>
  <c r="A2814" i="5"/>
  <c r="C2813" i="5"/>
  <c r="B2813" i="5"/>
  <c r="A2813" i="5"/>
  <c r="C2812" i="5"/>
  <c r="B2812" i="5"/>
  <c r="A2812" i="5"/>
  <c r="C2811" i="5"/>
  <c r="B2811" i="5"/>
  <c r="A2811" i="5"/>
  <c r="C2810" i="5"/>
  <c r="B2810" i="5"/>
  <c r="A2810" i="5"/>
  <c r="C2809" i="5"/>
  <c r="B2809" i="5"/>
  <c r="A2809" i="5"/>
  <c r="C2808" i="5"/>
  <c r="B2808" i="5"/>
  <c r="A2808" i="5"/>
  <c r="C2807" i="5"/>
  <c r="B2807" i="5"/>
  <c r="A2807" i="5"/>
  <c r="C2806" i="5"/>
  <c r="B2806" i="5"/>
  <c r="A2806" i="5"/>
  <c r="C2805" i="5"/>
  <c r="B2805" i="5"/>
  <c r="A2805" i="5"/>
  <c r="C2804" i="5"/>
  <c r="B2804" i="5"/>
  <c r="A2804" i="5"/>
  <c r="C2803" i="5"/>
  <c r="B2803" i="5"/>
  <c r="A2803" i="5"/>
  <c r="C2802" i="5"/>
  <c r="B2802" i="5"/>
  <c r="A2802" i="5"/>
  <c r="C2801" i="5"/>
  <c r="B2801" i="5"/>
  <c r="A2801" i="5"/>
  <c r="C2800" i="5"/>
  <c r="B2800" i="5"/>
  <c r="A2800" i="5"/>
  <c r="C2799" i="5"/>
  <c r="B2799" i="5"/>
  <c r="A2799" i="5"/>
  <c r="C2798" i="5"/>
  <c r="B2798" i="5"/>
  <c r="A2798" i="5"/>
  <c r="C2797" i="5"/>
  <c r="B2797" i="5"/>
  <c r="A2797" i="5"/>
  <c r="C2796" i="5"/>
  <c r="B2796" i="5"/>
  <c r="A2796" i="5"/>
  <c r="C2795" i="5"/>
  <c r="B2795" i="5"/>
  <c r="A2795" i="5"/>
  <c r="C2794" i="5"/>
  <c r="B2794" i="5"/>
  <c r="A2794" i="5"/>
  <c r="C2793" i="5"/>
  <c r="B2793" i="5"/>
  <c r="A2793" i="5"/>
  <c r="C2792" i="5"/>
  <c r="B2792" i="5"/>
  <c r="A2792" i="5"/>
  <c r="C2791" i="5"/>
  <c r="B2791" i="5"/>
  <c r="A2791" i="5"/>
  <c r="C2790" i="5"/>
  <c r="B2790" i="5"/>
  <c r="A2790" i="5"/>
  <c r="C2789" i="5"/>
  <c r="B2789" i="5"/>
  <c r="A2789" i="5"/>
  <c r="C2788" i="5"/>
  <c r="B2788" i="5"/>
  <c r="A2788" i="5"/>
  <c r="C2787" i="5"/>
  <c r="B2787" i="5"/>
  <c r="A2787" i="5"/>
  <c r="C2786" i="5"/>
  <c r="B2786" i="5"/>
  <c r="A2786" i="5"/>
  <c r="C2785" i="5"/>
  <c r="B2785" i="5"/>
  <c r="A2785" i="5"/>
  <c r="C2784" i="5"/>
  <c r="B2784" i="5"/>
  <c r="A2784" i="5"/>
  <c r="C2783" i="5"/>
  <c r="B2783" i="5"/>
  <c r="A2783" i="5"/>
  <c r="C2782" i="5"/>
  <c r="B2782" i="5"/>
  <c r="A2782" i="5"/>
  <c r="C2781" i="5"/>
  <c r="B2781" i="5"/>
  <c r="A2781" i="5"/>
  <c r="C2780" i="5"/>
  <c r="B2780" i="5"/>
  <c r="A2780" i="5"/>
  <c r="C2779" i="5"/>
  <c r="B2779" i="5"/>
  <c r="A2779" i="5"/>
  <c r="C2778" i="5"/>
  <c r="B2778" i="5"/>
  <c r="A2778" i="5"/>
  <c r="C2777" i="5"/>
  <c r="B2777" i="5"/>
  <c r="A2777" i="5"/>
  <c r="C2776" i="5"/>
  <c r="B2776" i="5"/>
  <c r="A2776" i="5"/>
  <c r="C2775" i="5"/>
  <c r="B2775" i="5"/>
  <c r="A2775" i="5"/>
  <c r="C2774" i="5"/>
  <c r="B2774" i="5"/>
  <c r="A2774" i="5"/>
  <c r="C2773" i="5"/>
  <c r="B2773" i="5"/>
  <c r="A2773" i="5"/>
  <c r="C2772" i="5"/>
  <c r="B2772" i="5"/>
  <c r="A2772" i="5"/>
  <c r="C2771" i="5"/>
  <c r="B2771" i="5"/>
  <c r="A2771" i="5"/>
  <c r="C2770" i="5"/>
  <c r="B2770" i="5"/>
  <c r="A2770" i="5"/>
  <c r="C2769" i="5"/>
  <c r="B2769" i="5"/>
  <c r="A2769" i="5"/>
  <c r="C2768" i="5"/>
  <c r="B2768" i="5"/>
  <c r="A2768" i="5"/>
  <c r="C2767" i="5"/>
  <c r="B2767" i="5"/>
  <c r="A2767" i="5"/>
  <c r="C2766" i="5"/>
  <c r="B2766" i="5"/>
  <c r="A2766" i="5"/>
  <c r="C2765" i="5"/>
  <c r="B2765" i="5"/>
  <c r="A2765" i="5"/>
  <c r="C2764" i="5"/>
  <c r="B2764" i="5"/>
  <c r="A2764" i="5"/>
  <c r="C2763" i="5"/>
  <c r="B2763" i="5"/>
  <c r="A2763" i="5"/>
  <c r="C2762" i="5"/>
  <c r="B2762" i="5"/>
  <c r="A2762" i="5"/>
  <c r="C2761" i="5"/>
  <c r="B2761" i="5"/>
  <c r="A2761" i="5"/>
  <c r="C2760" i="5"/>
  <c r="B2760" i="5"/>
  <c r="A2760" i="5"/>
  <c r="C2759" i="5"/>
  <c r="B2759" i="5"/>
  <c r="A2759" i="5"/>
  <c r="C2758" i="5"/>
  <c r="B2758" i="5"/>
  <c r="A2758" i="5"/>
  <c r="C2757" i="5"/>
  <c r="B2757" i="5"/>
  <c r="A2757" i="5"/>
  <c r="C2756" i="5"/>
  <c r="B2756" i="5"/>
  <c r="A2756" i="5"/>
  <c r="C2755" i="5"/>
  <c r="B2755" i="5"/>
  <c r="A2755" i="5"/>
  <c r="C2754" i="5"/>
  <c r="B2754" i="5"/>
  <c r="A2754" i="5"/>
  <c r="C2753" i="5"/>
  <c r="B2753" i="5"/>
  <c r="A2753" i="5"/>
  <c r="C2752" i="5"/>
  <c r="B2752" i="5"/>
  <c r="A2752" i="5"/>
  <c r="C2751" i="5"/>
  <c r="B2751" i="5"/>
  <c r="A2751" i="5"/>
  <c r="C2750" i="5"/>
  <c r="B2750" i="5"/>
  <c r="A2750" i="5"/>
  <c r="C2749" i="5"/>
  <c r="B2749" i="5"/>
  <c r="A2749" i="5"/>
  <c r="C2748" i="5"/>
  <c r="B2748" i="5"/>
  <c r="A2748" i="5"/>
  <c r="C2747" i="5"/>
  <c r="B2747" i="5"/>
  <c r="A2747" i="5"/>
  <c r="C2746" i="5"/>
  <c r="B2746" i="5"/>
  <c r="A2746" i="5"/>
  <c r="C2745" i="5"/>
  <c r="B2745" i="5"/>
  <c r="A2745" i="5"/>
  <c r="C2744" i="5"/>
  <c r="B2744" i="5"/>
  <c r="A2744" i="5"/>
  <c r="C2743" i="5"/>
  <c r="B2743" i="5"/>
  <c r="A2743" i="5"/>
  <c r="C2742" i="5"/>
  <c r="B2742" i="5"/>
  <c r="A2742" i="5"/>
  <c r="C2741" i="5"/>
  <c r="B2741" i="5"/>
  <c r="A2741" i="5"/>
  <c r="C2740" i="5"/>
  <c r="B2740" i="5"/>
  <c r="A2740" i="5"/>
  <c r="C2739" i="5"/>
  <c r="B2739" i="5"/>
  <c r="A2739" i="5"/>
  <c r="C2738" i="5"/>
  <c r="B2738" i="5"/>
  <c r="A2738" i="5"/>
  <c r="C2737" i="5"/>
  <c r="B2737" i="5"/>
  <c r="A2737" i="5"/>
  <c r="C2736" i="5"/>
  <c r="B2736" i="5"/>
  <c r="A2736" i="5"/>
  <c r="C2735" i="5"/>
  <c r="B2735" i="5"/>
  <c r="A2735" i="5"/>
  <c r="C2734" i="5"/>
  <c r="B2734" i="5"/>
  <c r="A2734" i="5"/>
  <c r="C2733" i="5"/>
  <c r="B2733" i="5"/>
  <c r="A2733" i="5"/>
  <c r="C2732" i="5"/>
  <c r="B2732" i="5"/>
  <c r="A2732" i="5"/>
  <c r="C2731" i="5"/>
  <c r="B2731" i="5"/>
  <c r="A2731" i="5"/>
  <c r="C2730" i="5"/>
  <c r="B2730" i="5"/>
  <c r="A2730" i="5"/>
  <c r="C2729" i="5"/>
  <c r="B2729" i="5"/>
  <c r="A2729" i="5"/>
  <c r="C2728" i="5"/>
  <c r="B2728" i="5"/>
  <c r="A2728" i="5"/>
  <c r="C2727" i="5"/>
  <c r="B2727" i="5"/>
  <c r="A2727" i="5"/>
  <c r="C2726" i="5"/>
  <c r="B2726" i="5"/>
  <c r="A2726" i="5"/>
  <c r="C2725" i="5"/>
  <c r="B2725" i="5"/>
  <c r="A2725" i="5"/>
  <c r="C2724" i="5"/>
  <c r="B2724" i="5"/>
  <c r="A2724" i="5"/>
  <c r="C2723" i="5"/>
  <c r="B2723" i="5"/>
  <c r="A2723" i="5"/>
  <c r="C2722" i="5"/>
  <c r="B2722" i="5"/>
  <c r="A2722" i="5"/>
  <c r="C2721" i="5"/>
  <c r="B2721" i="5"/>
  <c r="A2721" i="5"/>
  <c r="C2720" i="5"/>
  <c r="B2720" i="5"/>
  <c r="A2720" i="5"/>
  <c r="C2719" i="5"/>
  <c r="B2719" i="5"/>
  <c r="A2719" i="5"/>
  <c r="C2718" i="5"/>
  <c r="B2718" i="5"/>
  <c r="A2718" i="5"/>
  <c r="C2717" i="5"/>
  <c r="B2717" i="5"/>
  <c r="A2717" i="5"/>
  <c r="C2716" i="5"/>
  <c r="B2716" i="5"/>
  <c r="A2716" i="5"/>
  <c r="C2715" i="5"/>
  <c r="B2715" i="5"/>
  <c r="A2715" i="5"/>
  <c r="C2714" i="5"/>
  <c r="B2714" i="5"/>
  <c r="A2714" i="5"/>
  <c r="C2713" i="5"/>
  <c r="B2713" i="5"/>
  <c r="A2713" i="5"/>
  <c r="C2712" i="5"/>
  <c r="B2712" i="5"/>
  <c r="A2712" i="5"/>
  <c r="C2711" i="5"/>
  <c r="B2711" i="5"/>
  <c r="A2711" i="5"/>
  <c r="C2710" i="5"/>
  <c r="B2710" i="5"/>
  <c r="A2710" i="5"/>
  <c r="C2709" i="5"/>
  <c r="B2709" i="5"/>
  <c r="A2709" i="5"/>
  <c r="C2708" i="5"/>
  <c r="B2708" i="5"/>
  <c r="A2708" i="5"/>
  <c r="C2707" i="5"/>
  <c r="B2707" i="5"/>
  <c r="A2707" i="5"/>
  <c r="C2706" i="5"/>
  <c r="B2706" i="5"/>
  <c r="A2706" i="5"/>
  <c r="C2705" i="5"/>
  <c r="B2705" i="5"/>
  <c r="A2705" i="5"/>
  <c r="C2704" i="5"/>
  <c r="B2704" i="5"/>
  <c r="A2704" i="5"/>
  <c r="C2703" i="5"/>
  <c r="B2703" i="5"/>
  <c r="A2703" i="5"/>
  <c r="C2702" i="5"/>
  <c r="B2702" i="5"/>
  <c r="A2702" i="5"/>
  <c r="C2701" i="5"/>
  <c r="B2701" i="5"/>
  <c r="A2701" i="5"/>
  <c r="C2700" i="5"/>
  <c r="B2700" i="5"/>
  <c r="A2700" i="5"/>
  <c r="C2699" i="5"/>
  <c r="B2699" i="5"/>
  <c r="A2699" i="5"/>
  <c r="C2698" i="5"/>
  <c r="B2698" i="5"/>
  <c r="A2698" i="5"/>
  <c r="C2697" i="5"/>
  <c r="B2697" i="5"/>
  <c r="A2697" i="5"/>
  <c r="C2696" i="5"/>
  <c r="B2696" i="5"/>
  <c r="A2696" i="5"/>
  <c r="C2695" i="5"/>
  <c r="B2695" i="5"/>
  <c r="A2695" i="5"/>
  <c r="C2694" i="5"/>
  <c r="B2694" i="5"/>
  <c r="A2694" i="5"/>
  <c r="C2693" i="5"/>
  <c r="B2693" i="5"/>
  <c r="A2693" i="5"/>
  <c r="C2692" i="5"/>
  <c r="B2692" i="5"/>
  <c r="A2692" i="5"/>
  <c r="C2691" i="5"/>
  <c r="B2691" i="5"/>
  <c r="A2691" i="5"/>
  <c r="C2690" i="5"/>
  <c r="B2690" i="5"/>
  <c r="A2690" i="5"/>
  <c r="C2689" i="5"/>
  <c r="B2689" i="5"/>
  <c r="A2689" i="5"/>
  <c r="C2688" i="5"/>
  <c r="B2688" i="5"/>
  <c r="A2688" i="5"/>
  <c r="C2687" i="5"/>
  <c r="B2687" i="5"/>
  <c r="A2687" i="5"/>
  <c r="C2686" i="5"/>
  <c r="B2686" i="5"/>
  <c r="A2686" i="5"/>
  <c r="C2685" i="5"/>
  <c r="B2685" i="5"/>
  <c r="A2685" i="5"/>
  <c r="C2684" i="5"/>
  <c r="B2684" i="5"/>
  <c r="A2684" i="5"/>
  <c r="C2683" i="5"/>
  <c r="B2683" i="5"/>
  <c r="A2683" i="5"/>
  <c r="C2682" i="5"/>
  <c r="B2682" i="5"/>
  <c r="A2682" i="5"/>
  <c r="C2681" i="5"/>
  <c r="B2681" i="5"/>
  <c r="A2681" i="5"/>
  <c r="C2680" i="5"/>
  <c r="B2680" i="5"/>
  <c r="A2680" i="5"/>
  <c r="C2679" i="5"/>
  <c r="B2679" i="5"/>
  <c r="A2679" i="5"/>
  <c r="C2678" i="5"/>
  <c r="B2678" i="5"/>
  <c r="A2678" i="5"/>
  <c r="C2677" i="5"/>
  <c r="B2677" i="5"/>
  <c r="A2677" i="5"/>
  <c r="C2676" i="5"/>
  <c r="B2676" i="5"/>
  <c r="A2676" i="5"/>
  <c r="C2675" i="5"/>
  <c r="B2675" i="5"/>
  <c r="A2675" i="5"/>
  <c r="C2674" i="5"/>
  <c r="B2674" i="5"/>
  <c r="A2674" i="5"/>
  <c r="C2673" i="5"/>
  <c r="B2673" i="5"/>
  <c r="A2673" i="5"/>
  <c r="C2672" i="5"/>
  <c r="B2672" i="5"/>
  <c r="A2672" i="5"/>
  <c r="C2671" i="5"/>
  <c r="B2671" i="5"/>
  <c r="A2671" i="5"/>
  <c r="C2670" i="5"/>
  <c r="B2670" i="5"/>
  <c r="A2670" i="5"/>
  <c r="C2669" i="5"/>
  <c r="B2669" i="5"/>
  <c r="A2669" i="5"/>
  <c r="C2668" i="5"/>
  <c r="B2668" i="5"/>
  <c r="A2668" i="5"/>
  <c r="C2667" i="5"/>
  <c r="B2667" i="5"/>
  <c r="A2667" i="5"/>
  <c r="C2666" i="5"/>
  <c r="B2666" i="5"/>
  <c r="A2666" i="5"/>
  <c r="C2665" i="5"/>
  <c r="B2665" i="5"/>
  <c r="A2665" i="5"/>
  <c r="C2664" i="5"/>
  <c r="B2664" i="5"/>
  <c r="A2664" i="5"/>
  <c r="C2663" i="5"/>
  <c r="B2663" i="5"/>
  <c r="A2663" i="5"/>
  <c r="C2662" i="5"/>
  <c r="B2662" i="5"/>
  <c r="A2662" i="5"/>
  <c r="C2661" i="5"/>
  <c r="B2661" i="5"/>
  <c r="A2661" i="5"/>
  <c r="C2660" i="5"/>
  <c r="B2660" i="5"/>
  <c r="A2660" i="5"/>
  <c r="C2659" i="5"/>
  <c r="B2659" i="5"/>
  <c r="A2659" i="5"/>
  <c r="C2658" i="5"/>
  <c r="B2658" i="5"/>
  <c r="A2658" i="5"/>
  <c r="C2657" i="5"/>
  <c r="B2657" i="5"/>
  <c r="A2657" i="5"/>
  <c r="C2656" i="5"/>
  <c r="B2656" i="5"/>
  <c r="A2656" i="5"/>
  <c r="C2655" i="5"/>
  <c r="B2655" i="5"/>
  <c r="A2655" i="5"/>
  <c r="C2654" i="5"/>
  <c r="B2654" i="5"/>
  <c r="A2654" i="5"/>
  <c r="C2653" i="5"/>
  <c r="B2653" i="5"/>
  <c r="A2653" i="5"/>
  <c r="C2652" i="5"/>
  <c r="B2652" i="5"/>
  <c r="A2652" i="5"/>
  <c r="C2651" i="5"/>
  <c r="B2651" i="5"/>
  <c r="A2651" i="5"/>
  <c r="C2650" i="5"/>
  <c r="B2650" i="5"/>
  <c r="A2650" i="5"/>
  <c r="C2649" i="5"/>
  <c r="B2649" i="5"/>
  <c r="A2649" i="5"/>
  <c r="C2648" i="5"/>
  <c r="B2648" i="5"/>
  <c r="A2648" i="5"/>
  <c r="C2647" i="5"/>
  <c r="B2647" i="5"/>
  <c r="A2647" i="5"/>
  <c r="C2646" i="5"/>
  <c r="B2646" i="5"/>
  <c r="A2646" i="5"/>
  <c r="C2645" i="5"/>
  <c r="B2645" i="5"/>
  <c r="A2645" i="5"/>
  <c r="C2644" i="5"/>
  <c r="B2644" i="5"/>
  <c r="A2644" i="5"/>
  <c r="C2643" i="5"/>
  <c r="B2643" i="5"/>
  <c r="A2643" i="5"/>
  <c r="C2642" i="5"/>
  <c r="B2642" i="5"/>
  <c r="A2642" i="5"/>
  <c r="C2641" i="5"/>
  <c r="B2641" i="5"/>
  <c r="A2641" i="5"/>
  <c r="C2640" i="5"/>
  <c r="B2640" i="5"/>
  <c r="A2640" i="5"/>
  <c r="C2639" i="5"/>
  <c r="B2639" i="5"/>
  <c r="A2639" i="5"/>
  <c r="C2638" i="5"/>
  <c r="B2638" i="5"/>
  <c r="A2638" i="5"/>
  <c r="C2637" i="5"/>
  <c r="B2637" i="5"/>
  <c r="A2637" i="5"/>
  <c r="C2636" i="5"/>
  <c r="B2636" i="5"/>
  <c r="A2636" i="5"/>
  <c r="C2635" i="5"/>
  <c r="B2635" i="5"/>
  <c r="A2635" i="5"/>
  <c r="C2634" i="5"/>
  <c r="B2634" i="5"/>
  <c r="A2634" i="5"/>
  <c r="C2633" i="5"/>
  <c r="B2633" i="5"/>
  <c r="A2633" i="5"/>
  <c r="C2632" i="5"/>
  <c r="B2632" i="5"/>
  <c r="A2632" i="5"/>
  <c r="C2631" i="5"/>
  <c r="B2631" i="5"/>
  <c r="A2631" i="5"/>
  <c r="C2630" i="5"/>
  <c r="B2630" i="5"/>
  <c r="A2630" i="5"/>
  <c r="C2629" i="5"/>
  <c r="B2629" i="5"/>
  <c r="A2629" i="5"/>
  <c r="C2628" i="5"/>
  <c r="B2628" i="5"/>
  <c r="A2628" i="5"/>
  <c r="C2627" i="5"/>
  <c r="B2627" i="5"/>
  <c r="A2627" i="5"/>
  <c r="C2626" i="5"/>
  <c r="B2626" i="5"/>
  <c r="A2626" i="5"/>
  <c r="C2625" i="5"/>
  <c r="B2625" i="5"/>
  <c r="A2625" i="5"/>
  <c r="C2624" i="5"/>
  <c r="B2624" i="5"/>
  <c r="A2624" i="5"/>
  <c r="C2623" i="5"/>
  <c r="B2623" i="5"/>
  <c r="A2623" i="5"/>
  <c r="C2622" i="5"/>
  <c r="B2622" i="5"/>
  <c r="A2622" i="5"/>
  <c r="C2621" i="5"/>
  <c r="B2621" i="5"/>
  <c r="A2621" i="5"/>
  <c r="C2620" i="5"/>
  <c r="B2620" i="5"/>
  <c r="A2620" i="5"/>
  <c r="C2619" i="5"/>
  <c r="B2619" i="5"/>
  <c r="A2619" i="5"/>
  <c r="C2618" i="5"/>
  <c r="B2618" i="5"/>
  <c r="A2618" i="5"/>
  <c r="C2617" i="5"/>
  <c r="B2617" i="5"/>
  <c r="A2617" i="5"/>
  <c r="C2616" i="5"/>
  <c r="B2616" i="5"/>
  <c r="A2616" i="5"/>
  <c r="C2615" i="5"/>
  <c r="B2615" i="5"/>
  <c r="A2615" i="5"/>
  <c r="C2614" i="5"/>
  <c r="B2614" i="5"/>
  <c r="A2614" i="5"/>
  <c r="C2613" i="5"/>
  <c r="B2613" i="5"/>
  <c r="A2613" i="5"/>
  <c r="C2612" i="5"/>
  <c r="B2612" i="5"/>
  <c r="A2612" i="5"/>
  <c r="C2611" i="5"/>
  <c r="B2611" i="5"/>
  <c r="A2611" i="5"/>
  <c r="C2610" i="5"/>
  <c r="B2610" i="5"/>
  <c r="A2610" i="5"/>
  <c r="C2609" i="5"/>
  <c r="B2609" i="5"/>
  <c r="A2609" i="5"/>
  <c r="C2608" i="5"/>
  <c r="B2608" i="5"/>
  <c r="A2608" i="5"/>
  <c r="C2607" i="5"/>
  <c r="B2607" i="5"/>
  <c r="A2607" i="5"/>
  <c r="C2606" i="5"/>
  <c r="B2606" i="5"/>
  <c r="A2606" i="5"/>
  <c r="C2605" i="5"/>
  <c r="B2605" i="5"/>
  <c r="A2605" i="5"/>
  <c r="C2604" i="5"/>
  <c r="B2604" i="5"/>
  <c r="A2604" i="5"/>
  <c r="C2603" i="5"/>
  <c r="B2603" i="5"/>
  <c r="A2603" i="5"/>
  <c r="C2602" i="5"/>
  <c r="B2602" i="5"/>
  <c r="A2602" i="5"/>
  <c r="C2601" i="5"/>
  <c r="B2601" i="5"/>
  <c r="A2601" i="5"/>
  <c r="C2600" i="5"/>
  <c r="B2600" i="5"/>
  <c r="A2600" i="5"/>
  <c r="C2599" i="5"/>
  <c r="B2599" i="5"/>
  <c r="A2599" i="5"/>
  <c r="C2598" i="5"/>
  <c r="B2598" i="5"/>
  <c r="A2598" i="5"/>
  <c r="C2597" i="5"/>
  <c r="B2597" i="5"/>
  <c r="A2597" i="5"/>
  <c r="C2596" i="5"/>
  <c r="B2596" i="5"/>
  <c r="A2596" i="5"/>
  <c r="C2595" i="5"/>
  <c r="B2595" i="5"/>
  <c r="A2595" i="5"/>
  <c r="C2594" i="5"/>
  <c r="B2594" i="5"/>
  <c r="A2594" i="5"/>
  <c r="C2593" i="5"/>
  <c r="B2593" i="5"/>
  <c r="A2593" i="5"/>
  <c r="C2592" i="5"/>
  <c r="B2592" i="5"/>
  <c r="A2592" i="5"/>
  <c r="C2591" i="5"/>
  <c r="B2591" i="5"/>
  <c r="A2591" i="5"/>
  <c r="C2590" i="5"/>
  <c r="B2590" i="5"/>
  <c r="A2590" i="5"/>
  <c r="C2589" i="5"/>
  <c r="B2589" i="5"/>
  <c r="A2589" i="5"/>
  <c r="C2588" i="5"/>
  <c r="B2588" i="5"/>
  <c r="A2588" i="5"/>
  <c r="C2587" i="5"/>
  <c r="B2587" i="5"/>
  <c r="A2587" i="5"/>
  <c r="C2586" i="5"/>
  <c r="B2586" i="5"/>
  <c r="A2586" i="5"/>
  <c r="C2585" i="5"/>
  <c r="B2585" i="5"/>
  <c r="A2585" i="5"/>
  <c r="C2584" i="5"/>
  <c r="B2584" i="5"/>
  <c r="A2584" i="5"/>
  <c r="C2583" i="5"/>
  <c r="B2583" i="5"/>
  <c r="A2583" i="5"/>
  <c r="C2582" i="5"/>
  <c r="B2582" i="5"/>
  <c r="A2582" i="5"/>
  <c r="C2581" i="5"/>
  <c r="B2581" i="5"/>
  <c r="A2581" i="5"/>
  <c r="C2580" i="5"/>
  <c r="B2580" i="5"/>
  <c r="A2580" i="5"/>
  <c r="C2579" i="5"/>
  <c r="B2579" i="5"/>
  <c r="A2579" i="5"/>
  <c r="C2578" i="5"/>
  <c r="B2578" i="5"/>
  <c r="A2578" i="5"/>
  <c r="C2577" i="5"/>
  <c r="B2577" i="5"/>
  <c r="A2577" i="5"/>
  <c r="C2576" i="5"/>
  <c r="B2576" i="5"/>
  <c r="A2576" i="5"/>
  <c r="C2575" i="5"/>
  <c r="B2575" i="5"/>
  <c r="A2575" i="5"/>
  <c r="C2574" i="5"/>
  <c r="B2574" i="5"/>
  <c r="A2574" i="5"/>
  <c r="C2573" i="5"/>
  <c r="B2573" i="5"/>
  <c r="A2573" i="5"/>
  <c r="C2572" i="5"/>
  <c r="B2572" i="5"/>
  <c r="A2572" i="5"/>
  <c r="C2571" i="5"/>
  <c r="B2571" i="5"/>
  <c r="A2571" i="5"/>
  <c r="C2570" i="5"/>
  <c r="B2570" i="5"/>
  <c r="A2570" i="5"/>
  <c r="C2569" i="5"/>
  <c r="B2569" i="5"/>
  <c r="A2569" i="5"/>
  <c r="C2568" i="5"/>
  <c r="B2568" i="5"/>
  <c r="A2568" i="5"/>
  <c r="C2567" i="5"/>
  <c r="B2567" i="5"/>
  <c r="A2567" i="5"/>
  <c r="C2566" i="5"/>
  <c r="B2566" i="5"/>
  <c r="A2566" i="5"/>
  <c r="C2565" i="5"/>
  <c r="B2565" i="5"/>
  <c r="A2565" i="5"/>
  <c r="C2564" i="5"/>
  <c r="B2564" i="5"/>
  <c r="A2564" i="5"/>
  <c r="C2563" i="5"/>
  <c r="B2563" i="5"/>
  <c r="A2563" i="5"/>
  <c r="C2562" i="5"/>
  <c r="B2562" i="5"/>
  <c r="A2562" i="5"/>
  <c r="C2561" i="5"/>
  <c r="B2561" i="5"/>
  <c r="A2561" i="5"/>
  <c r="C2560" i="5"/>
  <c r="B2560" i="5"/>
  <c r="A2560" i="5"/>
  <c r="C2559" i="5"/>
  <c r="B2559" i="5"/>
  <c r="A2559" i="5"/>
  <c r="C2558" i="5"/>
  <c r="B2558" i="5"/>
  <c r="A2558" i="5"/>
  <c r="C2557" i="5"/>
  <c r="B2557" i="5"/>
  <c r="A2557" i="5"/>
  <c r="C2556" i="5"/>
  <c r="B2556" i="5"/>
  <c r="A2556" i="5"/>
  <c r="C2555" i="5"/>
  <c r="B2555" i="5"/>
  <c r="A2555" i="5"/>
  <c r="C2554" i="5"/>
  <c r="B2554" i="5"/>
  <c r="A2554" i="5"/>
  <c r="C2553" i="5"/>
  <c r="B2553" i="5"/>
  <c r="A2553" i="5"/>
  <c r="C2552" i="5"/>
  <c r="B2552" i="5"/>
  <c r="A2552" i="5"/>
  <c r="C2551" i="5"/>
  <c r="B2551" i="5"/>
  <c r="A2551" i="5"/>
  <c r="C2550" i="5"/>
  <c r="B2550" i="5"/>
  <c r="A2550" i="5"/>
  <c r="C2549" i="5"/>
  <c r="B2549" i="5"/>
  <c r="A2549" i="5"/>
  <c r="C2548" i="5"/>
  <c r="B2548" i="5"/>
  <c r="A2548" i="5"/>
  <c r="C2547" i="5"/>
  <c r="B2547" i="5"/>
  <c r="A2547" i="5"/>
  <c r="C2546" i="5"/>
  <c r="B2546" i="5"/>
  <c r="A2546" i="5"/>
  <c r="C2545" i="5"/>
  <c r="B2545" i="5"/>
  <c r="A2545" i="5"/>
  <c r="C2544" i="5"/>
  <c r="B2544" i="5"/>
  <c r="A2544" i="5"/>
  <c r="C2543" i="5"/>
  <c r="B2543" i="5"/>
  <c r="A2543" i="5"/>
  <c r="C2542" i="5"/>
  <c r="B2542" i="5"/>
  <c r="A2542" i="5"/>
  <c r="C2541" i="5"/>
  <c r="B2541" i="5"/>
  <c r="A2541" i="5"/>
  <c r="C2540" i="5"/>
  <c r="B2540" i="5"/>
  <c r="A2540" i="5"/>
  <c r="C2539" i="5"/>
  <c r="B2539" i="5"/>
  <c r="A2539" i="5"/>
  <c r="C2538" i="5"/>
  <c r="B2538" i="5"/>
  <c r="A2538" i="5"/>
  <c r="C2537" i="5"/>
  <c r="B2537" i="5"/>
  <c r="A2537" i="5"/>
  <c r="C2536" i="5"/>
  <c r="B2536" i="5"/>
  <c r="A2536" i="5"/>
  <c r="C2535" i="5"/>
  <c r="B2535" i="5"/>
  <c r="A2535" i="5"/>
  <c r="C2534" i="5"/>
  <c r="B2534" i="5"/>
  <c r="A2534" i="5"/>
  <c r="C2533" i="5"/>
  <c r="B2533" i="5"/>
  <c r="A2533" i="5"/>
  <c r="C2532" i="5"/>
  <c r="B2532" i="5"/>
  <c r="A2532" i="5"/>
  <c r="C2531" i="5"/>
  <c r="B2531" i="5"/>
  <c r="A2531" i="5"/>
  <c r="C2530" i="5"/>
  <c r="B2530" i="5"/>
  <c r="A2530" i="5"/>
  <c r="C2529" i="5"/>
  <c r="B2529" i="5"/>
  <c r="A2529" i="5"/>
  <c r="C2528" i="5"/>
  <c r="B2528" i="5"/>
  <c r="A2528" i="5"/>
  <c r="C2527" i="5"/>
  <c r="B2527" i="5"/>
  <c r="A2527" i="5"/>
  <c r="C2526" i="5"/>
  <c r="B2526" i="5"/>
  <c r="A2526" i="5"/>
  <c r="C2525" i="5"/>
  <c r="B2525" i="5"/>
  <c r="A2525" i="5"/>
  <c r="C2524" i="5"/>
  <c r="B2524" i="5"/>
  <c r="A2524" i="5"/>
  <c r="C2523" i="5"/>
  <c r="B2523" i="5"/>
  <c r="A2523" i="5"/>
  <c r="C2522" i="5"/>
  <c r="B2522" i="5"/>
  <c r="A2522" i="5"/>
  <c r="C2521" i="5"/>
  <c r="B2521" i="5"/>
  <c r="A2521" i="5"/>
  <c r="C2520" i="5"/>
  <c r="B2520" i="5"/>
  <c r="A2520" i="5"/>
  <c r="C2519" i="5"/>
  <c r="B2519" i="5"/>
  <c r="A2519" i="5"/>
  <c r="C2518" i="5"/>
  <c r="B2518" i="5"/>
  <c r="A2518" i="5"/>
  <c r="C2517" i="5"/>
  <c r="B2517" i="5"/>
  <c r="A2517" i="5"/>
  <c r="C2516" i="5"/>
  <c r="B2516" i="5"/>
  <c r="A2516" i="5"/>
  <c r="C2515" i="5"/>
  <c r="B2515" i="5"/>
  <c r="A2515" i="5"/>
  <c r="C2514" i="5"/>
  <c r="B2514" i="5"/>
  <c r="A2514" i="5"/>
  <c r="C2513" i="5"/>
  <c r="B2513" i="5"/>
  <c r="A2513" i="5"/>
  <c r="C2512" i="5"/>
  <c r="B2512" i="5"/>
  <c r="A2512" i="5"/>
  <c r="C2511" i="5"/>
  <c r="B2511" i="5"/>
  <c r="A2511" i="5"/>
  <c r="C2510" i="5"/>
  <c r="B2510" i="5"/>
  <c r="A2510" i="5"/>
  <c r="C2509" i="5"/>
  <c r="B2509" i="5"/>
  <c r="A2509" i="5"/>
  <c r="C2508" i="5"/>
  <c r="B2508" i="5"/>
  <c r="A2508" i="5"/>
  <c r="C2507" i="5"/>
  <c r="B2507" i="5"/>
  <c r="A2507" i="5"/>
  <c r="C2506" i="5"/>
  <c r="B2506" i="5"/>
  <c r="A2506" i="5"/>
  <c r="C2505" i="5"/>
  <c r="B2505" i="5"/>
  <c r="A2505" i="5"/>
  <c r="C2504" i="5"/>
  <c r="B2504" i="5"/>
  <c r="A2504" i="5"/>
  <c r="C2503" i="5"/>
  <c r="B2503" i="5"/>
  <c r="A2503" i="5"/>
  <c r="C2502" i="5"/>
  <c r="B2502" i="5"/>
  <c r="A2502" i="5"/>
  <c r="C2501" i="5"/>
  <c r="B2501" i="5"/>
  <c r="A2501" i="5"/>
  <c r="C2500" i="5"/>
  <c r="B2500" i="5"/>
  <c r="A2500" i="5"/>
  <c r="C2499" i="5"/>
  <c r="B2499" i="5"/>
  <c r="A2499" i="5"/>
  <c r="C2498" i="5"/>
  <c r="B2498" i="5"/>
  <c r="A2498" i="5"/>
  <c r="C2497" i="5"/>
  <c r="B2497" i="5"/>
  <c r="A2497" i="5"/>
  <c r="C2496" i="5"/>
  <c r="B2496" i="5"/>
  <c r="A2496" i="5"/>
  <c r="C2495" i="5"/>
  <c r="B2495" i="5"/>
  <c r="A2495" i="5"/>
  <c r="C2494" i="5"/>
  <c r="B2494" i="5"/>
  <c r="A2494" i="5"/>
  <c r="C2493" i="5"/>
  <c r="B2493" i="5"/>
  <c r="A2493" i="5"/>
  <c r="C2492" i="5"/>
  <c r="B2492" i="5"/>
  <c r="A2492" i="5"/>
  <c r="C2491" i="5"/>
  <c r="B2491" i="5"/>
  <c r="A2491" i="5"/>
  <c r="C2490" i="5"/>
  <c r="B2490" i="5"/>
  <c r="A2490" i="5"/>
  <c r="C2489" i="5"/>
  <c r="B2489" i="5"/>
  <c r="A2489" i="5"/>
  <c r="C2488" i="5"/>
  <c r="B2488" i="5"/>
  <c r="A2488" i="5"/>
  <c r="C2487" i="5"/>
  <c r="B2487" i="5"/>
  <c r="A2487" i="5"/>
  <c r="C2486" i="5"/>
  <c r="B2486" i="5"/>
  <c r="A2486" i="5"/>
  <c r="C2485" i="5"/>
  <c r="B2485" i="5"/>
  <c r="A2485" i="5"/>
  <c r="C2484" i="5"/>
  <c r="B2484" i="5"/>
  <c r="A2484" i="5"/>
  <c r="C2483" i="5"/>
  <c r="B2483" i="5"/>
  <c r="A2483" i="5"/>
  <c r="C2482" i="5"/>
  <c r="B2482" i="5"/>
  <c r="A2482" i="5"/>
  <c r="C2481" i="5"/>
  <c r="B2481" i="5"/>
  <c r="A2481" i="5"/>
  <c r="C2480" i="5"/>
  <c r="B2480" i="5"/>
  <c r="A2480" i="5"/>
  <c r="C2479" i="5"/>
  <c r="B2479" i="5"/>
  <c r="A2479" i="5"/>
  <c r="C2478" i="5"/>
  <c r="B2478" i="5"/>
  <c r="A2478" i="5"/>
  <c r="C2477" i="5"/>
  <c r="B2477" i="5"/>
  <c r="A2477" i="5"/>
  <c r="C2476" i="5"/>
  <c r="B2476" i="5"/>
  <c r="A2476" i="5"/>
  <c r="C2475" i="5"/>
  <c r="B2475" i="5"/>
  <c r="A2475" i="5"/>
  <c r="C2474" i="5"/>
  <c r="B2474" i="5"/>
  <c r="A2474" i="5"/>
  <c r="C2473" i="5"/>
  <c r="B2473" i="5"/>
  <c r="A2473" i="5"/>
  <c r="C2472" i="5"/>
  <c r="B2472" i="5"/>
  <c r="A2472" i="5"/>
  <c r="C2471" i="5"/>
  <c r="B2471" i="5"/>
  <c r="A2471" i="5"/>
  <c r="C2470" i="5"/>
  <c r="B2470" i="5"/>
  <c r="A2470" i="5"/>
  <c r="C2469" i="5"/>
  <c r="B2469" i="5"/>
  <c r="A2469" i="5"/>
  <c r="C2468" i="5"/>
  <c r="B2468" i="5"/>
  <c r="A2468" i="5"/>
  <c r="C2467" i="5"/>
  <c r="B2467" i="5"/>
  <c r="A2467" i="5"/>
  <c r="C2466" i="5"/>
  <c r="B2466" i="5"/>
  <c r="A2466" i="5"/>
  <c r="C2465" i="5"/>
  <c r="B2465" i="5"/>
  <c r="A2465" i="5"/>
  <c r="C2464" i="5"/>
  <c r="B2464" i="5"/>
  <c r="A2464" i="5"/>
  <c r="C2463" i="5"/>
  <c r="B2463" i="5"/>
  <c r="A2463" i="5"/>
  <c r="C2462" i="5"/>
  <c r="B2462" i="5"/>
  <c r="A2462" i="5"/>
  <c r="C2461" i="5"/>
  <c r="B2461" i="5"/>
  <c r="A2461" i="5"/>
  <c r="C2460" i="5"/>
  <c r="B2460" i="5"/>
  <c r="A2460" i="5"/>
  <c r="C2459" i="5"/>
  <c r="B2459" i="5"/>
  <c r="A2459" i="5"/>
  <c r="C2458" i="5"/>
  <c r="B2458" i="5"/>
  <c r="A2458" i="5"/>
  <c r="C2457" i="5"/>
  <c r="B2457" i="5"/>
  <c r="A2457" i="5"/>
  <c r="C2456" i="5"/>
  <c r="B2456" i="5"/>
  <c r="A2456" i="5"/>
  <c r="C2455" i="5"/>
  <c r="B2455" i="5"/>
  <c r="A2455" i="5"/>
  <c r="C2454" i="5"/>
  <c r="B2454" i="5"/>
  <c r="A2454" i="5"/>
  <c r="C2453" i="5"/>
  <c r="B2453" i="5"/>
  <c r="A2453" i="5"/>
  <c r="C2452" i="5"/>
  <c r="B2452" i="5"/>
  <c r="A2452" i="5"/>
  <c r="C2451" i="5"/>
  <c r="B2451" i="5"/>
  <c r="A2451" i="5"/>
  <c r="C2450" i="5"/>
  <c r="B2450" i="5"/>
  <c r="A2450" i="5"/>
  <c r="C2449" i="5"/>
  <c r="B2449" i="5"/>
  <c r="A2449" i="5"/>
  <c r="C2448" i="5"/>
  <c r="B2448" i="5"/>
  <c r="A2448" i="5"/>
  <c r="C2447" i="5"/>
  <c r="B2447" i="5"/>
  <c r="A2447" i="5"/>
  <c r="C2446" i="5"/>
  <c r="B2446" i="5"/>
  <c r="A2446" i="5"/>
  <c r="C2445" i="5"/>
  <c r="B2445" i="5"/>
  <c r="A2445" i="5"/>
  <c r="C2444" i="5"/>
  <c r="B2444" i="5"/>
  <c r="A2444" i="5"/>
  <c r="C2443" i="5"/>
  <c r="B2443" i="5"/>
  <c r="A2443" i="5"/>
  <c r="C2442" i="5"/>
  <c r="B2442" i="5"/>
  <c r="A2442" i="5"/>
  <c r="C2441" i="5"/>
  <c r="B2441" i="5"/>
  <c r="A2441" i="5"/>
  <c r="C2440" i="5"/>
  <c r="B2440" i="5"/>
  <c r="A2440" i="5"/>
  <c r="C2439" i="5"/>
  <c r="B2439" i="5"/>
  <c r="A2439" i="5"/>
  <c r="C2438" i="5"/>
  <c r="B2438" i="5"/>
  <c r="A2438" i="5"/>
  <c r="C2437" i="5"/>
  <c r="B2437" i="5"/>
  <c r="A2437" i="5"/>
  <c r="C2436" i="5"/>
  <c r="B2436" i="5"/>
  <c r="A2436" i="5"/>
  <c r="C2435" i="5"/>
  <c r="B2435" i="5"/>
  <c r="A2435" i="5"/>
  <c r="C2434" i="5"/>
  <c r="B2434" i="5"/>
  <c r="A2434" i="5"/>
  <c r="C2433" i="5"/>
  <c r="B2433" i="5"/>
  <c r="A2433" i="5"/>
  <c r="C2432" i="5"/>
  <c r="B2432" i="5"/>
  <c r="A2432" i="5"/>
  <c r="C2431" i="5"/>
  <c r="B2431" i="5"/>
  <c r="A2431" i="5"/>
  <c r="C2430" i="5"/>
  <c r="B2430" i="5"/>
  <c r="A2430" i="5"/>
  <c r="C2429" i="5"/>
  <c r="B2429" i="5"/>
  <c r="A2429" i="5"/>
  <c r="C2428" i="5"/>
  <c r="B2428" i="5"/>
  <c r="A2428" i="5"/>
  <c r="C2427" i="5"/>
  <c r="B2427" i="5"/>
  <c r="A2427" i="5"/>
  <c r="C2426" i="5"/>
  <c r="B2426" i="5"/>
  <c r="A2426" i="5"/>
  <c r="C2425" i="5"/>
  <c r="B2425" i="5"/>
  <c r="A2425" i="5"/>
  <c r="C2424" i="5"/>
  <c r="B2424" i="5"/>
  <c r="A2424" i="5"/>
  <c r="C2423" i="5"/>
  <c r="B2423" i="5"/>
  <c r="A2423" i="5"/>
  <c r="C2422" i="5"/>
  <c r="B2422" i="5"/>
  <c r="A2422" i="5"/>
  <c r="C2421" i="5"/>
  <c r="B2421" i="5"/>
  <c r="A2421" i="5"/>
  <c r="C2420" i="5"/>
  <c r="B2420" i="5"/>
  <c r="A2420" i="5"/>
  <c r="C2419" i="5"/>
  <c r="B2419" i="5"/>
  <c r="A2419" i="5"/>
  <c r="C2418" i="5"/>
  <c r="B2418" i="5"/>
  <c r="A2418" i="5"/>
  <c r="C2417" i="5"/>
  <c r="B2417" i="5"/>
  <c r="A2417" i="5"/>
  <c r="C2416" i="5"/>
  <c r="B2416" i="5"/>
  <c r="A2416" i="5"/>
  <c r="C2415" i="5"/>
  <c r="B2415" i="5"/>
  <c r="A2415" i="5"/>
  <c r="C2414" i="5"/>
  <c r="B2414" i="5"/>
  <c r="A2414" i="5"/>
  <c r="C2413" i="5"/>
  <c r="B2413" i="5"/>
  <c r="A2413" i="5"/>
  <c r="C2412" i="5"/>
  <c r="B2412" i="5"/>
  <c r="A2412" i="5"/>
  <c r="C2411" i="5"/>
  <c r="B2411" i="5"/>
  <c r="A2411" i="5"/>
  <c r="C2410" i="5"/>
  <c r="B2410" i="5"/>
  <c r="A2410" i="5"/>
  <c r="C2409" i="5"/>
  <c r="B2409" i="5"/>
  <c r="A2409" i="5"/>
  <c r="C2408" i="5"/>
  <c r="B2408" i="5"/>
  <c r="A2408" i="5"/>
  <c r="C2407" i="5"/>
  <c r="B2407" i="5"/>
  <c r="A2407" i="5"/>
  <c r="C2406" i="5"/>
  <c r="B2406" i="5"/>
  <c r="A2406" i="5"/>
  <c r="C2405" i="5"/>
  <c r="B2405" i="5"/>
  <c r="A2405" i="5"/>
  <c r="C2404" i="5"/>
  <c r="B2404" i="5"/>
  <c r="A2404" i="5"/>
  <c r="C2403" i="5"/>
  <c r="B2403" i="5"/>
  <c r="A2403" i="5"/>
  <c r="C2402" i="5"/>
  <c r="B2402" i="5"/>
  <c r="A2402" i="5"/>
  <c r="C2401" i="5"/>
  <c r="B2401" i="5"/>
  <c r="A2401" i="5"/>
  <c r="C2400" i="5"/>
  <c r="B2400" i="5"/>
  <c r="A2400" i="5"/>
  <c r="C2399" i="5"/>
  <c r="B2399" i="5"/>
  <c r="A2399" i="5"/>
  <c r="C2398" i="5"/>
  <c r="B2398" i="5"/>
  <c r="A2398" i="5"/>
  <c r="C2397" i="5"/>
  <c r="B2397" i="5"/>
  <c r="A2397" i="5"/>
  <c r="C2396" i="5"/>
  <c r="B2396" i="5"/>
  <c r="A2396" i="5"/>
  <c r="C2395" i="5"/>
  <c r="B2395" i="5"/>
  <c r="A2395" i="5"/>
  <c r="C2394" i="5"/>
  <c r="B2394" i="5"/>
  <c r="A2394" i="5"/>
  <c r="C2393" i="5"/>
  <c r="B2393" i="5"/>
  <c r="A2393" i="5"/>
  <c r="C2392" i="5"/>
  <c r="B2392" i="5"/>
  <c r="A2392" i="5"/>
  <c r="C2391" i="5"/>
  <c r="B2391" i="5"/>
  <c r="A2391" i="5"/>
  <c r="C2390" i="5"/>
  <c r="B2390" i="5"/>
  <c r="A2390" i="5"/>
  <c r="C2389" i="5"/>
  <c r="B2389" i="5"/>
  <c r="A2389" i="5"/>
  <c r="C2388" i="5"/>
  <c r="B2388" i="5"/>
  <c r="A2388" i="5"/>
  <c r="C2387" i="5"/>
  <c r="B2387" i="5"/>
  <c r="A2387" i="5"/>
  <c r="C2386" i="5"/>
  <c r="B2386" i="5"/>
  <c r="A2386" i="5"/>
  <c r="C2385" i="5"/>
  <c r="B2385" i="5"/>
  <c r="A2385" i="5"/>
  <c r="C2384" i="5"/>
  <c r="B2384" i="5"/>
  <c r="A2384" i="5"/>
  <c r="C2383" i="5"/>
  <c r="B2383" i="5"/>
  <c r="A2383" i="5"/>
  <c r="C2382" i="5"/>
  <c r="B2382" i="5"/>
  <c r="A2382" i="5"/>
  <c r="C2381" i="5"/>
  <c r="B2381" i="5"/>
  <c r="A2381" i="5"/>
  <c r="C2380" i="5"/>
  <c r="B2380" i="5"/>
  <c r="A2380" i="5"/>
  <c r="C2379" i="5"/>
  <c r="B2379" i="5"/>
  <c r="A2379" i="5"/>
  <c r="C2378" i="5"/>
  <c r="B2378" i="5"/>
  <c r="A2378" i="5"/>
  <c r="C2377" i="5"/>
  <c r="B2377" i="5"/>
  <c r="A2377" i="5"/>
  <c r="C2376" i="5"/>
  <c r="B2376" i="5"/>
  <c r="A2376" i="5"/>
  <c r="C2375" i="5"/>
  <c r="B2375" i="5"/>
  <c r="A2375" i="5"/>
  <c r="C2374" i="5"/>
  <c r="B2374" i="5"/>
  <c r="A2374" i="5"/>
  <c r="C2373" i="5"/>
  <c r="B2373" i="5"/>
  <c r="A2373" i="5"/>
  <c r="C2372" i="5"/>
  <c r="B2372" i="5"/>
  <c r="A2372" i="5"/>
  <c r="C2371" i="5"/>
  <c r="B2371" i="5"/>
  <c r="A2371" i="5"/>
  <c r="C2370" i="5"/>
  <c r="B2370" i="5"/>
  <c r="A2370" i="5"/>
  <c r="C2369" i="5"/>
  <c r="B2369" i="5"/>
  <c r="A2369" i="5"/>
  <c r="C2368" i="5"/>
  <c r="B2368" i="5"/>
  <c r="A2368" i="5"/>
  <c r="C2367" i="5"/>
  <c r="B2367" i="5"/>
  <c r="A2367" i="5"/>
  <c r="C2366" i="5"/>
  <c r="B2366" i="5"/>
  <c r="A2366" i="5"/>
  <c r="C2365" i="5"/>
  <c r="B2365" i="5"/>
  <c r="A2365" i="5"/>
  <c r="C2364" i="5"/>
  <c r="B2364" i="5"/>
  <c r="A2364" i="5"/>
  <c r="C2363" i="5"/>
  <c r="B2363" i="5"/>
  <c r="A2363" i="5"/>
  <c r="C2362" i="5"/>
  <c r="B2362" i="5"/>
  <c r="A2362" i="5"/>
  <c r="C2361" i="5"/>
  <c r="B2361" i="5"/>
  <c r="A2361" i="5"/>
  <c r="C2360" i="5"/>
  <c r="B2360" i="5"/>
  <c r="A2360" i="5"/>
  <c r="C2359" i="5"/>
  <c r="B2359" i="5"/>
  <c r="A2359" i="5"/>
  <c r="C2358" i="5"/>
  <c r="B2358" i="5"/>
  <c r="A2358" i="5"/>
  <c r="C2357" i="5"/>
  <c r="B2357" i="5"/>
  <c r="A2357" i="5"/>
  <c r="C2356" i="5"/>
  <c r="B2356" i="5"/>
  <c r="A2356" i="5"/>
  <c r="C2355" i="5"/>
  <c r="B2355" i="5"/>
  <c r="A2355" i="5"/>
  <c r="C2354" i="5"/>
  <c r="B2354" i="5"/>
  <c r="A2354" i="5"/>
  <c r="C2353" i="5"/>
  <c r="B2353" i="5"/>
  <c r="A2353" i="5"/>
  <c r="C2352" i="5"/>
  <c r="B2352" i="5"/>
  <c r="A2352" i="5"/>
  <c r="C2351" i="5"/>
  <c r="B2351" i="5"/>
  <c r="A2351" i="5"/>
  <c r="C2350" i="5"/>
  <c r="B2350" i="5"/>
  <c r="A2350" i="5"/>
  <c r="C2349" i="5"/>
  <c r="B2349" i="5"/>
  <c r="A2349" i="5"/>
  <c r="C2348" i="5"/>
  <c r="B2348" i="5"/>
  <c r="A2348" i="5"/>
  <c r="C2347" i="5"/>
  <c r="B2347" i="5"/>
  <c r="A2347" i="5"/>
  <c r="C2346" i="5"/>
  <c r="B2346" i="5"/>
  <c r="A2346" i="5"/>
  <c r="C2345" i="5"/>
  <c r="B2345" i="5"/>
  <c r="A2345" i="5"/>
  <c r="C2344" i="5"/>
  <c r="B2344" i="5"/>
  <c r="A2344" i="5"/>
  <c r="C2343" i="5"/>
  <c r="B2343" i="5"/>
  <c r="A2343" i="5"/>
  <c r="C2342" i="5"/>
  <c r="B2342" i="5"/>
  <c r="A2342" i="5"/>
  <c r="C2341" i="5"/>
  <c r="B2341" i="5"/>
  <c r="A2341" i="5"/>
  <c r="C2340" i="5"/>
  <c r="B2340" i="5"/>
  <c r="A2340" i="5"/>
  <c r="C2339" i="5"/>
  <c r="B2339" i="5"/>
  <c r="A2339" i="5"/>
  <c r="C2338" i="5"/>
  <c r="B2338" i="5"/>
  <c r="A2338" i="5"/>
  <c r="C2337" i="5"/>
  <c r="B2337" i="5"/>
  <c r="A2337" i="5"/>
  <c r="C2336" i="5"/>
  <c r="B2336" i="5"/>
  <c r="A2336" i="5"/>
  <c r="C2335" i="5"/>
  <c r="B2335" i="5"/>
  <c r="A2335" i="5"/>
  <c r="C2334" i="5"/>
  <c r="B2334" i="5"/>
  <c r="A2334" i="5"/>
  <c r="C2333" i="5"/>
  <c r="B2333" i="5"/>
  <c r="A2333" i="5"/>
  <c r="C2332" i="5"/>
  <c r="B2332" i="5"/>
  <c r="A2332" i="5"/>
  <c r="C2331" i="5"/>
  <c r="B2331" i="5"/>
  <c r="A2331" i="5"/>
  <c r="C2330" i="5"/>
  <c r="B2330" i="5"/>
  <c r="A2330" i="5"/>
  <c r="C2329" i="5"/>
  <c r="B2329" i="5"/>
  <c r="A2329" i="5"/>
  <c r="C2328" i="5"/>
  <c r="B2328" i="5"/>
  <c r="A2328" i="5"/>
  <c r="C2327" i="5"/>
  <c r="B2327" i="5"/>
  <c r="A2327" i="5"/>
  <c r="C2326" i="5"/>
  <c r="B2326" i="5"/>
  <c r="A2326" i="5"/>
  <c r="C2325" i="5"/>
  <c r="B2325" i="5"/>
  <c r="A2325" i="5"/>
  <c r="C2324" i="5"/>
  <c r="B2324" i="5"/>
  <c r="A2324" i="5"/>
  <c r="C2323" i="5"/>
  <c r="B2323" i="5"/>
  <c r="A2323" i="5"/>
  <c r="C2322" i="5"/>
  <c r="B2322" i="5"/>
  <c r="A2322" i="5"/>
  <c r="C2321" i="5"/>
  <c r="B2321" i="5"/>
  <c r="A2321" i="5"/>
  <c r="C2320" i="5"/>
  <c r="B2320" i="5"/>
  <c r="A2320" i="5"/>
  <c r="C2319" i="5"/>
  <c r="B2319" i="5"/>
  <c r="A2319" i="5"/>
  <c r="C2318" i="5"/>
  <c r="B2318" i="5"/>
  <c r="A2318" i="5"/>
  <c r="C2317" i="5"/>
  <c r="B2317" i="5"/>
  <c r="A2317" i="5"/>
  <c r="C2316" i="5"/>
  <c r="B2316" i="5"/>
  <c r="A2316" i="5"/>
  <c r="C2315" i="5"/>
  <c r="B2315" i="5"/>
  <c r="A2315" i="5"/>
  <c r="C2314" i="5"/>
  <c r="B2314" i="5"/>
  <c r="A2314" i="5"/>
  <c r="C2313" i="5"/>
  <c r="B2313" i="5"/>
  <c r="A2313" i="5"/>
  <c r="C2312" i="5"/>
  <c r="B2312" i="5"/>
  <c r="A2312" i="5"/>
  <c r="C2311" i="5"/>
  <c r="B2311" i="5"/>
  <c r="A2311" i="5"/>
  <c r="C2310" i="5"/>
  <c r="B2310" i="5"/>
  <c r="A2310" i="5"/>
  <c r="C2309" i="5"/>
  <c r="B2309" i="5"/>
  <c r="A2309" i="5"/>
  <c r="C2308" i="5"/>
  <c r="B2308" i="5"/>
  <c r="A2308" i="5"/>
  <c r="C2307" i="5"/>
  <c r="B2307" i="5"/>
  <c r="A2307" i="5"/>
  <c r="C2306" i="5"/>
  <c r="B2306" i="5"/>
  <c r="A2306" i="5"/>
  <c r="C2305" i="5"/>
  <c r="B2305" i="5"/>
  <c r="A2305" i="5"/>
  <c r="C2304" i="5"/>
  <c r="B2304" i="5"/>
  <c r="A2304" i="5"/>
  <c r="C2303" i="5"/>
  <c r="B2303" i="5"/>
  <c r="A2303" i="5"/>
  <c r="C2302" i="5"/>
  <c r="B2302" i="5"/>
  <c r="A2302" i="5"/>
  <c r="C2301" i="5"/>
  <c r="B2301" i="5"/>
  <c r="A2301" i="5"/>
  <c r="C2300" i="5"/>
  <c r="B2300" i="5"/>
  <c r="A2300" i="5"/>
  <c r="C2299" i="5"/>
  <c r="B2299" i="5"/>
  <c r="A2299" i="5"/>
  <c r="C2298" i="5"/>
  <c r="B2298" i="5"/>
  <c r="A2298" i="5"/>
  <c r="C2297" i="5"/>
  <c r="B2297" i="5"/>
  <c r="A2297" i="5"/>
  <c r="C2296" i="5"/>
  <c r="B2296" i="5"/>
  <c r="A2296" i="5"/>
  <c r="C2295" i="5"/>
  <c r="B2295" i="5"/>
  <c r="A2295" i="5"/>
  <c r="C2294" i="5"/>
  <c r="B2294" i="5"/>
  <c r="A2294" i="5"/>
  <c r="C2293" i="5"/>
  <c r="B2293" i="5"/>
  <c r="A2293" i="5"/>
  <c r="C2292" i="5"/>
  <c r="B2292" i="5"/>
  <c r="A2292" i="5"/>
  <c r="C2291" i="5"/>
  <c r="B2291" i="5"/>
  <c r="A2291" i="5"/>
  <c r="C2290" i="5"/>
  <c r="B2290" i="5"/>
  <c r="A2290" i="5"/>
  <c r="C2289" i="5"/>
  <c r="B2289" i="5"/>
  <c r="A2289" i="5"/>
  <c r="C2288" i="5"/>
  <c r="B2288" i="5"/>
  <c r="A2288" i="5"/>
  <c r="C2287" i="5"/>
  <c r="B2287" i="5"/>
  <c r="A2287" i="5"/>
  <c r="C2286" i="5"/>
  <c r="B2286" i="5"/>
  <c r="A2286" i="5"/>
  <c r="C2285" i="5"/>
  <c r="B2285" i="5"/>
  <c r="A2285" i="5"/>
  <c r="C2284" i="5"/>
  <c r="B2284" i="5"/>
  <c r="A2284" i="5"/>
  <c r="C2283" i="5"/>
  <c r="B2283" i="5"/>
  <c r="A2283" i="5"/>
  <c r="C2282" i="5"/>
  <c r="B2282" i="5"/>
  <c r="A2282" i="5"/>
  <c r="C2281" i="5"/>
  <c r="B2281" i="5"/>
  <c r="A2281" i="5"/>
  <c r="C2280" i="5"/>
  <c r="B2280" i="5"/>
  <c r="A2280" i="5"/>
  <c r="C2279" i="5"/>
  <c r="B2279" i="5"/>
  <c r="A2279" i="5"/>
  <c r="C2278" i="5"/>
  <c r="B2278" i="5"/>
  <c r="A2278" i="5"/>
  <c r="C2277" i="5"/>
  <c r="B2277" i="5"/>
  <c r="A2277" i="5"/>
  <c r="C2276" i="5"/>
  <c r="B2276" i="5"/>
  <c r="A2276" i="5"/>
  <c r="C2275" i="5"/>
  <c r="B2275" i="5"/>
  <c r="A2275" i="5"/>
  <c r="C2274" i="5"/>
  <c r="B2274" i="5"/>
  <c r="A2274" i="5"/>
  <c r="C2273" i="5"/>
  <c r="B2273" i="5"/>
  <c r="A2273" i="5"/>
  <c r="C2272" i="5"/>
  <c r="B2272" i="5"/>
  <c r="A2272" i="5"/>
  <c r="C2271" i="5"/>
  <c r="B2271" i="5"/>
  <c r="A2271" i="5"/>
  <c r="C2270" i="5"/>
  <c r="B2270" i="5"/>
  <c r="A2270" i="5"/>
  <c r="C2269" i="5"/>
  <c r="B2269" i="5"/>
  <c r="A2269" i="5"/>
  <c r="C2268" i="5"/>
  <c r="B2268" i="5"/>
  <c r="A2268" i="5"/>
  <c r="C2267" i="5"/>
  <c r="B2267" i="5"/>
  <c r="A2267" i="5"/>
  <c r="C2266" i="5"/>
  <c r="B2266" i="5"/>
  <c r="A2266" i="5"/>
  <c r="C2265" i="5"/>
  <c r="B2265" i="5"/>
  <c r="A2265" i="5"/>
  <c r="C2264" i="5"/>
  <c r="B2264" i="5"/>
  <c r="A2264" i="5"/>
  <c r="C2263" i="5"/>
  <c r="B2263" i="5"/>
  <c r="A2263" i="5"/>
  <c r="C2262" i="5"/>
  <c r="B2262" i="5"/>
  <c r="A2262" i="5"/>
  <c r="C2261" i="5"/>
  <c r="B2261" i="5"/>
  <c r="A2261" i="5"/>
  <c r="C2260" i="5"/>
  <c r="B2260" i="5"/>
  <c r="A2260" i="5"/>
  <c r="C2259" i="5"/>
  <c r="B2259" i="5"/>
  <c r="A2259" i="5"/>
  <c r="C2258" i="5"/>
  <c r="B2258" i="5"/>
  <c r="A2258" i="5"/>
  <c r="C2257" i="5"/>
  <c r="B2257" i="5"/>
  <c r="A2257" i="5"/>
  <c r="C2256" i="5"/>
  <c r="B2256" i="5"/>
  <c r="A2256" i="5"/>
  <c r="C2255" i="5"/>
  <c r="B2255" i="5"/>
  <c r="A2255" i="5"/>
  <c r="C2254" i="5"/>
  <c r="B2254" i="5"/>
  <c r="A2254" i="5"/>
  <c r="C2253" i="5"/>
  <c r="B2253" i="5"/>
  <c r="A2253" i="5"/>
  <c r="C2252" i="5"/>
  <c r="B2252" i="5"/>
  <c r="A2252" i="5"/>
  <c r="C2251" i="5"/>
  <c r="B2251" i="5"/>
  <c r="A2251" i="5"/>
  <c r="C2250" i="5"/>
  <c r="B2250" i="5"/>
  <c r="A2250" i="5"/>
  <c r="C2249" i="5"/>
  <c r="B2249" i="5"/>
  <c r="A2249" i="5"/>
  <c r="C2248" i="5"/>
  <c r="B2248" i="5"/>
  <c r="A2248" i="5"/>
  <c r="C2247" i="5"/>
  <c r="B2247" i="5"/>
  <c r="A2247" i="5"/>
  <c r="C2246" i="5"/>
  <c r="B2246" i="5"/>
  <c r="A2246" i="5"/>
  <c r="C2245" i="5"/>
  <c r="B2245" i="5"/>
  <c r="A2245" i="5"/>
  <c r="C2244" i="5"/>
  <c r="B2244" i="5"/>
  <c r="A2244" i="5"/>
  <c r="C2243" i="5"/>
  <c r="B2243" i="5"/>
  <c r="A2243" i="5"/>
  <c r="C2242" i="5"/>
  <c r="B2242" i="5"/>
  <c r="A2242" i="5"/>
  <c r="C2241" i="5"/>
  <c r="B2241" i="5"/>
  <c r="A2241" i="5"/>
  <c r="C2240" i="5"/>
  <c r="B2240" i="5"/>
  <c r="A2240" i="5"/>
  <c r="C2239" i="5"/>
  <c r="B2239" i="5"/>
  <c r="A2239" i="5"/>
  <c r="C2238" i="5"/>
  <c r="B2238" i="5"/>
  <c r="A2238" i="5"/>
  <c r="C2237" i="5"/>
  <c r="B2237" i="5"/>
  <c r="A2237" i="5"/>
  <c r="C2236" i="5"/>
  <c r="B2236" i="5"/>
  <c r="A2236" i="5"/>
  <c r="C2235" i="5"/>
  <c r="B2235" i="5"/>
  <c r="A2235" i="5"/>
  <c r="C2234" i="5"/>
  <c r="B2234" i="5"/>
  <c r="A2234" i="5"/>
  <c r="C2233" i="5"/>
  <c r="B2233" i="5"/>
  <c r="A2233" i="5"/>
  <c r="C2232" i="5"/>
  <c r="B2232" i="5"/>
  <c r="A2232" i="5"/>
  <c r="C2231" i="5"/>
  <c r="B2231" i="5"/>
  <c r="A2231" i="5"/>
  <c r="C2230" i="5"/>
  <c r="B2230" i="5"/>
  <c r="A2230" i="5"/>
  <c r="C2229" i="5"/>
  <c r="B2229" i="5"/>
  <c r="A2229" i="5"/>
  <c r="C2228" i="5"/>
  <c r="B2228" i="5"/>
  <c r="A2228" i="5"/>
  <c r="C2227" i="5"/>
  <c r="B2227" i="5"/>
  <c r="A2227" i="5"/>
  <c r="C2226" i="5"/>
  <c r="B2226" i="5"/>
  <c r="A2226" i="5"/>
  <c r="C2225" i="5"/>
  <c r="B2225" i="5"/>
  <c r="A2225" i="5"/>
  <c r="C2224" i="5"/>
  <c r="B2224" i="5"/>
  <c r="A2224" i="5"/>
  <c r="C2223" i="5"/>
  <c r="B2223" i="5"/>
  <c r="A2223" i="5"/>
  <c r="C2222" i="5"/>
  <c r="B2222" i="5"/>
  <c r="A2222" i="5"/>
  <c r="C2221" i="5"/>
  <c r="B2221" i="5"/>
  <c r="A2221" i="5"/>
  <c r="C2220" i="5"/>
  <c r="B2220" i="5"/>
  <c r="A2220" i="5"/>
  <c r="C2219" i="5"/>
  <c r="B2219" i="5"/>
  <c r="A2219" i="5"/>
  <c r="C2218" i="5"/>
  <c r="B2218" i="5"/>
  <c r="A2218" i="5"/>
  <c r="C2217" i="5"/>
  <c r="B2217" i="5"/>
  <c r="A2217" i="5"/>
  <c r="C2216" i="5"/>
  <c r="B2216" i="5"/>
  <c r="A2216" i="5"/>
  <c r="C2215" i="5"/>
  <c r="B2215" i="5"/>
  <c r="A2215" i="5"/>
  <c r="C2214" i="5"/>
  <c r="B2214" i="5"/>
  <c r="A2214" i="5"/>
  <c r="C2213" i="5"/>
  <c r="B2213" i="5"/>
  <c r="A2213" i="5"/>
  <c r="C2212" i="5"/>
  <c r="B2212" i="5"/>
  <c r="A2212" i="5"/>
  <c r="C2211" i="5"/>
  <c r="B2211" i="5"/>
  <c r="A2211" i="5"/>
  <c r="C2210" i="5"/>
  <c r="B2210" i="5"/>
  <c r="A2210" i="5"/>
  <c r="C2209" i="5"/>
  <c r="B2209" i="5"/>
  <c r="A2209" i="5"/>
  <c r="C2208" i="5"/>
  <c r="B2208" i="5"/>
  <c r="A2208" i="5"/>
  <c r="C2207" i="5"/>
  <c r="B2207" i="5"/>
  <c r="A2207" i="5"/>
  <c r="C2206" i="5"/>
  <c r="B2206" i="5"/>
  <c r="A2206" i="5"/>
  <c r="C2205" i="5"/>
  <c r="B2205" i="5"/>
  <c r="A2205" i="5"/>
  <c r="C2204" i="5"/>
  <c r="B2204" i="5"/>
  <c r="A2204" i="5"/>
  <c r="C2203" i="5"/>
  <c r="B2203" i="5"/>
  <c r="A2203" i="5"/>
  <c r="C2202" i="5"/>
  <c r="B2202" i="5"/>
  <c r="A2202" i="5"/>
  <c r="C2201" i="5"/>
  <c r="B2201" i="5"/>
  <c r="A2201" i="5"/>
  <c r="C2200" i="5"/>
  <c r="B2200" i="5"/>
  <c r="A2200" i="5"/>
  <c r="C2199" i="5"/>
  <c r="B2199" i="5"/>
  <c r="A2199" i="5"/>
  <c r="C2198" i="5"/>
  <c r="B2198" i="5"/>
  <c r="A2198" i="5"/>
  <c r="C2197" i="5"/>
  <c r="B2197" i="5"/>
  <c r="A2197" i="5"/>
  <c r="C2196" i="5"/>
  <c r="B2196" i="5"/>
  <c r="A2196" i="5"/>
  <c r="C2195" i="5"/>
  <c r="B2195" i="5"/>
  <c r="A2195" i="5"/>
  <c r="C2194" i="5"/>
  <c r="B2194" i="5"/>
  <c r="A2194" i="5"/>
  <c r="C2193" i="5"/>
  <c r="B2193" i="5"/>
  <c r="A2193" i="5"/>
  <c r="C2192" i="5"/>
  <c r="B2192" i="5"/>
  <c r="A2192" i="5"/>
  <c r="C2191" i="5"/>
  <c r="B2191" i="5"/>
  <c r="A2191" i="5"/>
  <c r="C2190" i="5"/>
  <c r="B2190" i="5"/>
  <c r="A2190" i="5"/>
  <c r="C2189" i="5"/>
  <c r="B2189" i="5"/>
  <c r="A2189" i="5"/>
  <c r="C2188" i="5"/>
  <c r="B2188" i="5"/>
  <c r="A2188" i="5"/>
  <c r="C2187" i="5"/>
  <c r="B2187" i="5"/>
  <c r="A2187" i="5"/>
  <c r="C2186" i="5"/>
  <c r="B2186" i="5"/>
  <c r="A2186" i="5"/>
  <c r="C2185" i="5"/>
  <c r="B2185" i="5"/>
  <c r="A2185" i="5"/>
  <c r="C2184" i="5"/>
  <c r="B2184" i="5"/>
  <c r="A2184" i="5"/>
  <c r="C2183" i="5"/>
  <c r="B2183" i="5"/>
  <c r="A2183" i="5"/>
  <c r="C2182" i="5"/>
  <c r="B2182" i="5"/>
  <c r="A2182" i="5"/>
  <c r="C2181" i="5"/>
  <c r="B2181" i="5"/>
  <c r="A2181" i="5"/>
  <c r="C2180" i="5"/>
  <c r="B2180" i="5"/>
  <c r="A2180" i="5"/>
  <c r="C2179" i="5"/>
  <c r="B2179" i="5"/>
  <c r="A2179" i="5"/>
  <c r="C2178" i="5"/>
  <c r="B2178" i="5"/>
  <c r="A2178" i="5"/>
  <c r="C2177" i="5"/>
  <c r="B2177" i="5"/>
  <c r="A2177" i="5"/>
  <c r="C2176" i="5"/>
  <c r="B2176" i="5"/>
  <c r="A2176" i="5"/>
  <c r="C2175" i="5"/>
  <c r="B2175" i="5"/>
  <c r="A2175" i="5"/>
  <c r="C2174" i="5"/>
  <c r="B2174" i="5"/>
  <c r="A2174" i="5"/>
  <c r="C2173" i="5"/>
  <c r="B2173" i="5"/>
  <c r="A2173" i="5"/>
  <c r="C2172" i="5"/>
  <c r="B2172" i="5"/>
  <c r="A2172" i="5"/>
  <c r="C2171" i="5"/>
  <c r="B2171" i="5"/>
  <c r="A2171" i="5"/>
  <c r="C2170" i="5"/>
  <c r="B2170" i="5"/>
  <c r="A2170" i="5"/>
  <c r="C2169" i="5"/>
  <c r="B2169" i="5"/>
  <c r="A2169" i="5"/>
  <c r="C2168" i="5"/>
  <c r="B2168" i="5"/>
  <c r="A2168" i="5"/>
  <c r="C2167" i="5"/>
  <c r="B2167" i="5"/>
  <c r="A2167" i="5"/>
  <c r="C2166" i="5"/>
  <c r="B2166" i="5"/>
  <c r="A2166" i="5"/>
  <c r="C2165" i="5"/>
  <c r="B2165" i="5"/>
  <c r="A2165" i="5"/>
  <c r="C2164" i="5"/>
  <c r="B2164" i="5"/>
  <c r="A2164" i="5"/>
  <c r="C2163" i="5"/>
  <c r="B2163" i="5"/>
  <c r="A2163" i="5"/>
  <c r="C2162" i="5"/>
  <c r="B2162" i="5"/>
  <c r="A2162" i="5"/>
  <c r="C2161" i="5"/>
  <c r="B2161" i="5"/>
  <c r="A2161" i="5"/>
  <c r="C2160" i="5"/>
  <c r="B2160" i="5"/>
  <c r="A2160" i="5"/>
  <c r="C2159" i="5"/>
  <c r="B2159" i="5"/>
  <c r="A2159" i="5"/>
  <c r="C2158" i="5"/>
  <c r="B2158" i="5"/>
  <c r="A2158" i="5"/>
  <c r="C2157" i="5"/>
  <c r="B2157" i="5"/>
  <c r="A2157" i="5"/>
  <c r="C2156" i="5"/>
  <c r="B2156" i="5"/>
  <c r="A2156" i="5"/>
  <c r="C2155" i="5"/>
  <c r="B2155" i="5"/>
  <c r="A2155" i="5"/>
  <c r="C2154" i="5"/>
  <c r="B2154" i="5"/>
  <c r="A2154" i="5"/>
  <c r="C2153" i="5"/>
  <c r="B2153" i="5"/>
  <c r="A2153" i="5"/>
  <c r="C2152" i="5"/>
  <c r="B2152" i="5"/>
  <c r="A2152" i="5"/>
  <c r="C2151" i="5"/>
  <c r="B2151" i="5"/>
  <c r="A2151" i="5"/>
  <c r="C2150" i="5"/>
  <c r="B2150" i="5"/>
  <c r="A2150" i="5"/>
  <c r="C2149" i="5"/>
  <c r="B2149" i="5"/>
  <c r="A2149" i="5"/>
  <c r="C2148" i="5"/>
  <c r="B2148" i="5"/>
  <c r="A2148" i="5"/>
  <c r="C2147" i="5"/>
  <c r="B2147" i="5"/>
  <c r="A2147" i="5"/>
  <c r="C2146" i="5"/>
  <c r="B2146" i="5"/>
  <c r="A2146" i="5"/>
  <c r="C2145" i="5"/>
  <c r="B2145" i="5"/>
  <c r="A2145" i="5"/>
  <c r="C2144" i="5"/>
  <c r="B2144" i="5"/>
  <c r="A2144" i="5"/>
  <c r="C2143" i="5"/>
  <c r="B2143" i="5"/>
  <c r="A2143" i="5"/>
  <c r="C2142" i="5"/>
  <c r="B2142" i="5"/>
  <c r="A2142" i="5"/>
  <c r="C2141" i="5"/>
  <c r="B2141" i="5"/>
  <c r="A2141" i="5"/>
  <c r="C2140" i="5"/>
  <c r="B2140" i="5"/>
  <c r="A2140" i="5"/>
  <c r="C2139" i="5"/>
  <c r="B2139" i="5"/>
  <c r="A2139" i="5"/>
  <c r="C2138" i="5"/>
  <c r="B2138" i="5"/>
  <c r="A2138" i="5"/>
  <c r="C2137" i="5"/>
  <c r="B2137" i="5"/>
  <c r="A2137" i="5"/>
  <c r="C2136" i="5"/>
  <c r="B2136" i="5"/>
  <c r="A2136" i="5"/>
  <c r="C2135" i="5"/>
  <c r="B2135" i="5"/>
  <c r="A2135" i="5"/>
  <c r="C2134" i="5"/>
  <c r="B2134" i="5"/>
  <c r="A2134" i="5"/>
  <c r="C2133" i="5"/>
  <c r="B2133" i="5"/>
  <c r="A2133" i="5"/>
  <c r="C2132" i="5"/>
  <c r="B2132" i="5"/>
  <c r="A2132" i="5"/>
  <c r="C2131" i="5"/>
  <c r="B2131" i="5"/>
  <c r="A2131" i="5"/>
  <c r="C2130" i="5"/>
  <c r="B2130" i="5"/>
  <c r="A2130" i="5"/>
  <c r="C2129" i="5"/>
  <c r="B2129" i="5"/>
  <c r="A2129" i="5"/>
  <c r="C2128" i="5"/>
  <c r="B2128" i="5"/>
  <c r="A2128" i="5"/>
  <c r="C2127" i="5"/>
  <c r="B2127" i="5"/>
  <c r="A2127" i="5"/>
  <c r="C2126" i="5"/>
  <c r="B2126" i="5"/>
  <c r="A2126" i="5"/>
  <c r="C2125" i="5"/>
  <c r="B2125" i="5"/>
  <c r="A2125" i="5"/>
  <c r="C2124" i="5"/>
  <c r="B2124" i="5"/>
  <c r="A2124" i="5"/>
  <c r="C2123" i="5"/>
  <c r="B2123" i="5"/>
  <c r="A2123" i="5"/>
  <c r="C2122" i="5"/>
  <c r="B2122" i="5"/>
  <c r="A2122" i="5"/>
  <c r="C2121" i="5"/>
  <c r="B2121" i="5"/>
  <c r="A2121" i="5"/>
  <c r="C2120" i="5"/>
  <c r="B2120" i="5"/>
  <c r="A2120" i="5"/>
  <c r="C2119" i="5"/>
  <c r="B2119" i="5"/>
  <c r="A2119" i="5"/>
  <c r="C2118" i="5"/>
  <c r="B2118" i="5"/>
  <c r="A2118" i="5"/>
  <c r="C2117" i="5"/>
  <c r="B2117" i="5"/>
  <c r="A2117" i="5"/>
  <c r="C2116" i="5"/>
  <c r="B2116" i="5"/>
  <c r="A2116" i="5"/>
  <c r="C2115" i="5"/>
  <c r="B2115" i="5"/>
  <c r="A2115" i="5"/>
  <c r="C2114" i="5"/>
  <c r="B2114" i="5"/>
  <c r="A2114" i="5"/>
  <c r="C2113" i="5"/>
  <c r="B2113" i="5"/>
  <c r="A2113" i="5"/>
  <c r="C2112" i="5"/>
  <c r="B2112" i="5"/>
  <c r="A2112" i="5"/>
  <c r="C2111" i="5"/>
  <c r="B2111" i="5"/>
  <c r="A2111" i="5"/>
  <c r="C2110" i="5"/>
  <c r="B2110" i="5"/>
  <c r="A2110" i="5"/>
  <c r="C2109" i="5"/>
  <c r="B2109" i="5"/>
  <c r="A2109" i="5"/>
  <c r="C2108" i="5"/>
  <c r="B2108" i="5"/>
  <c r="A2108" i="5"/>
  <c r="C2107" i="5"/>
  <c r="B2107" i="5"/>
  <c r="A2107" i="5"/>
  <c r="C2106" i="5"/>
  <c r="B2106" i="5"/>
  <c r="A2106" i="5"/>
  <c r="C2105" i="5"/>
  <c r="B2105" i="5"/>
  <c r="A2105" i="5"/>
  <c r="C2104" i="5"/>
  <c r="B2104" i="5"/>
  <c r="A2104" i="5"/>
  <c r="C2103" i="5"/>
  <c r="B2103" i="5"/>
  <c r="A2103" i="5"/>
  <c r="C2102" i="5"/>
  <c r="B2102" i="5"/>
  <c r="A2102" i="5"/>
  <c r="C2101" i="5"/>
  <c r="B2101" i="5"/>
  <c r="A2101" i="5"/>
  <c r="C2100" i="5"/>
  <c r="B2100" i="5"/>
  <c r="A2100" i="5"/>
  <c r="C2099" i="5"/>
  <c r="B2099" i="5"/>
  <c r="A2099" i="5"/>
  <c r="C2098" i="5"/>
  <c r="B2098" i="5"/>
  <c r="A2098" i="5"/>
  <c r="C2097" i="5"/>
  <c r="B2097" i="5"/>
  <c r="A2097" i="5"/>
  <c r="C2096" i="5"/>
  <c r="B2096" i="5"/>
  <c r="A2096" i="5"/>
  <c r="C2095" i="5"/>
  <c r="B2095" i="5"/>
  <c r="A2095" i="5"/>
  <c r="C2094" i="5"/>
  <c r="B2094" i="5"/>
  <c r="A2094" i="5"/>
  <c r="C2093" i="5"/>
  <c r="B2093" i="5"/>
  <c r="A2093" i="5"/>
  <c r="C2092" i="5"/>
  <c r="B2092" i="5"/>
  <c r="A2092" i="5"/>
  <c r="C2091" i="5"/>
  <c r="B2091" i="5"/>
  <c r="A2091" i="5"/>
  <c r="C2090" i="5"/>
  <c r="B2090" i="5"/>
  <c r="A2090" i="5"/>
  <c r="C2089" i="5"/>
  <c r="B2089" i="5"/>
  <c r="A2089" i="5"/>
  <c r="C2088" i="5"/>
  <c r="B2088" i="5"/>
  <c r="A2088" i="5"/>
  <c r="C2087" i="5"/>
  <c r="B2087" i="5"/>
  <c r="A2087" i="5"/>
  <c r="C2086" i="5"/>
  <c r="B2086" i="5"/>
  <c r="A2086" i="5"/>
  <c r="C2085" i="5"/>
  <c r="B2085" i="5"/>
  <c r="A2085" i="5"/>
  <c r="C2084" i="5"/>
  <c r="B2084" i="5"/>
  <c r="A2084" i="5"/>
  <c r="C2083" i="5"/>
  <c r="B2083" i="5"/>
  <c r="A2083" i="5"/>
  <c r="C2082" i="5"/>
  <c r="B2082" i="5"/>
  <c r="A2082" i="5"/>
  <c r="C2081" i="5"/>
  <c r="B2081" i="5"/>
  <c r="A2081" i="5"/>
  <c r="C2080" i="5"/>
  <c r="B2080" i="5"/>
  <c r="A2080" i="5"/>
  <c r="C2079" i="5"/>
  <c r="B2079" i="5"/>
  <c r="A2079" i="5"/>
  <c r="C2078" i="5"/>
  <c r="B2078" i="5"/>
  <c r="A2078" i="5"/>
  <c r="C2077" i="5"/>
  <c r="B2077" i="5"/>
  <c r="A2077" i="5"/>
  <c r="C2076" i="5"/>
  <c r="B2076" i="5"/>
  <c r="A2076" i="5"/>
  <c r="C2075" i="5"/>
  <c r="B2075" i="5"/>
  <c r="A2075" i="5"/>
  <c r="C2074" i="5"/>
  <c r="B2074" i="5"/>
  <c r="A2074" i="5"/>
  <c r="C2073" i="5"/>
  <c r="B2073" i="5"/>
  <c r="A2073" i="5"/>
  <c r="C2072" i="5"/>
  <c r="B2072" i="5"/>
  <c r="A2072" i="5"/>
  <c r="C2071" i="5"/>
  <c r="B2071" i="5"/>
  <c r="A2071" i="5"/>
  <c r="C2070" i="5"/>
  <c r="B2070" i="5"/>
  <c r="A2070" i="5"/>
  <c r="C2069" i="5"/>
  <c r="B2069" i="5"/>
  <c r="A2069" i="5"/>
  <c r="C2068" i="5"/>
  <c r="B2068" i="5"/>
  <c r="A2068" i="5"/>
  <c r="C2067" i="5"/>
  <c r="B2067" i="5"/>
  <c r="A2067" i="5"/>
  <c r="C2066" i="5"/>
  <c r="B2066" i="5"/>
  <c r="A2066" i="5"/>
  <c r="C2065" i="5"/>
  <c r="B2065" i="5"/>
  <c r="A2065" i="5"/>
  <c r="C2064" i="5"/>
  <c r="B2064" i="5"/>
  <c r="A2064" i="5"/>
  <c r="C2063" i="5"/>
  <c r="B2063" i="5"/>
  <c r="A2063" i="5"/>
  <c r="C2062" i="5"/>
  <c r="B2062" i="5"/>
  <c r="A2062" i="5"/>
  <c r="C2061" i="5"/>
  <c r="B2061" i="5"/>
  <c r="A2061" i="5"/>
  <c r="C2060" i="5"/>
  <c r="B2060" i="5"/>
  <c r="A2060" i="5"/>
  <c r="C2059" i="5"/>
  <c r="B2059" i="5"/>
  <c r="A2059" i="5"/>
  <c r="C2058" i="5"/>
  <c r="B2058" i="5"/>
  <c r="A2058" i="5"/>
  <c r="C2057" i="5"/>
  <c r="B2057" i="5"/>
  <c r="A2057" i="5"/>
  <c r="C2056" i="5"/>
  <c r="B2056" i="5"/>
  <c r="A2056" i="5"/>
  <c r="C2055" i="5"/>
  <c r="B2055" i="5"/>
  <c r="A2055" i="5"/>
  <c r="C2054" i="5"/>
  <c r="B2054" i="5"/>
  <c r="A2054" i="5"/>
  <c r="C2053" i="5"/>
  <c r="B2053" i="5"/>
  <c r="A2053" i="5"/>
  <c r="C2052" i="5"/>
  <c r="B2052" i="5"/>
  <c r="A2052" i="5"/>
  <c r="C2051" i="5"/>
  <c r="B2051" i="5"/>
  <c r="A2051" i="5"/>
  <c r="C2050" i="5"/>
  <c r="B2050" i="5"/>
  <c r="A2050" i="5"/>
  <c r="C2049" i="5"/>
  <c r="B2049" i="5"/>
  <c r="A2049" i="5"/>
  <c r="C2048" i="5"/>
  <c r="B2048" i="5"/>
  <c r="A2048" i="5"/>
  <c r="C2047" i="5"/>
  <c r="B2047" i="5"/>
  <c r="A2047" i="5"/>
  <c r="C2046" i="5"/>
  <c r="B2046" i="5"/>
  <c r="A2046" i="5"/>
  <c r="C2045" i="5"/>
  <c r="B2045" i="5"/>
  <c r="A2045" i="5"/>
  <c r="C2044" i="5"/>
  <c r="B2044" i="5"/>
  <c r="A2044" i="5"/>
  <c r="C2043" i="5"/>
  <c r="B2043" i="5"/>
  <c r="A2043" i="5"/>
  <c r="C2042" i="5"/>
  <c r="B2042" i="5"/>
  <c r="A2042" i="5"/>
  <c r="C2041" i="5"/>
  <c r="B2041" i="5"/>
  <c r="A2041" i="5"/>
  <c r="C2040" i="5"/>
  <c r="B2040" i="5"/>
  <c r="A2040" i="5"/>
  <c r="C2039" i="5"/>
  <c r="B2039" i="5"/>
  <c r="A2039" i="5"/>
  <c r="C2038" i="5"/>
  <c r="B2038" i="5"/>
  <c r="A2038" i="5"/>
  <c r="C2037" i="5"/>
  <c r="B2037" i="5"/>
  <c r="A2037" i="5"/>
  <c r="C2036" i="5"/>
  <c r="B2036" i="5"/>
  <c r="A2036" i="5"/>
  <c r="C2035" i="5"/>
  <c r="B2035" i="5"/>
  <c r="A2035" i="5"/>
  <c r="C2034" i="5"/>
  <c r="B2034" i="5"/>
  <c r="A2034" i="5"/>
  <c r="C2033" i="5"/>
  <c r="B2033" i="5"/>
  <c r="A2033" i="5"/>
  <c r="C2032" i="5"/>
  <c r="B2032" i="5"/>
  <c r="A2032" i="5"/>
  <c r="C2031" i="5"/>
  <c r="B2031" i="5"/>
  <c r="A2031" i="5"/>
  <c r="C2030" i="5"/>
  <c r="B2030" i="5"/>
  <c r="A2030" i="5"/>
  <c r="C2029" i="5"/>
  <c r="B2029" i="5"/>
  <c r="A2029" i="5"/>
  <c r="C2028" i="5"/>
  <c r="B2028" i="5"/>
  <c r="A2028" i="5"/>
  <c r="C2027" i="5"/>
  <c r="B2027" i="5"/>
  <c r="A2027" i="5"/>
  <c r="C2026" i="5"/>
  <c r="B2026" i="5"/>
  <c r="A2026" i="5"/>
  <c r="C2025" i="5"/>
  <c r="B2025" i="5"/>
  <c r="A2025" i="5"/>
  <c r="C2024" i="5"/>
  <c r="B2024" i="5"/>
  <c r="A2024" i="5"/>
  <c r="C2023" i="5"/>
  <c r="B2023" i="5"/>
  <c r="A2023" i="5"/>
  <c r="C2022" i="5"/>
  <c r="B2022" i="5"/>
  <c r="A2022" i="5"/>
  <c r="C2021" i="5"/>
  <c r="B2021" i="5"/>
  <c r="A2021" i="5"/>
  <c r="C2020" i="5"/>
  <c r="B2020" i="5"/>
  <c r="A2020" i="5"/>
  <c r="C2019" i="5"/>
  <c r="B2019" i="5"/>
  <c r="A2019" i="5"/>
  <c r="C2018" i="5"/>
  <c r="B2018" i="5"/>
  <c r="A2018" i="5"/>
  <c r="C2017" i="5"/>
  <c r="B2017" i="5"/>
  <c r="A2017" i="5"/>
  <c r="C2016" i="5"/>
  <c r="B2016" i="5"/>
  <c r="A2016" i="5"/>
  <c r="C2015" i="5"/>
  <c r="B2015" i="5"/>
  <c r="A2015" i="5"/>
  <c r="C2014" i="5"/>
  <c r="B2014" i="5"/>
  <c r="A2014" i="5"/>
  <c r="C2013" i="5"/>
  <c r="B2013" i="5"/>
  <c r="A2013" i="5"/>
  <c r="C2012" i="5"/>
  <c r="B2012" i="5"/>
  <c r="A2012" i="5"/>
  <c r="C2011" i="5"/>
  <c r="B2011" i="5"/>
  <c r="A2011" i="5"/>
  <c r="C2010" i="5"/>
  <c r="B2010" i="5"/>
  <c r="A2010" i="5"/>
  <c r="C2009" i="5"/>
  <c r="B2009" i="5"/>
  <c r="A2009" i="5"/>
  <c r="C2008" i="5"/>
  <c r="B2008" i="5"/>
  <c r="A2008" i="5"/>
  <c r="C2007" i="5"/>
  <c r="B2007" i="5"/>
  <c r="A2007" i="5"/>
  <c r="C2006" i="5"/>
  <c r="B2006" i="5"/>
  <c r="A2006" i="5"/>
  <c r="C2005" i="5"/>
  <c r="B2005" i="5"/>
  <c r="A2005" i="5"/>
  <c r="C2004" i="5"/>
  <c r="B2004" i="5"/>
  <c r="A2004" i="5"/>
  <c r="C2003" i="5"/>
  <c r="B2003" i="5"/>
  <c r="A2003" i="5"/>
  <c r="C2002" i="5"/>
  <c r="B2002" i="5"/>
  <c r="A2002" i="5"/>
  <c r="C2001" i="5"/>
  <c r="B2001" i="5"/>
  <c r="A2001" i="5"/>
  <c r="C2000" i="5"/>
  <c r="B2000" i="5"/>
  <c r="A2000" i="5"/>
  <c r="C1999" i="5"/>
  <c r="B1999" i="5"/>
  <c r="A1999" i="5"/>
  <c r="C1998" i="5"/>
  <c r="B1998" i="5"/>
  <c r="A1998" i="5"/>
  <c r="C1997" i="5"/>
  <c r="B1997" i="5"/>
  <c r="A1997" i="5"/>
  <c r="C1996" i="5"/>
  <c r="B1996" i="5"/>
  <c r="A1996" i="5"/>
  <c r="C1995" i="5"/>
  <c r="B1995" i="5"/>
  <c r="A1995" i="5"/>
  <c r="C1994" i="5"/>
  <c r="B1994" i="5"/>
  <c r="A1994" i="5"/>
  <c r="C1993" i="5"/>
  <c r="B1993" i="5"/>
  <c r="A1993" i="5"/>
  <c r="C1992" i="5"/>
  <c r="B1992" i="5"/>
  <c r="A1992" i="5"/>
  <c r="C1991" i="5"/>
  <c r="B1991" i="5"/>
  <c r="A1991" i="5"/>
  <c r="C1990" i="5"/>
  <c r="B1990" i="5"/>
  <c r="A1990" i="5"/>
  <c r="C1989" i="5"/>
  <c r="B1989" i="5"/>
  <c r="A1989" i="5"/>
  <c r="C1988" i="5"/>
  <c r="B1988" i="5"/>
  <c r="A1988" i="5"/>
  <c r="C1987" i="5"/>
  <c r="B1987" i="5"/>
  <c r="A1987" i="5"/>
  <c r="C1986" i="5"/>
  <c r="B1986" i="5"/>
  <c r="A1986" i="5"/>
  <c r="C1985" i="5"/>
  <c r="B1985" i="5"/>
  <c r="A1985" i="5"/>
  <c r="C1984" i="5"/>
  <c r="B1984" i="5"/>
  <c r="A1984" i="5"/>
  <c r="C1983" i="5"/>
  <c r="B1983" i="5"/>
  <c r="A1983" i="5"/>
  <c r="C1982" i="5"/>
  <c r="B1982" i="5"/>
  <c r="A1982" i="5"/>
  <c r="C1981" i="5"/>
  <c r="B1981" i="5"/>
  <c r="A1981" i="5"/>
  <c r="C1980" i="5"/>
  <c r="B1980" i="5"/>
  <c r="A1980" i="5"/>
  <c r="C1979" i="5"/>
  <c r="B1979" i="5"/>
  <c r="A1979" i="5"/>
  <c r="C1978" i="5"/>
  <c r="B1978" i="5"/>
  <c r="A1978" i="5"/>
  <c r="C1977" i="5"/>
  <c r="B1977" i="5"/>
  <c r="A1977" i="5"/>
  <c r="C1976" i="5"/>
  <c r="B1976" i="5"/>
  <c r="A1976" i="5"/>
  <c r="C1975" i="5"/>
  <c r="B1975" i="5"/>
  <c r="A1975" i="5"/>
  <c r="C1974" i="5"/>
  <c r="B1974" i="5"/>
  <c r="A1974" i="5"/>
  <c r="C1973" i="5"/>
  <c r="B1973" i="5"/>
  <c r="A1973" i="5"/>
  <c r="C1972" i="5"/>
  <c r="B1972" i="5"/>
  <c r="A1972" i="5"/>
  <c r="C1971" i="5"/>
  <c r="B1971" i="5"/>
  <c r="A1971" i="5"/>
  <c r="C1970" i="5"/>
  <c r="B1970" i="5"/>
  <c r="A1970" i="5"/>
  <c r="C1969" i="5"/>
  <c r="B1969" i="5"/>
  <c r="A1969" i="5"/>
  <c r="C1968" i="5"/>
  <c r="B1968" i="5"/>
  <c r="A1968" i="5"/>
  <c r="C1967" i="5"/>
  <c r="B1967" i="5"/>
  <c r="A1967" i="5"/>
  <c r="C1966" i="5"/>
  <c r="B1966" i="5"/>
  <c r="A1966" i="5"/>
  <c r="C1965" i="5"/>
  <c r="B1965" i="5"/>
  <c r="A1965" i="5"/>
  <c r="C1964" i="5"/>
  <c r="B1964" i="5"/>
  <c r="A1964" i="5"/>
  <c r="C1963" i="5"/>
  <c r="B1963" i="5"/>
  <c r="A1963" i="5"/>
  <c r="C1962" i="5"/>
  <c r="B1962" i="5"/>
  <c r="A1962" i="5"/>
  <c r="C1961" i="5"/>
  <c r="B1961" i="5"/>
  <c r="A1961" i="5"/>
  <c r="C1960" i="5"/>
  <c r="B1960" i="5"/>
  <c r="A1960" i="5"/>
  <c r="C1959" i="5"/>
  <c r="B1959" i="5"/>
  <c r="A1959" i="5"/>
  <c r="C1958" i="5"/>
  <c r="B1958" i="5"/>
  <c r="A1958" i="5"/>
  <c r="C1957" i="5"/>
  <c r="B1957" i="5"/>
  <c r="A1957" i="5"/>
  <c r="C1956" i="5"/>
  <c r="B1956" i="5"/>
  <c r="A1956" i="5"/>
  <c r="C1955" i="5"/>
  <c r="B1955" i="5"/>
  <c r="A1955" i="5"/>
  <c r="C1954" i="5"/>
  <c r="B1954" i="5"/>
  <c r="A1954" i="5"/>
  <c r="C1953" i="5"/>
  <c r="B1953" i="5"/>
  <c r="A1953" i="5"/>
  <c r="C1952" i="5"/>
  <c r="B1952" i="5"/>
  <c r="A1952" i="5"/>
  <c r="C1951" i="5"/>
  <c r="B1951" i="5"/>
  <c r="A1951" i="5"/>
  <c r="C1950" i="5"/>
  <c r="B1950" i="5"/>
  <c r="A1950" i="5"/>
  <c r="C1949" i="5"/>
  <c r="B1949" i="5"/>
  <c r="A1949" i="5"/>
  <c r="C1948" i="5"/>
  <c r="B1948" i="5"/>
  <c r="A1948" i="5"/>
  <c r="C1947" i="5"/>
  <c r="B1947" i="5"/>
  <c r="A1947" i="5"/>
  <c r="C1946" i="5"/>
  <c r="B1946" i="5"/>
  <c r="A1946" i="5"/>
  <c r="C1945" i="5"/>
  <c r="B1945" i="5"/>
  <c r="A1945" i="5"/>
  <c r="C1944" i="5"/>
  <c r="B1944" i="5"/>
  <c r="A1944" i="5"/>
  <c r="C1943" i="5"/>
  <c r="B1943" i="5"/>
  <c r="A1943" i="5"/>
  <c r="C1942" i="5"/>
  <c r="B1942" i="5"/>
  <c r="A1942" i="5"/>
  <c r="C1941" i="5"/>
  <c r="B1941" i="5"/>
  <c r="A1941" i="5"/>
  <c r="C1940" i="5"/>
  <c r="B1940" i="5"/>
  <c r="A1940" i="5"/>
  <c r="C1939" i="5"/>
  <c r="B1939" i="5"/>
  <c r="A1939" i="5"/>
  <c r="C1938" i="5"/>
  <c r="B1938" i="5"/>
  <c r="A1938" i="5"/>
  <c r="C1937" i="5"/>
  <c r="B1937" i="5"/>
  <c r="A1937" i="5"/>
  <c r="C1936" i="5"/>
  <c r="B1936" i="5"/>
  <c r="A1936" i="5"/>
  <c r="C1935" i="5"/>
  <c r="B1935" i="5"/>
  <c r="A1935" i="5"/>
  <c r="C1934" i="5"/>
  <c r="B1934" i="5"/>
  <c r="A1934" i="5"/>
  <c r="C1933" i="5"/>
  <c r="B1933" i="5"/>
  <c r="A1933" i="5"/>
  <c r="C1932" i="5"/>
  <c r="B1932" i="5"/>
  <c r="A1932" i="5"/>
  <c r="C1931" i="5"/>
  <c r="B1931" i="5"/>
  <c r="A1931" i="5"/>
  <c r="C1930" i="5"/>
  <c r="B1930" i="5"/>
  <c r="A1930" i="5"/>
  <c r="C1929" i="5"/>
  <c r="B1929" i="5"/>
  <c r="A1929" i="5"/>
  <c r="C1928" i="5"/>
  <c r="B1928" i="5"/>
  <c r="A1928" i="5"/>
  <c r="C1927" i="5"/>
  <c r="B1927" i="5"/>
  <c r="A1927" i="5"/>
  <c r="C1926" i="5"/>
  <c r="B1926" i="5"/>
  <c r="A1926" i="5"/>
  <c r="C1925" i="5"/>
  <c r="B1925" i="5"/>
  <c r="A1925" i="5"/>
  <c r="C1924" i="5"/>
  <c r="B1924" i="5"/>
  <c r="A1924" i="5"/>
  <c r="C1923" i="5"/>
  <c r="B1923" i="5"/>
  <c r="A1923" i="5"/>
  <c r="C1922" i="5"/>
  <c r="B1922" i="5"/>
  <c r="A1922" i="5"/>
  <c r="C1921" i="5"/>
  <c r="B1921" i="5"/>
  <c r="A1921" i="5"/>
  <c r="C1920" i="5"/>
  <c r="B1920" i="5"/>
  <c r="A1920" i="5"/>
  <c r="C1919" i="5"/>
  <c r="B1919" i="5"/>
  <c r="A1919" i="5"/>
  <c r="C1918" i="5"/>
  <c r="B1918" i="5"/>
  <c r="A1918" i="5"/>
  <c r="C1917" i="5"/>
  <c r="B1917" i="5"/>
  <c r="A1917" i="5"/>
  <c r="C1916" i="5"/>
  <c r="B1916" i="5"/>
  <c r="A1916" i="5"/>
  <c r="C1915" i="5"/>
  <c r="B1915" i="5"/>
  <c r="A1915" i="5"/>
  <c r="C1914" i="5"/>
  <c r="B1914" i="5"/>
  <c r="A1914" i="5"/>
  <c r="C1913" i="5"/>
  <c r="B1913" i="5"/>
  <c r="A1913" i="5"/>
  <c r="C1912" i="5"/>
  <c r="B1912" i="5"/>
  <c r="A1912" i="5"/>
  <c r="C1911" i="5"/>
  <c r="B1911" i="5"/>
  <c r="A1911" i="5"/>
  <c r="C1910" i="5"/>
  <c r="B1910" i="5"/>
  <c r="A1910" i="5"/>
  <c r="C1909" i="5"/>
  <c r="B1909" i="5"/>
  <c r="A1909" i="5"/>
  <c r="C1908" i="5"/>
  <c r="B1908" i="5"/>
  <c r="A1908" i="5"/>
  <c r="C1907" i="5"/>
  <c r="B1907" i="5"/>
  <c r="A1907" i="5"/>
  <c r="C1906" i="5"/>
  <c r="B1906" i="5"/>
  <c r="A1906" i="5"/>
  <c r="C1905" i="5"/>
  <c r="B1905" i="5"/>
  <c r="A1905" i="5"/>
  <c r="C1904" i="5"/>
  <c r="B1904" i="5"/>
  <c r="A1904" i="5"/>
  <c r="C1903" i="5"/>
  <c r="B1903" i="5"/>
  <c r="A1903" i="5"/>
  <c r="C1902" i="5"/>
  <c r="B1902" i="5"/>
  <c r="A1902" i="5"/>
  <c r="C1901" i="5"/>
  <c r="B1901" i="5"/>
  <c r="A1901" i="5"/>
  <c r="C1900" i="5"/>
  <c r="B1900" i="5"/>
  <c r="A1900" i="5"/>
  <c r="C1899" i="5"/>
  <c r="B1899" i="5"/>
  <c r="A1899" i="5"/>
  <c r="C1898" i="5"/>
  <c r="B1898" i="5"/>
  <c r="A1898" i="5"/>
  <c r="C1897" i="5"/>
  <c r="B1897" i="5"/>
  <c r="A1897" i="5"/>
  <c r="C1896" i="5"/>
  <c r="B1896" i="5"/>
  <c r="A1896" i="5"/>
  <c r="C1895" i="5"/>
  <c r="B1895" i="5"/>
  <c r="A1895" i="5"/>
  <c r="C1894" i="5"/>
  <c r="B1894" i="5"/>
  <c r="A1894" i="5"/>
  <c r="C1893" i="5"/>
  <c r="B1893" i="5"/>
  <c r="A1893" i="5"/>
  <c r="C1892" i="5"/>
  <c r="B1892" i="5"/>
  <c r="A1892" i="5"/>
  <c r="C1891" i="5"/>
  <c r="B1891" i="5"/>
  <c r="A1891" i="5"/>
  <c r="C1890" i="5"/>
  <c r="B1890" i="5"/>
  <c r="A1890" i="5"/>
  <c r="C1889" i="5"/>
  <c r="B1889" i="5"/>
  <c r="A1889" i="5"/>
  <c r="C1888" i="5"/>
  <c r="B1888" i="5"/>
  <c r="A1888" i="5"/>
  <c r="C1887" i="5"/>
  <c r="B1887" i="5"/>
  <c r="A1887" i="5"/>
  <c r="C1886" i="5"/>
  <c r="B1886" i="5"/>
  <c r="A1886" i="5"/>
  <c r="C1885" i="5"/>
  <c r="B1885" i="5"/>
  <c r="A1885" i="5"/>
  <c r="C1884" i="5"/>
  <c r="B1884" i="5"/>
  <c r="A1884" i="5"/>
  <c r="C1883" i="5"/>
  <c r="B1883" i="5"/>
  <c r="A1883" i="5"/>
  <c r="C1882" i="5"/>
  <c r="B1882" i="5"/>
  <c r="A1882" i="5"/>
  <c r="C1881" i="5"/>
  <c r="B1881" i="5"/>
  <c r="A1881" i="5"/>
  <c r="C1880" i="5"/>
  <c r="B1880" i="5"/>
  <c r="A1880" i="5"/>
  <c r="C1879" i="5"/>
  <c r="B1879" i="5"/>
  <c r="A1879" i="5"/>
  <c r="C1878" i="5"/>
  <c r="B1878" i="5"/>
  <c r="A1878" i="5"/>
  <c r="C1877" i="5"/>
  <c r="B1877" i="5"/>
  <c r="A1877" i="5"/>
  <c r="C1876" i="5"/>
  <c r="B1876" i="5"/>
  <c r="A1876" i="5"/>
  <c r="C1875" i="5"/>
  <c r="B1875" i="5"/>
  <c r="A1875" i="5"/>
  <c r="C1874" i="5"/>
  <c r="B1874" i="5"/>
  <c r="A1874" i="5"/>
  <c r="C1873" i="5"/>
  <c r="B1873" i="5"/>
  <c r="A1873" i="5"/>
  <c r="C1872" i="5"/>
  <c r="B1872" i="5"/>
  <c r="A1872" i="5"/>
  <c r="C1871" i="5"/>
  <c r="B1871" i="5"/>
  <c r="A1871" i="5"/>
  <c r="C1870" i="5"/>
  <c r="B1870" i="5"/>
  <c r="A1870" i="5"/>
  <c r="C1869" i="5"/>
  <c r="B1869" i="5"/>
  <c r="A1869" i="5"/>
  <c r="C1868" i="5"/>
  <c r="B1868" i="5"/>
  <c r="A1868" i="5"/>
  <c r="C1867" i="5"/>
  <c r="B1867" i="5"/>
  <c r="A1867" i="5"/>
  <c r="C1866" i="5"/>
  <c r="B1866" i="5"/>
  <c r="A1866" i="5"/>
  <c r="C1865" i="5"/>
  <c r="B1865" i="5"/>
  <c r="A1865" i="5"/>
  <c r="C1864" i="5"/>
  <c r="B1864" i="5"/>
  <c r="A1864" i="5"/>
  <c r="C1863" i="5"/>
  <c r="B1863" i="5"/>
  <c r="A1863" i="5"/>
  <c r="C1862" i="5"/>
  <c r="B1862" i="5"/>
  <c r="A1862" i="5"/>
  <c r="C1861" i="5"/>
  <c r="B1861" i="5"/>
  <c r="A1861" i="5"/>
  <c r="C1860" i="5"/>
  <c r="B1860" i="5"/>
  <c r="A1860" i="5"/>
  <c r="C1859" i="5"/>
  <c r="B1859" i="5"/>
  <c r="A1859" i="5"/>
  <c r="C1858" i="5"/>
  <c r="B1858" i="5"/>
  <c r="A1858" i="5"/>
  <c r="C1857" i="5"/>
  <c r="B1857" i="5"/>
  <c r="A1857" i="5"/>
  <c r="C1856" i="5"/>
  <c r="B1856" i="5"/>
  <c r="A1856" i="5"/>
  <c r="C1855" i="5"/>
  <c r="B1855" i="5"/>
  <c r="A1855" i="5"/>
  <c r="C1854" i="5"/>
  <c r="B1854" i="5"/>
  <c r="A1854" i="5"/>
  <c r="C1853" i="5"/>
  <c r="B1853" i="5"/>
  <c r="A1853" i="5"/>
  <c r="C1852" i="5"/>
  <c r="B1852" i="5"/>
  <c r="A1852" i="5"/>
  <c r="C1851" i="5"/>
  <c r="B1851" i="5"/>
  <c r="A1851" i="5"/>
  <c r="C1850" i="5"/>
  <c r="B1850" i="5"/>
  <c r="A1850" i="5"/>
  <c r="C1849" i="5"/>
  <c r="B1849" i="5"/>
  <c r="A1849" i="5"/>
  <c r="C1848" i="5"/>
  <c r="B1848" i="5"/>
  <c r="A1848" i="5"/>
  <c r="C1847" i="5"/>
  <c r="B1847" i="5"/>
  <c r="A1847" i="5"/>
  <c r="C1846" i="5"/>
  <c r="B1846" i="5"/>
  <c r="A1846" i="5"/>
  <c r="C1845" i="5"/>
  <c r="B1845" i="5"/>
  <c r="A1845" i="5"/>
  <c r="C1844" i="5"/>
  <c r="B1844" i="5"/>
  <c r="A1844" i="5"/>
  <c r="C1843" i="5"/>
  <c r="B1843" i="5"/>
  <c r="A1843" i="5"/>
  <c r="C1842" i="5"/>
  <c r="B1842" i="5"/>
  <c r="A1842" i="5"/>
  <c r="C1841" i="5"/>
  <c r="B1841" i="5"/>
  <c r="A1841" i="5"/>
  <c r="C1840" i="5"/>
  <c r="B1840" i="5"/>
  <c r="A1840" i="5"/>
  <c r="C1839" i="5"/>
  <c r="B1839" i="5"/>
  <c r="A1839" i="5"/>
  <c r="C1838" i="5"/>
  <c r="B1838" i="5"/>
  <c r="A1838" i="5"/>
  <c r="C1837" i="5"/>
  <c r="B1837" i="5"/>
  <c r="A1837" i="5"/>
  <c r="C1836" i="5"/>
  <c r="B1836" i="5"/>
  <c r="A1836" i="5"/>
  <c r="C1835" i="5"/>
  <c r="B1835" i="5"/>
  <c r="A1835" i="5"/>
  <c r="C1834" i="5"/>
  <c r="B1834" i="5"/>
  <c r="A1834" i="5"/>
  <c r="C1833" i="5"/>
  <c r="B1833" i="5"/>
  <c r="A1833" i="5"/>
  <c r="C1832" i="5"/>
  <c r="B1832" i="5"/>
  <c r="A1832" i="5"/>
  <c r="C1831" i="5"/>
  <c r="B1831" i="5"/>
  <c r="A1831" i="5"/>
  <c r="C1830" i="5"/>
  <c r="B1830" i="5"/>
  <c r="A1830" i="5"/>
  <c r="C1829" i="5"/>
  <c r="B1829" i="5"/>
  <c r="A1829" i="5"/>
  <c r="C1828" i="5"/>
  <c r="B1828" i="5"/>
  <c r="A1828" i="5"/>
  <c r="C1827" i="5"/>
  <c r="B1827" i="5"/>
  <c r="A1827" i="5"/>
  <c r="C1826" i="5"/>
  <c r="B1826" i="5"/>
  <c r="A1826" i="5"/>
  <c r="C1825" i="5"/>
  <c r="B1825" i="5"/>
  <c r="A1825" i="5"/>
  <c r="C1824" i="5"/>
  <c r="B1824" i="5"/>
  <c r="A1824" i="5"/>
  <c r="C1823" i="5"/>
  <c r="B1823" i="5"/>
  <c r="A1823" i="5"/>
  <c r="C1822" i="5"/>
  <c r="B1822" i="5"/>
  <c r="A1822" i="5"/>
  <c r="C1821" i="5"/>
  <c r="B1821" i="5"/>
  <c r="A1821" i="5"/>
  <c r="C1820" i="5"/>
  <c r="B1820" i="5"/>
  <c r="A1820" i="5"/>
  <c r="C1819" i="5"/>
  <c r="B1819" i="5"/>
  <c r="A1819" i="5"/>
  <c r="C1818" i="5"/>
  <c r="B1818" i="5"/>
  <c r="A1818" i="5"/>
  <c r="C1817" i="5"/>
  <c r="B1817" i="5"/>
  <c r="A1817" i="5"/>
  <c r="C1816" i="5"/>
  <c r="B1816" i="5"/>
  <c r="A1816" i="5"/>
  <c r="C1815" i="5"/>
  <c r="B1815" i="5"/>
  <c r="A1815" i="5"/>
  <c r="C1814" i="5"/>
  <c r="B1814" i="5"/>
  <c r="A1814" i="5"/>
  <c r="C1813" i="5"/>
  <c r="B1813" i="5"/>
  <c r="A1813" i="5"/>
  <c r="C1812" i="5"/>
  <c r="B1812" i="5"/>
  <c r="A1812" i="5"/>
  <c r="C1811" i="5"/>
  <c r="B1811" i="5"/>
  <c r="A1811" i="5"/>
  <c r="C1810" i="5"/>
  <c r="B1810" i="5"/>
  <c r="A1810" i="5"/>
  <c r="C1809" i="5"/>
  <c r="B1809" i="5"/>
  <c r="A1809" i="5"/>
  <c r="C1808" i="5"/>
  <c r="B1808" i="5"/>
  <c r="A1808" i="5"/>
  <c r="C1807" i="5"/>
  <c r="B1807" i="5"/>
  <c r="A1807" i="5"/>
  <c r="C1806" i="5"/>
  <c r="B1806" i="5"/>
  <c r="A1806" i="5"/>
  <c r="C1805" i="5"/>
  <c r="B1805" i="5"/>
  <c r="A1805" i="5"/>
  <c r="C1804" i="5"/>
  <c r="B1804" i="5"/>
  <c r="A1804" i="5"/>
  <c r="C1803" i="5"/>
  <c r="B1803" i="5"/>
  <c r="A1803" i="5"/>
  <c r="C1802" i="5"/>
  <c r="B1802" i="5"/>
  <c r="A1802" i="5"/>
  <c r="C1801" i="5"/>
  <c r="B1801" i="5"/>
  <c r="A1801" i="5"/>
  <c r="C1800" i="5"/>
  <c r="B1800" i="5"/>
  <c r="A1800" i="5"/>
  <c r="C1799" i="5"/>
  <c r="B1799" i="5"/>
  <c r="A1799" i="5"/>
  <c r="C1798" i="5"/>
  <c r="B1798" i="5"/>
  <c r="A1798" i="5"/>
  <c r="C1797" i="5"/>
  <c r="B1797" i="5"/>
  <c r="A1797" i="5"/>
  <c r="C1796" i="5"/>
  <c r="B1796" i="5"/>
  <c r="A1796" i="5"/>
  <c r="C1795" i="5"/>
  <c r="B1795" i="5"/>
  <c r="A1795" i="5"/>
  <c r="C1794" i="5"/>
  <c r="B1794" i="5"/>
  <c r="A1794" i="5"/>
  <c r="C1793" i="5"/>
  <c r="B1793" i="5"/>
  <c r="A1793" i="5"/>
  <c r="C1792" i="5"/>
  <c r="B1792" i="5"/>
  <c r="A1792" i="5"/>
  <c r="C1791" i="5"/>
  <c r="B1791" i="5"/>
  <c r="A1791" i="5"/>
  <c r="C1790" i="5"/>
  <c r="B1790" i="5"/>
  <c r="A1790" i="5"/>
  <c r="C1789" i="5"/>
  <c r="B1789" i="5"/>
  <c r="A1789" i="5"/>
  <c r="C1788" i="5"/>
  <c r="B1788" i="5"/>
  <c r="A1788" i="5"/>
  <c r="C1787" i="5"/>
  <c r="B1787" i="5"/>
  <c r="A1787" i="5"/>
  <c r="C1786" i="5"/>
  <c r="B1786" i="5"/>
  <c r="A1786" i="5"/>
  <c r="C1785" i="5"/>
  <c r="B1785" i="5"/>
  <c r="A1785" i="5"/>
  <c r="C1784" i="5"/>
  <c r="B1784" i="5"/>
  <c r="A1784" i="5"/>
  <c r="C1783" i="5"/>
  <c r="B1783" i="5"/>
  <c r="A1783" i="5"/>
  <c r="C1782" i="5"/>
  <c r="B1782" i="5"/>
  <c r="A1782" i="5"/>
  <c r="C1781" i="5"/>
  <c r="B1781" i="5"/>
  <c r="A1781" i="5"/>
  <c r="C1780" i="5"/>
  <c r="B1780" i="5"/>
  <c r="A1780" i="5"/>
  <c r="C1779" i="5"/>
  <c r="B1779" i="5"/>
  <c r="A1779" i="5"/>
  <c r="C1778" i="5"/>
  <c r="B1778" i="5"/>
  <c r="A1778" i="5"/>
  <c r="C1777" i="5"/>
  <c r="B1777" i="5"/>
  <c r="A1777" i="5"/>
  <c r="C1776" i="5"/>
  <c r="B1776" i="5"/>
  <c r="A1776" i="5"/>
  <c r="C1775" i="5"/>
  <c r="B1775" i="5"/>
  <c r="A1775" i="5"/>
  <c r="C1774" i="5"/>
  <c r="B1774" i="5"/>
  <c r="A1774" i="5"/>
  <c r="C1773" i="5"/>
  <c r="B1773" i="5"/>
  <c r="A1773" i="5"/>
  <c r="C1772" i="5"/>
  <c r="B1772" i="5"/>
  <c r="A1772" i="5"/>
  <c r="C1771" i="5"/>
  <c r="B1771" i="5"/>
  <c r="A1771" i="5"/>
  <c r="C1770" i="5"/>
  <c r="B1770" i="5"/>
  <c r="A1770" i="5"/>
  <c r="C1769" i="5"/>
  <c r="B1769" i="5"/>
  <c r="A1769" i="5"/>
  <c r="C1768" i="5"/>
  <c r="B1768" i="5"/>
  <c r="A1768" i="5"/>
  <c r="C1767" i="5"/>
  <c r="B1767" i="5"/>
  <c r="A1767" i="5"/>
  <c r="C1766" i="5"/>
  <c r="B1766" i="5"/>
  <c r="A1766" i="5"/>
  <c r="C1765" i="5"/>
  <c r="B1765" i="5"/>
  <c r="A1765" i="5"/>
  <c r="C1764" i="5"/>
  <c r="B1764" i="5"/>
  <c r="A1764" i="5"/>
  <c r="C1763" i="5"/>
  <c r="B1763" i="5"/>
  <c r="A1763" i="5"/>
  <c r="C1762" i="5"/>
  <c r="B1762" i="5"/>
  <c r="A1762" i="5"/>
  <c r="C1761" i="5"/>
  <c r="B1761" i="5"/>
  <c r="A1761" i="5"/>
  <c r="C1760" i="5"/>
  <c r="B1760" i="5"/>
  <c r="A1760" i="5"/>
  <c r="C1759" i="5"/>
  <c r="B1759" i="5"/>
  <c r="A1759" i="5"/>
  <c r="C1758" i="5"/>
  <c r="B1758" i="5"/>
  <c r="A1758" i="5"/>
  <c r="C1757" i="5"/>
  <c r="B1757" i="5"/>
  <c r="A1757" i="5"/>
  <c r="C1756" i="5"/>
  <c r="B1756" i="5"/>
  <c r="A1756" i="5"/>
  <c r="C1755" i="5"/>
  <c r="B1755" i="5"/>
  <c r="A1755" i="5"/>
  <c r="C1754" i="5"/>
  <c r="B1754" i="5"/>
  <c r="A1754" i="5"/>
  <c r="C1753" i="5"/>
  <c r="B1753" i="5"/>
  <c r="A1753" i="5"/>
  <c r="C1752" i="5"/>
  <c r="B1752" i="5"/>
  <c r="A1752" i="5"/>
  <c r="C1751" i="5"/>
  <c r="B1751" i="5"/>
  <c r="A1751" i="5"/>
  <c r="C1750" i="5"/>
  <c r="B1750" i="5"/>
  <c r="A1750" i="5"/>
  <c r="C1749" i="5"/>
  <c r="B1749" i="5"/>
  <c r="A1749" i="5"/>
  <c r="C1748" i="5"/>
  <c r="B1748" i="5"/>
  <c r="A1748" i="5"/>
  <c r="C1747" i="5"/>
  <c r="B1747" i="5"/>
  <c r="A1747" i="5"/>
  <c r="C1746" i="5"/>
  <c r="B1746" i="5"/>
  <c r="A1746" i="5"/>
  <c r="C1745" i="5"/>
  <c r="B1745" i="5"/>
  <c r="A1745" i="5"/>
  <c r="C1744" i="5"/>
  <c r="B1744" i="5"/>
  <c r="A1744" i="5"/>
  <c r="C1743" i="5"/>
  <c r="B1743" i="5"/>
  <c r="A1743" i="5"/>
  <c r="C1742" i="5"/>
  <c r="B1742" i="5"/>
  <c r="A1742" i="5"/>
  <c r="C1741" i="5"/>
  <c r="B1741" i="5"/>
  <c r="A1741" i="5"/>
  <c r="C1740" i="5"/>
  <c r="B1740" i="5"/>
  <c r="A1740" i="5"/>
  <c r="C1739" i="5"/>
  <c r="B1739" i="5"/>
  <c r="A1739" i="5"/>
  <c r="C1738" i="5"/>
  <c r="B1738" i="5"/>
  <c r="A1738" i="5"/>
  <c r="C1737" i="5"/>
  <c r="B1737" i="5"/>
  <c r="A1737" i="5"/>
  <c r="C1736" i="5"/>
  <c r="B1736" i="5"/>
  <c r="A1736" i="5"/>
  <c r="C1735" i="5"/>
  <c r="B1735" i="5"/>
  <c r="A1735" i="5"/>
  <c r="C1734" i="5"/>
  <c r="B1734" i="5"/>
  <c r="A1734" i="5"/>
  <c r="C1733" i="5"/>
  <c r="B1733" i="5"/>
  <c r="A1733" i="5"/>
  <c r="C1732" i="5"/>
  <c r="B1732" i="5"/>
  <c r="A1732" i="5"/>
  <c r="C1731" i="5"/>
  <c r="B1731" i="5"/>
  <c r="A1731" i="5"/>
  <c r="C1730" i="5"/>
  <c r="B1730" i="5"/>
  <c r="A1730" i="5"/>
  <c r="C1729" i="5"/>
  <c r="B1729" i="5"/>
  <c r="A1729" i="5"/>
  <c r="C1728" i="5"/>
  <c r="B1728" i="5"/>
  <c r="A1728" i="5"/>
  <c r="C1727" i="5"/>
  <c r="B1727" i="5"/>
  <c r="A1727" i="5"/>
  <c r="C1726" i="5"/>
  <c r="B1726" i="5"/>
  <c r="A1726" i="5"/>
  <c r="C1725" i="5"/>
  <c r="B1725" i="5"/>
  <c r="A1725" i="5"/>
  <c r="C1724" i="5"/>
  <c r="B1724" i="5"/>
  <c r="A1724" i="5"/>
  <c r="C1723" i="5"/>
  <c r="B1723" i="5"/>
  <c r="A1723" i="5"/>
  <c r="C1722" i="5"/>
  <c r="B1722" i="5"/>
  <c r="A1722" i="5"/>
  <c r="C1721" i="5"/>
  <c r="B1721" i="5"/>
  <c r="A1721" i="5"/>
  <c r="C1720" i="5"/>
  <c r="B1720" i="5"/>
  <c r="A1720" i="5"/>
  <c r="C1719" i="5"/>
  <c r="B1719" i="5"/>
  <c r="A1719" i="5"/>
  <c r="C1718" i="5"/>
  <c r="B1718" i="5"/>
  <c r="A1718" i="5"/>
  <c r="C1717" i="5"/>
  <c r="B1717" i="5"/>
  <c r="A1717" i="5"/>
  <c r="C1716" i="5"/>
  <c r="B1716" i="5"/>
  <c r="A1716" i="5"/>
  <c r="C1715" i="5"/>
  <c r="B1715" i="5"/>
  <c r="A1715" i="5"/>
  <c r="C1714" i="5"/>
  <c r="B1714" i="5"/>
  <c r="A1714" i="5"/>
  <c r="C1713" i="5"/>
  <c r="B1713" i="5"/>
  <c r="A1713" i="5"/>
  <c r="C1712" i="5"/>
  <c r="B1712" i="5"/>
  <c r="A1712" i="5"/>
  <c r="C1711" i="5"/>
  <c r="B1711" i="5"/>
  <c r="A1711" i="5"/>
  <c r="C1710" i="5"/>
  <c r="B1710" i="5"/>
  <c r="A1710" i="5"/>
  <c r="C1709" i="5"/>
  <c r="B1709" i="5"/>
  <c r="A1709" i="5"/>
  <c r="C1708" i="5"/>
  <c r="B1708" i="5"/>
  <c r="A1708" i="5"/>
  <c r="C1707" i="5"/>
  <c r="B1707" i="5"/>
  <c r="A1707" i="5"/>
  <c r="C1706" i="5"/>
  <c r="B1706" i="5"/>
  <c r="A1706" i="5"/>
  <c r="C1705" i="5"/>
  <c r="B1705" i="5"/>
  <c r="A1705" i="5"/>
  <c r="C1704" i="5"/>
  <c r="B1704" i="5"/>
  <c r="A1704" i="5"/>
  <c r="C1703" i="5"/>
  <c r="B1703" i="5"/>
  <c r="A1703" i="5"/>
  <c r="C1702" i="5"/>
  <c r="B1702" i="5"/>
  <c r="A1702" i="5"/>
  <c r="C1701" i="5"/>
  <c r="B1701" i="5"/>
  <c r="A1701" i="5"/>
  <c r="C1700" i="5"/>
  <c r="B1700" i="5"/>
  <c r="A1700" i="5"/>
  <c r="C1699" i="5"/>
  <c r="B1699" i="5"/>
  <c r="A1699" i="5"/>
  <c r="C1698" i="5"/>
  <c r="B1698" i="5"/>
  <c r="A1698" i="5"/>
  <c r="C1697" i="5"/>
  <c r="B1697" i="5"/>
  <c r="A1697" i="5"/>
  <c r="C1696" i="5"/>
  <c r="B1696" i="5"/>
  <c r="A1696" i="5"/>
  <c r="C1695" i="5"/>
  <c r="B1695" i="5"/>
  <c r="A1695" i="5"/>
  <c r="C1694" i="5"/>
  <c r="B1694" i="5"/>
  <c r="A1694" i="5"/>
  <c r="C1693" i="5"/>
  <c r="B1693" i="5"/>
  <c r="A1693" i="5"/>
  <c r="C1692" i="5"/>
  <c r="B1692" i="5"/>
  <c r="A1692" i="5"/>
  <c r="C1691" i="5"/>
  <c r="B1691" i="5"/>
  <c r="A1691" i="5"/>
  <c r="C1690" i="5"/>
  <c r="B1690" i="5"/>
  <c r="A1690" i="5"/>
  <c r="C1689" i="5"/>
  <c r="B1689" i="5"/>
  <c r="A1689" i="5"/>
  <c r="C1688" i="5"/>
  <c r="B1688" i="5"/>
  <c r="A1688" i="5"/>
  <c r="C1687" i="5"/>
  <c r="B1687" i="5"/>
  <c r="A1687" i="5"/>
  <c r="C1686" i="5"/>
  <c r="B1686" i="5"/>
  <c r="A1686" i="5"/>
  <c r="C1685" i="5"/>
  <c r="B1685" i="5"/>
  <c r="A1685" i="5"/>
  <c r="C1684" i="5"/>
  <c r="B1684" i="5"/>
  <c r="A1684" i="5"/>
  <c r="C1683" i="5"/>
  <c r="B1683" i="5"/>
  <c r="A1683" i="5"/>
  <c r="C1682" i="5"/>
  <c r="B1682" i="5"/>
  <c r="A1682" i="5"/>
  <c r="C1681" i="5"/>
  <c r="B1681" i="5"/>
  <c r="A1681" i="5"/>
  <c r="C1680" i="5"/>
  <c r="B1680" i="5"/>
  <c r="A1680" i="5"/>
  <c r="C1679" i="5"/>
  <c r="B1679" i="5"/>
  <c r="A1679" i="5"/>
  <c r="C1678" i="5"/>
  <c r="B1678" i="5"/>
  <c r="A1678" i="5"/>
  <c r="C1677" i="5"/>
  <c r="B1677" i="5"/>
  <c r="A1677" i="5"/>
  <c r="C1676" i="5"/>
  <c r="B1676" i="5"/>
  <c r="A1676" i="5"/>
  <c r="C1675" i="5"/>
  <c r="B1675" i="5"/>
  <c r="A1675" i="5"/>
  <c r="C1674" i="5"/>
  <c r="B1674" i="5"/>
  <c r="A1674" i="5"/>
  <c r="C1673" i="5"/>
  <c r="B1673" i="5"/>
  <c r="A1673" i="5"/>
  <c r="C1672" i="5"/>
  <c r="B1672" i="5"/>
  <c r="A1672" i="5"/>
  <c r="C1671" i="5"/>
  <c r="B1671" i="5"/>
  <c r="A1671" i="5"/>
  <c r="C1670" i="5"/>
  <c r="B1670" i="5"/>
  <c r="A1670" i="5"/>
  <c r="C1669" i="5"/>
  <c r="B1669" i="5"/>
  <c r="A1669" i="5"/>
  <c r="C1668" i="5"/>
  <c r="B1668" i="5"/>
  <c r="A1668" i="5"/>
  <c r="C1667" i="5"/>
  <c r="B1667" i="5"/>
  <c r="A1667" i="5"/>
  <c r="C1666" i="5"/>
  <c r="B1666" i="5"/>
  <c r="A1666" i="5"/>
  <c r="C1665" i="5"/>
  <c r="B1665" i="5"/>
  <c r="A1665" i="5"/>
  <c r="C1664" i="5"/>
  <c r="B1664" i="5"/>
  <c r="A1664" i="5"/>
  <c r="C1663" i="5"/>
  <c r="B1663" i="5"/>
  <c r="A1663" i="5"/>
  <c r="C1662" i="5"/>
  <c r="B1662" i="5"/>
  <c r="A1662" i="5"/>
  <c r="C1661" i="5"/>
  <c r="B1661" i="5"/>
  <c r="A1661" i="5"/>
  <c r="C1660" i="5"/>
  <c r="B1660" i="5"/>
  <c r="A1660" i="5"/>
  <c r="C1659" i="5"/>
  <c r="B1659" i="5"/>
  <c r="A1659" i="5"/>
  <c r="C1658" i="5"/>
  <c r="B1658" i="5"/>
  <c r="A1658" i="5"/>
  <c r="C1657" i="5"/>
  <c r="B1657" i="5"/>
  <c r="A1657" i="5"/>
  <c r="C1656" i="5"/>
  <c r="B1656" i="5"/>
  <c r="A1656" i="5"/>
  <c r="C1655" i="5"/>
  <c r="B1655" i="5"/>
  <c r="A1655" i="5"/>
  <c r="C1654" i="5"/>
  <c r="B1654" i="5"/>
  <c r="A1654" i="5"/>
  <c r="C1653" i="5"/>
  <c r="B1653" i="5"/>
  <c r="A1653" i="5"/>
  <c r="C1652" i="5"/>
  <c r="B1652" i="5"/>
  <c r="A1652" i="5"/>
  <c r="C1651" i="5"/>
  <c r="B1651" i="5"/>
  <c r="A1651" i="5"/>
  <c r="C1650" i="5"/>
  <c r="B1650" i="5"/>
  <c r="A1650" i="5"/>
  <c r="C1649" i="5"/>
  <c r="B1649" i="5"/>
  <c r="A1649" i="5"/>
  <c r="C1648" i="5"/>
  <c r="B1648" i="5"/>
  <c r="A1648" i="5"/>
  <c r="C1647" i="5"/>
  <c r="B1647" i="5"/>
  <c r="A1647" i="5"/>
  <c r="C1646" i="5"/>
  <c r="B1646" i="5"/>
  <c r="A1646" i="5"/>
  <c r="C1645" i="5"/>
  <c r="B1645" i="5"/>
  <c r="A1645" i="5"/>
  <c r="C1644" i="5"/>
  <c r="B1644" i="5"/>
  <c r="A1644" i="5"/>
  <c r="C1643" i="5"/>
  <c r="B1643" i="5"/>
  <c r="A1643" i="5"/>
  <c r="C1642" i="5"/>
  <c r="B1642" i="5"/>
  <c r="A1642" i="5"/>
  <c r="C1641" i="5"/>
  <c r="B1641" i="5"/>
  <c r="A1641" i="5"/>
  <c r="C1640" i="5"/>
  <c r="B1640" i="5"/>
  <c r="A1640" i="5"/>
  <c r="C1639" i="5"/>
  <c r="B1639" i="5"/>
  <c r="A1639" i="5"/>
  <c r="C1638" i="5"/>
  <c r="B1638" i="5"/>
  <c r="A1638" i="5"/>
  <c r="C1637" i="5"/>
  <c r="B1637" i="5"/>
  <c r="A1637" i="5"/>
  <c r="C1636" i="5"/>
  <c r="B1636" i="5"/>
  <c r="A1636" i="5"/>
  <c r="C1635" i="5"/>
  <c r="B1635" i="5"/>
  <c r="A1635" i="5"/>
  <c r="C1634" i="5"/>
  <c r="B1634" i="5"/>
  <c r="A1634" i="5"/>
  <c r="C1633" i="5"/>
  <c r="B1633" i="5"/>
  <c r="A1633" i="5"/>
  <c r="C1632" i="5"/>
  <c r="B1632" i="5"/>
  <c r="A1632" i="5"/>
  <c r="C1631" i="5"/>
  <c r="B1631" i="5"/>
  <c r="A1631" i="5"/>
  <c r="C1630" i="5"/>
  <c r="B1630" i="5"/>
  <c r="A1630" i="5"/>
  <c r="C1629" i="5"/>
  <c r="B1629" i="5"/>
  <c r="A1629" i="5"/>
  <c r="C1628" i="5"/>
  <c r="B1628" i="5"/>
  <c r="A1628" i="5"/>
  <c r="C1627" i="5"/>
  <c r="B1627" i="5"/>
  <c r="A1627" i="5"/>
  <c r="C1626" i="5"/>
  <c r="B1626" i="5"/>
  <c r="A1626" i="5"/>
  <c r="C1625" i="5"/>
  <c r="B1625" i="5"/>
  <c r="A1625" i="5"/>
  <c r="C1624" i="5"/>
  <c r="B1624" i="5"/>
  <c r="A1624" i="5"/>
  <c r="C1623" i="5"/>
  <c r="B1623" i="5"/>
  <c r="A1623" i="5"/>
  <c r="C1622" i="5"/>
  <c r="B1622" i="5"/>
  <c r="A1622" i="5"/>
  <c r="C1621" i="5"/>
  <c r="B1621" i="5"/>
  <c r="A1621" i="5"/>
  <c r="C1620" i="5"/>
  <c r="B1620" i="5"/>
  <c r="A1620" i="5"/>
  <c r="C1619" i="5"/>
  <c r="B1619" i="5"/>
  <c r="A1619" i="5"/>
  <c r="C1618" i="5"/>
  <c r="B1618" i="5"/>
  <c r="A1618" i="5"/>
  <c r="C1617" i="5"/>
  <c r="B1617" i="5"/>
  <c r="A1617" i="5"/>
  <c r="C1616" i="5"/>
  <c r="B1616" i="5"/>
  <c r="A1616" i="5"/>
  <c r="C1615" i="5"/>
  <c r="B1615" i="5"/>
  <c r="A1615" i="5"/>
  <c r="C1614" i="5"/>
  <c r="B1614" i="5"/>
  <c r="A1614" i="5"/>
  <c r="C1613" i="5"/>
  <c r="B1613" i="5"/>
  <c r="A1613" i="5"/>
  <c r="C1612" i="5"/>
  <c r="B1612" i="5"/>
  <c r="A1612" i="5"/>
  <c r="C1611" i="5"/>
  <c r="B1611" i="5"/>
  <c r="A1611" i="5"/>
  <c r="C1610" i="5"/>
  <c r="B1610" i="5"/>
  <c r="A1610" i="5"/>
  <c r="C1609" i="5"/>
  <c r="B1609" i="5"/>
  <c r="A1609" i="5"/>
  <c r="C1608" i="5"/>
  <c r="B1608" i="5"/>
  <c r="A1608" i="5"/>
  <c r="C1607" i="5"/>
  <c r="B1607" i="5"/>
  <c r="A1607" i="5"/>
  <c r="C1606" i="5"/>
  <c r="B1606" i="5"/>
  <c r="A1606" i="5"/>
  <c r="C1605" i="5"/>
  <c r="B1605" i="5"/>
  <c r="A1605" i="5"/>
  <c r="C1604" i="5"/>
  <c r="B1604" i="5"/>
  <c r="A1604" i="5"/>
  <c r="C1603" i="5"/>
  <c r="B1603" i="5"/>
  <c r="A1603" i="5"/>
  <c r="C1602" i="5"/>
  <c r="B1602" i="5"/>
  <c r="A1602" i="5"/>
  <c r="C1601" i="5"/>
  <c r="B1601" i="5"/>
  <c r="A1601" i="5"/>
  <c r="C1600" i="5"/>
  <c r="B1600" i="5"/>
  <c r="A1600" i="5"/>
  <c r="C1599" i="5"/>
  <c r="B1599" i="5"/>
  <c r="A1599" i="5"/>
  <c r="C1598" i="5"/>
  <c r="B1598" i="5"/>
  <c r="A1598" i="5"/>
  <c r="C1597" i="5"/>
  <c r="B1597" i="5"/>
  <c r="A1597" i="5"/>
  <c r="C1596" i="5"/>
  <c r="B1596" i="5"/>
  <c r="A1596" i="5"/>
  <c r="C1595" i="5"/>
  <c r="B1595" i="5"/>
  <c r="A1595" i="5"/>
  <c r="C1594" i="5"/>
  <c r="B1594" i="5"/>
  <c r="A1594" i="5"/>
  <c r="C1593" i="5"/>
  <c r="B1593" i="5"/>
  <c r="A1593" i="5"/>
  <c r="C1592" i="5"/>
  <c r="B1592" i="5"/>
  <c r="A1592" i="5"/>
  <c r="C1591" i="5"/>
  <c r="B1591" i="5"/>
  <c r="A1591" i="5"/>
  <c r="C1590" i="5"/>
  <c r="B1590" i="5"/>
  <c r="A1590" i="5"/>
  <c r="C1589" i="5"/>
  <c r="B1589" i="5"/>
  <c r="A1589" i="5"/>
  <c r="C1588" i="5"/>
  <c r="B1588" i="5"/>
  <c r="A1588" i="5"/>
  <c r="C1587" i="5"/>
  <c r="B1587" i="5"/>
  <c r="A1587" i="5"/>
  <c r="C1586" i="5"/>
  <c r="B1586" i="5"/>
  <c r="A1586" i="5"/>
  <c r="C1585" i="5"/>
  <c r="B1585" i="5"/>
  <c r="A1585" i="5"/>
  <c r="C1584" i="5"/>
  <c r="B1584" i="5"/>
  <c r="A1584" i="5"/>
  <c r="C1583" i="5"/>
  <c r="B1583" i="5"/>
  <c r="A1583" i="5"/>
  <c r="C1582" i="5"/>
  <c r="B1582" i="5"/>
  <c r="A1582" i="5"/>
  <c r="C1581" i="5"/>
  <c r="B1581" i="5"/>
  <c r="A1581" i="5"/>
  <c r="C1580" i="5"/>
  <c r="B1580" i="5"/>
  <c r="A1580" i="5"/>
  <c r="C1579" i="5"/>
  <c r="B1579" i="5"/>
  <c r="A1579" i="5"/>
  <c r="C1578" i="5"/>
  <c r="B1578" i="5"/>
  <c r="A1578" i="5"/>
  <c r="C1577" i="5"/>
  <c r="B1577" i="5"/>
  <c r="A1577" i="5"/>
  <c r="C1576" i="5"/>
  <c r="B1576" i="5"/>
  <c r="A1576" i="5"/>
  <c r="C1575" i="5"/>
  <c r="B1575" i="5"/>
  <c r="A1575" i="5"/>
  <c r="C1574" i="5"/>
  <c r="B1574" i="5"/>
  <c r="A1574" i="5"/>
  <c r="C1573" i="5"/>
  <c r="B1573" i="5"/>
  <c r="A1573" i="5"/>
  <c r="C1572" i="5"/>
  <c r="B1572" i="5"/>
  <c r="A1572" i="5"/>
  <c r="C1571" i="5"/>
  <c r="B1571" i="5"/>
  <c r="A1571" i="5"/>
  <c r="C1570" i="5"/>
  <c r="B1570" i="5"/>
  <c r="A1570" i="5"/>
  <c r="C1569" i="5"/>
  <c r="B1569" i="5"/>
  <c r="A1569" i="5"/>
  <c r="C1568" i="5"/>
  <c r="B1568" i="5"/>
  <c r="A1568" i="5"/>
  <c r="C1567" i="5"/>
  <c r="B1567" i="5"/>
  <c r="A1567" i="5"/>
  <c r="C1566" i="5"/>
  <c r="B1566" i="5"/>
  <c r="A1566" i="5"/>
  <c r="C1565" i="5"/>
  <c r="B1565" i="5"/>
  <c r="A1565" i="5"/>
  <c r="C1564" i="5"/>
  <c r="B1564" i="5"/>
  <c r="A1564" i="5"/>
  <c r="C1563" i="5"/>
  <c r="B1563" i="5"/>
  <c r="A1563" i="5"/>
  <c r="C1562" i="5"/>
  <c r="B1562" i="5"/>
  <c r="A1562" i="5"/>
  <c r="C1561" i="5"/>
  <c r="B1561" i="5"/>
  <c r="A1561" i="5"/>
  <c r="C1560" i="5"/>
  <c r="B1560" i="5"/>
  <c r="A1560" i="5"/>
  <c r="C1559" i="5"/>
  <c r="B1559" i="5"/>
  <c r="A1559" i="5"/>
  <c r="C1558" i="5"/>
  <c r="B1558" i="5"/>
  <c r="A1558" i="5"/>
  <c r="C1557" i="5"/>
  <c r="B1557" i="5"/>
  <c r="A1557" i="5"/>
  <c r="C1556" i="5"/>
  <c r="B1556" i="5"/>
  <c r="A1556" i="5"/>
  <c r="C1555" i="5"/>
  <c r="B1555" i="5"/>
  <c r="A1555" i="5"/>
  <c r="C1554" i="5"/>
  <c r="B1554" i="5"/>
  <c r="A1554" i="5"/>
  <c r="C1553" i="5"/>
  <c r="B1553" i="5"/>
  <c r="A1553" i="5"/>
  <c r="C1552" i="5"/>
  <c r="B1552" i="5"/>
  <c r="A1552" i="5"/>
  <c r="C1551" i="5"/>
  <c r="B1551" i="5"/>
  <c r="A1551" i="5"/>
  <c r="C1550" i="5"/>
  <c r="B1550" i="5"/>
  <c r="A1550" i="5"/>
  <c r="C1549" i="5"/>
  <c r="B1549" i="5"/>
  <c r="A1549" i="5"/>
  <c r="C1548" i="5"/>
  <c r="B1548" i="5"/>
  <c r="A1548" i="5"/>
  <c r="C1547" i="5"/>
  <c r="B1547" i="5"/>
  <c r="A1547" i="5"/>
  <c r="C1546" i="5"/>
  <c r="B1546" i="5"/>
  <c r="A1546" i="5"/>
  <c r="C1545" i="5"/>
  <c r="B1545" i="5"/>
  <c r="A1545" i="5"/>
  <c r="C1544" i="5"/>
  <c r="B1544" i="5"/>
  <c r="A1544" i="5"/>
  <c r="C1543" i="5"/>
  <c r="B1543" i="5"/>
  <c r="A1543" i="5"/>
  <c r="C1542" i="5"/>
  <c r="B1542" i="5"/>
  <c r="A1542" i="5"/>
  <c r="C1541" i="5"/>
  <c r="B1541" i="5"/>
  <c r="A1541" i="5"/>
  <c r="C1540" i="5"/>
  <c r="B1540" i="5"/>
  <c r="A1540" i="5"/>
  <c r="C1539" i="5"/>
  <c r="B1539" i="5"/>
  <c r="A1539" i="5"/>
  <c r="C1538" i="5"/>
  <c r="B1538" i="5"/>
  <c r="A1538" i="5"/>
  <c r="C1537" i="5"/>
  <c r="B1537" i="5"/>
  <c r="A1537" i="5"/>
  <c r="C1536" i="5"/>
  <c r="B1536" i="5"/>
  <c r="A1536" i="5"/>
  <c r="C1535" i="5"/>
  <c r="B1535" i="5"/>
  <c r="A1535" i="5"/>
  <c r="C1534" i="5"/>
  <c r="B1534" i="5"/>
  <c r="A1534" i="5"/>
  <c r="C1533" i="5"/>
  <c r="B1533" i="5"/>
  <c r="A1533" i="5"/>
  <c r="C1532" i="5"/>
  <c r="B1532" i="5"/>
  <c r="A1532" i="5"/>
  <c r="C1531" i="5"/>
  <c r="B1531" i="5"/>
  <c r="A1531" i="5"/>
  <c r="C1530" i="5"/>
  <c r="B1530" i="5"/>
  <c r="A1530" i="5"/>
  <c r="C1529" i="5"/>
  <c r="B1529" i="5"/>
  <c r="A1529" i="5"/>
  <c r="C1528" i="5"/>
  <c r="B1528" i="5"/>
  <c r="A1528" i="5"/>
  <c r="C1527" i="5"/>
  <c r="B1527" i="5"/>
  <c r="A1527" i="5"/>
  <c r="C1526" i="5"/>
  <c r="B1526" i="5"/>
  <c r="A1526" i="5"/>
  <c r="C1525" i="5"/>
  <c r="B1525" i="5"/>
  <c r="A1525" i="5"/>
  <c r="C1524" i="5"/>
  <c r="B1524" i="5"/>
  <c r="A1524" i="5"/>
  <c r="C1523" i="5"/>
  <c r="B1523" i="5"/>
  <c r="A1523" i="5"/>
  <c r="C1522" i="5"/>
  <c r="B1522" i="5"/>
  <c r="A1522" i="5"/>
  <c r="C1521" i="5"/>
  <c r="B1521" i="5"/>
  <c r="A1521" i="5"/>
  <c r="C1520" i="5"/>
  <c r="B1520" i="5"/>
  <c r="A1520" i="5"/>
  <c r="C1519" i="5"/>
  <c r="B1519" i="5"/>
  <c r="A1519" i="5"/>
  <c r="C1518" i="5"/>
  <c r="B1518" i="5"/>
  <c r="A1518" i="5"/>
  <c r="C1517" i="5"/>
  <c r="B1517" i="5"/>
  <c r="A1517" i="5"/>
  <c r="C1516" i="5"/>
  <c r="B1516" i="5"/>
  <c r="A1516" i="5"/>
  <c r="C1515" i="5"/>
  <c r="B1515" i="5"/>
  <c r="A1515" i="5"/>
  <c r="C1514" i="5"/>
  <c r="B1514" i="5"/>
  <c r="A1514" i="5"/>
  <c r="C1513" i="5"/>
  <c r="B1513" i="5"/>
  <c r="A1513" i="5"/>
  <c r="C1512" i="5"/>
  <c r="B1512" i="5"/>
  <c r="A1512" i="5"/>
  <c r="C1511" i="5"/>
  <c r="B1511" i="5"/>
  <c r="A1511" i="5"/>
  <c r="C1510" i="5"/>
  <c r="B1510" i="5"/>
  <c r="A1510" i="5"/>
  <c r="C1509" i="5"/>
  <c r="B1509" i="5"/>
  <c r="A1509" i="5"/>
  <c r="C1508" i="5"/>
  <c r="B1508" i="5"/>
  <c r="A1508" i="5"/>
  <c r="C1507" i="5"/>
  <c r="B1507" i="5"/>
  <c r="A1507" i="5"/>
  <c r="C1506" i="5"/>
  <c r="B1506" i="5"/>
  <c r="A1506" i="5"/>
  <c r="C1505" i="5"/>
  <c r="B1505" i="5"/>
  <c r="A1505" i="5"/>
  <c r="C1504" i="5"/>
  <c r="B1504" i="5"/>
  <c r="A1504" i="5"/>
  <c r="C1503" i="5"/>
  <c r="B1503" i="5"/>
  <c r="A1503" i="5"/>
  <c r="C1502" i="5"/>
  <c r="B1502" i="5"/>
  <c r="A1502" i="5"/>
  <c r="C1501" i="5"/>
  <c r="B1501" i="5"/>
  <c r="A1501" i="5"/>
  <c r="C1500" i="5"/>
  <c r="B1500" i="5"/>
  <c r="A1500" i="5"/>
  <c r="C1499" i="5"/>
  <c r="B1499" i="5"/>
  <c r="A1499" i="5"/>
  <c r="C1498" i="5"/>
  <c r="B1498" i="5"/>
  <c r="A1498" i="5"/>
  <c r="C1497" i="5"/>
  <c r="B1497" i="5"/>
  <c r="A1497" i="5"/>
  <c r="C1496" i="5"/>
  <c r="B1496" i="5"/>
  <c r="A1496" i="5"/>
  <c r="C1495" i="5"/>
  <c r="B1495" i="5"/>
  <c r="A1495" i="5"/>
  <c r="C1494" i="5"/>
  <c r="B1494" i="5"/>
  <c r="A1494" i="5"/>
  <c r="C1493" i="5"/>
  <c r="B1493" i="5"/>
  <c r="A1493" i="5"/>
  <c r="C1492" i="5"/>
  <c r="B1492" i="5"/>
  <c r="A1492" i="5"/>
  <c r="C1491" i="5"/>
  <c r="B1491" i="5"/>
  <c r="A1491" i="5"/>
  <c r="C1490" i="5"/>
  <c r="B1490" i="5"/>
  <c r="A1490" i="5"/>
  <c r="C1489" i="5"/>
  <c r="B1489" i="5"/>
  <c r="A1489" i="5"/>
  <c r="C1488" i="5"/>
  <c r="B1488" i="5"/>
  <c r="A1488" i="5"/>
  <c r="C1487" i="5"/>
  <c r="B1487" i="5"/>
  <c r="A1487" i="5"/>
  <c r="C1486" i="5"/>
  <c r="B1486" i="5"/>
  <c r="A1486" i="5"/>
  <c r="C1485" i="5"/>
  <c r="B1485" i="5"/>
  <c r="A1485" i="5"/>
  <c r="C1484" i="5"/>
  <c r="B1484" i="5"/>
  <c r="A1484" i="5"/>
  <c r="C1483" i="5"/>
  <c r="B1483" i="5"/>
  <c r="A1483" i="5"/>
  <c r="C1482" i="5"/>
  <c r="B1482" i="5"/>
  <c r="A1482" i="5"/>
  <c r="C1481" i="5"/>
  <c r="B1481" i="5"/>
  <c r="A1481" i="5"/>
  <c r="C1480" i="5"/>
  <c r="B1480" i="5"/>
  <c r="A1480" i="5"/>
  <c r="C1479" i="5"/>
  <c r="B1479" i="5"/>
  <c r="A1479" i="5"/>
  <c r="C1478" i="5"/>
  <c r="B1478" i="5"/>
  <c r="A1478" i="5"/>
  <c r="C1477" i="5"/>
  <c r="B1477" i="5"/>
  <c r="A1477" i="5"/>
  <c r="C1476" i="5"/>
  <c r="B1476" i="5"/>
  <c r="A1476" i="5"/>
  <c r="C1475" i="5"/>
  <c r="B1475" i="5"/>
  <c r="A1475" i="5"/>
  <c r="C1474" i="5"/>
  <c r="B1474" i="5"/>
  <c r="A1474" i="5"/>
  <c r="C1473" i="5"/>
  <c r="B1473" i="5"/>
  <c r="A1473" i="5"/>
  <c r="C1472" i="5"/>
  <c r="B1472" i="5"/>
  <c r="A1472" i="5"/>
  <c r="C1471" i="5"/>
  <c r="B1471" i="5"/>
  <c r="A1471" i="5"/>
  <c r="C1470" i="5"/>
  <c r="B1470" i="5"/>
  <c r="A1470" i="5"/>
  <c r="C1469" i="5"/>
  <c r="B1469" i="5"/>
  <c r="A1469" i="5"/>
  <c r="C1468" i="5"/>
  <c r="B1468" i="5"/>
  <c r="A1468" i="5"/>
  <c r="C1467" i="5"/>
  <c r="B1467" i="5"/>
  <c r="A1467" i="5"/>
  <c r="C1466" i="5"/>
  <c r="B1466" i="5"/>
  <c r="A1466" i="5"/>
  <c r="C1465" i="5"/>
  <c r="B1465" i="5"/>
  <c r="A1465" i="5"/>
  <c r="C1464" i="5"/>
  <c r="B1464" i="5"/>
  <c r="A1464" i="5"/>
  <c r="C1463" i="5"/>
  <c r="B1463" i="5"/>
  <c r="A1463" i="5"/>
  <c r="C1462" i="5"/>
  <c r="B1462" i="5"/>
  <c r="A1462" i="5"/>
  <c r="C1461" i="5"/>
  <c r="B1461" i="5"/>
  <c r="A1461" i="5"/>
  <c r="C1460" i="5"/>
  <c r="B1460" i="5"/>
  <c r="A1460" i="5"/>
  <c r="C1459" i="5"/>
  <c r="B1459" i="5"/>
  <c r="A1459" i="5"/>
  <c r="C1458" i="5"/>
  <c r="B1458" i="5"/>
  <c r="A1458" i="5"/>
  <c r="C1457" i="5"/>
  <c r="B1457" i="5"/>
  <c r="A1457" i="5"/>
  <c r="C1456" i="5"/>
  <c r="B1456" i="5"/>
  <c r="A1456" i="5"/>
  <c r="C1455" i="5"/>
  <c r="B1455" i="5"/>
  <c r="A1455" i="5"/>
  <c r="C1454" i="5"/>
  <c r="B1454" i="5"/>
  <c r="A1454" i="5"/>
  <c r="C1453" i="5"/>
  <c r="B1453" i="5"/>
  <c r="A1453" i="5"/>
  <c r="C1452" i="5"/>
  <c r="B1452" i="5"/>
  <c r="A1452" i="5"/>
  <c r="C1451" i="5"/>
  <c r="B1451" i="5"/>
  <c r="A1451" i="5"/>
  <c r="C1450" i="5"/>
  <c r="B1450" i="5"/>
  <c r="A1450" i="5"/>
  <c r="C1449" i="5"/>
  <c r="B1449" i="5"/>
  <c r="A1449" i="5"/>
  <c r="C1448" i="5"/>
  <c r="B1448" i="5"/>
  <c r="A1448" i="5"/>
  <c r="C1447" i="5"/>
  <c r="B1447" i="5"/>
  <c r="A1447" i="5"/>
  <c r="C1446" i="5"/>
  <c r="B1446" i="5"/>
  <c r="A1446" i="5"/>
  <c r="C1445" i="5"/>
  <c r="B1445" i="5"/>
  <c r="A1445" i="5"/>
  <c r="C1444" i="5"/>
  <c r="B1444" i="5"/>
  <c r="A1444" i="5"/>
  <c r="C1443" i="5"/>
  <c r="B1443" i="5"/>
  <c r="A1443" i="5"/>
  <c r="C1442" i="5"/>
  <c r="B1442" i="5"/>
  <c r="A1442" i="5"/>
  <c r="C1441" i="5"/>
  <c r="B1441" i="5"/>
  <c r="A1441" i="5"/>
  <c r="C1440" i="5"/>
  <c r="B1440" i="5"/>
  <c r="A1440" i="5"/>
  <c r="C1439" i="5"/>
  <c r="B1439" i="5"/>
  <c r="A1439" i="5"/>
  <c r="C1438" i="5"/>
  <c r="B1438" i="5"/>
  <c r="A1438" i="5"/>
  <c r="C1437" i="5"/>
  <c r="B1437" i="5"/>
  <c r="A1437" i="5"/>
  <c r="C1436" i="5"/>
  <c r="B1436" i="5"/>
  <c r="A1436" i="5"/>
  <c r="C1435" i="5"/>
  <c r="B1435" i="5"/>
  <c r="A1435" i="5"/>
  <c r="C1434" i="5"/>
  <c r="B1434" i="5"/>
  <c r="A1434" i="5"/>
  <c r="C1433" i="5"/>
  <c r="B1433" i="5"/>
  <c r="A1433" i="5"/>
  <c r="C1432" i="5"/>
  <c r="B1432" i="5"/>
  <c r="A1432" i="5"/>
  <c r="C1431" i="5"/>
  <c r="B1431" i="5"/>
  <c r="A1431" i="5"/>
  <c r="C1430" i="5"/>
  <c r="B1430" i="5"/>
  <c r="A1430" i="5"/>
  <c r="C1429" i="5"/>
  <c r="B1429" i="5"/>
  <c r="A1429" i="5"/>
  <c r="C1428" i="5"/>
  <c r="B1428" i="5"/>
  <c r="A1428" i="5"/>
  <c r="C1427" i="5"/>
  <c r="B1427" i="5"/>
  <c r="A1427" i="5"/>
  <c r="C1426" i="5"/>
  <c r="B1426" i="5"/>
  <c r="A1426" i="5"/>
  <c r="C1425" i="5"/>
  <c r="B1425" i="5"/>
  <c r="A1425" i="5"/>
  <c r="C1424" i="5"/>
  <c r="B1424" i="5"/>
  <c r="A1424" i="5"/>
  <c r="C1423" i="5"/>
  <c r="B1423" i="5"/>
  <c r="A1423" i="5"/>
  <c r="C1422" i="5"/>
  <c r="B1422" i="5"/>
  <c r="A1422" i="5"/>
  <c r="C1421" i="5"/>
  <c r="B1421" i="5"/>
  <c r="A1421" i="5"/>
  <c r="C1420" i="5"/>
  <c r="B1420" i="5"/>
  <c r="A1420" i="5"/>
  <c r="C1419" i="5"/>
  <c r="B1419" i="5"/>
  <c r="A1419" i="5"/>
  <c r="C1418" i="5"/>
  <c r="B1418" i="5"/>
  <c r="A1418" i="5"/>
  <c r="C1417" i="5"/>
  <c r="B1417" i="5"/>
  <c r="A1417" i="5"/>
  <c r="C1416" i="5"/>
  <c r="B1416" i="5"/>
  <c r="A1416" i="5"/>
  <c r="C1415" i="5"/>
  <c r="B1415" i="5"/>
  <c r="A1415" i="5"/>
  <c r="C1414" i="5"/>
  <c r="B1414" i="5"/>
  <c r="A1414" i="5"/>
  <c r="C1413" i="5"/>
  <c r="B1413" i="5"/>
  <c r="A1413" i="5"/>
  <c r="C1412" i="5"/>
  <c r="B1412" i="5"/>
  <c r="A1412" i="5"/>
  <c r="C1411" i="5"/>
  <c r="B1411" i="5"/>
  <c r="A1411" i="5"/>
  <c r="C1410" i="5"/>
  <c r="B1410" i="5"/>
  <c r="A1410" i="5"/>
  <c r="C1409" i="5"/>
  <c r="B1409" i="5"/>
  <c r="A1409" i="5"/>
  <c r="C1408" i="5"/>
  <c r="B1408" i="5"/>
  <c r="A1408" i="5"/>
  <c r="C1407" i="5"/>
  <c r="B1407" i="5"/>
  <c r="A1407" i="5"/>
  <c r="C1406" i="5"/>
  <c r="B1406" i="5"/>
  <c r="A1406" i="5"/>
  <c r="C1405" i="5"/>
  <c r="B1405" i="5"/>
  <c r="A1405" i="5"/>
  <c r="C1404" i="5"/>
  <c r="B1404" i="5"/>
  <c r="A1404" i="5"/>
  <c r="C1403" i="5"/>
  <c r="B1403" i="5"/>
  <c r="A1403" i="5"/>
  <c r="C1402" i="5"/>
  <c r="B1402" i="5"/>
  <c r="A1402" i="5"/>
  <c r="C1401" i="5"/>
  <c r="B1401" i="5"/>
  <c r="A1401" i="5"/>
  <c r="C1400" i="5"/>
  <c r="B1400" i="5"/>
  <c r="A1400" i="5"/>
  <c r="C1399" i="5"/>
  <c r="B1399" i="5"/>
  <c r="A1399" i="5"/>
  <c r="C1398" i="5"/>
  <c r="B1398" i="5"/>
  <c r="A1398" i="5"/>
  <c r="C1397" i="5"/>
  <c r="B1397" i="5"/>
  <c r="A1397" i="5"/>
  <c r="C1396" i="5"/>
  <c r="B1396" i="5"/>
  <c r="A1396" i="5"/>
  <c r="C1395" i="5"/>
  <c r="B1395" i="5"/>
  <c r="A1395" i="5"/>
  <c r="C1394" i="5"/>
  <c r="B1394" i="5"/>
  <c r="A1394" i="5"/>
  <c r="C1393" i="5"/>
  <c r="B1393" i="5"/>
  <c r="A1393" i="5"/>
  <c r="C1392" i="5"/>
  <c r="B1392" i="5"/>
  <c r="A1392" i="5"/>
  <c r="C1391" i="5"/>
  <c r="B1391" i="5"/>
  <c r="A1391" i="5"/>
  <c r="C1390" i="5"/>
  <c r="B1390" i="5"/>
  <c r="A1390" i="5"/>
  <c r="C1389" i="5"/>
  <c r="B1389" i="5"/>
  <c r="A1389" i="5"/>
  <c r="C1388" i="5"/>
  <c r="B1388" i="5"/>
  <c r="A1388" i="5"/>
  <c r="C1387" i="5"/>
  <c r="B1387" i="5"/>
  <c r="A1387" i="5"/>
  <c r="C1386" i="5"/>
  <c r="B1386" i="5"/>
  <c r="A1386" i="5"/>
  <c r="C1385" i="5"/>
  <c r="B1385" i="5"/>
  <c r="A1385" i="5"/>
  <c r="C1384" i="5"/>
  <c r="B1384" i="5"/>
  <c r="A1384" i="5"/>
  <c r="C1383" i="5"/>
  <c r="B1383" i="5"/>
  <c r="A1383" i="5"/>
  <c r="C1382" i="5"/>
  <c r="B1382" i="5"/>
  <c r="A1382" i="5"/>
  <c r="C1381" i="5"/>
  <c r="B1381" i="5"/>
  <c r="A1381" i="5"/>
  <c r="C1380" i="5"/>
  <c r="B1380" i="5"/>
  <c r="A1380" i="5"/>
  <c r="C1379" i="5"/>
  <c r="B1379" i="5"/>
  <c r="A1379" i="5"/>
  <c r="C1378" i="5"/>
  <c r="B1378" i="5"/>
  <c r="A1378" i="5"/>
  <c r="C1377" i="5"/>
  <c r="B1377" i="5"/>
  <c r="A1377" i="5"/>
  <c r="C1376" i="5"/>
  <c r="B1376" i="5"/>
  <c r="A1376" i="5"/>
  <c r="C1375" i="5"/>
  <c r="B1375" i="5"/>
  <c r="A1375" i="5"/>
  <c r="C1374" i="5"/>
  <c r="B1374" i="5"/>
  <c r="A1374" i="5"/>
  <c r="C1373" i="5"/>
  <c r="B1373" i="5"/>
  <c r="A1373" i="5"/>
  <c r="C1372" i="5"/>
  <c r="B1372" i="5"/>
  <c r="A1372" i="5"/>
  <c r="C1371" i="5"/>
  <c r="B1371" i="5"/>
  <c r="A1371" i="5"/>
  <c r="C1370" i="5"/>
  <c r="B1370" i="5"/>
  <c r="A1370" i="5"/>
  <c r="C1369" i="5"/>
  <c r="B1369" i="5"/>
  <c r="A1369" i="5"/>
  <c r="C1368" i="5"/>
  <c r="B1368" i="5"/>
  <c r="A1368" i="5"/>
  <c r="C1367" i="5"/>
  <c r="B1367" i="5"/>
  <c r="A1367" i="5"/>
  <c r="C1366" i="5"/>
  <c r="B1366" i="5"/>
  <c r="A1366" i="5"/>
  <c r="C1365" i="5"/>
  <c r="B1365" i="5"/>
  <c r="A1365" i="5"/>
  <c r="C1364" i="5"/>
  <c r="B1364" i="5"/>
  <c r="A1364" i="5"/>
  <c r="C1363" i="5"/>
  <c r="B1363" i="5"/>
  <c r="A1363" i="5"/>
  <c r="C1362" i="5"/>
  <c r="B1362" i="5"/>
  <c r="A1362" i="5"/>
  <c r="C1361" i="5"/>
  <c r="B1361" i="5"/>
  <c r="A1361" i="5"/>
  <c r="C1360" i="5"/>
  <c r="B1360" i="5"/>
  <c r="A1360" i="5"/>
  <c r="C1359" i="5"/>
  <c r="B1359" i="5"/>
  <c r="A1359" i="5"/>
  <c r="C1358" i="5"/>
  <c r="B1358" i="5"/>
  <c r="A1358" i="5"/>
  <c r="C1357" i="5"/>
  <c r="B1357" i="5"/>
  <c r="A1357" i="5"/>
  <c r="C1356" i="5"/>
  <c r="B1356" i="5"/>
  <c r="A1356" i="5"/>
  <c r="C1355" i="5"/>
  <c r="B1355" i="5"/>
  <c r="A1355" i="5"/>
  <c r="C1354" i="5"/>
  <c r="B1354" i="5"/>
  <c r="A1354" i="5"/>
  <c r="C1353" i="5"/>
  <c r="B1353" i="5"/>
  <c r="A1353" i="5"/>
  <c r="C1352" i="5"/>
  <c r="B1352" i="5"/>
  <c r="A1352" i="5"/>
  <c r="C1351" i="5"/>
  <c r="B1351" i="5"/>
  <c r="A1351" i="5"/>
  <c r="C1350" i="5"/>
  <c r="B1350" i="5"/>
  <c r="A1350" i="5"/>
  <c r="C1349" i="5"/>
  <c r="B1349" i="5"/>
  <c r="A1349" i="5"/>
  <c r="C1348" i="5"/>
  <c r="B1348" i="5"/>
  <c r="A1348" i="5"/>
  <c r="C1347" i="5"/>
  <c r="B1347" i="5"/>
  <c r="A1347" i="5"/>
  <c r="C1346" i="5"/>
  <c r="B1346" i="5"/>
  <c r="A1346" i="5"/>
  <c r="C1345" i="5"/>
  <c r="B1345" i="5"/>
  <c r="A1345" i="5"/>
  <c r="C1344" i="5"/>
  <c r="B1344" i="5"/>
  <c r="A1344" i="5"/>
  <c r="C1343" i="5"/>
  <c r="B1343" i="5"/>
  <c r="A1343" i="5"/>
  <c r="C1342" i="5"/>
  <c r="B1342" i="5"/>
  <c r="A1342" i="5"/>
  <c r="C1341" i="5"/>
  <c r="B1341" i="5"/>
  <c r="A1341" i="5"/>
  <c r="C1340" i="5"/>
  <c r="B1340" i="5"/>
  <c r="A1340" i="5"/>
  <c r="C1339" i="5"/>
  <c r="B1339" i="5"/>
  <c r="A1339" i="5"/>
  <c r="C1338" i="5"/>
  <c r="B1338" i="5"/>
  <c r="A1338" i="5"/>
  <c r="C1337" i="5"/>
  <c r="B1337" i="5"/>
  <c r="A1337" i="5"/>
  <c r="C1336" i="5"/>
  <c r="B1336" i="5"/>
  <c r="A1336" i="5"/>
  <c r="C1335" i="5"/>
  <c r="B1335" i="5"/>
  <c r="A1335" i="5"/>
  <c r="C1334" i="5"/>
  <c r="B1334" i="5"/>
  <c r="A1334" i="5"/>
  <c r="C1333" i="5"/>
  <c r="B1333" i="5"/>
  <c r="A1333" i="5"/>
  <c r="C1332" i="5"/>
  <c r="B1332" i="5"/>
  <c r="A1332" i="5"/>
  <c r="C1331" i="5"/>
  <c r="B1331" i="5"/>
  <c r="A1331" i="5"/>
  <c r="C1330" i="5"/>
  <c r="B1330" i="5"/>
  <c r="A1330" i="5"/>
  <c r="C1329" i="5"/>
  <c r="B1329" i="5"/>
  <c r="A1329" i="5"/>
  <c r="C1328" i="5"/>
  <c r="B1328" i="5"/>
  <c r="A1328" i="5"/>
  <c r="C1327" i="5"/>
  <c r="B1327" i="5"/>
  <c r="A1327" i="5"/>
  <c r="C1326" i="5"/>
  <c r="B1326" i="5"/>
  <c r="A1326" i="5"/>
  <c r="C1325" i="5"/>
  <c r="B1325" i="5"/>
  <c r="A1325" i="5"/>
  <c r="C1324" i="5"/>
  <c r="B1324" i="5"/>
  <c r="A1324" i="5"/>
  <c r="C1323" i="5"/>
  <c r="B1323" i="5"/>
  <c r="A1323" i="5"/>
  <c r="C1322" i="5"/>
  <c r="B1322" i="5"/>
  <c r="A1322" i="5"/>
  <c r="C1321" i="5"/>
  <c r="B1321" i="5"/>
  <c r="A1321" i="5"/>
  <c r="C1320" i="5"/>
  <c r="B1320" i="5"/>
  <c r="A1320" i="5"/>
  <c r="C1319" i="5"/>
  <c r="B1319" i="5"/>
  <c r="A1319" i="5"/>
  <c r="C1318" i="5"/>
  <c r="B1318" i="5"/>
  <c r="A1318" i="5"/>
  <c r="C1317" i="5"/>
  <c r="B1317" i="5"/>
  <c r="A1317" i="5"/>
  <c r="C1316" i="5"/>
  <c r="B1316" i="5"/>
  <c r="A1316" i="5"/>
  <c r="C1315" i="5"/>
  <c r="B1315" i="5"/>
  <c r="A1315" i="5"/>
  <c r="C1314" i="5"/>
  <c r="B1314" i="5"/>
  <c r="A1314" i="5"/>
  <c r="C1313" i="5"/>
  <c r="B1313" i="5"/>
  <c r="A1313" i="5"/>
  <c r="C1312" i="5"/>
  <c r="B1312" i="5"/>
  <c r="A1312" i="5"/>
  <c r="C1311" i="5"/>
  <c r="B1311" i="5"/>
  <c r="A1311" i="5"/>
  <c r="C1310" i="5"/>
  <c r="B1310" i="5"/>
  <c r="A1310" i="5"/>
  <c r="C1309" i="5"/>
  <c r="B1309" i="5"/>
  <c r="A1309" i="5"/>
  <c r="C1308" i="5"/>
  <c r="B1308" i="5"/>
  <c r="A1308" i="5"/>
  <c r="C1307" i="5"/>
  <c r="B1307" i="5"/>
  <c r="A1307" i="5"/>
  <c r="C1306" i="5"/>
  <c r="B1306" i="5"/>
  <c r="A1306" i="5"/>
  <c r="C1305" i="5"/>
  <c r="B1305" i="5"/>
  <c r="A1305" i="5"/>
  <c r="C1304" i="5"/>
  <c r="B1304" i="5"/>
  <c r="A1304" i="5"/>
  <c r="C1303" i="5"/>
  <c r="B1303" i="5"/>
  <c r="A1303" i="5"/>
  <c r="C1302" i="5"/>
  <c r="B1302" i="5"/>
  <c r="A1302" i="5"/>
  <c r="C1301" i="5"/>
  <c r="B1301" i="5"/>
  <c r="A1301" i="5"/>
  <c r="C1300" i="5"/>
  <c r="B1300" i="5"/>
  <c r="A1300" i="5"/>
  <c r="C1299" i="5"/>
  <c r="B1299" i="5"/>
  <c r="A1299" i="5"/>
  <c r="C1298" i="5"/>
  <c r="B1298" i="5"/>
  <c r="A1298" i="5"/>
  <c r="C1297" i="5"/>
  <c r="B1297" i="5"/>
  <c r="A1297" i="5"/>
  <c r="C1296" i="5"/>
  <c r="B1296" i="5"/>
  <c r="A1296" i="5"/>
  <c r="C1295" i="5"/>
  <c r="B1295" i="5"/>
  <c r="A1295" i="5"/>
  <c r="C1294" i="5"/>
  <c r="B1294" i="5"/>
  <c r="A1294" i="5"/>
  <c r="C1293" i="5"/>
  <c r="B1293" i="5"/>
  <c r="A1293" i="5"/>
  <c r="C1292" i="5"/>
  <c r="B1292" i="5"/>
  <c r="A1292" i="5"/>
  <c r="C1291" i="5"/>
  <c r="B1291" i="5"/>
  <c r="A1291" i="5"/>
  <c r="C1290" i="5"/>
  <c r="B1290" i="5"/>
  <c r="A1290" i="5"/>
  <c r="C1289" i="5"/>
  <c r="B1289" i="5"/>
  <c r="A1289" i="5"/>
  <c r="C1288" i="5"/>
  <c r="B1288" i="5"/>
  <c r="A1288" i="5"/>
  <c r="C1287" i="5"/>
  <c r="B1287" i="5"/>
  <c r="A1287" i="5"/>
  <c r="C1286" i="5"/>
  <c r="B1286" i="5"/>
  <c r="A1286" i="5"/>
  <c r="C1285" i="5"/>
  <c r="B1285" i="5"/>
  <c r="A1285" i="5"/>
  <c r="C1284" i="5"/>
  <c r="B1284" i="5"/>
  <c r="A1284" i="5"/>
  <c r="C1283" i="5"/>
  <c r="B1283" i="5"/>
  <c r="A1283" i="5"/>
  <c r="C1282" i="5"/>
  <c r="B1282" i="5"/>
  <c r="A1282" i="5"/>
  <c r="C1281" i="5"/>
  <c r="B1281" i="5"/>
  <c r="A1281" i="5"/>
  <c r="C1280" i="5"/>
  <c r="B1280" i="5"/>
  <c r="A1280" i="5"/>
  <c r="C1279" i="5"/>
  <c r="B1279" i="5"/>
  <c r="A1279" i="5"/>
  <c r="C1278" i="5"/>
  <c r="B1278" i="5"/>
  <c r="A1278" i="5"/>
  <c r="C1277" i="5"/>
  <c r="B1277" i="5"/>
  <c r="A1277" i="5"/>
  <c r="C1276" i="5"/>
  <c r="B1276" i="5"/>
  <c r="A1276" i="5"/>
  <c r="C1275" i="5"/>
  <c r="B1275" i="5"/>
  <c r="A1275" i="5"/>
  <c r="C1274" i="5"/>
  <c r="B1274" i="5"/>
  <c r="A1274" i="5"/>
  <c r="C1273" i="5"/>
  <c r="B1273" i="5"/>
  <c r="A1273" i="5"/>
  <c r="C1272" i="5"/>
  <c r="B1272" i="5"/>
  <c r="A1272" i="5"/>
  <c r="C1271" i="5"/>
  <c r="B1271" i="5"/>
  <c r="A1271" i="5"/>
  <c r="C1270" i="5"/>
  <c r="B1270" i="5"/>
  <c r="A1270" i="5"/>
  <c r="C1269" i="5"/>
  <c r="B1269" i="5"/>
  <c r="A1269" i="5"/>
  <c r="C1268" i="5"/>
  <c r="B1268" i="5"/>
  <c r="A1268" i="5"/>
  <c r="C1267" i="5"/>
  <c r="B1267" i="5"/>
  <c r="A1267" i="5"/>
  <c r="C1266" i="5"/>
  <c r="B1266" i="5"/>
  <c r="A1266" i="5"/>
  <c r="C1265" i="5"/>
  <c r="B1265" i="5"/>
  <c r="A1265" i="5"/>
  <c r="C1264" i="5"/>
  <c r="B1264" i="5"/>
  <c r="A1264" i="5"/>
  <c r="C1263" i="5"/>
  <c r="B1263" i="5"/>
  <c r="A1263" i="5"/>
  <c r="C1262" i="5"/>
  <c r="B1262" i="5"/>
  <c r="A1262" i="5"/>
  <c r="C1261" i="5"/>
  <c r="B1261" i="5"/>
  <c r="A1261" i="5"/>
  <c r="C1260" i="5"/>
  <c r="B1260" i="5"/>
  <c r="A1260" i="5"/>
  <c r="C1259" i="5"/>
  <c r="B1259" i="5"/>
  <c r="A1259" i="5"/>
  <c r="C1258" i="5"/>
  <c r="B1258" i="5"/>
  <c r="A1258" i="5"/>
  <c r="C1257" i="5"/>
  <c r="B1257" i="5"/>
  <c r="A1257" i="5"/>
  <c r="C1256" i="5"/>
  <c r="B1256" i="5"/>
  <c r="A1256" i="5"/>
  <c r="C1255" i="5"/>
  <c r="B1255" i="5"/>
  <c r="A1255" i="5"/>
  <c r="C1254" i="5"/>
  <c r="B1254" i="5"/>
  <c r="A1254" i="5"/>
  <c r="C1253" i="5"/>
  <c r="B1253" i="5"/>
  <c r="A1253" i="5"/>
  <c r="C1252" i="5"/>
  <c r="B1252" i="5"/>
  <c r="A1252" i="5"/>
  <c r="C1251" i="5"/>
  <c r="B1251" i="5"/>
  <c r="A1251" i="5"/>
  <c r="C1250" i="5"/>
  <c r="B1250" i="5"/>
  <c r="A1250" i="5"/>
  <c r="C1249" i="5"/>
  <c r="B1249" i="5"/>
  <c r="A1249" i="5"/>
  <c r="C1248" i="5"/>
  <c r="B1248" i="5"/>
  <c r="A1248" i="5"/>
  <c r="C1247" i="5"/>
  <c r="B1247" i="5"/>
  <c r="A1247" i="5"/>
  <c r="C1246" i="5"/>
  <c r="B1246" i="5"/>
  <c r="A1246" i="5"/>
  <c r="C1245" i="5"/>
  <c r="B1245" i="5"/>
  <c r="A1245" i="5"/>
  <c r="C1244" i="5"/>
  <c r="B1244" i="5"/>
  <c r="A1244" i="5"/>
  <c r="C1243" i="5"/>
  <c r="B1243" i="5"/>
  <c r="A1243" i="5"/>
  <c r="C1242" i="5"/>
  <c r="B1242" i="5"/>
  <c r="A1242" i="5"/>
  <c r="C1241" i="5"/>
  <c r="B1241" i="5"/>
  <c r="A1241" i="5"/>
  <c r="C1240" i="5"/>
  <c r="B1240" i="5"/>
  <c r="A1240" i="5"/>
  <c r="C1239" i="5"/>
  <c r="B1239" i="5"/>
  <c r="A1239" i="5"/>
  <c r="C1238" i="5"/>
  <c r="B1238" i="5"/>
  <c r="A1238" i="5"/>
  <c r="C1237" i="5"/>
  <c r="B1237" i="5"/>
  <c r="A1237" i="5"/>
  <c r="C1236" i="5"/>
  <c r="B1236" i="5"/>
  <c r="A1236" i="5"/>
  <c r="C1235" i="5"/>
  <c r="B1235" i="5"/>
  <c r="A1235" i="5"/>
  <c r="C1234" i="5"/>
  <c r="B1234" i="5"/>
  <c r="A1234" i="5"/>
  <c r="C1233" i="5"/>
  <c r="B1233" i="5"/>
  <c r="A1233" i="5"/>
  <c r="C1232" i="5"/>
  <c r="B1232" i="5"/>
  <c r="A1232" i="5"/>
  <c r="C1231" i="5"/>
  <c r="B1231" i="5"/>
  <c r="A1231" i="5"/>
  <c r="C1230" i="5"/>
  <c r="B1230" i="5"/>
  <c r="A1230" i="5"/>
  <c r="C1229" i="5"/>
  <c r="B1229" i="5"/>
  <c r="A1229" i="5"/>
  <c r="C1228" i="5"/>
  <c r="B1228" i="5"/>
  <c r="A1228" i="5"/>
  <c r="C1227" i="5"/>
  <c r="B1227" i="5"/>
  <c r="A1227" i="5"/>
  <c r="C1226" i="5"/>
  <c r="B1226" i="5"/>
  <c r="A1226" i="5"/>
  <c r="C1225" i="5"/>
  <c r="B1225" i="5"/>
  <c r="A1225" i="5"/>
  <c r="C1224" i="5"/>
  <c r="B1224" i="5"/>
  <c r="A1224" i="5"/>
  <c r="C1223" i="5"/>
  <c r="B1223" i="5"/>
  <c r="A1223" i="5"/>
  <c r="C1222" i="5"/>
  <c r="B1222" i="5"/>
  <c r="A1222" i="5"/>
  <c r="C1221" i="5"/>
  <c r="B1221" i="5"/>
  <c r="A1221" i="5"/>
  <c r="C1220" i="5"/>
  <c r="B1220" i="5"/>
  <c r="A1220" i="5"/>
  <c r="C1219" i="5"/>
  <c r="B1219" i="5"/>
  <c r="A1219" i="5"/>
  <c r="C1218" i="5"/>
  <c r="B1218" i="5"/>
  <c r="A1218" i="5"/>
  <c r="C1217" i="5"/>
  <c r="B1217" i="5"/>
  <c r="A1217" i="5"/>
  <c r="C1216" i="5"/>
  <c r="B1216" i="5"/>
  <c r="A1216" i="5"/>
  <c r="C1215" i="5"/>
  <c r="B1215" i="5"/>
  <c r="A1215" i="5"/>
  <c r="C1214" i="5"/>
  <c r="B1214" i="5"/>
  <c r="A1214" i="5"/>
  <c r="C1213" i="5"/>
  <c r="B1213" i="5"/>
  <c r="A1213" i="5"/>
  <c r="C1212" i="5"/>
  <c r="B1212" i="5"/>
  <c r="A1212" i="5"/>
  <c r="C1211" i="5"/>
  <c r="B1211" i="5"/>
  <c r="A1211" i="5"/>
  <c r="C1210" i="5"/>
  <c r="B1210" i="5"/>
  <c r="A1210" i="5"/>
  <c r="C1209" i="5"/>
  <c r="B1209" i="5"/>
  <c r="A1209" i="5"/>
  <c r="C1208" i="5"/>
  <c r="B1208" i="5"/>
  <c r="A1208" i="5"/>
  <c r="C1207" i="5"/>
  <c r="B1207" i="5"/>
  <c r="A1207" i="5"/>
  <c r="C1206" i="5"/>
  <c r="B1206" i="5"/>
  <c r="A1206" i="5"/>
  <c r="C1205" i="5"/>
  <c r="B1205" i="5"/>
  <c r="A1205" i="5"/>
  <c r="C1204" i="5"/>
  <c r="B1204" i="5"/>
  <c r="A1204" i="5"/>
  <c r="C1203" i="5"/>
  <c r="B1203" i="5"/>
  <c r="A1203" i="5"/>
  <c r="C1202" i="5"/>
  <c r="B1202" i="5"/>
  <c r="A1202" i="5"/>
  <c r="C1201" i="5"/>
  <c r="B1201" i="5"/>
  <c r="A1201" i="5"/>
  <c r="C1200" i="5"/>
  <c r="B1200" i="5"/>
  <c r="A1200" i="5"/>
  <c r="C1199" i="5"/>
  <c r="B1199" i="5"/>
  <c r="A1199" i="5"/>
  <c r="C1198" i="5"/>
  <c r="B1198" i="5"/>
  <c r="A1198" i="5"/>
  <c r="C1197" i="5"/>
  <c r="B1197" i="5"/>
  <c r="A1197" i="5"/>
  <c r="C1196" i="5"/>
  <c r="B1196" i="5"/>
  <c r="A1196" i="5"/>
  <c r="C1195" i="5"/>
  <c r="B1195" i="5"/>
  <c r="A1195" i="5"/>
  <c r="C1194" i="5"/>
  <c r="B1194" i="5"/>
  <c r="A1194" i="5"/>
  <c r="C1193" i="5"/>
  <c r="B1193" i="5"/>
  <c r="A1193" i="5"/>
  <c r="C1192" i="5"/>
  <c r="B1192" i="5"/>
  <c r="A1192" i="5"/>
  <c r="C1191" i="5"/>
  <c r="B1191" i="5"/>
  <c r="A1191" i="5"/>
  <c r="C1190" i="5"/>
  <c r="B1190" i="5"/>
  <c r="A1190" i="5"/>
  <c r="C1189" i="5"/>
  <c r="B1189" i="5"/>
  <c r="A1189" i="5"/>
  <c r="C1188" i="5"/>
  <c r="B1188" i="5"/>
  <c r="A1188" i="5"/>
  <c r="C1187" i="5"/>
  <c r="B1187" i="5"/>
  <c r="A1187" i="5"/>
  <c r="C1186" i="5"/>
  <c r="B1186" i="5"/>
  <c r="A1186" i="5"/>
  <c r="C1185" i="5"/>
  <c r="B1185" i="5"/>
  <c r="A1185" i="5"/>
  <c r="C1184" i="5"/>
  <c r="B1184" i="5"/>
  <c r="A1184" i="5"/>
  <c r="C1183" i="5"/>
  <c r="B1183" i="5"/>
  <c r="A1183" i="5"/>
  <c r="C1182" i="5"/>
  <c r="B1182" i="5"/>
  <c r="A1182" i="5"/>
  <c r="C1181" i="5"/>
  <c r="B1181" i="5"/>
  <c r="A1181" i="5"/>
  <c r="C1180" i="5"/>
  <c r="B1180" i="5"/>
  <c r="A1180" i="5"/>
  <c r="C1179" i="5"/>
  <c r="B1179" i="5"/>
  <c r="A1179" i="5"/>
  <c r="C1178" i="5"/>
  <c r="B1178" i="5"/>
  <c r="A1178" i="5"/>
  <c r="C1177" i="5"/>
  <c r="B1177" i="5"/>
  <c r="A1177" i="5"/>
  <c r="C1176" i="5"/>
  <c r="B1176" i="5"/>
  <c r="A1176" i="5"/>
  <c r="C1175" i="5"/>
  <c r="B1175" i="5"/>
  <c r="A1175" i="5"/>
  <c r="C1174" i="5"/>
  <c r="B1174" i="5"/>
  <c r="A1174" i="5"/>
  <c r="C1173" i="5"/>
  <c r="B1173" i="5"/>
  <c r="A1173" i="5"/>
  <c r="C1172" i="5"/>
  <c r="B1172" i="5"/>
  <c r="A1172" i="5"/>
  <c r="C1171" i="5"/>
  <c r="B1171" i="5"/>
  <c r="A1171" i="5"/>
  <c r="C1170" i="5"/>
  <c r="B1170" i="5"/>
  <c r="A1170" i="5"/>
  <c r="C1169" i="5"/>
  <c r="B1169" i="5"/>
  <c r="A1169" i="5"/>
  <c r="C1168" i="5"/>
  <c r="B1168" i="5"/>
  <c r="A1168" i="5"/>
  <c r="C1167" i="5"/>
  <c r="B1167" i="5"/>
  <c r="A1167" i="5"/>
  <c r="C1166" i="5"/>
  <c r="B1166" i="5"/>
  <c r="A1166" i="5"/>
  <c r="C1165" i="5"/>
  <c r="B1165" i="5"/>
  <c r="A1165" i="5"/>
  <c r="C1164" i="5"/>
  <c r="B1164" i="5"/>
  <c r="A1164" i="5"/>
  <c r="C1163" i="5"/>
  <c r="B1163" i="5"/>
  <c r="A1163" i="5"/>
  <c r="C1162" i="5"/>
  <c r="B1162" i="5"/>
  <c r="A1162" i="5"/>
  <c r="C1161" i="5"/>
  <c r="B1161" i="5"/>
  <c r="A1161" i="5"/>
  <c r="C1160" i="5"/>
  <c r="B1160" i="5"/>
  <c r="A1160" i="5"/>
  <c r="C1159" i="5"/>
  <c r="B1159" i="5"/>
  <c r="A1159" i="5"/>
  <c r="C1158" i="5"/>
  <c r="B1158" i="5"/>
  <c r="A1158" i="5"/>
  <c r="C1157" i="5"/>
  <c r="B1157" i="5"/>
  <c r="A1157" i="5"/>
  <c r="C1156" i="5"/>
  <c r="B1156" i="5"/>
  <c r="A1156" i="5"/>
  <c r="C1155" i="5"/>
  <c r="B1155" i="5"/>
  <c r="A1155" i="5"/>
  <c r="C1154" i="5"/>
  <c r="B1154" i="5"/>
  <c r="A1154" i="5"/>
  <c r="C1153" i="5"/>
  <c r="B1153" i="5"/>
  <c r="A1153" i="5"/>
  <c r="C1152" i="5"/>
  <c r="B1152" i="5"/>
  <c r="A1152" i="5"/>
  <c r="C1151" i="5"/>
  <c r="B1151" i="5"/>
  <c r="A1151" i="5"/>
  <c r="C1150" i="5"/>
  <c r="B1150" i="5"/>
  <c r="A1150" i="5"/>
  <c r="C1149" i="5"/>
  <c r="B1149" i="5"/>
  <c r="A1149" i="5"/>
  <c r="C1148" i="5"/>
  <c r="B1148" i="5"/>
  <c r="A1148" i="5"/>
  <c r="C1147" i="5"/>
  <c r="B1147" i="5"/>
  <c r="A1147" i="5"/>
  <c r="C1146" i="5"/>
  <c r="B1146" i="5"/>
  <c r="A1146" i="5"/>
  <c r="C1145" i="5"/>
  <c r="B1145" i="5"/>
  <c r="A1145" i="5"/>
  <c r="C1144" i="5"/>
  <c r="B1144" i="5"/>
  <c r="A1144" i="5"/>
  <c r="C1143" i="5"/>
  <c r="B1143" i="5"/>
  <c r="A1143" i="5"/>
  <c r="C1142" i="5"/>
  <c r="B1142" i="5"/>
  <c r="A1142" i="5"/>
  <c r="C1141" i="5"/>
  <c r="B1141" i="5"/>
  <c r="A1141" i="5"/>
  <c r="C1140" i="5"/>
  <c r="B1140" i="5"/>
  <c r="A1140" i="5"/>
  <c r="C1139" i="5"/>
  <c r="B1139" i="5"/>
  <c r="A1139" i="5"/>
  <c r="C1138" i="5"/>
  <c r="B1138" i="5"/>
  <c r="A1138" i="5"/>
  <c r="C1137" i="5"/>
  <c r="B1137" i="5"/>
  <c r="A1137" i="5"/>
  <c r="C1136" i="5"/>
  <c r="B1136" i="5"/>
  <c r="A1136" i="5"/>
  <c r="C1135" i="5"/>
  <c r="B1135" i="5"/>
  <c r="A1135" i="5"/>
  <c r="C1134" i="5"/>
  <c r="B1134" i="5"/>
  <c r="A1134" i="5"/>
  <c r="C1133" i="5"/>
  <c r="B1133" i="5"/>
  <c r="A1133" i="5"/>
  <c r="C1132" i="5"/>
  <c r="B1132" i="5"/>
  <c r="A1132" i="5"/>
  <c r="C1131" i="5"/>
  <c r="B1131" i="5"/>
  <c r="A1131" i="5"/>
  <c r="C1130" i="5"/>
  <c r="B1130" i="5"/>
  <c r="A1130" i="5"/>
  <c r="C1129" i="5"/>
  <c r="B1129" i="5"/>
  <c r="A1129" i="5"/>
  <c r="C1128" i="5"/>
  <c r="B1128" i="5"/>
  <c r="A1128" i="5"/>
  <c r="C1127" i="5"/>
  <c r="B1127" i="5"/>
  <c r="A1127" i="5"/>
  <c r="C1126" i="5"/>
  <c r="B1126" i="5"/>
  <c r="A1126" i="5"/>
  <c r="C1125" i="5"/>
  <c r="B1125" i="5"/>
  <c r="A1125" i="5"/>
  <c r="C1124" i="5"/>
  <c r="B1124" i="5"/>
  <c r="A1124" i="5"/>
  <c r="C1123" i="5"/>
  <c r="B1123" i="5"/>
  <c r="A1123" i="5"/>
  <c r="C1122" i="5"/>
  <c r="B1122" i="5"/>
  <c r="A1122" i="5"/>
  <c r="C1121" i="5"/>
  <c r="B1121" i="5"/>
  <c r="A1121" i="5"/>
  <c r="C1120" i="5"/>
  <c r="B1120" i="5"/>
  <c r="A1120" i="5"/>
  <c r="C1119" i="5"/>
  <c r="B1119" i="5"/>
  <c r="A1119" i="5"/>
  <c r="C1118" i="5"/>
  <c r="B1118" i="5"/>
  <c r="A1118" i="5"/>
  <c r="C1117" i="5"/>
  <c r="B1117" i="5"/>
  <c r="A1117" i="5"/>
  <c r="C1116" i="5"/>
  <c r="B1116" i="5"/>
  <c r="A1116" i="5"/>
  <c r="C1115" i="5"/>
  <c r="B1115" i="5"/>
  <c r="A1115" i="5"/>
  <c r="C1114" i="5"/>
  <c r="B1114" i="5"/>
  <c r="A1114" i="5"/>
  <c r="C1113" i="5"/>
  <c r="B1113" i="5"/>
  <c r="A1113" i="5"/>
  <c r="C1112" i="5"/>
  <c r="B1112" i="5"/>
  <c r="A1112" i="5"/>
  <c r="C1111" i="5"/>
  <c r="B1111" i="5"/>
  <c r="A1111" i="5"/>
  <c r="C1110" i="5"/>
  <c r="B1110" i="5"/>
  <c r="A1110" i="5"/>
  <c r="C1109" i="5"/>
  <c r="B1109" i="5"/>
  <c r="A1109" i="5"/>
  <c r="C1108" i="5"/>
  <c r="B1108" i="5"/>
  <c r="A1108" i="5"/>
  <c r="C1107" i="5"/>
  <c r="B1107" i="5"/>
  <c r="A1107" i="5"/>
  <c r="C1106" i="5"/>
  <c r="B1106" i="5"/>
  <c r="A1106" i="5"/>
  <c r="C1105" i="5"/>
  <c r="B1105" i="5"/>
  <c r="A1105" i="5"/>
  <c r="C1104" i="5"/>
  <c r="B1104" i="5"/>
  <c r="A1104" i="5"/>
  <c r="C1103" i="5"/>
  <c r="B1103" i="5"/>
  <c r="A1103" i="5"/>
  <c r="C1102" i="5"/>
  <c r="B1102" i="5"/>
  <c r="A1102" i="5"/>
  <c r="C1101" i="5"/>
  <c r="B1101" i="5"/>
  <c r="A1101" i="5"/>
  <c r="C1100" i="5"/>
  <c r="B1100" i="5"/>
  <c r="A1100" i="5"/>
  <c r="C1099" i="5"/>
  <c r="B1099" i="5"/>
  <c r="A1099" i="5"/>
  <c r="C1098" i="5"/>
  <c r="B1098" i="5"/>
  <c r="A1098" i="5"/>
  <c r="C1097" i="5"/>
  <c r="B1097" i="5"/>
  <c r="A1097" i="5"/>
  <c r="C1096" i="5"/>
  <c r="B1096" i="5"/>
  <c r="A1096" i="5"/>
  <c r="C1095" i="5"/>
  <c r="B1095" i="5"/>
  <c r="A1095" i="5"/>
  <c r="C1094" i="5"/>
  <c r="B1094" i="5"/>
  <c r="A1094" i="5"/>
  <c r="C1093" i="5"/>
  <c r="B1093" i="5"/>
  <c r="A1093" i="5"/>
  <c r="C1092" i="5"/>
  <c r="B1092" i="5"/>
  <c r="A1092" i="5"/>
  <c r="C1091" i="5"/>
  <c r="B1091" i="5"/>
  <c r="A1091" i="5"/>
  <c r="C1090" i="5"/>
  <c r="B1090" i="5"/>
  <c r="A1090" i="5"/>
  <c r="C1089" i="5"/>
  <c r="B1089" i="5"/>
  <c r="A1089" i="5"/>
  <c r="C1088" i="5"/>
  <c r="B1088" i="5"/>
  <c r="A1088" i="5"/>
  <c r="C1087" i="5"/>
  <c r="B1087" i="5"/>
  <c r="A1087" i="5"/>
  <c r="C1086" i="5"/>
  <c r="B1086" i="5"/>
  <c r="A1086" i="5"/>
  <c r="C1085" i="5"/>
  <c r="B1085" i="5"/>
  <c r="A1085" i="5"/>
  <c r="C1084" i="5"/>
  <c r="B1084" i="5"/>
  <c r="A1084" i="5"/>
  <c r="C1083" i="5"/>
  <c r="B1083" i="5"/>
  <c r="A1083" i="5"/>
  <c r="C1082" i="5"/>
  <c r="B1082" i="5"/>
  <c r="A1082" i="5"/>
  <c r="C1081" i="5"/>
  <c r="B1081" i="5"/>
  <c r="A1081" i="5"/>
  <c r="C1080" i="5"/>
  <c r="B1080" i="5"/>
  <c r="A1080" i="5"/>
  <c r="C1079" i="5"/>
  <c r="B1079" i="5"/>
  <c r="A1079" i="5"/>
  <c r="C1078" i="5"/>
  <c r="B1078" i="5"/>
  <c r="A1078" i="5"/>
  <c r="C1077" i="5"/>
  <c r="B1077" i="5"/>
  <c r="A1077" i="5"/>
  <c r="C1076" i="5"/>
  <c r="B1076" i="5"/>
  <c r="A1076" i="5"/>
  <c r="C1075" i="5"/>
  <c r="B1075" i="5"/>
  <c r="A1075" i="5"/>
  <c r="C1074" i="5"/>
  <c r="B1074" i="5"/>
  <c r="A1074" i="5"/>
  <c r="C1073" i="5"/>
  <c r="B1073" i="5"/>
  <c r="A1073" i="5"/>
  <c r="C1072" i="5"/>
  <c r="B1072" i="5"/>
  <c r="A1072" i="5"/>
  <c r="C1071" i="5"/>
  <c r="B1071" i="5"/>
  <c r="A1071" i="5"/>
  <c r="C1070" i="5"/>
  <c r="B1070" i="5"/>
  <c r="A1070" i="5"/>
  <c r="C1069" i="5"/>
  <c r="B1069" i="5"/>
  <c r="A1069" i="5"/>
  <c r="C1068" i="5"/>
  <c r="B1068" i="5"/>
  <c r="A1068" i="5"/>
  <c r="C1067" i="5"/>
  <c r="B1067" i="5"/>
  <c r="A1067" i="5"/>
  <c r="C1066" i="5"/>
  <c r="B1066" i="5"/>
  <c r="A1066" i="5"/>
  <c r="C1065" i="5"/>
  <c r="B1065" i="5"/>
  <c r="A1065" i="5"/>
  <c r="C1064" i="5"/>
  <c r="B1064" i="5"/>
  <c r="A1064" i="5"/>
  <c r="C1063" i="5"/>
  <c r="B1063" i="5"/>
  <c r="A1063" i="5"/>
  <c r="C1062" i="5"/>
  <c r="B1062" i="5"/>
  <c r="A1062" i="5"/>
  <c r="C1061" i="5"/>
  <c r="B1061" i="5"/>
  <c r="A1061" i="5"/>
  <c r="C1060" i="5"/>
  <c r="B1060" i="5"/>
  <c r="A1060" i="5"/>
  <c r="C1059" i="5"/>
  <c r="B1059" i="5"/>
  <c r="A1059" i="5"/>
  <c r="C1058" i="5"/>
  <c r="B1058" i="5"/>
  <c r="A1058" i="5"/>
  <c r="C1057" i="5"/>
  <c r="B1057" i="5"/>
  <c r="A1057" i="5"/>
  <c r="C1056" i="5"/>
  <c r="B1056" i="5"/>
  <c r="A1056" i="5"/>
  <c r="C1055" i="5"/>
  <c r="B1055" i="5"/>
  <c r="A1055" i="5"/>
  <c r="C1054" i="5"/>
  <c r="B1054" i="5"/>
  <c r="A1054" i="5"/>
  <c r="C1053" i="5"/>
  <c r="B1053" i="5"/>
  <c r="A1053" i="5"/>
  <c r="C1052" i="5"/>
  <c r="B1052" i="5"/>
  <c r="A1052" i="5"/>
  <c r="C1051" i="5"/>
  <c r="B1051" i="5"/>
  <c r="A1051" i="5"/>
  <c r="C1050" i="5"/>
  <c r="B1050" i="5"/>
  <c r="A1050" i="5"/>
  <c r="C1049" i="5"/>
  <c r="B1049" i="5"/>
  <c r="A1049" i="5"/>
  <c r="C1048" i="5"/>
  <c r="B1048" i="5"/>
  <c r="A1048" i="5"/>
  <c r="C1047" i="5"/>
  <c r="B1047" i="5"/>
  <c r="A1047" i="5"/>
  <c r="C1046" i="5"/>
  <c r="B1046" i="5"/>
  <c r="A1046" i="5"/>
  <c r="C1045" i="5"/>
  <c r="B1045" i="5"/>
  <c r="A1045" i="5"/>
  <c r="C1044" i="5"/>
  <c r="B1044" i="5"/>
  <c r="A1044" i="5"/>
  <c r="C1043" i="5"/>
  <c r="B1043" i="5"/>
  <c r="A1043" i="5"/>
  <c r="C1042" i="5"/>
  <c r="B1042" i="5"/>
  <c r="A1042" i="5"/>
  <c r="C1041" i="5"/>
  <c r="B1041" i="5"/>
  <c r="A1041" i="5"/>
  <c r="C1040" i="5"/>
  <c r="B1040" i="5"/>
  <c r="A1040" i="5"/>
  <c r="C1039" i="5"/>
  <c r="B1039" i="5"/>
  <c r="A1039" i="5"/>
  <c r="C1038" i="5"/>
  <c r="B1038" i="5"/>
  <c r="A1038" i="5"/>
  <c r="C1037" i="5"/>
  <c r="B1037" i="5"/>
  <c r="A1037" i="5"/>
  <c r="C1036" i="5"/>
  <c r="B1036" i="5"/>
  <c r="A1036" i="5"/>
  <c r="C1035" i="5"/>
  <c r="B1035" i="5"/>
  <c r="A1035" i="5"/>
  <c r="C1034" i="5"/>
  <c r="B1034" i="5"/>
  <c r="A1034" i="5"/>
  <c r="C1033" i="5"/>
  <c r="B1033" i="5"/>
  <c r="A1033" i="5"/>
  <c r="C1032" i="5"/>
  <c r="B1032" i="5"/>
  <c r="A1032" i="5"/>
  <c r="C1031" i="5"/>
  <c r="B1031" i="5"/>
  <c r="A1031" i="5"/>
  <c r="C1030" i="5"/>
  <c r="B1030" i="5"/>
  <c r="A1030" i="5"/>
  <c r="C1029" i="5"/>
  <c r="B1029" i="5"/>
  <c r="A1029" i="5"/>
  <c r="C1028" i="5"/>
  <c r="B1028" i="5"/>
  <c r="A1028" i="5"/>
  <c r="C1027" i="5"/>
  <c r="B1027" i="5"/>
  <c r="A1027" i="5"/>
  <c r="C1026" i="5"/>
  <c r="B1026" i="5"/>
  <c r="A1026" i="5"/>
  <c r="C1025" i="5"/>
  <c r="B1025" i="5"/>
  <c r="A1025" i="5"/>
  <c r="C1024" i="5"/>
  <c r="B1024" i="5"/>
  <c r="A1024" i="5"/>
  <c r="C1023" i="5"/>
  <c r="B1023" i="5"/>
  <c r="A1023" i="5"/>
  <c r="C1022" i="5"/>
  <c r="B1022" i="5"/>
  <c r="A1022" i="5"/>
  <c r="C1021" i="5"/>
  <c r="B1021" i="5"/>
  <c r="A1021" i="5"/>
  <c r="C1020" i="5"/>
  <c r="B1020" i="5"/>
  <c r="A1020" i="5"/>
  <c r="C1019" i="5"/>
  <c r="B1019" i="5"/>
  <c r="A1019" i="5"/>
  <c r="C1018" i="5"/>
  <c r="B1018" i="5"/>
  <c r="A1018" i="5"/>
  <c r="C1017" i="5"/>
  <c r="B1017" i="5"/>
  <c r="A1017" i="5"/>
  <c r="C1016" i="5"/>
  <c r="B1016" i="5"/>
  <c r="A1016" i="5"/>
  <c r="C1015" i="5"/>
  <c r="B1015" i="5"/>
  <c r="A1015" i="5"/>
  <c r="C1014" i="5"/>
  <c r="B1014" i="5"/>
  <c r="A1014" i="5"/>
  <c r="C1013" i="5"/>
  <c r="B1013" i="5"/>
  <c r="A1013" i="5"/>
  <c r="C1012" i="5"/>
  <c r="B1012" i="5"/>
  <c r="A1012" i="5"/>
  <c r="C1011" i="5"/>
  <c r="B1011" i="5"/>
  <c r="A1011" i="5"/>
  <c r="C1010" i="5"/>
  <c r="B1010" i="5"/>
  <c r="A1010" i="5"/>
  <c r="C1009" i="5"/>
  <c r="B1009" i="5"/>
  <c r="A1009" i="5"/>
  <c r="C1008" i="5"/>
  <c r="B1008" i="5"/>
  <c r="A1008" i="5"/>
  <c r="C1007" i="5"/>
  <c r="B1007" i="5"/>
  <c r="A1007" i="5"/>
  <c r="C1006" i="5"/>
  <c r="B1006" i="5"/>
  <c r="A1006" i="5"/>
  <c r="C1005" i="5"/>
  <c r="B1005" i="5"/>
  <c r="A1005" i="5"/>
  <c r="C1004" i="5"/>
  <c r="B1004" i="5"/>
  <c r="A1004" i="5"/>
  <c r="C1003" i="5"/>
  <c r="B1003" i="5"/>
  <c r="A1003" i="5"/>
  <c r="C1002" i="5"/>
  <c r="B1002" i="5"/>
  <c r="A1002" i="5"/>
  <c r="C1001" i="5"/>
  <c r="B1001" i="5"/>
  <c r="A1001" i="5"/>
  <c r="C1000" i="5"/>
  <c r="B1000" i="5"/>
  <c r="A1000" i="5"/>
  <c r="C999" i="5"/>
  <c r="B999" i="5"/>
  <c r="A999" i="5"/>
  <c r="C998" i="5"/>
  <c r="B998" i="5"/>
  <c r="A998" i="5"/>
  <c r="C997" i="5"/>
  <c r="B997" i="5"/>
  <c r="A997" i="5"/>
  <c r="C996" i="5"/>
  <c r="B996" i="5"/>
  <c r="A996" i="5"/>
  <c r="C995" i="5"/>
  <c r="B995" i="5"/>
  <c r="A995" i="5"/>
  <c r="C994" i="5"/>
  <c r="B994" i="5"/>
  <c r="A994" i="5"/>
  <c r="C993" i="5"/>
  <c r="B993" i="5"/>
  <c r="A993" i="5"/>
  <c r="C992" i="5"/>
  <c r="B992" i="5"/>
  <c r="A992" i="5"/>
  <c r="C991" i="5"/>
  <c r="B991" i="5"/>
  <c r="A991" i="5"/>
  <c r="C990" i="5"/>
  <c r="B990" i="5"/>
  <c r="A990" i="5"/>
  <c r="C989" i="5"/>
  <c r="B989" i="5"/>
  <c r="A989" i="5"/>
  <c r="C988" i="5"/>
  <c r="B988" i="5"/>
  <c r="A988" i="5"/>
  <c r="C987" i="5"/>
  <c r="B987" i="5"/>
  <c r="A987" i="5"/>
  <c r="C986" i="5"/>
  <c r="B986" i="5"/>
  <c r="A986" i="5"/>
  <c r="C985" i="5"/>
  <c r="B985" i="5"/>
  <c r="A985" i="5"/>
  <c r="C984" i="5"/>
  <c r="B984" i="5"/>
  <c r="A984" i="5"/>
  <c r="C983" i="5"/>
  <c r="B983" i="5"/>
  <c r="A983" i="5"/>
  <c r="C982" i="5"/>
  <c r="B982" i="5"/>
  <c r="A982" i="5"/>
  <c r="C981" i="5"/>
  <c r="B981" i="5"/>
  <c r="A981" i="5"/>
  <c r="C980" i="5"/>
  <c r="B980" i="5"/>
  <c r="A980" i="5"/>
  <c r="C979" i="5"/>
  <c r="B979" i="5"/>
  <c r="A979" i="5"/>
  <c r="C978" i="5"/>
  <c r="B978" i="5"/>
  <c r="A978" i="5"/>
  <c r="C977" i="5"/>
  <c r="B977" i="5"/>
  <c r="A977" i="5"/>
  <c r="C976" i="5"/>
  <c r="B976" i="5"/>
  <c r="A976" i="5"/>
  <c r="C975" i="5"/>
  <c r="B975" i="5"/>
  <c r="A975" i="5"/>
  <c r="C974" i="5"/>
  <c r="B974" i="5"/>
  <c r="A974" i="5"/>
  <c r="C973" i="5"/>
  <c r="B973" i="5"/>
  <c r="A973" i="5"/>
  <c r="C972" i="5"/>
  <c r="B972" i="5"/>
  <c r="A972" i="5"/>
  <c r="C971" i="5"/>
  <c r="B971" i="5"/>
  <c r="A971" i="5"/>
  <c r="C970" i="5"/>
  <c r="B970" i="5"/>
  <c r="A970" i="5"/>
  <c r="C969" i="5"/>
  <c r="B969" i="5"/>
  <c r="A969" i="5"/>
  <c r="C968" i="5"/>
  <c r="B968" i="5"/>
  <c r="A968" i="5"/>
  <c r="C967" i="5"/>
  <c r="B967" i="5"/>
  <c r="A967" i="5"/>
  <c r="C966" i="5"/>
  <c r="B966" i="5"/>
  <c r="A966" i="5"/>
  <c r="C965" i="5"/>
  <c r="B965" i="5"/>
  <c r="A965" i="5"/>
  <c r="C964" i="5"/>
  <c r="B964" i="5"/>
  <c r="A964" i="5"/>
  <c r="C963" i="5"/>
  <c r="B963" i="5"/>
  <c r="A963" i="5"/>
  <c r="C962" i="5"/>
  <c r="B962" i="5"/>
  <c r="A962" i="5"/>
  <c r="C961" i="5"/>
  <c r="B961" i="5"/>
  <c r="A961" i="5"/>
  <c r="C960" i="5"/>
  <c r="B960" i="5"/>
  <c r="A960" i="5"/>
  <c r="C959" i="5"/>
  <c r="B959" i="5"/>
  <c r="A959" i="5"/>
  <c r="C958" i="5"/>
  <c r="B958" i="5"/>
  <c r="A958" i="5"/>
  <c r="C957" i="5"/>
  <c r="B957" i="5"/>
  <c r="A957" i="5"/>
  <c r="C956" i="5"/>
  <c r="B956" i="5"/>
  <c r="A956" i="5"/>
  <c r="C955" i="5"/>
  <c r="B955" i="5"/>
  <c r="A955" i="5"/>
  <c r="C954" i="5"/>
  <c r="B954" i="5"/>
  <c r="A954" i="5"/>
  <c r="C953" i="5"/>
  <c r="B953" i="5"/>
  <c r="A953" i="5"/>
  <c r="C952" i="5"/>
  <c r="B952" i="5"/>
  <c r="A952" i="5"/>
  <c r="C951" i="5"/>
  <c r="B951" i="5"/>
  <c r="A951" i="5"/>
  <c r="C950" i="5"/>
  <c r="B950" i="5"/>
  <c r="A950" i="5"/>
  <c r="C949" i="5"/>
  <c r="B949" i="5"/>
  <c r="A949" i="5"/>
  <c r="C948" i="5"/>
  <c r="B948" i="5"/>
  <c r="A948" i="5"/>
  <c r="C947" i="5"/>
  <c r="B947" i="5"/>
  <c r="A947" i="5"/>
  <c r="C946" i="5"/>
  <c r="B946" i="5"/>
  <c r="A946" i="5"/>
  <c r="C945" i="5"/>
  <c r="B945" i="5"/>
  <c r="A945" i="5"/>
  <c r="C944" i="5"/>
  <c r="B944" i="5"/>
  <c r="A944" i="5"/>
  <c r="C943" i="5"/>
  <c r="B943" i="5"/>
  <c r="A943" i="5"/>
  <c r="C942" i="5"/>
  <c r="B942" i="5"/>
  <c r="A942" i="5"/>
  <c r="C941" i="5"/>
  <c r="B941" i="5"/>
  <c r="A941" i="5"/>
  <c r="C940" i="5"/>
  <c r="B940" i="5"/>
  <c r="A940" i="5"/>
  <c r="C939" i="5"/>
  <c r="B939" i="5"/>
  <c r="A939" i="5"/>
  <c r="C938" i="5"/>
  <c r="B938" i="5"/>
  <c r="A938" i="5"/>
  <c r="C937" i="5"/>
  <c r="B937" i="5"/>
  <c r="A937" i="5"/>
  <c r="C936" i="5"/>
  <c r="B936" i="5"/>
  <c r="A936" i="5"/>
  <c r="C935" i="5"/>
  <c r="B935" i="5"/>
  <c r="A935" i="5"/>
  <c r="C934" i="5"/>
  <c r="B934" i="5"/>
  <c r="A934" i="5"/>
  <c r="C933" i="5"/>
  <c r="B933" i="5"/>
  <c r="A933" i="5"/>
  <c r="C932" i="5"/>
  <c r="B932" i="5"/>
  <c r="A932" i="5"/>
  <c r="C931" i="5"/>
  <c r="B931" i="5"/>
  <c r="A931" i="5"/>
  <c r="C930" i="5"/>
  <c r="B930" i="5"/>
  <c r="A930" i="5"/>
  <c r="C929" i="5"/>
  <c r="B929" i="5"/>
  <c r="A929" i="5"/>
  <c r="C928" i="5"/>
  <c r="B928" i="5"/>
  <c r="A928" i="5"/>
  <c r="C927" i="5"/>
  <c r="B927" i="5"/>
  <c r="A927" i="5"/>
  <c r="C926" i="5"/>
  <c r="B926" i="5"/>
  <c r="A926" i="5"/>
  <c r="C925" i="5"/>
  <c r="B925" i="5"/>
  <c r="A925" i="5"/>
  <c r="C924" i="5"/>
  <c r="B924" i="5"/>
  <c r="A924" i="5"/>
  <c r="C923" i="5"/>
  <c r="B923" i="5"/>
  <c r="A923" i="5"/>
  <c r="C922" i="5"/>
  <c r="B922" i="5"/>
  <c r="A922" i="5"/>
  <c r="C921" i="5"/>
  <c r="B921" i="5"/>
  <c r="A921" i="5"/>
  <c r="C920" i="5"/>
  <c r="B920" i="5"/>
  <c r="A920" i="5"/>
  <c r="C919" i="5"/>
  <c r="B919" i="5"/>
  <c r="A919" i="5"/>
  <c r="C918" i="5"/>
  <c r="B918" i="5"/>
  <c r="A918" i="5"/>
  <c r="C917" i="5"/>
  <c r="B917" i="5"/>
  <c r="A917" i="5"/>
  <c r="C916" i="5"/>
  <c r="B916" i="5"/>
  <c r="A916" i="5"/>
  <c r="C915" i="5"/>
  <c r="B915" i="5"/>
  <c r="A915" i="5"/>
  <c r="C914" i="5"/>
  <c r="B914" i="5"/>
  <c r="A914" i="5"/>
  <c r="C913" i="5"/>
  <c r="B913" i="5"/>
  <c r="A913" i="5"/>
  <c r="C912" i="5"/>
  <c r="B912" i="5"/>
  <c r="A912" i="5"/>
  <c r="C911" i="5"/>
  <c r="B911" i="5"/>
  <c r="A911" i="5"/>
  <c r="C910" i="5"/>
  <c r="B910" i="5"/>
  <c r="A910" i="5"/>
  <c r="C909" i="5"/>
  <c r="B909" i="5"/>
  <c r="A909" i="5"/>
  <c r="C908" i="5"/>
  <c r="B908" i="5"/>
  <c r="A908" i="5"/>
  <c r="C907" i="5"/>
  <c r="B907" i="5"/>
  <c r="A907" i="5"/>
  <c r="C906" i="5"/>
  <c r="B906" i="5"/>
  <c r="A906" i="5"/>
  <c r="C905" i="5"/>
  <c r="B905" i="5"/>
  <c r="A905" i="5"/>
  <c r="C904" i="5"/>
  <c r="B904" i="5"/>
  <c r="A904" i="5"/>
  <c r="C903" i="5"/>
  <c r="B903" i="5"/>
  <c r="A903" i="5"/>
  <c r="C902" i="5"/>
  <c r="B902" i="5"/>
  <c r="A902" i="5"/>
  <c r="C901" i="5"/>
  <c r="B901" i="5"/>
  <c r="A901" i="5"/>
  <c r="C900" i="5"/>
  <c r="B900" i="5"/>
  <c r="A900" i="5"/>
  <c r="C899" i="5"/>
  <c r="B899" i="5"/>
  <c r="A899" i="5"/>
  <c r="C898" i="5"/>
  <c r="B898" i="5"/>
  <c r="A898" i="5"/>
  <c r="C897" i="5"/>
  <c r="B897" i="5"/>
  <c r="A897" i="5"/>
  <c r="C896" i="5"/>
  <c r="B896" i="5"/>
  <c r="A896" i="5"/>
  <c r="C895" i="5"/>
  <c r="B895" i="5"/>
  <c r="A895" i="5"/>
  <c r="C894" i="5"/>
  <c r="B894" i="5"/>
  <c r="A894" i="5"/>
  <c r="C893" i="5"/>
  <c r="B893" i="5"/>
  <c r="A893" i="5"/>
  <c r="C892" i="5"/>
  <c r="B892" i="5"/>
  <c r="A892" i="5"/>
  <c r="C891" i="5"/>
  <c r="B891" i="5"/>
  <c r="A891" i="5"/>
  <c r="C890" i="5"/>
  <c r="B890" i="5"/>
  <c r="A890" i="5"/>
  <c r="C889" i="5"/>
  <c r="B889" i="5"/>
  <c r="A889" i="5"/>
  <c r="C888" i="5"/>
  <c r="B888" i="5"/>
  <c r="A888" i="5"/>
  <c r="C887" i="5"/>
  <c r="B887" i="5"/>
  <c r="A887" i="5"/>
  <c r="C886" i="5"/>
  <c r="B886" i="5"/>
  <c r="A886" i="5"/>
  <c r="C885" i="5"/>
  <c r="B885" i="5"/>
  <c r="A885" i="5"/>
  <c r="C884" i="5"/>
  <c r="B884" i="5"/>
  <c r="A884" i="5"/>
  <c r="C883" i="5"/>
  <c r="B883" i="5"/>
  <c r="A883" i="5"/>
  <c r="C882" i="5"/>
  <c r="B882" i="5"/>
  <c r="A882" i="5"/>
  <c r="C881" i="5"/>
  <c r="B881" i="5"/>
  <c r="A881" i="5"/>
  <c r="C880" i="5"/>
  <c r="B880" i="5"/>
  <c r="A880" i="5"/>
  <c r="C879" i="5"/>
  <c r="B879" i="5"/>
  <c r="A879" i="5"/>
  <c r="C878" i="5"/>
  <c r="B878" i="5"/>
  <c r="A878" i="5"/>
  <c r="C877" i="5"/>
  <c r="B877" i="5"/>
  <c r="A877" i="5"/>
  <c r="C876" i="5"/>
  <c r="B876" i="5"/>
  <c r="A876" i="5"/>
  <c r="C875" i="5"/>
  <c r="B875" i="5"/>
  <c r="A875" i="5"/>
  <c r="C874" i="5"/>
  <c r="B874" i="5"/>
  <c r="A874" i="5"/>
  <c r="C873" i="5"/>
  <c r="B873" i="5"/>
  <c r="A873" i="5"/>
  <c r="C872" i="5"/>
  <c r="B872" i="5"/>
  <c r="A872" i="5"/>
  <c r="C871" i="5"/>
  <c r="B871" i="5"/>
  <c r="A871" i="5"/>
  <c r="C870" i="5"/>
  <c r="B870" i="5"/>
  <c r="A870" i="5"/>
  <c r="C869" i="5"/>
  <c r="B869" i="5"/>
  <c r="A869" i="5"/>
  <c r="C868" i="5"/>
  <c r="B868" i="5"/>
  <c r="A868" i="5"/>
  <c r="C867" i="5"/>
  <c r="B867" i="5"/>
  <c r="A867" i="5"/>
  <c r="C866" i="5"/>
  <c r="B866" i="5"/>
  <c r="A866" i="5"/>
  <c r="C865" i="5"/>
  <c r="B865" i="5"/>
  <c r="A865" i="5"/>
  <c r="C864" i="5"/>
  <c r="B864" i="5"/>
  <c r="A864" i="5"/>
  <c r="C863" i="5"/>
  <c r="B863" i="5"/>
  <c r="A863" i="5"/>
  <c r="C862" i="5"/>
  <c r="B862" i="5"/>
  <c r="A862" i="5"/>
  <c r="C861" i="5"/>
  <c r="B861" i="5"/>
  <c r="A861" i="5"/>
  <c r="C860" i="5"/>
  <c r="B860" i="5"/>
  <c r="A860" i="5"/>
  <c r="C859" i="5"/>
  <c r="B859" i="5"/>
  <c r="A859" i="5"/>
  <c r="C858" i="5"/>
  <c r="B858" i="5"/>
  <c r="A858" i="5"/>
  <c r="C857" i="5"/>
  <c r="B857" i="5"/>
  <c r="A857" i="5"/>
  <c r="C856" i="5"/>
  <c r="B856" i="5"/>
  <c r="A856" i="5"/>
  <c r="C855" i="5"/>
  <c r="B855" i="5"/>
  <c r="A855" i="5"/>
  <c r="C854" i="5"/>
  <c r="B854" i="5"/>
  <c r="A854" i="5"/>
  <c r="C853" i="5"/>
  <c r="B853" i="5"/>
  <c r="A853" i="5"/>
  <c r="C852" i="5"/>
  <c r="B852" i="5"/>
  <c r="A852" i="5"/>
  <c r="C851" i="5"/>
  <c r="B851" i="5"/>
  <c r="A851" i="5"/>
  <c r="C850" i="5"/>
  <c r="B850" i="5"/>
  <c r="A850" i="5"/>
  <c r="C849" i="5"/>
  <c r="B849" i="5"/>
  <c r="A849" i="5"/>
  <c r="C848" i="5"/>
  <c r="B848" i="5"/>
  <c r="A848" i="5"/>
  <c r="C847" i="5"/>
  <c r="B847" i="5"/>
  <c r="A847" i="5"/>
  <c r="C846" i="5"/>
  <c r="B846" i="5"/>
  <c r="A846" i="5"/>
  <c r="C845" i="5"/>
  <c r="B845" i="5"/>
  <c r="A845" i="5"/>
  <c r="C844" i="5"/>
  <c r="B844" i="5"/>
  <c r="A844" i="5"/>
  <c r="C843" i="5"/>
  <c r="B843" i="5"/>
  <c r="A843" i="5"/>
  <c r="C842" i="5"/>
  <c r="B842" i="5"/>
  <c r="A842" i="5"/>
  <c r="C841" i="5"/>
  <c r="B841" i="5"/>
  <c r="A841" i="5"/>
  <c r="C840" i="5"/>
  <c r="B840" i="5"/>
  <c r="A840" i="5"/>
  <c r="C839" i="5"/>
  <c r="B839" i="5"/>
  <c r="A839" i="5"/>
  <c r="C838" i="5"/>
  <c r="B838" i="5"/>
  <c r="A838" i="5"/>
  <c r="C837" i="5"/>
  <c r="B837" i="5"/>
  <c r="A837" i="5"/>
  <c r="C836" i="5"/>
  <c r="B836" i="5"/>
  <c r="A836" i="5"/>
  <c r="C835" i="5"/>
  <c r="B835" i="5"/>
  <c r="A835" i="5"/>
  <c r="C834" i="5"/>
  <c r="B834" i="5"/>
  <c r="A834" i="5"/>
  <c r="C833" i="5"/>
  <c r="B833" i="5"/>
  <c r="A833" i="5"/>
  <c r="C832" i="5"/>
  <c r="B832" i="5"/>
  <c r="A832" i="5"/>
  <c r="C831" i="5"/>
  <c r="B831" i="5"/>
  <c r="A831" i="5"/>
  <c r="C830" i="5"/>
  <c r="B830" i="5"/>
  <c r="A830" i="5"/>
  <c r="C829" i="5"/>
  <c r="B829" i="5"/>
  <c r="A829" i="5"/>
  <c r="C828" i="5"/>
  <c r="B828" i="5"/>
  <c r="A828" i="5"/>
  <c r="C827" i="5"/>
  <c r="B827" i="5"/>
  <c r="A827" i="5"/>
  <c r="C826" i="5"/>
  <c r="B826" i="5"/>
  <c r="A826" i="5"/>
  <c r="C825" i="5"/>
  <c r="B825" i="5"/>
  <c r="A825" i="5"/>
  <c r="C824" i="5"/>
  <c r="B824" i="5"/>
  <c r="A824" i="5"/>
  <c r="C823" i="5"/>
  <c r="B823" i="5"/>
  <c r="A823" i="5"/>
  <c r="C822" i="5"/>
  <c r="B822" i="5"/>
  <c r="A822" i="5"/>
  <c r="C821" i="5"/>
  <c r="B821" i="5"/>
  <c r="A821" i="5"/>
  <c r="C820" i="5"/>
  <c r="B820" i="5"/>
  <c r="A820" i="5"/>
  <c r="C819" i="5"/>
  <c r="B819" i="5"/>
  <c r="A819" i="5"/>
  <c r="C818" i="5"/>
  <c r="B818" i="5"/>
  <c r="A818" i="5"/>
  <c r="C817" i="5"/>
  <c r="B817" i="5"/>
  <c r="A817" i="5"/>
  <c r="C816" i="5"/>
  <c r="B816" i="5"/>
  <c r="A816" i="5"/>
  <c r="C815" i="5"/>
  <c r="B815" i="5"/>
  <c r="A815" i="5"/>
  <c r="C814" i="5"/>
  <c r="B814" i="5"/>
  <c r="A814" i="5"/>
  <c r="C813" i="5"/>
  <c r="B813" i="5"/>
  <c r="A813" i="5"/>
  <c r="C812" i="5"/>
  <c r="B812" i="5"/>
  <c r="A812" i="5"/>
  <c r="C811" i="5"/>
  <c r="B811" i="5"/>
  <c r="A811" i="5"/>
  <c r="C810" i="5"/>
  <c r="B810" i="5"/>
  <c r="A810" i="5"/>
  <c r="C809" i="5"/>
  <c r="B809" i="5"/>
  <c r="A809" i="5"/>
  <c r="C808" i="5"/>
  <c r="B808" i="5"/>
  <c r="A808" i="5"/>
  <c r="C807" i="5"/>
  <c r="B807" i="5"/>
  <c r="A807" i="5"/>
  <c r="C806" i="5"/>
  <c r="B806" i="5"/>
  <c r="A806" i="5"/>
  <c r="C805" i="5"/>
  <c r="B805" i="5"/>
  <c r="A805" i="5"/>
  <c r="C804" i="5"/>
  <c r="B804" i="5"/>
  <c r="A804" i="5"/>
  <c r="C803" i="5"/>
  <c r="B803" i="5"/>
  <c r="A803" i="5"/>
  <c r="C802" i="5"/>
  <c r="B802" i="5"/>
  <c r="A802" i="5"/>
  <c r="C801" i="5"/>
  <c r="B801" i="5"/>
  <c r="A801" i="5"/>
  <c r="C800" i="5"/>
  <c r="B800" i="5"/>
  <c r="A800" i="5"/>
  <c r="C799" i="5"/>
  <c r="B799" i="5"/>
  <c r="A799" i="5"/>
  <c r="C798" i="5"/>
  <c r="B798" i="5"/>
  <c r="A798" i="5"/>
  <c r="C797" i="5"/>
  <c r="B797" i="5"/>
  <c r="A797" i="5"/>
  <c r="C796" i="5"/>
  <c r="B796" i="5"/>
  <c r="A796" i="5"/>
  <c r="C795" i="5"/>
  <c r="B795" i="5"/>
  <c r="A795" i="5"/>
  <c r="C794" i="5"/>
  <c r="B794" i="5"/>
  <c r="A794" i="5"/>
  <c r="C793" i="5"/>
  <c r="B793" i="5"/>
  <c r="A793" i="5"/>
  <c r="C792" i="5"/>
  <c r="B792" i="5"/>
  <c r="A792" i="5"/>
  <c r="C791" i="5"/>
  <c r="B791" i="5"/>
  <c r="A791" i="5"/>
  <c r="C790" i="5"/>
  <c r="B790" i="5"/>
  <c r="A790" i="5"/>
  <c r="C789" i="5"/>
  <c r="B789" i="5"/>
  <c r="A789" i="5"/>
  <c r="C788" i="5"/>
  <c r="B788" i="5"/>
  <c r="A788" i="5"/>
  <c r="C787" i="5"/>
  <c r="B787" i="5"/>
  <c r="A787" i="5"/>
  <c r="C786" i="5"/>
  <c r="B786" i="5"/>
  <c r="A786" i="5"/>
  <c r="C785" i="5"/>
  <c r="B785" i="5"/>
  <c r="A785" i="5"/>
  <c r="C784" i="5"/>
  <c r="B784" i="5"/>
  <c r="A784" i="5"/>
  <c r="C783" i="5"/>
  <c r="B783" i="5"/>
  <c r="A783" i="5"/>
  <c r="C782" i="5"/>
  <c r="B782" i="5"/>
  <c r="A782" i="5"/>
  <c r="C781" i="5"/>
  <c r="B781" i="5"/>
  <c r="A781" i="5"/>
  <c r="C780" i="5"/>
  <c r="B780" i="5"/>
  <c r="A780" i="5"/>
  <c r="C779" i="5"/>
  <c r="B779" i="5"/>
  <c r="A779" i="5"/>
  <c r="C778" i="5"/>
  <c r="B778" i="5"/>
  <c r="A778" i="5"/>
  <c r="C777" i="5"/>
  <c r="B777" i="5"/>
  <c r="A777" i="5"/>
  <c r="C776" i="5"/>
  <c r="B776" i="5"/>
  <c r="A776" i="5"/>
  <c r="C775" i="5"/>
  <c r="B775" i="5"/>
  <c r="A775" i="5"/>
  <c r="C774" i="5"/>
  <c r="B774" i="5"/>
  <c r="A774" i="5"/>
  <c r="C773" i="5"/>
  <c r="B773" i="5"/>
  <c r="A773" i="5"/>
  <c r="C772" i="5"/>
  <c r="B772" i="5"/>
  <c r="A772" i="5"/>
  <c r="C771" i="5"/>
  <c r="B771" i="5"/>
  <c r="A771" i="5"/>
  <c r="C770" i="5"/>
  <c r="B770" i="5"/>
  <c r="A770" i="5"/>
  <c r="C769" i="5"/>
  <c r="B769" i="5"/>
  <c r="A769" i="5"/>
  <c r="C768" i="5"/>
  <c r="B768" i="5"/>
  <c r="A768" i="5"/>
  <c r="C767" i="5"/>
  <c r="B767" i="5"/>
  <c r="A767" i="5"/>
  <c r="C766" i="5"/>
  <c r="B766" i="5"/>
  <c r="A766" i="5"/>
  <c r="C765" i="5"/>
  <c r="B765" i="5"/>
  <c r="A765" i="5"/>
  <c r="C764" i="5"/>
  <c r="B764" i="5"/>
  <c r="A764" i="5"/>
  <c r="C763" i="5"/>
  <c r="B763" i="5"/>
  <c r="A763" i="5"/>
  <c r="C762" i="5"/>
  <c r="B762" i="5"/>
  <c r="A762" i="5"/>
  <c r="C761" i="5"/>
  <c r="B761" i="5"/>
  <c r="A761" i="5"/>
  <c r="C760" i="5"/>
  <c r="B760" i="5"/>
  <c r="A760" i="5"/>
  <c r="C759" i="5"/>
  <c r="B759" i="5"/>
  <c r="A759" i="5"/>
  <c r="C758" i="5"/>
  <c r="B758" i="5"/>
  <c r="A758" i="5"/>
  <c r="C757" i="5"/>
  <c r="B757" i="5"/>
  <c r="A757" i="5"/>
  <c r="C756" i="5"/>
  <c r="B756" i="5"/>
  <c r="A756" i="5"/>
  <c r="C755" i="5"/>
  <c r="B755" i="5"/>
  <c r="A755" i="5"/>
  <c r="C754" i="5"/>
  <c r="B754" i="5"/>
  <c r="A754" i="5"/>
  <c r="C753" i="5"/>
  <c r="B753" i="5"/>
  <c r="A753" i="5"/>
  <c r="C752" i="5"/>
  <c r="B752" i="5"/>
  <c r="A752" i="5"/>
  <c r="C751" i="5"/>
  <c r="B751" i="5"/>
  <c r="A751" i="5"/>
  <c r="C750" i="5"/>
  <c r="B750" i="5"/>
  <c r="A750" i="5"/>
  <c r="C749" i="5"/>
  <c r="B749" i="5"/>
  <c r="A749" i="5"/>
  <c r="C748" i="5"/>
  <c r="B748" i="5"/>
  <c r="A748" i="5"/>
  <c r="C747" i="5"/>
  <c r="B747" i="5"/>
  <c r="A747" i="5"/>
  <c r="C746" i="5"/>
  <c r="B746" i="5"/>
  <c r="A746" i="5"/>
  <c r="C745" i="5"/>
  <c r="B745" i="5"/>
  <c r="A745" i="5"/>
  <c r="C744" i="5"/>
  <c r="B744" i="5"/>
  <c r="A744" i="5"/>
  <c r="C743" i="5"/>
  <c r="B743" i="5"/>
  <c r="A743" i="5"/>
  <c r="C742" i="5"/>
  <c r="B742" i="5"/>
  <c r="A742" i="5"/>
  <c r="C741" i="5"/>
  <c r="B741" i="5"/>
  <c r="A741" i="5"/>
  <c r="C740" i="5"/>
  <c r="B740" i="5"/>
  <c r="A740" i="5"/>
  <c r="C739" i="5"/>
  <c r="B739" i="5"/>
  <c r="A739" i="5"/>
  <c r="C738" i="5"/>
  <c r="B738" i="5"/>
  <c r="A738" i="5"/>
  <c r="C737" i="5"/>
  <c r="B737" i="5"/>
  <c r="A737" i="5"/>
  <c r="C736" i="5"/>
  <c r="B736" i="5"/>
  <c r="A736" i="5"/>
  <c r="C735" i="5"/>
  <c r="B735" i="5"/>
  <c r="A735" i="5"/>
  <c r="C734" i="5"/>
  <c r="B734" i="5"/>
  <c r="A734" i="5"/>
  <c r="C733" i="5"/>
  <c r="B733" i="5"/>
  <c r="A733" i="5"/>
  <c r="C732" i="5"/>
  <c r="B732" i="5"/>
  <c r="A732" i="5"/>
  <c r="C731" i="5"/>
  <c r="B731" i="5"/>
  <c r="A731" i="5"/>
  <c r="C730" i="5"/>
  <c r="B730" i="5"/>
  <c r="A730" i="5"/>
  <c r="C729" i="5"/>
  <c r="B729" i="5"/>
  <c r="A729" i="5"/>
  <c r="C728" i="5"/>
  <c r="B728" i="5"/>
  <c r="A728" i="5"/>
  <c r="C727" i="5"/>
  <c r="B727" i="5"/>
  <c r="A727" i="5"/>
  <c r="C726" i="5"/>
  <c r="B726" i="5"/>
  <c r="A726" i="5"/>
  <c r="C725" i="5"/>
  <c r="B725" i="5"/>
  <c r="A725" i="5"/>
  <c r="C724" i="5"/>
  <c r="B724" i="5"/>
  <c r="A724" i="5"/>
  <c r="C723" i="5"/>
  <c r="B723" i="5"/>
  <c r="A723" i="5"/>
  <c r="C722" i="5"/>
  <c r="B722" i="5"/>
  <c r="A722" i="5"/>
  <c r="C721" i="5"/>
  <c r="B721" i="5"/>
  <c r="A721" i="5"/>
  <c r="C720" i="5"/>
  <c r="B720" i="5"/>
  <c r="A720" i="5"/>
  <c r="C719" i="5"/>
  <c r="B719" i="5"/>
  <c r="A719" i="5"/>
  <c r="C718" i="5"/>
  <c r="B718" i="5"/>
  <c r="A718" i="5"/>
  <c r="C717" i="5"/>
  <c r="B717" i="5"/>
  <c r="A717" i="5"/>
  <c r="C716" i="5"/>
  <c r="B716" i="5"/>
  <c r="A716" i="5"/>
  <c r="C715" i="5"/>
  <c r="B715" i="5"/>
  <c r="A715" i="5"/>
  <c r="C714" i="5"/>
  <c r="B714" i="5"/>
  <c r="A714" i="5"/>
  <c r="C713" i="5"/>
  <c r="B713" i="5"/>
  <c r="A713" i="5"/>
  <c r="C712" i="5"/>
  <c r="B712" i="5"/>
  <c r="A712" i="5"/>
  <c r="C711" i="5"/>
  <c r="B711" i="5"/>
  <c r="A711" i="5"/>
  <c r="C710" i="5"/>
  <c r="B710" i="5"/>
  <c r="A710" i="5"/>
  <c r="C709" i="5"/>
  <c r="B709" i="5"/>
  <c r="A709" i="5"/>
  <c r="C708" i="5"/>
  <c r="B708" i="5"/>
  <c r="A708" i="5"/>
  <c r="C707" i="5"/>
  <c r="B707" i="5"/>
  <c r="A707" i="5"/>
  <c r="C706" i="5"/>
  <c r="B706" i="5"/>
  <c r="A706" i="5"/>
  <c r="C705" i="5"/>
  <c r="B705" i="5"/>
  <c r="A705" i="5"/>
  <c r="C704" i="5"/>
  <c r="B704" i="5"/>
  <c r="A704" i="5"/>
  <c r="C703" i="5"/>
  <c r="B703" i="5"/>
  <c r="A703" i="5"/>
  <c r="C702" i="5"/>
  <c r="B702" i="5"/>
  <c r="A702" i="5"/>
  <c r="C701" i="5"/>
  <c r="B701" i="5"/>
  <c r="A701" i="5"/>
  <c r="C700" i="5"/>
  <c r="B700" i="5"/>
  <c r="A700" i="5"/>
  <c r="C699" i="5"/>
  <c r="B699" i="5"/>
  <c r="A699" i="5"/>
  <c r="C698" i="5"/>
  <c r="B698" i="5"/>
  <c r="A698" i="5"/>
  <c r="C697" i="5"/>
  <c r="B697" i="5"/>
  <c r="A697" i="5"/>
  <c r="C696" i="5"/>
  <c r="B696" i="5"/>
  <c r="A696" i="5"/>
  <c r="C695" i="5"/>
  <c r="B695" i="5"/>
  <c r="A695" i="5"/>
  <c r="C694" i="5"/>
  <c r="B694" i="5"/>
  <c r="A694" i="5"/>
  <c r="C693" i="5"/>
  <c r="B693" i="5"/>
  <c r="A693" i="5"/>
  <c r="C692" i="5"/>
  <c r="B692" i="5"/>
  <c r="A692" i="5"/>
  <c r="C691" i="5"/>
  <c r="B691" i="5"/>
  <c r="A691" i="5"/>
  <c r="C690" i="5"/>
  <c r="B690" i="5"/>
  <c r="A690" i="5"/>
  <c r="C689" i="5"/>
  <c r="B689" i="5"/>
  <c r="A689" i="5"/>
  <c r="C688" i="5"/>
  <c r="B688" i="5"/>
  <c r="A688" i="5"/>
  <c r="C687" i="5"/>
  <c r="B687" i="5"/>
  <c r="A687" i="5"/>
  <c r="C686" i="5"/>
  <c r="B686" i="5"/>
  <c r="A686" i="5"/>
  <c r="C685" i="5"/>
  <c r="B685" i="5"/>
  <c r="A685" i="5"/>
  <c r="C684" i="5"/>
  <c r="B684" i="5"/>
  <c r="A684" i="5"/>
  <c r="C683" i="5"/>
  <c r="B683" i="5"/>
  <c r="A683" i="5"/>
  <c r="C682" i="5"/>
  <c r="B682" i="5"/>
  <c r="A682" i="5"/>
  <c r="C681" i="5"/>
  <c r="B681" i="5"/>
  <c r="A681" i="5"/>
  <c r="C680" i="5"/>
  <c r="B680" i="5"/>
  <c r="A680" i="5"/>
  <c r="C679" i="5"/>
  <c r="B679" i="5"/>
  <c r="A679" i="5"/>
  <c r="C678" i="5"/>
  <c r="B678" i="5"/>
  <c r="A678" i="5"/>
  <c r="C677" i="5"/>
  <c r="B677" i="5"/>
  <c r="A677" i="5"/>
  <c r="C676" i="5"/>
  <c r="B676" i="5"/>
  <c r="A676" i="5"/>
  <c r="C675" i="5"/>
  <c r="B675" i="5"/>
  <c r="A675" i="5"/>
  <c r="C674" i="5"/>
  <c r="B674" i="5"/>
  <c r="A674" i="5"/>
  <c r="C673" i="5"/>
  <c r="B673" i="5"/>
  <c r="A673" i="5"/>
  <c r="C672" i="5"/>
  <c r="B672" i="5"/>
  <c r="A672" i="5"/>
  <c r="C671" i="5"/>
  <c r="B671" i="5"/>
  <c r="A671" i="5"/>
  <c r="C670" i="5"/>
  <c r="B670" i="5"/>
  <c r="A670" i="5"/>
  <c r="C669" i="5"/>
  <c r="B669" i="5"/>
  <c r="A669" i="5"/>
  <c r="C668" i="5"/>
  <c r="B668" i="5"/>
  <c r="A668" i="5"/>
  <c r="C667" i="5"/>
  <c r="B667" i="5"/>
  <c r="A667" i="5"/>
  <c r="C666" i="5"/>
  <c r="B666" i="5"/>
  <c r="A666" i="5"/>
  <c r="C665" i="5"/>
  <c r="B665" i="5"/>
  <c r="A665" i="5"/>
  <c r="C664" i="5"/>
  <c r="B664" i="5"/>
  <c r="A664" i="5"/>
  <c r="C663" i="5"/>
  <c r="B663" i="5"/>
  <c r="A663" i="5"/>
  <c r="C662" i="5"/>
  <c r="B662" i="5"/>
  <c r="A662" i="5"/>
  <c r="C661" i="5"/>
  <c r="B661" i="5"/>
  <c r="A661" i="5"/>
  <c r="C660" i="5"/>
  <c r="B660" i="5"/>
  <c r="A660" i="5"/>
  <c r="C659" i="5"/>
  <c r="B659" i="5"/>
  <c r="A659" i="5"/>
  <c r="C658" i="5"/>
  <c r="B658" i="5"/>
  <c r="A658" i="5"/>
  <c r="C657" i="5"/>
  <c r="B657" i="5"/>
  <c r="A657" i="5"/>
  <c r="C656" i="5"/>
  <c r="B656" i="5"/>
  <c r="A656" i="5"/>
  <c r="C655" i="5"/>
  <c r="B655" i="5"/>
  <c r="A655" i="5"/>
  <c r="C654" i="5"/>
  <c r="B654" i="5"/>
  <c r="A654" i="5"/>
  <c r="C653" i="5"/>
  <c r="B653" i="5"/>
  <c r="A653" i="5"/>
  <c r="C652" i="5"/>
  <c r="B652" i="5"/>
  <c r="A652" i="5"/>
  <c r="C651" i="5"/>
  <c r="B651" i="5"/>
  <c r="A651" i="5"/>
  <c r="C650" i="5"/>
  <c r="B650" i="5"/>
  <c r="A650" i="5"/>
  <c r="C649" i="5"/>
  <c r="B649" i="5"/>
  <c r="A649" i="5"/>
  <c r="C648" i="5"/>
  <c r="B648" i="5"/>
  <c r="A648" i="5"/>
  <c r="C647" i="5"/>
  <c r="B647" i="5"/>
  <c r="A647" i="5"/>
  <c r="C646" i="5"/>
  <c r="B646" i="5"/>
  <c r="A646" i="5"/>
  <c r="C645" i="5"/>
  <c r="B645" i="5"/>
  <c r="A645" i="5"/>
  <c r="C644" i="5"/>
  <c r="B644" i="5"/>
  <c r="A644" i="5"/>
  <c r="C643" i="5"/>
  <c r="B643" i="5"/>
  <c r="A643" i="5"/>
  <c r="C642" i="5"/>
  <c r="B642" i="5"/>
  <c r="A642" i="5"/>
  <c r="C641" i="5"/>
  <c r="B641" i="5"/>
  <c r="A641" i="5"/>
  <c r="C640" i="5"/>
  <c r="B640" i="5"/>
  <c r="A640" i="5"/>
  <c r="C639" i="5"/>
  <c r="B639" i="5"/>
  <c r="A639" i="5"/>
  <c r="C638" i="5"/>
  <c r="B638" i="5"/>
  <c r="A638" i="5"/>
  <c r="C637" i="5"/>
  <c r="B637" i="5"/>
  <c r="A637" i="5"/>
  <c r="C636" i="5"/>
  <c r="B636" i="5"/>
  <c r="A636" i="5"/>
  <c r="C635" i="5"/>
  <c r="B635" i="5"/>
  <c r="A635" i="5"/>
  <c r="C634" i="5"/>
  <c r="B634" i="5"/>
  <c r="A634" i="5"/>
  <c r="C633" i="5"/>
  <c r="B633" i="5"/>
  <c r="A633" i="5"/>
  <c r="C632" i="5"/>
  <c r="B632" i="5"/>
  <c r="A632" i="5"/>
  <c r="C631" i="5"/>
  <c r="B631" i="5"/>
  <c r="A631" i="5"/>
  <c r="C630" i="5"/>
  <c r="B630" i="5"/>
  <c r="A630" i="5"/>
  <c r="C629" i="5"/>
  <c r="B629" i="5"/>
  <c r="A629" i="5"/>
  <c r="C628" i="5"/>
  <c r="B628" i="5"/>
  <c r="A628" i="5"/>
  <c r="C627" i="5"/>
  <c r="B627" i="5"/>
  <c r="A627" i="5"/>
  <c r="C626" i="5"/>
  <c r="B626" i="5"/>
  <c r="A626" i="5"/>
  <c r="C625" i="5"/>
  <c r="B625" i="5"/>
  <c r="A625" i="5"/>
  <c r="C624" i="5"/>
  <c r="B624" i="5"/>
  <c r="A624" i="5"/>
  <c r="C623" i="5"/>
  <c r="B623" i="5"/>
  <c r="A623" i="5"/>
  <c r="C622" i="5"/>
  <c r="B622" i="5"/>
  <c r="A622" i="5"/>
  <c r="C621" i="5"/>
  <c r="B621" i="5"/>
  <c r="A621" i="5"/>
  <c r="C620" i="5"/>
  <c r="B620" i="5"/>
  <c r="A620" i="5"/>
  <c r="C619" i="5"/>
  <c r="B619" i="5"/>
  <c r="A619" i="5"/>
  <c r="C618" i="5"/>
  <c r="B618" i="5"/>
  <c r="A618" i="5"/>
  <c r="C617" i="5"/>
  <c r="B617" i="5"/>
  <c r="A617" i="5"/>
  <c r="C616" i="5"/>
  <c r="B616" i="5"/>
  <c r="A616" i="5"/>
  <c r="C615" i="5"/>
  <c r="B615" i="5"/>
  <c r="A615" i="5"/>
  <c r="C614" i="5"/>
  <c r="B614" i="5"/>
  <c r="A614" i="5"/>
  <c r="C613" i="5"/>
  <c r="B613" i="5"/>
  <c r="A613" i="5"/>
  <c r="C612" i="5"/>
  <c r="B612" i="5"/>
  <c r="A612" i="5"/>
  <c r="C611" i="5"/>
  <c r="B611" i="5"/>
  <c r="A611" i="5"/>
  <c r="C610" i="5"/>
  <c r="B610" i="5"/>
  <c r="A610" i="5"/>
  <c r="C609" i="5"/>
  <c r="B609" i="5"/>
  <c r="A609" i="5"/>
  <c r="C608" i="5"/>
  <c r="B608" i="5"/>
  <c r="A608" i="5"/>
  <c r="C607" i="5"/>
  <c r="B607" i="5"/>
  <c r="A607" i="5"/>
  <c r="C606" i="5"/>
  <c r="B606" i="5"/>
  <c r="A606" i="5"/>
  <c r="C605" i="5"/>
  <c r="B605" i="5"/>
  <c r="A605" i="5"/>
  <c r="C604" i="5"/>
  <c r="B604" i="5"/>
  <c r="A604" i="5"/>
  <c r="C603" i="5"/>
  <c r="B603" i="5"/>
  <c r="A603" i="5"/>
  <c r="C602" i="5"/>
  <c r="B602" i="5"/>
  <c r="A602" i="5"/>
  <c r="C601" i="5"/>
  <c r="B601" i="5"/>
  <c r="A601" i="5"/>
  <c r="C600" i="5"/>
  <c r="B600" i="5"/>
  <c r="A600" i="5"/>
  <c r="C599" i="5"/>
  <c r="B599" i="5"/>
  <c r="A599" i="5"/>
  <c r="C598" i="5"/>
  <c r="B598" i="5"/>
  <c r="A598" i="5"/>
  <c r="C597" i="5"/>
  <c r="B597" i="5"/>
  <c r="A597" i="5"/>
  <c r="C596" i="5"/>
  <c r="B596" i="5"/>
  <c r="A596" i="5"/>
  <c r="C595" i="5"/>
  <c r="B595" i="5"/>
  <c r="A595" i="5"/>
  <c r="C594" i="5"/>
  <c r="B594" i="5"/>
  <c r="A594" i="5"/>
  <c r="C593" i="5"/>
  <c r="B593" i="5"/>
  <c r="A593" i="5"/>
  <c r="C592" i="5"/>
  <c r="B592" i="5"/>
  <c r="A592" i="5"/>
  <c r="C591" i="5"/>
  <c r="B591" i="5"/>
  <c r="A591" i="5"/>
  <c r="C590" i="5"/>
  <c r="B590" i="5"/>
  <c r="A590" i="5"/>
  <c r="C589" i="5"/>
  <c r="B589" i="5"/>
  <c r="A589" i="5"/>
  <c r="C588" i="5"/>
  <c r="B588" i="5"/>
  <c r="A588" i="5"/>
  <c r="C587" i="5"/>
  <c r="B587" i="5"/>
  <c r="A587" i="5"/>
  <c r="C586" i="5"/>
  <c r="B586" i="5"/>
  <c r="A586" i="5"/>
  <c r="C585" i="5"/>
  <c r="B585" i="5"/>
  <c r="A585" i="5"/>
  <c r="C584" i="5"/>
  <c r="B584" i="5"/>
  <c r="A584" i="5"/>
  <c r="C583" i="5"/>
  <c r="B583" i="5"/>
  <c r="A583" i="5"/>
  <c r="C582" i="5"/>
  <c r="B582" i="5"/>
  <c r="A582" i="5"/>
  <c r="C581" i="5"/>
  <c r="B581" i="5"/>
  <c r="A581" i="5"/>
  <c r="C580" i="5"/>
  <c r="B580" i="5"/>
  <c r="A580" i="5"/>
  <c r="C579" i="5"/>
  <c r="B579" i="5"/>
  <c r="A579" i="5"/>
  <c r="C578" i="5"/>
  <c r="B578" i="5"/>
  <c r="A578" i="5"/>
  <c r="C577" i="5"/>
  <c r="B577" i="5"/>
  <c r="A577" i="5"/>
  <c r="C576" i="5"/>
  <c r="B576" i="5"/>
  <c r="A576" i="5"/>
  <c r="C575" i="5"/>
  <c r="B575" i="5"/>
  <c r="A575" i="5"/>
  <c r="C574" i="5"/>
  <c r="B574" i="5"/>
  <c r="A574" i="5"/>
  <c r="C573" i="5"/>
  <c r="B573" i="5"/>
  <c r="A573" i="5"/>
  <c r="C572" i="5"/>
  <c r="B572" i="5"/>
  <c r="A572" i="5"/>
  <c r="C571" i="5"/>
  <c r="B571" i="5"/>
  <c r="A571" i="5"/>
  <c r="C570" i="5"/>
  <c r="B570" i="5"/>
  <c r="A570" i="5"/>
  <c r="C569" i="5"/>
  <c r="B569" i="5"/>
  <c r="A569" i="5"/>
  <c r="C568" i="5"/>
  <c r="B568" i="5"/>
  <c r="A568" i="5"/>
  <c r="C567" i="5"/>
  <c r="B567" i="5"/>
  <c r="A567" i="5"/>
  <c r="C566" i="5"/>
  <c r="B566" i="5"/>
  <c r="A566" i="5"/>
  <c r="C565" i="5"/>
  <c r="B565" i="5"/>
  <c r="A565" i="5"/>
  <c r="C564" i="5"/>
  <c r="B564" i="5"/>
  <c r="A564" i="5"/>
  <c r="C563" i="5"/>
  <c r="B563" i="5"/>
  <c r="A563" i="5"/>
  <c r="C562" i="5"/>
  <c r="B562" i="5"/>
  <c r="A562" i="5"/>
  <c r="C561" i="5"/>
  <c r="B561" i="5"/>
  <c r="A561" i="5"/>
  <c r="C560" i="5"/>
  <c r="B560" i="5"/>
  <c r="A560" i="5"/>
  <c r="C559" i="5"/>
  <c r="B559" i="5"/>
  <c r="A559" i="5"/>
  <c r="C558" i="5"/>
  <c r="B558" i="5"/>
  <c r="A558" i="5"/>
  <c r="C557" i="5"/>
  <c r="B557" i="5"/>
  <c r="A557" i="5"/>
  <c r="C556" i="5"/>
  <c r="B556" i="5"/>
  <c r="A556" i="5"/>
  <c r="C555" i="5"/>
  <c r="B555" i="5"/>
  <c r="A555" i="5"/>
  <c r="C554" i="5"/>
  <c r="B554" i="5"/>
  <c r="A554" i="5"/>
  <c r="C553" i="5"/>
  <c r="B553" i="5"/>
  <c r="A553" i="5"/>
  <c r="C552" i="5"/>
  <c r="B552" i="5"/>
  <c r="A552" i="5"/>
  <c r="C551" i="5"/>
  <c r="B551" i="5"/>
  <c r="A551" i="5"/>
  <c r="C550" i="5"/>
  <c r="B550" i="5"/>
  <c r="A550" i="5"/>
  <c r="C549" i="5"/>
  <c r="B549" i="5"/>
  <c r="A549" i="5"/>
  <c r="C548" i="5"/>
  <c r="B548" i="5"/>
  <c r="A548" i="5"/>
  <c r="C547" i="5"/>
  <c r="B547" i="5"/>
  <c r="A547" i="5"/>
  <c r="C546" i="5"/>
  <c r="B546" i="5"/>
  <c r="A546" i="5"/>
  <c r="C545" i="5"/>
  <c r="B545" i="5"/>
  <c r="A545" i="5"/>
  <c r="C544" i="5"/>
  <c r="B544" i="5"/>
  <c r="A544" i="5"/>
  <c r="C543" i="5"/>
  <c r="B543" i="5"/>
  <c r="A543" i="5"/>
  <c r="C542" i="5"/>
  <c r="B542" i="5"/>
  <c r="A542" i="5"/>
  <c r="C541" i="5"/>
  <c r="B541" i="5"/>
  <c r="A541" i="5"/>
  <c r="C540" i="5"/>
  <c r="B540" i="5"/>
  <c r="A540" i="5"/>
  <c r="C539" i="5"/>
  <c r="B539" i="5"/>
  <c r="A539" i="5"/>
  <c r="C538" i="5"/>
  <c r="B538" i="5"/>
  <c r="A538" i="5"/>
  <c r="C537" i="5"/>
  <c r="B537" i="5"/>
  <c r="A537" i="5"/>
  <c r="C536" i="5"/>
  <c r="B536" i="5"/>
  <c r="A536" i="5"/>
  <c r="C535" i="5"/>
  <c r="B535" i="5"/>
  <c r="A535" i="5"/>
  <c r="C534" i="5"/>
  <c r="B534" i="5"/>
  <c r="A534" i="5"/>
  <c r="C533" i="5"/>
  <c r="B533" i="5"/>
  <c r="A533" i="5"/>
  <c r="C532" i="5"/>
  <c r="B532" i="5"/>
  <c r="A532" i="5"/>
  <c r="C531" i="5"/>
  <c r="B531" i="5"/>
  <c r="A531" i="5"/>
  <c r="C530" i="5"/>
  <c r="B530" i="5"/>
  <c r="A530" i="5"/>
  <c r="C529" i="5"/>
  <c r="B529" i="5"/>
  <c r="A529" i="5"/>
  <c r="C528" i="5"/>
  <c r="B528" i="5"/>
  <c r="A528" i="5"/>
  <c r="C527" i="5"/>
  <c r="B527" i="5"/>
  <c r="A527" i="5"/>
  <c r="C526" i="5"/>
  <c r="B526" i="5"/>
  <c r="A526" i="5"/>
  <c r="C525" i="5"/>
  <c r="B525" i="5"/>
  <c r="A525" i="5"/>
  <c r="C524" i="5"/>
  <c r="B524" i="5"/>
  <c r="A524" i="5"/>
  <c r="C523" i="5"/>
  <c r="B523" i="5"/>
  <c r="A523" i="5"/>
  <c r="C522" i="5"/>
  <c r="B522" i="5"/>
  <c r="A522" i="5"/>
  <c r="C521" i="5"/>
  <c r="B521" i="5"/>
  <c r="A521" i="5"/>
  <c r="C520" i="5"/>
  <c r="B520" i="5"/>
  <c r="A520" i="5"/>
  <c r="C519" i="5"/>
  <c r="B519" i="5"/>
  <c r="A519" i="5"/>
  <c r="C518" i="5"/>
  <c r="B518" i="5"/>
  <c r="A518" i="5"/>
  <c r="C517" i="5"/>
  <c r="B517" i="5"/>
  <c r="A517" i="5"/>
  <c r="C516" i="5"/>
  <c r="B516" i="5"/>
  <c r="A516" i="5"/>
  <c r="C515" i="5"/>
  <c r="B515" i="5"/>
  <c r="A515" i="5"/>
  <c r="C514" i="5"/>
  <c r="B514" i="5"/>
  <c r="A514" i="5"/>
  <c r="C513" i="5"/>
  <c r="B513" i="5"/>
  <c r="A513" i="5"/>
  <c r="C512" i="5"/>
  <c r="B512" i="5"/>
  <c r="A512" i="5"/>
  <c r="C511" i="5"/>
  <c r="B511" i="5"/>
  <c r="A511" i="5"/>
  <c r="C510" i="5"/>
  <c r="B510" i="5"/>
  <c r="A510" i="5"/>
  <c r="C509" i="5"/>
  <c r="B509" i="5"/>
  <c r="A509" i="5"/>
  <c r="C508" i="5"/>
  <c r="B508" i="5"/>
  <c r="A508" i="5"/>
  <c r="C507" i="5"/>
  <c r="B507" i="5"/>
  <c r="A507" i="5"/>
  <c r="C506" i="5"/>
  <c r="B506" i="5"/>
  <c r="A506" i="5"/>
  <c r="C505" i="5"/>
  <c r="B505" i="5"/>
  <c r="A505" i="5"/>
  <c r="C504" i="5"/>
  <c r="B504" i="5"/>
  <c r="A504" i="5"/>
  <c r="C503" i="5"/>
  <c r="B503" i="5"/>
  <c r="A503" i="5"/>
  <c r="C502" i="5"/>
  <c r="B502" i="5"/>
  <c r="A502" i="5"/>
  <c r="C501" i="5"/>
  <c r="B501" i="5"/>
  <c r="A501" i="5"/>
  <c r="C500" i="5"/>
  <c r="B500" i="5"/>
  <c r="A500" i="5"/>
  <c r="C499" i="5"/>
  <c r="B499" i="5"/>
  <c r="A499" i="5"/>
  <c r="C498" i="5"/>
  <c r="B498" i="5"/>
  <c r="A498" i="5"/>
  <c r="C497" i="5"/>
  <c r="B497" i="5"/>
  <c r="A497" i="5"/>
  <c r="C496" i="5"/>
  <c r="B496" i="5"/>
  <c r="A496" i="5"/>
  <c r="C495" i="5"/>
  <c r="B495" i="5"/>
  <c r="A495" i="5"/>
  <c r="C494" i="5"/>
  <c r="B494" i="5"/>
  <c r="A494" i="5"/>
  <c r="C493" i="5"/>
  <c r="B493" i="5"/>
  <c r="A493" i="5"/>
  <c r="C492" i="5"/>
  <c r="B492" i="5"/>
  <c r="A492" i="5"/>
  <c r="C491" i="5"/>
  <c r="B491" i="5"/>
  <c r="A491" i="5"/>
  <c r="C490" i="5"/>
  <c r="B490" i="5"/>
  <c r="A490" i="5"/>
  <c r="C489" i="5"/>
  <c r="B489" i="5"/>
  <c r="A489" i="5"/>
  <c r="C488" i="5"/>
  <c r="B488" i="5"/>
  <c r="A488" i="5"/>
  <c r="C487" i="5"/>
  <c r="B487" i="5"/>
  <c r="A487" i="5"/>
  <c r="C486" i="5"/>
  <c r="B486" i="5"/>
  <c r="A486" i="5"/>
  <c r="C485" i="5"/>
  <c r="B485" i="5"/>
  <c r="A485" i="5"/>
  <c r="C484" i="5"/>
  <c r="B484" i="5"/>
  <c r="A484" i="5"/>
  <c r="C483" i="5"/>
  <c r="B483" i="5"/>
  <c r="A483" i="5"/>
  <c r="C482" i="5"/>
  <c r="B482" i="5"/>
  <c r="A482" i="5"/>
  <c r="C481" i="5"/>
  <c r="B481" i="5"/>
  <c r="A481" i="5"/>
  <c r="C480" i="5"/>
  <c r="B480" i="5"/>
  <c r="A480" i="5"/>
  <c r="C479" i="5"/>
  <c r="B479" i="5"/>
  <c r="A479" i="5"/>
  <c r="C478" i="5"/>
  <c r="B478" i="5"/>
  <c r="A478" i="5"/>
  <c r="C477" i="5"/>
  <c r="B477" i="5"/>
  <c r="A477" i="5"/>
  <c r="C476" i="5"/>
  <c r="B476" i="5"/>
  <c r="A476" i="5"/>
  <c r="C475" i="5"/>
  <c r="B475" i="5"/>
  <c r="A475" i="5"/>
  <c r="C474" i="5"/>
  <c r="B474" i="5"/>
  <c r="A474" i="5"/>
  <c r="C473" i="5"/>
  <c r="B473" i="5"/>
  <c r="A473" i="5"/>
  <c r="C472" i="5"/>
  <c r="B472" i="5"/>
  <c r="A472" i="5"/>
  <c r="C471" i="5"/>
  <c r="B471" i="5"/>
  <c r="A471" i="5"/>
  <c r="C470" i="5"/>
  <c r="B470" i="5"/>
  <c r="A470" i="5"/>
  <c r="C469" i="5"/>
  <c r="B469" i="5"/>
  <c r="A469" i="5"/>
  <c r="C468" i="5"/>
  <c r="B468" i="5"/>
  <c r="A468" i="5"/>
  <c r="C467" i="5"/>
  <c r="B467" i="5"/>
  <c r="A467" i="5"/>
  <c r="C466" i="5"/>
  <c r="B466" i="5"/>
  <c r="A466" i="5"/>
  <c r="C465" i="5"/>
  <c r="B465" i="5"/>
  <c r="A465" i="5"/>
  <c r="C464" i="5"/>
  <c r="B464" i="5"/>
  <c r="A464" i="5"/>
  <c r="C463" i="5"/>
  <c r="B463" i="5"/>
  <c r="A463" i="5"/>
  <c r="C462" i="5"/>
  <c r="B462" i="5"/>
  <c r="A462" i="5"/>
  <c r="C461" i="5"/>
  <c r="B461" i="5"/>
  <c r="A461" i="5"/>
  <c r="C460" i="5"/>
  <c r="B460" i="5"/>
  <c r="A460" i="5"/>
  <c r="C459" i="5"/>
  <c r="B459" i="5"/>
  <c r="A459" i="5"/>
  <c r="C458" i="5"/>
  <c r="B458" i="5"/>
  <c r="A458" i="5"/>
  <c r="C457" i="5"/>
  <c r="B457" i="5"/>
  <c r="A457" i="5"/>
  <c r="C456" i="5"/>
  <c r="B456" i="5"/>
  <c r="A456" i="5"/>
  <c r="C455" i="5"/>
  <c r="B455" i="5"/>
  <c r="A455" i="5"/>
  <c r="C454" i="5"/>
  <c r="B454" i="5"/>
  <c r="A454" i="5"/>
  <c r="C453" i="5"/>
  <c r="B453" i="5"/>
  <c r="A453" i="5"/>
  <c r="C452" i="5"/>
  <c r="B452" i="5"/>
  <c r="A452" i="5"/>
  <c r="C451" i="5"/>
  <c r="B451" i="5"/>
  <c r="A451" i="5"/>
  <c r="C450" i="5"/>
  <c r="B450" i="5"/>
  <c r="A450" i="5"/>
  <c r="C449" i="5"/>
  <c r="B449" i="5"/>
  <c r="A449" i="5"/>
  <c r="C448" i="5"/>
  <c r="B448" i="5"/>
  <c r="A448" i="5"/>
  <c r="C447" i="5"/>
  <c r="B447" i="5"/>
  <c r="A447" i="5"/>
  <c r="C446" i="5"/>
  <c r="B446" i="5"/>
  <c r="A446" i="5"/>
  <c r="C445" i="5"/>
  <c r="B445" i="5"/>
  <c r="A445" i="5"/>
  <c r="C444" i="5"/>
  <c r="B444" i="5"/>
  <c r="A444" i="5"/>
  <c r="C443" i="5"/>
  <c r="B443" i="5"/>
  <c r="A443" i="5"/>
  <c r="C442" i="5"/>
  <c r="B442" i="5"/>
  <c r="A442" i="5"/>
  <c r="C441" i="5"/>
  <c r="B441" i="5"/>
  <c r="A441" i="5"/>
  <c r="C440" i="5"/>
  <c r="B440" i="5"/>
  <c r="A440" i="5"/>
  <c r="C439" i="5"/>
  <c r="B439" i="5"/>
  <c r="A439" i="5"/>
  <c r="C438" i="5"/>
  <c r="B438" i="5"/>
  <c r="A438" i="5"/>
  <c r="C437" i="5"/>
  <c r="B437" i="5"/>
  <c r="A437" i="5"/>
  <c r="C436" i="5"/>
  <c r="B436" i="5"/>
  <c r="A436" i="5"/>
  <c r="C435" i="5"/>
  <c r="B435" i="5"/>
  <c r="A435" i="5"/>
  <c r="C434" i="5"/>
  <c r="B434" i="5"/>
  <c r="A434" i="5"/>
  <c r="C433" i="5"/>
  <c r="B433" i="5"/>
  <c r="A433" i="5"/>
  <c r="C432" i="5"/>
  <c r="B432" i="5"/>
  <c r="A432" i="5"/>
  <c r="C431" i="5"/>
  <c r="B431" i="5"/>
  <c r="A431" i="5"/>
  <c r="C430" i="5"/>
  <c r="B430" i="5"/>
  <c r="A430" i="5"/>
  <c r="C429" i="5"/>
  <c r="B429" i="5"/>
  <c r="A429" i="5"/>
  <c r="C428" i="5"/>
  <c r="B428" i="5"/>
  <c r="A428" i="5"/>
  <c r="C427" i="5"/>
  <c r="B427" i="5"/>
  <c r="A427" i="5"/>
  <c r="C426" i="5"/>
  <c r="B426" i="5"/>
  <c r="A426" i="5"/>
  <c r="C425" i="5"/>
  <c r="B425" i="5"/>
  <c r="A425" i="5"/>
  <c r="C424" i="5"/>
  <c r="B424" i="5"/>
  <c r="A424" i="5"/>
  <c r="C423" i="5"/>
  <c r="B423" i="5"/>
  <c r="A423" i="5"/>
  <c r="C422" i="5"/>
  <c r="B422" i="5"/>
  <c r="A422" i="5"/>
  <c r="C421" i="5"/>
  <c r="B421" i="5"/>
  <c r="A421" i="5"/>
  <c r="C420" i="5"/>
  <c r="B420" i="5"/>
  <c r="A420" i="5"/>
  <c r="C419" i="5"/>
  <c r="B419" i="5"/>
  <c r="A419" i="5"/>
  <c r="C418" i="5"/>
  <c r="B418" i="5"/>
  <c r="A418" i="5"/>
  <c r="C417" i="5"/>
  <c r="B417" i="5"/>
  <c r="A417" i="5"/>
  <c r="C416" i="5"/>
  <c r="B416" i="5"/>
  <c r="A416" i="5"/>
  <c r="C415" i="5"/>
  <c r="B415" i="5"/>
  <c r="A415" i="5"/>
  <c r="C414" i="5"/>
  <c r="B414" i="5"/>
  <c r="A414" i="5"/>
  <c r="C413" i="5"/>
  <c r="B413" i="5"/>
  <c r="A413" i="5"/>
  <c r="C412" i="5"/>
  <c r="B412" i="5"/>
  <c r="A412" i="5"/>
  <c r="C411" i="5"/>
  <c r="B411" i="5"/>
  <c r="A411" i="5"/>
  <c r="C410" i="5"/>
  <c r="B410" i="5"/>
  <c r="A410" i="5"/>
  <c r="C409" i="5"/>
  <c r="B409" i="5"/>
  <c r="A409" i="5"/>
  <c r="C408" i="5"/>
  <c r="B408" i="5"/>
  <c r="A408" i="5"/>
  <c r="C407" i="5"/>
  <c r="B407" i="5"/>
  <c r="A407" i="5"/>
  <c r="C406" i="5"/>
  <c r="B406" i="5"/>
  <c r="A406" i="5"/>
  <c r="C405" i="5"/>
  <c r="B405" i="5"/>
  <c r="A405" i="5"/>
  <c r="C404" i="5"/>
  <c r="B404" i="5"/>
  <c r="A404" i="5"/>
  <c r="C403" i="5"/>
  <c r="B403" i="5"/>
  <c r="A403" i="5"/>
  <c r="C402" i="5"/>
  <c r="B402" i="5"/>
  <c r="A402" i="5"/>
  <c r="C401" i="5"/>
  <c r="B401" i="5"/>
  <c r="A401" i="5"/>
  <c r="C400" i="5"/>
  <c r="B400" i="5"/>
  <c r="A400" i="5"/>
  <c r="C399" i="5"/>
  <c r="B399" i="5"/>
  <c r="A399" i="5"/>
  <c r="C398" i="5"/>
  <c r="B398" i="5"/>
  <c r="A398" i="5"/>
  <c r="C397" i="5"/>
  <c r="B397" i="5"/>
  <c r="A397" i="5"/>
  <c r="C396" i="5"/>
  <c r="B396" i="5"/>
  <c r="A396" i="5"/>
  <c r="C395" i="5"/>
  <c r="B395" i="5"/>
  <c r="A395" i="5"/>
  <c r="C394" i="5"/>
  <c r="B394" i="5"/>
  <c r="A394" i="5"/>
  <c r="C393" i="5"/>
  <c r="B393" i="5"/>
  <c r="A393" i="5"/>
  <c r="C392" i="5"/>
  <c r="B392" i="5"/>
  <c r="A392" i="5"/>
  <c r="C391" i="5"/>
  <c r="B391" i="5"/>
  <c r="A391" i="5"/>
  <c r="C390" i="5"/>
  <c r="B390" i="5"/>
  <c r="A390" i="5"/>
  <c r="C389" i="5"/>
  <c r="B389" i="5"/>
  <c r="A389" i="5"/>
  <c r="C388" i="5"/>
  <c r="B388" i="5"/>
  <c r="A388" i="5"/>
  <c r="C387" i="5"/>
  <c r="B387" i="5"/>
  <c r="A387" i="5"/>
  <c r="C386" i="5"/>
  <c r="B386" i="5"/>
  <c r="A386" i="5"/>
  <c r="C385" i="5"/>
  <c r="B385" i="5"/>
  <c r="A385" i="5"/>
  <c r="C384" i="5"/>
  <c r="B384" i="5"/>
  <c r="A384" i="5"/>
  <c r="C383" i="5"/>
  <c r="B383" i="5"/>
  <c r="A383" i="5"/>
  <c r="C382" i="5"/>
  <c r="B382" i="5"/>
  <c r="A382" i="5"/>
  <c r="C381" i="5"/>
  <c r="B381" i="5"/>
  <c r="A381" i="5"/>
  <c r="C380" i="5"/>
  <c r="B380" i="5"/>
  <c r="A380" i="5"/>
  <c r="C379" i="5"/>
  <c r="B379" i="5"/>
  <c r="A379" i="5"/>
  <c r="C378" i="5"/>
  <c r="B378" i="5"/>
  <c r="A378" i="5"/>
  <c r="C377" i="5"/>
  <c r="B377" i="5"/>
  <c r="A377" i="5"/>
  <c r="C376" i="5"/>
  <c r="B376" i="5"/>
  <c r="A376" i="5"/>
  <c r="C375" i="5"/>
  <c r="B375" i="5"/>
  <c r="A375" i="5"/>
  <c r="C374" i="5"/>
  <c r="B374" i="5"/>
  <c r="A374" i="5"/>
  <c r="C373" i="5"/>
  <c r="B373" i="5"/>
  <c r="A373" i="5"/>
  <c r="C372" i="5"/>
  <c r="B372" i="5"/>
  <c r="A372" i="5"/>
  <c r="C371" i="5"/>
  <c r="B371" i="5"/>
  <c r="A371" i="5"/>
  <c r="C370" i="5"/>
  <c r="B370" i="5"/>
  <c r="A370" i="5"/>
  <c r="C369" i="5"/>
  <c r="B369" i="5"/>
  <c r="A369" i="5"/>
  <c r="C368" i="5"/>
  <c r="B368" i="5"/>
  <c r="A368" i="5"/>
  <c r="C367" i="5"/>
  <c r="B367" i="5"/>
  <c r="A367" i="5"/>
  <c r="C366" i="5"/>
  <c r="B366" i="5"/>
  <c r="A366" i="5"/>
  <c r="C365" i="5"/>
  <c r="B365" i="5"/>
  <c r="A365" i="5"/>
  <c r="C364" i="5"/>
  <c r="B364" i="5"/>
  <c r="A364" i="5"/>
  <c r="C363" i="5"/>
  <c r="B363" i="5"/>
  <c r="A363" i="5"/>
  <c r="C362" i="5"/>
  <c r="B362" i="5"/>
  <c r="A362" i="5"/>
  <c r="C361" i="5"/>
  <c r="B361" i="5"/>
  <c r="A361" i="5"/>
  <c r="C360" i="5"/>
  <c r="B360" i="5"/>
  <c r="A360" i="5"/>
  <c r="C359" i="5"/>
  <c r="B359" i="5"/>
  <c r="A359" i="5"/>
  <c r="C358" i="5"/>
  <c r="B358" i="5"/>
  <c r="A358" i="5"/>
  <c r="C357" i="5"/>
  <c r="B357" i="5"/>
  <c r="A357" i="5"/>
  <c r="C356" i="5"/>
  <c r="B356" i="5"/>
  <c r="A356" i="5"/>
  <c r="C355" i="5"/>
  <c r="B355" i="5"/>
  <c r="A355" i="5"/>
  <c r="C354" i="5"/>
  <c r="B354" i="5"/>
  <c r="A354" i="5"/>
  <c r="C353" i="5"/>
  <c r="B353" i="5"/>
  <c r="A353" i="5"/>
  <c r="C352" i="5"/>
  <c r="B352" i="5"/>
  <c r="A352" i="5"/>
  <c r="C351" i="5"/>
  <c r="B351" i="5"/>
  <c r="A351" i="5"/>
  <c r="C350" i="5"/>
  <c r="B350" i="5"/>
  <c r="A350" i="5"/>
  <c r="C349" i="5"/>
  <c r="B349" i="5"/>
  <c r="A349" i="5"/>
  <c r="C348" i="5"/>
  <c r="B348" i="5"/>
  <c r="A348" i="5"/>
  <c r="C347" i="5"/>
  <c r="B347" i="5"/>
  <c r="A347" i="5"/>
  <c r="C346" i="5"/>
  <c r="B346" i="5"/>
  <c r="A346" i="5"/>
  <c r="C345" i="5"/>
  <c r="B345" i="5"/>
  <c r="A345" i="5"/>
  <c r="C344" i="5"/>
  <c r="B344" i="5"/>
  <c r="A344" i="5"/>
  <c r="C343" i="5"/>
  <c r="B343" i="5"/>
  <c r="A343" i="5"/>
  <c r="C342" i="5"/>
  <c r="B342" i="5"/>
  <c r="A342" i="5"/>
  <c r="C341" i="5"/>
  <c r="B341" i="5"/>
  <c r="A341" i="5"/>
  <c r="C340" i="5"/>
  <c r="B340" i="5"/>
  <c r="A340" i="5"/>
  <c r="C339" i="5"/>
  <c r="B339" i="5"/>
  <c r="A339" i="5"/>
  <c r="C338" i="5"/>
  <c r="B338" i="5"/>
  <c r="A338" i="5"/>
  <c r="C337" i="5"/>
  <c r="B337" i="5"/>
  <c r="A337" i="5"/>
  <c r="C336" i="5"/>
  <c r="B336" i="5"/>
  <c r="A336" i="5"/>
  <c r="C335" i="5"/>
  <c r="B335" i="5"/>
  <c r="A335" i="5"/>
  <c r="C334" i="5"/>
  <c r="B334" i="5"/>
  <c r="A334" i="5"/>
  <c r="C333" i="5"/>
  <c r="B333" i="5"/>
  <c r="A333" i="5"/>
  <c r="C332" i="5"/>
  <c r="B332" i="5"/>
  <c r="A332" i="5"/>
  <c r="C331" i="5"/>
  <c r="B331" i="5"/>
  <c r="A331" i="5"/>
  <c r="C330" i="5"/>
  <c r="B330" i="5"/>
  <c r="A330" i="5"/>
  <c r="C329" i="5"/>
  <c r="B329" i="5"/>
  <c r="A329" i="5"/>
  <c r="C328" i="5"/>
  <c r="B328" i="5"/>
  <c r="A328" i="5"/>
  <c r="C327" i="5"/>
  <c r="B327" i="5"/>
  <c r="A327" i="5"/>
  <c r="C326" i="5"/>
  <c r="B326" i="5"/>
  <c r="A326" i="5"/>
  <c r="C325" i="5"/>
  <c r="B325" i="5"/>
  <c r="A325" i="5"/>
  <c r="C324" i="5"/>
  <c r="B324" i="5"/>
  <c r="A324" i="5"/>
  <c r="C323" i="5"/>
  <c r="B323" i="5"/>
  <c r="A323" i="5"/>
  <c r="C322" i="5"/>
  <c r="B322" i="5"/>
  <c r="A322" i="5"/>
  <c r="C321" i="5"/>
  <c r="B321" i="5"/>
  <c r="A321" i="5"/>
  <c r="C320" i="5"/>
  <c r="B320" i="5"/>
  <c r="A320" i="5"/>
  <c r="C319" i="5"/>
  <c r="B319" i="5"/>
  <c r="A319" i="5"/>
  <c r="C318" i="5"/>
  <c r="B318" i="5"/>
  <c r="A318" i="5"/>
  <c r="C317" i="5"/>
  <c r="B317" i="5"/>
  <c r="A317" i="5"/>
  <c r="C316" i="5"/>
  <c r="B316" i="5"/>
  <c r="A316" i="5"/>
  <c r="C315" i="5"/>
  <c r="B315" i="5"/>
  <c r="A315" i="5"/>
  <c r="C314" i="5"/>
  <c r="B314" i="5"/>
  <c r="A314" i="5"/>
  <c r="C313" i="5"/>
  <c r="B313" i="5"/>
  <c r="A313" i="5"/>
  <c r="C312" i="5"/>
  <c r="B312" i="5"/>
  <c r="A312" i="5"/>
  <c r="C311" i="5"/>
  <c r="B311" i="5"/>
  <c r="A311" i="5"/>
  <c r="C310" i="5"/>
  <c r="B310" i="5"/>
  <c r="A310" i="5"/>
  <c r="C309" i="5"/>
  <c r="B309" i="5"/>
  <c r="A309" i="5"/>
  <c r="C308" i="5"/>
  <c r="B308" i="5"/>
  <c r="A308" i="5"/>
  <c r="C307" i="5"/>
  <c r="B307" i="5"/>
  <c r="A307" i="5"/>
  <c r="C306" i="5"/>
  <c r="B306" i="5"/>
  <c r="A306" i="5"/>
  <c r="C305" i="5"/>
  <c r="B305" i="5"/>
  <c r="A305" i="5"/>
  <c r="C304" i="5"/>
  <c r="B304" i="5"/>
  <c r="A304" i="5"/>
  <c r="C303" i="5"/>
  <c r="B303" i="5"/>
  <c r="A303" i="5"/>
  <c r="C302" i="5"/>
  <c r="B302" i="5"/>
  <c r="A302" i="5"/>
  <c r="C301" i="5"/>
  <c r="B301" i="5"/>
  <c r="A301" i="5"/>
  <c r="C300" i="5"/>
  <c r="B300" i="5"/>
  <c r="A300" i="5"/>
  <c r="C299" i="5"/>
  <c r="B299" i="5"/>
  <c r="A299" i="5"/>
  <c r="C298" i="5"/>
  <c r="B298" i="5"/>
  <c r="A298" i="5"/>
  <c r="C297" i="5"/>
  <c r="B297" i="5"/>
  <c r="A297" i="5"/>
  <c r="C296" i="5"/>
  <c r="B296" i="5"/>
  <c r="A296" i="5"/>
  <c r="C295" i="5"/>
  <c r="B295" i="5"/>
  <c r="A295" i="5"/>
  <c r="C294" i="5"/>
  <c r="B294" i="5"/>
  <c r="A294" i="5"/>
  <c r="C293" i="5"/>
  <c r="B293" i="5"/>
  <c r="A293" i="5"/>
  <c r="C292" i="5"/>
  <c r="B292" i="5"/>
  <c r="A292" i="5"/>
  <c r="C291" i="5"/>
  <c r="B291" i="5"/>
  <c r="A291" i="5"/>
  <c r="C290" i="5"/>
  <c r="B290" i="5"/>
  <c r="A290" i="5"/>
  <c r="C289" i="5"/>
  <c r="B289" i="5"/>
  <c r="A289" i="5"/>
  <c r="C288" i="5"/>
  <c r="B288" i="5"/>
  <c r="A288" i="5"/>
  <c r="C287" i="5"/>
  <c r="B287" i="5"/>
  <c r="A287" i="5"/>
  <c r="C286" i="5"/>
  <c r="B286" i="5"/>
  <c r="A286" i="5"/>
  <c r="C285" i="5"/>
  <c r="B285" i="5"/>
  <c r="A285" i="5"/>
  <c r="C284" i="5"/>
  <c r="B284" i="5"/>
  <c r="A284" i="5"/>
  <c r="C283" i="5"/>
  <c r="B283" i="5"/>
  <c r="A283" i="5"/>
  <c r="C282" i="5"/>
  <c r="B282" i="5"/>
  <c r="A282" i="5"/>
  <c r="C281" i="5"/>
  <c r="B281" i="5"/>
  <c r="A281" i="5"/>
  <c r="C280" i="5"/>
  <c r="B280" i="5"/>
  <c r="A280" i="5"/>
  <c r="C279" i="5"/>
  <c r="B279" i="5"/>
  <c r="A279" i="5"/>
  <c r="C278" i="5"/>
  <c r="B278" i="5"/>
  <c r="A278" i="5"/>
  <c r="C277" i="5"/>
  <c r="B277" i="5"/>
  <c r="A277" i="5"/>
  <c r="C276" i="5"/>
  <c r="B276" i="5"/>
  <c r="A276" i="5"/>
  <c r="C275" i="5"/>
  <c r="B275" i="5"/>
  <c r="A275" i="5"/>
  <c r="C274" i="5"/>
  <c r="B274" i="5"/>
  <c r="A274" i="5"/>
  <c r="C273" i="5"/>
  <c r="B273" i="5"/>
  <c r="A273" i="5"/>
  <c r="C272" i="5"/>
  <c r="B272" i="5"/>
  <c r="A272" i="5"/>
  <c r="C271" i="5"/>
  <c r="B271" i="5"/>
  <c r="A271" i="5"/>
  <c r="C270" i="5"/>
  <c r="B270" i="5"/>
  <c r="A270" i="5"/>
  <c r="C269" i="5"/>
  <c r="B269" i="5"/>
  <c r="A269" i="5"/>
  <c r="C268" i="5"/>
  <c r="B268" i="5"/>
  <c r="A268" i="5"/>
  <c r="C267" i="5"/>
  <c r="B267" i="5"/>
  <c r="A267" i="5"/>
  <c r="C266" i="5"/>
  <c r="B266" i="5"/>
  <c r="A266" i="5"/>
  <c r="C265" i="5"/>
  <c r="B265" i="5"/>
  <c r="A265" i="5"/>
  <c r="C264" i="5"/>
  <c r="B264" i="5"/>
  <c r="A264" i="5"/>
  <c r="C263" i="5"/>
  <c r="B263" i="5"/>
  <c r="A263" i="5"/>
  <c r="C262" i="5"/>
  <c r="B262" i="5"/>
  <c r="A262" i="5"/>
  <c r="C261" i="5"/>
  <c r="B261" i="5"/>
  <c r="A261" i="5"/>
  <c r="C260" i="5"/>
  <c r="B260" i="5"/>
  <c r="A260" i="5"/>
  <c r="C259" i="5"/>
  <c r="B259" i="5"/>
  <c r="A259" i="5"/>
  <c r="C258" i="5"/>
  <c r="B258" i="5"/>
  <c r="A258" i="5"/>
  <c r="C257" i="5"/>
  <c r="B257" i="5"/>
  <c r="A257" i="5"/>
  <c r="C256" i="5"/>
  <c r="B256" i="5"/>
  <c r="A256" i="5"/>
  <c r="C255" i="5"/>
  <c r="B255" i="5"/>
  <c r="A255" i="5"/>
  <c r="C254" i="5"/>
  <c r="B254" i="5"/>
  <c r="A254" i="5"/>
  <c r="C253" i="5"/>
  <c r="B253" i="5"/>
  <c r="A253" i="5"/>
  <c r="C252" i="5"/>
  <c r="B252" i="5"/>
  <c r="A252" i="5"/>
  <c r="C251" i="5"/>
  <c r="B251" i="5"/>
  <c r="A251" i="5"/>
  <c r="C250" i="5"/>
  <c r="B250" i="5"/>
  <c r="A250" i="5"/>
  <c r="C249" i="5"/>
  <c r="B249" i="5"/>
  <c r="A249" i="5"/>
  <c r="C248" i="5"/>
  <c r="B248" i="5"/>
  <c r="A248" i="5"/>
  <c r="C247" i="5"/>
  <c r="B247" i="5"/>
  <c r="A247" i="5"/>
  <c r="C246" i="5"/>
  <c r="B246" i="5"/>
  <c r="A246" i="5"/>
  <c r="C245" i="5"/>
  <c r="B245" i="5"/>
  <c r="A245" i="5"/>
  <c r="C244" i="5"/>
  <c r="B244" i="5"/>
  <c r="A244" i="5"/>
  <c r="C243" i="5"/>
  <c r="B243" i="5"/>
  <c r="A243" i="5"/>
  <c r="C242" i="5"/>
  <c r="B242" i="5"/>
  <c r="A242" i="5"/>
  <c r="C241" i="5"/>
  <c r="B241" i="5"/>
  <c r="A241" i="5"/>
  <c r="C240" i="5"/>
  <c r="B240" i="5"/>
  <c r="A240" i="5"/>
  <c r="C239" i="5"/>
  <c r="B239" i="5"/>
  <c r="A239" i="5"/>
  <c r="C238" i="5"/>
  <c r="B238" i="5"/>
  <c r="A238" i="5"/>
  <c r="C237" i="5"/>
  <c r="B237" i="5"/>
  <c r="A237" i="5"/>
  <c r="C236" i="5"/>
  <c r="B236" i="5"/>
  <c r="A236" i="5"/>
  <c r="C235" i="5"/>
  <c r="B235" i="5"/>
  <c r="A235" i="5"/>
  <c r="C234" i="5"/>
  <c r="B234" i="5"/>
  <c r="A234" i="5"/>
  <c r="C233" i="5"/>
  <c r="B233" i="5"/>
  <c r="A233" i="5"/>
  <c r="C232" i="5"/>
  <c r="B232" i="5"/>
  <c r="A232" i="5"/>
  <c r="C231" i="5"/>
  <c r="B231" i="5"/>
  <c r="A231" i="5"/>
  <c r="C230" i="5"/>
  <c r="B230" i="5"/>
  <c r="A230" i="5"/>
  <c r="C229" i="5"/>
  <c r="B229" i="5"/>
  <c r="A229" i="5"/>
  <c r="C228" i="5"/>
  <c r="B228" i="5"/>
  <c r="A228" i="5"/>
  <c r="C227" i="5"/>
  <c r="B227" i="5"/>
  <c r="A227" i="5"/>
  <c r="C226" i="5"/>
  <c r="B226" i="5"/>
  <c r="A226" i="5"/>
  <c r="C225" i="5"/>
  <c r="B225" i="5"/>
  <c r="A225" i="5"/>
  <c r="C224" i="5"/>
  <c r="B224" i="5"/>
  <c r="A224" i="5"/>
  <c r="C223" i="5"/>
  <c r="B223" i="5"/>
  <c r="A223" i="5"/>
  <c r="C222" i="5"/>
  <c r="B222" i="5"/>
  <c r="A222" i="5"/>
  <c r="C221" i="5"/>
  <c r="B221" i="5"/>
  <c r="A221" i="5"/>
  <c r="C220" i="5"/>
  <c r="B220" i="5"/>
  <c r="A220" i="5"/>
  <c r="C219" i="5"/>
  <c r="B219" i="5"/>
  <c r="A219" i="5"/>
  <c r="C218" i="5"/>
  <c r="B218" i="5"/>
  <c r="A218" i="5"/>
  <c r="C217" i="5"/>
  <c r="B217" i="5"/>
  <c r="A217" i="5"/>
  <c r="C216" i="5"/>
  <c r="B216" i="5"/>
  <c r="A216" i="5"/>
  <c r="C215" i="5"/>
  <c r="B215" i="5"/>
  <c r="A215" i="5"/>
  <c r="C214" i="5"/>
  <c r="B214" i="5"/>
  <c r="A214" i="5"/>
  <c r="C213" i="5"/>
  <c r="B213" i="5"/>
  <c r="A213" i="5"/>
  <c r="C212" i="5"/>
  <c r="B212" i="5"/>
  <c r="A212" i="5"/>
  <c r="C211" i="5"/>
  <c r="B211" i="5"/>
  <c r="A211" i="5"/>
  <c r="C210" i="5"/>
  <c r="B210" i="5"/>
  <c r="A210" i="5"/>
  <c r="C209" i="5"/>
  <c r="B209" i="5"/>
  <c r="A209" i="5"/>
  <c r="C208" i="5"/>
  <c r="B208" i="5"/>
  <c r="A208" i="5"/>
  <c r="C207" i="5"/>
  <c r="B207" i="5"/>
  <c r="A207" i="5"/>
  <c r="C206" i="5"/>
  <c r="B206" i="5"/>
  <c r="A206" i="5"/>
  <c r="C205" i="5"/>
  <c r="B205" i="5"/>
  <c r="A205" i="5"/>
  <c r="C204" i="5"/>
  <c r="B204" i="5"/>
  <c r="A204" i="5"/>
  <c r="C203" i="5"/>
  <c r="B203" i="5"/>
  <c r="A203" i="5"/>
  <c r="C202" i="5"/>
  <c r="B202" i="5"/>
  <c r="A202" i="5"/>
  <c r="C201" i="5"/>
  <c r="B201" i="5"/>
  <c r="A201" i="5"/>
  <c r="C200" i="5"/>
  <c r="B200" i="5"/>
  <c r="A200" i="5"/>
  <c r="C199" i="5"/>
  <c r="B199" i="5"/>
  <c r="A199" i="5"/>
  <c r="C198" i="5"/>
  <c r="B198" i="5"/>
  <c r="A198" i="5"/>
  <c r="C197" i="5"/>
  <c r="B197" i="5"/>
  <c r="A197" i="5"/>
  <c r="C196" i="5"/>
  <c r="B196" i="5"/>
  <c r="A196" i="5"/>
  <c r="C195" i="5"/>
  <c r="B195" i="5"/>
  <c r="A195" i="5"/>
  <c r="C194" i="5"/>
  <c r="B194" i="5"/>
  <c r="A194" i="5"/>
  <c r="C193" i="5"/>
  <c r="B193" i="5"/>
  <c r="A193" i="5"/>
  <c r="C192" i="5"/>
  <c r="B192" i="5"/>
  <c r="A192" i="5"/>
  <c r="C191" i="5"/>
  <c r="B191" i="5"/>
  <c r="A191" i="5"/>
  <c r="C190" i="5"/>
  <c r="B190" i="5"/>
  <c r="A190" i="5"/>
  <c r="C189" i="5"/>
  <c r="B189" i="5"/>
  <c r="A189" i="5"/>
  <c r="C188" i="5"/>
  <c r="B188" i="5"/>
  <c r="A188" i="5"/>
  <c r="C187" i="5"/>
  <c r="B187" i="5"/>
  <c r="A187" i="5"/>
  <c r="C186" i="5"/>
  <c r="B186" i="5"/>
  <c r="A186" i="5"/>
  <c r="C185" i="5"/>
  <c r="B185" i="5"/>
  <c r="A185" i="5"/>
  <c r="C184" i="5"/>
  <c r="B184" i="5"/>
  <c r="A184" i="5"/>
  <c r="C183" i="5"/>
  <c r="B183" i="5"/>
  <c r="A183" i="5"/>
  <c r="C182" i="5"/>
  <c r="B182" i="5"/>
  <c r="A182" i="5"/>
  <c r="C181" i="5"/>
  <c r="B181" i="5"/>
  <c r="A181" i="5"/>
  <c r="C180" i="5"/>
  <c r="B180" i="5"/>
  <c r="A180" i="5"/>
  <c r="C179" i="5"/>
  <c r="B179" i="5"/>
  <c r="A179" i="5"/>
  <c r="C178" i="5"/>
  <c r="B178" i="5"/>
  <c r="A178" i="5"/>
  <c r="C177" i="5"/>
  <c r="B177" i="5"/>
  <c r="A177" i="5"/>
  <c r="C176" i="5"/>
  <c r="B176" i="5"/>
  <c r="A176" i="5"/>
  <c r="C175" i="5"/>
  <c r="B175" i="5"/>
  <c r="A175" i="5"/>
  <c r="C174" i="5"/>
  <c r="B174" i="5"/>
  <c r="A174" i="5"/>
  <c r="C173" i="5"/>
  <c r="B173" i="5"/>
  <c r="A173" i="5"/>
  <c r="C172" i="5"/>
  <c r="B172" i="5"/>
  <c r="A172" i="5"/>
  <c r="C171" i="5"/>
  <c r="B171" i="5"/>
  <c r="A171" i="5"/>
  <c r="C170" i="5"/>
  <c r="B170" i="5"/>
  <c r="A170" i="5"/>
  <c r="C169" i="5"/>
  <c r="B169" i="5"/>
  <c r="A169" i="5"/>
  <c r="C168" i="5"/>
  <c r="B168" i="5"/>
  <c r="A168" i="5"/>
  <c r="C167" i="5"/>
  <c r="B167" i="5"/>
  <c r="A167" i="5"/>
  <c r="C166" i="5"/>
  <c r="B166" i="5"/>
  <c r="A166" i="5"/>
  <c r="C165" i="5"/>
  <c r="B165" i="5"/>
  <c r="A165" i="5"/>
  <c r="C164" i="5"/>
  <c r="B164" i="5"/>
  <c r="A164" i="5"/>
  <c r="C163" i="5"/>
  <c r="B163" i="5"/>
  <c r="A163" i="5"/>
  <c r="C162" i="5"/>
  <c r="B162" i="5"/>
  <c r="A162" i="5"/>
  <c r="C161" i="5"/>
  <c r="B161" i="5"/>
  <c r="A161" i="5"/>
  <c r="C160" i="5"/>
  <c r="B160" i="5"/>
  <c r="A160" i="5"/>
  <c r="C159" i="5"/>
  <c r="B159" i="5"/>
  <c r="A159" i="5"/>
  <c r="C158" i="5"/>
  <c r="B158" i="5"/>
  <c r="A158" i="5"/>
  <c r="C157" i="5"/>
  <c r="B157" i="5"/>
  <c r="A157" i="5"/>
  <c r="C156" i="5"/>
  <c r="B156" i="5"/>
  <c r="A156" i="5"/>
  <c r="C155" i="5"/>
  <c r="B155" i="5"/>
  <c r="A155" i="5"/>
  <c r="C154" i="5"/>
  <c r="B154" i="5"/>
  <c r="A154" i="5"/>
  <c r="C153" i="5"/>
  <c r="B153" i="5"/>
  <c r="A153" i="5"/>
  <c r="C152" i="5"/>
  <c r="B152" i="5"/>
  <c r="A152" i="5"/>
  <c r="C151" i="5"/>
  <c r="B151" i="5"/>
  <c r="A151" i="5"/>
  <c r="C150" i="5"/>
  <c r="B150" i="5"/>
  <c r="A150" i="5"/>
  <c r="C149" i="5"/>
  <c r="B149" i="5"/>
  <c r="A149" i="5"/>
  <c r="C148" i="5"/>
  <c r="B148" i="5"/>
  <c r="A148" i="5"/>
  <c r="C147" i="5"/>
  <c r="B147" i="5"/>
  <c r="A147" i="5"/>
  <c r="C146" i="5"/>
  <c r="B146" i="5"/>
  <c r="A146" i="5"/>
  <c r="C145" i="5"/>
  <c r="B145" i="5"/>
  <c r="A145" i="5"/>
  <c r="C144" i="5"/>
  <c r="B144" i="5"/>
  <c r="A144" i="5"/>
  <c r="C143" i="5"/>
  <c r="B143" i="5"/>
  <c r="A143" i="5"/>
  <c r="C142" i="5"/>
  <c r="B142" i="5"/>
  <c r="A142" i="5"/>
  <c r="C141" i="5"/>
  <c r="B141" i="5"/>
  <c r="A141" i="5"/>
  <c r="C140" i="5"/>
  <c r="B140" i="5"/>
  <c r="A140" i="5"/>
  <c r="C139" i="5"/>
  <c r="B139" i="5"/>
  <c r="A139" i="5"/>
  <c r="C138" i="5"/>
  <c r="B138" i="5"/>
  <c r="A138" i="5"/>
  <c r="C137" i="5"/>
  <c r="B137" i="5"/>
  <c r="A137" i="5"/>
  <c r="C136" i="5"/>
  <c r="B136" i="5"/>
  <c r="A136" i="5"/>
  <c r="C135" i="5"/>
  <c r="B135" i="5"/>
  <c r="A135" i="5"/>
  <c r="C134" i="5"/>
  <c r="B134" i="5"/>
  <c r="A134" i="5"/>
  <c r="C133" i="5"/>
  <c r="B133" i="5"/>
  <c r="A133" i="5"/>
  <c r="C132" i="5"/>
  <c r="B132" i="5"/>
  <c r="A132" i="5"/>
  <c r="C131" i="5"/>
  <c r="B131" i="5"/>
  <c r="A131" i="5"/>
  <c r="C130" i="5"/>
  <c r="B130" i="5"/>
  <c r="A130" i="5"/>
  <c r="C129" i="5"/>
  <c r="B129" i="5"/>
  <c r="A129" i="5"/>
  <c r="C128" i="5"/>
  <c r="B128" i="5"/>
  <c r="A128" i="5"/>
  <c r="C127" i="5"/>
  <c r="B127" i="5"/>
  <c r="A127" i="5"/>
  <c r="C126" i="5"/>
  <c r="B126" i="5"/>
  <c r="A126" i="5"/>
  <c r="C125" i="5"/>
  <c r="B125" i="5"/>
  <c r="A125" i="5"/>
  <c r="C124" i="5"/>
  <c r="B124" i="5"/>
  <c r="A124" i="5"/>
  <c r="C123" i="5"/>
  <c r="B123" i="5"/>
  <c r="A123" i="5"/>
  <c r="C122" i="5"/>
  <c r="B122" i="5"/>
  <c r="A122" i="5"/>
  <c r="C121" i="5"/>
  <c r="B121" i="5"/>
  <c r="A121" i="5"/>
  <c r="C120" i="5"/>
  <c r="B120" i="5"/>
  <c r="A120" i="5"/>
  <c r="C119" i="5"/>
  <c r="B119" i="5"/>
  <c r="A119" i="5"/>
  <c r="C118" i="5"/>
  <c r="B118" i="5"/>
  <c r="A118" i="5"/>
  <c r="C117" i="5"/>
  <c r="B117" i="5"/>
  <c r="A117" i="5"/>
  <c r="C116" i="5"/>
  <c r="B116" i="5"/>
  <c r="A116" i="5"/>
  <c r="C115" i="5"/>
  <c r="B115" i="5"/>
  <c r="A115" i="5"/>
  <c r="C114" i="5"/>
  <c r="B114" i="5"/>
  <c r="A114" i="5"/>
  <c r="C113" i="5"/>
  <c r="B113" i="5"/>
  <c r="A113" i="5"/>
  <c r="C112" i="5"/>
  <c r="B112" i="5"/>
  <c r="A112" i="5"/>
  <c r="C111" i="5"/>
  <c r="B111" i="5"/>
  <c r="A111" i="5"/>
  <c r="C110" i="5"/>
  <c r="B110" i="5"/>
  <c r="A110" i="5"/>
  <c r="C109" i="5"/>
  <c r="B109" i="5"/>
  <c r="A109" i="5"/>
  <c r="C108" i="5"/>
  <c r="B108" i="5"/>
  <c r="A108" i="5"/>
  <c r="C107" i="5"/>
  <c r="B107" i="5"/>
  <c r="A107" i="5"/>
  <c r="C106" i="5"/>
  <c r="B106" i="5"/>
  <c r="A106" i="5"/>
  <c r="C105" i="5"/>
  <c r="B105" i="5"/>
  <c r="A105" i="5"/>
  <c r="C104" i="5"/>
  <c r="B104" i="5"/>
  <c r="A104" i="5"/>
  <c r="C103" i="5"/>
  <c r="B103" i="5"/>
  <c r="A103" i="5"/>
  <c r="C102" i="5"/>
  <c r="B102" i="5"/>
  <c r="A102" i="5"/>
  <c r="C101" i="5"/>
  <c r="B101" i="5"/>
  <c r="A101" i="5"/>
  <c r="C100" i="5"/>
  <c r="B100" i="5"/>
  <c r="A100" i="5"/>
  <c r="C99" i="5"/>
  <c r="B99" i="5"/>
  <c r="A99" i="5"/>
  <c r="C98" i="5"/>
  <c r="B98" i="5"/>
  <c r="A98" i="5"/>
  <c r="C97" i="5"/>
  <c r="B97" i="5"/>
  <c r="A97" i="5"/>
  <c r="C96" i="5"/>
  <c r="B96" i="5"/>
  <c r="A96" i="5"/>
  <c r="C95" i="5"/>
  <c r="B95" i="5"/>
  <c r="A95" i="5"/>
  <c r="C94" i="5"/>
  <c r="B94" i="5"/>
  <c r="A94" i="5"/>
  <c r="C93" i="5"/>
  <c r="B93" i="5"/>
  <c r="A93" i="5"/>
  <c r="C92" i="5"/>
  <c r="B92" i="5"/>
  <c r="A92" i="5"/>
  <c r="C91" i="5"/>
  <c r="B91" i="5"/>
  <c r="A91" i="5"/>
  <c r="C90" i="5"/>
  <c r="B90" i="5"/>
  <c r="A90" i="5"/>
  <c r="C89" i="5"/>
  <c r="B89" i="5"/>
  <c r="A89" i="5"/>
  <c r="C88" i="5"/>
  <c r="B88" i="5"/>
  <c r="A88" i="5"/>
  <c r="C87" i="5"/>
  <c r="B87" i="5"/>
  <c r="A87" i="5"/>
  <c r="C86" i="5"/>
  <c r="B86" i="5"/>
  <c r="A86" i="5"/>
  <c r="C85" i="5"/>
  <c r="B85" i="5"/>
  <c r="A85" i="5"/>
  <c r="C84" i="5"/>
  <c r="B84" i="5"/>
  <c r="A84" i="5"/>
  <c r="C83" i="5"/>
  <c r="B83" i="5"/>
  <c r="A83" i="5"/>
  <c r="C82" i="5"/>
  <c r="B82" i="5"/>
  <c r="A82" i="5"/>
  <c r="C81" i="5"/>
  <c r="B81" i="5"/>
  <c r="A81" i="5"/>
  <c r="C80" i="5"/>
  <c r="B80" i="5"/>
  <c r="A80" i="5"/>
  <c r="C79" i="5"/>
  <c r="B79" i="5"/>
  <c r="A79" i="5"/>
  <c r="C78" i="5"/>
  <c r="B78" i="5"/>
  <c r="A78" i="5"/>
  <c r="C77" i="5"/>
  <c r="B77" i="5"/>
  <c r="A77" i="5"/>
  <c r="C76" i="5"/>
  <c r="B76" i="5"/>
  <c r="A76" i="5"/>
  <c r="C75" i="5"/>
  <c r="B75" i="5"/>
  <c r="A75" i="5"/>
  <c r="C74" i="5"/>
  <c r="B74" i="5"/>
  <c r="A74" i="5"/>
  <c r="C73" i="5"/>
  <c r="B73" i="5"/>
  <c r="A73" i="5"/>
  <c r="C72" i="5"/>
  <c r="B72" i="5"/>
  <c r="A72" i="5"/>
  <c r="C71" i="5"/>
  <c r="B71" i="5"/>
  <c r="A71" i="5"/>
  <c r="C70" i="5"/>
  <c r="B70" i="5"/>
  <c r="A70" i="5"/>
  <c r="C69" i="5"/>
  <c r="B69" i="5"/>
  <c r="A69" i="5"/>
  <c r="C68" i="5"/>
  <c r="B68" i="5"/>
  <c r="A68" i="5"/>
  <c r="C67" i="5"/>
  <c r="B67" i="5"/>
  <c r="A67" i="5"/>
  <c r="C66" i="5"/>
  <c r="B66" i="5"/>
  <c r="A66" i="5"/>
  <c r="C65" i="5"/>
  <c r="B65" i="5"/>
  <c r="A65" i="5"/>
  <c r="C64" i="5"/>
  <c r="B64" i="5"/>
  <c r="A64" i="5"/>
  <c r="C63" i="5"/>
  <c r="B63" i="5"/>
  <c r="A63" i="5"/>
  <c r="C62" i="5"/>
  <c r="B62" i="5"/>
  <c r="A62" i="5"/>
  <c r="C61" i="5"/>
  <c r="B61" i="5"/>
  <c r="A61" i="5"/>
  <c r="C60" i="5"/>
  <c r="B60" i="5"/>
  <c r="A60" i="5"/>
  <c r="C59" i="5"/>
  <c r="B59" i="5"/>
  <c r="A59" i="5"/>
  <c r="C58" i="5"/>
  <c r="B58" i="5"/>
  <c r="A58" i="5"/>
  <c r="C57" i="5"/>
  <c r="B57" i="5"/>
  <c r="A57" i="5"/>
  <c r="C56" i="5"/>
  <c r="B56" i="5"/>
  <c r="A56" i="5"/>
  <c r="C55" i="5"/>
  <c r="B55" i="5"/>
  <c r="A55" i="5"/>
  <c r="C54" i="5"/>
  <c r="B54" i="5"/>
  <c r="A54" i="5"/>
  <c r="C53" i="5"/>
  <c r="B53" i="5"/>
  <c r="A53" i="5"/>
  <c r="C52" i="5"/>
  <c r="B52" i="5"/>
  <c r="A52" i="5"/>
  <c r="C51" i="5"/>
  <c r="B51" i="5"/>
  <c r="A51" i="5"/>
  <c r="C50" i="5"/>
  <c r="B50" i="5"/>
  <c r="A50" i="5"/>
  <c r="C49" i="5"/>
  <c r="B49" i="5"/>
  <c r="A49" i="5"/>
  <c r="C48" i="5"/>
  <c r="B48" i="5"/>
  <c r="A48" i="5"/>
  <c r="C47" i="5"/>
  <c r="B47" i="5"/>
  <c r="A47" i="5"/>
  <c r="C46" i="5"/>
  <c r="B46" i="5"/>
  <c r="A46" i="5"/>
  <c r="C45" i="5"/>
  <c r="B45" i="5"/>
  <c r="A45" i="5"/>
  <c r="C44" i="5"/>
  <c r="B44" i="5"/>
  <c r="A44" i="5"/>
  <c r="C43" i="5"/>
  <c r="B43" i="5"/>
  <c r="A43" i="5"/>
  <c r="C42" i="5"/>
  <c r="B42" i="5"/>
  <c r="A42" i="5"/>
  <c r="C41" i="5"/>
  <c r="B41" i="5"/>
  <c r="A41" i="5"/>
  <c r="C40" i="5"/>
  <c r="B40" i="5"/>
  <c r="A40" i="5"/>
  <c r="C39" i="5"/>
  <c r="B39" i="5"/>
  <c r="A39" i="5"/>
  <c r="C38" i="5"/>
  <c r="B38" i="5"/>
  <c r="A38" i="5"/>
  <c r="C37" i="5"/>
  <c r="B37" i="5"/>
  <c r="A37" i="5"/>
  <c r="C36" i="5"/>
  <c r="B36" i="5"/>
  <c r="A36" i="5"/>
  <c r="C35" i="5"/>
  <c r="B35" i="5"/>
  <c r="A35" i="5"/>
  <c r="C34" i="5"/>
  <c r="B34" i="5"/>
  <c r="A34" i="5"/>
  <c r="C33" i="5"/>
  <c r="B33" i="5"/>
  <c r="A33" i="5"/>
  <c r="C32" i="5"/>
  <c r="B32" i="5"/>
  <c r="A32" i="5"/>
  <c r="C31" i="5"/>
  <c r="B31" i="5"/>
  <c r="A31" i="5"/>
  <c r="C30" i="5"/>
  <c r="B30" i="5"/>
  <c r="A30" i="5"/>
  <c r="C29" i="5"/>
  <c r="B29" i="5"/>
  <c r="A29" i="5"/>
  <c r="C28" i="5"/>
  <c r="B28" i="5"/>
  <c r="A28" i="5"/>
  <c r="C27" i="5"/>
  <c r="B27" i="5"/>
  <c r="A27" i="5"/>
  <c r="C26" i="5"/>
  <c r="B26" i="5"/>
  <c r="A26" i="5"/>
  <c r="C25" i="5"/>
  <c r="B25" i="5"/>
  <c r="A25" i="5"/>
  <c r="C24" i="5"/>
  <c r="B24" i="5"/>
  <c r="A24" i="5"/>
  <c r="C23" i="5"/>
  <c r="B23" i="5"/>
  <c r="A23" i="5"/>
  <c r="C22" i="5"/>
  <c r="B22" i="5"/>
  <c r="A22" i="5"/>
  <c r="C21" i="5"/>
  <c r="B21" i="5"/>
  <c r="A21" i="5"/>
  <c r="C20" i="5"/>
  <c r="B20" i="5"/>
  <c r="A20" i="5"/>
  <c r="C19" i="5"/>
  <c r="B19" i="5"/>
  <c r="A19" i="5"/>
  <c r="C18" i="5"/>
  <c r="B18" i="5"/>
  <c r="A18" i="5"/>
  <c r="C17" i="5"/>
  <c r="B17" i="5"/>
  <c r="A17" i="5"/>
  <c r="C16" i="5"/>
  <c r="B16" i="5"/>
  <c r="A16" i="5"/>
  <c r="C15" i="5"/>
  <c r="B15" i="5"/>
  <c r="A15" i="5"/>
  <c r="C14" i="5"/>
  <c r="B14" i="5"/>
  <c r="A14" i="5"/>
  <c r="C13" i="5"/>
  <c r="B13" i="5"/>
  <c r="A13" i="5"/>
  <c r="C12" i="5"/>
  <c r="B12" i="5"/>
  <c r="A12" i="5"/>
  <c r="C11" i="5"/>
  <c r="B11" i="5"/>
  <c r="A11" i="5"/>
  <c r="C10" i="5"/>
  <c r="B10" i="5"/>
  <c r="A10" i="5"/>
  <c r="C9" i="5"/>
  <c r="B9" i="5"/>
  <c r="A9" i="5"/>
  <c r="C8" i="5"/>
  <c r="B8" i="5"/>
  <c r="A8" i="5"/>
  <c r="C7" i="5"/>
  <c r="B7" i="5"/>
  <c r="A7" i="5"/>
  <c r="C6" i="5"/>
  <c r="B6" i="5"/>
  <c r="A6" i="5"/>
  <c r="C5" i="5"/>
  <c r="B5" i="5"/>
  <c r="A5" i="5"/>
  <c r="C4" i="5"/>
  <c r="B4" i="5"/>
  <c r="A4" i="5"/>
  <c r="C3" i="5"/>
  <c r="B3" i="5"/>
  <c r="A3" i="5"/>
  <c r="C2" i="5"/>
  <c r="B2" i="5"/>
  <c r="A2" i="5"/>
  <c r="C1" i="5"/>
  <c r="A1" i="5"/>
  <c r="B1" i="5"/>
  <c r="AO934" i="1"/>
  <c r="AN934" i="1"/>
  <c r="AM934" i="1"/>
  <c r="AO933" i="1"/>
  <c r="AN933" i="1"/>
  <c r="AM933" i="1"/>
  <c r="AO788" i="1"/>
  <c r="AN788" i="1"/>
  <c r="AM788" i="1"/>
  <c r="AO787" i="1"/>
  <c r="AN787" i="1"/>
  <c r="AM787" i="1"/>
  <c r="AO1326" i="1"/>
  <c r="AN1326" i="1"/>
  <c r="AM1326" i="1"/>
  <c r="AO1325" i="1"/>
  <c r="AN1325" i="1"/>
  <c r="AM1325" i="1"/>
  <c r="AO1768" i="1"/>
  <c r="AN1768" i="1"/>
  <c r="AM1768" i="1"/>
  <c r="AO1767" i="1"/>
  <c r="AN1767" i="1"/>
  <c r="AM1767" i="1"/>
  <c r="AO2046" i="1"/>
  <c r="AN2046" i="1"/>
  <c r="AM2046" i="1"/>
  <c r="AO2045" i="1"/>
  <c r="AN2045" i="1"/>
  <c r="AM2045" i="1"/>
  <c r="AO3458" i="1"/>
  <c r="AN3458" i="1"/>
  <c r="AM3458" i="1"/>
  <c r="AO3457" i="1"/>
  <c r="AN3457" i="1"/>
  <c r="AM3457" i="1"/>
  <c r="AO4448" i="1" l="1"/>
  <c r="AO4411" i="1"/>
  <c r="AO4189" i="1"/>
  <c r="AO4051" i="1"/>
  <c r="AO3946" i="1"/>
  <c r="AO3880" i="1"/>
  <c r="AO3797" i="1"/>
  <c r="AO3763" i="1"/>
  <c r="AO3734" i="1"/>
  <c r="AO3658" i="1"/>
  <c r="AO3573" i="1"/>
  <c r="AO3491" i="1"/>
  <c r="AO3476" i="1"/>
  <c r="AO3443" i="1"/>
  <c r="AO3403" i="1"/>
  <c r="AO3387" i="1"/>
  <c r="AO3356" i="1"/>
  <c r="AO3267" i="1"/>
  <c r="AO3164" i="1"/>
  <c r="AO3060" i="1"/>
  <c r="AO3032" i="1"/>
  <c r="AO3006" i="1"/>
  <c r="AO2965" i="1"/>
  <c r="AO2900" i="1"/>
  <c r="AO2775" i="1"/>
  <c r="AO2120" i="1"/>
  <c r="AO2069" i="1"/>
  <c r="AO2019" i="1"/>
  <c r="AO1992" i="1"/>
  <c r="AO1879" i="1"/>
  <c r="AO1846" i="1"/>
  <c r="AO1809" i="1"/>
  <c r="AO1784" i="1"/>
  <c r="AO1717" i="1"/>
  <c r="AO1690" i="1"/>
  <c r="AO1602" i="1"/>
  <c r="AO1535" i="1"/>
  <c r="AO1424" i="1"/>
  <c r="AO1382" i="1"/>
  <c r="AO1365" i="1"/>
  <c r="AO1164" i="1"/>
  <c r="AO1141" i="1"/>
  <c r="AO1069" i="1"/>
  <c r="AO1017" i="1"/>
  <c r="AO965" i="1"/>
  <c r="AO851" i="1"/>
  <c r="AO826" i="1"/>
  <c r="AO761" i="1"/>
  <c r="AO727" i="1"/>
  <c r="AO690" i="1"/>
  <c r="AO659" i="1"/>
  <c r="AO595" i="1"/>
  <c r="AO523" i="1"/>
  <c r="AO493" i="1"/>
  <c r="AO446" i="1"/>
  <c r="AO361" i="1"/>
  <c r="AO322" i="1"/>
  <c r="AO288" i="1"/>
  <c r="AO183" i="1"/>
  <c r="AO47" i="1"/>
  <c r="AO13" i="1"/>
  <c r="AN4448" i="1"/>
  <c r="AN4411" i="1"/>
  <c r="AN4189" i="1"/>
  <c r="AN4051" i="1"/>
  <c r="AN3946" i="1"/>
  <c r="AN3880" i="1"/>
  <c r="AN3797" i="1"/>
  <c r="AN3763" i="1"/>
  <c r="AN3734" i="1"/>
  <c r="AN3658" i="1"/>
  <c r="AN3573" i="1"/>
  <c r="AN3491" i="1"/>
  <c r="AN3476" i="1"/>
  <c r="AN3443" i="1"/>
  <c r="AN3403" i="1"/>
  <c r="AN3387" i="1"/>
  <c r="AN3356" i="1"/>
  <c r="AN3267" i="1"/>
  <c r="AN3164" i="1"/>
  <c r="AN3060" i="1"/>
  <c r="AN3032" i="1"/>
  <c r="AN3006" i="1"/>
  <c r="AN2965" i="1"/>
  <c r="AN2900" i="1"/>
  <c r="AN2775" i="1"/>
  <c r="AN2120" i="1"/>
  <c r="AN2069" i="1"/>
  <c r="AN2019" i="1"/>
  <c r="AN1992" i="1"/>
  <c r="AN1879" i="1"/>
  <c r="AN1846" i="1"/>
  <c r="AN1809" i="1"/>
  <c r="AN1784" i="1"/>
  <c r="AN1717" i="1"/>
  <c r="AN1690" i="1"/>
  <c r="AN1602" i="1"/>
  <c r="AN1535" i="1"/>
  <c r="AN1424" i="1"/>
  <c r="AN1382" i="1"/>
  <c r="AN1365" i="1"/>
  <c r="AN1164" i="1"/>
  <c r="AN1141" i="1"/>
  <c r="AN1069" i="1"/>
  <c r="AN1017" i="1"/>
  <c r="AN965" i="1"/>
  <c r="AN851" i="1"/>
  <c r="AN826" i="1"/>
  <c r="AN761" i="1"/>
  <c r="AN727" i="1"/>
  <c r="AN690" i="1"/>
  <c r="AN659" i="1"/>
  <c r="AN595" i="1"/>
  <c r="AN523" i="1"/>
  <c r="AN493" i="1"/>
  <c r="AN446" i="1"/>
  <c r="AN361" i="1"/>
  <c r="AN322" i="1"/>
  <c r="AN288" i="1"/>
  <c r="AN183" i="1"/>
  <c r="AN47" i="1"/>
  <c r="AN13" i="1"/>
  <c r="AM4448" i="1"/>
  <c r="AO4447" i="1"/>
  <c r="AN4447" i="1"/>
  <c r="AM4447" i="1"/>
  <c r="AM4411" i="1"/>
  <c r="AO4410" i="1"/>
  <c r="AN4410" i="1"/>
  <c r="AM4410" i="1"/>
  <c r="AM4189" i="1"/>
  <c r="AO4188" i="1"/>
  <c r="AN4188" i="1"/>
  <c r="AM4188" i="1"/>
  <c r="AM4051" i="1"/>
  <c r="AO4050" i="1"/>
  <c r="AN4050" i="1"/>
  <c r="AM4050" i="1"/>
  <c r="AM3946" i="1"/>
  <c r="AO3945" i="1"/>
  <c r="AN3945" i="1"/>
  <c r="AM3945" i="1"/>
  <c r="AM3880" i="1"/>
  <c r="AO3879" i="1"/>
  <c r="AN3879" i="1"/>
  <c r="AM3879" i="1"/>
  <c r="AM3797" i="1"/>
  <c r="AO3796" i="1"/>
  <c r="AN3796" i="1"/>
  <c r="AM3796" i="1"/>
  <c r="AM3763" i="1"/>
  <c r="AO3762" i="1"/>
  <c r="AN3762" i="1"/>
  <c r="AM3762" i="1"/>
  <c r="AM3734" i="1"/>
  <c r="AO3733" i="1"/>
  <c r="AN3733" i="1"/>
  <c r="AM3733" i="1"/>
  <c r="AM3658" i="1"/>
  <c r="AO3657" i="1"/>
  <c r="AN3657" i="1"/>
  <c r="AM3657" i="1"/>
  <c r="AM3573" i="1"/>
  <c r="AO3572" i="1"/>
  <c r="AN3572" i="1"/>
  <c r="AM3572" i="1"/>
  <c r="AM3491" i="1"/>
  <c r="AO3490" i="1"/>
  <c r="AN3490" i="1"/>
  <c r="AM3490" i="1"/>
  <c r="AM3476" i="1"/>
  <c r="AO3475" i="1"/>
  <c r="AN3475" i="1"/>
  <c r="AM3475" i="1"/>
  <c r="AM3443" i="1"/>
  <c r="AO3442" i="1"/>
  <c r="AN3442" i="1"/>
  <c r="AM3442" i="1"/>
  <c r="AM3403" i="1"/>
  <c r="AO3402" i="1"/>
  <c r="AN3402" i="1"/>
  <c r="AM3402" i="1"/>
  <c r="AM3387" i="1"/>
  <c r="AO3386" i="1"/>
  <c r="AN3386" i="1"/>
  <c r="AM3386" i="1"/>
  <c r="AM3356" i="1"/>
  <c r="AO3355" i="1"/>
  <c r="AN3355" i="1"/>
  <c r="AM3355" i="1"/>
  <c r="AM3267" i="1"/>
  <c r="AO3266" i="1"/>
  <c r="AN3266" i="1"/>
  <c r="AM3266" i="1"/>
  <c r="AM3164" i="1"/>
  <c r="AO3163" i="1"/>
  <c r="AN3163" i="1"/>
  <c r="AM3163" i="1"/>
  <c r="AM3060" i="1"/>
  <c r="AO3059" i="1"/>
  <c r="AN3059" i="1"/>
  <c r="AM3059" i="1"/>
  <c r="AM3032" i="1"/>
  <c r="AO3031" i="1"/>
  <c r="AN3031" i="1"/>
  <c r="AM3031" i="1"/>
  <c r="AM3006" i="1"/>
  <c r="AO3005" i="1"/>
  <c r="AN3005" i="1"/>
  <c r="AM3005" i="1"/>
  <c r="AM2965" i="1"/>
  <c r="AO2964" i="1"/>
  <c r="AN2964" i="1"/>
  <c r="AM2964" i="1"/>
  <c r="AM2900" i="1"/>
  <c r="AO2899" i="1"/>
  <c r="AN2899" i="1"/>
  <c r="AM2899" i="1"/>
  <c r="AM2775" i="1"/>
  <c r="AO2774" i="1"/>
  <c r="AN2774" i="1"/>
  <c r="AM2774" i="1"/>
  <c r="AM2120" i="1"/>
  <c r="AO2119" i="1"/>
  <c r="AN2119" i="1"/>
  <c r="AM2119" i="1"/>
  <c r="AM2069" i="1"/>
  <c r="AO2068" i="1"/>
  <c r="AN2068" i="1"/>
  <c r="AM2068" i="1"/>
  <c r="AM2019" i="1"/>
  <c r="AO2018" i="1"/>
  <c r="AN2018" i="1"/>
  <c r="AM2018" i="1"/>
  <c r="AM1992" i="1"/>
  <c r="AO1991" i="1"/>
  <c r="AN1991" i="1"/>
  <c r="AM1991" i="1"/>
  <c r="AM1879" i="1"/>
  <c r="AO1878" i="1"/>
  <c r="AN1878" i="1"/>
  <c r="AM1878" i="1"/>
  <c r="AM1846" i="1"/>
  <c r="AO1845" i="1"/>
  <c r="AN1845" i="1"/>
  <c r="AM1845" i="1"/>
  <c r="AM1809" i="1"/>
  <c r="AO1808" i="1"/>
  <c r="AN1808" i="1"/>
  <c r="AM1808" i="1"/>
  <c r="AM1784" i="1"/>
  <c r="AO1783" i="1"/>
  <c r="AN1783" i="1"/>
  <c r="AM1783" i="1"/>
  <c r="AM1717" i="1"/>
  <c r="AO1716" i="1"/>
  <c r="AN1716" i="1"/>
  <c r="AM1716" i="1"/>
  <c r="AM1690" i="1"/>
  <c r="AO1689" i="1"/>
  <c r="AN1689" i="1"/>
  <c r="AM1689" i="1"/>
  <c r="AM1602" i="1"/>
  <c r="AO1601" i="1"/>
  <c r="AN1601" i="1"/>
  <c r="AM1601" i="1"/>
  <c r="AM1535" i="1"/>
  <c r="AO1534" i="1"/>
  <c r="AN1534" i="1"/>
  <c r="AM1534" i="1"/>
  <c r="AM1424" i="1"/>
  <c r="AO1423" i="1"/>
  <c r="AN1423" i="1"/>
  <c r="AM1423" i="1"/>
  <c r="AM1382" i="1"/>
  <c r="AO1381" i="1"/>
  <c r="AN1381" i="1"/>
  <c r="AM1381" i="1"/>
  <c r="AM1365" i="1"/>
  <c r="AO1364" i="1"/>
  <c r="AN1364" i="1"/>
  <c r="AM1364" i="1"/>
  <c r="AM1164" i="1"/>
  <c r="AO1163" i="1"/>
  <c r="AN1163" i="1"/>
  <c r="AM1163" i="1"/>
  <c r="AM1141" i="1"/>
  <c r="AO1140" i="1"/>
  <c r="AN1140" i="1"/>
  <c r="AM1140" i="1"/>
  <c r="AM1069" i="1"/>
  <c r="AO1068" i="1"/>
  <c r="AN1068" i="1"/>
  <c r="AM1068" i="1"/>
  <c r="AM1017" i="1"/>
  <c r="AO1016" i="1"/>
  <c r="AN1016" i="1"/>
  <c r="AM1016" i="1"/>
  <c r="AM965" i="1"/>
  <c r="AO964" i="1"/>
  <c r="AN964" i="1"/>
  <c r="AM964" i="1"/>
  <c r="AM851" i="1"/>
  <c r="AO850" i="1"/>
  <c r="AN850" i="1"/>
  <c r="AM850" i="1"/>
  <c r="AM826" i="1"/>
  <c r="AO825" i="1"/>
  <c r="AN825" i="1"/>
  <c r="AM825" i="1"/>
  <c r="AM761" i="1"/>
  <c r="AO760" i="1"/>
  <c r="AN760" i="1"/>
  <c r="AM760" i="1"/>
  <c r="AM727" i="1"/>
  <c r="AO726" i="1"/>
  <c r="AN726" i="1"/>
  <c r="AM726" i="1"/>
  <c r="AM690" i="1"/>
  <c r="AO689" i="1"/>
  <c r="AN689" i="1"/>
  <c r="AM689" i="1"/>
  <c r="AM659" i="1"/>
  <c r="AO658" i="1"/>
  <c r="AN658" i="1"/>
  <c r="AM658" i="1"/>
  <c r="AM595" i="1"/>
  <c r="AO594" i="1"/>
  <c r="AN594" i="1"/>
  <c r="AM594" i="1"/>
  <c r="AM523" i="1"/>
  <c r="AO522" i="1"/>
  <c r="AN522" i="1"/>
  <c r="AM522" i="1"/>
  <c r="AM493" i="1"/>
  <c r="AO492" i="1"/>
  <c r="AN492" i="1"/>
  <c r="AM492" i="1"/>
  <c r="AM446" i="1"/>
  <c r="AO445" i="1"/>
  <c r="AN445" i="1"/>
  <c r="AM445" i="1"/>
  <c r="AM361" i="1"/>
  <c r="AO360" i="1"/>
  <c r="AN360" i="1"/>
  <c r="AM360" i="1"/>
  <c r="AM322" i="1"/>
  <c r="AO321" i="1"/>
  <c r="AN321" i="1"/>
  <c r="AM321" i="1"/>
  <c r="AM288" i="1"/>
  <c r="AO287" i="1"/>
  <c r="AN287" i="1"/>
  <c r="AM287" i="1"/>
  <c r="AM183" i="1"/>
  <c r="AO182" i="1"/>
  <c r="AN182" i="1"/>
  <c r="AM182" i="1"/>
  <c r="AM47" i="1"/>
  <c r="AO46" i="1"/>
  <c r="AN46" i="1"/>
  <c r="AM46" i="1"/>
  <c r="AO12" i="1"/>
  <c r="AN12" i="1"/>
  <c r="AM12" i="1"/>
  <c r="AM13" i="1"/>
  <c r="AV3504" i="1" l="1"/>
  <c r="AE4902" i="1" l="1"/>
  <c r="AC4905" i="1"/>
  <c r="AC4904" i="1"/>
  <c r="AC4903" i="1"/>
  <c r="AC4895" i="1" l="1"/>
  <c r="AC4894" i="1"/>
  <c r="AC4893" i="1"/>
  <c r="AE4892" i="1"/>
  <c r="AV4288" i="1"/>
  <c r="AV4287" i="1"/>
  <c r="AV4289" i="1"/>
  <c r="AV4290" i="1"/>
  <c r="AV4003" i="1"/>
  <c r="AV4002" i="1"/>
  <c r="AC4900" i="1"/>
  <c r="AC4899" i="1"/>
  <c r="AC4898" i="1"/>
  <c r="AE4897" i="1"/>
  <c r="AV4432" i="1"/>
  <c r="AV4431" i="1"/>
  <c r="AV4430" i="1"/>
  <c r="AV4429" i="1"/>
  <c r="AV4428" i="1"/>
  <c r="AV4427" i="1"/>
  <c r="AV4426" i="1"/>
  <c r="AV4425" i="1"/>
  <c r="AV4424" i="1"/>
  <c r="AV4423" i="1"/>
  <c r="AV4422" i="1"/>
  <c r="AV4421" i="1"/>
  <c r="AV4420" i="1"/>
  <c r="AV4419" i="1"/>
  <c r="AV4418" i="1"/>
  <c r="AV4417" i="1"/>
  <c r="AV4416" i="1"/>
  <c r="AV4415" i="1"/>
  <c r="AV4414" i="1"/>
  <c r="AV4413" i="1"/>
  <c r="AV4412" i="1"/>
  <c r="AV4411" i="1"/>
  <c r="AV4410" i="1"/>
  <c r="AV4409" i="1"/>
  <c r="AC4409" i="1"/>
  <c r="AB4409" i="1"/>
  <c r="AA4409" i="1"/>
  <c r="AV4408" i="1"/>
  <c r="AV4407" i="1"/>
  <c r="AV4406" i="1"/>
  <c r="AV4405" i="1"/>
  <c r="AV4404" i="1"/>
  <c r="AV4403" i="1"/>
  <c r="AV4402" i="1"/>
  <c r="AV4401" i="1"/>
  <c r="AV4400" i="1"/>
  <c r="AV4399" i="1"/>
  <c r="AV4398" i="1"/>
  <c r="AC4398" i="1"/>
  <c r="AB4398" i="1"/>
  <c r="AA4398" i="1"/>
  <c r="AV4397" i="1"/>
  <c r="AV4396" i="1"/>
  <c r="AV4455" i="1"/>
  <c r="AV3907" i="1"/>
  <c r="AV3908" i="1"/>
  <c r="AC4435" i="1"/>
  <c r="AB4435" i="1"/>
  <c r="AA4435" i="1"/>
  <c r="AC4890" i="1"/>
  <c r="AC4889" i="1"/>
  <c r="AC4888" i="1"/>
  <c r="AE4887" i="1"/>
  <c r="AC4885" i="1"/>
  <c r="AC4884" i="1"/>
  <c r="AC4883" i="1"/>
  <c r="AE4882" i="1"/>
  <c r="AC4880" i="1"/>
  <c r="AC4879" i="1"/>
  <c r="AC4878" i="1"/>
  <c r="AE4877" i="1"/>
  <c r="AC4875" i="1"/>
  <c r="AC4874" i="1"/>
  <c r="AC4873" i="1"/>
  <c r="AE4872" i="1"/>
  <c r="AC4870" i="1"/>
  <c r="AC4869" i="1"/>
  <c r="AC4868" i="1"/>
  <c r="AE4867" i="1"/>
  <c r="AC4865" i="1"/>
  <c r="AC4864" i="1"/>
  <c r="AC4863" i="1"/>
  <c r="AE4862" i="1"/>
  <c r="AV4456" i="1"/>
  <c r="AV4377" i="1"/>
  <c r="AV4369" i="1"/>
  <c r="AV4005" i="1"/>
  <c r="AV4004" i="1"/>
  <c r="AV4001" i="1"/>
  <c r="AV4286" i="1"/>
  <c r="AV4260" i="1"/>
  <c r="AV4259" i="1"/>
  <c r="AV4258" i="1"/>
  <c r="AV4257" i="1"/>
  <c r="AV4256" i="1"/>
  <c r="AV4255" i="1"/>
  <c r="AV4254" i="1"/>
  <c r="AV4253" i="1"/>
  <c r="AV4252" i="1"/>
  <c r="AV4251" i="1"/>
  <c r="AV4250" i="1"/>
  <c r="AV4249" i="1"/>
  <c r="AV4248" i="1"/>
  <c r="AV4247" i="1"/>
  <c r="AV4246" i="1"/>
  <c r="AV4245" i="1"/>
  <c r="AC4245" i="1"/>
  <c r="AB4245" i="1"/>
  <c r="AA4245" i="1"/>
  <c r="AV4244" i="1"/>
  <c r="AV4243" i="1"/>
  <c r="AV4242" i="1"/>
  <c r="AV4241" i="1"/>
  <c r="AV4240" i="1"/>
  <c r="AV4239" i="1"/>
  <c r="AV4238" i="1"/>
  <c r="AV4237" i="1"/>
  <c r="AV4236" i="1"/>
  <c r="AV4235" i="1"/>
  <c r="AV4234" i="1"/>
  <c r="AC4234" i="1"/>
  <c r="AB4234" i="1"/>
  <c r="AV4233" i="1"/>
  <c r="AV4232" i="1"/>
  <c r="AC4446" i="1"/>
  <c r="AB4446" i="1"/>
  <c r="AA4446" i="1"/>
  <c r="AV4453" i="1"/>
  <c r="AV4465" i="1"/>
  <c r="AV4464" i="1"/>
  <c r="AV4463" i="1"/>
  <c r="AV4462" i="1"/>
  <c r="AV4461" i="1"/>
  <c r="AV4460" i="1"/>
  <c r="AV4459" i="1"/>
  <c r="AV4458" i="1"/>
  <c r="AV4457" i="1"/>
  <c r="AV4469" i="1"/>
  <c r="AV4468" i="1"/>
  <c r="AV4467" i="1"/>
  <c r="AV4466" i="1"/>
  <c r="AV4454" i="1"/>
  <c r="AV4452" i="1"/>
  <c r="AV4451" i="1"/>
  <c r="AV4450" i="1"/>
  <c r="AV4449" i="1"/>
  <c r="AV4448" i="1"/>
  <c r="AV4447" i="1"/>
  <c r="AV4446" i="1"/>
  <c r="AV4445" i="1"/>
  <c r="AV4444" i="1"/>
  <c r="AV4443" i="1"/>
  <c r="AV4442" i="1"/>
  <c r="AV4441" i="1"/>
  <c r="AV4440" i="1"/>
  <c r="AV4439" i="1"/>
  <c r="AV4438" i="1"/>
  <c r="AV4437" i="1"/>
  <c r="AV4436" i="1"/>
  <c r="AV4435" i="1"/>
  <c r="AV4434" i="1"/>
  <c r="AV4433" i="1"/>
  <c r="AV4376" i="1"/>
  <c r="AV4368" i="1"/>
  <c r="AV4284" i="1"/>
  <c r="AV4283" i="1"/>
  <c r="AV4294" i="1"/>
  <c r="AV4293" i="1"/>
  <c r="AV4292" i="1"/>
  <c r="AV4291" i="1"/>
  <c r="AV4285" i="1"/>
  <c r="AV4282" i="1"/>
  <c r="AV4281" i="1"/>
  <c r="AV4280" i="1"/>
  <c r="AV4279" i="1"/>
  <c r="AV4278" i="1"/>
  <c r="AV4277" i="1"/>
  <c r="AV4276" i="1"/>
  <c r="AV4275" i="1"/>
  <c r="AV4274" i="1"/>
  <c r="AC4274" i="1"/>
  <c r="AB4274" i="1"/>
  <c r="AA4274" i="1"/>
  <c r="AV4273" i="1"/>
  <c r="AV4272" i="1"/>
  <c r="AV4271" i="1"/>
  <c r="AV4270" i="1"/>
  <c r="AV4269" i="1"/>
  <c r="AV4268" i="1"/>
  <c r="AV4267" i="1"/>
  <c r="AV4266" i="1"/>
  <c r="AV4265" i="1"/>
  <c r="AV4264" i="1"/>
  <c r="AV4263" i="1"/>
  <c r="AC4263" i="1"/>
  <c r="AB4263" i="1"/>
  <c r="AA4263" i="1"/>
  <c r="AV4262" i="1"/>
  <c r="AV4261" i="1"/>
  <c r="AC4860" i="1"/>
  <c r="AC4859" i="1"/>
  <c r="AC4858" i="1"/>
  <c r="AE4857" i="1"/>
  <c r="AV4316" i="1"/>
  <c r="AV4315" i="1"/>
  <c r="AV4317" i="1"/>
  <c r="AV4318" i="1"/>
  <c r="AV4319" i="1"/>
  <c r="AV4391" i="1"/>
  <c r="AV4390" i="1"/>
  <c r="AV4389" i="1"/>
  <c r="AV4388" i="1"/>
  <c r="AV4387" i="1"/>
  <c r="AV4386" i="1"/>
  <c r="AV4385" i="1"/>
  <c r="AV4384" i="1"/>
  <c r="AV4383" i="1"/>
  <c r="AV4382" i="1"/>
  <c r="AV4381" i="1"/>
  <c r="AV4380" i="1"/>
  <c r="AV4379" i="1"/>
  <c r="AV4378" i="1"/>
  <c r="AV4375" i="1"/>
  <c r="AV4374" i="1"/>
  <c r="AV4373" i="1"/>
  <c r="AV4372" i="1"/>
  <c r="AV4371" i="1"/>
  <c r="AV4370" i="1"/>
  <c r="AV4367" i="1"/>
  <c r="AV4395" i="1"/>
  <c r="AV4394" i="1"/>
  <c r="AV4393" i="1"/>
  <c r="AV4392" i="1"/>
  <c r="AV4366" i="1"/>
  <c r="AV4365" i="1"/>
  <c r="AV4364" i="1"/>
  <c r="AV4363" i="1"/>
  <c r="AV4362" i="1"/>
  <c r="AV4361" i="1"/>
  <c r="AC4361" i="1"/>
  <c r="AB4361" i="1"/>
  <c r="AA4361" i="1"/>
  <c r="AV4360" i="1"/>
  <c r="AV4359" i="1"/>
  <c r="AV4358" i="1"/>
  <c r="AV4357" i="1"/>
  <c r="AV4356" i="1"/>
  <c r="AV4355" i="1"/>
  <c r="AV4354" i="1"/>
  <c r="AV4353" i="1"/>
  <c r="AV4352" i="1"/>
  <c r="AV4351" i="1"/>
  <c r="AV4350" i="1"/>
  <c r="AC4350" i="1"/>
  <c r="AB4350" i="1"/>
  <c r="AA4350" i="1"/>
  <c r="AV4349" i="1"/>
  <c r="AV4348" i="1"/>
  <c r="AV4000" i="1"/>
  <c r="AI3984" i="1"/>
  <c r="AI3968" i="1"/>
  <c r="AI3920" i="1"/>
  <c r="AI3912" i="1"/>
  <c r="AI3903" i="1"/>
  <c r="AI3890" i="1"/>
  <c r="AI3846" i="1"/>
  <c r="AI3832" i="1"/>
  <c r="AI3823" i="1"/>
  <c r="AI3810" i="1"/>
  <c r="AI3625" i="1"/>
  <c r="AI3610" i="1"/>
  <c r="AI3593" i="1"/>
  <c r="AI3579" i="1"/>
  <c r="AV3875" i="1"/>
  <c r="AV3874" i="1"/>
  <c r="AV3873" i="1"/>
  <c r="AV3872" i="1"/>
  <c r="AV3871" i="1"/>
  <c r="AV3870" i="1"/>
  <c r="AV3869" i="1"/>
  <c r="AV3868" i="1"/>
  <c r="AV3867" i="1"/>
  <c r="AC3867" i="1"/>
  <c r="AB3867" i="1"/>
  <c r="AA3867" i="1"/>
  <c r="AV3866" i="1"/>
  <c r="AV3865" i="1"/>
  <c r="AV3792" i="1"/>
  <c r="AV3791" i="1"/>
  <c r="AV3790" i="1"/>
  <c r="AV3789" i="1"/>
  <c r="AV3788" i="1"/>
  <c r="AV3787" i="1"/>
  <c r="AV3786" i="1"/>
  <c r="AV3785" i="1"/>
  <c r="AV3784" i="1"/>
  <c r="AC3784" i="1"/>
  <c r="AB3784" i="1"/>
  <c r="AA3784" i="1"/>
  <c r="AV3783" i="1"/>
  <c r="AV3782" i="1"/>
  <c r="AV3758" i="1"/>
  <c r="AV3757" i="1"/>
  <c r="AV3756" i="1"/>
  <c r="AV3755" i="1"/>
  <c r="AV3754" i="1"/>
  <c r="AV3753" i="1"/>
  <c r="AV3752" i="1"/>
  <c r="AV3751" i="1"/>
  <c r="AV3750" i="1"/>
  <c r="AC3750" i="1"/>
  <c r="AB3750" i="1"/>
  <c r="AA3750" i="1"/>
  <c r="AV3749" i="1"/>
  <c r="AV3748" i="1"/>
  <c r="AV3729" i="1"/>
  <c r="AV3728" i="1"/>
  <c r="AV3727" i="1"/>
  <c r="AV3726" i="1"/>
  <c r="AV3725" i="1"/>
  <c r="AV3724" i="1"/>
  <c r="AV3723" i="1"/>
  <c r="AV3722" i="1"/>
  <c r="AV3721" i="1"/>
  <c r="AC3721" i="1"/>
  <c r="AB3721" i="1"/>
  <c r="AA3721" i="1"/>
  <c r="AV3720" i="1"/>
  <c r="AV3719" i="1"/>
  <c r="AV3653" i="1"/>
  <c r="AV3652" i="1"/>
  <c r="AV3651" i="1"/>
  <c r="AV3650" i="1"/>
  <c r="AV3649" i="1"/>
  <c r="AV3648" i="1"/>
  <c r="AV3647" i="1"/>
  <c r="AV3646" i="1"/>
  <c r="AV3645" i="1"/>
  <c r="AC3645" i="1"/>
  <c r="AB3645" i="1"/>
  <c r="AA3645" i="1"/>
  <c r="AV3644" i="1"/>
  <c r="AV3643" i="1"/>
  <c r="AV4507" i="1"/>
  <c r="AV4506" i="1"/>
  <c r="AV4505" i="1"/>
  <c r="AV4504" i="1"/>
  <c r="AV4503" i="1"/>
  <c r="AV4502" i="1"/>
  <c r="AV4501" i="1"/>
  <c r="AV4500" i="1"/>
  <c r="AV4499" i="1"/>
  <c r="AC4499" i="1"/>
  <c r="AB4499" i="1"/>
  <c r="AA4499" i="1"/>
  <c r="AV4498" i="1"/>
  <c r="AV4497" i="1"/>
  <c r="AV4508" i="1"/>
  <c r="AV4509" i="1"/>
  <c r="AA4510" i="1"/>
  <c r="AB4510" i="1"/>
  <c r="AC4510" i="1"/>
  <c r="AV4510" i="1"/>
  <c r="AV4511" i="1"/>
  <c r="AV4512" i="1"/>
  <c r="AV4513" i="1"/>
  <c r="AV4514" i="1"/>
  <c r="AV4515" i="1"/>
  <c r="AV4516" i="1"/>
  <c r="AV4517" i="1"/>
  <c r="AV4518" i="1"/>
  <c r="AV4480" i="1"/>
  <c r="AV4479" i="1"/>
  <c r="AV4478" i="1"/>
  <c r="AV4477" i="1"/>
  <c r="AV4476" i="1"/>
  <c r="AV4475" i="1"/>
  <c r="AV4474" i="1"/>
  <c r="AV4473" i="1"/>
  <c r="AV4472" i="1"/>
  <c r="AV4471" i="1"/>
  <c r="AV4470" i="1"/>
  <c r="AV4305" i="1"/>
  <c r="AV4304" i="1"/>
  <c r="AV4303" i="1"/>
  <c r="AV4302" i="1"/>
  <c r="AV4301" i="1"/>
  <c r="AV4300" i="1"/>
  <c r="AV4299" i="1"/>
  <c r="AV4298" i="1"/>
  <c r="AV4297" i="1"/>
  <c r="AC4297" i="1"/>
  <c r="AB4297" i="1"/>
  <c r="AA4297" i="1"/>
  <c r="AV4296" i="1"/>
  <c r="AV4295" i="1"/>
  <c r="AC4038" i="1"/>
  <c r="AB4038" i="1"/>
  <c r="AA4038" i="1"/>
  <c r="AV4045" i="1"/>
  <c r="AV4044" i="1"/>
  <c r="AV4043" i="1"/>
  <c r="AV4042" i="1"/>
  <c r="AV4041" i="1"/>
  <c r="AV4040" i="1"/>
  <c r="AV4039" i="1"/>
  <c r="AV4038" i="1"/>
  <c r="AV4037" i="1"/>
  <c r="AV4036" i="1"/>
  <c r="AV4035" i="1"/>
  <c r="AC4855" i="1"/>
  <c r="AC4854" i="1"/>
  <c r="AC4853" i="1"/>
  <c r="AC4852" i="1"/>
  <c r="AE4855" i="1"/>
  <c r="AE4854" i="1"/>
  <c r="AE4853" i="1"/>
  <c r="AE4852" i="1"/>
  <c r="AE4851" i="1"/>
  <c r="AI3563" i="1"/>
  <c r="AI3561" i="1"/>
  <c r="AI3559" i="1"/>
  <c r="AI3557" i="1"/>
  <c r="AI3555" i="1"/>
  <c r="AI3553" i="1"/>
  <c r="AI3550" i="1"/>
  <c r="AI3542" i="1"/>
  <c r="AI3535" i="1"/>
  <c r="AI3533" i="1"/>
  <c r="AI3531" i="1"/>
  <c r="AI3529" i="1"/>
  <c r="AI3514" i="1"/>
  <c r="AC3878" i="1"/>
  <c r="AB3878" i="1"/>
  <c r="AA3878" i="1"/>
  <c r="AC3795" i="1"/>
  <c r="AB3795" i="1"/>
  <c r="AA3795" i="1"/>
  <c r="AC3761" i="1"/>
  <c r="AB3761" i="1"/>
  <c r="AA3761" i="1"/>
  <c r="AC3732" i="1"/>
  <c r="AB3732" i="1"/>
  <c r="AA3732" i="1"/>
  <c r="AC3656" i="1"/>
  <c r="AB3656" i="1"/>
  <c r="AA3656" i="1"/>
  <c r="AC3571" i="1"/>
  <c r="AB3571" i="1"/>
  <c r="AA3571" i="1"/>
  <c r="AC3489" i="1"/>
  <c r="AB3489" i="1"/>
  <c r="AA3489" i="1"/>
  <c r="AV4029" i="1"/>
  <c r="AV4028" i="1"/>
  <c r="AC4308" i="1"/>
  <c r="AB4308" i="1"/>
  <c r="AA4308" i="1"/>
  <c r="AC4187" i="1"/>
  <c r="AB4187" i="1"/>
  <c r="AA4187" i="1"/>
  <c r="AC4049" i="1"/>
  <c r="AB4049" i="1"/>
  <c r="AA4049" i="1"/>
  <c r="AI3988" i="1"/>
  <c r="AC3944" i="1"/>
  <c r="AA3944" i="1"/>
  <c r="AB3944" i="1"/>
  <c r="AV4340" i="1"/>
  <c r="AV4815" i="1"/>
  <c r="AV4814" i="1"/>
  <c r="AV4813" i="1"/>
  <c r="AV4812" i="1"/>
  <c r="AV4811" i="1"/>
  <c r="AV4810" i="1"/>
  <c r="AV4809" i="1"/>
  <c r="AV4808" i="1"/>
  <c r="AV4807" i="1"/>
  <c r="AV4806" i="1"/>
  <c r="AV4805" i="1"/>
  <c r="AV4804" i="1"/>
  <c r="AV4803" i="1"/>
  <c r="AV4802" i="1"/>
  <c r="AV4801" i="1"/>
  <c r="AV4800" i="1"/>
  <c r="AV4799" i="1"/>
  <c r="AV4798" i="1"/>
  <c r="AV4797" i="1"/>
  <c r="AV4796" i="1"/>
  <c r="AV4795" i="1"/>
  <c r="AV4794" i="1"/>
  <c r="AV4793" i="1"/>
  <c r="AV4792" i="1"/>
  <c r="AV4791" i="1"/>
  <c r="AV4790" i="1"/>
  <c r="AV4789" i="1"/>
  <c r="AV4788" i="1"/>
  <c r="AV4787" i="1"/>
  <c r="AV4786" i="1"/>
  <c r="AV4785" i="1"/>
  <c r="AV4784" i="1"/>
  <c r="AV4783" i="1"/>
  <c r="AV4782" i="1"/>
  <c r="AV4781" i="1"/>
  <c r="AV4780" i="1"/>
  <c r="AV4779" i="1"/>
  <c r="AV4778" i="1"/>
  <c r="AV4777" i="1"/>
  <c r="AV4776" i="1"/>
  <c r="AV4775" i="1"/>
  <c r="AV4774" i="1"/>
  <c r="AV4773" i="1"/>
  <c r="AV4772" i="1"/>
  <c r="AV4771" i="1"/>
  <c r="AV4770" i="1"/>
  <c r="AV4769" i="1"/>
  <c r="AV4768" i="1"/>
  <c r="AV4767" i="1"/>
  <c r="AV4766" i="1"/>
  <c r="AV4765" i="1"/>
  <c r="AV4764" i="1"/>
  <c r="AV4763" i="1"/>
  <c r="AV4762" i="1"/>
  <c r="AV4761" i="1"/>
  <c r="AV4760" i="1"/>
  <c r="AV4759" i="1"/>
  <c r="AV4758" i="1"/>
  <c r="AV4757" i="1"/>
  <c r="AV4756" i="1"/>
  <c r="AV4755" i="1"/>
  <c r="AV4754" i="1"/>
  <c r="AV4753" i="1"/>
  <c r="AV4752" i="1"/>
  <c r="AV4751" i="1"/>
  <c r="AV4750" i="1"/>
  <c r="AV4749" i="1"/>
  <c r="AV4748" i="1"/>
  <c r="AV4747" i="1"/>
  <c r="AV4746" i="1"/>
  <c r="AV4745" i="1"/>
  <c r="AV4744" i="1"/>
  <c r="AV4743" i="1"/>
  <c r="AV4742" i="1"/>
  <c r="AV4741" i="1"/>
  <c r="AV4740" i="1"/>
  <c r="AV4739" i="1"/>
  <c r="AV4738" i="1"/>
  <c r="AV4737" i="1"/>
  <c r="AV4736" i="1"/>
  <c r="AV4735" i="1"/>
  <c r="AV4734" i="1"/>
  <c r="AV4733" i="1"/>
  <c r="AV4732" i="1"/>
  <c r="AV4731" i="1"/>
  <c r="AV4730" i="1"/>
  <c r="AV4729" i="1"/>
  <c r="AV4728" i="1"/>
  <c r="AV4727" i="1"/>
  <c r="AV4726" i="1"/>
  <c r="AV4725" i="1"/>
  <c r="AV4724" i="1"/>
  <c r="AV4723" i="1"/>
  <c r="AV4722" i="1"/>
  <c r="AV4721" i="1"/>
  <c r="AV4720" i="1"/>
  <c r="AV4719" i="1"/>
  <c r="AV4718" i="1"/>
  <c r="AV4717" i="1"/>
  <c r="AV4716" i="1"/>
  <c r="AV4715" i="1"/>
  <c r="AV4714" i="1"/>
  <c r="AV4713" i="1"/>
  <c r="AV4712" i="1"/>
  <c r="AV4711" i="1"/>
  <c r="AV4710" i="1"/>
  <c r="AV4709" i="1"/>
  <c r="AV4708" i="1"/>
  <c r="AV4707" i="1"/>
  <c r="AV4706" i="1"/>
  <c r="AV4705" i="1"/>
  <c r="AV4704" i="1"/>
  <c r="AV4703" i="1"/>
  <c r="AV4702" i="1"/>
  <c r="AV4701" i="1"/>
  <c r="AV4700" i="1"/>
  <c r="AV4699" i="1"/>
  <c r="AV4698" i="1"/>
  <c r="AV4697" i="1"/>
  <c r="AV4696" i="1"/>
  <c r="AV4695" i="1"/>
  <c r="AV4694" i="1"/>
  <c r="AV4693" i="1"/>
  <c r="AV4692" i="1"/>
  <c r="AV4691" i="1"/>
  <c r="AV4690" i="1"/>
  <c r="AV4689" i="1"/>
  <c r="AV4688" i="1"/>
  <c r="AV4687" i="1"/>
  <c r="AV4686" i="1"/>
  <c r="AV4685" i="1"/>
  <c r="AV4684" i="1"/>
  <c r="AV4683" i="1"/>
  <c r="AV4682" i="1"/>
  <c r="AV4681" i="1"/>
  <c r="AV4680" i="1"/>
  <c r="AV4679" i="1"/>
  <c r="AV4678" i="1"/>
  <c r="AV4677" i="1"/>
  <c r="AV4676" i="1"/>
  <c r="AV4675" i="1"/>
  <c r="AV4674" i="1"/>
  <c r="AV4673" i="1"/>
  <c r="AV4672" i="1"/>
  <c r="AV4671" i="1"/>
  <c r="AV4670" i="1"/>
  <c r="AV4669" i="1"/>
  <c r="AV4667" i="1"/>
  <c r="AV4666" i="1"/>
  <c r="AV4665" i="1"/>
  <c r="AV4664" i="1"/>
  <c r="AV4663" i="1"/>
  <c r="AV4662" i="1"/>
  <c r="AV4661" i="1"/>
  <c r="AV4660" i="1"/>
  <c r="AV4659" i="1"/>
  <c r="AV4658" i="1"/>
  <c r="AV4657" i="1"/>
  <c r="AV4656" i="1"/>
  <c r="AV4655" i="1"/>
  <c r="AV4651" i="1"/>
  <c r="AV4639" i="1"/>
  <c r="AV4638" i="1"/>
  <c r="AV4637" i="1"/>
  <c r="AV4636" i="1"/>
  <c r="AV4635" i="1"/>
  <c r="AV4634" i="1"/>
  <c r="AV4633" i="1"/>
  <c r="AV4632" i="1"/>
  <c r="AV4631" i="1"/>
  <c r="AV4630" i="1"/>
  <c r="AV4629" i="1"/>
  <c r="AV4628" i="1"/>
  <c r="AV4627" i="1"/>
  <c r="AV4626" i="1"/>
  <c r="AV4625" i="1"/>
  <c r="AV4624" i="1"/>
  <c r="AV4623" i="1"/>
  <c r="AV4622" i="1"/>
  <c r="AV4621" i="1"/>
  <c r="AV4620" i="1"/>
  <c r="AV4618" i="1"/>
  <c r="AV4617" i="1"/>
  <c r="AV4616" i="1"/>
  <c r="AV4615" i="1"/>
  <c r="AV4614" i="1"/>
  <c r="AV4613" i="1"/>
  <c r="AV4612" i="1"/>
  <c r="AV4610" i="1"/>
  <c r="AV4609" i="1"/>
  <c r="AV4608" i="1"/>
  <c r="AV4607" i="1"/>
  <c r="AV4606" i="1"/>
  <c r="AV4605" i="1"/>
  <c r="AV4604" i="1"/>
  <c r="AV4603" i="1"/>
  <c r="AV4602" i="1"/>
  <c r="AV4601" i="1"/>
  <c r="AV4600" i="1"/>
  <c r="AV4599" i="1"/>
  <c r="AV4598" i="1"/>
  <c r="AV4597" i="1"/>
  <c r="AV4596" i="1"/>
  <c r="AV4595" i="1"/>
  <c r="AV4594" i="1"/>
  <c r="AV4593" i="1"/>
  <c r="AV4592" i="1"/>
  <c r="AV4591" i="1"/>
  <c r="AV4590" i="1"/>
  <c r="AV4589" i="1"/>
  <c r="AV4588" i="1"/>
  <c r="AV4587" i="1"/>
  <c r="AV4586" i="1"/>
  <c r="AV4585" i="1"/>
  <c r="AV4584" i="1"/>
  <c r="AV4583" i="1"/>
  <c r="AV4582" i="1"/>
  <c r="AV4581" i="1"/>
  <c r="AV4580" i="1"/>
  <c r="AV4579" i="1"/>
  <c r="AV4578" i="1"/>
  <c r="AV4577" i="1"/>
  <c r="AV4576" i="1"/>
  <c r="AV4575" i="1"/>
  <c r="AV4574" i="1"/>
  <c r="AV4573" i="1"/>
  <c r="AV4572" i="1"/>
  <c r="AV4571" i="1"/>
  <c r="AV4570" i="1"/>
  <c r="AV4569" i="1"/>
  <c r="AV4568" i="1"/>
  <c r="AV4567" i="1"/>
  <c r="AV4566" i="1"/>
  <c r="AV4565" i="1"/>
  <c r="AV4564" i="1"/>
  <c r="AV4563" i="1"/>
  <c r="AV4562" i="1"/>
  <c r="AV4561" i="1"/>
  <c r="AV4560" i="1"/>
  <c r="AV4559" i="1"/>
  <c r="AV4558" i="1"/>
  <c r="AV4557" i="1"/>
  <c r="AV4556" i="1"/>
  <c r="AV4555" i="1"/>
  <c r="AV4554" i="1"/>
  <c r="AV4553" i="1"/>
  <c r="AV4552" i="1"/>
  <c r="AV4551" i="1"/>
  <c r="AV4550" i="1"/>
  <c r="AV4549" i="1"/>
  <c r="AV4548" i="1"/>
  <c r="AV4547" i="1"/>
  <c r="AV4546" i="1"/>
  <c r="AV4545" i="1"/>
  <c r="AV4544" i="1"/>
  <c r="AV4543" i="1"/>
  <c r="AV4542" i="1"/>
  <c r="AV4541" i="1"/>
  <c r="AV4540" i="1"/>
  <c r="AV4539" i="1"/>
  <c r="AV4538" i="1"/>
  <c r="AV4537" i="1"/>
  <c r="AV4536" i="1"/>
  <c r="AV4535" i="1"/>
  <c r="AV4534" i="1"/>
  <c r="AV4533" i="1"/>
  <c r="AV4532" i="1"/>
  <c r="AV4531" i="1"/>
  <c r="AV4530" i="1"/>
  <c r="AV4529" i="1"/>
  <c r="AV4528" i="1"/>
  <c r="AV4527" i="1"/>
  <c r="AV4526" i="1"/>
  <c r="AV4525" i="1"/>
  <c r="AV4524" i="1"/>
  <c r="AV4523" i="1"/>
  <c r="AV4522" i="1"/>
  <c r="AV4521" i="1"/>
  <c r="AV4520" i="1"/>
  <c r="AV4519" i="1"/>
  <c r="AV4496" i="1"/>
  <c r="AV4495" i="1"/>
  <c r="AV4494" i="1"/>
  <c r="AV4493" i="1"/>
  <c r="AV4492" i="1"/>
  <c r="AV4491" i="1"/>
  <c r="AV4490" i="1"/>
  <c r="AV4489" i="1"/>
  <c r="AV4488" i="1"/>
  <c r="AV4487" i="1"/>
  <c r="AV4486" i="1"/>
  <c r="AV4485" i="1"/>
  <c r="AV4484" i="1"/>
  <c r="AV4483" i="1"/>
  <c r="AV4482" i="1"/>
  <c r="AV4481" i="1"/>
  <c r="AV4347" i="1"/>
  <c r="AV4346" i="1"/>
  <c r="AV4345" i="1"/>
  <c r="AV4344" i="1"/>
  <c r="AV4343" i="1"/>
  <c r="AV4342" i="1"/>
  <c r="AV4341" i="1"/>
  <c r="AV4339" i="1"/>
  <c r="AV4338" i="1"/>
  <c r="AV4337" i="1"/>
  <c r="AV4336" i="1"/>
  <c r="AV4335" i="1"/>
  <c r="AV4334" i="1"/>
  <c r="AV4333" i="1"/>
  <c r="AV4332" i="1"/>
  <c r="AV4331" i="1"/>
  <c r="AV4330" i="1"/>
  <c r="AV4329" i="1"/>
  <c r="AV4328" i="1"/>
  <c r="AV4327" i="1"/>
  <c r="AV4326" i="1"/>
  <c r="AV4325" i="1"/>
  <c r="AV4324" i="1"/>
  <c r="AV4323" i="1"/>
  <c r="AV4322" i="1"/>
  <c r="AV4321" i="1"/>
  <c r="AV4320" i="1"/>
  <c r="AV4314" i="1"/>
  <c r="AV4313" i="1"/>
  <c r="AV4312" i="1"/>
  <c r="AV4311" i="1"/>
  <c r="AV4310" i="1"/>
  <c r="AV4309" i="1"/>
  <c r="AV4308" i="1"/>
  <c r="AV4307" i="1"/>
  <c r="AV4306" i="1"/>
  <c r="AV4231" i="1"/>
  <c r="AV4230" i="1"/>
  <c r="AV4229" i="1"/>
  <c r="AV4228" i="1"/>
  <c r="AV4227" i="1"/>
  <c r="AV4226" i="1"/>
  <c r="AV4225" i="1"/>
  <c r="AV4224" i="1"/>
  <c r="AV4223" i="1"/>
  <c r="AV4222" i="1"/>
  <c r="AV4221" i="1"/>
  <c r="AV4220" i="1"/>
  <c r="AV4219" i="1"/>
  <c r="AV4218" i="1"/>
  <c r="AV4217" i="1"/>
  <c r="AV4216" i="1"/>
  <c r="AV4215" i="1"/>
  <c r="AV4214" i="1"/>
  <c r="AV4213" i="1"/>
  <c r="AV4212" i="1"/>
  <c r="AV4211" i="1"/>
  <c r="AV4210" i="1"/>
  <c r="AV4209" i="1"/>
  <c r="AV4208" i="1"/>
  <c r="AV4207" i="1"/>
  <c r="AV4206" i="1"/>
  <c r="AV4205" i="1"/>
  <c r="AV4204" i="1"/>
  <c r="AV4203" i="1"/>
  <c r="AV4202" i="1"/>
  <c r="AV4201" i="1"/>
  <c r="AV4200" i="1"/>
  <c r="AV4199" i="1"/>
  <c r="AV4198" i="1"/>
  <c r="AV4197" i="1"/>
  <c r="AV4196" i="1"/>
  <c r="AV4195" i="1"/>
  <c r="AV4194" i="1"/>
  <c r="AV4193" i="1"/>
  <c r="AV4192" i="1"/>
  <c r="AV4191" i="1"/>
  <c r="AV4190" i="1"/>
  <c r="AV4189" i="1"/>
  <c r="AV4188" i="1"/>
  <c r="AV4187" i="1"/>
  <c r="AV4186" i="1"/>
  <c r="AV4185" i="1"/>
  <c r="AV4078" i="1"/>
  <c r="AV4077" i="1"/>
  <c r="AV4076" i="1"/>
  <c r="AV4075" i="1"/>
  <c r="AV4074" i="1"/>
  <c r="AV4071" i="1"/>
  <c r="AV4070" i="1"/>
  <c r="AV4069" i="1"/>
  <c r="AV4068" i="1"/>
  <c r="AV4067" i="1"/>
  <c r="AV4066" i="1"/>
  <c r="AV4065" i="1"/>
  <c r="AV4064" i="1"/>
  <c r="AV4063" i="1"/>
  <c r="AV4062" i="1"/>
  <c r="AV4061" i="1"/>
  <c r="AV4060" i="1"/>
  <c r="AV4059" i="1"/>
  <c r="AV4058" i="1"/>
  <c r="AV4057" i="1"/>
  <c r="AV4056" i="1"/>
  <c r="AV4055" i="1"/>
  <c r="AV4054" i="1"/>
  <c r="AV4053" i="1"/>
  <c r="AV4052" i="1"/>
  <c r="AV4051" i="1"/>
  <c r="AV4050" i="1"/>
  <c r="AV4049" i="1"/>
  <c r="AV4048" i="1"/>
  <c r="AV4047" i="1"/>
  <c r="AV4046" i="1"/>
  <c r="AV4034" i="1"/>
  <c r="AV4033" i="1"/>
  <c r="AV4032" i="1"/>
  <c r="AV4031" i="1"/>
  <c r="AV4030" i="1"/>
  <c r="AV4027" i="1"/>
  <c r="AV4026" i="1"/>
  <c r="AV4025" i="1"/>
  <c r="AV4024" i="1"/>
  <c r="AV4023" i="1"/>
  <c r="AV4022" i="1"/>
  <c r="AV4021" i="1"/>
  <c r="AV4020" i="1"/>
  <c r="AV4019" i="1"/>
  <c r="AV4018" i="1"/>
  <c r="AV4017" i="1"/>
  <c r="AV4016" i="1"/>
  <c r="AV4015" i="1"/>
  <c r="AV4014" i="1"/>
  <c r="AV4013" i="1"/>
  <c r="AV4012" i="1"/>
  <c r="AV4011" i="1"/>
  <c r="AV4010" i="1"/>
  <c r="AV4009" i="1"/>
  <c r="AV4008" i="1"/>
  <c r="AV4007" i="1"/>
  <c r="AV4006" i="1"/>
  <c r="AV3999" i="1"/>
  <c r="AV3998" i="1"/>
  <c r="AV3997" i="1"/>
  <c r="AV3996" i="1"/>
  <c r="AV3989" i="1"/>
  <c r="AV3988" i="1"/>
  <c r="AV3987" i="1"/>
  <c r="AV3986" i="1"/>
  <c r="AV3985" i="1"/>
  <c r="AV3984" i="1"/>
  <c r="AV3983" i="1"/>
  <c r="AV3982" i="1"/>
  <c r="AV3981" i="1"/>
  <c r="AV3980" i="1"/>
  <c r="AV3979" i="1"/>
  <c r="AV3978" i="1"/>
  <c r="AV3977" i="1"/>
  <c r="AV3976" i="1"/>
  <c r="AV3975" i="1"/>
  <c r="AV3974" i="1"/>
  <c r="AV3973" i="1"/>
  <c r="AV3972" i="1"/>
  <c r="AV3971" i="1"/>
  <c r="AV3970" i="1"/>
  <c r="AV3969" i="1"/>
  <c r="AV3968" i="1"/>
  <c r="AV3951" i="1"/>
  <c r="AV3949" i="1"/>
  <c r="AV3948" i="1"/>
  <c r="AV3947" i="1"/>
  <c r="AV3946" i="1"/>
  <c r="AV3945" i="1"/>
  <c r="AV3944" i="1"/>
  <c r="AV3943" i="1"/>
  <c r="AV3942" i="1"/>
  <c r="AV3941" i="1"/>
  <c r="AV3940" i="1"/>
  <c r="AV3939" i="1"/>
  <c r="AV3936" i="1"/>
  <c r="AV3935" i="1"/>
  <c r="AV3934" i="1"/>
  <c r="AV3933" i="1"/>
  <c r="AV3932" i="1"/>
  <c r="AV3931" i="1"/>
  <c r="AV3930" i="1"/>
  <c r="AV3929" i="1"/>
  <c r="AV3928" i="1"/>
  <c r="AV3927" i="1"/>
  <c r="AV3926" i="1"/>
  <c r="AV3925" i="1"/>
  <c r="AV3924" i="1"/>
  <c r="AV3923" i="1"/>
  <c r="AV3922" i="1"/>
  <c r="AV3921" i="1"/>
  <c r="AV3920" i="1"/>
  <c r="AV3919" i="1"/>
  <c r="AV3918" i="1"/>
  <c r="AV3917" i="1"/>
  <c r="AV3916" i="1"/>
  <c r="AV3915" i="1"/>
  <c r="AV3914" i="1"/>
  <c r="AV3913" i="1"/>
  <c r="AV3912" i="1"/>
  <c r="AV3911" i="1"/>
  <c r="AV3910" i="1"/>
  <c r="AV3909" i="1"/>
  <c r="AV3906" i="1"/>
  <c r="AV3905" i="1"/>
  <c r="AV3904" i="1"/>
  <c r="AV3903" i="1"/>
  <c r="AV3902" i="1"/>
  <c r="AV3901" i="1"/>
  <c r="AV3900" i="1"/>
  <c r="AV3899" i="1"/>
  <c r="AV3898" i="1"/>
  <c r="AV3897" i="1"/>
  <c r="AV3896" i="1"/>
  <c r="AV3895" i="1"/>
  <c r="AV3894" i="1"/>
  <c r="AV3893" i="1"/>
  <c r="AV3892" i="1"/>
  <c r="AV3891" i="1"/>
  <c r="AV3890" i="1"/>
  <c r="AV3889" i="1"/>
  <c r="AV3888" i="1"/>
  <c r="AV3887" i="1"/>
  <c r="AV3886" i="1"/>
  <c r="AV3885" i="1"/>
  <c r="AV3884" i="1"/>
  <c r="AV3883" i="1"/>
  <c r="AV3882" i="1"/>
  <c r="AV3881" i="1"/>
  <c r="AV3880" i="1"/>
  <c r="AV3879" i="1"/>
  <c r="AV3878" i="1"/>
  <c r="AV3877" i="1"/>
  <c r="AV3876" i="1"/>
  <c r="AV3864" i="1"/>
  <c r="AV3863" i="1"/>
  <c r="AV3862" i="1"/>
  <c r="AV3859" i="1"/>
  <c r="AV3858" i="1"/>
  <c r="AV3857" i="1"/>
  <c r="AV3856" i="1"/>
  <c r="AV3855" i="1"/>
  <c r="AV3854" i="1"/>
  <c r="AV3853" i="1"/>
  <c r="AV3852" i="1"/>
  <c r="AV3851" i="1"/>
  <c r="AV3850" i="1"/>
  <c r="AV3849" i="1"/>
  <c r="AV3848" i="1"/>
  <c r="AV3847" i="1"/>
  <c r="AV3846" i="1"/>
  <c r="AV3845" i="1"/>
  <c r="AV3844" i="1"/>
  <c r="AV3843" i="1"/>
  <c r="AV3842" i="1"/>
  <c r="AV3841" i="1"/>
  <c r="AV3840" i="1"/>
  <c r="AV3839" i="1"/>
  <c r="AV3838" i="1"/>
  <c r="AV3837" i="1"/>
  <c r="AV3836" i="1"/>
  <c r="AV3835" i="1"/>
  <c r="AV3834" i="1"/>
  <c r="AV3833" i="1"/>
  <c r="AV3832" i="1"/>
  <c r="AV3831" i="1"/>
  <c r="AV3830" i="1"/>
  <c r="AV3829" i="1"/>
  <c r="AV3828" i="1"/>
  <c r="AV3827" i="1"/>
  <c r="AV3826" i="1"/>
  <c r="AV3825" i="1"/>
  <c r="AV3824" i="1"/>
  <c r="AV3823" i="1"/>
  <c r="AV3822" i="1"/>
  <c r="AV3821" i="1"/>
  <c r="AV3820" i="1"/>
  <c r="AV3819" i="1"/>
  <c r="AV3818" i="1"/>
  <c r="AV3817" i="1"/>
  <c r="AV3816" i="1"/>
  <c r="AV3815" i="1"/>
  <c r="AV3814" i="1"/>
  <c r="AV3813" i="1"/>
  <c r="AV3812" i="1"/>
  <c r="AV3811" i="1"/>
  <c r="AV3810" i="1"/>
  <c r="AV3809" i="1"/>
  <c r="AV3808" i="1"/>
  <c r="AV3807" i="1"/>
  <c r="AV3806" i="1"/>
  <c r="AV3805" i="1"/>
  <c r="AV3804" i="1"/>
  <c r="AV3803" i="1"/>
  <c r="AV3802" i="1"/>
  <c r="AV3801" i="1"/>
  <c r="AV3800" i="1"/>
  <c r="AV3799" i="1"/>
  <c r="AV3798" i="1"/>
  <c r="AV3797" i="1"/>
  <c r="AV3796" i="1"/>
  <c r="AV3795" i="1"/>
  <c r="AV3794" i="1"/>
  <c r="AV3793" i="1"/>
  <c r="AV3781" i="1"/>
  <c r="AV3780" i="1"/>
  <c r="AV3779" i="1"/>
  <c r="AV3776" i="1"/>
  <c r="AV3775" i="1"/>
  <c r="AV3774" i="1"/>
  <c r="AV3773" i="1"/>
  <c r="AV3772" i="1"/>
  <c r="AV3771" i="1"/>
  <c r="AV3770" i="1"/>
  <c r="AV3769" i="1"/>
  <c r="AV3768" i="1"/>
  <c r="AV3767" i="1"/>
  <c r="AV3766" i="1"/>
  <c r="AV3765" i="1"/>
  <c r="AV3764" i="1"/>
  <c r="AV3763" i="1"/>
  <c r="AV3762" i="1"/>
  <c r="AV3761" i="1"/>
  <c r="AV3760" i="1"/>
  <c r="AV3759" i="1"/>
  <c r="AV3747" i="1"/>
  <c r="AV3746" i="1"/>
  <c r="AV3745" i="1"/>
  <c r="AV3742" i="1"/>
  <c r="AV3741" i="1"/>
  <c r="AV3740" i="1"/>
  <c r="AV3739" i="1"/>
  <c r="AV3738" i="1"/>
  <c r="AV3737" i="1"/>
  <c r="AV3736" i="1"/>
  <c r="AV3735" i="1"/>
  <c r="AV3734" i="1"/>
  <c r="AV3733" i="1"/>
  <c r="AV3732" i="1"/>
  <c r="AV3731" i="1"/>
  <c r="AV3730" i="1"/>
  <c r="AV3718" i="1"/>
  <c r="AV3717" i="1"/>
  <c r="AV3716" i="1"/>
  <c r="AV3713" i="1"/>
  <c r="AV3712" i="1"/>
  <c r="AV3711" i="1"/>
  <c r="AV3710" i="1"/>
  <c r="AV3709" i="1"/>
  <c r="AV3708" i="1"/>
  <c r="AV3707" i="1"/>
  <c r="AV3706" i="1"/>
  <c r="AV3705" i="1"/>
  <c r="AV3704" i="1"/>
  <c r="AV3703" i="1"/>
  <c r="AV3702" i="1"/>
  <c r="AV3701" i="1"/>
  <c r="AV3700" i="1"/>
  <c r="AV3699" i="1"/>
  <c r="AV3698" i="1"/>
  <c r="AV3697" i="1"/>
  <c r="AV3696" i="1"/>
  <c r="AV3695" i="1"/>
  <c r="AV3694" i="1"/>
  <c r="AV3693" i="1"/>
  <c r="AV3692" i="1"/>
  <c r="AV3691" i="1"/>
  <c r="AV3690" i="1"/>
  <c r="AV3689" i="1"/>
  <c r="AV3688" i="1"/>
  <c r="AV3687" i="1"/>
  <c r="AV3686" i="1"/>
  <c r="AV3685" i="1"/>
  <c r="AV3684" i="1"/>
  <c r="AV3683" i="1"/>
  <c r="AV3682" i="1"/>
  <c r="AV3681" i="1"/>
  <c r="AV3680" i="1"/>
  <c r="AV3679" i="1"/>
  <c r="AV3678" i="1"/>
  <c r="AV3677" i="1"/>
  <c r="AV3676" i="1"/>
  <c r="AV3675" i="1"/>
  <c r="AV3674" i="1"/>
  <c r="AV3673" i="1"/>
  <c r="AV3672" i="1"/>
  <c r="AV3671" i="1"/>
  <c r="AV3670" i="1"/>
  <c r="AV3667" i="1"/>
  <c r="AV3666" i="1"/>
  <c r="AV3665" i="1"/>
  <c r="AV3664" i="1"/>
  <c r="AV3663" i="1"/>
  <c r="AV3662" i="1"/>
  <c r="AV3661" i="1"/>
  <c r="AV3660" i="1"/>
  <c r="AV3659" i="1"/>
  <c r="AV3658" i="1"/>
  <c r="AV3657" i="1"/>
  <c r="AV3656" i="1"/>
  <c r="AV3655" i="1"/>
  <c r="AV3654" i="1"/>
  <c r="AV3642" i="1"/>
  <c r="AV3641" i="1"/>
  <c r="AV3640" i="1"/>
  <c r="AV3639" i="1"/>
  <c r="AV3638" i="1"/>
  <c r="AV3637" i="1"/>
  <c r="AV3636" i="1"/>
  <c r="AV3635" i="1"/>
  <c r="AV3634" i="1"/>
  <c r="AV3633" i="1"/>
  <c r="AV3632" i="1"/>
  <c r="AV3631" i="1"/>
  <c r="AV3630" i="1"/>
  <c r="AV3629" i="1"/>
  <c r="AV3628" i="1"/>
  <c r="AV3627" i="1"/>
  <c r="AV3626" i="1"/>
  <c r="AV3625" i="1"/>
  <c r="AV3624" i="1"/>
  <c r="AV3623" i="1"/>
  <c r="AV3622" i="1"/>
  <c r="AV3621" i="1"/>
  <c r="AV3620" i="1"/>
  <c r="AV3619" i="1"/>
  <c r="AV3618" i="1"/>
  <c r="AV3617" i="1"/>
  <c r="AV3616" i="1"/>
  <c r="AV3615" i="1"/>
  <c r="AV3614" i="1"/>
  <c r="AV3613" i="1"/>
  <c r="AV3612" i="1"/>
  <c r="AV3611" i="1"/>
  <c r="AV3610" i="1"/>
  <c r="AV3609" i="1"/>
  <c r="AV3608" i="1"/>
  <c r="AV3607" i="1"/>
  <c r="AV3606" i="1"/>
  <c r="AV3605" i="1"/>
  <c r="AV3604" i="1"/>
  <c r="AV3603" i="1"/>
  <c r="AV3602" i="1"/>
  <c r="AV3601" i="1"/>
  <c r="AV3600" i="1"/>
  <c r="AV3597" i="1"/>
  <c r="AV3596" i="1"/>
  <c r="AV3595" i="1"/>
  <c r="AV3594" i="1"/>
  <c r="AV3593" i="1"/>
  <c r="AV3592" i="1"/>
  <c r="AV3591" i="1"/>
  <c r="AV3590" i="1"/>
  <c r="AV3589" i="1"/>
  <c r="AV3588" i="1"/>
  <c r="AV3587" i="1"/>
  <c r="AV3586" i="1"/>
  <c r="AV3585" i="1"/>
  <c r="AV3584" i="1"/>
  <c r="AV3583" i="1"/>
  <c r="AV3582" i="1"/>
  <c r="AV3581" i="1"/>
  <c r="AV3580" i="1"/>
  <c r="AV3579" i="1"/>
  <c r="AV3578" i="1"/>
  <c r="AV3577" i="1"/>
  <c r="AV3576" i="1"/>
  <c r="AV3575" i="1"/>
  <c r="AV3574" i="1"/>
  <c r="AV3573" i="1"/>
  <c r="AV3572" i="1"/>
  <c r="AV3571" i="1"/>
  <c r="AV3570" i="1"/>
  <c r="AV3569" i="1"/>
  <c r="AV3568" i="1"/>
  <c r="AV3567" i="1"/>
  <c r="AV3566" i="1"/>
  <c r="AV3565" i="1"/>
  <c r="AV3564" i="1"/>
  <c r="AV3563" i="1"/>
  <c r="AV3562" i="1"/>
  <c r="AV3561" i="1"/>
  <c r="AV3560" i="1"/>
  <c r="AV3559" i="1"/>
  <c r="AV3558" i="1"/>
  <c r="AV3557" i="1"/>
  <c r="AV3556" i="1"/>
  <c r="AV3555" i="1"/>
  <c r="AV3554" i="1"/>
  <c r="AV3553" i="1"/>
  <c r="AV3552" i="1"/>
  <c r="AV3551" i="1"/>
  <c r="AV3550" i="1"/>
  <c r="AV3549" i="1"/>
  <c r="AV3548" i="1"/>
  <c r="AV3547" i="1"/>
  <c r="AV3546" i="1"/>
  <c r="AV3545" i="1"/>
  <c r="AV3544" i="1"/>
  <c r="AV3543" i="1"/>
  <c r="AV3542" i="1"/>
  <c r="AV3541" i="1"/>
  <c r="AV3540" i="1"/>
  <c r="AV3539" i="1"/>
  <c r="AV3538" i="1"/>
  <c r="AV3537" i="1"/>
  <c r="AV3536" i="1"/>
  <c r="AV3535" i="1"/>
  <c r="AV3534" i="1"/>
  <c r="AV3533" i="1"/>
  <c r="AV3532" i="1"/>
  <c r="AV3531" i="1"/>
  <c r="AV3530" i="1"/>
  <c r="AV3529" i="1"/>
  <c r="AV3528" i="1"/>
  <c r="AV3527" i="1"/>
  <c r="AV3526" i="1"/>
  <c r="AV3525" i="1"/>
  <c r="AV3524" i="1"/>
  <c r="AV3523" i="1"/>
  <c r="AV3522" i="1"/>
  <c r="AV3521" i="1"/>
  <c r="AV3520" i="1"/>
  <c r="AV3519" i="1"/>
  <c r="AV3518" i="1"/>
  <c r="AV3517" i="1"/>
  <c r="AV3516" i="1"/>
  <c r="AV3515" i="1"/>
  <c r="AV3514" i="1"/>
  <c r="AV3513" i="1"/>
  <c r="AV3512" i="1"/>
  <c r="AV3511" i="1"/>
  <c r="AV3510" i="1"/>
  <c r="AV3509" i="1"/>
  <c r="AV3508" i="1"/>
  <c r="AV3507" i="1"/>
  <c r="AV3506" i="1"/>
  <c r="AV3505" i="1"/>
  <c r="AV3501" i="1"/>
  <c r="AV3499" i="1"/>
  <c r="AV3498" i="1"/>
  <c r="AV3496" i="1"/>
  <c r="AV3495" i="1"/>
  <c r="AV3494" i="1"/>
  <c r="AV3493" i="1"/>
  <c r="AV3492" i="1"/>
  <c r="AV3491" i="1"/>
  <c r="AV3490" i="1"/>
  <c r="AV3489" i="1"/>
  <c r="AV3488" i="1"/>
  <c r="AV3487" i="1"/>
  <c r="AV3486" i="1"/>
  <c r="AV3485" i="1"/>
  <c r="AV3484" i="1"/>
  <c r="AV3483" i="1"/>
  <c r="AV3482" i="1"/>
  <c r="AV3481" i="1"/>
  <c r="AV3480" i="1"/>
  <c r="AV3479" i="1"/>
  <c r="AV3478" i="1"/>
  <c r="AV3477" i="1"/>
  <c r="AV3476" i="1"/>
  <c r="AV3475" i="1"/>
  <c r="AV3474" i="1"/>
  <c r="AV3473" i="1"/>
  <c r="AV3472" i="1"/>
  <c r="AV3471" i="1"/>
  <c r="AV3470" i="1"/>
  <c r="AV3469" i="1"/>
  <c r="AV3468" i="1"/>
  <c r="AV3467" i="1"/>
  <c r="AV3466" i="1"/>
  <c r="AV3465" i="1"/>
  <c r="AV3464" i="1"/>
  <c r="AV3463" i="1"/>
  <c r="AV3462" i="1"/>
  <c r="AV3461" i="1"/>
  <c r="AV3460" i="1"/>
  <c r="AV3459" i="1"/>
  <c r="AV3458" i="1"/>
  <c r="AV3457" i="1"/>
  <c r="AV3456" i="1"/>
  <c r="AV3455" i="1"/>
  <c r="AV3454" i="1"/>
  <c r="AV3453" i="1"/>
  <c r="AV3452" i="1"/>
  <c r="AV3451" i="1"/>
  <c r="AV3450" i="1"/>
  <c r="AV3449" i="1"/>
  <c r="AV3448" i="1"/>
  <c r="AV3447" i="1"/>
  <c r="AV3446" i="1"/>
  <c r="AV3445" i="1"/>
  <c r="AV3444" i="1"/>
  <c r="AV3443" i="1"/>
  <c r="AV3442" i="1"/>
  <c r="AV3441" i="1"/>
  <c r="AV3440" i="1"/>
  <c r="AV3439" i="1"/>
  <c r="AV3438" i="1"/>
  <c r="AV3437" i="1"/>
  <c r="AV3436" i="1"/>
  <c r="AV3435" i="1"/>
  <c r="AV3434" i="1"/>
  <c r="AV3433" i="1"/>
  <c r="AV3432" i="1"/>
  <c r="AV3431" i="1"/>
  <c r="AV3430" i="1"/>
  <c r="AV3429" i="1"/>
  <c r="AV3428" i="1"/>
  <c r="AV3427" i="1"/>
  <c r="AV3426" i="1"/>
  <c r="AV3425" i="1"/>
  <c r="AV3424" i="1"/>
  <c r="AV3423" i="1"/>
  <c r="AV3422" i="1"/>
  <c r="AV3421" i="1"/>
  <c r="AV3420" i="1"/>
  <c r="AV3419" i="1"/>
  <c r="AV3418" i="1"/>
  <c r="AV3417" i="1"/>
  <c r="AV3416" i="1"/>
  <c r="AV3415" i="1"/>
  <c r="AV3414" i="1"/>
  <c r="AV3413" i="1"/>
  <c r="AV3412" i="1"/>
  <c r="AV3411" i="1"/>
  <c r="AV3410" i="1"/>
  <c r="AV3409" i="1"/>
  <c r="AV3408" i="1"/>
  <c r="AV3407" i="1"/>
  <c r="AV3406" i="1"/>
  <c r="AV3405" i="1"/>
  <c r="AV3404" i="1"/>
  <c r="AV3403" i="1"/>
  <c r="AV3402" i="1"/>
  <c r="AV3401" i="1"/>
  <c r="AV3400" i="1"/>
  <c r="AV3399" i="1"/>
  <c r="AV3398" i="1"/>
  <c r="AV3397" i="1"/>
  <c r="AV3396" i="1"/>
  <c r="AV3395" i="1"/>
  <c r="AV3394" i="1"/>
  <c r="AV3393" i="1"/>
  <c r="AV3392" i="1"/>
  <c r="AV3391" i="1"/>
  <c r="AV3390" i="1"/>
  <c r="AV3389" i="1"/>
  <c r="AV3388" i="1"/>
  <c r="AV3387" i="1"/>
  <c r="AV3386" i="1"/>
  <c r="AV3385" i="1"/>
  <c r="AV3384" i="1"/>
  <c r="AV3383" i="1"/>
  <c r="AV3382" i="1"/>
  <c r="AV3381" i="1"/>
  <c r="AV3380" i="1"/>
  <c r="AV3379" i="1"/>
  <c r="AV3378" i="1"/>
  <c r="AV3377" i="1"/>
  <c r="AV3376" i="1"/>
  <c r="AV3375" i="1"/>
  <c r="AV3374" i="1"/>
  <c r="AV3373" i="1"/>
  <c r="AV3372" i="1"/>
  <c r="AV3371" i="1"/>
  <c r="AV3370" i="1"/>
  <c r="AV3369" i="1"/>
  <c r="AV3368" i="1"/>
  <c r="AV3367" i="1"/>
  <c r="AV3366" i="1"/>
  <c r="AV3365" i="1"/>
  <c r="AV3364" i="1"/>
  <c r="AV3363" i="1"/>
  <c r="AV3362" i="1"/>
  <c r="AV3361" i="1"/>
  <c r="AV3360" i="1"/>
  <c r="AV3359" i="1"/>
  <c r="AV3358" i="1"/>
  <c r="AV3357" i="1"/>
  <c r="AV3356" i="1"/>
  <c r="AV3355" i="1"/>
  <c r="AV3354" i="1"/>
  <c r="AV3353" i="1"/>
  <c r="AV3352" i="1"/>
  <c r="AV3351" i="1"/>
  <c r="AV3350" i="1"/>
  <c r="AV3349" i="1"/>
  <c r="AV3348" i="1"/>
  <c r="AV3347" i="1"/>
  <c r="AV3346" i="1"/>
  <c r="AV3345" i="1"/>
  <c r="AV3344" i="1"/>
  <c r="AV3343" i="1"/>
  <c r="AV3342" i="1"/>
  <c r="AV3341" i="1"/>
  <c r="AV3338" i="1"/>
  <c r="AV3337" i="1"/>
  <c r="AV3336" i="1"/>
  <c r="AV3335" i="1"/>
  <c r="AV3334" i="1"/>
  <c r="AV3333" i="1"/>
  <c r="AV3332" i="1"/>
  <c r="AV3331" i="1"/>
  <c r="AV3330" i="1"/>
  <c r="AV3329" i="1"/>
  <c r="AV3328" i="1"/>
  <c r="AV3327" i="1"/>
  <c r="AV3326" i="1"/>
  <c r="AV3325" i="1"/>
  <c r="AV3324" i="1"/>
  <c r="AV3323" i="1"/>
  <c r="AV3322" i="1"/>
  <c r="AV3321" i="1"/>
  <c r="AV3320" i="1"/>
  <c r="AV3319" i="1"/>
  <c r="AV3318" i="1"/>
  <c r="AV3317" i="1"/>
  <c r="AV3316" i="1"/>
  <c r="AV3315" i="1"/>
  <c r="AV3314" i="1"/>
  <c r="AV3313" i="1"/>
  <c r="AV3312" i="1"/>
  <c r="AV3311" i="1"/>
  <c r="AV3310" i="1"/>
  <c r="AV3309" i="1"/>
  <c r="AV3308" i="1"/>
  <c r="AV3307" i="1"/>
  <c r="AV3306" i="1"/>
  <c r="AV3305" i="1"/>
  <c r="AV3304" i="1"/>
  <c r="AV3303" i="1"/>
  <c r="AV3302" i="1"/>
  <c r="AV3301" i="1"/>
  <c r="AV3300" i="1"/>
  <c r="AV3299" i="1"/>
  <c r="AV3298" i="1"/>
  <c r="AV3297" i="1"/>
  <c r="AV3296" i="1"/>
  <c r="AV3295" i="1"/>
  <c r="AV3294" i="1"/>
  <c r="AV3293" i="1"/>
  <c r="AV3292" i="1"/>
  <c r="AV3291" i="1"/>
  <c r="AV3290" i="1"/>
  <c r="AV3289" i="1"/>
  <c r="AV3288" i="1"/>
  <c r="AV3287" i="1"/>
  <c r="AV3286" i="1"/>
  <c r="AV3285" i="1"/>
  <c r="AV3284" i="1"/>
  <c r="AV3283" i="1"/>
  <c r="AV3282" i="1"/>
  <c r="AV3281" i="1"/>
  <c r="AV3280" i="1"/>
  <c r="AV3279" i="1"/>
  <c r="AV3278" i="1"/>
  <c r="AV3277" i="1"/>
  <c r="AV3276" i="1"/>
  <c r="AV3275" i="1"/>
  <c r="AV3274" i="1"/>
  <c r="AV3273" i="1"/>
  <c r="AV3272" i="1"/>
  <c r="AV3271" i="1"/>
  <c r="AV3270" i="1"/>
  <c r="AV3269" i="1"/>
  <c r="AV3268" i="1"/>
  <c r="AV3267" i="1"/>
  <c r="AV3266" i="1"/>
  <c r="AV3265" i="1"/>
  <c r="AV3264" i="1"/>
  <c r="AV3263" i="1"/>
  <c r="AV3262" i="1"/>
  <c r="AV3261" i="1"/>
  <c r="AV3260" i="1"/>
  <c r="AV3259" i="1"/>
  <c r="AV3258" i="1"/>
  <c r="AV3257" i="1"/>
  <c r="AV3256" i="1"/>
  <c r="AV3255" i="1"/>
  <c r="AV3254" i="1"/>
  <c r="AV3253" i="1"/>
  <c r="AV3252" i="1"/>
  <c r="AV3251" i="1"/>
  <c r="AV3250" i="1"/>
  <c r="AV3249" i="1"/>
  <c r="AV3248" i="1"/>
  <c r="AV3247" i="1"/>
  <c r="AV3246" i="1"/>
  <c r="AV3245" i="1"/>
  <c r="AV3244" i="1"/>
  <c r="AV3243" i="1"/>
  <c r="AV3242" i="1"/>
  <c r="AV3241" i="1"/>
  <c r="AV3240" i="1"/>
  <c r="AV3239" i="1"/>
  <c r="AV3238" i="1"/>
  <c r="AV3237" i="1"/>
  <c r="AV3236" i="1"/>
  <c r="AV3235" i="1"/>
  <c r="AV3234" i="1"/>
  <c r="AV3233" i="1"/>
  <c r="AV3232" i="1"/>
  <c r="AV3227" i="1"/>
  <c r="AV3226" i="1"/>
  <c r="AV3225" i="1"/>
  <c r="AV3224" i="1"/>
  <c r="AV3223" i="1"/>
  <c r="AV3222" i="1"/>
  <c r="AV3221" i="1"/>
  <c r="AV3220" i="1"/>
  <c r="AV3219" i="1"/>
  <c r="AV3218" i="1"/>
  <c r="AV3217" i="1"/>
  <c r="AV3216" i="1"/>
  <c r="AV3215" i="1"/>
  <c r="AV3214" i="1"/>
  <c r="AV3213" i="1"/>
  <c r="AV3212" i="1"/>
  <c r="AV3211" i="1"/>
  <c r="AV3210" i="1"/>
  <c r="AV3209" i="1"/>
  <c r="AV3208" i="1"/>
  <c r="AV3207" i="1"/>
  <c r="AV3204" i="1"/>
  <c r="AV3203" i="1"/>
  <c r="AV3202" i="1"/>
  <c r="AV3201" i="1"/>
  <c r="AV3200" i="1"/>
  <c r="AV3199" i="1"/>
  <c r="AV3198" i="1"/>
  <c r="AV3197" i="1"/>
  <c r="AV3196" i="1"/>
  <c r="AV3195" i="1"/>
  <c r="AV3194" i="1"/>
  <c r="AV3193" i="1"/>
  <c r="AV3192" i="1"/>
  <c r="AV3191" i="1"/>
  <c r="AV3190" i="1"/>
  <c r="AV3189" i="1"/>
  <c r="AV3188" i="1"/>
  <c r="AV3187" i="1"/>
  <c r="AV3186" i="1"/>
  <c r="AV3185" i="1"/>
  <c r="AV3184" i="1"/>
  <c r="AV3183" i="1"/>
  <c r="AV3182" i="1"/>
  <c r="AV3181" i="1"/>
  <c r="AV3180" i="1"/>
  <c r="AV3179" i="1"/>
  <c r="AV3178" i="1"/>
  <c r="AV3177" i="1"/>
  <c r="AV3176" i="1"/>
  <c r="AV3175" i="1"/>
  <c r="AV3174" i="1"/>
  <c r="AV3173" i="1"/>
  <c r="AV3172" i="1"/>
  <c r="AV3171" i="1"/>
  <c r="AV3170" i="1"/>
  <c r="AV3169" i="1"/>
  <c r="AV3168" i="1"/>
  <c r="AV3167" i="1"/>
  <c r="AV3166" i="1"/>
  <c r="AV3165" i="1"/>
  <c r="AV3164" i="1"/>
  <c r="AV3163" i="1"/>
  <c r="AV3162" i="1"/>
  <c r="AV3161" i="1"/>
  <c r="AV3160" i="1"/>
  <c r="AV3159" i="1"/>
  <c r="AV3158" i="1"/>
  <c r="AV3157" i="1"/>
  <c r="AV3156" i="1"/>
  <c r="AV3155" i="1"/>
  <c r="AV3154" i="1"/>
  <c r="AV3153" i="1"/>
  <c r="AV3152" i="1"/>
  <c r="AV3151" i="1"/>
  <c r="AV3148" i="1"/>
  <c r="AV3147" i="1"/>
  <c r="AV3146" i="1"/>
  <c r="AV3145" i="1"/>
  <c r="AV3144" i="1"/>
  <c r="AV3143" i="1"/>
  <c r="AV3142" i="1"/>
  <c r="AV3141" i="1"/>
  <c r="AV3140" i="1"/>
  <c r="AV3139" i="1"/>
  <c r="AV3138" i="1"/>
  <c r="AV3137" i="1"/>
  <c r="AV3136" i="1"/>
  <c r="AV3135" i="1"/>
  <c r="AV3134" i="1"/>
  <c r="AV3133" i="1"/>
  <c r="AV3132" i="1"/>
  <c r="AV3131" i="1"/>
  <c r="AV3130" i="1"/>
  <c r="AV3127" i="1"/>
  <c r="AV3126" i="1"/>
  <c r="AV3125" i="1"/>
  <c r="AV3124" i="1"/>
  <c r="AV3123" i="1"/>
  <c r="AV3122" i="1"/>
  <c r="AV3121" i="1"/>
  <c r="AV3120" i="1"/>
  <c r="AV3119" i="1"/>
  <c r="AV3118" i="1"/>
  <c r="AV3117" i="1"/>
  <c r="AV3116" i="1"/>
  <c r="AV3115" i="1"/>
  <c r="AV3114" i="1"/>
  <c r="AV3113" i="1"/>
  <c r="AV3112" i="1"/>
  <c r="AV3111" i="1"/>
  <c r="AV3110" i="1"/>
  <c r="AV3109" i="1"/>
  <c r="AV3108" i="1"/>
  <c r="AV3107" i="1"/>
  <c r="AV3106" i="1"/>
  <c r="AV3105" i="1"/>
  <c r="AV3104" i="1"/>
  <c r="AV3103" i="1"/>
  <c r="AV3102" i="1"/>
  <c r="AV3101" i="1"/>
  <c r="AV3100" i="1"/>
  <c r="AV3099" i="1"/>
  <c r="AV3098" i="1"/>
  <c r="AV3097" i="1"/>
  <c r="AV3096" i="1"/>
  <c r="AV3095" i="1"/>
  <c r="AV3094" i="1"/>
  <c r="AV3093" i="1"/>
  <c r="AV3092" i="1"/>
  <c r="AV3091" i="1"/>
  <c r="AV3090" i="1"/>
  <c r="AV3087" i="1"/>
  <c r="AV3086" i="1"/>
  <c r="AV3085" i="1"/>
  <c r="AV3084" i="1"/>
  <c r="AV3083" i="1"/>
  <c r="AV3082" i="1"/>
  <c r="AV3081" i="1"/>
  <c r="AV3080" i="1"/>
  <c r="AV3079" i="1"/>
  <c r="AV3078" i="1"/>
  <c r="AV3077" i="1"/>
  <c r="AV3076" i="1"/>
  <c r="AV3075" i="1"/>
  <c r="AV3074" i="1"/>
  <c r="AV3073" i="1"/>
  <c r="AV3072" i="1"/>
  <c r="AV3071" i="1"/>
  <c r="AV3070" i="1"/>
  <c r="AV3069" i="1"/>
  <c r="AV3068" i="1"/>
  <c r="AV3067" i="1"/>
  <c r="AV3066" i="1"/>
  <c r="AV3065" i="1"/>
  <c r="AV3064" i="1"/>
  <c r="AV3063" i="1"/>
  <c r="AV3062" i="1"/>
  <c r="AV3061" i="1"/>
  <c r="AV3060" i="1"/>
  <c r="AV3059" i="1"/>
  <c r="AV3058" i="1"/>
  <c r="AV3057" i="1"/>
  <c r="AV3056" i="1"/>
  <c r="AV3055" i="1"/>
  <c r="AV3054" i="1"/>
  <c r="AV3053" i="1"/>
  <c r="AV3052" i="1"/>
  <c r="AV3051" i="1"/>
  <c r="AV3050" i="1"/>
  <c r="AV3049" i="1"/>
  <c r="AV3048" i="1"/>
  <c r="AV3045" i="1"/>
  <c r="AV3044" i="1"/>
  <c r="AV3043" i="1"/>
  <c r="AV3042" i="1"/>
  <c r="AV3041" i="1"/>
  <c r="AV3040" i="1"/>
  <c r="AV3039" i="1"/>
  <c r="AV3038" i="1"/>
  <c r="AV3037" i="1"/>
  <c r="AV3036" i="1"/>
  <c r="AV3035" i="1"/>
  <c r="AV3034" i="1"/>
  <c r="AV3033" i="1"/>
  <c r="AV3032" i="1"/>
  <c r="AV3031" i="1"/>
  <c r="AV3030" i="1"/>
  <c r="AV3029" i="1"/>
  <c r="AV3028" i="1"/>
  <c r="AV3027" i="1"/>
  <c r="AV3026" i="1"/>
  <c r="AV3025" i="1"/>
  <c r="AV3024" i="1"/>
  <c r="AV3021" i="1"/>
  <c r="AV3020" i="1"/>
  <c r="AV3019" i="1"/>
  <c r="AV3018" i="1"/>
  <c r="AV3017" i="1"/>
  <c r="AV3016" i="1"/>
  <c r="AV3015" i="1"/>
  <c r="AV3014" i="1"/>
  <c r="AV3013" i="1"/>
  <c r="AV3012" i="1"/>
  <c r="AV3011" i="1"/>
  <c r="AV3010" i="1"/>
  <c r="AV3009" i="1"/>
  <c r="AV3008" i="1"/>
  <c r="AV3007" i="1"/>
  <c r="AV3006" i="1"/>
  <c r="AV3005" i="1"/>
  <c r="AV3004" i="1"/>
  <c r="AV3003" i="1"/>
  <c r="AV3002" i="1"/>
  <c r="AV3001" i="1"/>
  <c r="AV3000" i="1"/>
  <c r="AV2999" i="1"/>
  <c r="AV2998" i="1"/>
  <c r="AV2997" i="1"/>
  <c r="AV2996" i="1"/>
  <c r="AV2995" i="1"/>
  <c r="AV2992" i="1"/>
  <c r="AV2991" i="1"/>
  <c r="AV2990" i="1"/>
  <c r="AV2989" i="1"/>
  <c r="AV2988" i="1"/>
  <c r="AV2987" i="1"/>
  <c r="AV2986" i="1"/>
  <c r="AV2985" i="1"/>
  <c r="AV2984" i="1"/>
  <c r="AV2983" i="1"/>
  <c r="AV2982" i="1"/>
  <c r="AV2981" i="1"/>
  <c r="AV2980" i="1"/>
  <c r="AV2979" i="1"/>
  <c r="AV2978" i="1"/>
  <c r="AV2977" i="1"/>
  <c r="AV2976" i="1"/>
  <c r="AV2975" i="1"/>
  <c r="AV2974" i="1"/>
  <c r="AV2973" i="1"/>
  <c r="AV2972" i="1"/>
  <c r="AV2971" i="1"/>
  <c r="AV2970" i="1"/>
  <c r="AV2969" i="1"/>
  <c r="AV2968" i="1"/>
  <c r="AV2967" i="1"/>
  <c r="AV2966" i="1"/>
  <c r="AV2965" i="1"/>
  <c r="AV2964" i="1"/>
  <c r="AV2963" i="1"/>
  <c r="AV2962" i="1"/>
  <c r="AV2961" i="1"/>
  <c r="AV2960" i="1"/>
  <c r="AV2959" i="1"/>
  <c r="AV2958" i="1"/>
  <c r="AV2957" i="1"/>
  <c r="AV2956" i="1"/>
  <c r="AV2955" i="1"/>
  <c r="AV2952" i="1"/>
  <c r="AV2951" i="1"/>
  <c r="AV2950" i="1"/>
  <c r="AV2949" i="1"/>
  <c r="AV2948" i="1"/>
  <c r="AV2947" i="1"/>
  <c r="AV2944" i="1"/>
  <c r="AV2943" i="1"/>
  <c r="AV2942" i="1"/>
  <c r="AV2941" i="1"/>
  <c r="AV2940" i="1"/>
  <c r="AV2939" i="1"/>
  <c r="AV2938" i="1"/>
  <c r="AV2937" i="1"/>
  <c r="AV2936" i="1"/>
  <c r="AV2935" i="1"/>
  <c r="AV2934" i="1"/>
  <c r="AV2933" i="1"/>
  <c r="AV2930" i="1"/>
  <c r="AV2929" i="1"/>
  <c r="AV2928" i="1"/>
  <c r="AV2927" i="1"/>
  <c r="AV2926" i="1"/>
  <c r="AV2925" i="1"/>
  <c r="AV2924" i="1"/>
  <c r="AV2923" i="1"/>
  <c r="AV2922" i="1"/>
  <c r="AV2921" i="1"/>
  <c r="AV2920" i="1"/>
  <c r="AV2919" i="1"/>
  <c r="AV2918" i="1"/>
  <c r="AV2917" i="1"/>
  <c r="AV2916" i="1"/>
  <c r="AV2915" i="1"/>
  <c r="AV2914" i="1"/>
  <c r="AV2913" i="1"/>
  <c r="AV2912" i="1"/>
  <c r="AV2911" i="1"/>
  <c r="AV2910" i="1"/>
  <c r="AV2909" i="1"/>
  <c r="AV2908" i="1"/>
  <c r="AV2907" i="1"/>
  <c r="AV2906" i="1"/>
  <c r="AV2905" i="1"/>
  <c r="AV2904" i="1"/>
  <c r="AV2903" i="1"/>
  <c r="AV2902" i="1"/>
  <c r="AV2901" i="1"/>
  <c r="AV2900" i="1"/>
  <c r="AV2899" i="1"/>
  <c r="AV2898" i="1"/>
  <c r="AV2897" i="1"/>
  <c r="AV2896" i="1"/>
  <c r="AV2895" i="1"/>
  <c r="AV2894" i="1"/>
  <c r="AV2893" i="1"/>
  <c r="AV2892" i="1"/>
  <c r="AV2891" i="1"/>
  <c r="AV2890" i="1"/>
  <c r="AV2889" i="1"/>
  <c r="AV2888" i="1"/>
  <c r="AV2887" i="1"/>
  <c r="AV2886" i="1"/>
  <c r="AV2885" i="1"/>
  <c r="AV2884" i="1"/>
  <c r="AV2883" i="1"/>
  <c r="AV2882" i="1"/>
  <c r="AV2881" i="1"/>
  <c r="AV2880" i="1"/>
  <c r="AV2879" i="1"/>
  <c r="AV2878" i="1"/>
  <c r="AV2877" i="1"/>
  <c r="AV2876" i="1"/>
  <c r="AV2875" i="1"/>
  <c r="AV2874" i="1"/>
  <c r="AV2873" i="1"/>
  <c r="AV2872" i="1"/>
  <c r="AV2871" i="1"/>
  <c r="AV2870" i="1"/>
  <c r="AV2869" i="1"/>
  <c r="AV2868" i="1"/>
  <c r="AV2867" i="1"/>
  <c r="AV2866" i="1"/>
  <c r="AV2865" i="1"/>
  <c r="AV2864" i="1"/>
  <c r="AV2863" i="1"/>
  <c r="AV2862" i="1"/>
  <c r="AV2861" i="1"/>
  <c r="AV2860" i="1"/>
  <c r="AV2859" i="1"/>
  <c r="AV2858" i="1"/>
  <c r="AV2857" i="1"/>
  <c r="AV2856" i="1"/>
  <c r="AV2855" i="1"/>
  <c r="AV2854" i="1"/>
  <c r="AV2853" i="1"/>
  <c r="AV2852" i="1"/>
  <c r="AV2851" i="1"/>
  <c r="AV2850" i="1"/>
  <c r="AV2849" i="1"/>
  <c r="AV2848" i="1"/>
  <c r="AV2847" i="1"/>
  <c r="AV2846" i="1"/>
  <c r="AV2845" i="1"/>
  <c r="AV2844" i="1"/>
  <c r="AV2843" i="1"/>
  <c r="AV2842" i="1"/>
  <c r="AV2841" i="1"/>
  <c r="AV2840" i="1"/>
  <c r="AV2839" i="1"/>
  <c r="AV2838" i="1"/>
  <c r="AV2837" i="1"/>
  <c r="AV2836" i="1"/>
  <c r="AV2835" i="1"/>
  <c r="AV2834" i="1"/>
  <c r="AV2833" i="1"/>
  <c r="AV2832" i="1"/>
  <c r="AV2831" i="1"/>
  <c r="AV2830" i="1"/>
  <c r="AV2829" i="1"/>
  <c r="AV2828" i="1"/>
  <c r="AV2827" i="1"/>
  <c r="AV2826" i="1"/>
  <c r="AV2825" i="1"/>
  <c r="AV2822" i="1"/>
  <c r="AV2821" i="1"/>
  <c r="AV2820" i="1"/>
  <c r="AV2819" i="1"/>
  <c r="AV2818" i="1"/>
  <c r="AV2817" i="1"/>
  <c r="AV2816" i="1"/>
  <c r="AV2815" i="1"/>
  <c r="AV2814" i="1"/>
  <c r="AV2813" i="1"/>
  <c r="AV2811" i="1"/>
  <c r="AV2810" i="1"/>
  <c r="AV2809" i="1"/>
  <c r="AV2808" i="1"/>
  <c r="AV2807" i="1"/>
  <c r="AV2806" i="1"/>
  <c r="AV2805" i="1"/>
  <c r="AV2804" i="1"/>
  <c r="AV2802" i="1"/>
  <c r="AV2801" i="1"/>
  <c r="AV2800" i="1"/>
  <c r="AV2799" i="1"/>
  <c r="AV2798" i="1"/>
  <c r="AV2797" i="1"/>
  <c r="AV2796" i="1"/>
  <c r="AV2795" i="1"/>
  <c r="AV2794" i="1"/>
  <c r="AV2793" i="1"/>
  <c r="AV2792" i="1"/>
  <c r="AV2790" i="1"/>
  <c r="AV2789" i="1"/>
  <c r="AV2788" i="1"/>
  <c r="AV2787" i="1"/>
  <c r="AV2786" i="1"/>
  <c r="AV2785" i="1"/>
  <c r="AV2784" i="1"/>
  <c r="AV2783" i="1"/>
  <c r="AV2782" i="1"/>
  <c r="AV2781" i="1"/>
  <c r="AV2780" i="1"/>
  <c r="AV2779" i="1"/>
  <c r="AV2778" i="1"/>
  <c r="AV2777" i="1"/>
  <c r="AV2776" i="1"/>
  <c r="AV2775" i="1"/>
  <c r="AV2774" i="1"/>
  <c r="AV2773" i="1"/>
  <c r="AV2772" i="1"/>
  <c r="AV2771" i="1"/>
  <c r="AV2770" i="1"/>
  <c r="AV2769" i="1"/>
  <c r="AV2768" i="1"/>
  <c r="AV2767" i="1"/>
  <c r="AV2766" i="1"/>
  <c r="AV2765" i="1"/>
  <c r="AV2764" i="1"/>
  <c r="AV2763" i="1"/>
  <c r="AV2762" i="1"/>
  <c r="AV2761" i="1"/>
  <c r="AV2760" i="1"/>
  <c r="AV2759" i="1"/>
  <c r="AV2758" i="1"/>
  <c r="AV2757" i="1"/>
  <c r="AV2756" i="1"/>
  <c r="AV2755" i="1"/>
  <c r="AV2754" i="1"/>
  <c r="AV2753" i="1"/>
  <c r="AV2752" i="1"/>
  <c r="AV2751" i="1"/>
  <c r="AV2750" i="1"/>
  <c r="AV2749" i="1"/>
  <c r="AV2748" i="1"/>
  <c r="AV2747" i="1"/>
  <c r="AV2746" i="1"/>
  <c r="AV2745" i="1"/>
  <c r="AV2744" i="1"/>
  <c r="AV2743" i="1"/>
  <c r="AV2742" i="1"/>
  <c r="AV2741" i="1"/>
  <c r="AV2740" i="1"/>
  <c r="AV2739" i="1"/>
  <c r="AV2736" i="1"/>
  <c r="AV2735" i="1"/>
  <c r="AV2734" i="1"/>
  <c r="AV2733" i="1"/>
  <c r="AV2732" i="1"/>
  <c r="AV2731" i="1"/>
  <c r="AV2730" i="1"/>
  <c r="AV2729" i="1"/>
  <c r="AV2728" i="1"/>
  <c r="AV2727" i="1"/>
  <c r="AV2726" i="1"/>
  <c r="AV2725" i="1"/>
  <c r="AV2724" i="1"/>
  <c r="AV2723" i="1"/>
  <c r="AV2722" i="1"/>
  <c r="AV2721" i="1"/>
  <c r="AV2720" i="1"/>
  <c r="AV2719" i="1"/>
  <c r="AV2718" i="1"/>
  <c r="AV2717" i="1"/>
  <c r="AV2716" i="1"/>
  <c r="AV2715" i="1"/>
  <c r="AV2714" i="1"/>
  <c r="AV2713" i="1"/>
  <c r="AV2712" i="1"/>
  <c r="AV2711" i="1"/>
  <c r="AV2710" i="1"/>
  <c r="AV2709" i="1"/>
  <c r="AV2708" i="1"/>
  <c r="AV2707" i="1"/>
  <c r="AV2706" i="1"/>
  <c r="AV2705" i="1"/>
  <c r="AV2704" i="1"/>
  <c r="AV2703" i="1"/>
  <c r="AV2199" i="1"/>
  <c r="AV2198" i="1"/>
  <c r="AV2197" i="1"/>
  <c r="AV2196" i="1"/>
  <c r="AV2195" i="1"/>
  <c r="AV2193" i="1"/>
  <c r="AV2191" i="1"/>
  <c r="AV2190" i="1"/>
  <c r="AV2185" i="1"/>
  <c r="AV2184" i="1"/>
  <c r="AV2183" i="1"/>
  <c r="AV2182" i="1"/>
  <c r="AV2181" i="1"/>
  <c r="AV2180" i="1"/>
  <c r="AV2179" i="1"/>
  <c r="AV2178" i="1"/>
  <c r="AV2175" i="1"/>
  <c r="AV2174" i="1"/>
  <c r="AV2173" i="1"/>
  <c r="AV2172" i="1"/>
  <c r="AV2171" i="1"/>
  <c r="AV2170" i="1"/>
  <c r="AV2169" i="1"/>
  <c r="AV2168" i="1"/>
  <c r="AV2167" i="1"/>
  <c r="AV2166" i="1"/>
  <c r="AV2165" i="1"/>
  <c r="AV2164" i="1"/>
  <c r="AV2163" i="1"/>
  <c r="AV2162" i="1"/>
  <c r="AV2161" i="1"/>
  <c r="AV2160" i="1"/>
  <c r="AV2159" i="1"/>
  <c r="AV2158" i="1"/>
  <c r="AV2157" i="1"/>
  <c r="AV2156" i="1"/>
  <c r="AV2155" i="1"/>
  <c r="AV2154" i="1"/>
  <c r="AV2153" i="1"/>
  <c r="AV2152" i="1"/>
  <c r="AV2151" i="1"/>
  <c r="AV2150" i="1"/>
  <c r="AV2149" i="1"/>
  <c r="AV2148" i="1"/>
  <c r="AV2147" i="1"/>
  <c r="AV2146" i="1"/>
  <c r="AV2145" i="1"/>
  <c r="AV2144" i="1"/>
  <c r="AV2143" i="1"/>
  <c r="AV2142" i="1"/>
  <c r="AV2141" i="1"/>
  <c r="AV2140" i="1"/>
  <c r="AV2139" i="1"/>
  <c r="AV2138" i="1"/>
  <c r="AV2137" i="1"/>
  <c r="AV2136" i="1"/>
  <c r="AV2135" i="1"/>
  <c r="AV2134" i="1"/>
  <c r="AV2133" i="1"/>
  <c r="AV2131" i="1"/>
  <c r="AV2130" i="1"/>
  <c r="AV2129" i="1"/>
  <c r="AV2128" i="1"/>
  <c r="AV2127" i="1"/>
  <c r="AV2126" i="1"/>
  <c r="AV2125" i="1"/>
  <c r="AV2124" i="1"/>
  <c r="AV2123" i="1"/>
  <c r="AV2122" i="1"/>
  <c r="AV2121" i="1"/>
  <c r="AV2120" i="1"/>
  <c r="AV2119" i="1"/>
  <c r="AV2118" i="1"/>
  <c r="AV2117" i="1"/>
  <c r="AV2116" i="1"/>
  <c r="AV2115" i="1"/>
  <c r="AV2114" i="1"/>
  <c r="AV2113" i="1"/>
  <c r="AV2112" i="1"/>
  <c r="AV2111" i="1"/>
  <c r="AV2110" i="1"/>
  <c r="AV2109" i="1"/>
  <c r="AV2108" i="1"/>
  <c r="AV2107" i="1"/>
  <c r="AV2106" i="1"/>
  <c r="AV2105" i="1"/>
  <c r="AV2104" i="1"/>
  <c r="AV2103" i="1"/>
  <c r="AV2102" i="1"/>
  <c r="AV2101" i="1"/>
  <c r="AV2100" i="1"/>
  <c r="AV2099" i="1"/>
  <c r="AV2098" i="1"/>
  <c r="AV2097" i="1"/>
  <c r="AV2096" i="1"/>
  <c r="AV2095" i="1"/>
  <c r="AV2094" i="1"/>
  <c r="AV2093" i="1"/>
  <c r="AV2090" i="1"/>
  <c r="AV2089" i="1"/>
  <c r="AV2088" i="1"/>
  <c r="AV2087" i="1"/>
  <c r="AV2086" i="1"/>
  <c r="AV2085" i="1"/>
  <c r="AV2084" i="1"/>
  <c r="AV2083" i="1"/>
  <c r="AV2082" i="1"/>
  <c r="AV2081" i="1"/>
  <c r="AV2080" i="1"/>
  <c r="AV2079" i="1"/>
  <c r="AV2078" i="1"/>
  <c r="AV2077" i="1"/>
  <c r="AV2076" i="1"/>
  <c r="AV2075" i="1"/>
  <c r="AV2074" i="1"/>
  <c r="AV2073" i="1"/>
  <c r="AV2072" i="1"/>
  <c r="AV2071" i="1"/>
  <c r="AV2070" i="1"/>
  <c r="AV2069" i="1"/>
  <c r="AV2068" i="1"/>
  <c r="AV2067" i="1"/>
  <c r="AV2066" i="1"/>
  <c r="AV2065" i="1"/>
  <c r="AV2064" i="1"/>
  <c r="AV2063" i="1"/>
  <c r="AV2062" i="1"/>
  <c r="AV2061" i="1"/>
  <c r="AV2060" i="1"/>
  <c r="AV2059" i="1"/>
  <c r="AV2058" i="1"/>
  <c r="AV2057" i="1"/>
  <c r="AV2054" i="1"/>
  <c r="AV2053" i="1"/>
  <c r="AV2052" i="1"/>
  <c r="AV2051" i="1"/>
  <c r="AV2050" i="1"/>
  <c r="AV2049" i="1"/>
  <c r="AV2048" i="1"/>
  <c r="AV2047" i="1"/>
  <c r="AV2046" i="1"/>
  <c r="AV2045" i="1"/>
  <c r="AV2044" i="1"/>
  <c r="AV2043" i="1"/>
  <c r="AV2042" i="1"/>
  <c r="AV2041" i="1"/>
  <c r="AV2040" i="1"/>
  <c r="AV2039" i="1"/>
  <c r="AV2038" i="1"/>
  <c r="AV2037" i="1"/>
  <c r="AV2036" i="1"/>
  <c r="AV2035" i="1"/>
  <c r="AV2034" i="1"/>
  <c r="AV2033" i="1"/>
  <c r="AV2032" i="1"/>
  <c r="AV2031" i="1"/>
  <c r="AV2030" i="1"/>
  <c r="AV2029" i="1"/>
  <c r="AV2028" i="1"/>
  <c r="AV2027" i="1"/>
  <c r="AV2026" i="1"/>
  <c r="AV2025" i="1"/>
  <c r="AV2024" i="1"/>
  <c r="AV2023" i="1"/>
  <c r="AV2022" i="1"/>
  <c r="AV2021" i="1"/>
  <c r="AV2020" i="1"/>
  <c r="AV2019" i="1"/>
  <c r="AV2018" i="1"/>
  <c r="AV2017" i="1"/>
  <c r="AV2016" i="1"/>
  <c r="AV2015" i="1"/>
  <c r="AV2014" i="1"/>
  <c r="AV2013" i="1"/>
  <c r="AV2012" i="1"/>
  <c r="AV2011" i="1"/>
  <c r="AV2010" i="1"/>
  <c r="AV2009" i="1"/>
  <c r="AV2008" i="1"/>
  <c r="AV2007" i="1"/>
  <c r="AV2006" i="1"/>
  <c r="AV2005" i="1"/>
  <c r="AV2002" i="1"/>
  <c r="AV2001" i="1"/>
  <c r="AV2000" i="1"/>
  <c r="AV1999" i="1"/>
  <c r="AV1998" i="1"/>
  <c r="AV1997" i="1"/>
  <c r="AV1996" i="1"/>
  <c r="AV1995" i="1"/>
  <c r="AV1994" i="1"/>
  <c r="AV1993" i="1"/>
  <c r="AV1992" i="1"/>
  <c r="AV1991" i="1"/>
  <c r="AV1990" i="1"/>
  <c r="AV1989" i="1"/>
  <c r="AV1988" i="1"/>
  <c r="AV1987" i="1"/>
  <c r="AV1986" i="1"/>
  <c r="AV1985" i="1"/>
  <c r="AV1984" i="1"/>
  <c r="AV1983" i="1"/>
  <c r="AV1982" i="1"/>
  <c r="AV1981" i="1"/>
  <c r="AV1980" i="1"/>
  <c r="AV1979" i="1"/>
  <c r="AV1978" i="1"/>
  <c r="AV1977" i="1"/>
  <c r="AV1976" i="1"/>
  <c r="AV1975" i="1"/>
  <c r="AV1974" i="1"/>
  <c r="AV1973" i="1"/>
  <c r="AV1972" i="1"/>
  <c r="AV1971" i="1"/>
  <c r="AV1970" i="1"/>
  <c r="AV1969" i="1"/>
  <c r="AV1968" i="1"/>
  <c r="AV1967" i="1"/>
  <c r="AV1966" i="1"/>
  <c r="AV1965" i="1"/>
  <c r="AV1964" i="1"/>
  <c r="AV1963" i="1"/>
  <c r="AV1962" i="1"/>
  <c r="AV1961" i="1"/>
  <c r="AV1960" i="1"/>
  <c r="AV1959" i="1"/>
  <c r="AV1958" i="1"/>
  <c r="AV1957" i="1"/>
  <c r="AV1956" i="1"/>
  <c r="AV1955" i="1"/>
  <c r="AV1954" i="1"/>
  <c r="AV1953" i="1"/>
  <c r="AV1952" i="1"/>
  <c r="AV1951" i="1"/>
  <c r="AV1948" i="1"/>
  <c r="AV1947" i="1"/>
  <c r="AV1946" i="1"/>
  <c r="AV1945" i="1"/>
  <c r="AV1944" i="1"/>
  <c r="AV1943" i="1"/>
  <c r="AV1942" i="1"/>
  <c r="AV1941" i="1"/>
  <c r="AV1940" i="1"/>
  <c r="AV1939" i="1"/>
  <c r="AV1938" i="1"/>
  <c r="AV1937" i="1"/>
  <c r="AV1936" i="1"/>
  <c r="AV1935" i="1"/>
  <c r="AV1934" i="1"/>
  <c r="AV1933" i="1"/>
  <c r="AV1932" i="1"/>
  <c r="AV1931" i="1"/>
  <c r="AV1930" i="1"/>
  <c r="AV1929" i="1"/>
  <c r="AV1928" i="1"/>
  <c r="AV1927" i="1"/>
  <c r="AV1926" i="1"/>
  <c r="AV1925" i="1"/>
  <c r="AV1924" i="1"/>
  <c r="AV1923" i="1"/>
  <c r="AV1922" i="1"/>
  <c r="AV1921" i="1"/>
  <c r="AV1920" i="1"/>
  <c r="AV1919" i="1"/>
  <c r="AV1918" i="1"/>
  <c r="AV1917" i="1"/>
  <c r="AV1916" i="1"/>
  <c r="AV1915" i="1"/>
  <c r="AV1914" i="1"/>
  <c r="AV1913" i="1"/>
  <c r="AV1912" i="1"/>
  <c r="AV1911" i="1"/>
  <c r="AV1910" i="1"/>
  <c r="AV1909" i="1"/>
  <c r="AV1908" i="1"/>
  <c r="AV1907" i="1"/>
  <c r="AV1906" i="1"/>
  <c r="AV1905" i="1"/>
  <c r="AV1904" i="1"/>
  <c r="AV1903" i="1"/>
  <c r="AV1902" i="1"/>
  <c r="AV1901" i="1"/>
  <c r="AV1900" i="1"/>
  <c r="AV1899" i="1"/>
  <c r="AV1898" i="1"/>
  <c r="AV1897" i="1"/>
  <c r="AV1896" i="1"/>
  <c r="AV1893" i="1"/>
  <c r="AV1892" i="1"/>
  <c r="AV1891" i="1"/>
  <c r="AV1890" i="1"/>
  <c r="AV1889" i="1"/>
  <c r="AV1888" i="1"/>
  <c r="AV1887" i="1"/>
  <c r="AV1886" i="1"/>
  <c r="AV1885" i="1"/>
  <c r="AV1884" i="1"/>
  <c r="AV1883" i="1"/>
  <c r="AV1882" i="1"/>
  <c r="AV1881" i="1"/>
  <c r="AV1880" i="1"/>
  <c r="AV1879" i="1"/>
  <c r="AV1878" i="1"/>
  <c r="AV1877" i="1"/>
  <c r="AV1876" i="1"/>
  <c r="AV1875" i="1"/>
  <c r="AV1874" i="1"/>
  <c r="AV1873" i="1"/>
  <c r="AV1872" i="1"/>
  <c r="AV1871" i="1"/>
  <c r="AV1870" i="1"/>
  <c r="AV1869" i="1"/>
  <c r="AV1868" i="1"/>
  <c r="AV1867" i="1"/>
  <c r="AV1866" i="1"/>
  <c r="AV1865" i="1"/>
  <c r="AV1864" i="1"/>
  <c r="AV1863" i="1"/>
  <c r="AV1862" i="1"/>
  <c r="AV1861" i="1"/>
  <c r="AV1860" i="1"/>
  <c r="AV1859" i="1"/>
  <c r="AV1858" i="1"/>
  <c r="AV1857" i="1"/>
  <c r="AV1856" i="1"/>
  <c r="AV1855" i="1"/>
  <c r="AV1854" i="1"/>
  <c r="AV1853" i="1"/>
  <c r="AV1852" i="1"/>
  <c r="AV1851" i="1"/>
  <c r="AV1850" i="1"/>
  <c r="AV1849" i="1"/>
  <c r="AV1848" i="1"/>
  <c r="AV1847" i="1"/>
  <c r="AV1846" i="1"/>
  <c r="AV1845" i="1"/>
  <c r="AV1844" i="1"/>
  <c r="AV1843" i="1"/>
  <c r="AV1842" i="1"/>
  <c r="AV1841" i="1"/>
  <c r="AV1840" i="1"/>
  <c r="AV1839" i="1"/>
  <c r="AV1838" i="1"/>
  <c r="AV1837" i="1"/>
  <c r="AV1836" i="1"/>
  <c r="AV1835" i="1"/>
  <c r="AV1834" i="1"/>
  <c r="AV1833" i="1"/>
  <c r="AV1832" i="1"/>
  <c r="AV1831" i="1"/>
  <c r="AV1830" i="1"/>
  <c r="AV1829" i="1"/>
  <c r="AV1828" i="1"/>
  <c r="AV1827" i="1"/>
  <c r="AV1826" i="1"/>
  <c r="AV1825" i="1"/>
  <c r="AV1824" i="1"/>
  <c r="AV1823" i="1"/>
  <c r="AV1822" i="1"/>
  <c r="AV1821" i="1"/>
  <c r="AV1820" i="1"/>
  <c r="AV1819" i="1"/>
  <c r="AV1818" i="1"/>
  <c r="AV1817" i="1"/>
  <c r="AV1816" i="1"/>
  <c r="AV1815" i="1"/>
  <c r="AV1814" i="1"/>
  <c r="AV1813" i="1"/>
  <c r="AV1812" i="1"/>
  <c r="AV1811" i="1"/>
  <c r="AV1810" i="1"/>
  <c r="AV1809" i="1"/>
  <c r="AV1808" i="1"/>
  <c r="AV1807" i="1"/>
  <c r="AV1806" i="1"/>
  <c r="AV1805" i="1"/>
  <c r="AV1804" i="1"/>
  <c r="AV1803" i="1"/>
  <c r="AV1802" i="1"/>
  <c r="AV1801" i="1"/>
  <c r="AV1800" i="1"/>
  <c r="AV1799" i="1"/>
  <c r="AV1798" i="1"/>
  <c r="AV1797" i="1"/>
  <c r="AV1796" i="1"/>
  <c r="AV1795" i="1"/>
  <c r="AV1792" i="1"/>
  <c r="AV1791" i="1"/>
  <c r="AV1790" i="1"/>
  <c r="AV1789" i="1"/>
  <c r="AV1788" i="1"/>
  <c r="AV1787" i="1"/>
  <c r="AV1786" i="1"/>
  <c r="AV1785" i="1"/>
  <c r="AV1784" i="1"/>
  <c r="AV1783" i="1"/>
  <c r="AV1782" i="1"/>
  <c r="AV1781" i="1"/>
  <c r="AV1780" i="1"/>
  <c r="AV1779" i="1"/>
  <c r="AV1778" i="1"/>
  <c r="AV1777" i="1"/>
  <c r="AV1776" i="1"/>
  <c r="AV1775" i="1"/>
  <c r="AV1774" i="1"/>
  <c r="AV1773" i="1"/>
  <c r="AV1772" i="1"/>
  <c r="AV1771" i="1"/>
  <c r="AV1770" i="1"/>
  <c r="AV1769" i="1"/>
  <c r="AV1768" i="1"/>
  <c r="AV1767" i="1"/>
  <c r="AV1766" i="1"/>
  <c r="AV1765" i="1"/>
  <c r="AV1764" i="1"/>
  <c r="AV1763" i="1"/>
  <c r="AV1762" i="1"/>
  <c r="AV1761" i="1"/>
  <c r="AV1760" i="1"/>
  <c r="AV1759" i="1"/>
  <c r="AV1758" i="1"/>
  <c r="AV1757" i="1"/>
  <c r="AV1756" i="1"/>
  <c r="AV1755" i="1"/>
  <c r="AV1754" i="1"/>
  <c r="AV1753" i="1"/>
  <c r="AV1752" i="1"/>
  <c r="AV1751" i="1"/>
  <c r="AV1750" i="1"/>
  <c r="AV1749" i="1"/>
  <c r="AV1748" i="1"/>
  <c r="AV1747" i="1"/>
  <c r="AV1746" i="1"/>
  <c r="AV1743" i="1"/>
  <c r="AV1742" i="1"/>
  <c r="AV1741" i="1"/>
  <c r="AV1740" i="1"/>
  <c r="AV1739" i="1"/>
  <c r="AV1738" i="1"/>
  <c r="AV1737" i="1"/>
  <c r="AV1736" i="1"/>
  <c r="AV1735" i="1"/>
  <c r="AV1734" i="1"/>
  <c r="AV1733" i="1"/>
  <c r="AV1732" i="1"/>
  <c r="AV1731" i="1"/>
  <c r="AV1730" i="1"/>
  <c r="AV1729" i="1"/>
  <c r="AV1728" i="1"/>
  <c r="AV1727" i="1"/>
  <c r="AV1726" i="1"/>
  <c r="AV1725" i="1"/>
  <c r="AV1724" i="1"/>
  <c r="AV1723" i="1"/>
  <c r="AV1722" i="1"/>
  <c r="AV1721" i="1"/>
  <c r="AV1720" i="1"/>
  <c r="AV1719" i="1"/>
  <c r="AV1718" i="1"/>
  <c r="AV1717" i="1"/>
  <c r="AV1716" i="1"/>
  <c r="AV1715" i="1"/>
  <c r="AV1714" i="1"/>
  <c r="AV1713" i="1"/>
  <c r="AV1712" i="1"/>
  <c r="AV1711" i="1"/>
  <c r="AV1710" i="1"/>
  <c r="AV1709" i="1"/>
  <c r="AV1708" i="1"/>
  <c r="AV1707" i="1"/>
  <c r="AV1704" i="1"/>
  <c r="AV1703" i="1"/>
  <c r="AV1702" i="1"/>
  <c r="AV1699" i="1"/>
  <c r="AV1698" i="1"/>
  <c r="AV1697" i="1"/>
  <c r="AV1696" i="1"/>
  <c r="AV1695" i="1"/>
  <c r="AV1694" i="1"/>
  <c r="AV1693" i="1"/>
  <c r="AV1692" i="1"/>
  <c r="AV1691" i="1"/>
  <c r="AV1690" i="1"/>
  <c r="AV1689" i="1"/>
  <c r="AV1688" i="1"/>
  <c r="AV1687" i="1"/>
  <c r="AV1686" i="1"/>
  <c r="AV1685" i="1"/>
  <c r="AV1684" i="1"/>
  <c r="AV1683" i="1"/>
  <c r="AV1682" i="1"/>
  <c r="AV1681" i="1"/>
  <c r="AV1680" i="1"/>
  <c r="AV1679" i="1"/>
  <c r="AV1678" i="1"/>
  <c r="AV1677" i="1"/>
  <c r="AV1676" i="1"/>
  <c r="AV1675" i="1"/>
  <c r="AV1674" i="1"/>
  <c r="AV1673" i="1"/>
  <c r="AV1672" i="1"/>
  <c r="AV1671" i="1"/>
  <c r="AV1670" i="1"/>
  <c r="AV1669" i="1"/>
  <c r="AV1668" i="1"/>
  <c r="AV1667" i="1"/>
  <c r="AV1666" i="1"/>
  <c r="AV1665" i="1"/>
  <c r="AV1664" i="1"/>
  <c r="AV1663" i="1"/>
  <c r="AV1662" i="1"/>
  <c r="AV1661" i="1"/>
  <c r="AV1660" i="1"/>
  <c r="AV1659" i="1"/>
  <c r="AV1658" i="1"/>
  <c r="AV1657" i="1"/>
  <c r="AV1656" i="1"/>
  <c r="AV1655" i="1"/>
  <c r="AV1654" i="1"/>
  <c r="AV1653" i="1"/>
  <c r="AV1652" i="1"/>
  <c r="AV1651" i="1"/>
  <c r="AV1648" i="1"/>
  <c r="AV1647" i="1"/>
  <c r="AV1646" i="1"/>
  <c r="AV1645" i="1"/>
  <c r="AV1644" i="1"/>
  <c r="AV1643" i="1"/>
  <c r="AV1642" i="1"/>
  <c r="AV1641" i="1"/>
  <c r="AV1638" i="1"/>
  <c r="AV1637" i="1"/>
  <c r="AV1636" i="1"/>
  <c r="AV1635" i="1"/>
  <c r="AV1634" i="1"/>
  <c r="AV1633" i="1"/>
  <c r="AV1632" i="1"/>
  <c r="AV1631" i="1"/>
  <c r="AV1630" i="1"/>
  <c r="AV1629" i="1"/>
  <c r="AV1628" i="1"/>
  <c r="AV1627" i="1"/>
  <c r="AV1626" i="1"/>
  <c r="AV1625" i="1"/>
  <c r="AV1624" i="1"/>
  <c r="AV1623" i="1"/>
  <c r="AV1622" i="1"/>
  <c r="AV1621" i="1"/>
  <c r="AV1620" i="1"/>
  <c r="AV1619" i="1"/>
  <c r="AV1618" i="1"/>
  <c r="AV1617" i="1"/>
  <c r="AV1616" i="1"/>
  <c r="AV1615" i="1"/>
  <c r="AV1614" i="1"/>
  <c r="AV1613" i="1"/>
  <c r="AV1612" i="1"/>
  <c r="AV1611" i="1"/>
  <c r="AV1610" i="1"/>
  <c r="AV1609" i="1"/>
  <c r="AV1608" i="1"/>
  <c r="AV1605" i="1"/>
  <c r="AV1604" i="1"/>
  <c r="AV1603" i="1"/>
  <c r="AV1602" i="1"/>
  <c r="AV1601" i="1"/>
  <c r="AV1600" i="1"/>
  <c r="AV1599" i="1"/>
  <c r="AV1598" i="1"/>
  <c r="AV1597" i="1"/>
  <c r="AV1596" i="1"/>
  <c r="AV1595" i="1"/>
  <c r="AV1594" i="1"/>
  <c r="AV1593" i="1"/>
  <c r="AV1592" i="1"/>
  <c r="AV1591" i="1"/>
  <c r="AV1590" i="1"/>
  <c r="AV1589" i="1"/>
  <c r="AV1588" i="1"/>
  <c r="AV1587" i="1"/>
  <c r="AV1586" i="1"/>
  <c r="AV1583" i="1"/>
  <c r="AV1582" i="1"/>
  <c r="AV1581" i="1"/>
  <c r="AV1580" i="1"/>
  <c r="AV1579" i="1"/>
  <c r="AV1578" i="1"/>
  <c r="AV1577" i="1"/>
  <c r="AV1576" i="1"/>
  <c r="AV1575" i="1"/>
  <c r="AV1574" i="1"/>
  <c r="AV1573" i="1"/>
  <c r="AV1572" i="1"/>
  <c r="AV1571" i="1"/>
  <c r="AV1570" i="1"/>
  <c r="AV1569" i="1"/>
  <c r="AV1568" i="1"/>
  <c r="AV1567" i="1"/>
  <c r="AV1566" i="1"/>
  <c r="AV1565" i="1"/>
  <c r="AV1564" i="1"/>
  <c r="AV1563" i="1"/>
  <c r="AV1562" i="1"/>
  <c r="AV1561" i="1"/>
  <c r="AV1560" i="1"/>
  <c r="AV1559" i="1"/>
  <c r="AV1558" i="1"/>
  <c r="AV1557" i="1"/>
  <c r="AV1556" i="1"/>
  <c r="AV1555" i="1"/>
  <c r="AV1554" i="1"/>
  <c r="AV1553" i="1"/>
  <c r="AV1552" i="1"/>
  <c r="AV1551" i="1"/>
  <c r="AV1550" i="1"/>
  <c r="AV1549" i="1"/>
  <c r="AV1548" i="1"/>
  <c r="AV1547" i="1"/>
  <c r="AV1546" i="1"/>
  <c r="AV1545" i="1"/>
  <c r="AV1544" i="1"/>
  <c r="AV1543" i="1"/>
  <c r="AV1542" i="1"/>
  <c r="AV1541" i="1"/>
  <c r="AV1540" i="1"/>
  <c r="AV1539" i="1"/>
  <c r="AV1538" i="1"/>
  <c r="AV1537" i="1"/>
  <c r="AV1536" i="1"/>
  <c r="AV1535" i="1"/>
  <c r="AV1534" i="1"/>
  <c r="AV1533" i="1"/>
  <c r="AV1532" i="1"/>
  <c r="AV1531" i="1"/>
  <c r="AV1530" i="1"/>
  <c r="AV1529" i="1"/>
  <c r="AV1528" i="1"/>
  <c r="AV1527" i="1"/>
  <c r="AV1526" i="1"/>
  <c r="AV1525" i="1"/>
  <c r="AV1524" i="1"/>
  <c r="AV1523" i="1"/>
  <c r="AV1522" i="1"/>
  <c r="AV1521" i="1"/>
  <c r="AV1520" i="1"/>
  <c r="AV1519" i="1"/>
  <c r="AV1518" i="1"/>
  <c r="AV1517" i="1"/>
  <c r="AV1516" i="1"/>
  <c r="AV1515" i="1"/>
  <c r="AV1514" i="1"/>
  <c r="AV1513" i="1"/>
  <c r="AV1512" i="1"/>
  <c r="AV1511" i="1"/>
  <c r="AV1510" i="1"/>
  <c r="AV1509" i="1"/>
  <c r="AV1508" i="1"/>
  <c r="AV1507" i="1"/>
  <c r="AV1506" i="1"/>
  <c r="AV1505" i="1"/>
  <c r="AV1504" i="1"/>
  <c r="AV1503" i="1"/>
  <c r="AV1502" i="1"/>
  <c r="AV1501" i="1"/>
  <c r="AV1500" i="1"/>
  <c r="AV1499" i="1"/>
  <c r="AV1498" i="1"/>
  <c r="AV1497" i="1"/>
  <c r="AV1496" i="1"/>
  <c r="AV1495" i="1"/>
  <c r="AV1494" i="1"/>
  <c r="AV1493" i="1"/>
  <c r="AV1492" i="1"/>
  <c r="AV1491" i="1"/>
  <c r="AV1490" i="1"/>
  <c r="AV1489" i="1"/>
  <c r="AV1488" i="1"/>
  <c r="AV1487" i="1"/>
  <c r="AV1486" i="1"/>
  <c r="AV1485" i="1"/>
  <c r="AV1484" i="1"/>
  <c r="AV1483" i="1"/>
  <c r="AV1482" i="1"/>
  <c r="AV1481" i="1"/>
  <c r="AV1480" i="1"/>
  <c r="AV1479" i="1"/>
  <c r="AV1476" i="1"/>
  <c r="AV1475" i="1"/>
  <c r="AV1474" i="1"/>
  <c r="AV1473" i="1"/>
  <c r="AV1472" i="1"/>
  <c r="AV1471" i="1"/>
  <c r="AV1470" i="1"/>
  <c r="AV1469" i="1"/>
  <c r="AV1468" i="1"/>
  <c r="AV1467" i="1"/>
  <c r="AV1466" i="1"/>
  <c r="AV1465" i="1"/>
  <c r="AV1464" i="1"/>
  <c r="AV1463" i="1"/>
  <c r="AV1462" i="1"/>
  <c r="AV1461" i="1"/>
  <c r="AV1460" i="1"/>
  <c r="AV1459" i="1"/>
  <c r="AV1458" i="1"/>
  <c r="AV1457" i="1"/>
  <c r="AV1456" i="1"/>
  <c r="AV1455" i="1"/>
  <c r="AV1454" i="1"/>
  <c r="AV1453" i="1"/>
  <c r="AV1452" i="1"/>
  <c r="AV1451" i="1"/>
  <c r="AV1450" i="1"/>
  <c r="AV1449" i="1"/>
  <c r="AV1448" i="1"/>
  <c r="AV1447" i="1"/>
  <c r="AV1446" i="1"/>
  <c r="AV1445" i="1"/>
  <c r="AV1444" i="1"/>
  <c r="AV1443" i="1"/>
  <c r="AV1442" i="1"/>
  <c r="AV1441" i="1"/>
  <c r="AV1440" i="1"/>
  <c r="AV1439" i="1"/>
  <c r="AV1438" i="1"/>
  <c r="AV1437" i="1"/>
  <c r="AV1436" i="1"/>
  <c r="AV1435" i="1"/>
  <c r="AV1434" i="1"/>
  <c r="AV1433" i="1"/>
  <c r="AV1432" i="1"/>
  <c r="AV1431" i="1"/>
  <c r="AV1430" i="1"/>
  <c r="AV1429" i="1"/>
  <c r="AV1428" i="1"/>
  <c r="AV1427" i="1"/>
  <c r="AV1426" i="1"/>
  <c r="AV1425" i="1"/>
  <c r="AV1424" i="1"/>
  <c r="AV1423" i="1"/>
  <c r="AV1422" i="1"/>
  <c r="AV1421" i="1"/>
  <c r="AV1420" i="1"/>
  <c r="AV1419" i="1"/>
  <c r="AV1418" i="1"/>
  <c r="AV1417" i="1"/>
  <c r="AV1416" i="1"/>
  <c r="AV1415" i="1"/>
  <c r="AV1414" i="1"/>
  <c r="AV1413" i="1"/>
  <c r="AV1412" i="1"/>
  <c r="AV1411" i="1"/>
  <c r="AV1410" i="1"/>
  <c r="AV1409" i="1"/>
  <c r="AV1408" i="1"/>
  <c r="AV1407" i="1"/>
  <c r="AV1406" i="1"/>
  <c r="AV1405" i="1"/>
  <c r="AV1404" i="1"/>
  <c r="AV1403" i="1"/>
  <c r="AV1402" i="1"/>
  <c r="AV1401" i="1"/>
  <c r="AV1400" i="1"/>
  <c r="AV1399" i="1"/>
  <c r="AV1398" i="1"/>
  <c r="AV1397" i="1"/>
  <c r="AV1396" i="1"/>
  <c r="AV1395" i="1"/>
  <c r="AV1394" i="1"/>
  <c r="AV1393" i="1"/>
  <c r="AV1392" i="1"/>
  <c r="AV1391" i="1"/>
  <c r="AV1390" i="1"/>
  <c r="AV1389" i="1"/>
  <c r="AV1388" i="1"/>
  <c r="AV1387" i="1"/>
  <c r="AV1386" i="1"/>
  <c r="AV1385" i="1"/>
  <c r="AV1384" i="1"/>
  <c r="AV1383" i="1"/>
  <c r="AV1382" i="1"/>
  <c r="AV1381" i="1"/>
  <c r="AV1380" i="1"/>
  <c r="AV1379" i="1"/>
  <c r="AV1378" i="1"/>
  <c r="AV1377" i="1"/>
  <c r="AV1376" i="1"/>
  <c r="AV1375" i="1"/>
  <c r="AV1374" i="1"/>
  <c r="AV1373" i="1"/>
  <c r="AV1372" i="1"/>
  <c r="AV1371" i="1"/>
  <c r="AV1370" i="1"/>
  <c r="AV1369" i="1"/>
  <c r="AV1368" i="1"/>
  <c r="AV1367" i="1"/>
  <c r="AV1366" i="1"/>
  <c r="AV1365" i="1"/>
  <c r="AV1364" i="1"/>
  <c r="AV1363" i="1"/>
  <c r="AV1362" i="1"/>
  <c r="AV1361" i="1"/>
  <c r="AV1360" i="1"/>
  <c r="AV1359" i="1"/>
  <c r="AV1358" i="1"/>
  <c r="AV1357" i="1"/>
  <c r="AV1356" i="1"/>
  <c r="AV1355" i="1"/>
  <c r="AV1354" i="1"/>
  <c r="AV1353" i="1"/>
  <c r="AV1352" i="1"/>
  <c r="AV1351" i="1"/>
  <c r="AV1350" i="1"/>
  <c r="AV1349" i="1"/>
  <c r="AV1348" i="1"/>
  <c r="AV1347" i="1"/>
  <c r="AV1346" i="1"/>
  <c r="AV1345" i="1"/>
  <c r="AV1344" i="1"/>
  <c r="AV1343" i="1"/>
  <c r="AV1342" i="1"/>
  <c r="AV1341" i="1"/>
  <c r="AV1340" i="1"/>
  <c r="AV1339" i="1"/>
  <c r="AV1338" i="1"/>
  <c r="AV1337" i="1"/>
  <c r="AV1336" i="1"/>
  <c r="AV1335" i="1"/>
  <c r="AV1334" i="1"/>
  <c r="AV1333" i="1"/>
  <c r="AV1332" i="1"/>
  <c r="AV1331" i="1"/>
  <c r="AV1330" i="1"/>
  <c r="AV1329" i="1"/>
  <c r="AV1328" i="1"/>
  <c r="AV1327" i="1"/>
  <c r="AV1326" i="1"/>
  <c r="AV1325" i="1"/>
  <c r="AV1324" i="1"/>
  <c r="AV1323" i="1"/>
  <c r="AV1322" i="1"/>
  <c r="AV1321" i="1"/>
  <c r="AV1320" i="1"/>
  <c r="AV1319" i="1"/>
  <c r="AV1318" i="1"/>
  <c r="AV1317" i="1"/>
  <c r="AV1316" i="1"/>
  <c r="AV1315" i="1"/>
  <c r="AV1314" i="1"/>
  <c r="AV1313" i="1"/>
  <c r="AV1312" i="1"/>
  <c r="AV1311" i="1"/>
  <c r="AV1310" i="1"/>
  <c r="AV1309" i="1"/>
  <c r="AV1308" i="1"/>
  <c r="AV1307" i="1"/>
  <c r="AV1306" i="1"/>
  <c r="AV1305" i="1"/>
  <c r="AV1304" i="1"/>
  <c r="AV1303" i="1"/>
  <c r="AV1302" i="1"/>
  <c r="AV1301" i="1"/>
  <c r="AV1300" i="1"/>
  <c r="AV1299" i="1"/>
  <c r="AV1298" i="1"/>
  <c r="AV1297" i="1"/>
  <c r="AV1296" i="1"/>
  <c r="AV1295" i="1"/>
  <c r="AV1294" i="1"/>
  <c r="AV1293" i="1"/>
  <c r="AV1292" i="1"/>
  <c r="AV1291" i="1"/>
  <c r="AV1290" i="1"/>
  <c r="AV1289" i="1"/>
  <c r="AV1288" i="1"/>
  <c r="AV1287" i="1"/>
  <c r="AV1286" i="1"/>
  <c r="AV1285" i="1"/>
  <c r="AV1284" i="1"/>
  <c r="AV1283" i="1"/>
  <c r="AV1282" i="1"/>
  <c r="AV1281" i="1"/>
  <c r="AV1280" i="1"/>
  <c r="AV1279" i="1"/>
  <c r="AV1278" i="1"/>
  <c r="AV1277" i="1"/>
  <c r="AV1276" i="1"/>
  <c r="AV1275" i="1"/>
  <c r="AV1274" i="1"/>
  <c r="AV1273" i="1"/>
  <c r="AV1272" i="1"/>
  <c r="AV1271" i="1"/>
  <c r="AV1270" i="1"/>
  <c r="AV1269" i="1"/>
  <c r="AV1268" i="1"/>
  <c r="AV1267" i="1"/>
  <c r="AV1266" i="1"/>
  <c r="AV1265" i="1"/>
  <c r="AV1264" i="1"/>
  <c r="AV1263" i="1"/>
  <c r="AV1262" i="1"/>
  <c r="AV1261" i="1"/>
  <c r="AV1260" i="1"/>
  <c r="AV1259" i="1"/>
  <c r="AV1258" i="1"/>
  <c r="AV1257" i="1"/>
  <c r="AV1256" i="1"/>
  <c r="AV1255" i="1"/>
  <c r="AV1254" i="1"/>
  <c r="AV1253" i="1"/>
  <c r="AV1252" i="1"/>
  <c r="AV1251" i="1"/>
  <c r="AV1250" i="1"/>
  <c r="AV1249" i="1"/>
  <c r="AV1248" i="1"/>
  <c r="AV1247" i="1"/>
  <c r="AV1246" i="1"/>
  <c r="AV1245" i="1"/>
  <c r="AV1244" i="1"/>
  <c r="AV1243" i="1"/>
  <c r="AV1242" i="1"/>
  <c r="AV1241" i="1"/>
  <c r="AV1240" i="1"/>
  <c r="AV1239" i="1"/>
  <c r="AV1238" i="1"/>
  <c r="AV1237" i="1"/>
  <c r="AV1236" i="1"/>
  <c r="AV1235" i="1"/>
  <c r="AV1234" i="1"/>
  <c r="AV1233" i="1"/>
  <c r="AV1232" i="1"/>
  <c r="AV1231" i="1"/>
  <c r="AV1230" i="1"/>
  <c r="AV1229" i="1"/>
  <c r="AV1228" i="1"/>
  <c r="AV1227" i="1"/>
  <c r="AV1226" i="1"/>
  <c r="AV1225" i="1"/>
  <c r="AV1224" i="1"/>
  <c r="AV1223" i="1"/>
  <c r="AV1222" i="1"/>
  <c r="AV1221" i="1"/>
  <c r="AV1220" i="1"/>
  <c r="AV1219" i="1"/>
  <c r="AV1218" i="1"/>
  <c r="AV1217" i="1"/>
  <c r="AV1216" i="1"/>
  <c r="AV1215" i="1"/>
  <c r="AV1214" i="1"/>
  <c r="AV1213" i="1"/>
  <c r="AV1212" i="1"/>
  <c r="AV1211" i="1"/>
  <c r="AV1210" i="1"/>
  <c r="AV1209" i="1"/>
  <c r="AV1208" i="1"/>
  <c r="AV1207" i="1"/>
  <c r="AV1206" i="1"/>
  <c r="AV1205" i="1"/>
  <c r="AV1204" i="1"/>
  <c r="AV1203" i="1"/>
  <c r="AV1202" i="1"/>
  <c r="AV1201" i="1"/>
  <c r="AV1200" i="1"/>
  <c r="AV1199" i="1"/>
  <c r="AV1198" i="1"/>
  <c r="AV1197" i="1"/>
  <c r="AV1196" i="1"/>
  <c r="AV1195" i="1"/>
  <c r="AV1194" i="1"/>
  <c r="AV1193" i="1"/>
  <c r="AV1192" i="1"/>
  <c r="AV1191" i="1"/>
  <c r="AV1190" i="1"/>
  <c r="AV1189" i="1"/>
  <c r="AV1188" i="1"/>
  <c r="AV1187" i="1"/>
  <c r="AV1186" i="1"/>
  <c r="AV1185" i="1"/>
  <c r="AV1184" i="1"/>
  <c r="AV1183" i="1"/>
  <c r="AV1182" i="1"/>
  <c r="AV1181" i="1"/>
  <c r="AV1180" i="1"/>
  <c r="AV1179" i="1"/>
  <c r="AV1178" i="1"/>
  <c r="AV1177" i="1"/>
  <c r="AV1176" i="1"/>
  <c r="AV1175" i="1"/>
  <c r="AV1174" i="1"/>
  <c r="AV1173" i="1"/>
  <c r="AV1172" i="1"/>
  <c r="AV1171" i="1"/>
  <c r="AV1170" i="1"/>
  <c r="AV1169" i="1"/>
  <c r="AV1168" i="1"/>
  <c r="AV1167" i="1"/>
  <c r="AV1166" i="1"/>
  <c r="AV1165" i="1"/>
  <c r="AV1164" i="1"/>
  <c r="AV1163" i="1"/>
  <c r="AV1162" i="1"/>
  <c r="AV1161" i="1"/>
  <c r="AV1160" i="1"/>
  <c r="AV1159" i="1"/>
  <c r="AV1158" i="1"/>
  <c r="AV1157" i="1"/>
  <c r="AV1156" i="1"/>
  <c r="AV1155" i="1"/>
  <c r="AV1154" i="1"/>
  <c r="AV1153" i="1"/>
  <c r="AV1152" i="1"/>
  <c r="AV1151" i="1"/>
  <c r="AV1150" i="1"/>
  <c r="AV1149" i="1"/>
  <c r="AV1148" i="1"/>
  <c r="AV1147" i="1"/>
  <c r="AV1146" i="1"/>
  <c r="AV1145" i="1"/>
  <c r="AV1144" i="1"/>
  <c r="AV1143" i="1"/>
  <c r="AV1142" i="1"/>
  <c r="AV1141" i="1"/>
  <c r="AV1140" i="1"/>
  <c r="AV1139" i="1"/>
  <c r="AV1138" i="1"/>
  <c r="AV1137" i="1"/>
  <c r="AV1136" i="1"/>
  <c r="AV1135" i="1"/>
  <c r="AV1134" i="1"/>
  <c r="AV1133" i="1"/>
  <c r="AV1132" i="1"/>
  <c r="AV1131" i="1"/>
  <c r="AV1130" i="1"/>
  <c r="AV1129" i="1"/>
  <c r="AV1128" i="1"/>
  <c r="AV1125" i="1"/>
  <c r="AV1124" i="1"/>
  <c r="AV1123" i="1"/>
  <c r="AV1122" i="1"/>
  <c r="AV1121" i="1"/>
  <c r="AV1120" i="1"/>
  <c r="AV1119" i="1"/>
  <c r="AV1118" i="1"/>
  <c r="AV1117" i="1"/>
  <c r="AV1116" i="1"/>
  <c r="AV1115" i="1"/>
  <c r="AV1114" i="1"/>
  <c r="AV1113" i="1"/>
  <c r="AV1112" i="1"/>
  <c r="AV1111" i="1"/>
  <c r="AV1110" i="1"/>
  <c r="AV1109" i="1"/>
  <c r="AV1108" i="1"/>
  <c r="AV1107" i="1"/>
  <c r="AV1106" i="1"/>
  <c r="AV1105" i="1"/>
  <c r="AV1104" i="1"/>
  <c r="AV1103" i="1"/>
  <c r="AV1102" i="1"/>
  <c r="AV1101" i="1"/>
  <c r="AV1100" i="1"/>
  <c r="AV1099" i="1"/>
  <c r="AV1098" i="1"/>
  <c r="AV1097" i="1"/>
  <c r="AV1096" i="1"/>
  <c r="AV1095" i="1"/>
  <c r="AV1094" i="1"/>
  <c r="AV1093" i="1"/>
  <c r="AV1092" i="1"/>
  <c r="AV1091" i="1"/>
  <c r="AV1090" i="1"/>
  <c r="AV1089" i="1"/>
  <c r="AV1088" i="1"/>
  <c r="AV1087" i="1"/>
  <c r="AV1086" i="1"/>
  <c r="AV1085" i="1"/>
  <c r="AV1084" i="1"/>
  <c r="AV1083" i="1"/>
  <c r="AV1082" i="1"/>
  <c r="AV1081" i="1"/>
  <c r="AV1080" i="1"/>
  <c r="AV1079" i="1"/>
  <c r="AV1078" i="1"/>
  <c r="AV1077" i="1"/>
  <c r="AV1076" i="1"/>
  <c r="AV1075" i="1"/>
  <c r="AV1074" i="1"/>
  <c r="AV1073" i="1"/>
  <c r="AV1072" i="1"/>
  <c r="AV1071" i="1"/>
  <c r="AV1070" i="1"/>
  <c r="AV1069" i="1"/>
  <c r="AV1068" i="1"/>
  <c r="AV1067" i="1"/>
  <c r="AV1066" i="1"/>
  <c r="AV1065" i="1"/>
  <c r="AV1064" i="1"/>
  <c r="AV1063" i="1"/>
  <c r="AV1062" i="1"/>
  <c r="AV1061" i="1"/>
  <c r="AV1060" i="1"/>
  <c r="AV1059" i="1"/>
  <c r="AV1058" i="1"/>
  <c r="AV1057" i="1"/>
  <c r="AV1056" i="1"/>
  <c r="AV1055" i="1"/>
  <c r="AV1054" i="1"/>
  <c r="AV1053" i="1"/>
  <c r="AV1052" i="1"/>
  <c r="AV1051" i="1"/>
  <c r="AV1050" i="1"/>
  <c r="AV1049" i="1"/>
  <c r="AV1046" i="1"/>
  <c r="AV1045" i="1"/>
  <c r="AV1044" i="1"/>
  <c r="AV1043" i="1"/>
  <c r="AV1042" i="1"/>
  <c r="AV1041" i="1"/>
  <c r="AV1040" i="1"/>
  <c r="AV1039" i="1"/>
  <c r="AV1038" i="1"/>
  <c r="AV1037" i="1"/>
  <c r="AV1036" i="1"/>
  <c r="AV1035" i="1"/>
  <c r="AV1034" i="1"/>
  <c r="AV1033" i="1"/>
  <c r="AV1032" i="1"/>
  <c r="AV1031" i="1"/>
  <c r="AV1030" i="1"/>
  <c r="AV1029" i="1"/>
  <c r="AV1028" i="1"/>
  <c r="AV1027" i="1"/>
  <c r="AV1026" i="1"/>
  <c r="AV1025" i="1"/>
  <c r="AV1024" i="1"/>
  <c r="AV1023" i="1"/>
  <c r="AV1022" i="1"/>
  <c r="AV1021" i="1"/>
  <c r="AV1020" i="1"/>
  <c r="AV1019" i="1"/>
  <c r="AV1018" i="1"/>
  <c r="AV1017" i="1"/>
  <c r="AV1016" i="1"/>
  <c r="AV1015" i="1"/>
  <c r="AV1014" i="1"/>
  <c r="AV1013" i="1"/>
  <c r="AV1012" i="1"/>
  <c r="AV1011" i="1"/>
  <c r="AV1010" i="1"/>
  <c r="AV1009" i="1"/>
  <c r="AV1008" i="1"/>
  <c r="AV1007" i="1"/>
  <c r="AV1006" i="1"/>
  <c r="AV1005" i="1"/>
  <c r="AV1004" i="1"/>
  <c r="AV1003" i="1"/>
  <c r="AV1002" i="1"/>
  <c r="AV999" i="1"/>
  <c r="AV998" i="1"/>
  <c r="AV997" i="1"/>
  <c r="AV996" i="1"/>
  <c r="AV995" i="1"/>
  <c r="AV994" i="1"/>
  <c r="AV993" i="1"/>
  <c r="AV992" i="1"/>
  <c r="AV991" i="1"/>
  <c r="AV990" i="1"/>
  <c r="AV989" i="1"/>
  <c r="AV988" i="1"/>
  <c r="AV987" i="1"/>
  <c r="AV986" i="1"/>
  <c r="AV985" i="1"/>
  <c r="AV984" i="1"/>
  <c r="AV983" i="1"/>
  <c r="AV982" i="1"/>
  <c r="AV981" i="1"/>
  <c r="AV980" i="1"/>
  <c r="AV979" i="1"/>
  <c r="AV978" i="1"/>
  <c r="AV977" i="1"/>
  <c r="AV976" i="1"/>
  <c r="AV975" i="1"/>
  <c r="AV974" i="1"/>
  <c r="AV973" i="1"/>
  <c r="AV972" i="1"/>
  <c r="AV971" i="1"/>
  <c r="AV970" i="1"/>
  <c r="AV969" i="1"/>
  <c r="AV968" i="1"/>
  <c r="AV967" i="1"/>
  <c r="AV966" i="1"/>
  <c r="AV965" i="1"/>
  <c r="AV964" i="1"/>
  <c r="AV963" i="1"/>
  <c r="AV962" i="1"/>
  <c r="AV961" i="1"/>
  <c r="AV960" i="1"/>
  <c r="AV959" i="1"/>
  <c r="AV958" i="1"/>
  <c r="AV957" i="1"/>
  <c r="AV956" i="1"/>
  <c r="AV955" i="1"/>
  <c r="AV954" i="1"/>
  <c r="AV953" i="1"/>
  <c r="AV952" i="1"/>
  <c r="AV949" i="1"/>
  <c r="AV948" i="1"/>
  <c r="AV947" i="1"/>
  <c r="AV946" i="1"/>
  <c r="AV945" i="1"/>
  <c r="AV944" i="1"/>
  <c r="AV943" i="1"/>
  <c r="AV942" i="1"/>
  <c r="AV941" i="1"/>
  <c r="AV940" i="1"/>
  <c r="AV939" i="1"/>
  <c r="AV938" i="1"/>
  <c r="AV937" i="1"/>
  <c r="AV936" i="1"/>
  <c r="AV935" i="1"/>
  <c r="AV934" i="1"/>
  <c r="AV933" i="1"/>
  <c r="AV932" i="1"/>
  <c r="AV931" i="1"/>
  <c r="AV930" i="1"/>
  <c r="AV929" i="1"/>
  <c r="AV928" i="1"/>
  <c r="AV927" i="1"/>
  <c r="AV926" i="1"/>
  <c r="AV925" i="1"/>
  <c r="AV924" i="1"/>
  <c r="AV923" i="1"/>
  <c r="AV922" i="1"/>
  <c r="AV921" i="1"/>
  <c r="AV920" i="1"/>
  <c r="AV919" i="1"/>
  <c r="AV918" i="1"/>
  <c r="AV917" i="1"/>
  <c r="AV916" i="1"/>
  <c r="AV915" i="1"/>
  <c r="AV914" i="1"/>
  <c r="AV913" i="1"/>
  <c r="AV912" i="1"/>
  <c r="AV911" i="1"/>
  <c r="AV910" i="1"/>
  <c r="AV909" i="1"/>
  <c r="AV908" i="1"/>
  <c r="AV907" i="1"/>
  <c r="AV906" i="1"/>
  <c r="AV905" i="1"/>
  <c r="AV904" i="1"/>
  <c r="AV903" i="1"/>
  <c r="AV902" i="1"/>
  <c r="AV901" i="1"/>
  <c r="AV900" i="1"/>
  <c r="AV899" i="1"/>
  <c r="AV898" i="1"/>
  <c r="AV897" i="1"/>
  <c r="AV896" i="1"/>
  <c r="AV895" i="1"/>
  <c r="AV894" i="1"/>
  <c r="AV893" i="1"/>
  <c r="AV892" i="1"/>
  <c r="AV891" i="1"/>
  <c r="AV890" i="1"/>
  <c r="AV889" i="1"/>
  <c r="AV888" i="1"/>
  <c r="AV887" i="1"/>
  <c r="AV886" i="1"/>
  <c r="AV885" i="1"/>
  <c r="AV884" i="1"/>
  <c r="AV883" i="1"/>
  <c r="AV882" i="1"/>
  <c r="AV881" i="1"/>
  <c r="AV880" i="1"/>
  <c r="AV879" i="1"/>
  <c r="AV878" i="1"/>
  <c r="AV877" i="1"/>
  <c r="AV876" i="1"/>
  <c r="AV875" i="1"/>
  <c r="AV874" i="1"/>
  <c r="AV871" i="1"/>
  <c r="AV870" i="1"/>
  <c r="AV869" i="1"/>
  <c r="AV868" i="1"/>
  <c r="AV867" i="1"/>
  <c r="AV866" i="1"/>
  <c r="AV865" i="1"/>
  <c r="AV864" i="1"/>
  <c r="AV863" i="1"/>
  <c r="AV862" i="1"/>
  <c r="AV861" i="1"/>
  <c r="AV860" i="1"/>
  <c r="AV859" i="1"/>
  <c r="AV858" i="1"/>
  <c r="AV857" i="1"/>
  <c r="AV856" i="1"/>
  <c r="AV855" i="1"/>
  <c r="AV854" i="1"/>
  <c r="AV853" i="1"/>
  <c r="AV852" i="1"/>
  <c r="AV851" i="1"/>
  <c r="AV850" i="1"/>
  <c r="AV849" i="1"/>
  <c r="AV848" i="1"/>
  <c r="AV847" i="1"/>
  <c r="AV846" i="1"/>
  <c r="AV845" i="1"/>
  <c r="AV844" i="1"/>
  <c r="AV843" i="1"/>
  <c r="AV842" i="1"/>
  <c r="AV841" i="1"/>
  <c r="AV840" i="1"/>
  <c r="AV839" i="1"/>
  <c r="AV838" i="1"/>
  <c r="AV837" i="1"/>
  <c r="AV836" i="1"/>
  <c r="AV835" i="1"/>
  <c r="AV834" i="1"/>
  <c r="AV833" i="1"/>
  <c r="AV832" i="1"/>
  <c r="AV831" i="1"/>
  <c r="AV830" i="1"/>
  <c r="AV829" i="1"/>
  <c r="AV828" i="1"/>
  <c r="AV827" i="1"/>
  <c r="AV826" i="1"/>
  <c r="AV825" i="1"/>
  <c r="AV824" i="1"/>
  <c r="AV823" i="1"/>
  <c r="AV822" i="1"/>
  <c r="AV821" i="1"/>
  <c r="AV820" i="1"/>
  <c r="AV819" i="1"/>
  <c r="AV818" i="1"/>
  <c r="AV817" i="1"/>
  <c r="AV816" i="1"/>
  <c r="AV815" i="1"/>
  <c r="AV814" i="1"/>
  <c r="AV813" i="1"/>
  <c r="AV812" i="1"/>
  <c r="AV811" i="1"/>
  <c r="AV810" i="1"/>
  <c r="AV809" i="1"/>
  <c r="AV808" i="1"/>
  <c r="AV807" i="1"/>
  <c r="AV806" i="1"/>
  <c r="AV805" i="1"/>
  <c r="AV804" i="1"/>
  <c r="AV803" i="1"/>
  <c r="AV802" i="1"/>
  <c r="AV801" i="1"/>
  <c r="AV800" i="1"/>
  <c r="AV799" i="1"/>
  <c r="AV798" i="1"/>
  <c r="AV797" i="1"/>
  <c r="AV796" i="1"/>
  <c r="AV795" i="1"/>
  <c r="AV794" i="1"/>
  <c r="AV793" i="1"/>
  <c r="AV792" i="1"/>
  <c r="AV791" i="1"/>
  <c r="AV790" i="1"/>
  <c r="AV789" i="1"/>
  <c r="AV788" i="1"/>
  <c r="AV787" i="1"/>
  <c r="AV786" i="1"/>
  <c r="AV785" i="1"/>
  <c r="AV784" i="1"/>
  <c r="AV783" i="1"/>
  <c r="AV782" i="1"/>
  <c r="AV781" i="1"/>
  <c r="AV780" i="1"/>
  <c r="AV779" i="1"/>
  <c r="AV778" i="1"/>
  <c r="AV777" i="1"/>
  <c r="AV774" i="1"/>
  <c r="AV773" i="1"/>
  <c r="AV772" i="1"/>
  <c r="AV771" i="1"/>
  <c r="AV770" i="1"/>
  <c r="AV769" i="1"/>
  <c r="AV768" i="1"/>
  <c r="AV767" i="1"/>
  <c r="AV766" i="1"/>
  <c r="AV765" i="1"/>
  <c r="AV764" i="1"/>
  <c r="AV763" i="1"/>
  <c r="AV762" i="1"/>
  <c r="AV761" i="1"/>
  <c r="AV760" i="1"/>
  <c r="AV759" i="1"/>
  <c r="AV758" i="1"/>
  <c r="AV757" i="1"/>
  <c r="AV756" i="1"/>
  <c r="AV755" i="1"/>
  <c r="AV754" i="1"/>
  <c r="AV753" i="1"/>
  <c r="AV752" i="1"/>
  <c r="AV751" i="1"/>
  <c r="AV750" i="1"/>
  <c r="AV749" i="1"/>
  <c r="AV748" i="1"/>
  <c r="AV747" i="1"/>
  <c r="AV746" i="1"/>
  <c r="AV745" i="1"/>
  <c r="AV744" i="1"/>
  <c r="AV743" i="1"/>
  <c r="AV742" i="1"/>
  <c r="AV741" i="1"/>
  <c r="AV740" i="1"/>
  <c r="AV739" i="1"/>
  <c r="AV738" i="1"/>
  <c r="AV737" i="1"/>
  <c r="AV736" i="1"/>
  <c r="AV735" i="1"/>
  <c r="AV734" i="1"/>
  <c r="AV733" i="1"/>
  <c r="AV732" i="1"/>
  <c r="AV731" i="1"/>
  <c r="AV730" i="1"/>
  <c r="AV729" i="1"/>
  <c r="AV728" i="1"/>
  <c r="AV727" i="1"/>
  <c r="AV726" i="1"/>
  <c r="AV725" i="1"/>
  <c r="AV724" i="1"/>
  <c r="AV723" i="1"/>
  <c r="AV722" i="1"/>
  <c r="AV721" i="1"/>
  <c r="AV720" i="1"/>
  <c r="AV719" i="1"/>
  <c r="AV718" i="1"/>
  <c r="AV717" i="1"/>
  <c r="AV716" i="1"/>
  <c r="AV715" i="1"/>
  <c r="AV714" i="1"/>
  <c r="AV711" i="1"/>
  <c r="AV710" i="1"/>
  <c r="AV709" i="1"/>
  <c r="AV708" i="1"/>
  <c r="AV707" i="1"/>
  <c r="AV706" i="1"/>
  <c r="AV705" i="1"/>
  <c r="AV704" i="1"/>
  <c r="AV703" i="1"/>
  <c r="AV702" i="1"/>
  <c r="AV701" i="1"/>
  <c r="AV700" i="1"/>
  <c r="AV699" i="1"/>
  <c r="AV698" i="1"/>
  <c r="AV697" i="1"/>
  <c r="AV696" i="1"/>
  <c r="AV695" i="1"/>
  <c r="AV694" i="1"/>
  <c r="AV693" i="1"/>
  <c r="AV692" i="1"/>
  <c r="AV691" i="1"/>
  <c r="AV690" i="1"/>
  <c r="AV689" i="1"/>
  <c r="AV688" i="1"/>
  <c r="AV687" i="1"/>
  <c r="AV686" i="1"/>
  <c r="AV685" i="1"/>
  <c r="AV684" i="1"/>
  <c r="AV683" i="1"/>
  <c r="AV682" i="1"/>
  <c r="AV681" i="1"/>
  <c r="AV680" i="1"/>
  <c r="AV679" i="1"/>
  <c r="AV678" i="1"/>
  <c r="AV675" i="1"/>
  <c r="AV674" i="1"/>
  <c r="AV673" i="1"/>
  <c r="AV672" i="1"/>
  <c r="AV671" i="1"/>
  <c r="AV670" i="1"/>
  <c r="AV669" i="1"/>
  <c r="AV668" i="1"/>
  <c r="AV667" i="1"/>
  <c r="AV666" i="1"/>
  <c r="AV665" i="1"/>
  <c r="AV664" i="1"/>
  <c r="AV663" i="1"/>
  <c r="AV662" i="1"/>
  <c r="AV661" i="1"/>
  <c r="AV660" i="1"/>
  <c r="AV659" i="1"/>
  <c r="AV658" i="1"/>
  <c r="AV657" i="1"/>
  <c r="AV656" i="1"/>
  <c r="AV655" i="1"/>
  <c r="AV654" i="1"/>
  <c r="AV653" i="1"/>
  <c r="AV652" i="1"/>
  <c r="AV651" i="1"/>
  <c r="AV650" i="1"/>
  <c r="AV649" i="1"/>
  <c r="AV648" i="1"/>
  <c r="AV647" i="1"/>
  <c r="AV646" i="1"/>
  <c r="AV645" i="1"/>
  <c r="AV644" i="1"/>
  <c r="AV643" i="1"/>
  <c r="AV642" i="1"/>
  <c r="AV641" i="1"/>
  <c r="AV640" i="1"/>
  <c r="AV639" i="1"/>
  <c r="AV638" i="1"/>
  <c r="AV637" i="1"/>
  <c r="AV636" i="1"/>
  <c r="AV635" i="1"/>
  <c r="AV634" i="1"/>
  <c r="AV633" i="1"/>
  <c r="AV632" i="1"/>
  <c r="AV631" i="1"/>
  <c r="AV630" i="1"/>
  <c r="AV629" i="1"/>
  <c r="AV628" i="1"/>
  <c r="AV627" i="1"/>
  <c r="AV626" i="1"/>
  <c r="AV625" i="1"/>
  <c r="AV624" i="1"/>
  <c r="AV623" i="1"/>
  <c r="AV622" i="1"/>
  <c r="AV621" i="1"/>
  <c r="AV620" i="1"/>
  <c r="AV619" i="1"/>
  <c r="AV618" i="1"/>
  <c r="AV615" i="1"/>
  <c r="AV614" i="1"/>
  <c r="AV613" i="1"/>
  <c r="AV612" i="1"/>
  <c r="AV611" i="1"/>
  <c r="AV610" i="1"/>
  <c r="AV609" i="1"/>
  <c r="AV608" i="1"/>
  <c r="AV607" i="1"/>
  <c r="AV606" i="1"/>
  <c r="AV605" i="1"/>
  <c r="AV604" i="1"/>
  <c r="AV603" i="1"/>
  <c r="AV602" i="1"/>
  <c r="AV601" i="1"/>
  <c r="AV600" i="1"/>
  <c r="AV599" i="1"/>
  <c r="AV598" i="1"/>
  <c r="AV597" i="1"/>
  <c r="AV596" i="1"/>
  <c r="AV595" i="1"/>
  <c r="AV594" i="1"/>
  <c r="AV593" i="1"/>
  <c r="AV592" i="1"/>
  <c r="AV591" i="1"/>
  <c r="AV590" i="1"/>
  <c r="AV589" i="1"/>
  <c r="AV588" i="1"/>
  <c r="AV587" i="1"/>
  <c r="AV586" i="1"/>
  <c r="AV585" i="1"/>
  <c r="AV584" i="1"/>
  <c r="AV583" i="1"/>
  <c r="AV582" i="1"/>
  <c r="AV581" i="1"/>
  <c r="AV578" i="1"/>
  <c r="AV577" i="1"/>
  <c r="AV576" i="1"/>
  <c r="AV575" i="1"/>
  <c r="AV574" i="1"/>
  <c r="AV573" i="1"/>
  <c r="AV572" i="1"/>
  <c r="AV571" i="1"/>
  <c r="AV570" i="1"/>
  <c r="AV569" i="1"/>
  <c r="AV568" i="1"/>
  <c r="AV567" i="1"/>
  <c r="AV566" i="1"/>
  <c r="AV565" i="1"/>
  <c r="AV564" i="1"/>
  <c r="AV563" i="1"/>
  <c r="AV562" i="1"/>
  <c r="AV561" i="1"/>
  <c r="AV560" i="1"/>
  <c r="AV559" i="1"/>
  <c r="AV558" i="1"/>
  <c r="AV557" i="1"/>
  <c r="AV556" i="1"/>
  <c r="AV555" i="1"/>
  <c r="AV554" i="1"/>
  <c r="AV553" i="1"/>
  <c r="AV552" i="1"/>
  <c r="AV551" i="1"/>
  <c r="AV550" i="1"/>
  <c r="AV549" i="1"/>
  <c r="AV546" i="1"/>
  <c r="AV545" i="1"/>
  <c r="AV544" i="1"/>
  <c r="AV543" i="1"/>
  <c r="AV542" i="1"/>
  <c r="AV541" i="1"/>
  <c r="AV540" i="1"/>
  <c r="AV539" i="1"/>
  <c r="AV535" i="1"/>
  <c r="AV534" i="1"/>
  <c r="AV533" i="1"/>
  <c r="AV532" i="1"/>
  <c r="AV531" i="1"/>
  <c r="AV530" i="1"/>
  <c r="AV529" i="1"/>
  <c r="AV528" i="1"/>
  <c r="AV527" i="1"/>
  <c r="AV526" i="1"/>
  <c r="AV525" i="1"/>
  <c r="AV524" i="1"/>
  <c r="AV523" i="1"/>
  <c r="AV522" i="1"/>
  <c r="AV521" i="1"/>
  <c r="AV520" i="1"/>
  <c r="AV519" i="1"/>
  <c r="AV518" i="1"/>
  <c r="AV517" i="1"/>
  <c r="AV516" i="1"/>
  <c r="AV515" i="1"/>
  <c r="AV514" i="1"/>
  <c r="AV513" i="1"/>
  <c r="AV512" i="1"/>
  <c r="AV509" i="1"/>
  <c r="AV508" i="1"/>
  <c r="AV507" i="1"/>
  <c r="AV506" i="1"/>
  <c r="AV505" i="1"/>
  <c r="AV504" i="1"/>
  <c r="AV503" i="1"/>
  <c r="AV502" i="1"/>
  <c r="AV501" i="1"/>
  <c r="AV500" i="1"/>
  <c r="AV499" i="1"/>
  <c r="AV498" i="1"/>
  <c r="AV497" i="1"/>
  <c r="AV496" i="1"/>
  <c r="AV495" i="1"/>
  <c r="AV494" i="1"/>
  <c r="AV493" i="1"/>
  <c r="AV492" i="1"/>
  <c r="AV491" i="1"/>
  <c r="AV490" i="1"/>
  <c r="AV489" i="1"/>
  <c r="AV488" i="1"/>
  <c r="AV487" i="1"/>
  <c r="AV486" i="1"/>
  <c r="AV485" i="1"/>
  <c r="AV484" i="1"/>
  <c r="AV483" i="1"/>
  <c r="AV482" i="1"/>
  <c r="AV481" i="1"/>
  <c r="AV480" i="1"/>
  <c r="AV479" i="1"/>
  <c r="AV478" i="1"/>
  <c r="AV477" i="1"/>
  <c r="AV476" i="1"/>
  <c r="AV475" i="1"/>
  <c r="AV474" i="1"/>
  <c r="AV473" i="1"/>
  <c r="AV472" i="1"/>
  <c r="AV471" i="1"/>
  <c r="AV470" i="1"/>
  <c r="AV469" i="1"/>
  <c r="AV468" i="1"/>
  <c r="AV467" i="1"/>
  <c r="AV466" i="1"/>
  <c r="AV465" i="1"/>
  <c r="AV464" i="1"/>
  <c r="AV463" i="1"/>
  <c r="AV462" i="1"/>
  <c r="AV461" i="1"/>
  <c r="AV460" i="1"/>
  <c r="AV459" i="1"/>
  <c r="AV458" i="1"/>
  <c r="AV457" i="1"/>
  <c r="AV456" i="1"/>
  <c r="AV455" i="1"/>
  <c r="AV454" i="1"/>
  <c r="AV453" i="1"/>
  <c r="AV452" i="1"/>
  <c r="AV451" i="1"/>
  <c r="AV450" i="1"/>
  <c r="AV449" i="1"/>
  <c r="AV448" i="1"/>
  <c r="AV447" i="1"/>
  <c r="AV446" i="1"/>
  <c r="AV445" i="1"/>
  <c r="AV444" i="1"/>
  <c r="AV443" i="1"/>
  <c r="AV442" i="1"/>
  <c r="AV441" i="1"/>
  <c r="AV440" i="1"/>
  <c r="AV439" i="1"/>
  <c r="AV438" i="1"/>
  <c r="AV437" i="1"/>
  <c r="AV436" i="1"/>
  <c r="AV435" i="1"/>
  <c r="AV434" i="1"/>
  <c r="AV433" i="1"/>
  <c r="AV432" i="1"/>
  <c r="AV429" i="1"/>
  <c r="AV428" i="1"/>
  <c r="AV427" i="1"/>
  <c r="AV426" i="1"/>
  <c r="AV425" i="1"/>
  <c r="AV424" i="1"/>
  <c r="AV423" i="1"/>
  <c r="AV422" i="1"/>
  <c r="AV421" i="1"/>
  <c r="AV420" i="1"/>
  <c r="AV419" i="1"/>
  <c r="AV418" i="1"/>
  <c r="AV417" i="1"/>
  <c r="AV416" i="1"/>
  <c r="AV415" i="1"/>
  <c r="AV414" i="1"/>
  <c r="AV413" i="1"/>
  <c r="AV412" i="1"/>
  <c r="AV411" i="1"/>
  <c r="AV410" i="1"/>
  <c r="AV409" i="1"/>
  <c r="AV408" i="1"/>
  <c r="AV407" i="1"/>
  <c r="AV406" i="1"/>
  <c r="AV405" i="1"/>
  <c r="AV404" i="1"/>
  <c r="AV403" i="1"/>
  <c r="AV402" i="1"/>
  <c r="AV401" i="1"/>
  <c r="AV400" i="1"/>
  <c r="AV399" i="1"/>
  <c r="AV398" i="1"/>
  <c r="AV397" i="1"/>
  <c r="AV396" i="1"/>
  <c r="AV395" i="1"/>
  <c r="AV394" i="1"/>
  <c r="AV393" i="1"/>
  <c r="AV392" i="1"/>
  <c r="AV391" i="1"/>
  <c r="AV390" i="1"/>
  <c r="AV389" i="1"/>
  <c r="AV388" i="1"/>
  <c r="AV387" i="1"/>
  <c r="AV386" i="1"/>
  <c r="AV385" i="1"/>
  <c r="AV384" i="1"/>
  <c r="AV383" i="1"/>
  <c r="AV382" i="1"/>
  <c r="AV381" i="1"/>
  <c r="AV380" i="1"/>
  <c r="AV379" i="1"/>
  <c r="AV378" i="1"/>
  <c r="AV377" i="1"/>
  <c r="AV376" i="1"/>
  <c r="AV375" i="1"/>
  <c r="AV374" i="1"/>
  <c r="AV373" i="1"/>
  <c r="AV372" i="1"/>
  <c r="AV371" i="1"/>
  <c r="AV370" i="1"/>
  <c r="AV369" i="1"/>
  <c r="AV368" i="1"/>
  <c r="AV367" i="1"/>
  <c r="AV366" i="1"/>
  <c r="AV365" i="1"/>
  <c r="AV364" i="1"/>
  <c r="AV363" i="1"/>
  <c r="AV362" i="1"/>
  <c r="AV361" i="1"/>
  <c r="AV360" i="1"/>
  <c r="AV359" i="1"/>
  <c r="AV358" i="1"/>
  <c r="AV357" i="1"/>
  <c r="AV356" i="1"/>
  <c r="AV355" i="1"/>
  <c r="AV354" i="1"/>
  <c r="AV353" i="1"/>
  <c r="AV352" i="1"/>
  <c r="AV351" i="1"/>
  <c r="AV350" i="1"/>
  <c r="AV349" i="1"/>
  <c r="AV348" i="1"/>
  <c r="AV347" i="1"/>
  <c r="AV344" i="1"/>
  <c r="AV343" i="1"/>
  <c r="AV342" i="1"/>
  <c r="AV341" i="1"/>
  <c r="AV340" i="1"/>
  <c r="AV339" i="1"/>
  <c r="AV338" i="1"/>
  <c r="AV337" i="1"/>
  <c r="AV336" i="1"/>
  <c r="AV335" i="1"/>
  <c r="AV334" i="1"/>
  <c r="AV333" i="1"/>
  <c r="AV332" i="1"/>
  <c r="AV331" i="1"/>
  <c r="AV330" i="1"/>
  <c r="AV329" i="1"/>
  <c r="AV328" i="1"/>
  <c r="AV327" i="1"/>
  <c r="AV326" i="1"/>
  <c r="AV325" i="1"/>
  <c r="AV324" i="1"/>
  <c r="AV323" i="1"/>
  <c r="AV322" i="1"/>
  <c r="AV321" i="1"/>
  <c r="AV320" i="1"/>
  <c r="AV319" i="1"/>
  <c r="AV318" i="1"/>
  <c r="AV317" i="1"/>
  <c r="AV316" i="1"/>
  <c r="AV315" i="1"/>
  <c r="AV314" i="1"/>
  <c r="AV313" i="1"/>
  <c r="AV312" i="1"/>
  <c r="AV311" i="1"/>
  <c r="AV310" i="1"/>
  <c r="AV309" i="1"/>
  <c r="AV308" i="1"/>
  <c r="AV307" i="1"/>
  <c r="AV306" i="1"/>
  <c r="AV305" i="1"/>
  <c r="AV304" i="1"/>
  <c r="AV303" i="1"/>
  <c r="AV302" i="1"/>
  <c r="AV301" i="1"/>
  <c r="AV300" i="1"/>
  <c r="AV299" i="1"/>
  <c r="AV298" i="1"/>
  <c r="AV297" i="1"/>
  <c r="AV296" i="1"/>
  <c r="AV295" i="1"/>
  <c r="AV294" i="1"/>
  <c r="AV293" i="1"/>
  <c r="AV292" i="1"/>
  <c r="AV291" i="1"/>
  <c r="AV290" i="1"/>
  <c r="AV289" i="1"/>
  <c r="AV288" i="1"/>
  <c r="AV287" i="1"/>
  <c r="AV286" i="1"/>
  <c r="AV285" i="1"/>
  <c r="AV284" i="1"/>
  <c r="AV283" i="1"/>
  <c r="AV282" i="1"/>
  <c r="AV281" i="1"/>
  <c r="AV280" i="1"/>
  <c r="AV279" i="1"/>
  <c r="AV278" i="1"/>
  <c r="AV277" i="1"/>
  <c r="AV276" i="1"/>
  <c r="AV275" i="1"/>
  <c r="AV274" i="1"/>
  <c r="AV273" i="1"/>
  <c r="AV272" i="1"/>
  <c r="AV271" i="1"/>
  <c r="AV270" i="1"/>
  <c r="AV269" i="1"/>
  <c r="AV268" i="1"/>
  <c r="AV267" i="1"/>
  <c r="AV266" i="1"/>
  <c r="AV265" i="1"/>
  <c r="AV264" i="1"/>
  <c r="AV263" i="1"/>
  <c r="AV260" i="1"/>
  <c r="AV259" i="1"/>
  <c r="AV258" i="1"/>
  <c r="AV257" i="1"/>
  <c r="AV256" i="1"/>
  <c r="AV255" i="1"/>
  <c r="AV254" i="1"/>
  <c r="AV253" i="1"/>
  <c r="AV252" i="1"/>
  <c r="AV251" i="1"/>
  <c r="AV250" i="1"/>
  <c r="AV249" i="1"/>
  <c r="AV248" i="1"/>
  <c r="AV247" i="1"/>
  <c r="AV246" i="1"/>
  <c r="AV245" i="1"/>
  <c r="AV244" i="1"/>
  <c r="AV243" i="1"/>
  <c r="AV242" i="1"/>
  <c r="AV241" i="1"/>
  <c r="AV240" i="1"/>
  <c r="AV239" i="1"/>
  <c r="AV238" i="1"/>
  <c r="AV237" i="1"/>
  <c r="AV236" i="1"/>
  <c r="AV235" i="1"/>
  <c r="AV234" i="1"/>
  <c r="AV233" i="1"/>
  <c r="AV232" i="1"/>
  <c r="AV231" i="1"/>
  <c r="AV230" i="1"/>
  <c r="AV229" i="1"/>
  <c r="AV228" i="1"/>
  <c r="AV227" i="1"/>
  <c r="AV226" i="1"/>
  <c r="AV225" i="1"/>
  <c r="AV224" i="1"/>
  <c r="AV223" i="1"/>
  <c r="AV222" i="1"/>
  <c r="AV221" i="1"/>
  <c r="AV220" i="1"/>
  <c r="AV219" i="1"/>
  <c r="AV218" i="1"/>
  <c r="AV217" i="1"/>
  <c r="AV216" i="1"/>
  <c r="AV215" i="1"/>
  <c r="AV214" i="1"/>
  <c r="AV213" i="1"/>
  <c r="AV212" i="1"/>
  <c r="AV211" i="1"/>
  <c r="AV210" i="1"/>
  <c r="AV209" i="1"/>
  <c r="AV208" i="1"/>
  <c r="AV207" i="1"/>
  <c r="AV206" i="1"/>
  <c r="AV205" i="1"/>
  <c r="AV204" i="1"/>
  <c r="AV203" i="1"/>
  <c r="AV202" i="1"/>
  <c r="AV201" i="1"/>
  <c r="AV200" i="1"/>
  <c r="AV199" i="1"/>
  <c r="AV198" i="1"/>
  <c r="AV197" i="1"/>
  <c r="AV196" i="1"/>
  <c r="AV195" i="1"/>
  <c r="AV194" i="1"/>
  <c r="AV193" i="1"/>
  <c r="AV192" i="1"/>
  <c r="AV191" i="1"/>
  <c r="AV190" i="1"/>
  <c r="AV189" i="1"/>
  <c r="AV188" i="1"/>
  <c r="AV187" i="1"/>
  <c r="AV186" i="1"/>
  <c r="AV185" i="1"/>
  <c r="AV184" i="1"/>
  <c r="AV183" i="1"/>
  <c r="AV182" i="1"/>
  <c r="AV181" i="1"/>
  <c r="AV180" i="1"/>
  <c r="AV179" i="1"/>
  <c r="AV178" i="1"/>
  <c r="AV177" i="1"/>
  <c r="AV176" i="1"/>
  <c r="AV175" i="1"/>
  <c r="AV174" i="1"/>
  <c r="AV173" i="1"/>
  <c r="AV172" i="1"/>
  <c r="AV171" i="1"/>
  <c r="AV170" i="1"/>
  <c r="AV169" i="1"/>
  <c r="AV168" i="1"/>
  <c r="AV163" i="1"/>
  <c r="AV162" i="1"/>
  <c r="AV161" i="1"/>
  <c r="AV160" i="1"/>
  <c r="AV159" i="1"/>
  <c r="AV158" i="1"/>
  <c r="AV157" i="1"/>
  <c r="AV156" i="1"/>
  <c r="AV155" i="1"/>
  <c r="AV154" i="1"/>
  <c r="AV153" i="1"/>
  <c r="AV150" i="1"/>
  <c r="AV149" i="1"/>
  <c r="AV148" i="1"/>
  <c r="AV147" i="1"/>
  <c r="AV146" i="1"/>
  <c r="AV145" i="1"/>
  <c r="AV144" i="1"/>
  <c r="AV143" i="1"/>
  <c r="AV142" i="1"/>
  <c r="AV141" i="1"/>
  <c r="AV140" i="1"/>
  <c r="AV137" i="1"/>
  <c r="AV136" i="1"/>
  <c r="AV135" i="1"/>
  <c r="AV134" i="1"/>
  <c r="AV133" i="1"/>
  <c r="AV132" i="1"/>
  <c r="AV131" i="1"/>
  <c r="AV130" i="1"/>
  <c r="AV129" i="1"/>
  <c r="AV128" i="1"/>
  <c r="AV127" i="1"/>
  <c r="AV126" i="1"/>
  <c r="AV125" i="1"/>
  <c r="AV124" i="1"/>
  <c r="AV123" i="1"/>
  <c r="AV122" i="1"/>
  <c r="AV121" i="1"/>
  <c r="AV120" i="1"/>
  <c r="AV117" i="1"/>
  <c r="AV116" i="1"/>
  <c r="AV115" i="1"/>
  <c r="AV114" i="1"/>
  <c r="AV113" i="1"/>
  <c r="AV112" i="1"/>
  <c r="AV111" i="1"/>
  <c r="AV110" i="1"/>
  <c r="AV109" i="1"/>
  <c r="AV108" i="1"/>
  <c r="AV107" i="1"/>
  <c r="AV106" i="1"/>
  <c r="AV103" i="1"/>
  <c r="AV102" i="1"/>
  <c r="AV101" i="1"/>
  <c r="AV100" i="1"/>
  <c r="AV99" i="1"/>
  <c r="AV98" i="1"/>
  <c r="AV97" i="1"/>
  <c r="AV96" i="1"/>
  <c r="AV95" i="1"/>
  <c r="AV94" i="1"/>
  <c r="AV93" i="1"/>
  <c r="AV92" i="1"/>
  <c r="AV91" i="1"/>
  <c r="AV90" i="1"/>
  <c r="AV89" i="1"/>
  <c r="AV88" i="1"/>
  <c r="AV87" i="1"/>
  <c r="AV85" i="1"/>
  <c r="AV84" i="1"/>
  <c r="AV81" i="1"/>
  <c r="AV80" i="1"/>
  <c r="AV79" i="1"/>
  <c r="AV78" i="1"/>
  <c r="AV77" i="1"/>
  <c r="AV76" i="1"/>
  <c r="AV75" i="1"/>
  <c r="AV74" i="1"/>
  <c r="AV73" i="1"/>
  <c r="AV72" i="1"/>
  <c r="AV71" i="1"/>
  <c r="AV70" i="1"/>
  <c r="AV69" i="1"/>
  <c r="AV68" i="1"/>
  <c r="AV67" i="1"/>
  <c r="AV66" i="1"/>
  <c r="AV65" i="1"/>
  <c r="AV64" i="1"/>
  <c r="AV63" i="1"/>
  <c r="AV62" i="1"/>
  <c r="AV61" i="1"/>
  <c r="AV60" i="1"/>
  <c r="AV59" i="1"/>
  <c r="AV58" i="1"/>
  <c r="AV57" i="1"/>
  <c r="AV56" i="1"/>
  <c r="AV55" i="1"/>
  <c r="AV54" i="1"/>
  <c r="AV53" i="1"/>
  <c r="AV52" i="1"/>
  <c r="AV51" i="1"/>
  <c r="AV50" i="1"/>
  <c r="AV49" i="1"/>
  <c r="AV48" i="1"/>
  <c r="AV47" i="1"/>
  <c r="AV46" i="1"/>
  <c r="AV45" i="1"/>
  <c r="AV44" i="1"/>
  <c r="AV43" i="1"/>
  <c r="AV42" i="1"/>
  <c r="AV41" i="1"/>
  <c r="AV40" i="1"/>
  <c r="AV39" i="1"/>
  <c r="AV38" i="1"/>
  <c r="AV37" i="1"/>
  <c r="AV36" i="1"/>
  <c r="AV35" i="1"/>
  <c r="AV34" i="1"/>
  <c r="AV33" i="1"/>
  <c r="AV32" i="1"/>
  <c r="AV31" i="1"/>
  <c r="AV30" i="1"/>
  <c r="AV29" i="1"/>
  <c r="AV28" i="1"/>
  <c r="AV27" i="1"/>
  <c r="AV26" i="1"/>
  <c r="AV25" i="1"/>
  <c r="AV24" i="1"/>
  <c r="AV23" i="1"/>
  <c r="AV22" i="1"/>
  <c r="AV21" i="1"/>
  <c r="AV20" i="1"/>
  <c r="AV19" i="1"/>
  <c r="AV18" i="1"/>
  <c r="AV17" i="1"/>
  <c r="AV16" i="1"/>
  <c r="AV15" i="1"/>
  <c r="AV14" i="1"/>
  <c r="AV13" i="1"/>
  <c r="AV12" i="1"/>
  <c r="AV11" i="1"/>
  <c r="AV10" i="1"/>
  <c r="AV9" i="1"/>
  <c r="AV8" i="1"/>
  <c r="AV7" i="1"/>
  <c r="AV6" i="1"/>
  <c r="AV5" i="1"/>
  <c r="AV4" i="1"/>
  <c r="AV3" i="1"/>
  <c r="A4668" i="1"/>
  <c r="A4654" i="1"/>
  <c r="B3887" i="5" s="1"/>
  <c r="A4653" i="1"/>
  <c r="B3886" i="5" s="1"/>
  <c r="A4652" i="1"/>
  <c r="G447" i="1"/>
  <c r="E447" i="1"/>
  <c r="C447" i="1"/>
  <c r="D428" i="5" s="1"/>
  <c r="D1466" i="1"/>
  <c r="G3477" i="1"/>
  <c r="C3477" i="1"/>
  <c r="D2862" i="5" s="1"/>
  <c r="G3388" i="1"/>
  <c r="C3388" i="1"/>
  <c r="D2773" i="5" s="1"/>
  <c r="C3357" i="1"/>
  <c r="D2742" i="5" s="1"/>
  <c r="G3268" i="1"/>
  <c r="C3268" i="1"/>
  <c r="D2655" i="5" s="1"/>
  <c r="G3165" i="1"/>
  <c r="C3165" i="1"/>
  <c r="D2556" i="5" s="1"/>
  <c r="G3061" i="1"/>
  <c r="C3061" i="1"/>
  <c r="D2458" i="5" s="1"/>
  <c r="G3007" i="1"/>
  <c r="E3007" i="1"/>
  <c r="C3007" i="1"/>
  <c r="D2408" i="5" s="1"/>
  <c r="G2966" i="1"/>
  <c r="C2966" i="1"/>
  <c r="D2369" i="5" s="1"/>
  <c r="G2901" i="1"/>
  <c r="C2901" i="1"/>
  <c r="D2310" i="5" s="1"/>
  <c r="G2776" i="1"/>
  <c r="C2776" i="1"/>
  <c r="D2189" i="5" s="1"/>
  <c r="G2121" i="1"/>
  <c r="C2121" i="1"/>
  <c r="D2048" i="5" s="1"/>
  <c r="G2070" i="1"/>
  <c r="C2070" i="1"/>
  <c r="D1999" i="5" s="1"/>
  <c r="G2047" i="1"/>
  <c r="C2047" i="1"/>
  <c r="D1978" i="5" s="1"/>
  <c r="G2020" i="1"/>
  <c r="C2020" i="1"/>
  <c r="D1951" i="5" s="1"/>
  <c r="G1993" i="1"/>
  <c r="C1993" i="1"/>
  <c r="D1926" i="5" s="1"/>
  <c r="G1880" i="1"/>
  <c r="E1880" i="1"/>
  <c r="C1880" i="1"/>
  <c r="D1817" i="5" s="1"/>
  <c r="G1847" i="1"/>
  <c r="E1847" i="1"/>
  <c r="C1847" i="1"/>
  <c r="D1784" i="5" s="1"/>
  <c r="G1828" i="1"/>
  <c r="C1828" i="1"/>
  <c r="D1765" i="5" s="1"/>
  <c r="G1810" i="1"/>
  <c r="C1810" i="1"/>
  <c r="D1747" i="5" s="1"/>
  <c r="G1785" i="1"/>
  <c r="C1785" i="1"/>
  <c r="D1724" i="5" s="1"/>
  <c r="G1769" i="1"/>
  <c r="C1769" i="1"/>
  <c r="D1708" i="5" s="1"/>
  <c r="G1718" i="1"/>
  <c r="E1718" i="1"/>
  <c r="C1718" i="1"/>
  <c r="D1659" i="5" s="1"/>
  <c r="G1691" i="1"/>
  <c r="C1691" i="1"/>
  <c r="D1636" i="5" s="1"/>
  <c r="G1603" i="1"/>
  <c r="C1603" i="1"/>
  <c r="D1554" i="5" s="1"/>
  <c r="G1536" i="1"/>
  <c r="C1536" i="1"/>
  <c r="D1489" i="5" s="1"/>
  <c r="G1425" i="1"/>
  <c r="C1425" i="1"/>
  <c r="D1380" i="5" s="1"/>
  <c r="G1383" i="1"/>
  <c r="C1383" i="1"/>
  <c r="D1338" i="5" s="1"/>
  <c r="G1366" i="1"/>
  <c r="C1366" i="1"/>
  <c r="D1321" i="5" s="1"/>
  <c r="G1327" i="1"/>
  <c r="C1327" i="1"/>
  <c r="D1282" i="5" s="1"/>
  <c r="G1237" i="1"/>
  <c r="C1237" i="1"/>
  <c r="D1192" i="5" s="1"/>
  <c r="G1165" i="1"/>
  <c r="C1165" i="1"/>
  <c r="D1120" i="5" s="1"/>
  <c r="G1142" i="1"/>
  <c r="C1142" i="1"/>
  <c r="D1097" i="5" s="1"/>
  <c r="G1070" i="1"/>
  <c r="C1070" i="1"/>
  <c r="D1027" i="5" s="1"/>
  <c r="G1018" i="1"/>
  <c r="C1018" i="1"/>
  <c r="D977" i="5" s="1"/>
  <c r="G966" i="1"/>
  <c r="E966" i="1"/>
  <c r="C966" i="1"/>
  <c r="D927" i="5" s="1"/>
  <c r="G935" i="1"/>
  <c r="E935" i="1"/>
  <c r="C935" i="1"/>
  <c r="D898" i="5" s="1"/>
  <c r="G852" i="1"/>
  <c r="E852" i="1"/>
  <c r="C852" i="1"/>
  <c r="D817" i="5" s="1"/>
  <c r="G827" i="1"/>
  <c r="E827" i="1"/>
  <c r="C827" i="1"/>
  <c r="D792" i="5" s="1"/>
  <c r="G789" i="1"/>
  <c r="E789" i="1"/>
  <c r="C789" i="1"/>
  <c r="D754" i="5" s="1"/>
  <c r="G762" i="1"/>
  <c r="C762" i="1"/>
  <c r="D729" i="5" s="1"/>
  <c r="G728" i="1"/>
  <c r="C728" i="1"/>
  <c r="D695" i="5" s="1"/>
  <c r="G691" i="1"/>
  <c r="C691" i="1"/>
  <c r="D660" i="5" s="1"/>
  <c r="G660" i="1"/>
  <c r="C660" i="1"/>
  <c r="D631" i="5" s="1"/>
  <c r="G631" i="1"/>
  <c r="C631" i="1"/>
  <c r="D602" i="5" s="1"/>
  <c r="G596" i="1"/>
  <c r="E596" i="1"/>
  <c r="C596" i="1"/>
  <c r="D569" i="5" s="1"/>
  <c r="G524" i="1"/>
  <c r="C524" i="1"/>
  <c r="D503" i="5" s="1"/>
  <c r="G494" i="1"/>
  <c r="C494" i="1"/>
  <c r="D475" i="5" s="1"/>
  <c r="G362" i="1"/>
  <c r="C362" i="1"/>
  <c r="D345" i="5" s="1"/>
  <c r="G323" i="1"/>
  <c r="C323" i="1"/>
  <c r="D308" i="5" s="1"/>
  <c r="G289" i="1"/>
  <c r="C289" i="1"/>
  <c r="D274" i="5" s="1"/>
  <c r="G184" i="1"/>
  <c r="C184" i="1"/>
  <c r="D171" i="5" s="1"/>
  <c r="G48" i="1"/>
  <c r="C48" i="1"/>
  <c r="D48" i="5" s="1"/>
  <c r="G14" i="1"/>
  <c r="C14" i="1"/>
  <c r="D14" i="5" s="1"/>
  <c r="AV4652" i="1" l="1"/>
  <c r="B3885" i="5"/>
  <c r="AV4653" i="1"/>
  <c r="AV4654" i="1"/>
  <c r="AV4668" i="1"/>
  <c r="B390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V2006" authorId="0" shapeId="0" xr:uid="{DB4CC37D-D240-7049-B94B-6430362C566D}">
      <text>
        <r>
          <rPr>
            <b/>
            <sz val="10"/>
            <color rgb="FF000000"/>
            <rFont val="Tahoma"/>
            <family val="2"/>
          </rPr>
          <t>Microsoft Office User:</t>
        </r>
        <r>
          <rPr>
            <sz val="10"/>
            <color rgb="FF000000"/>
            <rFont val="Tahoma"/>
            <family val="2"/>
          </rPr>
          <t xml:space="preserve">
</t>
        </r>
      </text>
    </comment>
  </commentList>
</comments>
</file>

<file path=xl/sharedStrings.xml><?xml version="1.0" encoding="utf-8"?>
<sst xmlns="http://schemas.openxmlformats.org/spreadsheetml/2006/main" count="35870" uniqueCount="6012">
  <si>
    <t>Table 9: O-PAS Profile Map for the Redfish Bios Resource</t>
  </si>
  <si>
    <t>Profile</t>
  </si>
  <si>
    <t>OSM-Redfish</t>
  </si>
  <si>
    <t>OSM-RedfishBMC</t>
  </si>
  <si>
    <t>Property</t>
  </si>
  <si>
    <t>Description</t>
  </si>
  <si>
    <t>Read</t>
  </si>
  <si>
    <t>Write</t>
  </si>
  <si>
    <t>Actions</t>
  </si>
  <si>
    <t>The available actions for this resource.</t>
  </si>
  <si>
    <t>M</t>
  </si>
  <si>
    <t xml:space="preserve">   #Bios.ChangePassword</t>
  </si>
  <si>
    <t>This action is used to change the BIOS passwords.</t>
  </si>
  <si>
    <t>R</t>
  </si>
  <si>
    <t xml:space="preserve">   #Bios.ResetBios</t>
  </si>
  <si>
    <t>This action is used to reset the BIOS attributes to default.</t>
  </si>
  <si>
    <t>AttributeRegistry</t>
  </si>
  <si>
    <t>The Resource ID of the AttributeRegistry that has the system-specific information about a BIOS resource.</t>
  </si>
  <si>
    <t>Attributes</t>
  </si>
  <si>
    <t>The list of BIOS attributes specific to the manufacturer or provider.</t>
  </si>
  <si>
    <t>Bios URIs</t>
  </si>
  <si>
    <t>/redfish/v1/Systems/{ComputerSystemId}/Bios</t>
  </si>
  <si>
    <t>The BootOption resource represents the properties of a bootable device available in the system.</t>
  </si>
  <si>
    <t>BootOption is not used in O-PAS system management profiles.</t>
  </si>
  <si>
    <t>Table 10: O-PAS Profile Map for the Redfish ComputerSystem Resource</t>
  </si>
  <si>
    <t>ComputerSystem (1.5.1)</t>
  </si>
  <si>
    <t xml:space="preserve">   #ComputerSystem.Reset</t>
  </si>
  <si>
    <t>This action is used to reset the system.</t>
  </si>
  <si>
    <t xml:space="preserve">   #ComputerSystem.SetDefaultBootOrder</t>
  </si>
  <si>
    <t>This action is used to set the BootOrder to the default settings.</t>
  </si>
  <si>
    <t>AssetTag</t>
  </si>
  <si>
    <t>The user-definable tag that can be used to track this ComputerSystem for inventory or other client purposes.</t>
  </si>
  <si>
    <t>Bios</t>
  </si>
  <si>
    <t xml:space="preserve">   @odata.id</t>
  </si>
  <si>
    <t>A link to a BIOS resource.</t>
  </si>
  <si>
    <t>BiosVersion</t>
  </si>
  <si>
    <t>The version of the system BIOS or primary system firmware.</t>
  </si>
  <si>
    <t>I</t>
  </si>
  <si>
    <t>Boot</t>
  </si>
  <si>
    <t>Information about the boot settings for this system.</t>
  </si>
  <si>
    <t xml:space="preserve">   BootNext</t>
  </si>
  <si>
    <t>This property is the BootOptionReference of the BootOption to perform a one-time boot from when BootSourceOverrideTarget is UefiBootNext.</t>
  </si>
  <si>
    <t xml:space="preserve">   BootOptions</t>
  </si>
  <si>
    <t xml:space="preserve">      @odata.id</t>
  </si>
  <si>
    <t>A link to the collection of BootOptions.</t>
  </si>
  <si>
    <t xml:space="preserve">   BootOrder</t>
  </si>
  <si>
    <t>Ordered array of BootOptionReference strings representing the persistent boot order associated with this ComputerSystem.</t>
  </si>
  <si>
    <t xml:space="preserve">   BootSourceOverrideEnabled</t>
  </si>
  <si>
    <t>Describes the state of the BootSourceOverride resource.</t>
  </si>
  <si>
    <t xml:space="preserve">   BootSourceOverrideMode</t>
  </si>
  <si>
    <t>The BIOS boot mode (either legacy or UEFI) to be used when BootSourceOverrideTarget boot source is booted from.</t>
  </si>
  <si>
    <t xml:space="preserve">   BootSourceOverrideTarget</t>
  </si>
  <si>
    <t>The current boot source to be used at next boot instead of the normal boot device, if BootSourceOverrideEnabled is true.</t>
  </si>
  <si>
    <t xml:space="preserve">   UefiTargetBootSourceOverride</t>
  </si>
  <si>
    <t>This property is the UEFI device path of the device to boot from when BootSourceOverrideTarget is UefiTarget.</t>
  </si>
  <si>
    <t>EthernetInterfaces</t>
  </si>
  <si>
    <t>A link to the collection of EthernetInterfaces.</t>
  </si>
  <si>
    <t>HostedServices</t>
  </si>
  <si>
    <t>The services that this ComputerSystem supports.</t>
  </si>
  <si>
    <t xml:space="preserve">   Oem</t>
  </si>
  <si>
    <t>Optional OEM proprietary extension.</t>
  </si>
  <si>
    <t xml:space="preserve">   StorageServices</t>
  </si>
  <si>
    <t>HostingRoles</t>
  </si>
  <si>
    <t>HostName</t>
  </si>
  <si>
    <t>The DNS host name, without any domain information.</t>
  </si>
  <si>
    <t>HostWatchdogTimer</t>
  </si>
  <si>
    <t>This object describes the HostWatchdogTimer functionality for this system.</t>
  </si>
  <si>
    <t xml:space="preserve">   FunctionEnabled</t>
  </si>
  <si>
    <t>Indicates if the HostWatchdogTimer functionality has been enabled. Additional host-based software is necessary to activate the timer function.</t>
  </si>
  <si>
    <t xml:space="preserve">   Status</t>
  </si>
  <si>
    <t xml:space="preserve">   TimeoutAction</t>
  </si>
  <si>
    <t>This property indicates the action to perform when the watchdog timer reaches its timeout value.</t>
  </si>
  <si>
    <t xml:space="preserve">   WarningAction</t>
  </si>
  <si>
    <t>This property indicates the action to perform when the watchdog timer is close (typically 3 to 10 seconds) to reaching its timeout value.</t>
  </si>
  <si>
    <t>IndicatorLED</t>
  </si>
  <si>
    <t>Links</t>
  </si>
  <si>
    <t>Contains references to other resources that are related to this resource.</t>
  </si>
  <si>
    <t xml:space="preserve">   Chassis</t>
  </si>
  <si>
    <t>An array of references to the chassis in which this system is contained.</t>
  </si>
  <si>
    <t>A link to a Chassis resource.</t>
  </si>
  <si>
    <t xml:space="preserve">   ConsumingComputerSystems</t>
  </si>
  <si>
    <t>An array of references to ComputerSystems that are realized, in whole or in part, from this ComputerSystem.</t>
  </si>
  <si>
    <t>A link to another ComputerSystem resource.</t>
  </si>
  <si>
    <t xml:space="preserve">   CooledBy</t>
  </si>
  <si>
    <t>The unique identifier for a resource.</t>
  </si>
  <si>
    <t xml:space="preserve">   Endpoints</t>
  </si>
  <si>
    <t>An array of references to the endpoints that connect to this system.</t>
  </si>
  <si>
    <t>A link to an Endpoints resource.</t>
  </si>
  <si>
    <t xml:space="preserve">   ManagedBy</t>
  </si>
  <si>
    <t>An array of references to the managers responsible for this system.</t>
  </si>
  <si>
    <t>A link to a Manager resource.</t>
  </si>
  <si>
    <t xml:space="preserve">   PoweredBy</t>
  </si>
  <si>
    <t xml:space="preserve">   ResourceBlocks</t>
  </si>
  <si>
    <t>An array of references to the ResourceBlocks that are used in this ComputerSystem.</t>
  </si>
  <si>
    <t>A link to a ResourceBlock resource.</t>
  </si>
  <si>
    <t xml:space="preserve">   SupplyingComputerSystems</t>
  </si>
  <si>
    <t>An array of references to ComputerSystems that contribute, in whole or in part, to the implementation of this ComputerSystem.</t>
  </si>
  <si>
    <t>LogServices</t>
  </si>
  <si>
    <t>A link to the collection of LogServices.</t>
  </si>
  <si>
    <t>Manufacturer</t>
  </si>
  <si>
    <t>The manufacturer or OEM of this system.</t>
  </si>
  <si>
    <t>Memory</t>
  </si>
  <si>
    <t>A reference to the collection of memory associated with this system.</t>
  </si>
  <si>
    <t>A link to the collection of Memory.</t>
  </si>
  <si>
    <t>MemoryDomains</t>
  </si>
  <si>
    <t>A link to the collection of MemoryDomains.</t>
  </si>
  <si>
    <t>MemorySummary</t>
  </si>
  <si>
    <t>This object describes the central memory of the system in general detail.</t>
  </si>
  <si>
    <t xml:space="preserve">   MemoryMirroring</t>
  </si>
  <si>
    <t>The ability and type of memory mirroring supported by this system.</t>
  </si>
  <si>
    <t xml:space="preserve">   TotalSystemMemoryGiB</t>
  </si>
  <si>
    <t>The total configured OS-accessible memory (RAM), measured in GiB.</t>
  </si>
  <si>
    <t xml:space="preserve">   TotalSystemPersistentMemoryGiB</t>
  </si>
  <si>
    <t>The total configured, system-accessible persistent memory measured in GiB.</t>
  </si>
  <si>
    <t>Model</t>
  </si>
  <si>
    <t>The product name for this system, without the manufacturer name.</t>
  </si>
  <si>
    <t>NetworkInterfaces</t>
  </si>
  <si>
    <t>A link to the collection of NetworkInterfaces.</t>
  </si>
  <si>
    <t>PCIeDevices</t>
  </si>
  <si>
    <t>A link to a PCIeDevices resource.</t>
  </si>
  <si>
    <t>PCIeFunctions</t>
  </si>
  <si>
    <t>A link to a PCIeFunction resource.</t>
  </si>
  <si>
    <t>PowerState</t>
  </si>
  <si>
    <t>The current power state of the system.</t>
  </si>
  <si>
    <t>ProcessorSummary</t>
  </si>
  <si>
    <t>This object describes the central processors of the system in general detail.</t>
  </si>
  <si>
    <t xml:space="preserve">   Count</t>
  </si>
  <si>
    <t>The number of physical processors in the system.</t>
  </si>
  <si>
    <t xml:space="preserve">   LogicalProcessorCount</t>
  </si>
  <si>
    <t>The number of logical processors in the system.</t>
  </si>
  <si>
    <t xml:space="preserve">   Model</t>
  </si>
  <si>
    <t>The processor model for the primary or majority of processors in this system.</t>
  </si>
  <si>
    <t>Processors</t>
  </si>
  <si>
    <t>A reference to the collection of processors associated with this system.</t>
  </si>
  <si>
    <t>A link to the collection of Processors.</t>
  </si>
  <si>
    <t>Redundancy</t>
  </si>
  <si>
    <t>SKU</t>
  </si>
  <si>
    <t>The manufacturer Stock Keeping Unit (SKU) for this system.</t>
  </si>
  <si>
    <t>SecureBoot</t>
  </si>
  <si>
    <t>A link to a SecureBoot resource.</t>
  </si>
  <si>
    <t>SerialNumber</t>
  </si>
  <si>
    <t>The serial number for this system.</t>
  </si>
  <si>
    <t>SimpleStorage</t>
  </si>
  <si>
    <t>A reference to the collection of storage devices associated with this system.</t>
  </si>
  <si>
    <t>A link to the collection of SimpleStorage.</t>
  </si>
  <si>
    <t>Status</t>
  </si>
  <si>
    <t>Storage</t>
  </si>
  <si>
    <t>A link to the collection of Storage.</t>
  </si>
  <si>
    <t>SubModel</t>
  </si>
  <si>
    <t>The sub-model for this system.</t>
  </si>
  <si>
    <t>SystemType</t>
  </si>
  <si>
    <t>The type of ComputerSystem represented by this resource.</t>
  </si>
  <si>
    <t>TrustedModules</t>
  </si>
  <si>
    <t xml:space="preserve">   FirmwareVersion</t>
  </si>
  <si>
    <t>The firmware version of this trusted module.</t>
  </si>
  <si>
    <t xml:space="preserve">   FirmwareVersion2</t>
  </si>
  <si>
    <t>The second firmware version of this trusted module, if applicable.</t>
  </si>
  <si>
    <t xml:space="preserve">   InterfaceType</t>
  </si>
  <si>
    <t>This property indicates the interface type of the trusted module.</t>
  </si>
  <si>
    <t xml:space="preserve">   InterfaceTypeSelection</t>
  </si>
  <si>
    <t>The interface type selection supported by this trusted module.</t>
  </si>
  <si>
    <t>UUID</t>
  </si>
  <si>
    <t>The Universal Unique Identifier (UUID) for this system.</t>
  </si>
  <si>
    <t>ComputerSystem URIs</t>
  </si>
  <si>
    <t>/redfish/v1/Systems/{ComputerSystemId}</t>
  </si>
  <si>
    <t>The Endpoint resource represents the properties of an entity that sends or receives protocol defined messages over a transport.</t>
  </si>
  <si>
    <t>Table 11: O-PAS Profile Map for the Redfish Memory Resource</t>
  </si>
  <si>
    <t>Memory (1.6.0)</t>
  </si>
  <si>
    <t xml:space="preserve">   #Memory.DisablePassphrase</t>
  </si>
  <si>
    <t>Disable passphrase for given regions.</t>
  </si>
  <si>
    <t xml:space="preserve">   #Memory.SecureEraseUnit</t>
  </si>
  <si>
    <t>This defines the action for securely erasing given regions.</t>
  </si>
  <si>
    <t xml:space="preserve">   #Memory.SetPassphrase</t>
  </si>
  <si>
    <t>Set passphrase for the given regions.</t>
  </si>
  <si>
    <t xml:space="preserve">   #Memory.UnlockUnit</t>
  </si>
  <si>
    <t>This defines the action for unlocking given regions.</t>
  </si>
  <si>
    <t>AllocationAlignmentMiB</t>
  </si>
  <si>
    <t>AllocationIncrementMiB</t>
  </si>
  <si>
    <t>The size of the smallest unit of allocation for a Memory region, MiB.</t>
  </si>
  <si>
    <t>AllowedSpeedsMHz</t>
  </si>
  <si>
    <t>Speed bins supported by this Memory.</t>
  </si>
  <si>
    <t>Assembly</t>
  </si>
  <si>
    <t>A reference to the Assembly resource associated with this Memory.</t>
  </si>
  <si>
    <t>A link to an Assembly resource.</t>
  </si>
  <si>
    <t>BaseModuleType</t>
  </si>
  <si>
    <t>The base module type of Memory.</t>
  </si>
  <si>
    <t>BusWidthBits</t>
  </si>
  <si>
    <t>Bus width in bits.</t>
  </si>
  <si>
    <t>CacheSizeMiB</t>
  </si>
  <si>
    <t>Total size of the cache portion Memory in MiB.</t>
  </si>
  <si>
    <t>CapacityMiB</t>
  </si>
  <si>
    <t>Memory capacity, MiB.</t>
  </si>
  <si>
    <t>DataWidthBits</t>
  </si>
  <si>
    <t>Data width in bits.</t>
  </si>
  <si>
    <t>DeviceLocator</t>
  </si>
  <si>
    <t>ErrorCorrection</t>
  </si>
  <si>
    <t>Error correction scheme supported for this Memory.</t>
  </si>
  <si>
    <t>FirmwareApiVersion</t>
  </si>
  <si>
    <t>Version of API supported by the firmware.</t>
  </si>
  <si>
    <t>FirmwareRevision</t>
  </si>
  <si>
    <t>Revision of firmware on the Memory controller.</t>
  </si>
  <si>
    <t>FunctionClasses</t>
  </si>
  <si>
    <t>Function classes by the Memory.</t>
  </si>
  <si>
    <t>IsRankSpareEnabled</t>
  </si>
  <si>
    <t>Rank spare enabled status.</t>
  </si>
  <si>
    <t>IsSpareDeviceEnabled</t>
  </si>
  <si>
    <t>Spare device enabled status.</t>
  </si>
  <si>
    <t>A reference to the chassis which contains this Memory.</t>
  </si>
  <si>
    <t>Location</t>
  </si>
  <si>
    <t>LogicalSizeMiB</t>
  </si>
  <si>
    <t>Total size of the logical Memory, MiB.</t>
  </si>
  <si>
    <t>The Memory manufacturer.</t>
  </si>
  <si>
    <t>MaxTDPMilliWatts</t>
  </si>
  <si>
    <t>MemoryDeviceType</t>
  </si>
  <si>
    <t>Type details of the Memory.</t>
  </si>
  <si>
    <t>MemoryLocation</t>
  </si>
  <si>
    <t>Memory connection information to sockets and Memory controllers.</t>
  </si>
  <si>
    <t xml:space="preserve">   Channel</t>
  </si>
  <si>
    <t>Channel number in which Memory is connected.</t>
  </si>
  <si>
    <t xml:space="preserve">   MemoryController</t>
  </si>
  <si>
    <t>Memory controller number in which Memory is connected.</t>
  </si>
  <si>
    <t xml:space="preserve">   Slot</t>
  </si>
  <si>
    <t>Slot number in which Memory is connected.</t>
  </si>
  <si>
    <t xml:space="preserve">   Socket</t>
  </si>
  <si>
    <t>Socket number in which Memory is connected.</t>
  </si>
  <si>
    <t>MemoryMedia</t>
  </si>
  <si>
    <t>Media of this Memory.</t>
  </si>
  <si>
    <t>MemorySubsystemControllerManufacturerID</t>
  </si>
  <si>
    <t>MemorySubsystemControllerProductID</t>
  </si>
  <si>
    <t>MemoryType</t>
  </si>
  <si>
    <t>The type of Memory.</t>
  </si>
  <si>
    <t>Metrics</t>
  </si>
  <si>
    <t>A reference to the metrics associated with this Memory.</t>
  </si>
  <si>
    <t>A link to a MemoryMetrics resource.</t>
  </si>
  <si>
    <t>ModuleManufacturerID</t>
  </si>
  <si>
    <t>The manufacturer ID of this Memory module.</t>
  </si>
  <si>
    <t>ModuleProductID</t>
  </si>
  <si>
    <t>The product ID of this Memory module.</t>
  </si>
  <si>
    <t>NonVolatileSizeMiB</t>
  </si>
  <si>
    <t>Total size of the non-volatile portion Memory, MiB.</t>
  </si>
  <si>
    <t>OperatingMemoryModes</t>
  </si>
  <si>
    <t>Memory modes supported by the Memory.</t>
  </si>
  <si>
    <t>OperatingSpeedMhz</t>
  </si>
  <si>
    <t>Operating speed of Memory in MHz or MT/s as appropriate.</t>
  </si>
  <si>
    <t>PartNumber</t>
  </si>
  <si>
    <t>The product part number of this device.</t>
  </si>
  <si>
    <t>PersistentRegionNumberLimit</t>
  </si>
  <si>
    <t>Total number of persistent regions this Memory can support.</t>
  </si>
  <si>
    <t>PersistentRegionSizeLimitMiB</t>
  </si>
  <si>
    <t>Total size of persistent regions, MiB.</t>
  </si>
  <si>
    <t>PersistentRegionSizeMaxMiB</t>
  </si>
  <si>
    <t>Maximum size of a single persistent region, MiB.</t>
  </si>
  <si>
    <t>PowerManagementPolicy</t>
  </si>
  <si>
    <t>Power management policy information.</t>
  </si>
  <si>
    <t xml:space="preserve">   AveragePowerBudgetMilliWatts</t>
  </si>
  <si>
    <t xml:space="preserve">   MaxTDPMilliWatts</t>
  </si>
  <si>
    <t xml:space="preserve">   PeakPowerBudgetMilliWatts</t>
  </si>
  <si>
    <t xml:space="preserve">   PolicyEnabled</t>
  </si>
  <si>
    <t>Power management policy enabled status.</t>
  </si>
  <si>
    <t>RankCount</t>
  </si>
  <si>
    <t>Number of ranks available in the Memory.</t>
  </si>
  <si>
    <t>Regions</t>
  </si>
  <si>
    <t>Memory regions information within the Memory.</t>
  </si>
  <si>
    <t xml:space="preserve">   MemoryClassification</t>
  </si>
  <si>
    <t>Classification of Memory occupied by the given Memory region.</t>
  </si>
  <si>
    <t xml:space="preserve">   OffsetMiB</t>
  </si>
  <si>
    <t>Offset within the Memory that corresponds to the starting of this Memory region, MiB.</t>
  </si>
  <si>
    <t xml:space="preserve">   PassphraseEnabled</t>
  </si>
  <si>
    <t>Indicates if the passphrase is enabled for this region.</t>
  </si>
  <si>
    <t xml:space="preserve">   PassphraseState</t>
  </si>
  <si>
    <t>State of the passphrase for this region.</t>
  </si>
  <si>
    <t xml:space="preserve">   RegionId</t>
  </si>
  <si>
    <t>Unique region ID representing a specific region within the Memory.</t>
  </si>
  <si>
    <t xml:space="preserve">   SizeMiB</t>
  </si>
  <si>
    <t>Size of this Memory region, MiB.</t>
  </si>
  <si>
    <t>SecurityCapabilities</t>
  </si>
  <si>
    <t>This object contains security capabilities of the Memory.</t>
  </si>
  <si>
    <t xml:space="preserve">   MaxPassphraseCount</t>
  </si>
  <si>
    <t>Maximum number of passphrases supported for this Memory.</t>
  </si>
  <si>
    <t xml:space="preserve">   PassphraseCapable</t>
  </si>
  <si>
    <t>Memory passphrase set capability.</t>
  </si>
  <si>
    <t xml:space="preserve">   SecurityStates</t>
  </si>
  <si>
    <t>Security states supported by the Memory.</t>
  </si>
  <si>
    <t>The product serial number of this device.</t>
  </si>
  <si>
    <t>SpareDeviceCount</t>
  </si>
  <si>
    <t>Number of unused spare devices available in the Memory.</t>
  </si>
  <si>
    <t>SubsystemVendorId</t>
  </si>
  <si>
    <t>VendorId</t>
  </si>
  <si>
    <t>Vendor ID.</t>
  </si>
  <si>
    <t>VolatileRegionNumberLimit</t>
  </si>
  <si>
    <t>Total number of volatile regions this Memory can support.</t>
  </si>
  <si>
    <t>VolatileRegionSizeLimitMiB</t>
  </si>
  <si>
    <t>Total size of volatile regions, MiB.</t>
  </si>
  <si>
    <t>VolatileRegionSizeMaxMiB</t>
  </si>
  <si>
    <t>Maximum size of a single volatile region, MiB.</t>
  </si>
  <si>
    <t>VolatileSizeMiB</t>
  </si>
  <si>
    <t>Total size of the volatile portion Memory, MiB.</t>
  </si>
  <si>
    <t>Memory URIs</t>
  </si>
  <si>
    <t>/redfish/v1/Systems/{ComputerSystemId}/Memory/{MemoryId}</t>
  </si>
  <si>
    <t>The MemoryChunks resource defines how memory is organized.</t>
  </si>
  <si>
    <t>MemoryChunks is not used in the O-PAS system management profiles.</t>
  </si>
  <si>
    <t>MemoryDomains are used to indicate to the client which Memory (DIMMs) can be grouped together in MemoryChunks to form interleave sets or otherwise grouped together.</t>
  </si>
  <si>
    <t>MemoryDomain is not used in the O-PAS system management profiles.</t>
  </si>
  <si>
    <t>Table 12: O-PAS Profile Map for the Redfish MemoryMetrics Resource</t>
  </si>
  <si>
    <t>MemoryMetrics (1.1.4)</t>
  </si>
  <si>
    <t xml:space="preserve">   #MemoryMetrics.ClearCurrentPeriod</t>
  </si>
  <si>
    <t>This sets the CurrentPeriod object values to zero.</t>
  </si>
  <si>
    <t>BlockSizeBytes</t>
  </si>
  <si>
    <t>Block size in bytes.</t>
  </si>
  <si>
    <t>CurrentPeriod</t>
  </si>
  <si>
    <t>This object contains the MemoryMetrics since last reset or ClearCurrentPeriod action.</t>
  </si>
  <si>
    <t xml:space="preserve">   BlocksRead</t>
  </si>
  <si>
    <t>Number of blocks read since reset.</t>
  </si>
  <si>
    <t xml:space="preserve">   BlocksWritten</t>
  </si>
  <si>
    <t>Number of blocks written since reset.</t>
  </si>
  <si>
    <t>HealthData</t>
  </si>
  <si>
    <t>This object describes the health information of the memory.</t>
  </si>
  <si>
    <t xml:space="preserve">   AlarmTrips</t>
  </si>
  <si>
    <t>Alarm trip information about the memory.</t>
  </si>
  <si>
    <t>Address parity error detected status.</t>
  </si>
  <si>
    <t>Correctable data error threshold crossing alarm trip detected status.</t>
  </si>
  <si>
    <t>Spare block capacity crossing alarm trip detected status.</t>
  </si>
  <si>
    <t>Temperature threshold crossing alarm trip detected status.</t>
  </si>
  <si>
    <t>Uncorrectable data error threshold crossing alarm trip detected status.</t>
  </si>
  <si>
    <t xml:space="preserve">   DataLossDetected</t>
  </si>
  <si>
    <t>Data loss detection status.</t>
  </si>
  <si>
    <t xml:space="preserve">   LastShutdownSuccess</t>
  </si>
  <si>
    <t>Status of last shutdown.</t>
  </si>
  <si>
    <t xml:space="preserve">   PerformanceDegraded</t>
  </si>
  <si>
    <t>Performance degraded mode status.</t>
  </si>
  <si>
    <t xml:space="preserve">   PredictedMediaLifeLeftPercent</t>
  </si>
  <si>
    <t>The percentage of reads and writes that are predicted to still be available for the media.</t>
  </si>
  <si>
    <t xml:space="preserve">   RemainingSpareBlockPercentage</t>
  </si>
  <si>
    <t>Remaining spare blocks in percentage.</t>
  </si>
  <si>
    <t>LifeTime</t>
  </si>
  <si>
    <t>This object contains the MemoryMetrics for the lifetime of the memory.</t>
  </si>
  <si>
    <t>Number of blocks read for the lifetime of the memory.</t>
  </si>
  <si>
    <t>Number of blocks written for the lifetime of the memory.</t>
  </si>
  <si>
    <t>MemoryMetrics URIs</t>
  </si>
  <si>
    <t>/redfish/v1/Systems/{ComputerSystemId}/Memory/{MemoryId}/MemoryMetrics</t>
  </si>
  <si>
    <t>Table 13: O-PAS Profile Map for the Redfish PCIeFunction Resource</t>
  </si>
  <si>
    <t>PCIeFunction (1.2.1)</t>
  </si>
  <si>
    <t>ClassCode</t>
  </si>
  <si>
    <t>The class code of this PCIeFunction.</t>
  </si>
  <si>
    <t>DeviceClass</t>
  </si>
  <si>
    <t>The class for this PCIeFunction.</t>
  </si>
  <si>
    <t>DeviceId</t>
  </si>
  <si>
    <t>The device ID of this PCIeFunction.</t>
  </si>
  <si>
    <t>FunctionId</t>
  </si>
  <si>
    <t>The PCIeFunction identifier.</t>
  </si>
  <si>
    <t>FunctionType</t>
  </si>
  <si>
    <t>The type of the PCIeFunction.</t>
  </si>
  <si>
    <t>The links object contains the links to other resources that are related to this resource.</t>
  </si>
  <si>
    <t xml:space="preserve">   Drives</t>
  </si>
  <si>
    <t>An array of references to the drives which the PCIeDevice produces.</t>
  </si>
  <si>
    <t>A link to a Drive resource.</t>
  </si>
  <si>
    <t xml:space="preserve">   EthernetInterfaces</t>
  </si>
  <si>
    <t>An array of references to the EthernetInterfaces which the PCIeDevice produces.</t>
  </si>
  <si>
    <t>A link to an EthernetInterface resource.</t>
  </si>
  <si>
    <t xml:space="preserve">   NetworkDeviceFunctions</t>
  </si>
  <si>
    <t>An array of references to the NetworkDeviceFunctions which the PCIeDevice produces.</t>
  </si>
  <si>
    <t>A link to a NetworkDeviceFunction resource.</t>
  </si>
  <si>
    <t xml:space="preserve">   PCIeDevice</t>
  </si>
  <si>
    <t>A reference to the PCIeDevice on which this function resides.</t>
  </si>
  <si>
    <t>A link to a PCIeDevice resource.</t>
  </si>
  <si>
    <t xml:space="preserve">   StorageControllers</t>
  </si>
  <si>
    <t>An array of references to the StorageControllers which the PCIeDevice produces.</t>
  </si>
  <si>
    <t>A link to a StorageController resource.</t>
  </si>
  <si>
    <t>RevisionId</t>
  </si>
  <si>
    <t>The revision ID of this PCIeFunction.</t>
  </si>
  <si>
    <t>SubsystemId</t>
  </si>
  <si>
    <t>The subsystem ID of this PCIeFunction.</t>
  </si>
  <si>
    <t>The subsystem vendor ID of this PCIeFunction.</t>
  </si>
  <si>
    <t>The vendor ID of this PCIeFunction.</t>
  </si>
  <si>
    <t>PCIeFunction URIs</t>
  </si>
  <si>
    <t>/redfish/v1/Chassis/{ChassisId}/PCIeDevices/{PCIeDeviceId}/PCIeFunctions/{PCIeFunctionId}</t>
  </si>
  <si>
    <t>/redfish/v1/Systems/{ComputerSystemId}/PCIeDevices/{PCIeDeviceId}/PCIeFunctions/{PCIeFunctionId}</t>
  </si>
  <si>
    <t>Table 14: O-PAS Profile Map for the Redfish Processor Resource</t>
  </si>
  <si>
    <t>Processor (1.3.1)</t>
  </si>
  <si>
    <t>A reference to the Assembly resource associated with this processor.</t>
  </si>
  <si>
    <t>InstructionSet</t>
  </si>
  <si>
    <t>The instruction set of the processor.</t>
  </si>
  <si>
    <t>A reference to the chassis which contains this Processor.</t>
  </si>
  <si>
    <t>The processor manufacturer.</t>
  </si>
  <si>
    <t>MaxSpeedMHz</t>
  </si>
  <si>
    <t>The maximum clock speed of the processor.</t>
  </si>
  <si>
    <t>The product model number of this device.</t>
  </si>
  <si>
    <t>ProcessorArchitecture</t>
  </si>
  <si>
    <t>The architecture of the processor.</t>
  </si>
  <si>
    <t>ProcessorId</t>
  </si>
  <si>
    <t>Identification information for this processor.</t>
  </si>
  <si>
    <t xml:space="preserve">   EffectiveFamily</t>
  </si>
  <si>
    <t>The effective family for this processor.</t>
  </si>
  <si>
    <t xml:space="preserve">   EffectiveModel</t>
  </si>
  <si>
    <t>The effective model for this processor.</t>
  </si>
  <si>
    <t xml:space="preserve">   IdentificationRegisters</t>
  </si>
  <si>
    <t>The contents of the identification registers (CPUID) for this processor.</t>
  </si>
  <si>
    <t xml:space="preserve">   MicrocodeInfo</t>
  </si>
  <si>
    <t>The microcode information for this processor.</t>
  </si>
  <si>
    <t xml:space="preserve">   Step</t>
  </si>
  <si>
    <t>The step value for this processor.</t>
  </si>
  <si>
    <t xml:space="preserve">   VendorId</t>
  </si>
  <si>
    <t>The vendor identification for this processor.</t>
  </si>
  <si>
    <t>ProcessorType</t>
  </si>
  <si>
    <t>The type of processor.</t>
  </si>
  <si>
    <t>Socket</t>
  </si>
  <si>
    <t>The socket or location of the processor.</t>
  </si>
  <si>
    <t>SubProcessors</t>
  </si>
  <si>
    <t>TotalCores</t>
  </si>
  <si>
    <t>The total number of cores contained in this Processor.</t>
  </si>
  <si>
    <t>TotalThreads</t>
  </si>
  <si>
    <t>The total number of execution threads supported by this Processor.</t>
  </si>
  <si>
    <t>Processor URIs</t>
  </si>
  <si>
    <t>/redfish/v1/Systems/{ComputerSystemId}/Processors/{ProcessorId}</t>
  </si>
  <si>
    <t>/redfish/v1/Systems/{ComputerSystemId}/Processors/{ProcessorId}/SubProcessors/{ProcessorId2}</t>
  </si>
  <si>
    <t>Table 15: O-PAS Profile Map for the Redfish SimpleStorage Resource</t>
  </si>
  <si>
    <t>SimpleStorage (1.2.1)</t>
  </si>
  <si>
    <t>Provides a description of this resource and is used for commonality in the schema definitions.</t>
  </si>
  <si>
    <t>Devices</t>
  </si>
  <si>
    <t>The storage devices associated with this resource.</t>
  </si>
  <si>
    <t xml:space="preserve">   CapacityBytes</t>
  </si>
  <si>
    <t>The size of the storage device.</t>
  </si>
  <si>
    <t xml:space="preserve">   Manufacturer</t>
  </si>
  <si>
    <t>The name of the manufacturer of this device.</t>
  </si>
  <si>
    <t xml:space="preserve">   Name</t>
  </si>
  <si>
    <t>The name of the resource or array element.</t>
  </si>
  <si>
    <t>A reference to the chassis which contains this SimpleStorage.</t>
  </si>
  <si>
    <t>UefiDevicePath</t>
  </si>
  <si>
    <t>The UEFI device path used to access this StorageController.</t>
  </si>
  <si>
    <t>SimpleStorage URIs</t>
  </si>
  <si>
    <t>/redfish/v1/Systems/{ComputerSystemId}/SimpleStorage/{SimpleStorageId}</t>
  </si>
  <si>
    <t>Table 16: O-PAS Profile Map for the Redfish Storage Resource</t>
  </si>
  <si>
    <t>Storage (1.5.0)</t>
  </si>
  <si>
    <t xml:space="preserve">   #Storage.SetEncryptionKey</t>
  </si>
  <si>
    <t>This action is used to set the encryption key for the Storage subsystem.</t>
  </si>
  <si>
    <t>Drives</t>
  </si>
  <si>
    <t>The set of drives attached to the StorageControllers represented by this resource.</t>
  </si>
  <si>
    <t xml:space="preserve">   Enclosures</t>
  </si>
  <si>
    <t>An array of references to the chassis to which this Storage subsystem is attached.</t>
  </si>
  <si>
    <t>Redundancy information for the Storage subsystem.</t>
  </si>
  <si>
    <t>StorageControllers</t>
  </si>
  <si>
    <t>The set of StorageControllers represented by this resource.</t>
  </si>
  <si>
    <t xml:space="preserve">   Actions</t>
  </si>
  <si>
    <t xml:space="preserve">   Assembly</t>
  </si>
  <si>
    <t>A reference to the Assembly resource associated with this StorageController.</t>
  </si>
  <si>
    <t xml:space="preserve">   AssetTag</t>
  </si>
  <si>
    <t>The user-assigned asset tag for this StorageController.</t>
  </si>
  <si>
    <t xml:space="preserve">   CacheSummary</t>
  </si>
  <si>
    <t>This object describes the cache memory of the StorageController in general detail.</t>
  </si>
  <si>
    <t>The portion of the cache memory that is persistent, MiB.</t>
  </si>
  <si>
    <t>This property describes the status and health of the resource and its children.</t>
  </si>
  <si>
    <t>The total configured cache memory, MiB.</t>
  </si>
  <si>
    <t>The firmware version of this StorageController.</t>
  </si>
  <si>
    <t xml:space="preserve">   Identifiers</t>
  </si>
  <si>
    <t>The DurableNames for the StorageController.</t>
  </si>
  <si>
    <t xml:space="preserve">   Links</t>
  </si>
  <si>
    <t>An array of references to the endpoints that connect to this controller.</t>
  </si>
  <si>
    <t>A link to an Endpoint resource.</t>
  </si>
  <si>
    <t>An array of references to the storage services that connect to this controller.</t>
  </si>
  <si>
    <t xml:space="preserve">   Location</t>
  </si>
  <si>
    <t>The manufacturer of this StorageController.</t>
  </si>
  <si>
    <t xml:space="preserve">   MemberId</t>
  </si>
  <si>
    <t>The identifier for the member within the collection.</t>
  </si>
  <si>
    <t>The model number for the StorageController.</t>
  </si>
  <si>
    <t>The name of the StorageController.</t>
  </si>
  <si>
    <t xml:space="preserve">   PartNumber</t>
  </si>
  <si>
    <t>The part number for this StorageController.</t>
  </si>
  <si>
    <t xml:space="preserve">   PCIeInterface</t>
  </si>
  <si>
    <t>The PCIe interface details for this controller. See the PCIeDevice schema for details on this property.</t>
  </si>
  <si>
    <t>A link to a PCIeInterface resource.</t>
  </si>
  <si>
    <t xml:space="preserve">   SKU</t>
  </si>
  <si>
    <t>The SKU for this StorageController.</t>
  </si>
  <si>
    <t xml:space="preserve">   SerialNumber</t>
  </si>
  <si>
    <t>The serial number for this StorageController.</t>
  </si>
  <si>
    <t xml:space="preserve">   SpeedGbps</t>
  </si>
  <si>
    <t>The speed of the StorageController interface.</t>
  </si>
  <si>
    <t xml:space="preserve">   SupportedControllerProtocols</t>
  </si>
  <si>
    <t>This represents the protocols by which this StorageController can be communicated to.</t>
  </si>
  <si>
    <t xml:space="preserve">   SupportedDeviceProtocols</t>
  </si>
  <si>
    <t>This represents the protocols which the StorageController can use to communicate with attached devices.</t>
  </si>
  <si>
    <t>Volumes</t>
  </si>
  <si>
    <t>The set of volumes produced by the StorageControllers represented by this resource. Contains a link to a resource.</t>
  </si>
  <si>
    <t>A link to the collection of Volumes.</t>
  </si>
  <si>
    <t>Storage URIs</t>
  </si>
  <si>
    <t>/redfish/v1/Systems/{ComputerSystemId}/Storage/{StorageId}</t>
  </si>
  <si>
    <t>Table 17: O-PAS Profile Map for the Redfish Volume Resource</t>
  </si>
  <si>
    <t>Volume (1.0.3)</t>
  </si>
  <si>
    <t xml:space="preserve">   #Volume.Initialize</t>
  </si>
  <si>
    <t>VolumeType</t>
  </si>
  <si>
    <t>The size of the smallest addressable unit (block) of this volume in bytes.</t>
  </si>
  <si>
    <t>CapacityBytes</t>
  </si>
  <si>
    <t>The size in bytes of this Volume.</t>
  </si>
  <si>
    <t>Encrypted</t>
  </si>
  <si>
    <t>Whether this Volume is encrypted.</t>
  </si>
  <si>
    <t>EncryptionTypes</t>
  </si>
  <si>
    <t>The types of encryption used by this Volume.</t>
  </si>
  <si>
    <t>Identifiers</t>
  </si>
  <si>
    <t>The DurableNames for the Volume.</t>
  </si>
  <si>
    <t>An array of references to the drives which contain this Volume. This will reference drives that either wholly or only partly contain this Volume.</t>
  </si>
  <si>
    <t>Operations</t>
  </si>
  <si>
    <t>The operations currently running on the Volume.</t>
  </si>
  <si>
    <t xml:space="preserve">   AssociatedTask</t>
  </si>
  <si>
    <t>A reference to the task associated with the operation, if any.</t>
  </si>
  <si>
    <t>A link to a Task resource.</t>
  </si>
  <si>
    <t xml:space="preserve">   OperationName</t>
  </si>
  <si>
    <t>The name of the operation.</t>
  </si>
  <si>
    <t xml:space="preserve">   PercentageComplete</t>
  </si>
  <si>
    <t>The percentage of the operation that has been completed.</t>
  </si>
  <si>
    <t>OptimumIOSizeBytes</t>
  </si>
  <si>
    <t>The size in bytes of this Volume’s optimum IO size.</t>
  </si>
  <si>
    <t>The type of this Volume.</t>
  </si>
  <si>
    <t>Volume URIs</t>
  </si>
  <si>
    <t>/redfish/v1/Systems/{ComputerSystemId}/Storage/{StorageId}/Volumes/{VolumeId}</t>
  </si>
  <si>
    <t>Table 18: O-PAS Profile Map for the Redfish Event Object</t>
  </si>
  <si>
    <t>Event (1.3.0)</t>
  </si>
  <si>
    <t>Context</t>
  </si>
  <si>
    <t>A context can be supplied at subscription time. This property is the context value supplied by the subscriber.</t>
  </si>
  <si>
    <t>Events</t>
  </si>
  <si>
    <t>Each event in this array has a set of properties that describe the event. Since this is an array, more than one event can be sent simultaneously.</t>
  </si>
  <si>
    <t xml:space="preserve">   Context</t>
  </si>
  <si>
    <t xml:space="preserve">   EventGroupId</t>
  </si>
  <si>
    <t>This value is the identifier used to correlate events that came from the same cause.</t>
  </si>
  <si>
    <t xml:space="preserve">   EventId</t>
  </si>
  <si>
    <t>A unique instance identifier of an event.</t>
  </si>
  <si>
    <t xml:space="preserve">   EventTimestamp</t>
  </si>
  <si>
    <t>This is time the event occurred.</t>
  </si>
  <si>
    <t xml:space="preserve">   EventType</t>
  </si>
  <si>
    <t>Indicates the type of event sent, according to the definitions in the EventService.</t>
  </si>
  <si>
    <t xml:space="preserve">   Message</t>
  </si>
  <si>
    <t>The human-readable message, if provided.</t>
  </si>
  <si>
    <t xml:space="preserve">   MessageArgs</t>
  </si>
  <si>
    <t>This array of message arguments is substituted for the arguments in the message when looked up in the MessageRegistry.</t>
  </si>
  <si>
    <t xml:space="preserve">   MessageId</t>
  </si>
  <si>
    <t>The key for this message which can be used to look up the message in a MessageRegistry.</t>
  </si>
  <si>
    <t xml:space="preserve">   OriginOfCondition</t>
  </si>
  <si>
    <t>Indicates the resource that originated the condition that caused the event to be generated.</t>
  </si>
  <si>
    <t>Severity</t>
  </si>
  <si>
    <t>The severity of the event.</t>
  </si>
  <si>
    <t>Table 19: O-PAS Profile Map for the Redfish EventDestination Resource</t>
  </si>
  <si>
    <t>EventDestination (1.4.0)</t>
  </si>
  <si>
    <t>A client-supplied string that is stored with the EventDestination subscription.</t>
  </si>
  <si>
    <t>Destination</t>
  </si>
  <si>
    <t>The URI of the destination EventService.</t>
  </si>
  <si>
    <t>EventFormatType</t>
  </si>
  <si>
    <t>Indicates the content types of the message that will be sent to the EventDestination.</t>
  </si>
  <si>
    <t>EventTypes</t>
  </si>
  <si>
    <t>This property shall contain the types of events that shall be sent to the destination.</t>
  </si>
  <si>
    <t>HttpHeaders</t>
  </si>
  <si>
    <t>This is for setting HTTP headers, such as authorization information. This object will be null on a GET.</t>
  </si>
  <si>
    <t>MessageIds</t>
  </si>
  <si>
    <t>A list of MessageIds that the service will only send. If this property is absent or the array is empty, then events with any MessageId will be sent to the subscriber.</t>
  </si>
  <si>
    <t>OriginResources</t>
  </si>
  <si>
    <t>A list of resources for which the service will only send related events. If this property is absent or the array is empty, then events originating from any resource will be sent to the subscriber.</t>
  </si>
  <si>
    <t>Protocol</t>
  </si>
  <si>
    <t>The protocol type of the event connection.</t>
  </si>
  <si>
    <t>RegistryPrefixes</t>
  </si>
  <si>
    <t>A list of the prefixes for the MessageRegistries that contain the MessageIds that will be sent to this EventDestination.</t>
  </si>
  <si>
    <t>ResourceTypes</t>
  </si>
  <si>
    <t>SubordinateResources</t>
  </si>
  <si>
    <t>By setting this to true and specifying OriginResources, this indicates the subscription will be for events from the OriginsResources specified and also all subordinate resources. Note that resources associated via the Links section are not considered subordinate.</t>
  </si>
  <si>
    <t>SubscriptionType</t>
  </si>
  <si>
    <t>Indicates the subscription type for events.</t>
  </si>
  <si>
    <t>EventDestination URIs</t>
  </si>
  <si>
    <t>/redfish/v1/EventService/Subscriptions/{EventDestinationId}</t>
  </si>
  <si>
    <t>Table 20: O-PAS Profile Map for the Redfish EventService</t>
  </si>
  <si>
    <t>EventService (1.2.0)</t>
  </si>
  <si>
    <t xml:space="preserve">   #EventService.SubmitTestEvent</t>
  </si>
  <si>
    <t>This action is used to generate a test event.</t>
  </si>
  <si>
    <t>DeliveryRetryAttempts</t>
  </si>
  <si>
    <t>The number of attempts an event posting is retried before the subscription is terminated.</t>
  </si>
  <si>
    <t>DeliveryRetryIntervalSeconds</t>
  </si>
  <si>
    <t>This represents the number of seconds between retry attempts for sending any given Event.</t>
  </si>
  <si>
    <t>EventFormatTypes</t>
  </si>
  <si>
    <t>Indicates the content types of the message that this service can send to the EventDestination.</t>
  </si>
  <si>
    <t>EventTypesForSubscription</t>
  </si>
  <si>
    <t>ServerSentEventUri</t>
  </si>
  <si>
    <t>A link to a URI for receiving server sent event representations of the events generated by this service.</t>
  </si>
  <si>
    <t>ServiceEnabled</t>
  </si>
  <si>
    <t>Indicates whether this service is enabled.</t>
  </si>
  <si>
    <t>SSEFilterPropertiesSupported</t>
  </si>
  <si>
    <t>Contains a set of properties that indicate which properties are supported in the $filter query parameter for the ServerSentEventUri.</t>
  </si>
  <si>
    <t xml:space="preserve">   EventFormatType</t>
  </si>
  <si>
    <t>Indicates if the EventFormatType property is supported.</t>
  </si>
  <si>
    <t>Indicates if the EventType property is supported.</t>
  </si>
  <si>
    <t>Indicates if the MessageId property is supported.</t>
  </si>
  <si>
    <t xml:space="preserve">   MetricReportDefinition</t>
  </si>
  <si>
    <t>Indicates if the MetricReportDefinition property is supported.</t>
  </si>
  <si>
    <t xml:space="preserve">   OriginResource</t>
  </si>
  <si>
    <t>Indicates if the OriginResource property is supported.</t>
  </si>
  <si>
    <t xml:space="preserve">   RegistryPrefix</t>
  </si>
  <si>
    <t>Indicates if the RegistryPrefix property is supported.</t>
  </si>
  <si>
    <t xml:space="preserve">   ResourceType</t>
  </si>
  <si>
    <t>Indicates if the ResourceType property is supported.</t>
  </si>
  <si>
    <t>SubordinateResourcesSupported</t>
  </si>
  <si>
    <t>Indicates if the service supports the SubordinateResource property on Event subscriptions.</t>
  </si>
  <si>
    <t>Subscriptions</t>
  </si>
  <si>
    <t>A link to the collection of EventDestinations.</t>
  </si>
  <si>
    <t>EventService URIs</t>
  </si>
  <si>
    <t>/redfish/v1/EventService</t>
  </si>
  <si>
    <t>Table 21: O-PAS Profile Map for the Redfish LogEntry Resource</t>
  </si>
  <si>
    <t>LogEntry (1.4.0)</t>
  </si>
  <si>
    <t>Created</t>
  </si>
  <si>
    <t>The time the LogEntry was created.</t>
  </si>
  <si>
    <t>EntryCode</t>
  </si>
  <si>
    <t>If the EntryType is SEL, this will have the entry code for the LogEntry.</t>
  </si>
  <si>
    <t>EntryType</t>
  </si>
  <si>
    <t>The type of LogEntry.</t>
  </si>
  <si>
    <t>EventId</t>
  </si>
  <si>
    <t>EventTimestamp</t>
  </si>
  <si>
    <t>The time the event occurred.</t>
  </si>
  <si>
    <t>EventType</t>
  </si>
  <si>
    <t>Indicates the type of an event recorded in this log.</t>
  </si>
  <si>
    <t>The URI of the resource that caused the LogEntry.</t>
  </si>
  <si>
    <t>Message</t>
  </si>
  <si>
    <t>This property decodes from EntryType. If it is Event, then it is a message string. Otherwise, it is SEL or OEM-specific. In most cases, this will be the actual LogEntry.</t>
  </si>
  <si>
    <t>MessageArgs</t>
  </si>
  <si>
    <t>The values of this property shall be any arguments for the message.</t>
  </si>
  <si>
    <t>MessageId</t>
  </si>
  <si>
    <t>This property decodes from EntryType. If it is Event, then it is a message ID. Otherwise, it is SEL or OEM-specific. This value is only used for registries.</t>
  </si>
  <si>
    <t>OemLogEntryCode</t>
  </si>
  <si>
    <t>If the LogEntryCode type is OEM, this will contain the OEM-specific entry code.</t>
  </si>
  <si>
    <t>OemRecordFormat</t>
  </si>
  <si>
    <t>If the entry type is OEM, this will contain more information about the record format from the OEM.</t>
  </si>
  <si>
    <t>OemSensorType</t>
  </si>
  <si>
    <t>If the SensorType is OEM, this will contain the OEM-specific sensor type.</t>
  </si>
  <si>
    <t>SensorNumber</t>
  </si>
  <si>
    <t>This property decodes from EntryType. If it is SEL, it is the sensor number; if Event, then the count of events. Otherwise, it is OEM-specific.</t>
  </si>
  <si>
    <t>SensorType</t>
  </si>
  <si>
    <t>If the EntryType is SEL, this will have the sensor type to which the LogEntry pertains.</t>
  </si>
  <si>
    <t>The severity of the LogEntry.</t>
  </si>
  <si>
    <t>LogEntry URIs</t>
  </si>
  <si>
    <t>/redfish/v1/Managers/{ManagerId}/LogServices/{LogServiceId}/Entries/{LogEntryId}</t>
  </si>
  <si>
    <t>/redfish/v1/Systems/{ComputerSystemId}/LogServices/{LogServiceId}/Entries/{LogEntryId}</t>
  </si>
  <si>
    <t>Table 22: O-PAS Profile Map for the Redfish LogService</t>
  </si>
  <si>
    <t>LogService (1.1.1)</t>
  </si>
  <si>
    <t>This action is used to clear the log for this LogService.</t>
  </si>
  <si>
    <t>DateTime</t>
  </si>
  <si>
    <t>The current DateTime (with offset) for the LogService, used to set or read time.</t>
  </si>
  <si>
    <t>DateTimeLocalOffset</t>
  </si>
  <si>
    <t>The time offset from UTC that the DateTime property is set to in format: +06:00.</t>
  </si>
  <si>
    <t>Entries</t>
  </si>
  <si>
    <t>References to the LogEntry collection. Contains a link to a resource.</t>
  </si>
  <si>
    <t>A link to the collection of LogEntries.</t>
  </si>
  <si>
    <t>LogEntryType</t>
  </si>
  <si>
    <t>The format of the entries of this log.</t>
  </si>
  <si>
    <t>MaxNumberOfRecords</t>
  </si>
  <si>
    <t>The maximum number of log entries this service can have.</t>
  </si>
  <si>
    <t>OverWritePolicy</t>
  </si>
  <si>
    <t>The overwrite policy for this service that takes place when the log is full.</t>
  </si>
  <si>
    <t>LogService URIs</t>
  </si>
  <si>
    <t>/redfish/v1/Managers/{ManagerId}/LogServices/{LogServiceId}</t>
  </si>
  <si>
    <t>/redfish/v1/Systems/{ComputerSystemId}/LogServices/{LogServiceId}</t>
  </si>
  <si>
    <t>Table 23: O-PAS Profile Map for the Redfish MetricDefinition Resource</t>
  </si>
  <si>
    <t>MetricDefinition (1.0.0)</t>
  </si>
  <si>
    <t>Accuracy</t>
  </si>
  <si>
    <r>
      <t xml:space="preserve">Estimated percent error of measured </t>
    </r>
    <r>
      <rPr>
        <i/>
        <sz val="9"/>
        <color rgb="FF000000"/>
        <rFont val="Times New Roman"/>
        <family val="1"/>
      </rPr>
      <t>versus</t>
    </r>
    <r>
      <rPr>
        <sz val="9"/>
        <color rgb="FF000000"/>
        <rFont val="Times New Roman"/>
        <family val="1"/>
      </rPr>
      <t xml:space="preserve"> actual values.</t>
    </r>
  </si>
  <si>
    <t>Calculable</t>
  </si>
  <si>
    <t>Indicates whether the metric can be used in a calculation.</t>
  </si>
  <si>
    <t>CalculationAlgorithm</t>
  </si>
  <si>
    <t>The calculation which is performed on a source metric to obtain the metric being defined.</t>
  </si>
  <si>
    <t>CalculationParameters</t>
  </si>
  <si>
    <t>Specifies the MetricProperties which are part of the synthesis calculation. This property is present when the MetricType property has the value “synthesized”.</t>
  </si>
  <si>
    <t xml:space="preserve">   ResultMetric</t>
  </si>
  <si>
    <t>The MetricProperty used to store the results of the calculation.</t>
  </si>
  <si>
    <t xml:space="preserve">   SourceMetric</t>
  </si>
  <si>
    <t>The MetricProperty used as the input into the calculation.</t>
  </si>
  <si>
    <t>CalculationTimeInterval</t>
  </si>
  <si>
    <t>The time interval over which the metric calculation is performed.</t>
  </si>
  <si>
    <t>Calibration</t>
  </si>
  <si>
    <t>Specifies the calibration offset added to the metric reading.</t>
  </si>
  <si>
    <t>DiscreteValues</t>
  </si>
  <si>
    <t>This array property specifies possible values of a discrete metric.</t>
  </si>
  <si>
    <t>Implementation</t>
  </si>
  <si>
    <t>The implementation of the metric.</t>
  </si>
  <si>
    <t>IsLinear</t>
  </si>
  <si>
    <r>
      <t>Indicates whether the metric values are linear (</t>
    </r>
    <r>
      <rPr>
        <i/>
        <sz val="9"/>
        <color rgb="FF000000"/>
        <rFont val="Times New Roman"/>
        <family val="1"/>
      </rPr>
      <t>versus</t>
    </r>
    <r>
      <rPr>
        <sz val="9"/>
        <color rgb="FF000000"/>
        <rFont val="Times New Roman"/>
        <family val="1"/>
      </rPr>
      <t xml:space="preserve"> non-linear).</t>
    </r>
  </si>
  <si>
    <t>MaxReadingRange</t>
  </si>
  <si>
    <t>Maximum value for metric reading.</t>
  </si>
  <si>
    <t>MetricDataType</t>
  </si>
  <si>
    <t>The data type of the metric.</t>
  </si>
  <si>
    <t>MetricProperties</t>
  </si>
  <si>
    <t>A collection of URIs for the properties on which this MetricDefinition is defined.</t>
  </si>
  <si>
    <t>MetricType</t>
  </si>
  <si>
    <t>The type of metric.</t>
  </si>
  <si>
    <t>MinReadingRange</t>
  </si>
  <si>
    <t>Minimum value for metric reading.</t>
  </si>
  <si>
    <t>PhysicalContext</t>
  </si>
  <si>
    <t>Specifies the physical context of the metric.</t>
  </si>
  <si>
    <t>Precision</t>
  </si>
  <si>
    <t>Number of significant digits in the metric reading.</t>
  </si>
  <si>
    <t>SensingInterval</t>
  </si>
  <si>
    <t>The time interval between when a metric is updated.</t>
  </si>
  <si>
    <t>TimestampAccuracy</t>
  </si>
  <si>
    <t>Accuracy of the timestamp.</t>
  </si>
  <si>
    <t>Units</t>
  </si>
  <si>
    <t>The units of measure for this metric.</t>
  </si>
  <si>
    <t>Wildcards</t>
  </si>
  <si>
    <t>The name of the wildcard.</t>
  </si>
  <si>
    <t xml:space="preserve">   Values</t>
  </si>
  <si>
    <t>An array of values to substitute for the wildcard.</t>
  </si>
  <si>
    <t>MetricDefinition URIs</t>
  </si>
  <si>
    <t>/redfish/v1/TelemetryService/MetricDefinitions/{MetricDefinitionId}</t>
  </si>
  <si>
    <t>Table 24: O-PAS Profile Map for the Redfish MetricReport Resource</t>
  </si>
  <si>
    <t>MetricReport (1.0.0)</t>
  </si>
  <si>
    <t>The MetricDefinitions used to create a MetricReport.</t>
  </si>
  <si>
    <t>A link to a MetricReportDefinition resource.</t>
  </si>
  <si>
    <t>MetricValues</t>
  </si>
  <si>
    <t>An array of metric values for the metered items of this metric.</t>
  </si>
  <si>
    <t xml:space="preserve">   MetricDefinition</t>
  </si>
  <si>
    <t>A link to a MetricDefinition resource.</t>
  </si>
  <si>
    <t xml:space="preserve">   MetricId</t>
  </si>
  <si>
    <t xml:space="preserve">   MetricProperty</t>
  </si>
  <si>
    <t>The URI for the property from which this metric is derived.</t>
  </si>
  <si>
    <t xml:space="preserve">   MetricValue</t>
  </si>
  <si>
    <t>The value identifies this resource.</t>
  </si>
  <si>
    <t xml:space="preserve">   Timestamp</t>
  </si>
  <si>
    <t>The time when the value of the metric is obtained.</t>
  </si>
  <si>
    <t>ReportSequence</t>
  </si>
  <si>
    <t>The current sequence identifier for this MetricReport.</t>
  </si>
  <si>
    <t>MetricReport URIs</t>
  </si>
  <si>
    <t>/redfish/v1/TelemetryService/MetricReports/{MetricReportId}</t>
  </si>
  <si>
    <t>Table 25: O-PAS Profile Map for the Redfish MetricReportDefinition Resource</t>
  </si>
  <si>
    <t>AppendLimit</t>
  </si>
  <si>
    <t>Indicates the maximum number of entries that can be appended to a MetricReport. When the MetricReport reaches its limit, its behavior is dictated by the ReportUpdates property.</t>
  </si>
  <si>
    <t>Specifies a list of MetricProperties to include in the MetricReport.</t>
  </si>
  <si>
    <t>MetricReport</t>
  </si>
  <si>
    <t>Specifies the location where the resultant MetricReport is placed.</t>
  </si>
  <si>
    <t>A link to a MetricReport resource.</t>
  </si>
  <si>
    <t>MetricReportDefinitionType</t>
  </si>
  <si>
    <t>Specifies when the MetricReport is generated.</t>
  </si>
  <si>
    <t>Specifies a list of metrics to include in the MetricReport. The metrics may include MetricProperties or calculations applied to a MetricProperty.</t>
  </si>
  <si>
    <t xml:space="preserve">   CollectionFunction</t>
  </si>
  <si>
    <t>Specified the function to perform on each of the MetricProperties listed in the MetricProperties property.</t>
  </si>
  <si>
    <t xml:space="preserve">   CollectionTimeScope</t>
  </si>
  <si>
    <t>Specifies the scope of time scope over which the function is applied.</t>
  </si>
  <si>
    <t>Specifies the label for the MetricDefinition which is derived by applying the CollectionFunction to the MetricProperty.</t>
  </si>
  <si>
    <t xml:space="preserve">   MetricProperties</t>
  </si>
  <si>
    <t>A collection of URIs for the properties on which this metric is collected.</t>
  </si>
  <si>
    <t>ReportActions</t>
  </si>
  <si>
    <t>Specifies the actions to perform when a MetricReport is generated.</t>
  </si>
  <si>
    <t>ReportUpdates</t>
  </si>
  <si>
    <t>When logging MetricReports, specifies how subsequent MetricReports are handled in relationship to an existing MetricReport created from the MetricReportDefinition. Namely, whether to overwrite, append, or create a new report resource.</t>
  </si>
  <si>
    <t>Schedule</t>
  </si>
  <si>
    <t>Specifies the schedule for generating the MetricReport.</t>
  </si>
  <si>
    <t>Specifies the strings used to replace wildcards in the paths in MetricProperties array property.</t>
  </si>
  <si>
    <t xml:space="preserve">   Keys</t>
  </si>
  <si>
    <t>MetricReportDefinition URIs</t>
  </si>
  <si>
    <t>/redfish/v1/TelemetryService/MetricReportDefinitions/{MetricReportDefinitionId}</t>
  </si>
  <si>
    <t>Table 26: O-PAS Profile Map for the Redfish Status Object</t>
  </si>
  <si>
    <t>Health</t>
  </si>
  <si>
    <t>This represents the health state of this resource in the absence of its dependent resources.</t>
  </si>
  <si>
    <t>HealthRollup</t>
  </si>
  <si>
    <t>This represents the overall health state from the view of this resource.</t>
  </si>
  <si>
    <t>Oem</t>
  </si>
  <si>
    <t>State</t>
  </si>
  <si>
    <t>Indicates the known state of the resource, such as if it is enabled.</t>
  </si>
  <si>
    <t>The Status property status payload strings are described in Table 27 through Table 29.</t>
  </si>
  <si>
    <t>Table 27: Redfish Status Values for Health</t>
  </si>
  <si>
    <t>String</t>
  </si>
  <si>
    <t>Critical</t>
  </si>
  <si>
    <t>A critical condition exists that requires immediate attention.</t>
  </si>
  <si>
    <t>OK</t>
  </si>
  <si>
    <t>Normal.</t>
  </si>
  <si>
    <t>Warning</t>
  </si>
  <si>
    <t>A condition exists that requires attention.</t>
  </si>
  <si>
    <t>Table 28: Redfish Status Values for HealthRollup</t>
  </si>
  <si>
    <t>Table 29: Redfish Status Values for State</t>
  </si>
  <si>
    <t>Absent</t>
  </si>
  <si>
    <t>This function or resource is not present or not detected.</t>
  </si>
  <si>
    <t>Deferring</t>
  </si>
  <si>
    <t>The element will not process any commands but will queue new requests.</t>
  </si>
  <si>
    <t>Disabled</t>
  </si>
  <si>
    <t>This function or resource has been disabled.</t>
  </si>
  <si>
    <t>Enabled</t>
  </si>
  <si>
    <t>This function or resource has been enabled.</t>
  </si>
  <si>
    <t>InTest</t>
  </si>
  <si>
    <t>This function or resource is undergoing testing.</t>
  </si>
  <si>
    <t>Quiesced</t>
  </si>
  <si>
    <t>The element is enabled but only processes a restricted set of commands.</t>
  </si>
  <si>
    <t>StandbyOffline</t>
  </si>
  <si>
    <t>This function or resource is enabled, but awaiting an external action to activate it.</t>
  </si>
  <si>
    <t>StandbySpare</t>
  </si>
  <si>
    <t>This function or resource is part of a redundancy set and is awaiting a failover or other external action to activate it.</t>
  </si>
  <si>
    <t>Starting</t>
  </si>
  <si>
    <t>This function or resource is starting.</t>
  </si>
  <si>
    <t>UnavailableOffline</t>
  </si>
  <si>
    <t>This function or resource is present but cannot be used.</t>
  </si>
  <si>
    <t>Updating</t>
  </si>
  <si>
    <t>The element is updating and may be unavailable or degraded.</t>
  </si>
  <si>
    <t>Table 30: O-PAS Profile Map for the Redfish TelemetryService Resource</t>
  </si>
  <si>
    <t>TelemetryService (1.0.0)</t>
  </si>
  <si>
    <t xml:space="preserve">   #TelemetryService.SubmitTestMetricReport</t>
  </si>
  <si>
    <t>This action is used to generate a MetricReport.</t>
  </si>
  <si>
    <t>LogService</t>
  </si>
  <si>
    <t>A reference to a LogService used by the TelemetryService.</t>
  </si>
  <si>
    <t>A link to a LogService resource.</t>
  </si>
  <si>
    <t>MaxReports</t>
  </si>
  <si>
    <t>The maximum number of MetricReports supported by this service.</t>
  </si>
  <si>
    <t>MetricDefinitions</t>
  </si>
  <si>
    <t>A link to the collection of MetricDefinitions.</t>
  </si>
  <si>
    <t>A link to the collection of MetricDefinition.</t>
  </si>
  <si>
    <t>MetricReportDefinitions</t>
  </si>
  <si>
    <t>A link to the collection of MetricReportDefinitions.</t>
  </si>
  <si>
    <t>MetricReports</t>
  </si>
  <si>
    <t>A link to the collection of MetricReports.</t>
  </si>
  <si>
    <t>MinCollectionInterval</t>
  </si>
  <si>
    <t>The minimum time interval between collections supported by this service.</t>
  </si>
  <si>
    <t>SupportedCollectionFunctions</t>
  </si>
  <si>
    <t>The functions that can be performed over each metric. An operation to perform over the sample.</t>
  </si>
  <si>
    <t>Triggers</t>
  </si>
  <si>
    <t>A link to the collection of triggers.</t>
  </si>
  <si>
    <t>A link to the collection of Triggers.</t>
  </si>
  <si>
    <t>TelemetryService URIs</t>
  </si>
  <si>
    <t>/redfish/v1/TelemetryService</t>
  </si>
  <si>
    <t>Table 31: O-PAS Profile Map for the Redfish Triggers Resource</t>
  </si>
  <si>
    <t>Triggers (1.0.0)</t>
  </si>
  <si>
    <t>DiscreteTriggerCondition</t>
  </si>
  <si>
    <t>Specifies the conditions when a discrete metric triggers.</t>
  </si>
  <si>
    <t>DiscreteTriggers</t>
  </si>
  <si>
    <t>List of discrete triggers.</t>
  </si>
  <si>
    <t>Name</t>
  </si>
  <si>
    <t>The name of trigger.</t>
  </si>
  <si>
    <t>This property contains the value of the severity property in the event message.</t>
  </si>
  <si>
    <t>Value</t>
  </si>
  <si>
    <t>The type of trigger.</t>
  </si>
  <si>
    <t>NumericThresholds</t>
  </si>
  <si>
    <t>Specifies the thresholds when a numeric metric triggers.</t>
  </si>
  <si>
    <t>Below normal range and requires attention.</t>
  </si>
  <si>
    <t>The direction of crossing that activates this threshold.</t>
  </si>
  <si>
    <t>The time interval over which the sensor reading must have passed through this threshold value before the threshold is considered to be violated.</t>
  </si>
  <si>
    <t>Reading</t>
  </si>
  <si>
    <t>The threshold value.</t>
  </si>
  <si>
    <t>Below normal range.</t>
  </si>
  <si>
    <t>Above normal range and requires attention.</t>
  </si>
  <si>
    <t>Above normal range.</t>
  </si>
  <si>
    <t>TriggerActions</t>
  </si>
  <si>
    <t>This property specifies the actions to perform when the trigger occurs. Specifies the actions to perform when a trigger occurs.</t>
  </si>
  <si>
    <t>Wildcards used to replace values in the MetricProperties array property.</t>
  </si>
  <si>
    <t>Triggers URIs</t>
  </si>
  <si>
    <t>/redfish/v1/TelemetryService/Triggers/{TriggersId}</t>
  </si>
  <si>
    <t>Table 32: O-PAS Profile Map for the Redfish HostInterface Resource</t>
  </si>
  <si>
    <t>HostInterface (1.2.0)</t>
  </si>
  <si>
    <t>AuthenticationModes</t>
  </si>
  <si>
    <t>Indicates the authentication modes available on this interface.</t>
  </si>
  <si>
    <t>AuthNoneRoleId</t>
  </si>
  <si>
    <t>The role used when no authentication on this interface is used.</t>
  </si>
  <si>
    <t>ExternallyAccessible</t>
  </si>
  <si>
    <t>Indicates whether this interface is accessible by external entities.</t>
  </si>
  <si>
    <t>FirmwareAuthEnabled</t>
  </si>
  <si>
    <t>Indicates whether this firmware authentication is enabled for this interface.</t>
  </si>
  <si>
    <t>FirmwareAuthRoleId</t>
  </si>
  <si>
    <t>The role used for firmware authentication on this interface.</t>
  </si>
  <si>
    <t>HostEthernetInterfaces</t>
  </si>
  <si>
    <t>The Redfish link to the collection of NICs or cards that a ComputerSystem uses to communicate with this HostInterface.</t>
  </si>
  <si>
    <t>HostInterfaceType</t>
  </si>
  <si>
    <t>Indicates the HostInterface type for this interface.</t>
  </si>
  <si>
    <t>InterfaceEnabled</t>
  </si>
  <si>
    <t>Indicates whether this interface is enabled.</t>
  </si>
  <si>
    <t>KernelAuthEnabled</t>
  </si>
  <si>
    <t>Indicates whether this kernel authentication is enabled for this interface.</t>
  </si>
  <si>
    <t>KernelAuthRoleId</t>
  </si>
  <si>
    <t>The role used for kernel authentication on this interface.</t>
  </si>
  <si>
    <t xml:space="preserve">   AuthNoneRole</t>
  </si>
  <si>
    <t>A reference to the role that contains the privileges on this HostInterface when no authentication is performed.</t>
  </si>
  <si>
    <t>A link to a role resource.</t>
  </si>
  <si>
    <t xml:space="preserve">   ComputerSystems</t>
  </si>
  <si>
    <t>An array of references to the ComputerSystems connected to this HostInterface.</t>
  </si>
  <si>
    <t>A link to a ComputerSystems resource.</t>
  </si>
  <si>
    <t xml:space="preserve">   FirmwareAuthRole</t>
  </si>
  <si>
    <t>A reference to the role that has firmware authentication privileges on this HostInterface.</t>
  </si>
  <si>
    <t xml:space="preserve">   KernelAuthRole</t>
  </si>
  <si>
    <t>A reference to the role object defining privileges for this HostInterface when using kernel authentication.</t>
  </si>
  <si>
    <t>A link to a Role resource.</t>
  </si>
  <si>
    <t>ManagerEthernetInterface</t>
  </si>
  <si>
    <t>The Redfish link to a single NIC or card that this manager uses for network communication with this HostInterface.</t>
  </si>
  <si>
    <t>NetworkProtocol</t>
  </si>
  <si>
    <t>The Redfish link to the network services and their settings that the manager controls. It is here that clients will find network configuration options as well as network services.</t>
  </si>
  <si>
    <t>A link to a ManagerNetworkProtocol resource.</t>
  </si>
  <si>
    <t>Table 33: O-PAS Profile Map for the Redfish Manager Resource</t>
  </si>
  <si>
    <t>Manager (1.5.0)</t>
  </si>
  <si>
    <t xml:space="preserve">   #Manager.ForceFailover</t>
  </si>
  <si>
    <t>The ForceFailover action forces a failover of this Manager to the Manager used in the parameter.</t>
  </si>
  <si>
    <t xml:space="preserve">   #Manager.ModifyRedundancySet</t>
  </si>
  <si>
    <t>The ModifyRedundancySet operation is used to add or remove members to a redundant group of Managers.</t>
  </si>
  <si>
    <t xml:space="preserve">   #Manager.Reset</t>
  </si>
  <si>
    <t>The reset action resets/reboots the Manager.</t>
  </si>
  <si>
    <t>AutoDSTEnabled</t>
  </si>
  <si>
    <t>Indicates whether the Manager is configured for automatic Daylight Saving Time (DST) adjustment.</t>
  </si>
  <si>
    <t>CommandShell</t>
  </si>
  <si>
    <t>Information about the CommandShell service provided by this Manager.</t>
  </si>
  <si>
    <t xml:space="preserve">   ConnectTypesSupported</t>
  </si>
  <si>
    <t>This object is used to enumerate the CommandShell connection types allowed by the implementation.</t>
  </si>
  <si>
    <t xml:space="preserve">   MaxConcurrentSessions</t>
  </si>
  <si>
    <t>Indicates the maximum number of service sessions, regardless of protocol, this Manager is able to support.</t>
  </si>
  <si>
    <t xml:space="preserve">   ServiceEnabled</t>
  </si>
  <si>
    <t>Indicates if the service is enabled for this Manager.</t>
  </si>
  <si>
    <t>The current DateTime (with offset) for the Manager, used to set or read time.</t>
  </si>
  <si>
    <t>FirmwareVersion</t>
  </si>
  <si>
    <t>The firmware version of this Manager.</t>
  </si>
  <si>
    <t>GraphicalConsole</t>
  </si>
  <si>
    <t>The value of this property shall contain the information about the graphical console (Keyboard-Video-Mouse over IP – KVM-IP) service of this Manager.</t>
  </si>
  <si>
    <t>This object is used to enumerate the GraphicalConsole connection types allowed by the implementation.</t>
  </si>
  <si>
    <t>HostInterfaces</t>
  </si>
  <si>
    <t>A link to the collection of HostInterfaces.</t>
  </si>
  <si>
    <t xml:space="preserve">   ManagerForChassis</t>
  </si>
  <si>
    <t>This property is an array of references to the Chassis that this Manager has control over.</t>
  </si>
  <si>
    <t xml:space="preserve">   ManagerForServers</t>
  </si>
  <si>
    <t>This property is an array of references to the systems that this Manager has control over.</t>
  </si>
  <si>
    <t xml:space="preserve">   ManagerForSwitches</t>
  </si>
  <si>
    <t>This property is an array of references to the switches that this Manager has control over.</t>
  </si>
  <si>
    <t>A link to a Switch resource.</t>
  </si>
  <si>
    <t xml:space="preserve">   ManagerInChassis</t>
  </si>
  <si>
    <t>This property is a reference to the Chassis that this Manager is located in.</t>
  </si>
  <si>
    <t>A reference to a collection of Logs used by the Manager.</t>
  </si>
  <si>
    <t>ManagerType</t>
  </si>
  <si>
    <t>This property represents the type of Manager that this resource represents.</t>
  </si>
  <si>
    <t>The model information of this Manager as defined by the manufacturer.</t>
  </si>
  <si>
    <t>The current power state of the Manager.</t>
  </si>
  <si>
    <t>Redundancy information for the Managers of this system.</t>
  </si>
  <si>
    <t>RemoteAccountService</t>
  </si>
  <si>
    <t>This property contains a reference to the AccountService resource for the remote Manager represented by this resource.</t>
  </si>
  <si>
    <t>A link to an AccountService resource.</t>
  </si>
  <si>
    <t>RemoteRedfishServiceUri</t>
  </si>
  <si>
    <t>This property contains the URI of the Redfish service root for the remote Manager represented by this resource.</t>
  </si>
  <si>
    <t>SerialConsole</t>
  </si>
  <si>
    <t>Information about the SerialConsole service provided by this Manager.</t>
  </si>
  <si>
    <t>This object is used to enumerate the SerialConsole connection types allowed by the implementation.</t>
  </si>
  <si>
    <t>SerialInterfaces</t>
  </si>
  <si>
    <t>A link to the collection of SerialInterfaces.</t>
  </si>
  <si>
    <t>ServiceEntryPointUUID</t>
  </si>
  <si>
    <t>The UUID of the Redfish service provided by this Manager.</t>
  </si>
  <si>
    <t>The UUID for this Manager.</t>
  </si>
  <si>
    <t>VirtualMedia</t>
  </si>
  <si>
    <t>A link to the collection of VirtualMedia.</t>
  </si>
  <si>
    <t>Manager URIs</t>
  </si>
  <si>
    <t>/redfish/v1/Managers/{ManagerId}</t>
  </si>
  <si>
    <t>Table 34: O-PAS Profile Map for the Redfish SerialInterface Resource</t>
  </si>
  <si>
    <t>SerialInterface (1.1.3)</t>
  </si>
  <si>
    <t>BitRate</t>
  </si>
  <si>
    <t>The receive and transmit rate of data flow, typically in Bits-Per-Second (BPS), over the serial connection.</t>
  </si>
  <si>
    <t>ConnectorType</t>
  </si>
  <si>
    <t>The type of connector used for this interface.</t>
  </si>
  <si>
    <t>DataBits</t>
  </si>
  <si>
    <t>The number of data bits that will follow the start bit over the serial connection.</t>
  </si>
  <si>
    <t>FlowControl</t>
  </si>
  <si>
    <t>The type of flow control, if any, that will be imposed on the serial connection.</t>
  </si>
  <si>
    <t>Parity</t>
  </si>
  <si>
    <t>The type of parity used by the sender and receiver in order to detect errors over the serial connection.</t>
  </si>
  <si>
    <t>PinOut</t>
  </si>
  <si>
    <t>The physical pin configuration needed for a serial connector.</t>
  </si>
  <si>
    <t>SignalType</t>
  </si>
  <si>
    <t>The type of signal used for the communication connection – RS232 or RS485.</t>
  </si>
  <si>
    <t>StopBits</t>
  </si>
  <si>
    <t>The period of time before the next start bit is transmitted.</t>
  </si>
  <si>
    <t>SerialInterface URIs</t>
  </si>
  <si>
    <t>/redfish/v1/Managers/{ManagerId}/SerialInterfaces/{SerialInterfaceId}</t>
  </si>
  <si>
    <t>Table 35: O-PAS Profile Map for the Redfish ServiceRoot Service</t>
  </si>
  <si>
    <t>ServiceRoot (1.4.0)</t>
  </si>
  <si>
    <t>AccountService</t>
  </si>
  <si>
    <t>A link to the AccountService.</t>
  </si>
  <si>
    <t>Chassis</t>
  </si>
  <si>
    <t>A link to the collection of Chassis.</t>
  </si>
  <si>
    <t>CompositionService</t>
  </si>
  <si>
    <t>A link to the CompositionService.</t>
  </si>
  <si>
    <t>A link to a CompositionService resource.</t>
  </si>
  <si>
    <t>EventService</t>
  </si>
  <si>
    <t>A link to the EventService.</t>
  </si>
  <si>
    <t>A link to an EventService resource.</t>
  </si>
  <si>
    <t>Fabrics</t>
  </si>
  <si>
    <t>A link to the collection of all Fabrics entities.</t>
  </si>
  <si>
    <t>A link to the collection of Fabrics.</t>
  </si>
  <si>
    <t>JobService</t>
  </si>
  <si>
    <t>A link to the JobService.</t>
  </si>
  <si>
    <t>A link to a JobService resource.</t>
  </si>
  <si>
    <t>JsonSchemas</t>
  </si>
  <si>
    <t>A link to the collection of JsonSchemaFiles.</t>
  </si>
  <si>
    <t xml:space="preserve">   Sessions</t>
  </si>
  <si>
    <t>A link to the collection of Sessions.</t>
  </si>
  <si>
    <t>Managers</t>
  </si>
  <si>
    <t>A link to the collection of Managers.</t>
  </si>
  <si>
    <t>Product</t>
  </si>
  <si>
    <t>The product associated with this Redfish service.</t>
  </si>
  <si>
    <t>ProtocolFeaturesSupported</t>
  </si>
  <si>
    <t>Contains information about protocol features supported by the service.</t>
  </si>
  <si>
    <t xml:space="preserve">   ExpandQuery</t>
  </si>
  <si>
    <t>Contains information about the use of $expand in the service.</t>
  </si>
  <si>
    <t xml:space="preserve">   ExpandAll</t>
  </si>
  <si>
    <t>Indicates whether the expand support of asterisk (expand all entries) is supported.</t>
  </si>
  <si>
    <t xml:space="preserve">   Levels</t>
  </si>
  <si>
    <t>Indicates whether the expand support of the $levels qualifier is supported by the service.</t>
  </si>
  <si>
    <t>Indicates whether the expand support of tilde (expand only entries in the Links section) is supported.</t>
  </si>
  <si>
    <t xml:space="preserve">   MaxLevels</t>
  </si>
  <si>
    <t>Indicates the maximum number value of the $levels qualifier in expand operations.</t>
  </si>
  <si>
    <t xml:space="preserve">   NoLinks</t>
  </si>
  <si>
    <t>Indicates whether the expand support of period (expand only entries not in the Links section) is supported.</t>
  </si>
  <si>
    <t xml:space="preserve">   FilterQuery</t>
  </si>
  <si>
    <t>Indicates whether the filter query parameter is supported.</t>
  </si>
  <si>
    <t xml:space="preserve">   OnlyMemberQuery</t>
  </si>
  <si>
    <t>Indicates whether the only query parameter is supported.</t>
  </si>
  <si>
    <t xml:space="preserve">   SelectQuery</t>
  </si>
  <si>
    <t>Indicates whether the SelectQuery parameter is supported.</t>
  </si>
  <si>
    <t>RedfishVersion</t>
  </si>
  <si>
    <t>The version of the Redfish service.</t>
  </si>
  <si>
    <t>Registries</t>
  </si>
  <si>
    <t>A link to the collection of Registries. Contains a link to a resource.</t>
  </si>
  <si>
    <t>A link to the collection of MessageRegistryFiles.</t>
  </si>
  <si>
    <t>SessionService</t>
  </si>
  <si>
    <t>A link to the SessionService.</t>
  </si>
  <si>
    <t>A link to a SessionService resource.</t>
  </si>
  <si>
    <t>StorageServices</t>
  </si>
  <si>
    <t>A link to the collection of all StorageServices entities.</t>
  </si>
  <si>
    <t>StorageSystems</t>
  </si>
  <si>
    <t>A link to the collection of StorageSystems.</t>
  </si>
  <si>
    <t>Systems</t>
  </si>
  <si>
    <t>A link to the collection of Systems.</t>
  </si>
  <si>
    <t>A link to the collection of ComputerSystems.</t>
  </si>
  <si>
    <t>Tasks</t>
  </si>
  <si>
    <t>A link to the TaskService.</t>
  </si>
  <si>
    <t>A link to a TaskService resource.</t>
  </si>
  <si>
    <t>TelemetryService</t>
  </si>
  <si>
    <t>A link to the TelemetryService.</t>
  </si>
  <si>
    <t>A link to a TelemetryService resource.</t>
  </si>
  <si>
    <t>Unique identifier for a service instance. When the Simple Service Discovery Protocol (SSDP) is used, this value should be an exact match of the UUID value returned in a 200OK from an SSDP M-SEARCH request during discovery.</t>
  </si>
  <si>
    <t>UpdateService</t>
  </si>
  <si>
    <t>A link to the UpdateService.</t>
  </si>
  <si>
    <t>A link to an UpdateService resource.</t>
  </si>
  <si>
    <t>ServiceRoot URIs</t>
  </si>
  <si>
    <t>/redfish/v1/</t>
  </si>
  <si>
    <t>The VirtualMedia schema contains properties related to monitoring and control of an instance of VirtualMedia such as a remote CD, DVD, or USB device. VirtualMedia functionality is provided by a Manager for a system or device.</t>
  </si>
  <si>
    <t>The VirtualMedia resource is not used in the O-PAS profiles.</t>
  </si>
  <si>
    <t>AttributeRegistry (1.2.1)</t>
  </si>
  <si>
    <t>Language</t>
  </si>
  <si>
    <t>The IETF RFC 5646-compliant language code for the registry.</t>
  </si>
  <si>
    <t>OwningEntity</t>
  </si>
  <si>
    <t>The organization or company that publishes this registry.</t>
  </si>
  <si>
    <t>RegistryEntries</t>
  </si>
  <si>
    <t>List of all attributes and their metadata for this component.</t>
  </si>
  <si>
    <t xml:space="preserve">   Attributes</t>
  </si>
  <si>
    <t>The array containing the attributes and their possible values.</t>
  </si>
  <si>
    <t>The unique name of the attribute.</t>
  </si>
  <si>
    <t>Placeholder of the current value of the attribute.</t>
  </si>
  <si>
    <t>The default current value of the attribute.</t>
  </si>
  <si>
    <t>The user-readable display string of the attribute in the defined language.</t>
  </si>
  <si>
    <t>The numeric value describing the ascending order that the attribute is displayed relative to other attributes.</t>
  </si>
  <si>
    <t>The grey-out state of this attribute.</t>
  </si>
  <si>
    <t>The help text for the attribute.</t>
  </si>
  <si>
    <t>The hidden state of this attribute.</t>
  </si>
  <si>
    <t>Defines whether this attribute is immutable or not.</t>
  </si>
  <si>
    <t>Defines whether this attribute is unique for this system and should not be replicated.</t>
  </si>
  <si>
    <t>The lower limit of the value of an attribute of type Integer.</t>
  </si>
  <si>
    <t>The maximum character length of the value of an attribute of type String.</t>
  </si>
  <si>
    <t>A path that describes the menu hierarchy of this attribute.</t>
  </si>
  <si>
    <t>The minimum character length of the value of an attribute of type String.</t>
  </si>
  <si>
    <t>The read-only state of this attribute.</t>
  </si>
  <si>
    <t>True if changing the value of this attribute requires a system or device reset in order to take effect.</t>
  </si>
  <si>
    <t>The amount to increment or decrement the value of an attribute of type Integer each time a user requests a value change.</t>
  </si>
  <si>
    <t>The type of the attribute.</t>
  </si>
  <si>
    <t>The UEFI device path that qualifies this attribute.</t>
  </si>
  <si>
    <t>The UEFI KeywordString of the attribute.</t>
  </si>
  <si>
    <t>The UEFI NamespaceId of the attribute.</t>
  </si>
  <si>
    <t>The upper limit of the value of an attribute of type Integer.</t>
  </si>
  <si>
    <t>The array containing possible values for attributes of type Enumeration.</t>
  </si>
  <si>
    <t>A user-readable display string of the value of the attribute in the defined language.</t>
  </si>
  <si>
    <t>The value name of the attribute.</t>
  </si>
  <si>
    <t>A regular expression that is used to validate the value of the attribute. This is only applicable to attributes of type String or Integer.</t>
  </si>
  <si>
    <t>The warning text for changing the attribute.</t>
  </si>
  <si>
    <t>Defines whether this attribute is write-only. Such attributes revert back to their initial value after settings are applied.</t>
  </si>
  <si>
    <t xml:space="preserve">   Dependencies</t>
  </si>
  <si>
    <t>The array containing a list of dependencies of attributes on this component.</t>
  </si>
  <si>
    <t xml:space="preserve">      Dependency</t>
  </si>
  <si>
    <t>The dependency expression for one or more attributes in this AttributeRegistry.</t>
  </si>
  <si>
    <t xml:space="preserve">      MapFrom</t>
  </si>
  <si>
    <t>Array of the map-from conditions for mapping dependency.</t>
  </si>
  <si>
    <t xml:space="preserve">         MapFromAttribute</t>
  </si>
  <si>
    <t>The attribute that is used to evaluate this dependency expression.</t>
  </si>
  <si>
    <t xml:space="preserve">         MapFromCondition</t>
  </si>
  <si>
    <t>The condition that is used to evaluate this dependency expression.</t>
  </si>
  <si>
    <t xml:space="preserve">         MapFromProperty</t>
  </si>
  <si>
    <t>The meta-data property of the attribute specified in MapFromAttribute that is used to evaluate this dependency expression.</t>
  </si>
  <si>
    <t xml:space="preserve">         MapFromValue</t>
  </si>
  <si>
    <t>The value property specified in MapFromProperty that is used to evaluate this dependency expression.</t>
  </si>
  <si>
    <t xml:space="preserve">         MapTerms</t>
  </si>
  <si>
    <t>The logical term used to combine two or more MapFrom conditions in this dependency expression.</t>
  </si>
  <si>
    <t xml:space="preserve">         MapToAttribute</t>
  </si>
  <si>
    <t>The name of the attribute that is affected by this dependency expression.</t>
  </si>
  <si>
    <t xml:space="preserve">         MapToProperty</t>
  </si>
  <si>
    <t xml:space="preserve">         MapToValue</t>
  </si>
  <si>
    <t>The value that MapToProperty is changed to if the dependency expression evaluates to true.</t>
  </si>
  <si>
    <t xml:space="preserve">         DependencyFor</t>
  </si>
  <si>
    <t>The AttributeName of the attribute whose change triggers the evaluation of this dependency expression.</t>
  </si>
  <si>
    <t xml:space="preserve">         Type</t>
  </si>
  <si>
    <t>The type of the dependency structure.</t>
  </si>
  <si>
    <t>The array containing the attribute’s menus and their hierarchy.</t>
  </si>
  <si>
    <t>The user-readable display string of this menu in the defined language.</t>
  </si>
  <si>
    <t>The numeric value describing the ascending order in which this menu is displayed relative to other menus.</t>
  </si>
  <si>
    <t>The grey-out state of this menu. A greyed-only menu is not accessible in user interfaces.</t>
  </si>
  <si>
    <t>The unique name string of this menu.</t>
  </si>
  <si>
    <t>A path that describes this menu hierarchy relative to other menus.</t>
  </si>
  <si>
    <t>The read-only state of this menu.</t>
  </si>
  <si>
    <t>RegistryVersion</t>
  </si>
  <si>
    <t>The AttributeRegistry version which is used in the middle portion of an AttributeRegistry.</t>
  </si>
  <si>
    <t>SupportedSystems</t>
  </si>
  <si>
    <t>Array of systems supported by this AttributeRegistry.</t>
  </si>
  <si>
    <t>Firmware version.</t>
  </si>
  <si>
    <t xml:space="preserve">   ProductName</t>
  </si>
  <si>
    <t>The product name of the system.</t>
  </si>
  <si>
    <t xml:space="preserve">   SystemId</t>
  </si>
  <si>
    <t>The system ID of the system.</t>
  </si>
  <si>
    <t>Table 37: O-PAS Profile Map for the Redfish Common Properties</t>
  </si>
  <si>
    <t>Common</t>
  </si>
  <si>
    <t>The @odata.context property is a URL to a metadata document with a fragment describing the data (typically rooted at the top-level singleton or collection). Technically the metadata document only has to define, or reference, any of the types that it directly uses, and different payloads could reference different metadata documents. However, since the @odata.context provides a root URL for resolving relative references (such as @odata.ids), we return the canonical metadata document.</t>
  </si>
  <si>
    <t>@odata.etag</t>
  </si>
  <si>
    <t>The current ETag for the resource.</t>
  </si>
  <si>
    <t>@odata.id</t>
  </si>
  <si>
    <t>The @odata.id property is a string that indicates the unique identifier of a resource.</t>
  </si>
  <si>
    <t>@odata.type</t>
  </si>
  <si>
    <t>The type of a resource.</t>
  </si>
  <si>
    <t>The Description property is used to convey a human-readable description of the resource.</t>
  </si>
  <si>
    <t>Id</t>
  </si>
  <si>
    <t>The Id property of a resource uniquely identifies the resource within the Resource Collection that contains it. The value of Id is unique within a Resource Collection.</t>
  </si>
  <si>
    <r>
      <t xml:space="preserve">The Name property is used to convey a human-readable moniker for a resource. The type of the Name property is a string. The value of Name is </t>
    </r>
    <r>
      <rPr>
        <i/>
        <sz val="9"/>
        <color rgb="FF000000"/>
        <rFont val="Times New Roman"/>
        <family val="1"/>
      </rPr>
      <t>not</t>
    </r>
    <r>
      <rPr>
        <sz val="9"/>
        <color rgb="FF000000"/>
        <rFont val="Times New Roman"/>
        <family val="1"/>
      </rPr>
      <t xml:space="preserve"> necessarily unique across resource instances within a Resource Collection.</t>
    </r>
  </si>
  <si>
    <t>The manufacturer/provider-specific extension moniker used to divide the OEM object into sections.</t>
  </si>
  <si>
    <t>This object contains definitions for the Redfish actions available for this resource.</t>
  </si>
  <si>
    <t>The Links property represents the links associated with the resource, as defined by that resource’s schema definition. All associated reference properties defined for a resource are nested under the Links property. All directly referenced (subordinate) properties defined for a resource can be found from the root of the resource.</t>
  </si>
  <si>
    <t>RelatedItem</t>
  </si>
  <si>
    <t>The RelatedItem property is represented as a set of links. The links point to a resource, or part of a resource, as defined by that resource’s schema definition. This representation is not intended to be a strong linking methodology like other references. Instead it is used to show a relationship between elements or sub-elements in disparate parts of the service. For example, Fans may be in one area of the system and Processors in another area of the system. It could be that the relationship between the two is not obvious. The RelatedItem property can be used to show that one is related to the other. In this example, it might indicate that a specific fan is cooling a specific processor.</t>
  </si>
  <si>
    <t>Table 38: O-PAS Profile Map for the Redfish JSONSchemaFile Resource</t>
  </si>
  <si>
    <t>JSONSchemaFile (1.1.1)</t>
  </si>
  <si>
    <t>Languages</t>
  </si>
  <si>
    <t>Language codes for the schemas available.</t>
  </si>
  <si>
    <t>Location information for a schema file.</t>
  </si>
  <si>
    <t xml:space="preserve">   ArchiveFile</t>
  </si>
  <si>
    <t>If the schema is hosted on the service in an archive file, this is the name of the file within the archive.</t>
  </si>
  <si>
    <t xml:space="preserve">   ArchiveUri</t>
  </si>
  <si>
    <t>If the schema is hosted on the service in an archive file, this is the link to the archive file.</t>
  </si>
  <si>
    <t xml:space="preserve">   Language</t>
  </si>
  <si>
    <t>The language code for the file the schema is in.</t>
  </si>
  <si>
    <t xml:space="preserve">   PublicationUri</t>
  </si>
  <si>
    <t>A link to publicly available (canonical) URI for the schema.</t>
  </si>
  <si>
    <t xml:space="preserve">   Uri</t>
  </si>
  <si>
    <t>A link to locally available URI for the schema.</t>
  </si>
  <si>
    <t>Schema</t>
  </si>
  <si>
    <t>The @odata.type name this schema describes.</t>
  </si>
  <si>
    <t>JSONSchemaFile URIs</t>
  </si>
  <si>
    <t>/redfish/v1/JsonSchemas/{JsonSchemaFileId}</t>
  </si>
  <si>
    <t>Table 39: O-PAS Profile Map for the Redfish Message Object</t>
  </si>
  <si>
    <t>The human-readable Message, if provided.</t>
  </si>
  <si>
    <t>This array of message arguments is substituted for the arguments in the Message when looked up in the MessageRegistry.</t>
  </si>
  <si>
    <t>The key for this Message which can be used to look up the Message in a MessageRegistry.</t>
  </si>
  <si>
    <t>RelatedProperties</t>
  </si>
  <si>
    <t>This is an array of properties described by the Message.</t>
  </si>
  <si>
    <t>Resolution</t>
  </si>
  <si>
    <t>Used to provide suggestions on how to resolve the situation that caused the error.</t>
  </si>
  <si>
    <t>The severity of the errors.</t>
  </si>
  <si>
    <t>Table 40: O-PAS Profile Map for the Redfish MessageRegistry Object</t>
  </si>
  <si>
    <t>MessageRegistry (1.2.0)</t>
  </si>
  <si>
    <t>Messages</t>
  </si>
  <si>
    <t>The pattern property indicates that a free-form string is the unique identifier for the message within the registry.</t>
  </si>
  <si>
    <t>RegistryPrefix</t>
  </si>
  <si>
    <t>The single word prefix used to form a MessageId structure.</t>
  </si>
  <si>
    <t>The MessageRegistry version which is used in the middle portion of a MessageId.</t>
  </si>
  <si>
    <t>Table 41: O-PAS Profile Map for the Redfish MessageRegistryFile Resource</t>
  </si>
  <si>
    <t>MessageRegistryFile (1.1.1)</t>
  </si>
  <si>
    <t>A link to publicly available (canonical) URI for schema.</t>
  </si>
  <si>
    <t>A link to locally available URI for schema.</t>
  </si>
  <si>
    <t>Registry</t>
  </si>
  <si>
    <t>The registry name, major and minor version used in MessageId construction.</t>
  </si>
  <si>
    <t>MessageRegistryFile URIs</t>
  </si>
  <si>
    <t>/redfish/v1/Registries/{MessageRegistryFileId}</t>
  </si>
  <si>
    <t>Table 42: O-PAS Profile Map for the Redfish Payload Annotations</t>
  </si>
  <si>
    <t>Payload Annotations</t>
  </si>
  <si>
    <t>@Message.ExtendedInfo</t>
  </si>
  <si>
    <t>Allows the service to provide a set of message structures for a given property to indicate additional information; this can be useful when a property is null due to an error condition, and the service wants to convey why the property is null.</t>
  </si>
  <si>
    <t>@odata.count</t>
  </si>
  <si>
    <t>The number of items in a collection.</t>
  </si>
  <si>
    <t>@Redfish.AllowableValues</t>
  </si>
  <si>
    <t>Indicates to the client the different string values the service accepts for a given property or action parameter.</t>
  </si>
  <si>
    <t>@Redfish.ActionInfo</t>
  </si>
  <si>
    <t>The term can be applied to an Action to specify a URI to an ActionInfo resource which describes the parameters supported by this instance of the Action.</t>
  </si>
  <si>
    <t>@Redfish.CollectionCapabilities</t>
  </si>
  <si>
    <t>Reference to the resource that represents the POST capabilities of a given collection.</t>
  </si>
  <si>
    <t>@Redfish.MaintenanceWindow</t>
  </si>
  <si>
    <t>Maintenance window configuration of a resource for when to apply settings or operations.</t>
  </si>
  <si>
    <t>@Redfish.OperationApplyTime</t>
  </si>
  <si>
    <t>The requested apply time from a client when performing a Create, Delete, or Action operation.</t>
  </si>
  <si>
    <t>@Redfish.OperationApplyTime Support</t>
  </si>
  <si>
    <t>Indicates if a client is allowed to request for a specific apply time of a Create, Delete, or Action operation of a given resource via the OperationApplyTime term.</t>
  </si>
  <si>
    <t>@Redfish.Settings</t>
  </si>
  <si>
    <t>Reference to the resource that represents the settings to be applied to this object.</t>
  </si>
  <si>
    <t>@Redfish.SettingsApplyTime</t>
  </si>
  <si>
    <t>Configuration settings for when the values in the Settings object are applied to a given resource.</t>
  </si>
  <si>
    <t>Table 43: O-PAS Profile Map for the Redfish EthernetInterface Resource</t>
  </si>
  <si>
    <t>EthernetInterface (1.4.1)</t>
  </si>
  <si>
    <t>AutoNeg</t>
  </si>
  <si>
    <t>Indicates if the speed and duplex are automatically negotiated and configured on this interface.</t>
  </si>
  <si>
    <t>DHCPv4</t>
  </si>
  <si>
    <t>DHCPv4 configuration for this interface.</t>
  </si>
  <si>
    <t xml:space="preserve">   DHCPEnabled</t>
  </si>
  <si>
    <t>Determines whether DHCPv4 is enabled on this interface.</t>
  </si>
  <si>
    <t xml:space="preserve">   UseDNSServers</t>
  </si>
  <si>
    <t>Determines whether to use DHCPv4-supplied DNS servers.</t>
  </si>
  <si>
    <t xml:space="preserve">   UseDomainName</t>
  </si>
  <si>
    <t>Determines whether to use a DHCPv4-supplied domain name.</t>
  </si>
  <si>
    <t xml:space="preserve">   UseGateway</t>
  </si>
  <si>
    <t>Determines whether to use a DHCPv4-supplied gateway.</t>
  </si>
  <si>
    <t xml:space="preserve">   UseNTPServers</t>
  </si>
  <si>
    <t>Determines whether to use DHCPv4-supplied NTP servers.</t>
  </si>
  <si>
    <t xml:space="preserve">   UseStaticRoutes</t>
  </si>
  <si>
    <t>Determines whether to use DHCPv4-supplied static routes.</t>
  </si>
  <si>
    <t>DHCPv6</t>
  </si>
  <si>
    <t>DHCPv6 configuration for this interface.</t>
  </si>
  <si>
    <t xml:space="preserve">   OperatingMode</t>
  </si>
  <si>
    <t>Determines the DHCPv6 operating mode for this interface.</t>
  </si>
  <si>
    <t>When enabled, DNS server addresses supplied through DHCPv6 stateless mode will be used.</t>
  </si>
  <si>
    <t>When enabled, the domain name supplied through DHCPv6 stateless mode will be used.</t>
  </si>
  <si>
    <t>When enabled, NTP server addresses supplied through DHCPv6 stateless mode will be used.</t>
  </si>
  <si>
    <t xml:space="preserve">   UseRapidCommit</t>
  </si>
  <si>
    <t>Determines whether to use DHCPv6 rapid commit mode for stateful mode address assignments.</t>
  </si>
  <si>
    <t>FQDN</t>
  </si>
  <si>
    <t>The complete, fully qualified domain name obtained by DNS for this interface.</t>
  </si>
  <si>
    <t>FullDuplex</t>
  </si>
  <si>
    <t>Indicates if the interface is in full duplex mode or not.</t>
  </si>
  <si>
    <t>IPv4Addresses</t>
  </si>
  <si>
    <t>IPv4StaticAddresses</t>
  </si>
  <si>
    <t>The IPv4 static addresses assigned to this interface.</t>
  </si>
  <si>
    <t>IPv6AddressPolicyTable</t>
  </si>
  <si>
    <t>An array representing the IETF RFC 6724 address selection policy table.</t>
  </si>
  <si>
    <t xml:space="preserve">   Label</t>
  </si>
  <si>
    <t>The IPv6 label (as defined in IETF RFC 6724 §2.1).</t>
  </si>
  <si>
    <t xml:space="preserve">   Precedence</t>
  </si>
  <si>
    <t>The IPv6 precedence (as defined in IETF RFC 6724 §2.1).</t>
  </si>
  <si>
    <t xml:space="preserve">   Prefix</t>
  </si>
  <si>
    <t>IPv6Addresses</t>
  </si>
  <si>
    <t>Enumerates in an array all of the currently assigned IPv6 addresses on this interface.</t>
  </si>
  <si>
    <t>IPv6DefaultGateway</t>
  </si>
  <si>
    <t>The IPv6 default gateway address that is currently in use on this interface.</t>
  </si>
  <si>
    <t>IPv6StaticAddresses</t>
  </si>
  <si>
    <t>Represents in an array all of the IPv6 static addresses to be assigned on this interface.</t>
  </si>
  <si>
    <t>IPv6StaticDefaultGateways</t>
  </si>
  <si>
    <t>The IPv6 static default gateways for this interface.</t>
  </si>
  <si>
    <t>LinkStatus</t>
  </si>
  <si>
    <t>The link status of this interface (port).</t>
  </si>
  <si>
    <t>A reference to the Chassis which contains this EthernetInterface.</t>
  </si>
  <si>
    <t>An array of references to the Endpoints that connect to this EthernetInterface.</t>
  </si>
  <si>
    <t xml:space="preserve">   HostInterface</t>
  </si>
  <si>
    <t>A reference to a HostInterface that is associated with this EthernetInterface.</t>
  </si>
  <si>
    <t>A link to a HostInterface resource.</t>
  </si>
  <si>
    <t>MACAddress</t>
  </si>
  <si>
    <t>MTUSize</t>
  </si>
  <si>
    <t>MaxIPv6StaticAddresses</t>
  </si>
  <si>
    <t>Indicates the maximum number of static IPv6 addresses that can be configured on this interface.</t>
  </si>
  <si>
    <t>NameServers</t>
  </si>
  <si>
    <t>This represents DNS name servers that are currently in use on this interface.</t>
  </si>
  <si>
    <t>PermanentMACAddress</t>
  </si>
  <si>
    <t>The permanent MAC address assigned to this interface (port).</t>
  </si>
  <si>
    <t>SpeedMbps</t>
  </si>
  <si>
    <t>The current speed in Mbps of this interface.</t>
  </si>
  <si>
    <t>StatelessAddressAutoConfig</t>
  </si>
  <si>
    <t>Stateless Address Automatic Configuration (SLAAC) parameters for this interface.</t>
  </si>
  <si>
    <t xml:space="preserve">   IPv4AutoConfigEnabled</t>
  </si>
  <si>
    <t>Indicates whether IPv4 SLAAC is enabled for this interface.</t>
  </si>
  <si>
    <t xml:space="preserve">   IPv6AutoConfigEnabled</t>
  </si>
  <si>
    <t>Indicates whether IPv6 SLAAC is enabled for this interface.</t>
  </si>
  <si>
    <t>StaticNameServers</t>
  </si>
  <si>
    <t>A statically defined set of DNS server IP addresses (both IPv4 and IPv6).</t>
  </si>
  <si>
    <t>The UEFI device path for this interface.</t>
  </si>
  <si>
    <t>VLAN</t>
  </si>
  <si>
    <t>If this network interface supports more than one VLAN, this property is not present. VLANs collections appear in the Links section of this resource.</t>
  </si>
  <si>
    <t>A link to a VLAN resource.</t>
  </si>
  <si>
    <t>VLANs</t>
  </si>
  <si>
    <t>A reference to a collection of VLANs and is only used if the interface supports more than one VLANs.</t>
  </si>
  <si>
    <t>A link to the collection of VLanNetworkInterfaces.</t>
  </si>
  <si>
    <t>EthernetInterface URIs</t>
  </si>
  <si>
    <t>/redfish/v1/Managers/{ManagerId}/EthernetInterfaces/{EthernetInterfaceId}</t>
  </si>
  <si>
    <t>/redfish/v1/Systems/{ComputerSystemId}/EthernetInterfaces/{EthernetInterfaceId}</t>
  </si>
  <si>
    <t>Table 44: O-PAS Profile Map for the Redfish IPAddress Object for IPv4</t>
  </si>
  <si>
    <t>IPAddress (IPv4)</t>
  </si>
  <si>
    <t>Address</t>
  </si>
  <si>
    <t>The IPv4 address.</t>
  </si>
  <si>
    <t>AddressOrigin</t>
  </si>
  <si>
    <t>Indicates how the address was determined.</t>
  </si>
  <si>
    <t>Gateway</t>
  </si>
  <si>
    <t>The IPv4 gateway for this address.</t>
  </si>
  <si>
    <t>SubnetMask</t>
  </si>
  <si>
    <t>The IPv4 subnet mask.</t>
  </si>
  <si>
    <t>Table 45: O-PAS Profile Map for the Redfish IPAddress Object for IPv6</t>
  </si>
  <si>
    <t>IPAddress (IPv6)</t>
  </si>
  <si>
    <t>The IPv6 address.</t>
  </si>
  <si>
    <t>AddressState</t>
  </si>
  <si>
    <t>The current state of this address as defined in IETF RFC 4862.</t>
  </si>
  <si>
    <t>PrefixLength</t>
  </si>
  <si>
    <t>The IPv6 address prefix length.</t>
  </si>
  <si>
    <t>IPGatewayStaticAddress (IPv6)</t>
  </si>
  <si>
    <t>A valid IPv6 address.</t>
  </si>
  <si>
    <t>The prefix length of this IPv6 address.</t>
  </si>
  <si>
    <t>Table 47: O-PAS Profile Map for the Redfish IPStaticAddress for IPv6</t>
  </si>
  <si>
    <t>IPStaticAddress (IPv6)</t>
  </si>
  <si>
    <t>Table 48: O-PAS Profile Map for the Redfish ManagerNetworkProtocol Resource</t>
  </si>
  <si>
    <t>ManagerNetworkProtocol (1.3.0)</t>
  </si>
  <si>
    <t>DHCP</t>
  </si>
  <si>
    <t>Settings for this manager’s DHCP protocol support.</t>
  </si>
  <si>
    <t xml:space="preserve">   Port</t>
  </si>
  <si>
    <t>Indicates the protocol port.</t>
  </si>
  <si>
    <t xml:space="preserve">   ProtocolEnabled</t>
  </si>
  <si>
    <t>Indicates if the protocol is enabled or disabled.</t>
  </si>
  <si>
    <t>Settings for this manager’s DHCPv6 protocol support.</t>
  </si>
  <si>
    <t>The fully qualified domain name for the manager obtained by DNS including the host name and top-level domain name.</t>
  </si>
  <si>
    <t>HTTP</t>
  </si>
  <si>
    <t>Settings for this manager’s HTTP protocol support.</t>
  </si>
  <si>
    <t>HTTPS</t>
  </si>
  <si>
    <t>Settings for this manager’s HTTPS protocol support.</t>
  </si>
  <si>
    <t>The DNS host name of this manager, without any domain information.</t>
  </si>
  <si>
    <t>IPMI</t>
  </si>
  <si>
    <t>KVMIP</t>
  </si>
  <si>
    <t>Settings for this manager’s KVM-IP protocol support.</t>
  </si>
  <si>
    <t>NTP</t>
  </si>
  <si>
    <t>Settings for this manager’s NTP protocol support.</t>
  </si>
  <si>
    <t xml:space="preserve">   NTPServers</t>
  </si>
  <si>
    <t>Indicates to which NTP servers this manager is subscribed.</t>
  </si>
  <si>
    <t>RDP</t>
  </si>
  <si>
    <t>Settings for this manager’s remote desktop protocol support.</t>
  </si>
  <si>
    <t>RFB</t>
  </si>
  <si>
    <t>Settings for this manager’s remote frame buffer protocol support, which can be used to support VNC.</t>
  </si>
  <si>
    <t>SNMP</t>
  </si>
  <si>
    <t>Settings for this manager’s SNMP support.</t>
  </si>
  <si>
    <t>SSDP</t>
  </si>
  <si>
    <t>Settings for this manager’s SSDP support.</t>
  </si>
  <si>
    <t xml:space="preserve">   NotifyIPv6Scope</t>
  </si>
  <si>
    <t>Indicates the scope for the IPv6 notify messages for SSDP.</t>
  </si>
  <si>
    <t xml:space="preserve">   NotifyMulticastIntervalSeconds</t>
  </si>
  <si>
    <t>Indicates how often the multicast is done from this service for SSDP.</t>
  </si>
  <si>
    <t xml:space="preserve">   NotifyTTL</t>
  </si>
  <si>
    <t>Indicates the time-to-live hop count for SSDP notify messages.</t>
  </si>
  <si>
    <t>SSH</t>
  </si>
  <si>
    <t>Settings for this manager’s Secure Shell (SSH) protocol support.</t>
  </si>
  <si>
    <t>Telnet</t>
  </si>
  <si>
    <t>Settings for this manager’s telnet protocol support.</t>
  </si>
  <si>
    <t>Settings for this manager’s virtual media support.</t>
  </si>
  <si>
    <t>ManagerNetworkProtocol URIs</t>
  </si>
  <si>
    <t>/redfish/v1/Managers/{ManagerId}/NetworkProtocol</t>
  </si>
  <si>
    <t>Table 49: O-PAS Profile Map for the Redfish NetworkDeviceFunction Resource</t>
  </si>
  <si>
    <t>NetworkDeviceFunction (1.3.0)</t>
  </si>
  <si>
    <t>AssignablePhysicalPorts</t>
  </si>
  <si>
    <t>A link to a NetworkPort resource.</t>
  </si>
  <si>
    <t>BootMode</t>
  </si>
  <si>
    <t>The boot mode configured for this NetworkDeviceFunction.</t>
  </si>
  <si>
    <t>DeviceEnabled</t>
  </si>
  <si>
    <t>Whether the NetworkDeviceFunction is enabled.</t>
  </si>
  <si>
    <t>Ethernet</t>
  </si>
  <si>
    <t xml:space="preserve">   MACAddress</t>
  </si>
  <si>
    <t>The currently configured MAC address of the (logical port) NetworkDeviceFunction.</t>
  </si>
  <si>
    <t xml:space="preserve">   MTUSize</t>
  </si>
  <si>
    <t>The MTU configured for this NetworkDeviceFunction.</t>
  </si>
  <si>
    <t xml:space="preserve">   PermanentMACAddress</t>
  </si>
  <si>
    <t>The permanent MAC address assigned to this NetworkDeviceFunction (physical function).</t>
  </si>
  <si>
    <t xml:space="preserve">   VLAN</t>
  </si>
  <si>
    <t xml:space="preserve">   VLANs</t>
  </si>
  <si>
    <t>A reference to a collection of VLANs and is only used if the interface supports more than one VLAN.</t>
  </si>
  <si>
    <t>FibreChannel</t>
  </si>
  <si>
    <t>Fibre Channel (FC).</t>
  </si>
  <si>
    <t xml:space="preserve">   AllowFIPVLANDiscovery</t>
  </si>
  <si>
    <t>Whether the FCoE Initialization Protocol (FIP) is used for populating the FCoE VLAN Id.</t>
  </si>
  <si>
    <t xml:space="preserve">   BootTargets</t>
  </si>
  <si>
    <t>An array of FC boot targets configured for this NetworkDeviceFunction.</t>
  </si>
  <si>
    <t xml:space="preserve">      BootPriority</t>
  </si>
  <si>
    <t>The relative priority for this entry in the boot targets array.</t>
  </si>
  <si>
    <t xml:space="preserve">         LUNID</t>
  </si>
  <si>
    <t xml:space="preserve">         WWPN</t>
  </si>
  <si>
    <t>The WWPN from which to boot.</t>
  </si>
  <si>
    <t xml:space="preserve">   FCoEActiveVLANId</t>
  </si>
  <si>
    <t>The active FCoE VLAN ID.</t>
  </si>
  <si>
    <t xml:space="preserve">   FCoELocalVLANId</t>
  </si>
  <si>
    <t>The locally configured FCoE VLAN ID.</t>
  </si>
  <si>
    <t xml:space="preserve">   FibreChannelId</t>
  </si>
  <si>
    <t>The FC ID assigned by the switch for this interface.</t>
  </si>
  <si>
    <t xml:space="preserve">   PermanentWWNN</t>
  </si>
  <si>
    <t>The permanent World-Wide Node Name (WWNN) address assigned to this NetworkDeviceFunction (physical function).</t>
  </si>
  <si>
    <t xml:space="preserve">   PermanentWWPN</t>
  </si>
  <si>
    <t>The permanent WWPN address assigned to this NetworkDeviceFunction (physical function).</t>
  </si>
  <si>
    <t xml:space="preserve">   WWNN</t>
  </si>
  <si>
    <t>The currently configured WWNN address of the NetworkDeviceFunction (physical function).</t>
  </si>
  <si>
    <t xml:space="preserve">   WWNSource</t>
  </si>
  <si>
    <t>The configuration source of the world-wide nodes for this connection (WWPN and WWNN).</t>
  </si>
  <si>
    <t xml:space="preserve">   WWPN</t>
  </si>
  <si>
    <t>The currently configured WWPN address of the NetworkDeviceFunction (physical function).</t>
  </si>
  <si>
    <t>Links.</t>
  </si>
  <si>
    <t>An array of references to endpoints associated with this NetworkDeviceFunction.</t>
  </si>
  <si>
    <t xml:space="preserve">   PCIeFunction</t>
  </si>
  <si>
    <t>Contains the members of this collection.</t>
  </si>
  <si>
    <t>MaxVirtualFunctions</t>
  </si>
  <si>
    <t>NetDevFuncCapabilities</t>
  </si>
  <si>
    <t>Capabilities of this NetworkDeviceFunction.</t>
  </si>
  <si>
    <t>NetDevFuncType</t>
  </si>
  <si>
    <t>The configured capability of this NetworkDeviceFunction.</t>
  </si>
  <si>
    <t>PhysicalPortAssignment</t>
  </si>
  <si>
    <t>The physical port to which this NetworkDeviceFunction is currently assigned.</t>
  </si>
  <si>
    <t>A link to a NetworkPort resource</t>
  </si>
  <si>
    <t>VirtualFunctionsEnabled</t>
  </si>
  <si>
    <t>iSCSIBoot</t>
  </si>
  <si>
    <t>iSCSI Boot.</t>
  </si>
  <si>
    <t xml:space="preserve">   AuthenticationMethod</t>
  </si>
  <si>
    <t>The iSCSI boot authentication method for this NetworkDeviceFunction.</t>
  </si>
  <si>
    <t xml:space="preserve">   CHAPSecret</t>
  </si>
  <si>
    <t>The shared secret for Challenge-Handshake Authentication Protocol (CHAP) authentication.</t>
  </si>
  <si>
    <t xml:space="preserve">   CHAPUsername</t>
  </si>
  <si>
    <t>The user name for CHAP authentication.</t>
  </si>
  <si>
    <t xml:space="preserve">   IPAddressType</t>
  </si>
  <si>
    <t>The type of IPAddress (IPv6 or IPv4) being populated in the iSCSIBoot IPAddress fields.</t>
  </si>
  <si>
    <t xml:space="preserve">   IPMaskDNSViaDHCP</t>
  </si>
  <si>
    <t>Whether the iSCSI boot initiator uses DHCP to obtain the initiator name, IP address, and netmask.</t>
  </si>
  <si>
    <t xml:space="preserve">   InitiatorDefaultGateway</t>
  </si>
  <si>
    <t>The IPv6 or IPv4 iSCSI boot default gateway.</t>
  </si>
  <si>
    <t xml:space="preserve">   InitiatorIPAddress</t>
  </si>
  <si>
    <t>The IPv6 or IPv4 address of the iSCSI initiator.</t>
  </si>
  <si>
    <t xml:space="preserve">   InitiatorName</t>
  </si>
  <si>
    <t>The iSCSI initiator name.</t>
  </si>
  <si>
    <t xml:space="preserve">   InitiatorNetmask</t>
  </si>
  <si>
    <t>The IPv6 or IPv4 netmask of the iSCSI boot initiator.</t>
  </si>
  <si>
    <t xml:space="preserve">   MutualCHAPSecret</t>
  </si>
  <si>
    <t>The CHAP secret for two-way CHAP authentication.</t>
  </si>
  <si>
    <t xml:space="preserve">   MutualCHAPUsername</t>
  </si>
  <si>
    <t>The CHAP user name for two-way CHAP authentication.</t>
  </si>
  <si>
    <t xml:space="preserve">   PrimaryDNS</t>
  </si>
  <si>
    <t>The IPv6 or IPv4 address of the primary DNS server for the iSCSI boot initiator.</t>
  </si>
  <si>
    <t xml:space="preserve">   PrimaryLUN</t>
  </si>
  <si>
    <t>The LUN for the primary iSCSI boot target.</t>
  </si>
  <si>
    <t xml:space="preserve">   PrimaryTargetIPAddress</t>
  </si>
  <si>
    <t>The IPAddress (IPv6 or IPv4) for the primary iSCSI boot target.</t>
  </si>
  <si>
    <t xml:space="preserve">   PrimaryTargetName</t>
  </si>
  <si>
    <t>The name of the iSCSI primary boot target.</t>
  </si>
  <si>
    <t xml:space="preserve">   PrimaryTargetTCPPort</t>
  </si>
  <si>
    <t>The TCP port for the primary iSCSI boot target.</t>
  </si>
  <si>
    <t xml:space="preserve">   PrimaryVLANEnable</t>
  </si>
  <si>
    <t>Indicates if the primary VLAN is enabled.</t>
  </si>
  <si>
    <t xml:space="preserve">   PrimaryVLANId</t>
  </si>
  <si>
    <t>The 802.1q VLAN ID to use for iSCSI boot from the primary target.</t>
  </si>
  <si>
    <t xml:space="preserve">   RouterAdvertisementEnabled</t>
  </si>
  <si>
    <t>Whether IPv6 router advertisement is enabled for the iSCSI boot target.</t>
  </si>
  <si>
    <t xml:space="preserve">   SecondaryDNS</t>
  </si>
  <si>
    <t>The IPv6 or IPv4 address of the secondary DNS server for the iSCSI boot initiator.</t>
  </si>
  <si>
    <t xml:space="preserve">   SecondaryLUN</t>
  </si>
  <si>
    <t>The LUN for the secondary iSCSI boot target.</t>
  </si>
  <si>
    <t xml:space="preserve">   SecondaryTargetIPAddress</t>
  </si>
  <si>
    <t>The IPAddress (IPv6 or IPv4) for the secondary iSCSI boot target.</t>
  </si>
  <si>
    <t xml:space="preserve">   SecondaryTargetName</t>
  </si>
  <si>
    <t>The name of the iSCSI secondary boot target.</t>
  </si>
  <si>
    <t xml:space="preserve">   SecondaryTargetTCPPort</t>
  </si>
  <si>
    <t>The TCP port for the secondary iSCSI boot target.</t>
  </si>
  <si>
    <t xml:space="preserve">   SecondaryVLANEnable</t>
  </si>
  <si>
    <t>Indicates if the secondary VLAN is enabled.</t>
  </si>
  <si>
    <t xml:space="preserve">   SecondaryVLANId</t>
  </si>
  <si>
    <t>The 802.1q VLAN ID to use for iSCSI boot from the secondary target.</t>
  </si>
  <si>
    <t xml:space="preserve">   TargetInfoViaDHCP</t>
  </si>
  <si>
    <t>Whether the iSCSI boot target name, LUN, IP address, and netmask should be obtained from DHCP.</t>
  </si>
  <si>
    <t>NetworkDeviceFunction URIs</t>
  </si>
  <si>
    <t>/redfish/v1/Chassis/{ChassisId}/NetworkAdapters/{NetworkAdapterId}/NetworkDeviceFunctions/{NetworkDeviceFunctionId}</t>
  </si>
  <si>
    <t>Table 50: O-PAS Profile Map for the Redfish NetworkInterface Resource</t>
  </si>
  <si>
    <t>NetworkInterface (1.1.1)</t>
  </si>
  <si>
    <t xml:space="preserve">   NetworkAdapter</t>
  </si>
  <si>
    <t>A link to a NetworkAdapter resource.</t>
  </si>
  <si>
    <t>NetworkDeviceFunctions</t>
  </si>
  <si>
    <t>A link to the collection of NetworkDeviceFunctions.</t>
  </si>
  <si>
    <t>NetworkPorts</t>
  </si>
  <si>
    <t>A link to the collection of NetworkPorts.</t>
  </si>
  <si>
    <t>NetworkInterface URIs</t>
  </si>
  <si>
    <t>/redfish/v1/Systems/{ComputerSystemId}/NetworkInterfaces/{NetworkInterfaceId}</t>
  </si>
  <si>
    <t>Table 51: O-PAS Profile Map for the Redfish NetworkPort Resource</t>
  </si>
  <si>
    <t>NetworkPort (1.2.0)</t>
  </si>
  <si>
    <t>ActiveLinkTechnology</t>
  </si>
  <si>
    <t>NetworkPort active link technology.</t>
  </si>
  <si>
    <t>AssociatedNetworkAddresses</t>
  </si>
  <si>
    <t>The array of configured network addresses (MAC or WWN) that are associated with this NetworkPort, including the programmed address of the lowest numbered NetworkDeviceFunction, the configured but not active address if applicable, the address for hardware port teaming, or other network addresses.</t>
  </si>
  <si>
    <t>CurrentLinkSpeedMbps</t>
  </si>
  <si>
    <t>NetworkPort current link speed.</t>
  </si>
  <si>
    <t>EEEEnabled</t>
  </si>
  <si>
    <t>Whether IEEE 802.3az Energy Efficient Ethernet (EEE) is enabled for this NetworkPort.</t>
  </si>
  <si>
    <t>FCFabricName</t>
  </si>
  <si>
    <t>The FC fabric name provided by the switch.</t>
  </si>
  <si>
    <t>FCPortConnectionType</t>
  </si>
  <si>
    <t>The connection type of this NetworkPort.</t>
  </si>
  <si>
    <t>FlowControlConfiguration</t>
  </si>
  <si>
    <t>The locally configured 802.3x flow control setting for this NetworkPort.</t>
  </si>
  <si>
    <t>FlowControlStatus</t>
  </si>
  <si>
    <t>The 802.3x flow control behavior negotiated with the link partner for this NetworkPort (Ethernet-only).</t>
  </si>
  <si>
    <t>The status of the link between this NetworkPort and its link partner.</t>
  </si>
  <si>
    <t>MaxFrameSize</t>
  </si>
  <si>
    <t>The maximum frame size supported by the NetworkPort.</t>
  </si>
  <si>
    <t>NetDevFuncMaxBWAlloc</t>
  </si>
  <si>
    <t>The array of maximum bandwidth allocation percentages for the NetworkDeviceFunctions associated with this NetworkPort.</t>
  </si>
  <si>
    <t xml:space="preserve">   MaxBWAllocPercent</t>
  </si>
  <si>
    <t>The maximum bandwidth allocation percentage allocated to the corresponding NetworkDeviceFunction instance.</t>
  </si>
  <si>
    <t xml:space="preserve">   NetworkDeviceFunction</t>
  </si>
  <si>
    <t>NetDevFuncMinBWAlloc</t>
  </si>
  <si>
    <t>The array of minimum bandwidth allocation percentages for the NetworkDeviceFunctions associated with this NetworkPort.</t>
  </si>
  <si>
    <t xml:space="preserve">   MinBWAllocPercent</t>
  </si>
  <si>
    <t>The minimum bandwidth allocation percentage allocated to the corresponding NetworkDeviceFunction instance.</t>
  </si>
  <si>
    <t>NumberDiscoveredRemotePorts</t>
  </si>
  <si>
    <t>The number of ports not on this adapter that this NetworkPort has discovered.</t>
  </si>
  <si>
    <t>PhysicalPortNumber</t>
  </si>
  <si>
    <t>The physical port number label for this NetworkPort.</t>
  </si>
  <si>
    <t>PortMaximumMTU</t>
  </si>
  <si>
    <t>The largest MTU that can be configured for this NetworkPort.</t>
  </si>
  <si>
    <t>SignalDetected</t>
  </si>
  <si>
    <t>Whether or not the NetworkPort has detected enough signal on enough lanes to establish a link.</t>
  </si>
  <si>
    <t>SupportedEthernetCapabilities</t>
  </si>
  <si>
    <t>The set of Ethernet capabilities that this NetworkPort supports.</t>
  </si>
  <si>
    <t>SupportedLinkCapabilities</t>
  </si>
  <si>
    <t>The self-described link capabilities of this NetworkPort.</t>
  </si>
  <si>
    <t xml:space="preserve">   AutoSpeedNegotiation</t>
  </si>
  <si>
    <t>Indicates whether the NetworkPort has the capability to auto-negotiate speed.</t>
  </si>
  <si>
    <t xml:space="preserve">   CapableLinkSpeedMbps</t>
  </si>
  <si>
    <t>The self-described link network speed capabilities of this NetworkPort.</t>
  </si>
  <si>
    <t xml:space="preserve">   LinkNetworkTechnology</t>
  </si>
  <si>
    <t>The self-described link network technology capabilities of this NetworkPort.</t>
  </si>
  <si>
    <t xml:space="preserve">   LinkSpeedMbps</t>
  </si>
  <si>
    <t>The speed of the link in Mbps when this link network technology is active.</t>
  </si>
  <si>
    <t>The vendor identification for this NetworkPort.</t>
  </si>
  <si>
    <t>WakeOnLANEnabled</t>
  </si>
  <si>
    <t>Whether Wake on LAN (WoL) is enabled for this NetworkPort.</t>
  </si>
  <si>
    <t>NetworkPort URIs</t>
  </si>
  <si>
    <t>/redfish/v1/Chassis/{ChassisId}/NetworkAdapters/{NetworkAdapterId}/NetworkPorts/{NetworkPortId}</t>
  </si>
  <si>
    <t>Port contains properties describing a port of a switch.</t>
  </si>
  <si>
    <t>Ports are not used in the O-PAS profiles.</t>
  </si>
  <si>
    <t>Table 52: O-PAS Profile Map for the Redfish Session Resource</t>
  </si>
  <si>
    <t>Session (1.1.1)</t>
  </si>
  <si>
    <t>Password</t>
  </si>
  <si>
    <t>This property is used in a POST to specify a password when creating a new Session. This property is null on a GET.</t>
  </si>
  <si>
    <t>UserName</t>
  </si>
  <si>
    <t>The user name for the account for this Session.</t>
  </si>
  <si>
    <t>Session URIs</t>
  </si>
  <si>
    <t>/redfish/v1/SessionService/Sessions/{SessionId}</t>
  </si>
  <si>
    <t>Table 53: O-PAS Profile Map for the Redfish SessionService</t>
  </si>
  <si>
    <t>SessionService (1.1.4)</t>
  </si>
  <si>
    <t>Indicates whether this service is enabled. If set to false, the SessionService is disabled and any attempt to access it will fail. This means new sessions cannot be created, and old sessions cannot be deleted though established sessions may continue operating.</t>
  </si>
  <si>
    <t>SessionTimeout</t>
  </si>
  <si>
    <t>The number of seconds of inactivity that a session may have before the SessionService closes the session due to inactivity.</t>
  </si>
  <si>
    <t>Sessions</t>
  </si>
  <si>
    <t>SessionService URIs</t>
  </si>
  <si>
    <t>/redfish/v1/SessionService</t>
  </si>
  <si>
    <t>Switch is the schema definition for the Redfish managed network switch.</t>
  </si>
  <si>
    <t>Switch is not used in the O-PAS profiles.</t>
  </si>
  <si>
    <t>Table 54: O-PAS Profile Map for the Redfish VLanNetworkInterface</t>
  </si>
  <si>
    <t>VLanNetworkInterface (1.1.2)</t>
  </si>
  <si>
    <t>VLANEnable</t>
  </si>
  <si>
    <t>Indicates if this VLAN is enabled.</t>
  </si>
  <si>
    <t>VLANId</t>
  </si>
  <si>
    <t>Indicates the VLAN identifier for this VLAN.</t>
  </si>
  <si>
    <t>VLanNetworkInterface URIs</t>
  </si>
  <si>
    <t>/redfish/v1/Managers/{ManagerId}/EthernetInterfaces/{EthernetInterfaceId}/VLANs/{VLanNetworkInterfaceId}</t>
  </si>
  <si>
    <t>/redfish/v1/Systems/{ComputerSystemId}/EthernetInterfaces/{EthernetInterfaceId}/VLANs/{VLanNetworkInterfaceId}</t>
  </si>
  <si>
    <t>Table 55: O-PAS Profile Map for the Redfish ActionInfo Parameters</t>
  </si>
  <si>
    <t>ActionInfo (1.1.0)</t>
  </si>
  <si>
    <t>Parameters</t>
  </si>
  <si>
    <t>The parameters associated with the specified Redfish action.</t>
  </si>
  <si>
    <t xml:space="preserve">   AllowableValues</t>
  </si>
  <si>
    <t>A list of values for this parameter supported by this action target.</t>
  </si>
  <si>
    <t xml:space="preserve">   DataType</t>
  </si>
  <si>
    <t>The JSON property type used for this parameter.</t>
  </si>
  <si>
    <t xml:space="preserve">   MaximumValue</t>
  </si>
  <si>
    <t>The maximum supported value of this parameter.</t>
  </si>
  <si>
    <t xml:space="preserve">   MinimumValue</t>
  </si>
  <si>
    <t>The minimum supported value for this parameter.</t>
  </si>
  <si>
    <t>The name of the parameter for this action.</t>
  </si>
  <si>
    <t xml:space="preserve">   ObjectDataType</t>
  </si>
  <si>
    <r>
      <t xml:space="preserve">The </t>
    </r>
    <r>
      <rPr>
        <i/>
        <sz val="9"/>
        <color rgb="FF000000"/>
        <rFont val="Times New Roman"/>
        <family val="1"/>
      </rPr>
      <t>OData</t>
    </r>
    <r>
      <rPr>
        <sz val="9"/>
        <color rgb="FF000000"/>
        <rFont val="Times New Roman"/>
        <family val="1"/>
      </rPr>
      <t xml:space="preserve"> type of an object-based parameter.</t>
    </r>
  </si>
  <si>
    <t xml:space="preserve">   Required</t>
  </si>
  <si>
    <t>Indicates whether the parameter is required to perform this action.</t>
  </si>
  <si>
    <t>Table 56: O-PAS Profile Map for the Redfish Job Object</t>
  </si>
  <si>
    <t>Job (1.0.0)</t>
  </si>
  <si>
    <t>CreatedBy</t>
  </si>
  <si>
    <t>The person or program that created this Job entry.</t>
  </si>
  <si>
    <t>EndTime</t>
  </si>
  <si>
    <t>The date-time stamp that the Job was completed.</t>
  </si>
  <si>
    <t>HidePayload</t>
  </si>
  <si>
    <t>Indicates that the contents of the payload should be hidden from view after the Job has been created. When set to true, the payload object will not be returned on GET.</t>
  </si>
  <si>
    <t>JobState</t>
  </si>
  <si>
    <t>The state of the Job.</t>
  </si>
  <si>
    <t>JobStatus</t>
  </si>
  <si>
    <t>The status of the Job.</t>
  </si>
  <si>
    <t>MaxExecutionTime</t>
  </si>
  <si>
    <t>The maximum amount of time the Job is allowed to execute.</t>
  </si>
  <si>
    <t>This is an array of messages associated with the Job. This type describes a Message returned by the Redfish service.</t>
  </si>
  <si>
    <t>Payload</t>
  </si>
  <si>
    <t>The HTTP and JSON payload details for this Job.</t>
  </si>
  <si>
    <t xml:space="preserve">   HttpHeaders</t>
  </si>
  <si>
    <t>This represents the HTTP headers used in the operation of this Job.</t>
  </si>
  <si>
    <t xml:space="preserve">   HttpOperation</t>
  </si>
  <si>
    <t>The HTTP operation to perform to execute this Job.</t>
  </si>
  <si>
    <t xml:space="preserve">   JsonBody</t>
  </si>
  <si>
    <t>This property contains the JSON payload to use in the execution of this Job.</t>
  </si>
  <si>
    <t xml:space="preserve">   TargetUri</t>
  </si>
  <si>
    <t>The URI of the target for this Job.</t>
  </si>
  <si>
    <t>PercentComplete</t>
  </si>
  <si>
    <t>The completion percentage of this Job.</t>
  </si>
  <si>
    <t>The schedule settings for this Job.</t>
  </si>
  <si>
    <t>StartTime</t>
  </si>
  <si>
    <t>The date-time stamp that the Job was started or is scheduled to start.</t>
  </si>
  <si>
    <t>StepOrder</t>
  </si>
  <si>
    <t>This represents the serialized execution order of the Job steps.</t>
  </si>
  <si>
    <t>Steps</t>
  </si>
  <si>
    <t>A link to the collection of Steps for this Job. Contains a link to a resource.</t>
  </si>
  <si>
    <t>A link to the collection of Jobs.</t>
  </si>
  <si>
    <t>Job URIs</t>
  </si>
  <si>
    <t>/redfish/v1/JobService/Jobs/{JobId}</t>
  </si>
  <si>
    <t>/redfish/v1/JobService/Jobs/{JobId}/Steps/{JobId2}</t>
  </si>
  <si>
    <t>Table 57: O-PAS Profile Map for the Redfish JobService</t>
  </si>
  <si>
    <t>JobService (1.0.0)</t>
  </si>
  <si>
    <t>The current DateTime (with offset) setting that the JobService is using.</t>
  </si>
  <si>
    <t>Jobs</t>
  </si>
  <si>
    <t>References to the Jobs collection.</t>
  </si>
  <si>
    <t>Log</t>
  </si>
  <si>
    <t>A reference to a LogService used by the JobService.</t>
  </si>
  <si>
    <t>ServiceCapabilities</t>
  </si>
  <si>
    <t>This object describes the supported capabilities of this JobService implementation.</t>
  </si>
  <si>
    <t xml:space="preserve">   MaxJobs</t>
  </si>
  <si>
    <t>Maximum number of Jobs supported.</t>
  </si>
  <si>
    <t xml:space="preserve">   MaxSteps</t>
  </si>
  <si>
    <t>Maximum number of Job steps supported.</t>
  </si>
  <si>
    <t xml:space="preserve">   Scheduling</t>
  </si>
  <si>
    <t>Indicates whether scheduling of Jobs is supported.</t>
  </si>
  <si>
    <t>JobService URIs</t>
  </si>
  <si>
    <t>/redfish/v1/JobService</t>
  </si>
  <si>
    <t>Table 58: O-PAS Profile Map for the Redfish MaintenanceWindow Object</t>
  </si>
  <si>
    <t>MaintenanceWindow</t>
  </si>
  <si>
    <t>MaintenanceWindowDurationInSeconds</t>
  </si>
  <si>
    <t>The value of this property as specified by a client indicates the expiry time of a MaintenanceWindow in seconds.</t>
  </si>
  <si>
    <t>MaintenanceWindowStartTime</t>
  </si>
  <si>
    <t>The value of this property as specified by a client to indicate the start time of a MaintenanceWindow.</t>
  </si>
  <si>
    <t>Table 59: O-PAS Profile Map for the Redfish OperationApplyTimeSupport Object</t>
  </si>
  <si>
    <t>OperationApplyTimeSupport</t>
  </si>
  <si>
    <t>The value of this property as specified by the client indicates the expiry time of a maintenance window in seconds.</t>
  </si>
  <si>
    <t>MaintenanceWindowResource</t>
  </si>
  <si>
    <t>The value of this property is used to indicate the location of the maintenance window settings.</t>
  </si>
  <si>
    <t>The value of this property as specified by the client to indicate the start time of a maintenance window.</t>
  </si>
  <si>
    <t>SupportedValues</t>
  </si>
  <si>
    <t>This property indicates the types of apply times the client is allowed request when performing a Create, Delete, or Action operation.</t>
  </si>
  <si>
    <t>Table 60: O-PAS Profile Map for the Redfish PreferredApplyTime Object</t>
  </si>
  <si>
    <t>PreferredApplyTime</t>
  </si>
  <si>
    <t>ApplyTime</t>
  </si>
  <si>
    <t>This property indicates when the future configuration (i.e., Settings resource) should be applied.</t>
  </si>
  <si>
    <t>The value of this property as specified by client indicates the expiry time of maintenance window in seconds.</t>
  </si>
  <si>
    <t>The value of this property as specified by client to indicate the start time of a maintenance window.</t>
  </si>
  <si>
    <t>Table 61: O-PAS Profile Map for the Redfish Redundancy Object</t>
  </si>
  <si>
    <t>Redundancy (1.3.1)</t>
  </si>
  <si>
    <t>MaxNumSupported</t>
  </si>
  <si>
    <t>The maximum number of members allowable for this particular Redundancy group.</t>
  </si>
  <si>
    <t>MemberId</t>
  </si>
  <si>
    <t>MinNumNeeded</t>
  </si>
  <si>
    <t>The minimum number of members needed for this group to be redundant.</t>
  </si>
  <si>
    <t>Mode</t>
  </si>
  <si>
    <t>The Redundancy mode of the group.</t>
  </si>
  <si>
    <t>RedundancyEnabled</t>
  </si>
  <si>
    <t>Indicates whether Redundancy is enabled.</t>
  </si>
  <si>
    <t>RedundancySet</t>
  </si>
  <si>
    <t>Contains any IDs that represent components of this Redundancy set.</t>
  </si>
  <si>
    <t xml:space="preserve">   @odata.count</t>
  </si>
  <si>
    <t>Table 62: O-PAS Profile Map for the Redfish Schedule</t>
  </si>
  <si>
    <t>EnabledDaysOfMonth</t>
  </si>
  <si>
    <t>Days of month when scheduled occurrences are enabled. Zero indicates that every day of the month is enabled.</t>
  </si>
  <si>
    <t>EnabledDaysOfWeek</t>
  </si>
  <si>
    <t>Days of the week when scheduled occurrences are enabled, for enabled days of month and months of year.</t>
  </si>
  <si>
    <t>EnabledIntervals</t>
  </si>
  <si>
    <t>Intervals when scheduled occurrences are enabled.</t>
  </si>
  <si>
    <t>EnabledMonthsOfYear</t>
  </si>
  <si>
    <t>Months of year when scheduled occurrences are enabled.</t>
  </si>
  <si>
    <t>InitialStartTime</t>
  </si>
  <si>
    <t>Time for initial occurrence.</t>
  </si>
  <si>
    <t>Lifetime</t>
  </si>
  <si>
    <t>The time after provisioning when the Schedule as a whole expires.</t>
  </si>
  <si>
    <t>MaxOccurrences</t>
  </si>
  <si>
    <t>Maximum number of scheduled occurrences.</t>
  </si>
  <si>
    <t>The Schedule name.</t>
  </si>
  <si>
    <t>RecurrenceInterval</t>
  </si>
  <si>
    <t>Distance until the next occurrences.</t>
  </si>
  <si>
    <t>Table 63: O-PAS Profile Map for the Redfish Setting Object</t>
  </si>
  <si>
    <t>Settings</t>
  </si>
  <si>
    <t>ETag</t>
  </si>
  <si>
    <t>The ETag of the resource to which the Settings were applied, after the application.</t>
  </si>
  <si>
    <t>This is an array of messages associated with the task. This type describes a Message returned by the Redfish service.</t>
  </si>
  <si>
    <t>SettingsObject</t>
  </si>
  <si>
    <t>Reference to the resource the client may PUT/PATCH to in order to change this resource.</t>
  </si>
  <si>
    <t>SupportedApplyTimes</t>
  </si>
  <si>
    <t>This property indicates when a Settings resource can be applied.</t>
  </si>
  <si>
    <t>Time</t>
  </si>
  <si>
    <t>Indicates the time the Settings were applied.</t>
  </si>
  <si>
    <t>Table 64: O-PAS Profile Map for the Redfish SoftwareInventory Resource</t>
  </si>
  <si>
    <t>SoftwareInventory (1.2.1)</t>
  </si>
  <si>
    <t>LowestSupportedVersion</t>
  </si>
  <si>
    <t>A string representing the lowest supported version of this software.</t>
  </si>
  <si>
    <t>A string representing the manufacturer/producer of this software.</t>
  </si>
  <si>
    <t>The ID(s) of the resources associated with this SoftwareInventory item.</t>
  </si>
  <si>
    <t>SoftwareId</t>
  </si>
  <si>
    <t>A string representing the implementation-specific ID for identifying this software.</t>
  </si>
  <si>
    <t>UefiDevicePaths</t>
  </si>
  <si>
    <t>A list of strings representing the UEFI device path(s) of the component(s) associated with this SoftwareInventory item.</t>
  </si>
  <si>
    <t>Updateable</t>
  </si>
  <si>
    <t>Indicates whether this software can be updated by the update service.</t>
  </si>
  <si>
    <t>Version</t>
  </si>
  <si>
    <t>A string representing the version of this software.</t>
  </si>
  <si>
    <t>SoftwareInventory URIs</t>
  </si>
  <si>
    <t>/redfish/v1/UpdateService/FirmwareInventory/{SoftwareInventoryId}</t>
  </si>
  <si>
    <t>/redfish/v1/UpdateService/SoftwareInventory/{SoftwareInventoryId}</t>
  </si>
  <si>
    <t>Table 65: O-PAS Profile Map for the Redfish Task Resource</t>
  </si>
  <si>
    <t>Task (1.3.0)</t>
  </si>
  <si>
    <t>The date-time stamp that the Task was last completed.</t>
  </si>
  <si>
    <t>Indicates that the contents of the Payload should be hidden from view after the Task has been created. When set to true, the Payload object will not be returned on GET.</t>
  </si>
  <si>
    <t>The HTTP and JSON payload details for this task.</t>
  </si>
  <si>
    <t>This represents the HTTP headers used in the operation of this Task.</t>
  </si>
  <si>
    <t>The HTTP operation to perform to execute this Task.</t>
  </si>
  <si>
    <t>This property contains the JSON payload to use in the execution of this Task.</t>
  </si>
  <si>
    <t>The URI of the target for this Task.</t>
  </si>
  <si>
    <t>The date-time stamp that the Task was last started.</t>
  </si>
  <si>
    <t>TaskMonitor</t>
  </si>
  <si>
    <t>The URI of the TaskMonitor for this Task.</t>
  </si>
  <si>
    <t>TaskState</t>
  </si>
  <si>
    <t>The state of the Task.</t>
  </si>
  <si>
    <t>TaskStatus</t>
  </si>
  <si>
    <t>The completion status of the Task.</t>
  </si>
  <si>
    <t>Task URIs</t>
  </si>
  <si>
    <t>/redfish/v1/TaskService/Tasks/{TaskId}</t>
  </si>
  <si>
    <t>Table 66: O-PAS Profile Map for the Redfish TaskService</t>
  </si>
  <si>
    <t>TaskService (1.1.2)</t>
  </si>
  <si>
    <t>CompletedTaskOverWritePolicy</t>
  </si>
  <si>
    <t>Overwrite policy of completed Tasks.</t>
  </si>
  <si>
    <t>The current DateTime (with offset) setting that the TaskService is using.</t>
  </si>
  <si>
    <t>LifeCycleEventOnTaskStateChange</t>
  </si>
  <si>
    <t>Send an event upon task state change.</t>
  </si>
  <si>
    <t>References to the Tasks collection.</t>
  </si>
  <si>
    <t>A link to the collection of Tasks.</t>
  </si>
  <si>
    <t>TaskService URIs</t>
  </si>
  <si>
    <t>/redfish/v1/TaskService</t>
  </si>
  <si>
    <t>Table 67: O-PAS Profile Map for the Redfish UpdateService</t>
  </si>
  <si>
    <t>UpdateService (1.3.0)</t>
  </si>
  <si>
    <t xml:space="preserve">   #UpdateService.SimpleUpdate</t>
  </si>
  <si>
    <t>This action is used to update software components.</t>
  </si>
  <si>
    <t>FirmwareInventory</t>
  </si>
  <si>
    <t>A link to the collection of SoftwareInventories.</t>
  </si>
  <si>
    <t>HttpPushUri</t>
  </si>
  <si>
    <t>The URI used to perform an HTTP or HTTPS push update to the UpdateService.</t>
  </si>
  <si>
    <t>HttpPushUriTargets</t>
  </si>
  <si>
    <t>The array of URIs indicating the target for applying the update image.</t>
  </si>
  <si>
    <t>HttpPushUriTargetsBusy</t>
  </si>
  <si>
    <t>This represents if the HttpPushUriTargets property is reserved by any client.</t>
  </si>
  <si>
    <t>SoftwareInventory</t>
  </si>
  <si>
    <t>UpdateService URIs</t>
  </si>
  <si>
    <t>/redfish/v1/UpdateService</t>
  </si>
  <si>
    <t>This is the schema definition for the Assembly properties.</t>
  </si>
  <si>
    <t>Assembly is not used in the O-PAS profiles.</t>
  </si>
  <si>
    <t>Table 68: O-PAS Profile Map for the Redfish Chassis Resource</t>
  </si>
  <si>
    <t>Chassis (1.8.0)</t>
  </si>
  <si>
    <t xml:space="preserve">   #Chassis.Reset</t>
  </si>
  <si>
    <t>This action is used to reset the Chassis. This action resets the Chassis, not systems or other contained resources, although side-effects may occur which affect those resources.</t>
  </si>
  <si>
    <t>ChassisType</t>
  </si>
  <si>
    <t>The type of physical form factor of the Chassis.</t>
  </si>
  <si>
    <t>DepthMm</t>
  </si>
  <si>
    <t>The depth of the Chassis.</t>
  </si>
  <si>
    <t>HeightMm</t>
  </si>
  <si>
    <t>The height of the Chassis.</t>
  </si>
  <si>
    <t xml:space="preserve">   ContainedBy</t>
  </si>
  <si>
    <t>A link to another Chassis resource.</t>
  </si>
  <si>
    <t xml:space="preserve">   Contains</t>
  </si>
  <si>
    <t>A Chassis or a specific set of fans.</t>
  </si>
  <si>
    <t>A link to a Drives resource.</t>
  </si>
  <si>
    <t xml:space="preserve">   ManagersInChassis</t>
  </si>
  <si>
    <t xml:space="preserve">   PCIeDevices</t>
  </si>
  <si>
    <t xml:space="preserve">   Storage</t>
  </si>
  <si>
    <t>A link to a Storage resource.</t>
  </si>
  <si>
    <t xml:space="preserve">   Switches</t>
  </si>
  <si>
    <t>Physical location of hardware.</t>
  </si>
  <si>
    <t>The model number of the Chassis.</t>
  </si>
  <si>
    <t>NetworkAdapters</t>
  </si>
  <si>
    <t>A link to the collection of NetworkAdapters.</t>
  </si>
  <si>
    <t>The part number of the Chassis.</t>
  </si>
  <si>
    <t>PCIeSlots</t>
  </si>
  <si>
    <t>A link to a PCIeSlots resource.</t>
  </si>
  <si>
    <t>PhysicalSecurity</t>
  </si>
  <si>
    <t>The state of the physical security sensor.</t>
  </si>
  <si>
    <t xml:space="preserve">   IntrusionSensor</t>
  </si>
  <si>
    <t>Indicates the known state of the physical security sensor, such as if it is hardware intrusion detected.</t>
  </si>
  <si>
    <t xml:space="preserve">   IntrusionSensorNumber</t>
  </si>
  <si>
    <t>A numerical identifier to represent the physical security sensor.</t>
  </si>
  <si>
    <t xml:space="preserve">   IntrusionSensorReArm</t>
  </si>
  <si>
    <t>Indicates how the normal state is to be restored.</t>
  </si>
  <si>
    <t>Power</t>
  </si>
  <si>
    <t>A link to a Power resource.</t>
  </si>
  <si>
    <t>The current power state of the Chassis.</t>
  </si>
  <si>
    <t>The SKU of the Chassis.</t>
  </si>
  <si>
    <t>The serial number of the Chassis.</t>
  </si>
  <si>
    <t>Thermal</t>
  </si>
  <si>
    <t>A link to a Thermal resource.</t>
  </si>
  <si>
    <t>WeightKg</t>
  </si>
  <si>
    <t>The weight of the Chassis.</t>
  </si>
  <si>
    <t>WidthMm</t>
  </si>
  <si>
    <t>The width of the Chassis.</t>
  </si>
  <si>
    <t>Chassis URIs</t>
  </si>
  <si>
    <t>/redfish/v1/Chassis/{ChassisId}</t>
  </si>
  <si>
    <t>Table 69: O-PAS Profile Map for the Redfish Drive Resource</t>
  </si>
  <si>
    <t>Drive (1.5.0)</t>
  </si>
  <si>
    <t xml:space="preserve">   #Drive.SecureErase</t>
  </si>
  <si>
    <t>This action is used to securely erase the contents of the Drive.</t>
  </si>
  <si>
    <t>A reference to the Assembly resource associated with this Drive.</t>
  </si>
  <si>
    <t>The user-assigned asset tag for this Drive.</t>
  </si>
  <si>
    <t>The size of the smallest addressable unit (block) of this Drive in bytes.</t>
  </si>
  <si>
    <t>CapableSpeedGbs</t>
  </si>
  <si>
    <t>The speed which this Drive can communicate to a StorageController in ideal conditions in Gigabits per second.</t>
  </si>
  <si>
    <t>The size in bytes of this Drive.</t>
  </si>
  <si>
    <t>EncryptionAbility</t>
  </si>
  <si>
    <t>The encryption abilities of this Drive.</t>
  </si>
  <si>
    <t>EncryptionStatus</t>
  </si>
  <si>
    <t>The status of the encryption of this Drive.</t>
  </si>
  <si>
    <t>FailurePredicted</t>
  </si>
  <si>
    <t>Is this Drive currently predicting a failure in the near future?</t>
  </si>
  <si>
    <t>HotspareType</t>
  </si>
  <si>
    <t>The type of hotspare this Drive is currently serving as.</t>
  </si>
  <si>
    <t>The DurableNames for the Drive.</t>
  </si>
  <si>
    <t>A reference to the Chassis which contains this Drive.</t>
  </si>
  <si>
    <t>An array of references to the Endpoints that connect to this Drive.</t>
  </si>
  <si>
    <t xml:space="preserve">   Volumes</t>
  </si>
  <si>
    <t>An array of references to the Volumes contained in this Drive. This will reference Volumes that are either wholly or only partly contained by this Drive.</t>
  </si>
  <si>
    <t>A link to a Volume resource.</t>
  </si>
  <si>
    <t>The manufacturer of this Drive.</t>
  </si>
  <si>
    <t>MediaType</t>
  </si>
  <si>
    <t>The type of media contained in this Drive.</t>
  </si>
  <si>
    <t>The model number for the Drive.</t>
  </si>
  <si>
    <t>NegotiatedSpeedGbs</t>
  </si>
  <si>
    <t>The speed which this Drive is currently communicating to the StorageController in Gigabits per second.</t>
  </si>
  <si>
    <t>The operations currently running on the Drive.</t>
  </si>
  <si>
    <t>A reference to the Task associated with the Operations, if any.</t>
  </si>
  <si>
    <t>The part number for this Drive.</t>
  </si>
  <si>
    <t>PhysicalLocation</t>
  </si>
  <si>
    <t>PredictedMediaLifeLeftPercent</t>
  </si>
  <si>
    <t>The protocol this Drive is using to communicate to the StorageController.</t>
  </si>
  <si>
    <t>Revision</t>
  </si>
  <si>
    <t>The revision of this Drive. This is typically the firmware/hardware version of the Drive.</t>
  </si>
  <si>
    <t>RotationSpeedRPM</t>
  </si>
  <si>
    <t>The rotation speed of this Drive in Revolutions per Minute (RPM).</t>
  </si>
  <si>
    <t>The SKU for this Drive.</t>
  </si>
  <si>
    <t>The serial number for this Drive.</t>
  </si>
  <si>
    <t>StatusIndicator</t>
  </si>
  <si>
    <t>The state of the status indicator used to communicate status information about this Drive.</t>
  </si>
  <si>
    <t>Drive URIs</t>
  </si>
  <si>
    <t>/redfish/v1/Chassis/{ChassisId}/Drives/{DriveId}</t>
  </si>
  <si>
    <t>/redfish/v1/Systems/{ComputerSystemId}/Storage/{StorageId}/Drives/{DriveId}</t>
  </si>
  <si>
    <t>Table 70: O-PAS Profile Map for the Redfish Location Object</t>
  </si>
  <si>
    <t>AltitudeMeters</t>
  </si>
  <si>
    <t>The altitude of the resource in meters.</t>
  </si>
  <si>
    <t>Contacts</t>
  </si>
  <si>
    <t>Array of contact information.</t>
  </si>
  <si>
    <t xml:space="preserve">   ContactName</t>
  </si>
  <si>
    <t>Name of this contact.</t>
  </si>
  <si>
    <t xml:space="preserve">   EmailAddress</t>
  </si>
  <si>
    <t>Email address for this contact.</t>
  </si>
  <si>
    <t xml:space="preserve">   PhoneNumber</t>
  </si>
  <si>
    <t>Phone number for this contact.</t>
  </si>
  <si>
    <t>Info</t>
  </si>
  <si>
    <t>Indicates the location of the resource.</t>
  </si>
  <si>
    <t>InfoFormat</t>
  </si>
  <si>
    <t>This represents the format of the Info property.</t>
  </si>
  <si>
    <t>Latitude</t>
  </si>
  <si>
    <t>The Latitude resource.</t>
  </si>
  <si>
    <t>Longitude</t>
  </si>
  <si>
    <t>The Longitude resource in degrees.</t>
  </si>
  <si>
    <t>PartLocation</t>
  </si>
  <si>
    <t>Postal address of the addressed resource.</t>
  </si>
  <si>
    <t xml:space="preserve">   LocationOrdinalValue</t>
  </si>
  <si>
    <t>The number that represents the location of the part. If LocationType is slot and this unit is in slot 2, then the LocationOrdinalValue will be 2.</t>
  </si>
  <si>
    <t xml:space="preserve">   LocationType</t>
  </si>
  <si>
    <t>The type of location of the part, such as slot, bay, or socket.</t>
  </si>
  <si>
    <t xml:space="preserve">   Orientation</t>
  </si>
  <si>
    <t>The orientation for the ordering of the slot enumeration used by the LocationOrdinalValue property.</t>
  </si>
  <si>
    <t xml:space="preserve">   Reference</t>
  </si>
  <si>
    <t>The reference point for the part location. This is used to give guidance as to the general location of the part.</t>
  </si>
  <si>
    <t xml:space="preserve">   ServiceLabel</t>
  </si>
  <si>
    <t>The label of the part location, such as a silk screened name or a printed label.</t>
  </si>
  <si>
    <t>Placement</t>
  </si>
  <si>
    <t>A place within the addressed Location.</t>
  </si>
  <si>
    <t xml:space="preserve">   AdditionalInfo</t>
  </si>
  <si>
    <t>Area designation or other additional information.</t>
  </si>
  <si>
    <t xml:space="preserve">   Rack</t>
  </si>
  <si>
    <t>Name of a rack Location within a Row.</t>
  </si>
  <si>
    <t xml:space="preserve">   RackOffset</t>
  </si>
  <si>
    <t>Vertical location of the item in terms of RackOffsetUnits.</t>
  </si>
  <si>
    <t xml:space="preserve">   RackOffsetUnits</t>
  </si>
  <si>
    <t>The type of rack units in use.</t>
  </si>
  <si>
    <t xml:space="preserve">   Row</t>
  </si>
  <si>
    <t>Name of Row.</t>
  </si>
  <si>
    <t>PostalAddress</t>
  </si>
  <si>
    <t xml:space="preserve">   AdditionalCode</t>
  </si>
  <si>
    <t>Additional code.</t>
  </si>
  <si>
    <t xml:space="preserve">   Building</t>
  </si>
  <si>
    <t>Name of the building.</t>
  </si>
  <si>
    <t xml:space="preserve">   City</t>
  </si>
  <si>
    <t>City, township, or shi (Japan).</t>
  </si>
  <si>
    <t xml:space="preserve">   Community</t>
  </si>
  <si>
    <t>Postal community name.</t>
  </si>
  <si>
    <t xml:space="preserve">   Country</t>
  </si>
  <si>
    <t>Country.</t>
  </si>
  <si>
    <t xml:space="preserve">   District</t>
  </si>
  <si>
    <t>A county, parish, gun (Japan), or district (India).</t>
  </si>
  <si>
    <t xml:space="preserve">   Division</t>
  </si>
  <si>
    <t xml:space="preserve">   Floor</t>
  </si>
  <si>
    <t>Floor.</t>
  </si>
  <si>
    <t xml:space="preserve">   GPSCoords</t>
  </si>
  <si>
    <t>The GPS coordinates of the part.</t>
  </si>
  <si>
    <t xml:space="preserve">   HouseNumber</t>
  </si>
  <si>
    <t>Numeric portion of house number.</t>
  </si>
  <si>
    <t xml:space="preserve">   HouseNumberSuffix</t>
  </si>
  <si>
    <t>House number suffix.</t>
  </si>
  <si>
    <t xml:space="preserve">   Landmark</t>
  </si>
  <si>
    <t>Landmark.</t>
  </si>
  <si>
    <t xml:space="preserve">   LeadingStreetDirection</t>
  </si>
  <si>
    <t>A leading street direction.</t>
  </si>
  <si>
    <t>Room designation or other additional information.</t>
  </si>
  <si>
    <t>Name.</t>
  </si>
  <si>
    <t xml:space="preserve">   Neighborhood</t>
  </si>
  <si>
    <t>Neighborhood or block.</t>
  </si>
  <si>
    <t xml:space="preserve">   POBox</t>
  </si>
  <si>
    <t>Post office box (PO box).</t>
  </si>
  <si>
    <t xml:space="preserve">   PlaceType</t>
  </si>
  <si>
    <t>A description of the type of place that is addressed.</t>
  </si>
  <si>
    <t xml:space="preserve">   PostalCode</t>
  </si>
  <si>
    <t>Postal code (or zip code).</t>
  </si>
  <si>
    <t xml:space="preserve">   Road</t>
  </si>
  <si>
    <t>A primary road or street.</t>
  </si>
  <si>
    <t xml:space="preserve">   RoadBranch</t>
  </si>
  <si>
    <t>Road branch.</t>
  </si>
  <si>
    <t xml:space="preserve">   RoadPostModifier</t>
  </si>
  <si>
    <t>Road post-modifier.</t>
  </si>
  <si>
    <t xml:space="preserve">   RoadPreModifier</t>
  </si>
  <si>
    <t>Road pre-modifier.</t>
  </si>
  <si>
    <t xml:space="preserve">   RoadSection</t>
  </si>
  <si>
    <t xml:space="preserve">   RoadSubBranch</t>
  </si>
  <si>
    <t>Road sub-branch.</t>
  </si>
  <si>
    <t xml:space="preserve">   Room</t>
  </si>
  <si>
    <t>Name or number of the room.</t>
  </si>
  <si>
    <t xml:space="preserve">   Seat</t>
  </si>
  <si>
    <t>Seat (desk, cubicle, workstation).</t>
  </si>
  <si>
    <t xml:space="preserve">   Street</t>
  </si>
  <si>
    <t>Street name.</t>
  </si>
  <si>
    <t xml:space="preserve">   StreetSuffix</t>
  </si>
  <si>
    <t>Avenue, Platz, Street, Circle.</t>
  </si>
  <si>
    <t xml:space="preserve">   Territory</t>
  </si>
  <si>
    <t>A top-level subdivision within a country.</t>
  </si>
  <si>
    <t xml:space="preserve">   TrailingStreetSuffix</t>
  </si>
  <si>
    <t>A trailing street suffix.</t>
  </si>
  <si>
    <t xml:space="preserve">   Unit</t>
  </si>
  <si>
    <t>Name or number of the unit (apartment, suite).</t>
  </si>
  <si>
    <t>Table 71: O-PAS Profile Map for the Redfish NetworkAdapter Resource</t>
  </si>
  <si>
    <t>NetworkAdapter (1.2.0)</t>
  </si>
  <si>
    <t xml:space="preserve">   #NetworkAdapter.ResetSettingsToDefault</t>
  </si>
  <si>
    <t>This action is to clear the settings back to factory defaults.</t>
  </si>
  <si>
    <t>A reference to the Assembly resource associated with this adapter.</t>
  </si>
  <si>
    <t>Controllers</t>
  </si>
  <si>
    <t xml:space="preserve">The set of network controllers’ ASICs that make up this NetworkAdapter. </t>
  </si>
  <si>
    <t xml:space="preserve">   ControllerCapabilities</t>
  </si>
  <si>
    <t>The capabilities of this controller.</t>
  </si>
  <si>
    <t xml:space="preserve">      DataCenterBridging</t>
  </si>
  <si>
    <t>Data Center Bridging (DCB) for this controller.</t>
  </si>
  <si>
    <t xml:space="preserve">         Capable</t>
  </si>
  <si>
    <t>Whether this controller is capable of DCB.</t>
  </si>
  <si>
    <t xml:space="preserve">      NPAR</t>
  </si>
  <si>
    <r>
      <t>NIC Partitioning (NPAR)</t>
    </r>
    <r>
      <rPr>
        <sz val="9"/>
        <color rgb="FF222222"/>
        <rFont val="Times New Roman"/>
        <family val="1"/>
      </rPr>
      <t xml:space="preserve"> capabilities for this controller.</t>
    </r>
  </si>
  <si>
    <t xml:space="preserve">         NparCapable</t>
  </si>
  <si>
    <t>Indicates whether or not NIC function partitioning is supported by a controller.</t>
  </si>
  <si>
    <t xml:space="preserve">         NparEnabled</t>
  </si>
  <si>
    <t>When true, NIC function partitioning is active on this controller.</t>
  </si>
  <si>
    <t xml:space="preserve">      NPIV</t>
  </si>
  <si>
    <t>N_Port ID Virtualization (NPIV) capabilities for this controller.</t>
  </si>
  <si>
    <t xml:space="preserve">         MaxDeviceLogins</t>
  </si>
  <si>
    <t>The maximum number of NPIV logins allowed simultaneously from all ports on this controller.</t>
  </si>
  <si>
    <t xml:space="preserve">         MaxPortLogins</t>
  </si>
  <si>
    <t>The maximum number of NPIV logins allowed per physical port on this controller.</t>
  </si>
  <si>
    <t xml:space="preserve">      NetworkDeviceFunctionCount</t>
  </si>
  <si>
    <t>The maximum number of physical functions available on this controller.</t>
  </si>
  <si>
    <t xml:space="preserve">      NetworkPortCount</t>
  </si>
  <si>
    <t>The number of physical ports on this controller.</t>
  </si>
  <si>
    <t xml:space="preserve">      VirtualizationOffload</t>
  </si>
  <si>
    <t>Virtualization offload for this controller.</t>
  </si>
  <si>
    <t xml:space="preserve">         SRIOV</t>
  </si>
  <si>
    <t>SR-IOV capabilities.</t>
  </si>
  <si>
    <t xml:space="preserve">            SRIOVVEPACapable</t>
  </si>
  <si>
    <t>Whether this controller supports SR-IOV in Virtual Ethernet Port Aggregator (VEPA) mode.</t>
  </si>
  <si>
    <t xml:space="preserve">         VirtualFunction</t>
  </si>
  <si>
    <t>A VF of a controller.</t>
  </si>
  <si>
    <t xml:space="preserve">            DeviceMaxCount</t>
  </si>
  <si>
    <t xml:space="preserve">            MinAssignmentGroupSize</t>
  </si>
  <si>
    <t>The minimum number of VFs that can be allocated or moved between physical functions for this controller.</t>
  </si>
  <si>
    <t xml:space="preserve">            NetworkPortMaxCount</t>
  </si>
  <si>
    <t>The maximum number of VFs supported per NetworkPort for this controller.</t>
  </si>
  <si>
    <t>The version of the user-facing firmware package.</t>
  </si>
  <si>
    <t>A link to a NetworkDeviceFunctions resource.</t>
  </si>
  <si>
    <t xml:space="preserve">         Oem</t>
  </si>
  <si>
    <t>The location of the NetworkAdapter controller.</t>
  </si>
  <si>
    <t>The PCIe interface details for this controller.</t>
  </si>
  <si>
    <t xml:space="preserve">         @odata.id</t>
  </si>
  <si>
    <t>The manufacturer or OEM of this NetworkAdapter.</t>
  </si>
  <si>
    <t>The model string for this NetworkAdapter.</t>
  </si>
  <si>
    <t>Contains the members of this collection. Contains a link to a resource.</t>
  </si>
  <si>
    <t>Part number for this NetworkAdapter.</t>
  </si>
  <si>
    <t>The manufacturer SKU for this NetworkAdapter.</t>
  </si>
  <si>
    <t>The serial number for this NetworkAdapter.</t>
  </si>
  <si>
    <t>NetworkAdapter URIs</t>
  </si>
  <si>
    <t>/redfish/v1/Chassis/{ChassisId}/NetworkAdapters/{NetworkAdapterId}</t>
  </si>
  <si>
    <t>Table 72: O-PAS Profile Map for the Redfish PCIeDevice Resource</t>
  </si>
  <si>
    <t>PCIeDevice (1.3.0)</t>
  </si>
  <si>
    <t>A reference to the Assembly resource associated with this PCIeDevice.</t>
  </si>
  <si>
    <t>The user-assigned asset tag for this PCIeDevice.</t>
  </si>
  <si>
    <t>DeviceType</t>
  </si>
  <si>
    <t>The device type for this PCIeDevice.</t>
  </si>
  <si>
    <t>The version of firmware for this PCIeDevice.</t>
  </si>
  <si>
    <t>The Links object contains the links to other resources that are related to this resource.</t>
  </si>
  <si>
    <t>An array of references to the Chassis in which the PCIeDevice is contained.</t>
  </si>
  <si>
    <t xml:space="preserve">   PCIeFunctions</t>
  </si>
  <si>
    <t>The manufacturer of this PCIeDevice.</t>
  </si>
  <si>
    <t>The model number for the PCIeDevice.</t>
  </si>
  <si>
    <t>The part number for this PCIeDevice.</t>
  </si>
  <si>
    <t>PCIeInterface</t>
  </si>
  <si>
    <t>The PCIe interface details for this PCIeDevice.</t>
  </si>
  <si>
    <t xml:space="preserve">   LanesInUse</t>
  </si>
  <si>
    <t>The number of PCIe lanes in use by this device.</t>
  </si>
  <si>
    <t xml:space="preserve">   MaxLanes</t>
  </si>
  <si>
    <t>The number of PCIe lanes supported by this device.</t>
  </si>
  <si>
    <t xml:space="preserve">   MaxPCIeType</t>
  </si>
  <si>
    <t>The highest version of the PCIe specification supported by this device.</t>
  </si>
  <si>
    <t xml:space="preserve">   PCIeType</t>
  </si>
  <si>
    <t>The version of the PCIe specification in use by this device.</t>
  </si>
  <si>
    <t>The SKU for this PCIeDevice.</t>
  </si>
  <si>
    <t>The serial number for this PCIeDevice.</t>
  </si>
  <si>
    <t>PCIeDevice URIs</t>
  </si>
  <si>
    <t>/redfish/v1/Chassis/{ChassisId}/PCIeDevices/{PCIeDeviceId}</t>
  </si>
  <si>
    <t>/redfish/v1/Systems/{ComputerSystemId}/PCIeDevices/{PCIeDeviceId}</t>
  </si>
  <si>
    <t>Table 73: O-PAS Profile Map for the Redfish PCIeSlots Resource</t>
  </si>
  <si>
    <t>PCIeSlots (1.0.0)</t>
  </si>
  <si>
    <t xml:space="preserve">Slots </t>
  </si>
  <si>
    <t>An array of PCI slot information.</t>
  </si>
  <si>
    <t xml:space="preserve">   Lanes</t>
  </si>
  <si>
    <t>The number of PCIe lanes supported by this slot.</t>
  </si>
  <si>
    <t xml:space="preserve">      Oem</t>
  </si>
  <si>
    <t xml:space="preserve">      PCIeDevice</t>
  </si>
  <si>
    <t>An array of references to the PCIeDevices contained in this slot.</t>
  </si>
  <si>
    <t>The location of the PCIeSlots.</t>
  </si>
  <si>
    <t>The PCIe specification supported by this slot.</t>
  </si>
  <si>
    <t xml:space="preserve">   SlotType</t>
  </si>
  <si>
    <t>The PCIeSlot type for this slot.</t>
  </si>
  <si>
    <t>PCIeSlots URIs</t>
  </si>
  <si>
    <t>/redfish/v1/Chassis/{ChassisId}/PCIeSlots</t>
  </si>
  <si>
    <t>Table 74: O-PAS Profile Map for the Redfish Power Resource</t>
  </si>
  <si>
    <t>Power (1.5.1)</t>
  </si>
  <si>
    <t>PowerControl</t>
  </si>
  <si>
    <t>The definition for the PowerControl function (power reading/limiting).</t>
  </si>
  <si>
    <t>PowerControl function name.</t>
  </si>
  <si>
    <t xml:space="preserve">   PhysicalContext</t>
  </si>
  <si>
    <t>Describes the area, device, or set of devices to which this PowerControl applies.</t>
  </si>
  <si>
    <t xml:space="preserve">   PowerAllocatedWatts</t>
  </si>
  <si>
    <t>The total amount of power that has been allocated (or budgeted) to Chassis resources.</t>
  </si>
  <si>
    <t xml:space="preserve">   PowerAvailableWatts</t>
  </si>
  <si>
    <t>The amount of power not already budgeted and therefore available for additional allocation (PowerCapacity – PowerAllocated). This indicates how much reserve power capacity is left.</t>
  </si>
  <si>
    <t xml:space="preserve">   PowerCapacityWatts</t>
  </si>
  <si>
    <t>The total amount of power available to the Chassis for allocation. This may be the power supply capacity, or power budget assigned to the Chassis from an up-stream Chassis.</t>
  </si>
  <si>
    <t xml:space="preserve">   PowerConsumedWatts</t>
  </si>
  <si>
    <t>The actual power being consumed by the Chassis.</t>
  </si>
  <si>
    <t xml:space="preserve">   PowerLimit</t>
  </si>
  <si>
    <t xml:space="preserve">      CorrectionInMs</t>
  </si>
  <si>
    <t>The time required for the limiting process to reduce power consumption to below the limit.</t>
  </si>
  <si>
    <t xml:space="preserve">      LimitException</t>
  </si>
  <si>
    <t>The action that is taken if the power cannot be maintained below the LimitInWatts.</t>
  </si>
  <si>
    <t xml:space="preserve">      LimitInWatts</t>
  </si>
  <si>
    <t>The power limit in watts. Set to null to disable power capping.</t>
  </si>
  <si>
    <t xml:space="preserve">   PowerMetrics</t>
  </si>
  <si>
    <t xml:space="preserve">      AverageConsumedWatts</t>
  </si>
  <si>
    <t>The average power level over the measurement window (the last IntervalInMin minutes).</t>
  </si>
  <si>
    <t xml:space="preserve">      IntervalInMin</t>
  </si>
  <si>
    <t>The time interval (or window) over which the PowerMetrics are measured.</t>
  </si>
  <si>
    <t xml:space="preserve">      MaxConsumedWatts</t>
  </si>
  <si>
    <t>The highest power consumption level that has occurred over the measurement window (the last IntervalInMin minutes).</t>
  </si>
  <si>
    <t xml:space="preserve">      MinConsumedWatts</t>
  </si>
  <si>
    <t>The lowest power consumption level over the measurement window (the last IntervalInMin minutes).</t>
  </si>
  <si>
    <t xml:space="preserve">   PowerRequestedWatts</t>
  </si>
  <si>
    <t>The potential power that the Chassis resources are requesting which may be higher than the current level being consumed since requested power includes budget that the Chassis resource wants for future use.</t>
  </si>
  <si>
    <t xml:space="preserve">   RelatedItem</t>
  </si>
  <si>
    <t>The ID(s) of the resources associated with this power limit.</t>
  </si>
  <si>
    <t>PowerSupplies</t>
  </si>
  <si>
    <t>Details of the power supplies associated with this system or device.</t>
  </si>
  <si>
    <t>A reference to the Assembly resource associated with this power supply.</t>
  </si>
  <si>
    <t xml:space="preserve">   EfficiencyPercent</t>
  </si>
  <si>
    <t>The measured efficiency of this power supply as a percentage.</t>
  </si>
  <si>
    <t>The firmware version for this power supply.</t>
  </si>
  <si>
    <t xml:space="preserve">   HotPluggable</t>
  </si>
  <si>
    <t>Indicates if this device can be inserted or removed while the equipment is in operation.</t>
  </si>
  <si>
    <t xml:space="preserve">   IndicatorLED</t>
  </si>
  <si>
    <t>The state of the indicator LED used to identify the power supply.</t>
  </si>
  <si>
    <t xml:space="preserve">   InputRanges</t>
  </si>
  <si>
    <t>The input ranges that the power supply can use.</t>
  </si>
  <si>
    <t xml:space="preserve">      InputType</t>
  </si>
  <si>
    <t>The input type (AC or DC).</t>
  </si>
  <si>
    <t xml:space="preserve">      MaximumFrequencyHz</t>
  </si>
  <si>
    <t>The maximum line input frequency at which this power supply input range is effective.</t>
  </si>
  <si>
    <t xml:space="preserve">      MaximumVoltage</t>
  </si>
  <si>
    <t>The maximum line input voltage at which this power supply input range is effective.</t>
  </si>
  <si>
    <t xml:space="preserve">      MinimumFrequencyHz</t>
  </si>
  <si>
    <t>The minimum line input frequency at which this power supply input range is effective.</t>
  </si>
  <si>
    <t xml:space="preserve">      MinimumVoltage</t>
  </si>
  <si>
    <t>The minimum line input voltage at which this power supply input range is effective.</t>
  </si>
  <si>
    <t xml:space="preserve">      OutputWattage</t>
  </si>
  <si>
    <t>The average power output of this power supply.</t>
  </si>
  <si>
    <t xml:space="preserve">   LastPowerOutputWatts</t>
  </si>
  <si>
    <t>The line input voltage at which the power supply is operating.</t>
  </si>
  <si>
    <t xml:space="preserve">   LineInputVoltage</t>
  </si>
  <si>
    <t xml:space="preserve">   LineInputVoltageType</t>
  </si>
  <si>
    <t>The line voltage type supported as an input to this power supply.</t>
  </si>
  <si>
    <t>The manufacturer of this power supply.</t>
  </si>
  <si>
    <t>The model number for this power supply.</t>
  </si>
  <si>
    <t>The name of the power supply.</t>
  </si>
  <si>
    <t>The part number for this power supply.</t>
  </si>
  <si>
    <t>The maximum capacity of this power supply.</t>
  </si>
  <si>
    <t xml:space="preserve">   PowerInputWatts</t>
  </si>
  <si>
    <t>The measured input power of this power supply.</t>
  </si>
  <si>
    <t xml:space="preserve">   PowerOutputWatts</t>
  </si>
  <si>
    <t>The measured output power of this power supply.</t>
  </si>
  <si>
    <t xml:space="preserve">   PowerSupplyType</t>
  </si>
  <si>
    <t>The power supply type (AC or DC).</t>
  </si>
  <si>
    <t xml:space="preserve">   Redundancy</t>
  </si>
  <si>
    <t>This structure is used to show redundancy for power supplies. The component IDs will reference the members of the redundancy groups.</t>
  </si>
  <si>
    <t>The serial number for this power supply.</t>
  </si>
  <si>
    <t xml:space="preserve">   SparePartNumber</t>
  </si>
  <si>
    <t>The spare part number for this power supply.</t>
  </si>
  <si>
    <t>Redundancy information for the power subsystem of this system or device.</t>
  </si>
  <si>
    <t>Voltages</t>
  </si>
  <si>
    <t>The definition for voltage sensors.</t>
  </si>
  <si>
    <t xml:space="preserve">   LowerThresholdCritical</t>
  </si>
  <si>
    <t>Below normal range but not yet fatal.</t>
  </si>
  <si>
    <t xml:space="preserve">   LowerThresholdFatal</t>
  </si>
  <si>
    <t>Below normal range and is fatal.</t>
  </si>
  <si>
    <t xml:space="preserve">   LowerThresholdNonCritical</t>
  </si>
  <si>
    <t xml:space="preserve">   MaxReadingRange</t>
  </si>
  <si>
    <t>Maximum value for this voltage sensor.</t>
  </si>
  <si>
    <t xml:space="preserve">   MinReadingRange</t>
  </si>
  <si>
    <t>Minimum value for this voltage sensor.</t>
  </si>
  <si>
    <t>Voltage sensor name.</t>
  </si>
  <si>
    <t>Describes the area or device to which this voltage measurement applies.</t>
  </si>
  <si>
    <t xml:space="preserve">   ReadingVolts</t>
  </si>
  <si>
    <t>The present reading of the voltage sensor.</t>
  </si>
  <si>
    <t>Describes the areas or devices to which this voltage measurement applies.</t>
  </si>
  <si>
    <t xml:space="preserve">   SensorNumber</t>
  </si>
  <si>
    <t>A numerical identifier to represent the voltage sensor.</t>
  </si>
  <si>
    <t xml:space="preserve">   UpperThresholdCritical</t>
  </si>
  <si>
    <t>Above normal range but not yet fatal.</t>
  </si>
  <si>
    <t xml:space="preserve">   UpperThresholdFatal</t>
  </si>
  <si>
    <t>Above normal range and is fatal.</t>
  </si>
  <si>
    <t xml:space="preserve">   UpperThresholdNonCritical</t>
  </si>
  <si>
    <t>Power URIs</t>
  </si>
  <si>
    <t>/redfish/v1/Chassis/{ChassisId}/Power</t>
  </si>
  <si>
    <t>Table 75: O-PAS Profile Map for the Redfish Thermal Resource</t>
  </si>
  <si>
    <t>Thermal (1.5.0)</t>
  </si>
  <si>
    <t>Fans</t>
  </si>
  <si>
    <t>The definition for fans.</t>
  </si>
  <si>
    <t>A reference to the Assembly resource associated with this fan.</t>
  </si>
  <si>
    <t xml:space="preserve">   FanName</t>
  </si>
  <si>
    <t>Name of the fan.</t>
  </si>
  <si>
    <t>The state of the indicator LED used to identify this fan.</t>
  </si>
  <si>
    <t>The manufacturer of this fan.</t>
  </si>
  <si>
    <t>Maximum value for reading.</t>
  </si>
  <si>
    <t>Minimum value for reading.</t>
  </si>
  <si>
    <t>The model number for this fan.</t>
  </si>
  <si>
    <t>The part number for this fan.</t>
  </si>
  <si>
    <t xml:space="preserve">   Reading</t>
  </si>
  <si>
    <t>Current fan speed.</t>
  </si>
  <si>
    <t xml:space="preserve">   ReadingUnits</t>
  </si>
  <si>
    <t>Units in which the reading and thresholds are measured.</t>
  </si>
  <si>
    <t>This structure is used to show redundancy for fans. The component IDs will reference the members of the redundancy groups.</t>
  </si>
  <si>
    <t>The ID(s) of the resources serviced with this fan.</t>
  </si>
  <si>
    <t>The serial number for this fan.</t>
  </si>
  <si>
    <t>The spare part number for this fan.</t>
  </si>
  <si>
    <t>Temperatures</t>
  </si>
  <si>
    <t>The definition for temperature sensors.</t>
  </si>
  <si>
    <t xml:space="preserve">      AdjustedMaxAllowableOperatingValue</t>
  </si>
  <si>
    <t>Adjusted maximum allowable operating temperature for this equipment based on the current environmental conditions present.</t>
  </si>
  <si>
    <t xml:space="preserve">      AdjustedMinAllowableOperatingValue</t>
  </si>
  <si>
    <t>Adjusted minimum allowable operating temperature for this equipment based on the current environmental conditions present.</t>
  </si>
  <si>
    <t xml:space="preserve">   DeltaPhysicalContext</t>
  </si>
  <si>
    <t>Describes the area or device to which the DeltaReadingCelsius temperature measurement applies, relative to PhysicalContext.</t>
  </si>
  <si>
    <t xml:space="preserve">   DeltaReadingCelsius</t>
  </si>
  <si>
    <t>Delta temperature reading.</t>
  </si>
  <si>
    <t xml:space="preserve">   MaxAllowableOperatingValue</t>
  </si>
  <si>
    <t>Maximum allowable operating temperature for this equipment.</t>
  </si>
  <si>
    <t xml:space="preserve">   MaxReadingRangeTemp</t>
  </si>
  <si>
    <t>Maximum value for ReadingCelsius.</t>
  </si>
  <si>
    <t xml:space="preserve">   MinAllowableOperatingValue</t>
  </si>
  <si>
    <t>Minimum allowable operating temperature for this equipment.</t>
  </si>
  <si>
    <t xml:space="preserve">   MinReadingRangeTemp</t>
  </si>
  <si>
    <t>Minimum value for ReadingCelsius.</t>
  </si>
  <si>
    <t>Temperature sensor name.</t>
  </si>
  <si>
    <t>Describes the area or device to which this temperature measurement applies.</t>
  </si>
  <si>
    <t xml:space="preserve">   ReadingCelsius</t>
  </si>
  <si>
    <t>Temperature.</t>
  </si>
  <si>
    <t>Describes the areas or devices to which this temperature measurement applies.</t>
  </si>
  <si>
    <t>A numerical identifier to represent the temperature sensor.</t>
  </si>
  <si>
    <t>Thermal URIs</t>
  </si>
  <si>
    <t>/redfish/v1/Chassis/{ChassisId}/Thermal</t>
  </si>
  <si>
    <t>Table 76: O-PAS Profile Map for the Redfish Identifier Object</t>
  </si>
  <si>
    <t>Identifier</t>
  </si>
  <si>
    <t>DurableName</t>
  </si>
  <si>
    <t>Indicates the world-wide, persistent name of the resource.</t>
  </si>
  <si>
    <t>DurableNameFormat</t>
  </si>
  <si>
    <t>This represents the format of the DurableName property. See the Redfish Resource and Schema Guide for format details.</t>
  </si>
  <si>
    <t>Table 77: Redfish Identifier DurableNameFormat Values</t>
  </si>
  <si>
    <t>EUI</t>
  </si>
  <si>
    <t>IEEE-defined 64-bit Extended Unique Identifier</t>
  </si>
  <si>
    <t>FC_WWN</t>
  </si>
  <si>
    <t>Fibre Channel World-Wide Name</t>
  </si>
  <si>
    <t>NAA</t>
  </si>
  <si>
    <t>Name Address Authority Format</t>
  </si>
  <si>
    <t>NQN</t>
  </si>
  <si>
    <t>NVMe Qualified Name</t>
  </si>
  <si>
    <t>NSID</t>
  </si>
  <si>
    <t>NVM Namespace Identifier</t>
  </si>
  <si>
    <t>Universally Unique Identifier</t>
  </si>
  <si>
    <t>iQN</t>
  </si>
  <si>
    <t>iSCSI Qualified Name</t>
  </si>
  <si>
    <t>Table 78: O-PAS Profile Map for the Redfish AccountService</t>
  </si>
  <si>
    <t>AccountLockoutCounterResetAfter</t>
  </si>
  <si>
    <t>AccountLockoutDuration</t>
  </si>
  <si>
    <t>AccountLockoutThreshold</t>
  </si>
  <si>
    <t>The number of failed login attempts allowed before a user account is locked for a specified duration.</t>
  </si>
  <si>
    <t>Accounts</t>
  </si>
  <si>
    <t>A link to the collection of ManagerAccounts.</t>
  </si>
  <si>
    <t>A link to the collection of ManagerAccounts. See the ManagerAccount schema for details.</t>
  </si>
  <si>
    <t>ActiveDirectory</t>
  </si>
  <si>
    <t>The first ActiveDirectory ExternalAccountProvider this AccountService supports.</t>
  </si>
  <si>
    <t xml:space="preserve">   AccountProviderType</t>
  </si>
  <si>
    <t>This property contains the type of ExternalAccountProvider this resource references.</t>
  </si>
  <si>
    <t xml:space="preserve">   Authentication</t>
  </si>
  <si>
    <t>This property contains the authentication information for the ExternalAccountProvider.</t>
  </si>
  <si>
    <t xml:space="preserve">      AuthenticationType</t>
  </si>
  <si>
    <t>This property contains the type of authentication used to connect to the ExternalAccountProvider.</t>
  </si>
  <si>
    <t xml:space="preserve">      KerberosKeytab</t>
  </si>
  <si>
    <t>This property is used with a PATCH or PUT to write a base64 encoded version of the Kerberos keytab for the account.</t>
  </si>
  <si>
    <t xml:space="preserve">      Password</t>
  </si>
  <si>
    <t>This property is used with a PATCH or PUT to write the password for the AccountService.</t>
  </si>
  <si>
    <t xml:space="preserve">      Token</t>
  </si>
  <si>
    <t>This property is used with a PATCH or PUT to write the token for the account.</t>
  </si>
  <si>
    <t xml:space="preserve">      Username</t>
  </si>
  <si>
    <t>This property contains the user name for the AccountService.</t>
  </si>
  <si>
    <t xml:space="preserve">   LDAPService</t>
  </si>
  <si>
    <t>This property contains additional mapping information needed to parse a generic Lightweight Directory Access Protocol (LDAP) service.</t>
  </si>
  <si>
    <t xml:space="preserve">      SearchSettings</t>
  </si>
  <si>
    <t>This property contains the settings needed to search an external LDAP service.</t>
  </si>
  <si>
    <t xml:space="preserve">         BaseDistinguishedNames</t>
  </si>
  <si>
    <t>The base distinguished names to use when searching the LDAP service.</t>
  </si>
  <si>
    <t xml:space="preserve">         GroupNameAttribute</t>
  </si>
  <si>
    <t>The attribute name that contains the name of the group.</t>
  </si>
  <si>
    <t xml:space="preserve">         GroupsAttribute</t>
  </si>
  <si>
    <t>The attribute name that contains the groups for a user.</t>
  </si>
  <si>
    <t xml:space="preserve">         UsernameAttribute</t>
  </si>
  <si>
    <t>The attribute name that contains the user name.</t>
  </si>
  <si>
    <t xml:space="preserve">   RemoteRoleMapping</t>
  </si>
  <si>
    <t>This property contains a collection of the mapping rules to convert the ExternalAccountProviders account information to the local Redfish role.</t>
  </si>
  <si>
    <t xml:space="preserve">      LocalRole</t>
  </si>
  <si>
    <t>The name of the LocalRole in which to map the remote user or group.</t>
  </si>
  <si>
    <t xml:space="preserve">      RemoteGroup</t>
  </si>
  <si>
    <t>This property is the name of the remote group (or in the case of a Redfish service, remote role) that will be mapped to the LocalRole referenced by this entity.</t>
  </si>
  <si>
    <t xml:space="preserve">      RemoteUser</t>
  </si>
  <si>
    <t>This property is the name of the remote user that will be mapped to the LocalRole referenced by this entity.</t>
  </si>
  <si>
    <t xml:space="preserve">   ServiceAddresses</t>
  </si>
  <si>
    <t>This property contains the addresses of the user account providers this resource references. The format of this field depends on the type.</t>
  </si>
  <si>
    <t>AdditionalExternalAccountProviders</t>
  </si>
  <si>
    <t>The additional ExternalAccountProviders this AccountService is using.</t>
  </si>
  <si>
    <t>A link to the collection of ExternalAccountProviders.</t>
  </si>
  <si>
    <t>AuthFailureLoggingThreshold</t>
  </si>
  <si>
    <t>The number of authorization failures allowed before the failure attempt is logged to the manager log.</t>
  </si>
  <si>
    <t>LDAP</t>
  </si>
  <si>
    <t>The first LDAP ExternalAccountProvider this AccountService supports.</t>
  </si>
  <si>
    <t>Identification of a specific LDAP service.</t>
  </si>
  <si>
    <t>LocalAccountAuth</t>
  </si>
  <si>
    <t>Controls when this service will use the accounts defined within this AccountService as part of authentication.</t>
  </si>
  <si>
    <t>MaxPasswordLength</t>
  </si>
  <si>
    <t>The maximum password length for this service.</t>
  </si>
  <si>
    <t>MinPasswordLength</t>
  </si>
  <si>
    <t>The minimum password length for this service.</t>
  </si>
  <si>
    <t>PrivilegeMap</t>
  </si>
  <si>
    <t>A reference to the privilege mapping that defines the privileges needed to perform a requested operation on a URI associated with this service.</t>
  </si>
  <si>
    <t>A link to a PrivilegeRegistry resource.</t>
  </si>
  <si>
    <t>Roles</t>
  </si>
  <si>
    <t>A link to the collection of Roles. Contains a link to a resource.</t>
  </si>
  <si>
    <t>A link to the collection of Roles.</t>
  </si>
  <si>
    <t>Indicates whether this service is enabled. If set to false, the AccountService is disabled. This means no users can be created, deleted, or modified. Any service attempting to access the AccountService resource (for example, the SessionService) will fail.</t>
  </si>
  <si>
    <t>A remote service that can provide accounts for this manager to utilize for authentication.</t>
  </si>
  <si>
    <t>ExternalAccountProvider is not used in the O-PAS profiles.</t>
  </si>
  <si>
    <t>Table 79: O-PAS Profile Map for the Redfish ManagerAccount Resource</t>
  </si>
  <si>
    <t>ManagerAccount (1.1.3)</t>
  </si>
  <si>
    <t>This property is used by a user administrator to disable an account without having to delete the user information.</t>
  </si>
  <si>
    <t xml:space="preserve">   Role</t>
  </si>
  <si>
    <t>A reference to the Role object defining privileges for this account – returned when the resource is read. The ID of the role is the same as property RoleId.</t>
  </si>
  <si>
    <t>Locked</t>
  </si>
  <si>
    <t>RoleId</t>
  </si>
  <si>
    <t>ManagerAccount URIs</t>
  </si>
  <si>
    <t>/redfish/v1/AccountService/Accounts/{ManagerAccountId}</t>
  </si>
  <si>
    <t>/redfish/v1/Managers/{ManagerId}/RemoteAccountService/Accounts/{ManagerAccountId}</t>
  </si>
  <si>
    <t>This is the schema definition for operation to privilege mapping.</t>
  </si>
  <si>
    <t>PrivilegeRegistry is not used in the O-PAS profiles.</t>
  </si>
  <si>
    <t>Table 80: O-PAS Profile Map for the Redfish Role Resource</t>
  </si>
  <si>
    <t>Role (1.2.2)</t>
  </si>
  <si>
    <t>AssignedPrivileges</t>
  </si>
  <si>
    <t>The Redfish privileges that this Role includes.</t>
  </si>
  <si>
    <r>
      <t xml:space="preserve">This property is used to indicate if the Role is one of the Redfish predefined roles </t>
    </r>
    <r>
      <rPr>
        <i/>
        <sz val="9"/>
        <color rgb="FF000000"/>
        <rFont val="Times New Roman"/>
        <family val="1"/>
      </rPr>
      <t>versus</t>
    </r>
    <r>
      <rPr>
        <sz val="9"/>
        <color rgb="FF000000"/>
        <rFont val="Times New Roman"/>
        <family val="1"/>
      </rPr>
      <t xml:space="preserve"> a custom role.</t>
    </r>
  </si>
  <si>
    <t>OemPrivileges</t>
  </si>
  <si>
    <t>The OEM privileges that this Role includes.</t>
  </si>
  <si>
    <t>This property contains the name of the Role.</t>
  </si>
  <si>
    <t>Role URIs</t>
  </si>
  <si>
    <t>/redfish/v1/AccountService/Roles/{RoleId}</t>
  </si>
  <si>
    <t>/redfish/v1/Managers/{ManagerId}/RemoteAccountService/Roles/{RoleId}</t>
  </si>
  <si>
    <t>Table 81: O-PAS Profile Map for the Redfish SecureBoot Resource</t>
  </si>
  <si>
    <t>SecureBoot (1.0.4)</t>
  </si>
  <si>
    <t>This action is used to reset the SecureBoot keys.</t>
  </si>
  <si>
    <t>SecureBootCurrentBoot</t>
  </si>
  <si>
    <t>SecureBoot state during the current boot cycle.</t>
  </si>
  <si>
    <t>SecureBootEnable</t>
  </si>
  <si>
    <t>Enable or disable UEFI secure boot (takes effect on next boot).</t>
  </si>
  <si>
    <t>SecureBootMode</t>
  </si>
  <si>
    <t>Current SecureBoot mode.</t>
  </si>
  <si>
    <t>SecureBoot URIs</t>
  </si>
  <si>
    <t>/redfish/v1/Systems/{ComputerSystemId}/SecureBoot</t>
  </si>
  <si>
    <t>Resource</t>
  </si>
  <si>
    <t>Copy and paste entire Word Doc Resource Tables sections starting at Cell A3</t>
  </si>
  <si>
    <t>Select Profile (Red Box)</t>
  </si>
  <si>
    <t>Copy Combined colum into Word Doc below the profile metadata</t>
  </si>
  <si>
    <t>Substitutions</t>
  </si>
  <si>
    <t>&lt;cr&gt; with ^p</t>
  </si>
  <si>
    <t>&lt;tab&gt; with ^t</t>
  </si>
  <si>
    <t>^p^p with ^p (many times)</t>
  </si>
  <si>
    <t>Clean up</t>
  </si>
  <si>
    <t xml:space="preserve">   #SecureBoot.ResetKeys</t>
  </si>
  <si>
    <t>MetricReportDefinition (1.0.0)</t>
  </si>
  <si>
    <t xml:space="preserve">  @odata.id</t>
  </si>
  <si>
    <t>OPCUA</t>
  </si>
  <si>
    <t/>
  </si>
  <si>
    <t>NoMap</t>
  </si>
  <si>
    <t>1.1.9.1 OperatingSystem</t>
  </si>
  <si>
    <t>Hostname</t>
  </si>
  <si>
    <t>LastBootTime</t>
  </si>
  <si>
    <t>KernelName</t>
  </si>
  <si>
    <t>KernelRelease</t>
  </si>
  <si>
    <t>KernelVersion</t>
  </si>
  <si>
    <t>MemorySummaryStats</t>
  </si>
  <si>
    <t>Free CPU logical cores</t>
  </si>
  <si>
    <t>The set of volumes produced by the StorageControllers represented by this resource.</t>
  </si>
  <si>
    <t>A link to the collection of volumes/partitions.</t>
  </si>
  <si>
    <t>A link to the collection of Metrics agents</t>
  </si>
  <si>
    <t>VirtualMachines</t>
  </si>
  <si>
    <t>Containers</t>
  </si>
  <si>
    <t>Interface name</t>
  </si>
  <si>
    <t>LinkSpeed</t>
  </si>
  <si>
    <t>RxPacketsPerSecond</t>
  </si>
  <si>
    <t>TxPacketsPerSecond</t>
  </si>
  <si>
    <t>RxBytesPerSecond</t>
  </si>
  <si>
    <t>TxBytesPerSecond</t>
  </si>
  <si>
    <t>RxErrors</t>
  </si>
  <si>
    <t>TxErrors</t>
  </si>
  <si>
    <t>DroppedPackets</t>
  </si>
  <si>
    <t>MetricsAgentName</t>
  </si>
  <si>
    <t>ApplicationVersion</t>
  </si>
  <si>
    <t>VmName</t>
  </si>
  <si>
    <t>VmType</t>
  </si>
  <si>
    <t>VmCores</t>
  </si>
  <si>
    <t>Array of virtual storage volumes allocated</t>
  </si>
  <si>
    <t>VmDevices</t>
  </si>
  <si>
    <t>VmFeatures</t>
  </si>
  <si>
    <t>ContainerType</t>
  </si>
  <si>
    <t>ContainerCores</t>
  </si>
  <si>
    <t>OperatingSystem URIs</t>
  </si>
  <si>
    <t>1.1.9.7 VirtualMachine</t>
  </si>
  <si>
    <t>VirtualMachine URIs</t>
  </si>
  <si>
    <t>1.1.9.8 Container</t>
  </si>
  <si>
    <t>Container URIs</t>
  </si>
  <si>
    <t>1.1.9.5 MetricsAgent</t>
  </si>
  <si>
    <t>MetricsAgent URIs</t>
  </si>
  <si>
    <t>MetricsAgents</t>
  </si>
  <si>
    <t>ResourceRequirement</t>
  </si>
  <si>
    <t>DiskFreeBytes</t>
  </si>
  <si>
    <t>DiskUsedBytes</t>
  </si>
  <si>
    <t>DiskIopsRead</t>
  </si>
  <si>
    <t>DiskIopsWrite</t>
  </si>
  <si>
    <t>DiskKbpsWrite</t>
  </si>
  <si>
    <t>DiskKbpsRead</t>
  </si>
  <si>
    <t>The currently configured MAC address of the (logical port) interface.</t>
  </si>
  <si>
    <t>The currently configured Maximum Transmission Unit (MTU) in bytes on this interface.</t>
  </si>
  <si>
    <t>The LUN ID to boot from on the device referred to by the corresponding World-Wide Port Name (WWPN).</t>
  </si>
  <si>
    <t>Whether Single Root I/O Virtualization (SR-IOV) VFs are enabled for this NetworkDeviceFunction.</t>
  </si>
  <si>
    <r>
      <t>@odata.context</t>
    </r>
    <r>
      <rPr>
        <sz val="9"/>
        <rFont val="Times New Roman"/>
        <family val="1"/>
      </rPr>
      <t> </t>
    </r>
  </si>
  <si>
    <r>
      <t xml:space="preserve">Settings for this manager’s </t>
    </r>
    <r>
      <rPr>
        <i/>
        <sz val="9"/>
        <color rgb="FF000000"/>
        <rFont val="Times New Roman"/>
        <family val="1"/>
      </rPr>
      <t>IPMI</t>
    </r>
    <r>
      <rPr>
        <sz val="9"/>
        <color rgb="FF000000"/>
        <rFont val="Times New Roman"/>
        <family val="1"/>
      </rPr>
      <t>-over-LAN protocol support.</t>
    </r>
  </si>
  <si>
    <t>1.1.1.1               Bios</t>
  </si>
  <si>
    <t>1.1.1.2               BootOption</t>
  </si>
  <si>
    <t>1.1.1.3               ComputerSystem</t>
  </si>
  <si>
    <t>1.1.1.4               Endpoint</t>
  </si>
  <si>
    <t>1.1.1.5               Memory</t>
  </si>
  <si>
    <t>1.1.1.6               MemoryChunks</t>
  </si>
  <si>
    <t>1.1.1.7               MemoryDomain</t>
  </si>
  <si>
    <t>1.1.1.8               MemoryMetrics</t>
  </si>
  <si>
    <t>1.1.1.9               PCIeFunction</t>
  </si>
  <si>
    <t>1.1.1.10            Processor</t>
  </si>
  <si>
    <t>1.1.1.11            SimpleStorage</t>
  </si>
  <si>
    <t>1.1.1.12            Storage</t>
  </si>
  <si>
    <t>1.1.1.13            Volume</t>
  </si>
  <si>
    <t>1.1.2.1               Event</t>
  </si>
  <si>
    <t>1.1.2.2               EventDestination</t>
  </si>
  <si>
    <t>1.1.2.3               EventService</t>
  </si>
  <si>
    <t>1.1.2.4               LogEntry</t>
  </si>
  <si>
    <t>1.1.2.5               LogService</t>
  </si>
  <si>
    <t>1.1.2.6               MetricDefinition</t>
  </si>
  <si>
    <t>1.1.2.7               MetricReport</t>
  </si>
  <si>
    <t>1.1.2.8               MetricReportDefinition</t>
  </si>
  <si>
    <t>1.1.2.9               Status</t>
  </si>
  <si>
    <t>1.1.2.10            TelemetryService</t>
  </si>
  <si>
    <t>1.1.2.11            Triggers</t>
  </si>
  <si>
    <t>1.1.3                 Manager</t>
  </si>
  <si>
    <t>1.1.3.1               HostInterface</t>
  </si>
  <si>
    <t>1.1.3.2               Manager</t>
  </si>
  <si>
    <t>1.1.3.3               SerialInterface</t>
  </si>
  <si>
    <t>1.1.3.4               ServiceRoot</t>
  </si>
  <si>
    <t>1.1.3.5               VirtualMedia</t>
  </si>
  <si>
    <t>1.1.4                 Registries and Files</t>
  </si>
  <si>
    <t>1.1.4.1               AttributeRegistry</t>
  </si>
  <si>
    <t>1.1.4.2               Common Properties</t>
  </si>
  <si>
    <t>1.1.4.3               JSONSchemaFile</t>
  </si>
  <si>
    <t>1.1.4.4               Message</t>
  </si>
  <si>
    <t>1.1.4.5               MessageRegistry</t>
  </si>
  <si>
    <t>1.1.4.6               MessageRegistryFile</t>
  </si>
  <si>
    <t>1.1.4.7               Payload Annotations</t>
  </si>
  <si>
    <t>1.1.5                 Network</t>
  </si>
  <si>
    <t>1.1.5.1               EthernetInterface</t>
  </si>
  <si>
    <t>1.1.5.2               IPAddress</t>
  </si>
  <si>
    <t>1.1.5.3               ManagerNetworkProtocol</t>
  </si>
  <si>
    <t>1.1.5.4               NetworkDeviceFunction</t>
  </si>
  <si>
    <t>1.1.5.5               NetworkInterface</t>
  </si>
  <si>
    <t>1.1.5.6               NetworkPort</t>
  </si>
  <si>
    <t>1.1.5.7               Port</t>
  </si>
  <si>
    <t>1.1.5.8               Session</t>
  </si>
  <si>
    <t>1.1.5.9               SessionService</t>
  </si>
  <si>
    <t>1.1.5.10            Switch</t>
  </si>
  <si>
    <t>1.1.5.11            VLanNetworkInterface</t>
  </si>
  <si>
    <t>1.1.6                 Operations</t>
  </si>
  <si>
    <t>1.1.6.1               ActionInfo</t>
  </si>
  <si>
    <t>1.1.6.2               Job</t>
  </si>
  <si>
    <t>1.1.6.3               JobService</t>
  </si>
  <si>
    <t>1.1.6.4               MaintenanceWindow</t>
  </si>
  <si>
    <t>1.1.6.5               OperationApplyTimeSupport</t>
  </si>
  <si>
    <t>1.1.6.6               PreferredApplyTime</t>
  </si>
  <si>
    <t>1.1.6.7               Redundancy</t>
  </si>
  <si>
    <t>1.1.6.8               Schedule</t>
  </si>
  <si>
    <t>1.1.6.9               Settings</t>
  </si>
  <si>
    <t>1.1.6.10            SoftwareInventory</t>
  </si>
  <si>
    <t>1.1.6.11            Task</t>
  </si>
  <si>
    <t>1.1.6.12            TaskService</t>
  </si>
  <si>
    <t>1.1.6.13            UpdateService</t>
  </si>
  <si>
    <t>1.1.7                 Physical</t>
  </si>
  <si>
    <t>1.1.7.1               Assembly</t>
  </si>
  <si>
    <t>1.1.7.2               Chassis</t>
  </si>
  <si>
    <t>1.1.7.3               Drive</t>
  </si>
  <si>
    <t>1.1.7.4               Location</t>
  </si>
  <si>
    <t>1.1.7.5               NetworkAdapter</t>
  </si>
  <si>
    <t>1.1.7.6               PCIeDevice</t>
  </si>
  <si>
    <t>1.1.7.8               Power</t>
  </si>
  <si>
    <t>1.1.7.9               Thermal</t>
  </si>
  <si>
    <t>1.1.8                 Security</t>
  </si>
  <si>
    <t>1.1.8.1               Identifier</t>
  </si>
  <si>
    <t>1.1.8.2               AccountService</t>
  </si>
  <si>
    <t>1.1.8.3               ExternalAccountProvider</t>
  </si>
  <si>
    <t>1.1.8.4               ManagerAccount</t>
  </si>
  <si>
    <t>1.1.8.5               PrivilegeRegistry</t>
  </si>
  <si>
    <t>1.1.8.6               Role</t>
  </si>
  <si>
    <t>1.1.8.7               SecureBoot</t>
  </si>
  <si>
    <t>V1</t>
  </si>
  <si>
    <t>V2</t>
  </si>
  <si>
    <t>Y</t>
  </si>
  <si>
    <t>AccountService (1.3.1)</t>
  </si>
  <si>
    <t>ProfilePurpose</t>
  </si>
  <si>
    <t>Specifies the mapped resources and properties between the O-PAS Redfish profile superset and OPC UA.</t>
  </si>
  <si>
    <t>ProfileName</t>
  </si>
  <si>
    <t>OSM-OPC-UA</t>
  </si>
  <si>
    <t>PASTE red outlined box to opaf_sm_dump.txt for profile json generation</t>
  </si>
  <si>
    <t>LogicalProcessorCount</t>
  </si>
  <si>
    <t>ProcessorStats</t>
  </si>
  <si>
    <t>Status of virtual machine</t>
  </si>
  <si>
    <t xml:space="preserve">   SimpleStorage</t>
  </si>
  <si>
    <t xml:space="preserve">   Processors</t>
  </si>
  <si>
    <t xml:space="preserve">   Memory</t>
  </si>
  <si>
    <t>DiskPctUtilization</t>
  </si>
  <si>
    <t>These are the purpose descriptions that will go into each profile doc</t>
  </si>
  <si>
    <t>The BIOS AttributeRegistry describes the system-specific BIOS attributes and actions for changing the BIOS settings. Changes to the BIOS typically require a system reset before they take effect.</t>
  </si>
  <si>
    <t>A ComputerSystem represents a machine (physical or virtual) and the local resources such as memory, CPU, and other devices that can be accessed from that machine.</t>
  </si>
  <si>
    <t>Definition for Memory and its configuration.</t>
  </si>
  <si>
    <t>The MemoryMetrics resource contains usage and health statistics for a single Memory module or device instance.</t>
  </si>
  <si>
    <t>The PCIeFunction represents the properties of a PCIeFunction attached to a system.</t>
  </si>
  <si>
    <t>A Processor resource represents the properties of a Processor attached to a system.</t>
  </si>
  <si>
    <t>A SimpleStorage resource represents the properties of a StorageController and its directly-attached devices.</t>
  </si>
  <si>
    <t>A Storage resource represents a set of StorageControllers (physical or virtual) and the resources such as volumes that can be accessed from that subsystem.</t>
  </si>
  <si>
    <t>A Volume resource represents a file system storage system and its respective properties.</t>
  </si>
  <si>
    <t>The Event object is a JSON payload received by an EventDestination (which has subscribed to event notification) when Events occur. This resource contains data about Event(s), including descriptions, severity, and a MessageId reference to a MessageRegistry that can be accessed for further information.</t>
  </si>
  <si>
    <t>The EventDestination resource describes the target of an Event subscription, including the types of Events subscribed and context to provide to the target in the Event payload.</t>
  </si>
  <si>
    <t>The EventService resource contains properties for managing Event subscriptions and generates the Events sent to subscribers. The resource has links to the actual collection of subscriptions (called EventDestinations).</t>
  </si>
  <si>
    <r>
      <t xml:space="preserve">The LogEntry resource defines the record format for a log. It is designed to be used for SEL logs (from </t>
    </r>
    <r>
      <rPr>
        <i/>
        <sz val="9"/>
        <color rgb="FF000000"/>
        <rFont val="Times New Roman"/>
        <family val="1"/>
      </rPr>
      <t>IPMI</t>
    </r>
    <r>
      <rPr>
        <sz val="9"/>
        <color rgb="FF000000"/>
        <rFont val="Times New Roman"/>
        <family val="1"/>
      </rPr>
      <t>) as well as event logs and OEM-specific log formats. The EntryType field indicates the type of log and the resource includes several additional properties dependent on the EntryType.</t>
    </r>
  </si>
  <si>
    <t>This resource represents the log service for the resource or service to which it is associated.</t>
  </si>
  <si>
    <t>The MetricDefinition resource contains metadata information about a metric.</t>
  </si>
  <si>
    <t>The metric definitions used to create a metric report.</t>
  </si>
  <si>
    <t>MetricReportDefinitions are a set of metrics that are collected into a MetricReport.</t>
  </si>
  <si>
    <t>The Status object and its properties are common to Redfish schema to report Health, HealthRollup, and State data.</t>
  </si>
  <si>
    <t>Health status of a resource in the absence of its dependent resources.</t>
  </si>
  <si>
    <t>The TelemetryService resource is the definition for the metrics service. It represents the properties for the service itself and has links to collections of MetricDefinitions and MetricReportDefinitions.</t>
  </si>
  <si>
    <t>The Triggers resource specifies triggers and conditions.</t>
  </si>
  <si>
    <t>A HostInterface provides Redfish resource access to the main compute OS of the device. There is only one HostInterface resource.</t>
  </si>
  <si>
    <t>Examples of Managers are BMCs, Enclosure Managers, Management Controllers, and other subsystems assigned manageability functions.</t>
  </si>
  <si>
    <t>A SerialInterface resource defines an asynchronous serial interface.</t>
  </si>
  <si>
    <t>The ServiceRoot resource represents the root Redfish service.</t>
  </si>
  <si>
    <t>The AttributeRegistry resource contains a set of key-value pairs that represents the structure of a Registry. It includes mechanisms for building user interfaces (menus), allowing consistent navigation of the contents. The AttributeRegistry is specific to a particular implementation or product. The attributes and property names are not standardized.</t>
  </si>
  <si>
    <t>These are properties which are defined for inclusion in almost all Redfish schema, and therefore may be encountered in any Response payload.</t>
  </si>
  <si>
    <t>The JSONSchemaFile resource defines the properties for the schema file locator resource.</t>
  </si>
  <si>
    <t>A Message object is returned by a Redfish service.</t>
  </si>
  <si>
    <t>A MessageRegistry object represents the properties for the registries themselves. The MessageId is formed per the Redfish specification. It consists of the RegistryPrefix concatenated with the version concatenated with the unique identifier for the MessageRegistry entry.</t>
  </si>
  <si>
    <t>The MessageRegistryFile resource uses the schema file locator resource.</t>
  </si>
  <si>
    <r>
      <t xml:space="preserve">The payload annotations are a mechanism in which a service provides additional information about a given property or object. Redfish limits usage of these annotations to </t>
    </r>
    <r>
      <rPr>
        <i/>
        <sz val="9"/>
        <color rgb="FF000000"/>
        <rFont val="Times New Roman"/>
        <family val="1"/>
      </rPr>
      <t>OData</t>
    </r>
    <r>
      <rPr>
        <sz val="9"/>
        <color rgb="FF000000"/>
        <rFont val="Times New Roman"/>
        <family val="1"/>
      </rPr>
      <t xml:space="preserve"> core terms, Redfish Extensions, or Redfish Messages.</t>
    </r>
  </si>
  <si>
    <t>The properties of IPAddress objects appear in several areas of the data model.</t>
  </si>
  <si>
    <t>Properties of a single IPv6 static address to be assigned on a network gateway interface.</t>
  </si>
  <si>
    <t>Defines the properties of a single IPv6 static address to be assigned on a network interface.</t>
  </si>
  <si>
    <t>The ManagerNetworkProtocol resource and properties are used to obtain or modify the network services managed by a given manager.</t>
  </si>
  <si>
    <t>A NetworkDeviceFunction resource represents a logical interface exposed by the NetworkAdapter.</t>
  </si>
  <si>
    <t>A NetworkPort resource represents a discrete physical port capable of connecting to a network.</t>
  </si>
  <si>
    <t>The SessionService resource represents the properties for the service itself and has links to the actual list of sessions.</t>
  </si>
  <si>
    <t>A Session resource describes a single connection (session) between a client and a Redfish service instance.</t>
  </si>
  <si>
    <t>The VLanNetworkInterface resource defines a VLAN.</t>
  </si>
  <si>
    <t>The ActionInfo parameters and other information define what is necessary to perform a Redfish action on a particular action target. Parameter support can differ between vendors and even between instances of a resource. This data can be used to ensure action requests from applications contain supported parameters.</t>
  </si>
  <si>
    <t>A Job resource contains information about a specific Job scheduled or being executed by a Redfish service’s JobService.</t>
  </si>
  <si>
    <t>The JobService has the properties for the service itself and has links to the actual list of tasks.</t>
  </si>
  <si>
    <t>A MaintenanceWindow defines an object which indicates if a given resource has a maintenance window assignment for applying settings or operations.</t>
  </si>
  <si>
    <t>An OperationApplyTimeSupport object defines an object which indicates if a client is allowed to request for a specific apply time of a Create, Delete, or Action operation of a given resource.</t>
  </si>
  <si>
    <t>A PreferredApplyTime object indicates when the future configuration (i.e., Settings resource) should be applied.</t>
  </si>
  <si>
    <t>The Redundancy objects are used in other resource schemas.</t>
  </si>
  <si>
    <t>A Schedule object represents a series of occurrences.</t>
  </si>
  <si>
    <t>A Task resource contains information about a specific task scheduled by or being executed by a Redfish service’s task service.</t>
  </si>
  <si>
    <t>The TaskService represents the properties for the service itself and has links to the actual list of tasks.</t>
  </si>
  <si>
    <t>The UpdateService represents the properties for the service itself and has links to collections of firmware and software inventory.</t>
  </si>
  <si>
    <t>The Chassis resource represents the physical components of a system. This resource represents the sheet-metal confined spaces and logical zones such as racks, enclosures, chassis, and all other containers. Subsystems (like sensors) that operate outside of a system’s data plane (meaning the resources are not accessible to software running on the system) are linked either directly or indirectly through this resource.</t>
  </si>
  <si>
    <t>The Drive resource represents a single physical disk drive for a system, including links to associated Volumes.</t>
  </si>
  <si>
    <t>The Location objects are common to many Redfish schema.</t>
  </si>
  <si>
    <t>The NetworkAdapter resource represents the physical network adapter capable of connecting to a computer network. Examples include but are not limited to Ethernet, FC, and CNAs.</t>
  </si>
  <si>
    <t>The PCIeDevice resource represents the properties of a PCIeDevice attached to a system.</t>
  </si>
  <si>
    <t>The Power resource represents the properties for power consumption and power limiting.</t>
  </si>
  <si>
    <t>The Thermal resource represents the properties for temperature and cooling.</t>
  </si>
  <si>
    <t>The Identifier object defines the properties used to identify a particular instance of a device.</t>
  </si>
  <si>
    <t>Values for the DurableName property which identify the format of the name.</t>
  </si>
  <si>
    <t>The AccountService is used for managing user accounts.</t>
  </si>
  <si>
    <t>The ManagerAccount resource is used for user accounts, owned by a manager.</t>
  </si>
  <si>
    <t>A Role resource is used in conjunction with a ManagerAccount.</t>
  </si>
  <si>
    <t>The SecureBoot resource contains UEFI secure boot information. It represents properties for managing the UEFI secure boot functionality of a system.</t>
  </si>
  <si>
    <t>Resource defining in-band operating characteristics, capabilities, and metrics.</t>
  </si>
  <si>
    <t xml:space="preserve">   #VirtualMachine.Reset</t>
  </si>
  <si>
    <t xml:space="preserve">   #Container.Reset</t>
  </si>
  <si>
    <t xml:space="preserve">   #Container.Start</t>
  </si>
  <si>
    <t xml:space="preserve">   #Container.Stop</t>
  </si>
  <si>
    <t>VmPinnedCores</t>
  </si>
  <si>
    <t>VmMemoryShared</t>
  </si>
  <si>
    <t>VmVolumes</t>
  </si>
  <si>
    <t>SystemFault</t>
  </si>
  <si>
    <t>CommunicationFault</t>
  </si>
  <si>
    <t>InternalErrorIndex</t>
  </si>
  <si>
    <t>TimeSyncError</t>
  </si>
  <si>
    <t>ConnectionState</t>
  </si>
  <si>
    <t>ProductRatings</t>
  </si>
  <si>
    <t>The string for the certificate.</t>
  </si>
  <si>
    <t>City string read-only The city or locality of the organization of the entity.</t>
  </si>
  <si>
    <t>CertificateString</t>
  </si>
  <si>
    <t>Issuer</t>
  </si>
  <si>
    <t xml:space="preserve">   CommonName</t>
  </si>
  <si>
    <t xml:space="preserve">   Email</t>
  </si>
  <si>
    <t xml:space="preserve">   Organization</t>
  </si>
  <si>
    <t xml:space="preserve">   OrganizationalUnit</t>
  </si>
  <si>
    <t xml:space="preserve">   State</t>
  </si>
  <si>
    <t>Subject</t>
  </si>
  <si>
    <t>ValidNotAfter</t>
  </si>
  <si>
    <t>ValidNotBefore</t>
  </si>
  <si>
    <t xml:space="preserve"> The available actions for this resource.</t>
  </si>
  <si>
    <t>The city or locality of the organization of the entity.</t>
  </si>
  <si>
    <t>The issuer of the certificate.</t>
  </si>
  <si>
    <t>The fully qualified domain name of the entity.</t>
  </si>
  <si>
    <t>The country of the organization of the entity.</t>
  </si>
  <si>
    <t>The email address of the contact within the organization of the entity.</t>
  </si>
  <si>
    <t>The name of the organization of the entity.</t>
  </si>
  <si>
    <t>The name of the unit or division of the organization of the entity.</t>
  </si>
  <si>
    <t>KeyUsage</t>
  </si>
  <si>
    <t>The date when the certificate is no longer valid</t>
  </si>
  <si>
    <t>The date when the certificate becomes valid</t>
  </si>
  <si>
    <t>1.1.9.8 Certificate</t>
  </si>
  <si>
    <t>The Certificate resource describes a certificate used to prove the identify of a component, account, or service.</t>
  </si>
  <si>
    <t>/redfish/v1/AccountService/Accounts/{ManagerAccountId}/Certificates/{CertificateId}</t>
  </si>
  <si>
    <t>/redfish/v1/AccountService/ActiveDirectory/Certificates/{CertificateId}</t>
  </si>
  <si>
    <t>/redfish/v1/AccountService/ExternalAccountProviders/{ExternalAccountProviderId}/Certificates/{CertificateId}</t>
  </si>
  <si>
    <t>/redfish/v1/AccountService/LDAP/Certificates/{CertificateId}</t>
  </si>
  <si>
    <t>/redfish/v1/Managers/{ManagerId}/NetworkProtocol/HTTPS/Certificates/{CertificateId}</t>
  </si>
  <si>
    <t>/redfish/v1/Managers/{ManagerId}/RemoteAccountService/Accounts/{ManagerAccountId}/Certificates/{CertificateId}</t>
  </si>
  <si>
    <t>/redfish/v1/Managers/{ManagerId}/RemoteAccountService/ActiveDirectory/Certificates/{CertificateId}</t>
  </si>
  <si>
    <t>/redfish/v1/Managers/{ManagerId}/RemoteAccountService/ExternalAccountProviders/{ExternalAccountProviderId}/Certificates/{CertificateId}</t>
  </si>
  <si>
    <t>/redfish/v1/Managers/{ManagerId}/RemoteAccountService/LDAP/Certificates/{CertificateId}</t>
  </si>
  <si>
    <t>Certificate URIs:</t>
  </si>
  <si>
    <t>1.1.9.8 CertificateLocations</t>
  </si>
  <si>
    <t>Certificates</t>
  </si>
  <si>
    <t>OEM</t>
  </si>
  <si>
    <t xml:space="preserve">   Certificates</t>
  </si>
  <si>
    <t>This property is an array of references to the certificates installed on this service.</t>
  </si>
  <si>
    <t>Link to a Certificate resource. See the Links section and the Certificate schema for details.</t>
  </si>
  <si>
    <t>See the OEM object definition in the Common properties section.</t>
  </si>
  <si>
    <t>/redfish/v1/CertificateService/CertificateLocations</t>
  </si>
  <si>
    <t>The CertificateLocations schema defines a resource that an administrator can use in order to locate all certificates installed on a given service.</t>
  </si>
  <si>
    <t>1.1.9.8 CertificateService</t>
  </si>
  <si>
    <t>The CertificateService schema defines a Certificate Service which represents the actions available to manage certificates and links to where certificates are installed.</t>
  </si>
  <si>
    <t>/redfish/v1/CertificateService</t>
  </si>
  <si>
    <t>CertificateService URIs:</t>
  </si>
  <si>
    <t>CertificateLocations</t>
  </si>
  <si>
    <t>Link to a CertificateLocations resource. See the Links section and the CertificateLocations schema for details.</t>
  </si>
  <si>
    <t>Information regarding the location of certificates. See the CertificateLocations schema for details on this property.</t>
  </si>
  <si>
    <t>This action is used to replace an existing certificate.</t>
  </si>
  <si>
    <t>This action is used to perform a certificate signing request.</t>
  </si>
  <si>
    <t xml:space="preserve">   #CertificateService.GenerateCSR</t>
  </si>
  <si>
    <t xml:space="preserve">   #CertificateService.ReplaceCertificate</t>
  </si>
  <si>
    <t>CertificateType</t>
  </si>
  <si>
    <t>The format of the certificate (PEM, PKCS7)</t>
  </si>
  <si>
    <t>The issuer of the certificate.B2770</t>
  </si>
  <si>
    <t>CertificateLocations (1.0.0)</t>
  </si>
  <si>
    <t>CertificateLocations URIs:</t>
  </si>
  <si>
    <t>This is a reference to a collection of certificates used for this account. Contains a link to a resource.</t>
  </si>
  <si>
    <t>Link to Collection of Certificate. See the Certificate schema for details.</t>
  </si>
  <si>
    <t>/redfish/v1/AccountService</t>
  </si>
  <si>
    <t>/redfish/v1/Managers/{ManagerId}/RemoteAccountService</t>
  </si>
  <si>
    <t>AccountService URIs:</t>
  </si>
  <si>
    <t>This type describes the settings of a resource.</t>
  </si>
  <si>
    <t xml:space="preserve">   ContainerTypesSupported</t>
  </si>
  <si>
    <t>1.1.9.5 RemoteLoggingAgent</t>
  </si>
  <si>
    <t>RemoteLoggingAgent URIs</t>
  </si>
  <si>
    <t>OPASProfile</t>
  </si>
  <si>
    <t>OPASVersion</t>
  </si>
  <si>
    <t>OPASCertificationStatus</t>
  </si>
  <si>
    <t>SubsystemType</t>
  </si>
  <si>
    <t>InComm</t>
  </si>
  <si>
    <t>ServiceIndication</t>
  </si>
  <si>
    <t>ServiceRequiredNow</t>
  </si>
  <si>
    <t>ServiceRequiredSoon</t>
  </si>
  <si>
    <t>StatusNamur</t>
  </si>
  <si>
    <t>Flag indicating service</t>
  </si>
  <si>
    <t>DevicePassthrough</t>
  </si>
  <si>
    <t xml:space="preserve">   IPAddress</t>
  </si>
  <si>
    <t xml:space="preserve">   IPPort</t>
  </si>
  <si>
    <t>ManufactureDate</t>
  </si>
  <si>
    <t>SignalRange</t>
  </si>
  <si>
    <t>ChannelDiagnostics</t>
  </si>
  <si>
    <t>Hart</t>
  </si>
  <si>
    <t xml:space="preserve">   DeviceName</t>
  </si>
  <si>
    <t xml:space="preserve">   TotalMemory</t>
  </si>
  <si>
    <t xml:space="preserve">   Allocated Cores</t>
  </si>
  <si>
    <t xml:space="preserve">   DiskFreeBytes</t>
  </si>
  <si>
    <t xml:space="preserve">   DiskUsedBytes</t>
  </si>
  <si>
    <t xml:space="preserve">   DiskIopsRead</t>
  </si>
  <si>
    <t xml:space="preserve">   DiskPctUtilization</t>
  </si>
  <si>
    <t xml:space="preserve">   DiskKbpsWrite</t>
  </si>
  <si>
    <t xml:space="preserve">   DiskKbpsRead</t>
  </si>
  <si>
    <t xml:space="preserve">   DiskIopsWrite</t>
  </si>
  <si>
    <t xml:space="preserve">   LinkSpeed</t>
  </si>
  <si>
    <t xml:space="preserve">   RxPacketsPerSecond</t>
  </si>
  <si>
    <t xml:space="preserve">   TxPacketsPerSecond</t>
  </si>
  <si>
    <t xml:space="preserve">   RxBytesPerSecond</t>
  </si>
  <si>
    <t xml:space="preserve">   TxBytesPerSecond</t>
  </si>
  <si>
    <t xml:space="preserve">   RxErrors</t>
  </si>
  <si>
    <t xml:space="preserve">   TxErrors</t>
  </si>
  <si>
    <t xml:space="preserve">   DroppedPackets</t>
  </si>
  <si>
    <t>VolumePartitionStats</t>
  </si>
  <si>
    <t xml:space="preserve">   OPASProfile</t>
  </si>
  <si>
    <t xml:space="preserve">   OPASVersion</t>
  </si>
  <si>
    <t xml:space="preserve">   OPASCertificationStatus</t>
  </si>
  <si>
    <t>BusName</t>
  </si>
  <si>
    <t>ModuleName</t>
  </si>
  <si>
    <t>ChannelName</t>
  </si>
  <si>
    <t>DeviceName</t>
  </si>
  <si>
    <t xml:space="preserve">   ModuleName</t>
  </si>
  <si>
    <t xml:space="preserve">   ManufactureDate</t>
  </si>
  <si>
    <t xml:space="preserve">   IOChannels</t>
  </si>
  <si>
    <t xml:space="preserve">      ChannelName</t>
  </si>
  <si>
    <t xml:space="preserve">      SignalType</t>
  </si>
  <si>
    <t xml:space="preserve">      SignalRange</t>
  </si>
  <si>
    <t xml:space="preserve">      ChannelDiagnostics</t>
  </si>
  <si>
    <t xml:space="preserve">      Hart</t>
  </si>
  <si>
    <t xml:space="preserve">         HartVersion</t>
  </si>
  <si>
    <t xml:space="preserve">         OutOfRangeNamur</t>
  </si>
  <si>
    <t xml:space="preserve">         ContinuitySupport</t>
  </si>
  <si>
    <t xml:space="preserve">         ContinuityOK</t>
  </si>
  <si>
    <t xml:space="preserve">         SensorTestPossible</t>
  </si>
  <si>
    <t xml:space="preserve">         SensorTestOK</t>
  </si>
  <si>
    <t xml:space="preserve">         DeviceName</t>
  </si>
  <si>
    <t xml:space="preserve">         ErrorBitSet</t>
  </si>
  <si>
    <t xml:space="preserve">         MoreStatusAvailableBitSet</t>
  </si>
  <si>
    <t xml:space="preserve">   FunctionBlockName</t>
  </si>
  <si>
    <t>OperatingSystemName</t>
  </si>
  <si>
    <t>RemoteLoggingAgents</t>
  </si>
  <si>
    <t>Name of the bus</t>
  </si>
  <si>
    <t>A reference to the collection of Ethernet interfaces associated with this system.</t>
  </si>
  <si>
    <t>EthernetInterfaceStatistics</t>
  </si>
  <si>
    <t>1.1.9.1 OperatingSystemMetrics</t>
  </si>
  <si>
    <t>EthernetInterfaceMetrics</t>
  </si>
  <si>
    <t>VolumePartitionMetrics</t>
  </si>
  <si>
    <t>ProcessorMetrics</t>
  </si>
  <si>
    <t>Volume or Partition name.</t>
  </si>
  <si>
    <t>Name for the group of processor cores.</t>
  </si>
  <si>
    <t>Name for the grouping or memory.</t>
  </si>
  <si>
    <t>Processor logical cores allocated (pinned)</t>
  </si>
  <si>
    <t xml:space="preserve">   SharedCores</t>
  </si>
  <si>
    <t xml:space="preserve">   MemFree</t>
  </si>
  <si>
    <t xml:space="preserve">   HugepagesTotal</t>
  </si>
  <si>
    <t xml:space="preserve">   HugepagesFree</t>
  </si>
  <si>
    <t>ContainerState</t>
  </si>
  <si>
    <t>VmState</t>
  </si>
  <si>
    <t>ApplicationState</t>
  </si>
  <si>
    <t>ContainerVolumes</t>
  </si>
  <si>
    <t xml:space="preserve">   Network</t>
  </si>
  <si>
    <t xml:space="preserve">   Subnet</t>
  </si>
  <si>
    <t xml:space="preserve">   DeviceType</t>
  </si>
  <si>
    <t xml:space="preserve">   SubnetCidr</t>
  </si>
  <si>
    <t>OPASCompatibility</t>
  </si>
  <si>
    <t>MemoryMetrics</t>
  </si>
  <si>
    <t>Enable or disable metrics collection and reporting</t>
  </si>
  <si>
    <t>1.1.9.8 VirtClusterService</t>
  </si>
  <si>
    <t>VirtClusterService URIs:</t>
  </si>
  <si>
    <t>/redfish/v1/VirtClusterService</t>
  </si>
  <si>
    <t>Links to Physical Nodes in the cluster</t>
  </si>
  <si>
    <t>ClusterType</t>
  </si>
  <si>
    <t>ClusterAPI</t>
  </si>
  <si>
    <t>API point for cluster (https://10.10.10.1:1800)</t>
  </si>
  <si>
    <t>ClusterNodes</t>
  </si>
  <si>
    <t>ClusterAPIVersion</t>
  </si>
  <si>
    <t>1.1.9.8 ClusterNode</t>
  </si>
  <si>
    <t>ClusterNode URIs:</t>
  </si>
  <si>
    <t>/redfish/v1/ClusterNode</t>
  </si>
  <si>
    <t>The ClusterNode schema represents a single node in a cluster</t>
  </si>
  <si>
    <t>NodeName</t>
  </si>
  <si>
    <t>NodeManagement</t>
  </si>
  <si>
    <t xml:space="preserve">   NodeManagementType</t>
  </si>
  <si>
    <t>Redfish, IPMI, other, none</t>
  </si>
  <si>
    <t xml:space="preserve">   NodeManagementReachability</t>
  </si>
  <si>
    <t>Direct, NAT, Proxy, or Redfish URI</t>
  </si>
  <si>
    <t xml:space="preserve">   NodeManagementIP</t>
  </si>
  <si>
    <t xml:space="preserve">   NodeManagementPort</t>
  </si>
  <si>
    <t>ClusterMetrics</t>
  </si>
  <si>
    <t>Capacity and utilization information at cluster level</t>
  </si>
  <si>
    <t>NodeRole</t>
  </si>
  <si>
    <t>Controller, compute, storage, network (one or more)</t>
  </si>
  <si>
    <t>ClusterNetworks</t>
  </si>
  <si>
    <t>ClusterImages</t>
  </si>
  <si>
    <t>ClusterFlavors</t>
  </si>
  <si>
    <t>ClusterType (OpenStack, Titanium Control, AWS, Kubernetes)</t>
  </si>
  <si>
    <t>Current flavors available</t>
  </si>
  <si>
    <t>Current images available</t>
  </si>
  <si>
    <t>Current storage volumes available</t>
  </si>
  <si>
    <t>ClusterVolumes</t>
  </si>
  <si>
    <t>CertificateService (1.0.0)</t>
  </si>
  <si>
    <t>VirtClusterService (1.0.0)</t>
  </si>
  <si>
    <t>ClusterNode (1.0.0)</t>
  </si>
  <si>
    <t>The total configured memory available to virtual machines.</t>
  </si>
  <si>
    <t>Memory available for allocation to Virtual Machines</t>
  </si>
  <si>
    <t>Typically 1 unless oversubscribing memory</t>
  </si>
  <si>
    <t>The number of processors available for virtual machines</t>
  </si>
  <si>
    <t xml:space="preserve">   OversubscriptionRatio</t>
  </si>
  <si>
    <t>CPU oversubscription ratio or non-shared cores</t>
  </si>
  <si>
    <t xml:space="preserve">   CoresUsed</t>
  </si>
  <si>
    <t>MemoryPoolMetrics</t>
  </si>
  <si>
    <t>ProcessorPoolMetrics</t>
  </si>
  <si>
    <t>VolumePoolMetrics</t>
  </si>
  <si>
    <t xml:space="preserve">   NumberOfVolumes</t>
  </si>
  <si>
    <t>Number of storage volumes currently in use</t>
  </si>
  <si>
    <t>ImagePoolMetrics</t>
  </si>
  <si>
    <t>Metrics related to the overall volume storage pool</t>
  </si>
  <si>
    <t>The size in bytes of the storage pool</t>
  </si>
  <si>
    <t>Number of bytes free in the storage pool</t>
  </si>
  <si>
    <t>Metrics related to the overall image storage pool</t>
  </si>
  <si>
    <t xml:space="preserve">   NumberOfImages</t>
  </si>
  <si>
    <t>ObjectPoolMetrics</t>
  </si>
  <si>
    <t>Metrics related to the overall object storage pool</t>
  </si>
  <si>
    <t>1.1.9.1 ClusterHostMetrics</t>
  </si>
  <si>
    <t>ClusterHostMetrics (1.0.0)</t>
  </si>
  <si>
    <t>ClusterHostMetrics URIs</t>
  </si>
  <si>
    <t>/redfish/v1/Systems/{ComputerSystemId}/ClusterHosts/{ClusterHostId}/ClusterHostsMetrics</t>
  </si>
  <si>
    <t>FunctionBlockMetrics</t>
  </si>
  <si>
    <t>Component URIs</t>
  </si>
  <si>
    <t>IOModules</t>
  </si>
  <si>
    <t xml:space="preserve">      MemberId</t>
  </si>
  <si>
    <t>OSConfigItems</t>
  </si>
  <si>
    <t>Special Reqs</t>
  </si>
  <si>
    <t>CreateResource DeleteResource UpdateResource</t>
  </si>
  <si>
    <t>Members</t>
  </si>
  <si>
    <t>ComputerSystemCollection ()</t>
  </si>
  <si>
    <t>A ComputerSystemCollection is a collection of ComputerSystem Resources</t>
  </si>
  <si>
    <t>1.1.1.3               ComputerSystemCollection</t>
  </si>
  <si>
    <t>/redfish/v1/Systems</t>
  </si>
  <si>
    <t>MinCount1</t>
  </si>
  <si>
    <t>ComputerSystemCollection URIs</t>
  </si>
  <si>
    <t>Table 10: O-PAS Profile Map for the Redfish ComputerSystemCollection Resource</t>
  </si>
  <si>
    <t>1.1.1.3               ChassisCollection</t>
  </si>
  <si>
    <t>A ChassisCollection is a collection of Chassis Resources</t>
  </si>
  <si>
    <t>Table 10: O-PAS Profile Map for the Redfish ChassisCollection Resource</t>
  </si>
  <si>
    <t>ChassisCollection ()</t>
  </si>
  <si>
    <t>ChassisCollection URIs</t>
  </si>
  <si>
    <t>A link to the collection of ComputerSystems</t>
  </si>
  <si>
    <t>A link to the collection of Chassis</t>
  </si>
  <si>
    <t>A ManagerCollection is a collection of Manager Resources</t>
  </si>
  <si>
    <t>Table 10: O-PAS Profile Map for the Redfish ManagerCollection Resource</t>
  </si>
  <si>
    <t>ManagerCollection ()</t>
  </si>
  <si>
    <t>A link to the collection of Managers</t>
  </si>
  <si>
    <t>ManagerCollection URIs</t>
  </si>
  <si>
    <t xml:space="preserve">   ServiceApiUrl</t>
  </si>
  <si>
    <t>OperatingSystemMetrics URIs</t>
  </si>
  <si>
    <t>MetricsTimestamp</t>
  </si>
  <si>
    <t>1.1.9.6 Application</t>
  </si>
  <si>
    <t xml:space="preserve">   #Application.Reset</t>
  </si>
  <si>
    <t xml:space="preserve">   #Application.Start</t>
  </si>
  <si>
    <t xml:space="preserve">   #Application.Stop</t>
  </si>
  <si>
    <t>Application URIs</t>
  </si>
  <si>
    <t>Conditional</t>
  </si>
  <si>
    <t>Purpose</t>
  </si>
  <si>
    <t>CompareProperty</t>
  </si>
  <si>
    <t>ReadRequirement</t>
  </si>
  <si>
    <t>Either SimpleStorage or Storage resource must be implemented</t>
  </si>
  <si>
    <t>Mandatory</t>
  </si>
  <si>
    <t>Either SKU or PartNumber resource must be implemented</t>
  </si>
  <si>
    <t>Conditional Keyword</t>
  </si>
  <si>
    <t>Param</t>
  </si>
  <si>
    <t>Applications</t>
  </si>
  <si>
    <t>Collection of Key/Value configuration items that can be used for configuration that is not in information model (user can create and delete)</t>
  </si>
  <si>
    <t>Collection of opaque OS configuration files that can be used for configuration that is not in information model (user can create and delete)</t>
  </si>
  <si>
    <t>OSOpaqueFiles</t>
  </si>
  <si>
    <t>1.1.9.1 OSOpaqueFileCollection</t>
  </si>
  <si>
    <t>OSOpaqueFileCollection URIs</t>
  </si>
  <si>
    <t>1.1.9.5 OSOpaqueFile</t>
  </si>
  <si>
    <t>OSOpaqueFile URIs</t>
  </si>
  <si>
    <t>Collection of key/value configuration items</t>
  </si>
  <si>
    <t>PushUri</t>
  </si>
  <si>
    <t>MetricsAgentProtocol</t>
  </si>
  <si>
    <t>PullUri</t>
  </si>
  <si>
    <t>RemoteLoggingAgentName</t>
  </si>
  <si>
    <t>RemoteLoggingAgentProtocol</t>
  </si>
  <si>
    <t>ApplicationCreateTime</t>
  </si>
  <si>
    <t>ContainerCreateTime</t>
  </si>
  <si>
    <t>ContainerDevices</t>
  </si>
  <si>
    <t xml:space="preserve">   ImageName</t>
  </si>
  <si>
    <t xml:space="preserve">   ImageHash</t>
  </si>
  <si>
    <t xml:space="preserve">   ImageVersion</t>
  </si>
  <si>
    <t>FunctionBlocks</t>
  </si>
  <si>
    <t xml:space="preserve">   FunctionBlockState</t>
  </si>
  <si>
    <t>1.1.9.5 OSOpaqueFileService</t>
  </si>
  <si>
    <t>OSOpaqueFileService URIs</t>
  </si>
  <si>
    <t>An inventory of Opaque files</t>
  </si>
  <si>
    <t>A link to the collection of opaque files</t>
  </si>
  <si>
    <t xml:space="preserve">   #UpdateService.DownloadOpaqueFile</t>
  </si>
  <si>
    <t>This action is used to instruct the device to download an opaque file and act on it</t>
  </si>
  <si>
    <t>Filename</t>
  </si>
  <si>
    <t>FileVersion</t>
  </si>
  <si>
    <t>FileHash</t>
  </si>
  <si>
    <t>Version of the file</t>
  </si>
  <si>
    <t>Name of the opaque file</t>
  </si>
  <si>
    <t>Size of the opaque file in bytes</t>
  </si>
  <si>
    <t>FileSize</t>
  </si>
  <si>
    <t>OpaqueFiles</t>
  </si>
  <si>
    <t xml:space="preserve">   #UpdateService.UploadOpaqueFile</t>
  </si>
  <si>
    <t xml:space="preserve">   #UpdateService.DeleteOpaqueFile</t>
  </si>
  <si>
    <t>This action is used to instruct the device to delete an opaque file</t>
  </si>
  <si>
    <t>This action is used to instruct the device to upload an opaque file for configuration audit</t>
  </si>
  <si>
    <t>1.1.3.2               ManagerCollection</t>
  </si>
  <si>
    <t>/redfish/v1/Chassis</t>
  </si>
  <si>
    <t>/redfish/v1/Managers</t>
  </si>
  <si>
    <t>IsPredefined</t>
  </si>
  <si>
    <t>ReleaseDate</t>
  </si>
  <si>
    <t>Release date of this software.</t>
  </si>
  <si>
    <t>OperatingSystem</t>
  </si>
  <si>
    <t>The unique identifier for a resource</t>
  </si>
  <si>
    <t xml:space="preserve">   ImageTypesSupported</t>
  </si>
  <si>
    <t xml:space="preserve">   ImageType</t>
  </si>
  <si>
    <t>ContainerImages</t>
  </si>
  <si>
    <t xml:space="preserve">   VolumeName</t>
  </si>
  <si>
    <t>A link to the array item</t>
  </si>
  <si>
    <t>Name of the array element</t>
  </si>
  <si>
    <t>The identifier for array element</t>
  </si>
  <si>
    <t>VmImages</t>
  </si>
  <si>
    <t>VendorID</t>
  </si>
  <si>
    <t>SubsystemDeviceID</t>
  </si>
  <si>
    <t>SubsystemVendorID</t>
  </si>
  <si>
    <t>MetricReportDefinition</t>
  </si>
  <si>
    <t xml:space="preserve">   #LogService.ClearLog</t>
  </si>
  <si>
    <t xml:space="preserve">   IsPersistent</t>
  </si>
  <si>
    <t>Bios (1.0.4)</t>
  </si>
  <si>
    <t>n</t>
  </si>
  <si>
    <t>ManagementUri</t>
  </si>
  <si>
    <t>ContainerNetworks</t>
  </si>
  <si>
    <t xml:space="preserve">   IPAddresses</t>
  </si>
  <si>
    <t>OSM-RedfishDCN</t>
  </si>
  <si>
    <t>ResourceBlocks</t>
  </si>
  <si>
    <t>A link to a collection of all resource block entities. This collection is intended for implementations that do not contain a Composition Service, but will expose resources to an orchestrator that implements a Composition Service. Contains a link to a resource.</t>
  </si>
  <si>
    <t>Vendor</t>
  </si>
  <si>
    <t>The vendor or manufacturer associated with this Redfish service.</t>
  </si>
  <si>
    <t>EnvironmentalClass</t>
  </si>
  <si>
    <t>A link to a processor resource.</t>
  </si>
  <si>
    <t>Sensors</t>
  </si>
  <si>
    <t>A link to a sensor resource.</t>
  </si>
  <si>
    <t>Defines a Sensor to be used in conjunction with data center equipment.</t>
  </si>
  <si>
    <t>1.1.x.x               Sensor</t>
  </si>
  <si>
    <t>Sensor URIs</t>
  </si>
  <si>
    <t>/redfish/v1/Chassis/{ChassisId}/Sensors/{SensorId}</t>
  </si>
  <si>
    <t>(null)</t>
  </si>
  <si>
    <t>Estimated percent error of measured vs. actual values.</t>
  </si>
  <si>
    <t>Actions { object The available actions for this resource.</t>
  </si>
  <si>
    <t>#Sensor.ResetStatistics { }</t>
  </si>
  <si>
    <t>}</t>
  </si>
  <si>
    <t>object This action is used to reset statistics related to this sensor.</t>
  </si>
  <si>
    <t>For more information, see the Action Details section below.</t>
  </si>
  <si>
    <t>AdjustedMaxAllowableOperatingValue number read-only</t>
  </si>
  <si>
    <t>Adjusted maximum allowable operating value for this equipment based on the current</t>
  </si>
  <si>
    <t>environmental conditions present.</t>
  </si>
  <si>
    <t>AdjustedMinAllowableOperatingValue number read-only</t>
  </si>
  <si>
    <t>Adjusted minimum allowable operating value for this equipment based on the current</t>
  </si>
  <si>
    <t>ApparentVA number read-only</t>
  </si>
  <si>
    <t>The product of Voltage and Current for an AC circuit, in Volt-Amperes units.</t>
  </si>
  <si>
    <t>ElectricalContext string</t>
  </si>
  <si>
    <t>(enum)</t>
  </si>
  <si>
    <t>read-only</t>
  </si>
  <si>
    <t>The combination of current-carrying conductors.</t>
  </si>
  <si>
    <t>See ElectricalContext in Property Details, below, for the possible values of this property.</t>
  </si>
  <si>
    <t>LoadPercent number read-only</t>
  </si>
  <si>
    <t>The power load utilization for this Sensor.</t>
  </si>
  <si>
    <t>Location { } object (null) The location information for this Sensor. See the Location object for details on this property.</t>
  </si>
  <si>
    <t>MaxAllowableOperatingValue number read-only</t>
  </si>
  <si>
    <t>Maximum allowable operating value for this equipment.</t>
  </si>
  <si>
    <t>MinAllowableOperatingValue number read-only</t>
  </si>
  <si>
    <t>Minimum allowable operating value for this equipment.</t>
  </si>
  <si>
    <t>PeakReading number read-only</t>
  </si>
  <si>
    <t>The peak reading value for this sensor.</t>
  </si>
  <si>
    <t>PeakReadingTime string read-only</t>
  </si>
  <si>
    <t>The time at which the Peak Reading value occurred.</t>
  </si>
  <si>
    <t>PhysicalContext string</t>
  </si>
  <si>
    <t>Describes the area or device to which this sensor measurement applies.</t>
  </si>
  <si>
    <t>See PhysicalContext in Property Details, below, for the possible values of this property.</t>
  </si>
  <si>
    <t>PhysicalSubContext string</t>
  </si>
  <si>
    <t>Describes the usage or location within a device to which this sensor measurement applies.</t>
  </si>
  <si>
    <t>See PhysicalSubContext in Property Details, below, for the possible values of this property.</t>
  </si>
  <si>
    <t>PowerFactor number read-only</t>
  </si>
  <si>
    <t>The power factor for this Sensor.</t>
  </si>
  <si>
    <t>Precision number read-only</t>
  </si>
  <si>
    <t>Number of significant digits in the Reading.</t>
  </si>
  <si>
    <t>ReactiveVAR number read-only</t>
  </si>
  <si>
    <t>The square root of the difference term of squared ApparentVA and squared Power (Reading) for a</t>
  </si>
  <si>
    <t>circuit, expressed in VAR units.</t>
  </si>
  <si>
    <t>Reading number read-only</t>
  </si>
  <si>
    <t>The present value for this Sensor.</t>
  </si>
  <si>
    <t>ReadingRangeMax number read-only</t>
  </si>
  <si>
    <t>The maximum value of Reading possible for this Sensor.</t>
  </si>
  <si>
    <t>ReadingRangeMin number read-only</t>
  </si>
  <si>
    <t>The minimum value of Reading possible for this Sensor.</t>
  </si>
  <si>
    <t>ReadingType string</t>
  </si>
  <si>
    <t>The kind of sensor being represented.</t>
  </si>
  <si>
    <t>See ReadingType in Property Details, below, for the possible values of this property.</t>
  </si>
  <si>
    <t>ReadingUnits string read-only</t>
  </si>
  <si>
    <t>SensingFrequency number read-only</t>
  </si>
  <si>
    <t>The time interval between readings of the physical sensor.</t>
  </si>
  <si>
    <t>SensorResetTime string read-only</t>
  </si>
  <si>
    <t>The time at which the time-based properties were last reset.</t>
  </si>
  <si>
    <t>Status { } object This property describes the status and health of the resource and its children. See the Status</t>
  </si>
  <si>
    <t>object for details on this property.</t>
  </si>
  <si>
    <t>Thresholds { object (null) The set of thresholds defined for this sensor.</t>
  </si>
  <si>
    <t>LowerCaution { object (null) Below normal range.</t>
  </si>
  <si>
    <t>Activation string</t>
  </si>
  <si>
    <t>read-write</t>
  </si>
  <si>
    <t>See Activation in Property Details, below, for the possible values of this property.</t>
  </si>
  <si>
    <t>DwellTime string read-write</t>
  </si>
  <si>
    <t>The time interval over which the sensor reading must have passed through this Threshold value</t>
  </si>
  <si>
    <t>before the threshold is considered to be violated.</t>
  </si>
  <si>
    <t>Redfish Resource and Schema Guide</t>
  </si>
  <si>
    <t>redfish.dmtf.org 130 DSP2046 v2018.3</t>
  </si>
  <si>
    <t>number read-write</t>
  </si>
  <si>
    <t>LowerCritical { object (null) Below normal range but not yet fatal.</t>
  </si>
  <si>
    <t>LowerFatal { object (null) Below normal range and fatal.</t>
  </si>
  <si>
    <t>UpperCaution { object (null) Above normal range.</t>
  </si>
  <si>
    <t>UpperCritical { object (null) Above normal range but not yet fatal.</t>
  </si>
  <si>
    <t>UpperFatal { object (null) Above normal range and fatal.</t>
  </si>
  <si>
    <t>VoltageType string</t>
  </si>
  <si>
    <t>The voltage type (AC or DC) for this sensor.</t>
  </si>
  <si>
    <t>See VoltageType in Property Details, below, for the possible values of this property.</t>
  </si>
  <si>
    <t>Accuracy number read-only</t>
  </si>
  <si>
    <t>This action is used to reset statistics related to this sensor.</t>
  </si>
  <si>
    <t>AdjustedMaxAllowableOperatingValue</t>
  </si>
  <si>
    <t>Adjusted maximum allowable operating value for this equipment based on the current environmental conditions present.</t>
  </si>
  <si>
    <t>AdjustedMinAllowableOperatingValue</t>
  </si>
  <si>
    <t>Adjusted minimum allowable operating value for this equipment based on the current environmental conditions present.</t>
  </si>
  <si>
    <t>ApparentVA</t>
  </si>
  <si>
    <t>ElectricalContext</t>
  </si>
  <si>
    <t>LoadPercent</t>
  </si>
  <si>
    <t>The location information for this Sensor.</t>
  </si>
  <si>
    <t>MaxAllowableOperatingValue</t>
  </si>
  <si>
    <t>MinAllowableOperatingValue</t>
  </si>
  <si>
    <t>PeakReading</t>
  </si>
  <si>
    <t>PeakReadingTime</t>
  </si>
  <si>
    <t>PhysicalSubContext</t>
  </si>
  <si>
    <t>PowerFactor</t>
  </si>
  <si>
    <t>ReactiveVAR</t>
  </si>
  <si>
    <t>The square root of the difference term of squared ApparentVA and squared Power (Reading) for a circuit, expressed in VAR units.</t>
  </si>
  <si>
    <t>ReadingRangeMax</t>
  </si>
  <si>
    <t>ReadingRangeMin</t>
  </si>
  <si>
    <t>ReadingType</t>
  </si>
  <si>
    <t>ReadingUnits</t>
  </si>
  <si>
    <t>SensingFrequency</t>
  </si>
  <si>
    <t>SensorResetTime</t>
  </si>
  <si>
    <t>Describes the status and health of the resource and its children.</t>
  </si>
  <si>
    <t>Thresholds</t>
  </si>
  <si>
    <t>The set of thresholds defined for this sensor.</t>
  </si>
  <si>
    <t>The time interval over which the sensor reading must have passed through this Threshold value before the threshold is considered to be violated.</t>
  </si>
  <si>
    <t>Below normal range and fatal.</t>
  </si>
  <si>
    <t>Above normal range and fatal.</t>
  </si>
  <si>
    <t>VoltageType</t>
  </si>
  <si>
    <t>Sensor (1.0.0)</t>
  </si>
  <si>
    <t>Chassis (1.9.0)</t>
  </si>
  <si>
    <t xml:space="preserve">   #Sensor.ResetStatistics</t>
  </si>
  <si>
    <t xml:space="preserve">   LowerCaution </t>
  </si>
  <si>
    <t xml:space="preserve">      Reading</t>
  </si>
  <si>
    <t xml:space="preserve">      DwellTime</t>
  </si>
  <si>
    <t xml:space="preserve">      Activation</t>
  </si>
  <si>
    <t xml:space="preserve">   UpperFatal</t>
  </si>
  <si>
    <t xml:space="preserve">   UpperCritical</t>
  </si>
  <si>
    <t xml:space="preserve">   UpperCaution</t>
  </si>
  <si>
    <t xml:space="preserve">   LowerFatal</t>
  </si>
  <si>
    <t xml:space="preserve">   LowerCritical </t>
  </si>
  <si>
    <t>ServiceRoot (1.5.1)</t>
  </si>
  <si>
    <t>CertificateService</t>
  </si>
  <si>
    <t>Link to the CertificateService</t>
  </si>
  <si>
    <t>Power (1.5.3)</t>
  </si>
  <si>
    <t>See the Location object</t>
  </si>
  <si>
    <t>Thermal (1.5.2)</t>
  </si>
  <si>
    <t>A numerical identifier to represent the fan speed sensor.</t>
  </si>
  <si>
    <t>ComputerSystem (1.7.0)</t>
  </si>
  <si>
    <t xml:space="preserve">   BootOrderPropertySelection</t>
  </si>
  <si>
    <t>PowerRestorePolicy</t>
  </si>
  <si>
    <t>Desired power state of the system when power is restored after a power loss.</t>
  </si>
  <si>
    <t xml:space="preserve">   Metrics</t>
  </si>
  <si>
    <t>A reference to the Metrics associated with all Processors in this system.</t>
  </si>
  <si>
    <t>Link to a ProcessorMetrics resource.</t>
  </si>
  <si>
    <t>AttributeRegistry (1.3.1)</t>
  </si>
  <si>
    <t>See the OEM object definition</t>
  </si>
  <si>
    <t xml:space="preserve">   Menus</t>
  </si>
  <si>
    <t xml:space="preserve">      DisplayName</t>
  </si>
  <si>
    <t xml:space="preserve">      DisplayOrder</t>
  </si>
  <si>
    <t xml:space="preserve">      GrayOut</t>
  </si>
  <si>
    <t xml:space="preserve">      MenuName</t>
  </si>
  <si>
    <t xml:space="preserve">      MenuPath</t>
  </si>
  <si>
    <t xml:space="preserve">      OEM</t>
  </si>
  <si>
    <t xml:space="preserve">      ReadOnly</t>
  </si>
  <si>
    <t xml:space="preserve">      AttributeName</t>
  </si>
  <si>
    <t xml:space="preserve">      CurrentValue</t>
  </si>
  <si>
    <t xml:space="preserve">      DefaultValue</t>
  </si>
  <si>
    <t xml:space="preserve">      HelpText</t>
  </si>
  <si>
    <t xml:space="preserve">      Hidden</t>
  </si>
  <si>
    <t xml:space="preserve">      Immutable</t>
  </si>
  <si>
    <t xml:space="preserve">      IsSystemUniqueProperty</t>
  </si>
  <si>
    <t xml:space="preserve">      LowerBound</t>
  </si>
  <si>
    <t xml:space="preserve">      MaxLength</t>
  </si>
  <si>
    <t xml:space="preserve">      MinLength</t>
  </si>
  <si>
    <t xml:space="preserve">      ResetRequired</t>
  </si>
  <si>
    <t xml:space="preserve">      ScalarIncrement</t>
  </si>
  <si>
    <t xml:space="preserve">      Type</t>
  </si>
  <si>
    <t xml:space="preserve">      UefiDevicePath</t>
  </si>
  <si>
    <t xml:space="preserve">      UefiKeywordName</t>
  </si>
  <si>
    <t xml:space="preserve">      UefiNamespaceId</t>
  </si>
  <si>
    <t xml:space="preserve">      UpperBound</t>
  </si>
  <si>
    <t xml:space="preserve">      Value</t>
  </si>
  <si>
    <t xml:space="preserve">         ValueDisplayName</t>
  </si>
  <si>
    <t xml:space="preserve">         ValueName</t>
  </si>
  <si>
    <t xml:space="preserve">      ValueExpression</t>
  </si>
  <si>
    <t xml:space="preserve">      WarningText</t>
  </si>
  <si>
    <t xml:space="preserve">      WriteOnly</t>
  </si>
  <si>
    <t>Bios (1.0.6)</t>
  </si>
  <si>
    <t>1.1.7.6               AccelerationFunction</t>
  </si>
  <si>
    <t>The AccelerationFunction resource represents the properties of a AccelerationFunction attached to a system.</t>
  </si>
  <si>
    <t>Table 72: O-PAS Profile Map for the Redfish AccelerationFunction Resource</t>
  </si>
  <si>
    <t>AccelerationFunction URIs</t>
  </si>
  <si>
    <t>AccelerationFunction (1.0.1)</t>
  </si>
  <si>
    <t>AccelerationFunctionType</t>
  </si>
  <si>
    <t>The type of acceleration function.</t>
  </si>
  <si>
    <t>FpgaReconfigurationSlots</t>
  </si>
  <si>
    <t>An array of the reconfiguration slot identifiers for an FPGA.</t>
  </si>
  <si>
    <t xml:space="preserve">Link to a Endpoint resource. </t>
  </si>
  <si>
    <t>Link to a PCIeFunction resource</t>
  </si>
  <si>
    <t>PowerWatts</t>
  </si>
  <si>
    <t>The acceleration function power consumption.</t>
  </si>
  <si>
    <t>The universal unique identifier (UUID) for this acceleration function.</t>
  </si>
  <si>
    <t>The acceleration function version.</t>
  </si>
  <si>
    <t>Array of references to the endpoints that connect to this acceleration function.</t>
  </si>
  <si>
    <t>Array of references to PCIeFunctions associated with this acceleration function.</t>
  </si>
  <si>
    <t>/redfish/v1/Systems/{ComputerSystemId}/Processors/{ProcessorId}/AccelerationFunctions/{AccelerationFunctionId}</t>
  </si>
  <si>
    <t>The acceleration function code manufacturer.</t>
  </si>
  <si>
    <t>PCIeDevice (1.3.1)</t>
  </si>
  <si>
    <t>PCIeFunction (1.2.2)</t>
  </si>
  <si>
    <t>The PCIeSlot resource represents the PCIe slots attached to a system.</t>
  </si>
  <si>
    <t>PCIeSlots (1.1.0)</t>
  </si>
  <si>
    <t>HotPluggable</t>
  </si>
  <si>
    <t>Indicates whether the PCIe slot supports hotplug.</t>
  </si>
  <si>
    <t xml:space="preserve">   FallbackAddress</t>
  </si>
  <si>
    <t>DHCPv4 fallback address method for this interface.</t>
  </si>
  <si>
    <t>EthernetInterface (1.5.0)</t>
  </si>
  <si>
    <t>NetworkDeviceFunction (1.3.2)</t>
  </si>
  <si>
    <t xml:space="preserve">   PhysicalPortAssignment</t>
  </si>
  <si>
    <t>NetworkInterface (1.1.2)</t>
  </si>
  <si>
    <t>NetworkPort (1.2.2)</t>
  </si>
  <si>
    <t>VLanNetworkInterface (1.1.3)</t>
  </si>
  <si>
    <t>ConfigurationLocked</t>
  </si>
  <si>
    <t>Indicates that the configuration of this memory has been locked.</t>
  </si>
  <si>
    <t xml:space="preserve">   ConfigurationLockCapable</t>
  </si>
  <si>
    <t xml:space="preserve">   DataLockCapable</t>
  </si>
  <si>
    <t xml:space="preserve">   PassphraseLockLimit</t>
  </si>
  <si>
    <t>Support for locking the configuration.</t>
  </si>
  <si>
    <t>Support for data locking.</t>
  </si>
  <si>
    <t>Maximum number of incorrect passphrase attempts allowed before memory is locked.</t>
  </si>
  <si>
    <t>Memory (1.7.1)</t>
  </si>
  <si>
    <t>MemoryMetrics (1.1.5)</t>
  </si>
  <si>
    <t>Processor (1.5.0)</t>
  </si>
  <si>
    <t>AccelerationFunctions</t>
  </si>
  <si>
    <t xml:space="preserve">Link to Collection of AccelerationFunction. </t>
  </si>
  <si>
    <t>FPGA</t>
  </si>
  <si>
    <t>The properties specific for Processors of type FPGA.</t>
  </si>
  <si>
    <t>Array of the FPGA external interfaces.</t>
  </si>
  <si>
    <t>Describes the Ethernet related information about this FPGA interface.</t>
  </si>
  <si>
    <t>Number of lanes supported by this interface.</t>
  </si>
  <si>
    <t>The maximum speed supported by this interface.</t>
  </si>
  <si>
    <t>The FPGA interface type.</t>
  </si>
  <si>
    <t>Describes the PCI-e related information about this FPGA interface.</t>
  </si>
  <si>
    <t>The FPGA firmware identifier.</t>
  </si>
  <si>
    <t>The FPGA firmware manufacturer.</t>
  </si>
  <si>
    <t>The FPGA firmware version.</t>
  </si>
  <si>
    <t>The FPGA type.</t>
  </si>
  <si>
    <t>The FPGA interface to the host.</t>
  </si>
  <si>
    <t>This is the number of lanes supported by this interface.</t>
  </si>
  <si>
    <t>The FPGA model.</t>
  </si>
  <si>
    <t>The number of the PCIe Virtual Functions.</t>
  </si>
  <si>
    <t>This flag indicates if the FPGA firmware can be reprogrammed from the host using system software.</t>
  </si>
  <si>
    <t>An array of the FPGA reconfiguration slots. A reconfiguration slot is used by an FPGA to contain an acceleration function that can change as the FPGA is being provisioned.</t>
  </si>
  <si>
    <t>A link to the Acceleration Function provided by the code programmed into a reconfiguration slot.</t>
  </si>
  <si>
    <t>Link to a AccelerationFunction resource</t>
  </si>
  <si>
    <t>This flag indicates if the reconfiguration slot can be reprogrammed from the host using system software.</t>
  </si>
  <si>
    <t>The FPGA reconfiguration slot identifier.</t>
  </si>
  <si>
    <t>The universal unique identifier (UUID) for this reconfiguration slot.</t>
  </si>
  <si>
    <t xml:space="preserve">   ExternalInterfaces</t>
  </si>
  <si>
    <t xml:space="preserve">      Ethernet</t>
  </si>
  <si>
    <t xml:space="preserve">         MaxLanes</t>
  </si>
  <si>
    <t xml:space="preserve">         MaxSpeedMbps</t>
  </si>
  <si>
    <t xml:space="preserve">      InterfaceType</t>
  </si>
  <si>
    <t xml:space="preserve">      PCIe</t>
  </si>
  <si>
    <t xml:space="preserve">   FirmwareId</t>
  </si>
  <si>
    <t xml:space="preserve">   FirmwareManufacturer</t>
  </si>
  <si>
    <t xml:space="preserve">   FpgaType</t>
  </si>
  <si>
    <t xml:space="preserve">   PCIeVirtualFunctions</t>
  </si>
  <si>
    <t xml:space="preserve">   ProgrammableFromHost</t>
  </si>
  <si>
    <t xml:space="preserve">   ReconfigurationSlots</t>
  </si>
  <si>
    <t xml:space="preserve">      AccelerationFunction</t>
  </si>
  <si>
    <t xml:space="preserve">      ProgrammableFromHost</t>
  </si>
  <si>
    <t xml:space="preserve">      SlotId</t>
  </si>
  <si>
    <t xml:space="preserve">      UUID</t>
  </si>
  <si>
    <t>ConnectedProcessors</t>
  </si>
  <si>
    <t>An array of references to the processors directly connected to this processor.</t>
  </si>
  <si>
    <t>An array of references to the endpoints that connect to this processor.</t>
  </si>
  <si>
    <t>Link to a Endpoint resource.</t>
  </si>
  <si>
    <t>MaxTDPWatts</t>
  </si>
  <si>
    <t>The maximum Thermal Design Power (TDP) in watts.</t>
  </si>
  <si>
    <t>A reference to the Metrics associated with this Processor.</t>
  </si>
  <si>
    <t>ProcessorMemory</t>
  </si>
  <si>
    <t>The memory capacity in MiB.</t>
  </si>
  <si>
    <t>This indicates whether this memory is integrated within the Processor.</t>
  </si>
  <si>
    <t>The type of memory used by this processor.</t>
  </si>
  <si>
    <t>The operating speed of the memory in MHz.</t>
  </si>
  <si>
    <t xml:space="preserve">   CapacityMiB</t>
  </si>
  <si>
    <t xml:space="preserve">   IntegratedMemory</t>
  </si>
  <si>
    <t xml:space="preserve">   MemoryType</t>
  </si>
  <si>
    <t xml:space="preserve">   SpeedMHz</t>
  </si>
  <si>
    <t>TotalEnabledCores</t>
  </si>
  <si>
    <t>The total number of enabled cores contained in this processor.</t>
  </si>
  <si>
    <t>An array of references to the PCIe Functions which the drive produces.</t>
  </si>
  <si>
    <t>Link to a PCIeFunction resource.</t>
  </si>
  <si>
    <t>Drive (1.6.0)</t>
  </si>
  <si>
    <t>SimpleStorage (1.2.2)</t>
  </si>
  <si>
    <t>Storage (1.7.0)</t>
  </si>
  <si>
    <t xml:space="preserve">      PersistentCacheSizeMiB</t>
  </si>
  <si>
    <t xml:space="preserve">      Status</t>
  </si>
  <si>
    <t xml:space="preserve">      TotalCacheSizeMiB</t>
  </si>
  <si>
    <t>This object describes the various controller rates used for things like Volume Rebuild or Consistency Checks.</t>
  </si>
  <si>
    <t>The percentage of controller resources used for performing a data consistency check on volumes.</t>
  </si>
  <si>
    <t>The percentage of controller resources used for rebuilding/repairing volumes.</t>
  </si>
  <si>
    <t>The percentage of controller resources used for transforming volumes from one configuration to another.</t>
  </si>
  <si>
    <t xml:space="preserve">   ControllerRates</t>
  </si>
  <si>
    <t xml:space="preserve">      ConsistencyCheckRatePercent</t>
  </si>
  <si>
    <t xml:space="preserve">      RebuildRatePercent</t>
  </si>
  <si>
    <t xml:space="preserve">      TransformationRatePercent</t>
  </si>
  <si>
    <t xml:space="preserve">      Endpoints</t>
  </si>
  <si>
    <t xml:space="preserve">      StorageServices</t>
  </si>
  <si>
    <t>An array of references to the PCIe Functions which the stroage controller produces.</t>
  </si>
  <si>
    <t xml:space="preserve">      PCIeFunctions</t>
  </si>
  <si>
    <t xml:space="preserve">   Ports</t>
  </si>
  <si>
    <t>This object describes the Ports that exist on the storage controller.</t>
  </si>
  <si>
    <t>Link to Collection of Port.</t>
  </si>
  <si>
    <t>HostInterface (1.2.1)</t>
  </si>
  <si>
    <t>Manager (1.5.2)</t>
  </si>
  <si>
    <t>ManagerAccount (1.3.0)</t>
  </si>
  <si>
    <t>PasswordChangeRequired</t>
  </si>
  <si>
    <t>Indicates that the password for this account must be changed. The service requires the password to be changed before access is allowed.</t>
  </si>
  <si>
    <t>ManagerNetworkProtocol (1.4.1)</t>
  </si>
  <si>
    <t>SerialInterface (1.1.4)</t>
  </si>
  <si>
    <t>AccountService (1.5.0)</t>
  </si>
  <si>
    <t>AccountLockoutCounterResetEnabled</t>
  </si>
  <si>
    <t>The value indicates whether the threshold counter will be reset after AccountLockoutCounterResetAfter expires.</t>
  </si>
  <si>
    <t>Role (1.2.3)</t>
  </si>
  <si>
    <t>SessionService (1.1.5)</t>
  </si>
  <si>
    <t>Session (1.1.2)</t>
  </si>
  <si>
    <t>Certificate (1.1.0)</t>
  </si>
  <si>
    <t>Event (1.4.0)</t>
  </si>
  <si>
    <t>EventDestination (1.5.0)</t>
  </si>
  <si>
    <t>EventService (1.3.0)</t>
  </si>
  <si>
    <t>LogService (1.1.2)</t>
  </si>
  <si>
    <t>Job (1.0.2)</t>
  </si>
  <si>
    <t>JobService (1.0.1)</t>
  </si>
  <si>
    <t>MessageRegistry (1.3.0)</t>
  </si>
  <si>
    <t>MessageRegistryFile (1.1.2)</t>
  </si>
  <si>
    <t>The completion percentage of this Task.</t>
  </si>
  <si>
    <t>Task (1.4.1)</t>
  </si>
  <si>
    <t>TaskService (1.1.3)</t>
  </si>
  <si>
    <t>MetricDefinition (1.0.2)</t>
  </si>
  <si>
    <t>MetricReport (1.1.1)</t>
  </si>
  <si>
    <t>The time associated with the metric report in its entirety. The time of the metric report may be relevant when the time of individual metrics are minimally different.</t>
  </si>
  <si>
    <t>Timestamp</t>
  </si>
  <si>
    <t>MetricReportDefinitionEnabled</t>
  </si>
  <si>
    <t>This indicates whether this MetricReportDefinition is enabled.</t>
  </si>
  <si>
    <t>MetricReportHeartbeatInterval</t>
  </si>
  <si>
    <t>SuppressRepeatedMetricValue</t>
  </si>
  <si>
    <t>MetricReportDefinition (1.2.0)</t>
  </si>
  <si>
    <t>1.1.1.10            ProcessorMetrics</t>
  </si>
  <si>
    <t>A ProcessorMetrics resource represents the properties of a ProcessorMetrics attached to a system.</t>
  </si>
  <si>
    <t>Table 14: O-PAS Profile Map for the Redfish ProcessorMetrics Resource</t>
  </si>
  <si>
    <t>ProcessorMetrics URIs</t>
  </si>
  <si>
    <t>/redfish/v1/Systems/{ComputerSystemId}/Processors/{ProcessorId}/ProcessorMetrics</t>
  </si>
  <si>
    <t>/redfish/v1/Systems/{ComputerSystemId}/ProcessorSummary/ProcessorMetrics</t>
  </si>
  <si>
    <t>ProcessorMetrics (1.0.0)</t>
  </si>
  <si>
    <t>AverageFrequencyMHz</t>
  </si>
  <si>
    <t>The average frequency of the processor.</t>
  </si>
  <si>
    <t>BandwidthPercent</t>
  </si>
  <si>
    <t>The CPU bandwidth as a percentage.</t>
  </si>
  <si>
    <t>Cache</t>
  </si>
  <si>
    <t>The processor cache metrics.</t>
  </si>
  <si>
    <t>The number of cache line misses in millions.</t>
  </si>
  <si>
    <t>The number of cache misses per instruction.</t>
  </si>
  <si>
    <t>The cache line hit ratio.</t>
  </si>
  <si>
    <t>The cache level.</t>
  </si>
  <si>
    <t>The total cache level occupancy in bytes.</t>
  </si>
  <si>
    <t>The total cache occupancy percentage.</t>
  </si>
  <si>
    <t>ConsumedPowerWatt</t>
  </si>
  <si>
    <t>The power consumed by the processor.</t>
  </si>
  <si>
    <t>CoreMetrics</t>
  </si>
  <si>
    <t>The processor core metrics.</t>
  </si>
  <si>
    <t>The cache metrics of this core in the processor.</t>
  </si>
  <si>
    <t>The processor core identifier.</t>
  </si>
  <si>
    <t>The C-state residency of this core in the processor.</t>
  </si>
  <si>
    <t>The percentage of time that the processor or core has spent in this particular level of C-state.</t>
  </si>
  <si>
    <t>The number of instructions per clock cycle of this core.</t>
  </si>
  <si>
    <t>The number of stalled cycles due to I/O operations.</t>
  </si>
  <si>
    <t>The number of stalled cycles due to memory operations.</t>
  </si>
  <si>
    <t>The unhalted cycles count of this core.</t>
  </si>
  <si>
    <t>FrequencyRatio</t>
  </si>
  <si>
    <t>The frequency relative to the nominal processor frequency ratio.</t>
  </si>
  <si>
    <t>KernelPercent</t>
  </si>
  <si>
    <t>The percentage of time spent in kernel mode.</t>
  </si>
  <si>
    <t>LocalMemoryBandwidthBytes</t>
  </si>
  <si>
    <t>The local memory bandwidth usage in bytes.</t>
  </si>
  <si>
    <t>RemoteMemoryBandwidthBytes</t>
  </si>
  <si>
    <t>The remote memory bandwidth usage in bytes.</t>
  </si>
  <si>
    <t>TemperatureCelsius</t>
  </si>
  <si>
    <t>The temperature of the processor.</t>
  </si>
  <si>
    <t>ThrottlingCelsius</t>
  </si>
  <si>
    <t>The CPU margin to throttle (temperature offset in degree Celsius).</t>
  </si>
  <si>
    <t>UserPercent</t>
  </si>
  <si>
    <t>The percentage of time spent in user mode.</t>
  </si>
  <si>
    <t xml:space="preserve">   CacheMiss</t>
  </si>
  <si>
    <t xml:space="preserve">   CacheMissesPerInstruction</t>
  </si>
  <si>
    <t xml:space="preserve">   HitRatio</t>
  </si>
  <si>
    <t xml:space="preserve">   Level</t>
  </si>
  <si>
    <t xml:space="preserve">   OccupancyBytes</t>
  </si>
  <si>
    <t xml:space="preserve">   OccupancyPercent</t>
  </si>
  <si>
    <t xml:space="preserve">   CoreCache</t>
  </si>
  <si>
    <t xml:space="preserve">      CacheMiss</t>
  </si>
  <si>
    <t xml:space="preserve">      CacheMissesPerInstruction</t>
  </si>
  <si>
    <t xml:space="preserve">      HitRatio</t>
  </si>
  <si>
    <t xml:space="preserve">      Level</t>
  </si>
  <si>
    <t xml:space="preserve">      OccupancyBytes</t>
  </si>
  <si>
    <t xml:space="preserve">      OccupancyPercent</t>
  </si>
  <si>
    <t xml:space="preserve">   CoreId</t>
  </si>
  <si>
    <t xml:space="preserve">   CStateResidency</t>
  </si>
  <si>
    <t xml:space="preserve">      ResidencyPercent</t>
  </si>
  <si>
    <t xml:space="preserve">   InstructionsPerCycle</t>
  </si>
  <si>
    <t xml:space="preserve">   IOStallCount</t>
  </si>
  <si>
    <t xml:space="preserve">   MemoryStallCount</t>
  </si>
  <si>
    <t xml:space="preserve">   UnhaltedCycles</t>
  </si>
  <si>
    <t>Table 72: O-PAS Profile Map for the Sensor Resource</t>
  </si>
  <si>
    <t>TelemetryService (1.1.1)</t>
  </si>
  <si>
    <t>Triggers (1.1.0)</t>
  </si>
  <si>
    <t xml:space="preserve">   DwellTime</t>
  </si>
  <si>
    <t xml:space="preserve">   Severity</t>
  </si>
  <si>
    <t xml:space="preserve">   Value</t>
  </si>
  <si>
    <t xml:space="preserve">   LowerCritical</t>
  </si>
  <si>
    <t xml:space="preserve">   LowerWarning</t>
  </si>
  <si>
    <t xml:space="preserve">   UpperWarning</t>
  </si>
  <si>
    <t>EventTriggers</t>
  </si>
  <si>
    <t>A list of MessageIds that specify when a trigger occurs based on an event.</t>
  </si>
  <si>
    <t>The metric report definitions that will generate new metric reports when a trigger occurs when the TriggerActions property contains the value RedfishMetricReport.</t>
  </si>
  <si>
    <t>Link to a MetricReportDefinition resource.</t>
  </si>
  <si>
    <t>OEM object definition in the Common properties section.</t>
  </si>
  <si>
    <t xml:space="preserve">   MetricReportDefinitions</t>
  </si>
  <si>
    <t>SoftwareInventory (1.2.2)</t>
  </si>
  <si>
    <t>UpdateService (1.5.0)</t>
  </si>
  <si>
    <t>HttpPushUriOptions</t>
  </si>
  <si>
    <t>This property contains options for software update via HttpPushUri.</t>
  </si>
  <si>
    <t>This property contains settings for when firmware is to be applied when provided via HttpPushUri.</t>
  </si>
  <si>
    <t>This property indicates when the software update invoked via HttpPushUri should be applied.</t>
  </si>
  <si>
    <t xml:space="preserve"> The value of this property as specified by client indicates the expiry time of maintenance window in seconds.</t>
  </si>
  <si>
    <t>HttpPushUriOptionsBusy</t>
  </si>
  <si>
    <t>This represents if the properties of HttpPushUriOptions are reserved by any client.</t>
  </si>
  <si>
    <t xml:space="preserve">   HttpPushUriApplyTime</t>
  </si>
  <si>
    <t xml:space="preserve">      ApplyTime</t>
  </si>
  <si>
    <t xml:space="preserve">            MaintenanceWindowDurationInSeconds</t>
  </si>
  <si>
    <t xml:space="preserve">      MaintenanceWindowStartTime</t>
  </si>
  <si>
    <t>MaxImageSizeBytes</t>
  </si>
  <si>
    <t>The maximum size in bytes of the software update image that this service supports.</t>
  </si>
  <si>
    <t>ActionInfo (1.1.1)</t>
  </si>
  <si>
    <t>JSONSchemaFile (1.1.3)</t>
  </si>
  <si>
    <t xml:space="preserve">   CpuLoadPct1m</t>
  </si>
  <si>
    <t xml:space="preserve">   CpuLoadPct5m</t>
  </si>
  <si>
    <t xml:space="preserve">   CpuLoadPct15m</t>
  </si>
  <si>
    <t xml:space="preserve">   CpuUtilPctUser</t>
  </si>
  <si>
    <t xml:space="preserve">   CpuUtilPctSystem</t>
  </si>
  <si>
    <t xml:space="preserve">   CpuUtilPctIdle</t>
  </si>
  <si>
    <t xml:space="preserve">   DiskServiceTimeMs</t>
  </si>
  <si>
    <t xml:space="preserve">   HugepageSizeBytes</t>
  </si>
  <si>
    <t xml:space="preserve">   MemFreeBytes</t>
  </si>
  <si>
    <t xml:space="preserve">   MemAvailableBytes</t>
  </si>
  <si>
    <t xml:space="preserve">   BuffersBytes</t>
  </si>
  <si>
    <t xml:space="preserve">   CachedBytes</t>
  </si>
  <si>
    <t xml:space="preserve">   TotalMemoryBytes</t>
  </si>
  <si>
    <t>The total configured OS-accessible memory (RAM), measured in bytes.</t>
  </si>
  <si>
    <t>Free System Memory, measured in bytes.</t>
  </si>
  <si>
    <t>Available System Memory, measured in bytes.</t>
  </si>
  <si>
    <t>System Buffers, measured in bytes.</t>
  </si>
  <si>
    <t>BaseCycleTimeMs</t>
  </si>
  <si>
    <t>BaseCycleTimeMinMs</t>
  </si>
  <si>
    <t>BaseCycleTimeMaxMs</t>
  </si>
  <si>
    <t>SystemCycleAverageMs</t>
  </si>
  <si>
    <t xml:space="preserve">   CommunicationCycleLoadPct</t>
  </si>
  <si>
    <t xml:space="preserve">   SystemUtilizationPct</t>
  </si>
  <si>
    <t xml:space="preserve">   SystemIdleCapacityPct</t>
  </si>
  <si>
    <t xml:space="preserve">   AverageNetRuntimeMs</t>
  </si>
  <si>
    <t xml:space="preserve">   AverageGrossRuntimeMs</t>
  </si>
  <si>
    <t xml:space="preserve">   MaxGrossRuntimeMs</t>
  </si>
  <si>
    <t xml:space="preserve">   MaxNetRuntimeMs</t>
  </si>
  <si>
    <t xml:space="preserve">   MinGrossRuntimeMs</t>
  </si>
  <si>
    <t xml:space="preserve">   MinNetRuntimeMs</t>
  </si>
  <si>
    <t>CpuLoadPctFailsafe</t>
  </si>
  <si>
    <t>CpuLoadPctProgram</t>
  </si>
  <si>
    <t>CpuLoadPctTotal</t>
  </si>
  <si>
    <t>CpuLoadPctAverage</t>
  </si>
  <si>
    <t>CpuLoadPctMin</t>
  </si>
  <si>
    <t>CpuLoadPctMax</t>
  </si>
  <si>
    <t>SystemCycleMinMs</t>
  </si>
  <si>
    <t>SystemCycleMaxMs</t>
  </si>
  <si>
    <t xml:space="preserve">   MaxRatedTemperatureCelsius</t>
  </si>
  <si>
    <t xml:space="preserve">   MinRatedTemperatureCelsius</t>
  </si>
  <si>
    <t xml:space="preserve">   MaxRatedHumidityPct</t>
  </si>
  <si>
    <t xml:space="preserve">   MinRatedHumidityPct</t>
  </si>
  <si>
    <t>CpuLoadPctIo</t>
  </si>
  <si>
    <t>SystemUtilizationPct</t>
  </si>
  <si>
    <t>SystemIdleCapacityPct</t>
  </si>
  <si>
    <t>CommunicationCycleLoadPct</t>
  </si>
  <si>
    <t>MinNetRuntimeMs</t>
  </si>
  <si>
    <t>MinGrossRuntimeMs</t>
  </si>
  <si>
    <t>MaxNetRuntimeMs</t>
  </si>
  <si>
    <t>MaxGrossRuntimeMs</t>
  </si>
  <si>
    <t>AverageNetRuntimeMs</t>
  </si>
  <si>
    <t>AverageGrossRuntimeMs</t>
  </si>
  <si>
    <t>The Resource ID of the AttributeRegistry that has the system-specific information about OS environment variables.</t>
  </si>
  <si>
    <t>1.1.9.8 DCNSubsystem</t>
  </si>
  <si>
    <t>DCNSubsystem URIs</t>
  </si>
  <si>
    <t>Actions supported for DCN Bus</t>
  </si>
  <si>
    <t>1.1.9.8 DCNDevice</t>
  </si>
  <si>
    <t>DCNDevice URIs</t>
  </si>
  <si>
    <t>Actions supported for the DCN</t>
  </si>
  <si>
    <t>Resource MinVersion</t>
  </si>
  <si>
    <t>1.0.0</t>
  </si>
  <si>
    <t>1.1.7.7               PCIeSlots</t>
  </si>
  <si>
    <t>The interval of time in seconds between the last failed login attempt and reset of the lockout threshold counter. This value must be less than or equal to AccountLockoutDuration.</t>
  </si>
  <si>
    <t xml:space="preserve">   #VirtualMachine.Activate</t>
  </si>
  <si>
    <t xml:space="preserve">   #VirtualMachine.Pause</t>
  </si>
  <si>
    <t xml:space="preserve">   #VirtualMachine.Reboot</t>
  </si>
  <si>
    <t xml:space="preserve">   #VirtualMachine.Suspend</t>
  </si>
  <si>
    <t xml:space="preserve">   #VirtualMachine.Shutdown</t>
  </si>
  <si>
    <t>1.0.2</t>
  </si>
  <si>
    <t>1.4.0</t>
  </si>
  <si>
    <t>1.2.0</t>
  </si>
  <si>
    <t>1.1.2</t>
  </si>
  <si>
    <t>1.1.0</t>
  </si>
  <si>
    <t>1.1.2                 Event</t>
  </si>
  <si>
    <t>1.0.4</t>
  </si>
  <si>
    <t>1.3.1</t>
  </si>
  <si>
    <t>1.3.0</t>
  </si>
  <si>
    <t>1.1.1</t>
  </si>
  <si>
    <t>1.5.0</t>
  </si>
  <si>
    <t>1.0.1</t>
  </si>
  <si>
    <t xml:space="preserve">   ImageSizeBytes</t>
  </si>
  <si>
    <t xml:space="preserve">   VolumeId</t>
  </si>
  <si>
    <t xml:space="preserve">   VolumeDevice</t>
  </si>
  <si>
    <t xml:space="preserve">   ImageId</t>
  </si>
  <si>
    <t xml:space="preserve">   InterfaceName</t>
  </si>
  <si>
    <t xml:space="preserve">   DnsServers</t>
  </si>
  <si>
    <t xml:space="preserve">   Gateway</t>
  </si>
  <si>
    <t xml:space="preserve">   PortId</t>
  </si>
  <si>
    <t>VmNetworkInterfaces</t>
  </si>
  <si>
    <t xml:space="preserve">   DeviceInfo</t>
  </si>
  <si>
    <t>VmCreateTime</t>
  </si>
  <si>
    <t>Attribute</t>
  </si>
  <si>
    <t>BrowseName</t>
  </si>
  <si>
    <t>IsAbstract</t>
  </si>
  <si>
    <t>Reference</t>
  </si>
  <si>
    <t>Node Class</t>
  </si>
  <si>
    <t>DataType</t>
  </si>
  <si>
    <t>TypeDefinition</t>
  </si>
  <si>
    <t>ModelingRule</t>
  </si>
  <si>
    <t>RW</t>
  </si>
  <si>
    <t>HasComponent</t>
  </si>
  <si>
    <t>Optional</t>
  </si>
  <si>
    <t>Object</t>
  </si>
  <si>
    <t>RedfishOperatingSystemResourceType</t>
  </si>
  <si>
    <t>RedfishUpdateServiceResourceType</t>
  </si>
  <si>
    <t>RedfishOperatingSystemMetricsType</t>
  </si>
  <si>
    <t>RedfishStatusType</t>
  </si>
  <si>
    <t>RedfishOdataIdType</t>
  </si>
  <si>
    <t>Variable</t>
  </si>
  <si>
    <t>RedfishHartType</t>
  </si>
  <si>
    <t>RedfishChannelDiagnosticsType</t>
  </si>
  <si>
    <t>RedfishServiceRootResourceType</t>
  </si>
  <si>
    <t>RedfishComputerSystemResourceType</t>
  </si>
  <si>
    <t>RedfishChassisResourceType</t>
  </si>
  <si>
    <t>RedfishRemoteLoggingAgentResourceType</t>
  </si>
  <si>
    <t>RedfishApplicationResourceType</t>
  </si>
  <si>
    <t>RedfishVirtualMachineResourceType</t>
  </si>
  <si>
    <t>RedfishDCNResourceType</t>
  </si>
  <si>
    <t>RedfishDCNSubsystemResourceType</t>
  </si>
  <si>
    <t>RedfishDCNDeviceResourceType</t>
  </si>
  <si>
    <t>RedfishOperatingSystemMetricsResourceType</t>
  </si>
  <si>
    <t>RedfishDevicePassthroughType</t>
  </si>
  <si>
    <t>ImageTypesSupported</t>
  </si>
  <si>
    <t>ServiceApiUrl</t>
  </si>
  <si>
    <t>ContainerEngine</t>
  </si>
  <si>
    <t>ContainerTypesSupported</t>
  </si>
  <si>
    <t>TotalMemoryBytes</t>
  </si>
  <si>
    <t>IsPersistent</t>
  </si>
  <si>
    <t>MemFreeBytes</t>
  </si>
  <si>
    <t>MemAvailableBytes</t>
  </si>
  <si>
    <t>BuffersBytes</t>
  </si>
  <si>
    <t>CachedBytes</t>
  </si>
  <si>
    <t>HugepagesTotal</t>
  </si>
  <si>
    <t>HugepagesFree</t>
  </si>
  <si>
    <t>HugepageSizeBytes</t>
  </si>
  <si>
    <t>AllocatedCores</t>
  </si>
  <si>
    <t>SharedCores</t>
  </si>
  <si>
    <t>CpuLoadPct1m</t>
  </si>
  <si>
    <t>CpuLoadPct5m</t>
  </si>
  <si>
    <t>CpuLoadPct15m</t>
  </si>
  <si>
    <t>CpuUtilPctUser</t>
  </si>
  <si>
    <t>CpuUtilPctSystem</t>
  </si>
  <si>
    <t>CpuUtilPctIdle</t>
  </si>
  <si>
    <t>CpuUtilPctIowait</t>
  </si>
  <si>
    <t>DiskServiceTimeMs</t>
  </si>
  <si>
    <t>ApplicationVendor</t>
  </si>
  <si>
    <t>ImageName</t>
  </si>
  <si>
    <t>ImageId</t>
  </si>
  <si>
    <t>ImageHash</t>
  </si>
  <si>
    <t>ImageSizeBytes</t>
  </si>
  <si>
    <t>ImageType</t>
  </si>
  <si>
    <t>VolumeName</t>
  </si>
  <si>
    <t>VolumeId</t>
  </si>
  <si>
    <t>VolumeDevice</t>
  </si>
  <si>
    <t>InterfaceName</t>
  </si>
  <si>
    <t>InterfaceType</t>
  </si>
  <si>
    <t>Network</t>
  </si>
  <si>
    <t>Subnet</t>
  </si>
  <si>
    <t>SubnetCidr</t>
  </si>
  <si>
    <t>IPAddresses</t>
  </si>
  <si>
    <t>DnsServers</t>
  </si>
  <si>
    <t>PortId</t>
  </si>
  <si>
    <t>DeviceInfo</t>
  </si>
  <si>
    <t>ImageVersion</t>
  </si>
  <si>
    <t>MaxRatedTemperatureCelsius</t>
  </si>
  <si>
    <t>MinRatedTemperatureCelsius</t>
  </si>
  <si>
    <t>MaxRatedHumidityPct</t>
  </si>
  <si>
    <t>MinRatedHumidityPct</t>
  </si>
  <si>
    <t>OutdoorRated</t>
  </si>
  <si>
    <t>BatteryPercentCharged</t>
  </si>
  <si>
    <t>BatteryRemainingTime</t>
  </si>
  <si>
    <t>OutOfRangeNamur</t>
  </si>
  <si>
    <t>ContinuitySupport</t>
  </si>
  <si>
    <t>ContinuityOK</t>
  </si>
  <si>
    <t>SensorTestPossible</t>
  </si>
  <si>
    <t>SensorTestOK</t>
  </si>
  <si>
    <t>HartVersion</t>
  </si>
  <si>
    <t>ErrorBitSet</t>
  </si>
  <si>
    <t>MoreStatusAvailableBitSet</t>
  </si>
  <si>
    <t>FunctionBlockName</t>
  </si>
  <si>
    <t>FunctionBlockVersion</t>
  </si>
  <si>
    <t>FunctionBlockState</t>
  </si>
  <si>
    <t>IOChannels</t>
  </si>
  <si>
    <t>PassthroughType</t>
  </si>
  <si>
    <t>IPAddress</t>
  </si>
  <si>
    <t>IPPort</t>
  </si>
  <si>
    <t>string</t>
  </si>
  <si>
    <t>boolean</t>
  </si>
  <si>
    <t>int64</t>
  </si>
  <si>
    <t>int32</t>
  </si>
  <si>
    <t>float</t>
  </si>
  <si>
    <t>boo</t>
  </si>
  <si>
    <t>ContainerMemoryBytes</t>
  </si>
  <si>
    <t>ContainerStorageLimitBytes</t>
  </si>
  <si>
    <t>HasProperty</t>
  </si>
  <si>
    <t>PropertyType</t>
  </si>
  <si>
    <t>BaseDataVariableType</t>
  </si>
  <si>
    <t>RedfishMetricsAgentResourceType</t>
  </si>
  <si>
    <t>RedfishContainerResourceType</t>
  </si>
  <si>
    <t>Represents the health state of this resource in the absence of its
dependent resources.</t>
  </si>
  <si>
    <t>Represents the overall health state from the view of this resource.</t>
  </si>
  <si>
    <t>This indicates the known state of the resource, such as if it is enabled.</t>
  </si>
  <si>
    <t xml:space="preserve">  HealthRollup</t>
  </si>
  <si>
    <t xml:space="preserve">  State</t>
  </si>
  <si>
    <t>RedfishArrayElementType</t>
  </si>
  <si>
    <t xml:space="preserve">      Name</t>
  </si>
  <si>
    <t>Abstract Class for Redfish Array Elements</t>
  </si>
  <si>
    <t>1.1.1.1 RedfishArrayElementType</t>
  </si>
  <si>
    <t>RedfishManagerResourceType</t>
  </si>
  <si>
    <t>RedfishSystemResourceType</t>
  </si>
  <si>
    <t>RedfishMemoryMetricsArrayElementType</t>
  </si>
  <si>
    <t>RedfishProcessorMetricsArrayElementType</t>
  </si>
  <si>
    <t>RedfishVolumePartitionMetricsArrayElementType</t>
  </si>
  <si>
    <t>RedfishEthernetInterfaceMetricsArrayElementType</t>
  </si>
  <si>
    <t>RedfishVmImageArrayElementType</t>
  </si>
  <si>
    <t>RedfishVmVolumeArrayElementType</t>
  </si>
  <si>
    <t>RedfishVmNetworkInterfaceArrayElementType</t>
  </si>
  <si>
    <t>RedfishContainerImageArrayElementType</t>
  </si>
  <si>
    <t>RedfishContainerVolumeArrayElementType</t>
  </si>
  <si>
    <t>RedfishContainerDeviceArrayElementType</t>
  </si>
  <si>
    <t>RedfishContainerNetworkArrayElementType</t>
  </si>
  <si>
    <t>RedfishIOModuleArrayElementType</t>
  </si>
  <si>
    <t>RedfishFunctionBlockMetricsArrayElementType</t>
  </si>
  <si>
    <t>RedfishRemoteLoggingResourceType</t>
  </si>
  <si>
    <t>RedfishOSLogResourceType</t>
  </si>
  <si>
    <t>RedfishHealthEnum</t>
  </si>
  <si>
    <t>RedfishHealthRollupEnum</t>
  </si>
  <si>
    <t>RedfishStateEnum</t>
  </si>
  <si>
    <t>RedfishArrayElement</t>
  </si>
  <si>
    <t xml:space="preserve">   CpuUtilPctIoWait</t>
  </si>
  <si>
    <t>RedfishThermalResourceType</t>
  </si>
  <si>
    <t>RedfishPowerResourceType</t>
  </si>
  <si>
    <t>RedfishTemperatureArrayElementType</t>
  </si>
  <si>
    <t>LowerThresholdCritical</t>
  </si>
  <si>
    <t>LowerThresholdFatal</t>
  </si>
  <si>
    <t>LowerThresholdNonCritical</t>
  </si>
  <si>
    <t>UpperThresholdCritical</t>
  </si>
  <si>
    <t>UpperThresholdFatal</t>
  </si>
  <si>
    <t>UpperThresholdNonCritical</t>
  </si>
  <si>
    <t>ReadingCelsius</t>
  </si>
  <si>
    <t>RedfishDcnSubsystemResourceType</t>
  </si>
  <si>
    <t>RedfishDcnDeviceResourceType</t>
  </si>
  <si>
    <t>ApplicationName</t>
  </si>
  <si>
    <t>The BIOS settings associated with this system.</t>
  </si>
  <si>
    <t>Collection of certificates used for booting via HTTPS by this ComputerSystem.</t>
  </si>
  <si>
    <t>Collection of EthernetInterfaces associated with this system.</t>
  </si>
  <si>
    <t>Collection of storage services supported by this ComputerSystem.</t>
  </si>
  <si>
    <t>Collection of LogServices associated with this system. Contains a link to a resource.</t>
  </si>
  <si>
    <t>Collection of memory associated with this system.</t>
  </si>
  <si>
    <t>Collection of MemoryDomains associated with this system.</t>
  </si>
  <si>
    <t>Collection of network interfaces associated with this system.</t>
  </si>
  <si>
    <t>Collection of PCIeDevices used by this ComputerSystem.</t>
  </si>
  <si>
    <t>Collection of PCIe functions used by this ComputerSystem.</t>
  </si>
  <si>
    <t>Collection of processors associated with this system.</t>
  </si>
  <si>
    <t>Collection of redundancy entities that each name a set of ComputerSystems that provide redundancy for this ComputerSystem.</t>
  </si>
  <si>
    <t>The UEFI SecureBoot resource associated with this system.</t>
  </si>
  <si>
    <t>Collection of storage devices associated with this system.</t>
  </si>
  <si>
    <t>Collection of Acceleration Functions associated with this Processor.</t>
  </si>
  <si>
    <t>Collection of Managers associated with this system. Contains a link to a resource.</t>
  </si>
  <si>
    <t>Collection of NICs that this Manager uses for network communication. It is here that clients will find NIC configuration options and settings.</t>
  </si>
  <si>
    <t>Collection of HostInterfaces that this Manager uses for local host communication. It is here that clients will find HostInterface configuration options and settings.</t>
  </si>
  <si>
    <t>Network services and their settings that the Manager controls. It is here that clients will find network configuration options as well as network services. See the ManagerNetworkProtocol schema for details on this property.</t>
  </si>
  <si>
    <t>Collection of SerialInterfaces that this Manager uses for serial and console communication. It is here that clients will find serial configuration options and settings.</t>
  </si>
  <si>
    <t>The VirtualMedia services for this Manager.</t>
  </si>
  <si>
    <t>Collection of Chassis associated with this system. Contains a link to a resource.</t>
  </si>
  <si>
    <t>Collection of sub-processors associated with this system, such as cores or threads that are part of a processor.</t>
  </si>
  <si>
    <t>Collection of EventDestination resources.</t>
  </si>
  <si>
    <t>Collection of ComputerSystems associated with this system. Contains a link to a resource.</t>
  </si>
  <si>
    <t>Collection of the UEFI boot options associated with this ComputerSystem.</t>
  </si>
  <si>
    <t>Health and health rollup summary status.</t>
  </si>
  <si>
    <t>Redfish</t>
  </si>
  <si>
    <t>Resource and Schema Guide</t>
  </si>
  <si>
    <t>OPC UA Enum</t>
  </si>
  <si>
    <t>The RedfishHealthEnum type represents the health state of this resource in the absence of its dependent resources.</t>
  </si>
  <si>
    <t>The RedfishHealthRollupEnum type represents the overall health state from the view of this resource.</t>
  </si>
  <si>
    <t>Batteries</t>
  </si>
  <si>
    <t>RedfishBatteryArrayElementType</t>
  </si>
  <si>
    <t>BatteryDescription</t>
  </si>
  <si>
    <t>RedfishDistributedControlNodeResourceType</t>
  </si>
  <si>
    <t>OPCUAServerURI</t>
  </si>
  <si>
    <t xml:space="preserve">CorrelationID </t>
  </si>
  <si>
    <t>CorrelationID</t>
  </si>
  <si>
    <t>Specifies the management requirements for the Redfish profile on O-PAS compliant platforms with a BMC.</t>
  </si>
  <si>
    <t>/redfish/v1/Systems/{ComputerSystemId}/OperatingSystem</t>
  </si>
  <si>
    <t>/redfish/v1/Systems/{ComputerSystemId}/OperatingSystem/OSOpaqueFiles/{OSOpaqueFileId}</t>
  </si>
  <si>
    <t>/redfish/v1/Systems/{ComputerSystemId}/OperatingSystem/OSOpaqueFile/{OSOpaqueFilesId}</t>
  </si>
  <si>
    <t>/redfish/v1/Systems/{ComputerSystemId}/OperatingSystem/OSOpaqueFileService/{OSOpaqueFileServicesId}</t>
  </si>
  <si>
    <t>/redfish/v1/Systems/{ComputerSystemId}/OperatingSystem/Applications/{ApplicationId}</t>
  </si>
  <si>
    <t>/redfish/v1/Systems/{ComputerSystemId}/OperatingSystem/VirtualMachines/{VirtualMachineId}</t>
  </si>
  <si>
    <t>/redfish/v1/Systems/{ComputerSystemId}/OperatingSystem/Containers/{ContainerId}</t>
  </si>
  <si>
    <t>/redfish/v1/Systems/{ComputerSystemId}/OperatingSystem/OperatingSystemMetrics</t>
  </si>
  <si>
    <t>VmMemoryBytes</t>
  </si>
  <si>
    <t>*</t>
  </si>
  <si>
    <t>NodeID</t>
  </si>
  <si>
    <t>odata_type</t>
  </si>
  <si>
    <t>odata_context</t>
  </si>
  <si>
    <t>ContainerName</t>
  </si>
  <si>
    <t>1.1.9.8 DistributedControlNode</t>
  </si>
  <si>
    <t>RedfishIOChannelArrayElementType</t>
  </si>
  <si>
    <t>Release of the kernel.</t>
  </si>
  <si>
    <t>Version of the kernel.</t>
  </si>
  <si>
    <t>Version of the virtualization engine.</t>
  </si>
  <si>
    <t>URL to communicate with the virtualization service, if any.</t>
  </si>
  <si>
    <t>A link to the collection of virtual machines.</t>
  </si>
  <si>
    <t>Collection of virtual machines running on this node.</t>
  </si>
  <si>
    <t>Version of the container engine.</t>
  </si>
  <si>
    <t>Collection of containers running on this node.</t>
  </si>
  <si>
    <t>A link to the collection of containers.</t>
  </si>
  <si>
    <t>Timestamp of latest update to metrics.</t>
  </si>
  <si>
    <t>Enable or disable processor metrics collection and reporting for this group.</t>
  </si>
  <si>
    <t>Enable or disable volume/partition metrics collection and reporting for this volume or partition.</t>
  </si>
  <si>
    <t>Enable or disable memory metrics collection and reporting for this group.</t>
  </si>
  <si>
    <t>Indicates whether memory is persistent or not.</t>
  </si>
  <si>
    <t>Hugepage size in bytes.</t>
  </si>
  <si>
    <t>The number of shared cores in this group that are currently used.</t>
  </si>
  <si>
    <t>The number of processor logical cores currently allocated (pinned) to applications, virtual machines, or containers.</t>
  </si>
  <si>
    <t>The number of physical processors in this group.</t>
  </si>
  <si>
    <t>Total number of hugepages (x86-specific).</t>
  </si>
  <si>
    <t>Number of free hugepages.</t>
  </si>
  <si>
    <t>Current I/O Wait CPU Utilization for this processor group.</t>
  </si>
  <si>
    <t>Current User CPU Utilization for this processor group.</t>
  </si>
  <si>
    <t>The size in bytes of this volume or partition.</t>
  </si>
  <si>
    <t>Number of bytes free on this volume or partition.</t>
  </si>
  <si>
    <t>Number of bytes used on this volume or partition.</t>
  </si>
  <si>
    <t>Number of write I/O operations per second (IOPS) for this volume or partition.</t>
  </si>
  <si>
    <t>Number of kilobytes read per second on this volume or partition.</t>
  </si>
  <si>
    <t>Number of kilobytes written per second on this volume or partition.</t>
  </si>
  <si>
    <t>I/O utilization for this volume or partition.</t>
  </si>
  <si>
    <t>Average I/O service time in milliseconds for this volume or partition.</t>
  </si>
  <si>
    <t>List of ID(s) (@odata.id or other identifier) of the underlying resources associated with this volume or partition.</t>
  </si>
  <si>
    <t>List of ID(s) (@odata.id or other identifier) of the underlying resources associated with this interface.</t>
  </si>
  <si>
    <t>List of ID(s) (@odata.id or other identifier) of the underlying resources associated with this device</t>
  </si>
  <si>
    <t>A list of ID(s) of resources that cool this ComputerSystem. Normally the ID will be a chassis or a specific set of fans.</t>
  </si>
  <si>
    <t>A list of ID(s) of resources that power this ComputerSystem. Normally the ID will be a chassis or a specific set of power supplies.</t>
  </si>
  <si>
    <t>Transmitted bytes per second on this interface.</t>
  </si>
  <si>
    <t>Transmitted packets per second on this interface.</t>
  </si>
  <si>
    <t>Received packets per second on this interface.</t>
  </si>
  <si>
    <t>Destination of remote server to push metrics to (if push-style agent).</t>
  </si>
  <si>
    <t>URI of the local agent to pull metrics from (if pull-style agent).</t>
  </si>
  <si>
    <t>Enable or disable the service.</t>
  </si>
  <si>
    <t>Status of the metrics agent.</t>
  </si>
  <si>
    <t xml:space="preserve">Destination URI of remote logging server to push metrics to. </t>
  </si>
  <si>
    <t>Actions supported for Virtual Machines.</t>
  </si>
  <si>
    <t>This action activates the Virtual Machine.</t>
  </si>
  <si>
    <t>This action pauses the Virtual Machine.</t>
  </si>
  <si>
    <t>This action reboots the Virtual Machine.</t>
  </si>
  <si>
    <t>This action resets the Virtual Machine.</t>
  </si>
  <si>
    <t>This action suspends the Virtual Machine.</t>
  </si>
  <si>
    <t>This action shuts down the Virtual Machine.</t>
  </si>
  <si>
    <t>Creation time of the virtual machine.</t>
  </si>
  <si>
    <t>Name of the virtual machine.</t>
  </si>
  <si>
    <t>A link to the array item.</t>
  </si>
  <si>
    <t>Array of images used for the virtual machine.</t>
  </si>
  <si>
    <t>The identifier for array element.</t>
  </si>
  <si>
    <t>Name of the array element.</t>
  </si>
  <si>
    <t>Name of image used to create the Virtual Machine.</t>
  </si>
  <si>
    <t>MD5 or SHA hash of image.</t>
  </si>
  <si>
    <t>Size of the virtual machine image in bytes.</t>
  </si>
  <si>
    <t>Unique identifier for the virtual machine image such as a UUID.</t>
  </si>
  <si>
    <t>Cores allocated to the virtual machine.</t>
  </si>
  <si>
    <t>Memory in bytes allocated to the virtual machine</t>
  </si>
  <si>
    <t>Name of the volume or partition.</t>
  </si>
  <si>
    <t>Unique identifier for the volume such as a UUID.</t>
  </si>
  <si>
    <t>Capacity of the volume in bytes.</t>
  </si>
  <si>
    <t>Name of the interface.</t>
  </si>
  <si>
    <t>Type of interface (virtio, SR-IOV, NIC type, etc.).</t>
  </si>
  <si>
    <t>Network name.</t>
  </si>
  <si>
    <t>Subnet name.</t>
  </si>
  <si>
    <t>CIDR for the Subnet.</t>
  </si>
  <si>
    <t>List of IP Address(es) assigned to the interface.</t>
  </si>
  <si>
    <t>Gateway IP address for the virtual machine.</t>
  </si>
  <si>
    <t>Name for the device connected to the virtual machine.</t>
  </si>
  <si>
    <t>Additional information about the device that may be relevant.</t>
  </si>
  <si>
    <t>State of the virtual machine (running, paused, etc.).</t>
  </si>
  <si>
    <t>Actions supported for containers.</t>
  </si>
  <si>
    <t>This action restarts the Container.</t>
  </si>
  <si>
    <t>This action starts the Container.</t>
  </si>
  <si>
    <t>Creation time of the container.</t>
  </si>
  <si>
    <t>Name of the container.</t>
  </si>
  <si>
    <t>Name of the container image.</t>
  </si>
  <si>
    <t>Name of image used to create the container.</t>
  </si>
  <si>
    <t>Version of the container image.</t>
  </si>
  <si>
    <t>Size of the container image in bytes.</t>
  </si>
  <si>
    <t>Type of container image.</t>
  </si>
  <si>
    <t>Core limit for the container.</t>
  </si>
  <si>
    <t>Memory limit in bytes for the container.</t>
  </si>
  <si>
    <t>Storage limit in bytes for the container.</t>
  </si>
  <si>
    <t>State of the container (running, paused, etc.).</t>
  </si>
  <si>
    <t>Array of volumes mounted by the container.</t>
  </si>
  <si>
    <t>Name of the container volume.</t>
  </si>
  <si>
    <t>Capacity of the container volume in bytes.</t>
  </si>
  <si>
    <t>Name of the device.</t>
  </si>
  <si>
    <t>Type of interface (virtio, NIC type, etc.).</t>
  </si>
  <si>
    <t>List of DNS Server(s) for the virtual machine.</t>
  </si>
  <si>
    <t>Name of the container interface.</t>
  </si>
  <si>
    <t>List of DNS Server(s) for the container.</t>
  </si>
  <si>
    <t>Gateway IP address for the container.</t>
  </si>
  <si>
    <t>Status of the container.</t>
  </si>
  <si>
    <t>Identifier of the array element.</t>
  </si>
  <si>
    <t>Version of the O-PAS profile.</t>
  </si>
  <si>
    <t>Status of O-PAS certification for this profile.</t>
  </si>
  <si>
    <t>Boolean value indicating if the node is rated for outdoor use.</t>
  </si>
  <si>
    <t>Description of battery, such as whether it powers the node, provides backup, etc.</t>
  </si>
  <si>
    <t>Percent charged for battery.</t>
  </si>
  <si>
    <t>Estimated battery life remaining.</t>
  </si>
  <si>
    <t>A link to the collection of DCN Busses.</t>
  </si>
  <si>
    <t>Array of I/O Channels on this module.</t>
  </si>
  <si>
    <t>Name of the I/O Channel.</t>
  </si>
  <si>
    <t>Signal range and units.</t>
  </si>
  <si>
    <t>Manufacture date of the I/O module.</t>
  </si>
  <si>
    <t>Boolean value indicating if the sensor test result was OK.</t>
  </si>
  <si>
    <t>Boolean value indicating if continuity test is supported.</t>
  </si>
  <si>
    <t>HART version for the I/O channel.</t>
  </si>
  <si>
    <t>HART information for the I/O channel (if HART).</t>
  </si>
  <si>
    <t>Device Name for the HART channel.</t>
  </si>
  <si>
    <t>Boolean value indicating if More Status Available Bit is set.</t>
  </si>
  <si>
    <t>Boolean value indicating if Error bit is set.</t>
  </si>
  <si>
    <t>State of the function block.</t>
  </si>
  <si>
    <t>Version of the function block.</t>
  </si>
  <si>
    <t>Base cycle time in milliseconds.</t>
  </si>
  <si>
    <t>Minimum base cycle time in milliseconds.</t>
  </si>
  <si>
    <t>Percentage of CPU used for reading/writing I/O.</t>
  </si>
  <si>
    <t>Percentage of CPU used for executing user program.</t>
  </si>
  <si>
    <t>String with error code indicating the error.</t>
  </si>
  <si>
    <t>Boolean value indicating an error on time synchronization.</t>
  </si>
  <si>
    <t>Array of function block statistics.</t>
  </si>
  <si>
    <t>Name of the function block.</t>
  </si>
  <si>
    <t>CPU Utilization of the function block.</t>
  </si>
  <si>
    <t>Communication Cycle Load of the function block.</t>
  </si>
  <si>
    <t>System Idle Capacity for the function block.</t>
  </si>
  <si>
    <t>Net minimum runtime of function in milliseconds during profiling</t>
  </si>
  <si>
    <t>Gross minimum runtime of function in milliseconds during profiling.</t>
  </si>
  <si>
    <t>Net maximum runtime of function in milliseconds during profiling.</t>
  </si>
  <si>
    <t>Gross maximum runtime of function in milliseconds during profiling.</t>
  </si>
  <si>
    <t>Net average runtime of function in milliseconds during profiling.</t>
  </si>
  <si>
    <t>Gross average runtime of function in milliseconds during profiling.</t>
  </si>
  <si>
    <t>Name of the DCN subsystem.</t>
  </si>
  <si>
    <t>Actions supported for the DCN Device.</t>
  </si>
  <si>
    <t>Boolean value indicating that Service Required Now Flag is set.</t>
  </si>
  <si>
    <t>Boolean value indicating that Service Required Soon Flag is set.</t>
  </si>
  <si>
    <t>Device passthrough information for device diagnostics.</t>
  </si>
  <si>
    <t>IP Address to reach device passthrough.</t>
  </si>
  <si>
    <t>IP Port to reach device passthrough.</t>
  </si>
  <si>
    <t>Numeric indication of the number of cores allocated</t>
  </si>
  <si>
    <t>(No Suggestions)</t>
  </si>
  <si>
    <t>Endpoint is not used in the O-PAS system management profiles.</t>
  </si>
  <si>
    <t>The boundary on which Memory regions are allocated, Measured in Megabytes (MiB).</t>
  </si>
  <si>
    <t>Maximum TDPs in milliwatts.</t>
  </si>
  <si>
    <t>Average power budget in milliwatts.</t>
  </si>
  <si>
    <t>Maximum TDP in milliwatts.</t>
  </si>
  <si>
    <t>Peak power budget in milliwatts.</t>
  </si>
  <si>
    <t>The memory directly attached or integrated within this Processor.</t>
  </si>
  <si>
    <t>This property specifies an interval to send complete MetricReport regardless of whether values have changed. It is used in addition to the ReccurranceInterval where SuppressRepeatedMetricValue is Enabled and the Redfish client desired to be refreshed with metric data occasionally regardless of whether the data is changed or not.</t>
  </si>
  <si>
    <t>Overall health rollup status from the view of a resource.</t>
  </si>
  <si>
    <t>Known state of a resource, such as if it is enabled.</t>
  </si>
  <si>
    <t>The time the trigger occurrence persists before a trigger event has occurred.</t>
  </si>
  <si>
    <t>The value of the discrete metric that constitutes a trigger occurrence.</t>
  </si>
  <si>
    <t>Table 36: O-PAS Profile Map for the Redfish AttributeRegistry Resource</t>
  </si>
  <si>
    <t>Table 46: O-PAS Profile Map for Redfish IPGatewayStaticAddress for IPv6</t>
  </si>
  <si>
    <t>This is an array of messages associated with the Task. See the Message schema for details.</t>
  </si>
  <si>
    <t>The navigation pointer to the collection of sensors located in the equipment and sub-components.</t>
  </si>
  <si>
    <t>City division, borough, city district, ward, chou (Japan).</t>
  </si>
  <si>
    <t>Road Section.</t>
  </si>
  <si>
    <t>The usage of the key contained in the certificate.</t>
  </si>
  <si>
    <t>Collection of Ethernet utilization statistics for each Ethernet interface (eth0, eth1, etc.).</t>
  </si>
  <si>
    <t>Link to a collection of Remote Logging Servers</t>
  </si>
  <si>
    <t>The type of virtualization engine (open stack, kvm/qemu, VMware, xen, others) supported by the node.</t>
  </si>
  <si>
    <t>URL to communicate with the container service, if any.</t>
  </si>
  <si>
    <t>A link to the array of memory metrics</t>
  </si>
  <si>
    <t>A link to the collection of Ethernet interfaces.</t>
  </si>
  <si>
    <t>Enable or disable Ethernet interface metrics collection and reporting for this interface.</t>
  </si>
  <si>
    <t>MD5 sum of the opaque file on the device (can be used to verify the file was downloaded correctly and that it has not changed)</t>
  </si>
  <si>
    <t>Status of the remote logging agent.</t>
  </si>
  <si>
    <t>Boolean indicator whether virtual machine cores are pinned or shared with other virtual machines.</t>
  </si>
  <si>
    <t>Boolean indicator whether virtual machine memory is dedicated or shared with other virtual machines.</t>
  </si>
  <si>
    <t>Type of DCN subsystem (Profinet, Ethernet, etc.).</t>
  </si>
  <si>
    <t>EnvironmentAttributeRegistry</t>
  </si>
  <si>
    <t>EnvironmentAttributes</t>
  </si>
  <si>
    <t xml:space="preserve">   AttributeName</t>
  </si>
  <si>
    <t xml:space="preserve">   CurrentValue</t>
  </si>
  <si>
    <t>Name of the attribute.</t>
  </si>
  <si>
    <t>EnvironmentAttributesKeyValueListType</t>
  </si>
  <si>
    <t>RedfishFanArrayElementType</t>
  </si>
  <si>
    <t>FanName</t>
  </si>
  <si>
    <t>RedfishPowerControlArrayElementType</t>
  </si>
  <si>
    <t>RedfishPowerLimitType</t>
  </si>
  <si>
    <t>RedfishPowerMetricsType</t>
  </si>
  <si>
    <t>RedfishPowerSupplyArrayElementType</t>
  </si>
  <si>
    <t>RedfishVoltageArrayElementType</t>
  </si>
  <si>
    <t>PowerAllocatedWatts</t>
  </si>
  <si>
    <t>PowerConsumedWatts</t>
  </si>
  <si>
    <t>PowerLimit</t>
  </si>
  <si>
    <t>CorrectionInMs</t>
  </si>
  <si>
    <t>LimitException</t>
  </si>
  <si>
    <t>LimitInWatts</t>
  </si>
  <si>
    <t>PowerMetrics</t>
  </si>
  <si>
    <t>AverageConsumedWatts</t>
  </si>
  <si>
    <t>IntervalInMin</t>
  </si>
  <si>
    <t>MaxConsumedWatts</t>
  </si>
  <si>
    <t>MinConsumedWatts</t>
  </si>
  <si>
    <t>LastPowerOutputWatts</t>
  </si>
  <si>
    <t>LineInputVoltage</t>
  </si>
  <si>
    <t>LineInputVoltageType</t>
  </si>
  <si>
    <t>PowerCapacityWatts</t>
  </si>
  <si>
    <t>PowerInputWatts</t>
  </si>
  <si>
    <t>PowerOutputWatts</t>
  </si>
  <si>
    <t>PowerSupplyType</t>
  </si>
  <si>
    <t>ReadingVolts</t>
  </si>
  <si>
    <t>RedfishPowerLimitExceptionEnum</t>
  </si>
  <si>
    <t>HardPowerOff</t>
  </si>
  <si>
    <t>Turn the power off immediately when the limit is exceeded.</t>
  </si>
  <si>
    <t>LogEventOnly</t>
  </si>
  <si>
    <t>Log an event when the limit is exceeded, but take no further action.</t>
  </si>
  <si>
    <t>NoAction</t>
  </si>
  <si>
    <t>Take no action when the limit is exceeded.</t>
  </si>
  <si>
    <t>Take an OEM-defined action.</t>
  </si>
  <si>
    <t>AC120V</t>
  </si>
  <si>
    <t>AC 120V nominal input.</t>
  </si>
  <si>
    <t>AC240V</t>
  </si>
  <si>
    <t>AC 240V nominal input.</t>
  </si>
  <si>
    <t>AC277V</t>
  </si>
  <si>
    <t>AC 277V nominal input.</t>
  </si>
  <si>
    <t>ACandDCWideRange</t>
  </si>
  <si>
    <t>Wide range AC or DC input.</t>
  </si>
  <si>
    <t>ACWideRange</t>
  </si>
  <si>
    <t>Wide range AC input.</t>
  </si>
  <si>
    <t>DC240V</t>
  </si>
  <si>
    <t>DC 240V nominal input.</t>
  </si>
  <si>
    <t>DC380V</t>
  </si>
  <si>
    <t>High Voltage DC input (380V).</t>
  </si>
  <si>
    <t>DCNeg48V</t>
  </si>
  <si>
    <t>-48V DC input.</t>
  </si>
  <si>
    <t>Unknown</t>
  </si>
  <si>
    <t>The power supply line input voltage type cannot be determined.</t>
  </si>
  <si>
    <t>Accelerator</t>
  </si>
  <si>
    <t>An Accelerator.</t>
  </si>
  <si>
    <t>ACInput</t>
  </si>
  <si>
    <t>An AC Input.</t>
  </si>
  <si>
    <t>ACMaintenanceBypassInput</t>
  </si>
  <si>
    <t>An AC Maintenance Bypass Input.</t>
  </si>
  <si>
    <t>ACOutput</t>
  </si>
  <si>
    <t>An AC Output.</t>
  </si>
  <si>
    <t>ACStaticBypassInput</t>
  </si>
  <si>
    <t>An AC Static Bypass Input.</t>
  </si>
  <si>
    <t>ACUtilityInput</t>
  </si>
  <si>
    <t>An AC Utility Input.</t>
  </si>
  <si>
    <t>ASIC</t>
  </si>
  <si>
    <t>An ASIC device, such as networking chip or a chipset component.</t>
  </si>
  <si>
    <t>Back</t>
  </si>
  <si>
    <t>The back of the chassis.</t>
  </si>
  <si>
    <t>Backplane</t>
  </si>
  <si>
    <t>A backplane within the chassis.</t>
  </si>
  <si>
    <t>The entire chassis.</t>
  </si>
  <si>
    <t>ComputeBay</t>
  </si>
  <si>
    <t>Within a compute bay.</t>
  </si>
  <si>
    <t>CoolingSubsystem</t>
  </si>
  <si>
    <t>The entire cooling (air and liquid) subsystem.</t>
  </si>
  <si>
    <t>CPU</t>
  </si>
  <si>
    <t>A Processor (CPU).</t>
  </si>
  <si>
    <t>CPUSubsystem</t>
  </si>
  <si>
    <t>The entire Processor (CPU) subsystem.</t>
  </si>
  <si>
    <t>DCBus</t>
  </si>
  <si>
    <t>A DC Bus.</t>
  </si>
  <si>
    <t>Exhaust</t>
  </si>
  <si>
    <t>The air exhaust point(s) or region of the chassis.</t>
  </si>
  <si>
    <t>ExpansionBay</t>
  </si>
  <si>
    <t>Within an expansion bay.</t>
  </si>
  <si>
    <t>Fan</t>
  </si>
  <si>
    <t>A fan.</t>
  </si>
  <si>
    <t>A Field Programmable Gate Array (FPGA).</t>
  </si>
  <si>
    <t>Front</t>
  </si>
  <si>
    <t>The front of the chassis.</t>
  </si>
  <si>
    <t>GPU</t>
  </si>
  <si>
    <t>A Graphics Processor (GPU).</t>
  </si>
  <si>
    <t>GPUSubsystem</t>
  </si>
  <si>
    <t>The entire Graphics Processor (GPU) subsystem.</t>
  </si>
  <si>
    <t>Intake</t>
  </si>
  <si>
    <t>The air intake point(s) or region of the chassis.</t>
  </si>
  <si>
    <t>LiquidInlet</t>
  </si>
  <si>
    <t>The liquid inlet point of the chassis.</t>
  </si>
  <si>
    <t>LiquidOutlet</t>
  </si>
  <si>
    <t>The liquid outlet point of the chassis.</t>
  </si>
  <si>
    <t>Lower</t>
  </si>
  <si>
    <t>The lower portion of the chassis.</t>
  </si>
  <si>
    <t>A memory device.</t>
  </si>
  <si>
    <t>MemorySubsystem</t>
  </si>
  <si>
    <t>The entire Memory subsystem.</t>
  </si>
  <si>
    <t>Motor</t>
  </si>
  <si>
    <t>A motor.</t>
  </si>
  <si>
    <t>NetworkBay</t>
  </si>
  <si>
    <t>Within a networking bay.</t>
  </si>
  <si>
    <t>NetworkingDevice</t>
  </si>
  <si>
    <t>A networking device.</t>
  </si>
  <si>
    <t>PowerSubsystem</t>
  </si>
  <si>
    <t>The entire power subsystem.</t>
  </si>
  <si>
    <t>PowerSupply</t>
  </si>
  <si>
    <t>A power supply.</t>
  </si>
  <si>
    <t>PowerSupplyBay</t>
  </si>
  <si>
    <t>Within a power supply bay.</t>
  </si>
  <si>
    <t>Rectifier</t>
  </si>
  <si>
    <t>A rectifier device.</t>
  </si>
  <si>
    <t>Room</t>
  </si>
  <si>
    <t>The room.</t>
  </si>
  <si>
    <t>StorageBay</t>
  </si>
  <si>
    <t>Within a storage bay.</t>
  </si>
  <si>
    <t>StorageDevice</t>
  </si>
  <si>
    <t>A storage device.</t>
  </si>
  <si>
    <t>SystemBoard</t>
  </si>
  <si>
    <t>The system board (PCB).</t>
  </si>
  <si>
    <t>Transformer</t>
  </si>
  <si>
    <t>A Transformer.</t>
  </si>
  <si>
    <t>Upper</t>
  </si>
  <si>
    <t>The upper portion of the chassis.</t>
  </si>
  <si>
    <t>VoltageRegulator</t>
  </si>
  <si>
    <t>A voltage regulator device.</t>
  </si>
  <si>
    <t>AC</t>
  </si>
  <si>
    <t>Alternating Current (AC) power supply.</t>
  </si>
  <si>
    <t>ACorDC</t>
  </si>
  <si>
    <t>DC</t>
  </si>
  <si>
    <t>Direct Current (DC) power supply.</t>
  </si>
  <si>
    <t>The power supply type cannot be determined.</t>
  </si>
  <si>
    <t>RedfishVoltagePhysicalContextEnum</t>
  </si>
  <si>
    <t>RedfishPowerSupplyTypeEnum</t>
  </si>
  <si>
    <t>RedfishLineInputVoltageTypeEnum</t>
  </si>
  <si>
    <t>RedfishThermalPhysicalContextEnum</t>
  </si>
  <si>
    <t>Percent</t>
  </si>
  <si>
    <t>Indicates that the fan reading and thresholds are measured in percentage.</t>
  </si>
  <si>
    <t>RPM</t>
  </si>
  <si>
    <t>Indicates that the fan reading and thresholds are measured in rotations per minute.</t>
  </si>
  <si>
    <t>RedfishFanReadingUnitsEnum</t>
  </si>
  <si>
    <t>Parent Type</t>
  </si>
  <si>
    <t>Location property defining the physical location of the drive.</t>
  </si>
  <si>
    <t>Array of location properties describing the location of the drive.</t>
  </si>
  <si>
    <t>Status of the resource – health, health rollup, and/or state.</t>
  </si>
  <si>
    <t>Choice of which boot order property to use when specifying the boot order.</t>
  </si>
  <si>
    <t>This resource describes a container running on the device. Note that the container may be statically provisioned or dynamically orchestrated.</t>
  </si>
  <si>
    <t>Identifier used to correlate the host with its container. If the container is managed via a Redfish agent/server, this should be the ServiceRoot UUID. If not, the Vendor can define it.</t>
  </si>
  <si>
    <t>Boolean value indicating if continuity test result was OK.</t>
  </si>
  <si>
    <t>Boolean value indicating if Sensor test is supported.</t>
  </si>
  <si>
    <t>Type of signal; e.g., analog, digital, input, output.</t>
  </si>
  <si>
    <t>Percentage of CPU used for executing the safety program.</t>
  </si>
  <si>
    <t>Type of passthrough; e.g., FDT.</t>
  </si>
  <si>
    <t>The level of C-state; e.g., C0, C1, C2.</t>
  </si>
  <si>
    <t>Device name that the volume appears as in the virtual machine; e.g., vda, vdb.</t>
  </si>
  <si>
    <t>URI of the management agent; e.g., Redfish URI.</t>
  </si>
  <si>
    <t>Average amount of time available in milliseconds after user program has executed since configuration change.</t>
  </si>
  <si>
    <t>Maximum system cycle time in milliseconds since configuration change.</t>
  </si>
  <si>
    <t>Minimum system cycle time in milliseconds since configuration change.</t>
  </si>
  <si>
    <t>Actions supported for the DCN subsystem</t>
  </si>
  <si>
    <t>Collection of southbound devices connected to the DCN subsystem.</t>
  </si>
  <si>
    <t>A link to the collection of DCN subsystems.</t>
  </si>
  <si>
    <t>Out of Range/NAMUR indication.</t>
  </si>
  <si>
    <t>Module name of the I/O module.</t>
  </si>
  <si>
    <t>Array of I/O modules deployed on the DCN Bus.</t>
  </si>
  <si>
    <t>Array of volume or partition statistics for different volumes or partitions as appropriate (primary, rootfs, data, etc.). The implementation determines which volumes or partitions to expose.</t>
  </si>
  <si>
    <t>List of container types supported.</t>
  </si>
  <si>
    <t>Array of zero or more volume or partition metrics for different volumes or partitions as appropriate (primary, rootfs, data, etc.). The vendor determines which volumes or partitions to expose.</t>
  </si>
  <si>
    <t>Number of read I/O operations per second (IOPS) for this volume or partition.</t>
  </si>
  <si>
    <t>List of ID(s) (@odata.id or other identifier) of the underlying resources associated with this device. This may be a disk or a volume.</t>
  </si>
  <si>
    <t>OPC UA Server URI for the node. Used to correlate the Redfish server with the OPC UA server for a DCN. OPC UA will use the Service Root UUID for correlation to the Redfish Server.</t>
  </si>
  <si>
    <t>Networks the cluster connects to (physical and virtual). TBD whether this only for data networks or includes management, OAM, and other networks.</t>
  </si>
  <si>
    <t>Array of processor utilization metrics for different slices of processor cores as appropriate (total, platform, application, etc.). The implementation determines which groups of processor cores to expose.</t>
  </si>
  <si>
    <t>Array of Ethernet utilization metrics for each Ethernet interface (eth0, eth1, etc.). Normally there would be one array element per physical or logical network device.</t>
  </si>
  <si>
    <t>The IPv4 addresses currently assigned to this interface.</t>
  </si>
  <si>
    <t>The IPv6 address prefix (as defined in IETF RFC 6724 §2.1).</t>
  </si>
  <si>
    <t>Collection of remote logging agents supported on the node to support logging to a remote server. Remote logging is optional so this collection allows the vendor to expose if they are running third-party or open source remote logging agents and provide a generic means to configure the destination server.</t>
  </si>
  <si>
    <t>Resource to expose third-party or open sources metrics agent running on the platform; for example, NAGIOS, Prometheus Node Exporter, etc.</t>
  </si>
  <si>
    <t>The maximum number of Virtual Functions (VFs) supported by this controller.</t>
  </si>
  <si>
    <t>The number of VFs that are available for this NetworkDeviceFunction.</t>
  </si>
  <si>
    <t>The NetworkInterface resource contains references linking NetworkAdapter, NetworkPort, and NetworkDeviceFunction resources and represents the functionality available to the containing system. EthernetInterface and NetworkInterface resources address the similar functionality using simple or complex schema structures. An implemented profile would use EthernetInterface or NetworkInterface, never both resources.</t>
  </si>
  <si>
    <t>9/19 from email from Ed and Cathy - Removed reference to 6.5.9.4. No location object property definition.</t>
  </si>
  <si>
    <t>Collection of key/value pairs that can be used for configuration that is not in information model (user can create and delete). Intent is that resource allows the user to pass arbitrary configuration items or even commands.</t>
  </si>
  <si>
    <t>Collection of opaque OS configuration files that can be used for configuration that is not in information model (user can create and delete). Intent is that the node will understand what to do with the file</t>
  </si>
  <si>
    <t>The VirtClusterService schema represents an entire cluster of nodes under a common orchestration.
  NOTE:  Initially treat container and VM clusters common. If needed, these may be split. NOTE:  This could be a new profile; e.g., OSM-RedfishCluster</t>
  </si>
  <si>
    <t>Specifies the management requirements for the Redfish profile on O-PAS compliant platforms without a BMC. This profile is designed to run in the host operating system (in-band).</t>
  </si>
  <si>
    <t>Specifies the management requirements for the Redfish profile on O-PAS compliant platforms with OperatingSystem and DistributedControlNode support. This profile is designed to run in the host operating system (in-band).</t>
  </si>
  <si>
    <t>The EthernetInterface resource represents a single, logical EthernetInterface or NIC. EthernetInterface and NetworkInterface resources address the similar functionality using simple or complex schema structures. An implemented profile would use EthernetInterface or NetworkInterface, never both resources.</t>
  </si>
  <si>
    <t>The list of environment attributes as key/value pairs specific to the OS and applications.</t>
  </si>
  <si>
    <t>Hostname for the OS.</t>
  </si>
  <si>
    <t>Name of the OS kernel.</t>
  </si>
  <si>
    <t>Timestamp for last time the OS was booted.</t>
  </si>
  <si>
    <t>Collection of LogServices associated with this system. Contains a link to the collection resource. Implemented as a collection of logs to allow vendor to expose a single consolidated log or any number of individual OS logs.</t>
  </si>
  <si>
    <t>Collection of metrics agents supported on the node for detailed telemetry. Metrics agents are optional so this collection allows the vendor to expose if they are running third-party or open source metrics agents and provide a generic means to configure them.</t>
  </si>
  <si>
    <t>Resource defining in-band cluster metrics.</t>
  </si>
  <si>
    <t>Dropped packets on this interface.</t>
  </si>
  <si>
    <t>Transmit errors on this interface.</t>
  </si>
  <si>
    <t>Receive errors on this interface.</t>
  </si>
  <si>
    <t>Negotiated speed of interface in Mbps (10, 100, 1000, 10000, etc.).</t>
  </si>
  <si>
    <t>Received bytes per second on this interface.</t>
  </si>
  <si>
    <t>Enable or disable OS metrics collection and reporting.</t>
  </si>
  <si>
    <t>Resource to expose remote logging capabilities supported by the platform; for example, syslog, logstash, fluentd, etc.</t>
  </si>
  <si>
    <t>The type of a resource; for example #Chassis.v1_8_0.Chassis.</t>
  </si>
  <si>
    <t>The OData description of a payload; for example, /redfish/v1/$metadata#Chassis.Chassis.</t>
  </si>
  <si>
    <t>The unique identifier for a resource; for example, /redfish/v1/Chassis/1.</t>
  </si>
  <si>
    <t>Identifier used to correlate the virtual machine with its host. If the virtual machine is managed via a Redfish agent/server, this should be the ServiceRoot UUID. If not, the Vendor can define it.</t>
  </si>
  <si>
    <t>Type of device (e.g., GPU, FPGA etc.).</t>
  </si>
  <si>
    <t>Type of image file (qcow2, raw, etc.).</t>
  </si>
  <si>
    <t>Identifier for the port; for example, a UUID of a port on a virtual switch.</t>
  </si>
  <si>
    <t>List of ID(s) (@odata.id or other identifier) of the underlying resources associated with this device.</t>
  </si>
  <si>
    <t>Type of virtual machine (KVM, Xen, VMware).</t>
  </si>
  <si>
    <t>Subtype of BaseObjectType defined in the OPC UA Part 5, §6.2</t>
  </si>
  <si>
    <t>Name of the resource.</t>
  </si>
  <si>
    <t>Identifier for the resource.</t>
  </si>
  <si>
    <t>Description of the resource.</t>
  </si>
  <si>
    <t>Element number in the array.</t>
  </si>
  <si>
    <t>Subtype of RedfishResourceType defined in the O-PAS Standard, Version 2.0, Part 5 – System Management</t>
  </si>
  <si>
    <t>The user-assigned asset tag of the Chassis.</t>
  </si>
  <si>
    <t>The ASHRAE Environmental Class for the Chassis.</t>
  </si>
  <si>
    <t>An array of references to the ComputerSystems contained in the Chassis. This will only reference ComputerSystems that are directly and wholly contained in the Chassis.</t>
  </si>
  <si>
    <t>A reference to the Chassis by which the Chassis is contained.</t>
  </si>
  <si>
    <t>An array of references to any other Chassis that the Chassis has in it.</t>
  </si>
  <si>
    <t>A list of ID(s) of resources that cool the Chassis. Normally the ID will be a Chassis or a specific set of fans.</t>
  </si>
  <si>
    <t>An array of references to the disk drives located in the Chassis.</t>
  </si>
  <si>
    <t>An array of references to the Managers responsible for managing the Chassis.</t>
  </si>
  <si>
    <t>An array of references to the Managers located in the Chassis.</t>
  </si>
  <si>
    <t>An array of references to the PCIeDevices located in the Chassis.</t>
  </si>
  <si>
    <t>An array of references to the Processors located in the Chassis.</t>
  </si>
  <si>
    <t>A list of ID(s) of resources that power the Chassis. Normally the ID will be a chassis or a specific set of power supplies.</t>
  </si>
  <si>
    <t>An array of references to the resource blocks located in the Chassis.</t>
  </si>
  <si>
    <t>An array of references to the Storage subsystems connected to or inside the Chassis.</t>
  </si>
  <si>
    <t>An array of references to the Switches located in the Chassis.</t>
  </si>
  <si>
    <t>A reference to the logs for the Chassis.</t>
  </si>
  <si>
    <t>The manufacturer of the Chassis.</t>
  </si>
  <si>
    <t>A reference to the collection of NetworkAdapters associated with the Chassis.</t>
  </si>
  <si>
    <t>The PCIeSlots properties of the Chassis.</t>
  </si>
  <si>
    <t>The UUID for the Chassis.</t>
  </si>
  <si>
    <t>Power limit status and configuration information for the Chassis.</t>
  </si>
  <si>
    <t>Power readings for the Chassis.</t>
  </si>
  <si>
    <t>A reference to the Assembly resource associated with the Chassis.</t>
  </si>
  <si>
    <t>Type of container (OCI, etc.).</t>
  </si>
  <si>
    <t>Array of other devices to which the container is connected.</t>
  </si>
  <si>
    <t>Array of networks to which the container is connected.</t>
  </si>
  <si>
    <t>Boolean value indicating if device is currently in communication with the O-PAS DCN.</t>
  </si>
  <si>
    <t>Array of all O-PAS profiles with which this component is conformant.</t>
  </si>
  <si>
    <t>OperatingSystem resource.</t>
  </si>
  <si>
    <t>Array of one or more processor utilization metrics for different slices of processor cores as appropriate (total, platform, application, etc.). The vendor determines which group(s) of processor cores to expose. Some metrics may be OS or processor-specific and can be omitted if they are not supported.</t>
  </si>
  <si>
    <t>Array of networks to which the virtual machine is connected.</t>
  </si>
  <si>
    <t>Current value of the attribute.</t>
  </si>
  <si>
    <t>Boolean value indicating if sensor test is supported.</t>
  </si>
  <si>
    <t>Array of images for use by the container.</t>
  </si>
  <si>
    <t>O-PAS profile name with which the node is compliant.</t>
  </si>
  <si>
    <t>Array of processor utilization statistics for different slices of processor cores as appropriate (total, platform, application, etc.). The implementation determines which group(s) of processor cores to expose.</t>
  </si>
  <si>
    <t>Power supply supports both DC or AC.</t>
  </si>
  <si>
    <t>The average power output of the power supply.</t>
  </si>
  <si>
    <t>Name of the metrics service, agent, or exporter, etc. supported by this node.</t>
  </si>
  <si>
    <t xml:space="preserve">   BatteryDescription</t>
  </si>
  <si>
    <t>11/4/19 - added R here so it didn’t treat links as mandatory</t>
  </si>
  <si>
    <t>Change Log - V2</t>
  </si>
  <si>
    <t>11/27/19 - Changed Ms to Rs per Review Tag 2119/WindRiver-41</t>
  </si>
  <si>
    <t>11/27/19 - Changed Ms in write to Rs to match ActvieDirectory - Related to Review Tag 2119/WindRiver-41 but no specific issue</t>
  </si>
  <si>
    <t>11/27/19 - Changed Ms to Rs per Review Tag 2135/WindRiver-42</t>
  </si>
  <si>
    <t>11/27/19 - Removed M from 001 an 003 per Review Tag 2059/WindRiver-30, 2067/WindRiver-31</t>
  </si>
  <si>
    <t>11/27/19 - Removed M from 001 an 003 per Review Tag 2331/WindRiver-32, 2339/WindRiver-33</t>
  </si>
  <si>
    <t>11/27/19 - Changed Ms to Rs - per Review Tag 2375/WindRiver-43</t>
  </si>
  <si>
    <t>11/27/19 - Changed Ms in write to Rs per Review Tag 2391/WindRiver-44</t>
  </si>
  <si>
    <t>11/27/19 - Changed Ms in write to Rs per Review Tag 2487/WindRiver-47</t>
  </si>
  <si>
    <t>11/27/19 - Changed Ms in write to Rs per Review Tag 2439/WindRiver-45</t>
  </si>
  <si>
    <t>11/27/19 - Changed Ms in write to Rs per Review Tag 2455/WindRiver-46</t>
  </si>
  <si>
    <t>11/27/19 - Changed Ms to Rs per Review Tag 2765/WindRiver-42</t>
  </si>
  <si>
    <t xml:space="preserve">   DistributedControlNodeServices</t>
  </si>
  <si>
    <t>DistributedControlNodeServices</t>
  </si>
  <si>
    <t>The link to OPAF DistributedControlNode (DCN) that this computer system supports.</t>
  </si>
  <si>
    <t>SubsystemName</t>
  </si>
  <si>
    <t xml:space="preserve">   OPASOptionalFeatureList</t>
  </si>
  <si>
    <t>List of IfImplemented and Recommended resources and properties supported</t>
  </si>
  <si>
    <t>OPASOptionalFeatureList</t>
  </si>
  <si>
    <t>11/27/19 - Changed to all Rs per review WindRiver-79</t>
  </si>
  <si>
    <t>11/27/19 - Changed to all Rs per review WindRiver-78</t>
  </si>
  <si>
    <t>DeliveryRetryPolicy</t>
  </si>
  <si>
    <t xml:space="preserve">  
This property shall contain the subscription delivery retry policy for events, where the subscription type is RedfishEvent.  Choices are RetryForever, SuspendRetries, and TerminateAfterRetries.</t>
  </si>
  <si>
    <t>11/27/19 - Added DeliveryRetryPolicy per review WindRiver-83</t>
  </si>
  <si>
    <t>11/27/19 - Added Status per review WindRiver-84</t>
  </si>
  <si>
    <t>11/27/19 - Changed BMC to R per review WindRiver-53</t>
  </si>
  <si>
    <t xml:space="preserve">   ActiveSoftwareImage</t>
  </si>
  <si>
    <t>The link to the SoftwareInventory Resource that represents the active firmware image for this manager. See the SoftwareInventory schema for details on this property.</t>
  </si>
  <si>
    <t>A link to a SoftwareInventory resource.</t>
  </si>
  <si>
    <t>A link to a software images resource.</t>
  </si>
  <si>
    <t xml:space="preserve">   SoftwareImages</t>
  </si>
  <si>
    <t>The images that are associated with this manager.</t>
  </si>
  <si>
    <t>11/27/19 -  Changed to R per review WindRiver-86</t>
  </si>
  <si>
    <t>11/27/19 - Added ActiveSoftwareImage per review WindRiver-86</t>
  </si>
  <si>
    <t>11/27/19 - Added ActiveSoftwareImage per review WindRiver-85</t>
  </si>
  <si>
    <t>11/27/19 - Removed Rs from 001 and 003 per review WindRiver-36 and WindRiver-37</t>
  </si>
  <si>
    <t>11/27/19 - Changed to Rs per review WindRiver-73</t>
  </si>
  <si>
    <t>11/27/19 - Removed Rs for 001 and 001 per review WindRiver-34 and WindRiver-35</t>
  </si>
  <si>
    <t>11/27/19 - Added "I"s for parent property per review WindRiver-72</t>
  </si>
  <si>
    <t>11/27/19 - Changed to Rs per WindRiver-74</t>
  </si>
  <si>
    <t>11/27/19 - Changed to Rs per WindRiver-75</t>
  </si>
  <si>
    <t>11/27/19 - Changed to Rs per WindRiver-76</t>
  </si>
  <si>
    <t>11/27/19 - Changed to Rs per WindRiver-77</t>
  </si>
  <si>
    <t>11/27/19 - Changed to Rs per review WindRiver-56</t>
  </si>
  <si>
    <t>Changed to Rs per review WindRiver-57</t>
  </si>
  <si>
    <t>ReportTimespan</t>
  </si>
  <si>
    <t>11/27/19 - Added ReportTimespan per review WindRiver-88</t>
  </si>
  <si>
    <t>11/27/19 - Changed to Rs per review WindRiver-58</t>
  </si>
  <si>
    <t>Protocol used to pull the metrics (collectd, prometheus, etc.).</t>
  </si>
  <si>
    <t>11/27/19 - Changed to Rs per review WindRiver-59</t>
  </si>
  <si>
    <t>The Durable names for the network adapter. Any additional identifiers for a Resource.  This may be in the form of an EUI, UUID, or other.</t>
  </si>
  <si>
    <t>11/27/19 - Added Identifiers per review WindRiver-89</t>
  </si>
  <si>
    <t>This property is used to indicate the node's container engine, if any, including type of container engine supported (if any), static or dynamic orchestration, container formats supported, etc.</t>
  </si>
  <si>
    <t xml:space="preserve">   Type</t>
  </si>
  <si>
    <t xml:space="preserve">   Version</t>
  </si>
  <si>
    <t>The type of container engine (docker, cri-o, containerd, etc.).</t>
  </si>
  <si>
    <t>List of container image types supported, for example ["docker", "OCI"].</t>
  </si>
  <si>
    <t>OperatingSystemType</t>
  </si>
  <si>
    <t>Type of operating system (Unix/Linux, Windows, RTOS, etc.)</t>
  </si>
  <si>
    <t>Logs</t>
  </si>
  <si>
    <t>VirtualMachineEngine</t>
  </si>
  <si>
    <t>This property is used to indicate the node’s virtualization engine capabilities, if any, including virtualization supported (if any), static or dynamic orchestration, image formats supported, etc.</t>
  </si>
  <si>
    <t>List of virtual machine image types supported, for example ["qcow2", "vmdk", "ova", "raw"].</t>
  </si>
  <si>
    <t>An array of links to PCIeFunctions exposed by this device.  This property has been deprecated in favor of the PCIeFunctions property in the root that provides a link to a Resource Collection.</t>
  </si>
  <si>
    <t>11/28/19 - Property moved outside of links (deprecated here) per review WindRiver-90</t>
  </si>
  <si>
    <t>11/28/19 - Property moved outside of links (added here) per review WindRiver-90</t>
  </si>
  <si>
    <t>11/2819 - Changed to Rs per review WindRiver-68</t>
  </si>
  <si>
    <t>11/28/18 - Changed to Rs per review WindRiver-71</t>
  </si>
  <si>
    <t>11/28/18 - Changed to Rs per review WindRiver-40</t>
  </si>
  <si>
    <t>11/28/19 - Changed to Rs per review WindRiver-60</t>
  </si>
  <si>
    <t>11/29/19 - Change to Rs per review WindRiver-39</t>
  </si>
  <si>
    <t>11/29/19 - Change to Rs per review WindRiver-38</t>
  </si>
  <si>
    <t>11/28/19 - Change to  Rs per review WindRiver-61</t>
  </si>
  <si>
    <t>11/28/19 - Change to  Rs per review WindRiver-62</t>
  </si>
  <si>
    <t>11/28/19 - Change to  Rs per review WindRiver-63</t>
  </si>
  <si>
    <t>9/19 from email from Ed and Cathy - Removed reference to 6.5.9.4. No location object property definition.
11/28/19 - Change to  Rs per review WindRiver-65</t>
  </si>
  <si>
    <t>11/28/19 - Change to  Rs per review WindRiver-64</t>
  </si>
  <si>
    <t>11/28/19 - Change to  Rs per review WindRiver-66</t>
  </si>
  <si>
    <t>11/28/19 - Change to  Rs per review WindRiver-67</t>
  </si>
  <si>
    <t>The URI used to perform a Redfish Specification-defined Multipart HTTP or HTTPS push update to the Update Service.</t>
  </si>
  <si>
    <t>MultipartHttpPushUri</t>
  </si>
  <si>
    <t>11/28/19 - Added MultipartHttpPushUri per review WindRiver-92</t>
  </si>
  <si>
    <t>RedfishHostedServicesType</t>
  </si>
  <si>
    <t>11/27/19 - Moved DCN to HostedServices, HostingRoles per review WindRiver-94, WindRiver-93, WindRiver-106, WindRiver-107</t>
  </si>
  <si>
    <t>RedfishOpasCompatibilityArrayElementType</t>
  </si>
  <si>
    <t>RedfishVirtualMachineEngineType</t>
  </si>
  <si>
    <t>RedfishContaineEngineType</t>
  </si>
  <si>
    <t>11/28/19 - Fixed mistake - Changed "Managers" to "Manager" for OPC UA</t>
  </si>
  <si>
    <t>CurrentValue</t>
  </si>
  <si>
    <t>AttributeName</t>
  </si>
  <si>
    <t>Type</t>
  </si>
  <si>
    <t xml:space="preserve">   AllocatedCores</t>
  </si>
  <si>
    <t xml:space="preserve">   PassthroughType</t>
  </si>
  <si>
    <t>See columns to right</t>
  </si>
  <si>
    <t>The hosting roles that this computer system supports. The enumerations of HostingRoles specify different</t>
  </si>
  <si>
    <t>ApplicationServer</t>
  </si>
  <si>
    <t>The system hosts functionality that supports general purpose applications.</t>
  </si>
  <si>
    <t>StorageServer</t>
  </si>
  <si>
    <t>The system hosts functionality that supports the system acting as a storage server.</t>
  </si>
  <si>
    <t>Switch</t>
  </si>
  <si>
    <t>The system hosts functionality that supports the system acting as a switch.</t>
  </si>
  <si>
    <t>DistributedControlNode</t>
  </si>
  <si>
    <t>The system hosts functionality that supports the system acting as a Open Process Automation (OPAF) Distributed Control Node</t>
  </si>
  <si>
    <t>RedfishHostingRolesEnumType</t>
  </si>
  <si>
    <t>11/30/19 - Removed DCB - don't really care in any configuration (didn’'t show up in draft Part 5 anyway)</t>
  </si>
  <si>
    <t>Name of the operating system.</t>
  </si>
  <si>
    <t>1130/19 - Included because they are in the OPC UA UML diagram</t>
  </si>
  <si>
    <t>RedfishPhysicalSecurityType</t>
  </si>
  <si>
    <t>RedfishIntrusionSensorEnum</t>
  </si>
  <si>
    <t>RedfishSensorReArmEnum</t>
  </si>
  <si>
    <t>11/30/19 - Added PhysicalIntrusion to be consistent with OPC UA UML</t>
  </si>
  <si>
    <t>This indicates the known state of the physical security sensor, such as if it is hardware intrusion detected.</t>
  </si>
  <si>
    <t>HardwareIntrusion</t>
  </si>
  <si>
    <t>A door, lock, or other mechanism protecting the internal system hardware from being accessed is detected to be in an insecure state.</t>
  </si>
  <si>
    <t>Normal</t>
  </si>
  <si>
    <t>No abnormal physical security condition is detected at this time.</t>
  </si>
  <si>
    <t>TamperingDetected</t>
  </si>
  <si>
    <t>Physical tampering of the monitored entity is detected.</t>
  </si>
  <si>
    <t>RedfishIntrusionSensorReArmEnum</t>
  </si>
  <si>
    <t>Automatic</t>
  </si>
  <si>
    <t>Because no abnormal physical security condition is detected, this sensor is automatically restored to the normal state.</t>
  </si>
  <si>
    <t>Manual</t>
  </si>
  <si>
    <t>A manual re-arm of this sensor restores it to the normal state.</t>
  </si>
  <si>
    <t>RedfishMemorySummaryType</t>
  </si>
  <si>
    <t>Count</t>
  </si>
  <si>
    <t>RedfishProcessorSummaryType</t>
  </si>
  <si>
    <t>RedfishInterfaceTypeEnum</t>
  </si>
  <si>
    <t>RedfishInterfaceTypeSelectionEnum</t>
  </si>
  <si>
    <t>RedfishSystemTypeEnum</t>
  </si>
  <si>
    <t>The type of computer system that this Resource represents.</t>
  </si>
  <si>
    <t>Composed</t>
  </si>
  <si>
    <t>A computer system constructed by binding Resource Blocks together.</t>
  </si>
  <si>
    <t>OS</t>
  </si>
  <si>
    <t>An operating system instance.</t>
  </si>
  <si>
    <t>Physical</t>
  </si>
  <si>
    <t>A computer system.</t>
  </si>
  <si>
    <t>PhysicallyPartitioned</t>
  </si>
  <si>
    <t>A hardware-based partition of a computer system.</t>
  </si>
  <si>
    <t>Virtual</t>
  </si>
  <si>
    <t>A virtual machine instance running on this system.</t>
  </si>
  <si>
    <t>VirtuallyPartitioned</t>
  </si>
  <si>
    <t>A virtual or software-based partition of a computer system.</t>
  </si>
  <si>
    <t>11/30/19 - Added SystemType to be consistent with OPC UA UML</t>
  </si>
  <si>
    <t>The interface type of the Trusted Module.</t>
  </si>
  <si>
    <t>TCM1_0</t>
  </si>
  <si>
    <t>Trusted Cryptography Module (TCM) 1.0.</t>
  </si>
  <si>
    <t>TPM1_2</t>
  </si>
  <si>
    <t>Trusted Platform Module (TPM) 1.2.</t>
  </si>
  <si>
    <t>TPM2_0</t>
  </si>
  <si>
    <t>Trusted Platform Module (TPM) 2.0.</t>
  </si>
  <si>
    <t>11/30/19 - Added InterfaceType to be consistent with OPC UA UML</t>
  </si>
  <si>
    <t>The interface type selection supported by this Trusted Module.</t>
  </si>
  <si>
    <t>11/30/19 - Added InterfaceSelectionType to be consistent with OPC UA UML</t>
  </si>
  <si>
    <t>FirmwareUpdate</t>
  </si>
  <si>
    <t>The TrustedModule supports switching InterfaceType through a firmware update.</t>
  </si>
  <si>
    <t>None</t>
  </si>
  <si>
    <t>The TrustedModule does not support switching the InterfaceType.</t>
  </si>
  <si>
    <t>OemMethod</t>
  </si>
  <si>
    <t>The TrustedModule supports switching InterfaceType through an OEM proprietary mechanism.</t>
  </si>
  <si>
    <t>BiosSetting</t>
  </si>
  <si>
    <t>The TrustedModule supports switching InterfaceType through platform software, such as a BIOS configuration attribute.</t>
  </si>
  <si>
    <t>RedfishrSystemTypeEnum</t>
  </si>
  <si>
    <t>Maximum rated temperature for the node (in degrees Celsius).</t>
  </si>
  <si>
    <t>Minimum rated temperature for the node (in degrees Celsius).</t>
  </si>
  <si>
    <t>ExecutionEngines</t>
  </si>
  <si>
    <t>Collection of execution engines running on the node.</t>
  </si>
  <si>
    <t>RedfishDcnExecutionEngineResourceType</t>
  </si>
  <si>
    <t>A link to the collection of DCN Execution Engines.</t>
  </si>
  <si>
    <t>1.1.9.8 DCNExecutionEngine</t>
  </si>
  <si>
    <t>Resource describing attributes of a DCN Execution Engine environment on an O-PAS DCN.</t>
  </si>
  <si>
    <t>RedfishDCNExecutionEngineResourceType</t>
  </si>
  <si>
    <t>Actions supported for Execution Engines.</t>
  </si>
  <si>
    <t>This action restarts the Execution Engine</t>
  </si>
  <si>
    <t>This action starts the Execution Engine</t>
  </si>
  <si>
    <t>This action stops the Execution Engine.</t>
  </si>
  <si>
    <t>This action swaps between a primary and secondary Execution Engine.</t>
  </si>
  <si>
    <t>ExecutionEngineVendor</t>
  </si>
  <si>
    <t>ExecutionEngineProductName</t>
  </si>
  <si>
    <t>Execution Engine product name.</t>
  </si>
  <si>
    <t>ExecutionEngineVersion</t>
  </si>
  <si>
    <t>Execution Engine environment version.</t>
  </si>
  <si>
    <t>ExecutionEngineRole</t>
  </si>
  <si>
    <t>Array of function blocks on the Execution Engine.</t>
  </si>
  <si>
    <t>Status of the Execution Engine.</t>
  </si>
  <si>
    <t>ExecutionEngineMetrics</t>
  </si>
  <si>
    <t>Resource providing metrics for the Execution Engine and function blocks.</t>
  </si>
  <si>
    <t>RedfishExecutionEngineMetricResourceType</t>
  </si>
  <si>
    <t>DCNExecutionEngine URIs</t>
  </si>
  <si>
    <t>1.1.9.8 DCNExecutionEngineMetrics</t>
  </si>
  <si>
    <t>RedfishDCNExecutionEngineMetricsResourceType</t>
  </si>
  <si>
    <t>Actions supported for Execution Engines Metrics.</t>
  </si>
  <si>
    <t>State of the Execution Engine e.g., Starting, Stopping, Stopped, Failed, Disconnected.</t>
  </si>
  <si>
    <t>ExecutionEngineState</t>
  </si>
  <si>
    <t>Total CPU load for the Execution Engine.</t>
  </si>
  <si>
    <t>Average CPU load for the Execution Engine.</t>
  </si>
  <si>
    <t>Minimum CPU load for the Execution Engine.</t>
  </si>
  <si>
    <t>Maximum CPU load for the Execution Engine.</t>
  </si>
  <si>
    <t>Boolean value indicating if a system fault occurred for the Execution Engine.</t>
  </si>
  <si>
    <t>Boolean value if communication fault occurred for the Execution Engine.</t>
  </si>
  <si>
    <t>DCNExecutionEngineMetrics URIs</t>
  </si>
  <si>
    <t>Array of run-time utilization metrics for different slices of memory as appropriate (total, platform, swap, etc.). The implementation determines which memory groups to expose.</t>
  </si>
  <si>
    <t>12/4/19 - hyphenated run-time</t>
  </si>
  <si>
    <t>Array of run-time utilization statistics for different slices of memory as appropriate (total, platform, swap, etc.). The implementation determines which memory groups to expose.</t>
  </si>
  <si>
    <t>Array of one or more run-time utilization metrics for different slices of memory as appropriate (total, platform, swap, etc.). The vendor determines which memory categories to expose. Note that some metrics are OS or processor-type specific and should only be reported if they apply.</t>
  </si>
  <si>
    <t xml:space="preserve">   #DCNExecutionEngine.Reset</t>
  </si>
  <si>
    <t xml:space="preserve">   #DCNExecutionEngine.Start</t>
  </si>
  <si>
    <t xml:space="preserve">   #DCNExecutionEngine.Stop</t>
  </si>
  <si>
    <t xml:space="preserve">   #DCNExecutionEngine.Swap</t>
  </si>
  <si>
    <t>Vendor of the Execution Engine environment.</t>
  </si>
  <si>
    <t>Current role of this Execution engine (primary or secondary).</t>
  </si>
  <si>
    <t>1130/19 - Included because they are in the OPC UA UML diagram
12/6/19 - Reduced number of OPC UA mapping examples per ABB-10</t>
  </si>
  <si>
    <t>12/6/19 - Reduced number of OPC UA mapping examples per ABB-10</t>
  </si>
  <si>
    <t>11/28/18 - Changed BMC to R per review WindRiver-70
12/6/19 - Reduced number of OPC UA mapping examples per ABB-10</t>
  </si>
  <si>
    <t>11/30/19 - Added PhysicalIntrusion to be consistent with OPC UA UML
12/6/19 - Reduced number of OPC UA mapping examples per ABB-10</t>
  </si>
  <si>
    <t>Resource to describe a device connected to an O-PAS DCN subsystem.
Note:  This resource definition is preliminary and intended to show the direction of the system management model for interfaces and devices attached to DCNs.  The properties within are subject to change in updates to this standard.</t>
  </si>
  <si>
    <t>Resource to describe a southbound subsystem connected to an O-PAS DCN.
Note:  This resource definition is preliminary and intended to show the direction of the system management model for interfaces and devices attached to DCNs.  The properties within are subject to change in updates to this standard.</t>
  </si>
  <si>
    <t xml:space="preserve">String describing the type of signal; e.g., analog, digital, input, output.  </t>
  </si>
  <si>
    <t>String describing the signal range and units.</t>
  </si>
  <si>
    <t>Enumeration of NAMUR status indications from NAMUR NE107 (Failed, OutOfSpecification, MaintenanceRequired, CheckFunction)</t>
  </si>
  <si>
    <t>RedfishNamurStatusEnum</t>
  </si>
  <si>
    <t>The NAMUR NE107 Status Signal Description</t>
  </si>
  <si>
    <t>Failed</t>
  </si>
  <si>
    <t>OutOfSpecification</t>
  </si>
  <si>
    <t>MaintenanceRequired</t>
  </si>
  <si>
    <t>CheckFunction</t>
  </si>
  <si>
    <t>High severity: signal invalid due to malfunction in the device, sensor, or actuator.</t>
  </si>
  <si>
    <t>Low severity (advisory):  although the signal is valid, the remaining life is nearly exhausted or a function will soon be restricted due to operational conditions e.g. aging of a pH-electrode.</t>
  </si>
  <si>
    <t>Medium severity: permissible ambient or process conditions exceeded or the measuring uncertainty of sensor or deviations from the set value in actuators is probably greater than expected.</t>
  </si>
  <si>
    <t>Signal temporarily invalid (e.g. frozen) due to on-going work on the device.</t>
  </si>
  <si>
    <t>12/10/19 - Added per ABB-47</t>
  </si>
  <si>
    <t>Diagnostics capabilities and status for the I/O channel.  See subproperties for specific channel information.</t>
  </si>
  <si>
    <t>Boolean indicator indicating a NAMUR 43 Out of Range signal.</t>
  </si>
  <si>
    <t>HART information for the I/O channel (if HART).  See subproperties for specific HART information.</t>
  </si>
  <si>
    <t xml:space="preserve">         LongTag</t>
  </si>
  <si>
    <t xml:space="preserve">         ShortTag</t>
  </si>
  <si>
    <t>Long Tag name for HART channel.</t>
  </si>
  <si>
    <t>Short Tag name for the HART channel.</t>
  </si>
  <si>
    <t>LongTag</t>
  </si>
  <si>
    <t>ShortTag</t>
  </si>
  <si>
    <t>String with one or more maximum rated humidity ratings for the node (%).  If relevant, specify the type of humidity  e.g. relative, specific, or absolute.</t>
  </si>
  <si>
    <t xml:space="preserve">   IngressProtection</t>
  </si>
  <si>
    <t>IngressProtection</t>
  </si>
  <si>
    <t xml:space="preserve">String indicating environmental standard and rating, for example, IEC 60529-2004 and Ingress Protection (IP) code or another relevant standard. </t>
  </si>
  <si>
    <t>ExplosionRating</t>
  </si>
  <si>
    <t>Resource describing metrics for an Execution Engine environment on an O-PAS DCN.</t>
  </si>
  <si>
    <t>Resource containing operating system metrics.</t>
  </si>
  <si>
    <t>Resource defining in-band operating system metrics.</t>
  </si>
  <si>
    <t>TotalSystemMemoryGiB</t>
  </si>
  <si>
    <t>FirmwareVersion2</t>
  </si>
  <si>
    <t>InterfaceTypeSelection</t>
  </si>
  <si>
    <t>IntrusionSensor</t>
  </si>
  <si>
    <t>IntrusionSensorNumber</t>
  </si>
  <si>
    <t>IntrusionSensorRearm</t>
  </si>
  <si>
    <t>RedfishTrustedModuleArrayType</t>
  </si>
  <si>
    <t>12/20 - Removed Reference to 6.5.9.4 per Cathy comment</t>
  </si>
  <si>
    <t>12/20/19 - Removed reference to 6.5.9.4 per Cathy comment</t>
  </si>
  <si>
    <t>Path</t>
  </si>
  <si>
    <t>LongDescription</t>
  </si>
  <si>
    <t>Permissions</t>
  </si>
  <si>
    <t>Nullable</t>
  </si>
  <si>
    <t>Constraints</t>
  </si>
  <si>
    <t>Parent</t>
  </si>
  <si>
    <t>Boolean</t>
  </si>
  <si>
    <t>Decimal</t>
  </si>
  <si>
    <t>ReadWrite</t>
  </si>
  <si>
    <t>Category</t>
  </si>
  <si>
    <t>Complex</t>
  </si>
  <si>
    <t>Array</t>
  </si>
  <si>
    <t>Insertable</t>
  </si>
  <si>
    <t>Deletable</t>
  </si>
  <si>
    <t>false</t>
  </si>
  <si>
    <t>AutoExpand</t>
  </si>
  <si>
    <t>Navigation</t>
  </si>
  <si>
    <t>AutoExpandReferences</t>
  </si>
  <si>
    <t>ContainsTarget</t>
  </si>
  <si>
    <t>true</t>
  </si>
  <si>
    <t>Collection(Edm.String)</t>
  </si>
  <si>
    <t>Resource.Status</t>
  </si>
  <si>
    <t>Enum</t>
  </si>
  <si>
    <t>Int64</t>
  </si>
  <si>
    <t>**</t>
  </si>
  <si>
    <t>Action</t>
  </si>
  <si>
    <t>IsBound</t>
  </si>
  <si>
    <t>DCNDevice</t>
  </si>
  <si>
    <t>EnumType</t>
  </si>
  <si>
    <t>Other devices to which the virtual machine is connected. This may be a GPU, FPGA, PCIe Card, or other type of device.</t>
  </si>
  <si>
    <t>Container (1.0.0)</t>
  </si>
  <si>
    <t>DistributedControlNode (1.0.0)</t>
  </si>
  <si>
    <t>DCNExecutionEngine (1.0.0)</t>
  </si>
  <si>
    <t>DCNExecutionEngineMetrics (1.0.0)</t>
  </si>
  <si>
    <t>DCNSubsystem (1.0.0)</t>
  </si>
  <si>
    <t>DCNDevice (1.0.0)</t>
  </si>
  <si>
    <t>OperatingSystem (1.0.0)</t>
  </si>
  <si>
    <t>OperatingSystemMetrics (1.0.0)</t>
  </si>
  <si>
    <t>MetricsAgent (1.0.0)</t>
  </si>
  <si>
    <t>OSOpaqueFileCollection (1.0.0)</t>
  </si>
  <si>
    <t>OSOpaqueFile (1.0.0)</t>
  </si>
  <si>
    <t>OSOpaqueFileService (1.0.0)</t>
  </si>
  <si>
    <t>RemoteLoggingAgent (1.0.0)</t>
  </si>
  <si>
    <t>Application (1.0.0)</t>
  </si>
  <si>
    <t>VirtualMachine (1.0.0)</t>
  </si>
  <si>
    <t>1.1.1.3               DCNExecutionEngineCollection</t>
  </si>
  <si>
    <t>A link to the collection of DCNExecutionEngine</t>
  </si>
  <si>
    <t>DCNExecutionEngineCollection URIs</t>
  </si>
  <si>
    <t>DCNExecutionEngineCollection (1.0.0)</t>
  </si>
  <si>
    <t>Collection</t>
  </si>
  <si>
    <t>A DCNExecutionEngineCollection is a collection of DCNExecutionEngine Resources running on a node.</t>
  </si>
  <si>
    <t>Collection of DCNExecutionEngines associated with this system. Contains a link to a resource.</t>
  </si>
  <si>
    <t>1.1.1.3               MetricsAgentCollection</t>
  </si>
  <si>
    <t>A MetricsAgentCollection is a collection of MetricsAgent Resources running on a node.</t>
  </si>
  <si>
    <t>MetricsAgentCollection (1.0.0)</t>
  </si>
  <si>
    <t>Collection of MetricsAgents associated with this system. Contains a link to a resource.</t>
  </si>
  <si>
    <t>A link to the collection of MetricsAgent</t>
  </si>
  <si>
    <t>MetricsAgentCollection URIs</t>
  </si>
  <si>
    <t>1.1.1.3               RemoteLoggingAgentCollection</t>
  </si>
  <si>
    <t>A RemoteLoggingAgentCollection is a collection of RemoteLoggingAgent Resources running on a node.</t>
  </si>
  <si>
    <t>RemoteLoggingAgentCollection (1.0.0)</t>
  </si>
  <si>
    <t>Collection of RemoteLoggingAgents associated with this system. Contains a link to a resource.</t>
  </si>
  <si>
    <t>A link to the collection of RemoteLoggingAgent</t>
  </si>
  <si>
    <t>RemoteLoggingAgentCollection URIs</t>
  </si>
  <si>
    <t>1.1.1.3               ApplicationCollection</t>
  </si>
  <si>
    <t>ApplicationCollection (1.0.0)</t>
  </si>
  <si>
    <t>Collection of Applications associated with this system. Contains a link to a resource.</t>
  </si>
  <si>
    <t>A link to the collection of Application</t>
  </si>
  <si>
    <t>ApplicationCollection URIs</t>
  </si>
  <si>
    <t>1.1.1.3               VirtualMachineCollection</t>
  </si>
  <si>
    <t>A VirtualMachineCollection is a collection of VirtualMachine Resources running on a node.</t>
  </si>
  <si>
    <t>VirtualMachineCollection (1.0.0)</t>
  </si>
  <si>
    <t>Collection of VirtualMachines associated with this system. Contains a link to a resource.</t>
  </si>
  <si>
    <t>A link to the collection of VirtualMachine</t>
  </si>
  <si>
    <t>VirtualMachineCollection URIs</t>
  </si>
  <si>
    <t>1.1.1.3               ContainerCollection</t>
  </si>
  <si>
    <t>A ContainerCollection is a collection of Container Resources running on a node.</t>
  </si>
  <si>
    <t>ContainerCollection (1.0.0)</t>
  </si>
  <si>
    <t>Collection of Containers associated with this system. Contains a link to a resource.</t>
  </si>
  <si>
    <t>A link to the collection of Container</t>
  </si>
  <si>
    <t>ContainerCollection URIs</t>
  </si>
  <si>
    <t>1.1.1.3               DCNSubsystemCollection</t>
  </si>
  <si>
    <t>A DCNSubsystemCollection is a collection of DCNSubsystem Resources running on a node.</t>
  </si>
  <si>
    <t>DCNSubsystemCollection (1.0.0)</t>
  </si>
  <si>
    <t>Collection of DCNSubsystems associated with this system. Contains a link to a resource.</t>
  </si>
  <si>
    <t>A link to the collection of DCNSubsystem</t>
  </si>
  <si>
    <t>DCNSubsystemCollection URIs</t>
  </si>
  <si>
    <t>1.1.1.3               DCNDeviceCollection</t>
  </si>
  <si>
    <t>A DCNDeviceCollection is a collection of DCNDevice Resources running on a node.</t>
  </si>
  <si>
    <t>DCNDeviceCollection (1.0.0)</t>
  </si>
  <si>
    <t>Collection of DCNDevices associated with this system. Contains a link to a resource.</t>
  </si>
  <si>
    <t>A link to the collection of DCNDevice</t>
  </si>
  <si>
    <t>DCNDeviceCollection URIs</t>
  </si>
  <si>
    <t>http://redfish.dmtf.org/schemas/v1/StorageCollection</t>
  </si>
  <si>
    <t>http://redfish.dmtf.org/schemas/v1/VolumeCollection</t>
  </si>
  <si>
    <t>http://redfish.dmtf.org/schemas/v1/EthernetInterfaceCollection</t>
  </si>
  <si>
    <t>http://redfish.dmtf.org/schemas/v1/MemoryCollection</t>
  </si>
  <si>
    <t>http://redfish.dmtf.org/schemas/v1/ProcessorCollection</t>
  </si>
  <si>
    <t>Minimum=0</t>
  </si>
  <si>
    <t>Minimum=10</t>
  </si>
  <si>
    <t>http://redfish.dmtf.org/schemas/v1/LogServiceCollection</t>
  </si>
  <si>
    <t>DCNDevice.v1_0_0.StatusNamur</t>
  </si>
  <si>
    <t>http://redfish.dmtf.org/schemas/v1/SimpleStorageCollection</t>
  </si>
  <si>
    <t>Singular</t>
  </si>
  <si>
    <t>EnvironmentAttribute</t>
  </si>
  <si>
    <t>VmImage</t>
  </si>
  <si>
    <t>VmVolume</t>
  </si>
  <si>
    <t>VmNetworkInterface</t>
  </si>
  <si>
    <t>VmDevice</t>
  </si>
  <si>
    <t>ContainerImage</t>
  </si>
  <si>
    <t>ContainerVolume</t>
  </si>
  <si>
    <t>ContainerDevice</t>
  </si>
  <si>
    <t>ContainerNetwork</t>
  </si>
  <si>
    <t>RedfishProductRatingType</t>
  </si>
  <si>
    <t>Battery</t>
  </si>
  <si>
    <t>FunctionBlock</t>
  </si>
  <si>
    <t>RedfishFunctionBlockArrayElementType</t>
  </si>
  <si>
    <t>URL</t>
  </si>
  <si>
    <t>1.1.1.3               DCNIOModuleCollection</t>
  </si>
  <si>
    <t>DCNIOModuleCollection (1.0.0)</t>
  </si>
  <si>
    <t>Collection of DCNIOModules associated with this system. Contains a link to a resource.</t>
  </si>
  <si>
    <t>A link to the collection of DCNIOModule</t>
  </si>
  <si>
    <t>DCNIOModuleCollection URIs</t>
  </si>
  <si>
    <t>1.1.9.8 DCNIOModule</t>
  </si>
  <si>
    <t>RedfishDCNIOModuleResourceType</t>
  </si>
  <si>
    <t>DCNIOModule (1.0.0)</t>
  </si>
  <si>
    <t>Actions supported for the DCN IOModule.</t>
  </si>
  <si>
    <t>3/3/20 - Moved IOModules to a Collection instead of array
12/6/19 - Reduced number of OPC UA mapping examples per ABB-10</t>
  </si>
  <si>
    <t>3/3/20 - Moved IOModules to a Collection instead of array
1/4/20 - Missed replacing DeviceName Long and Short Tags per ABB-44</t>
  </si>
  <si>
    <t>3/3/20 - Moved IOModules to a Collection instead of array
12/6/19 - Reduced number of OPC UA mapping examples per ABB-10
12/10/19 - Clarified this is a parent property per ABB-41.</t>
  </si>
  <si>
    <t>RedfishDcnIOModuleBusResourceType</t>
  </si>
  <si>
    <t xml:space="preserve">   ChannelName</t>
  </si>
  <si>
    <t xml:space="preserve">   SignalType</t>
  </si>
  <si>
    <t xml:space="preserve">   SignalRange</t>
  </si>
  <si>
    <t xml:space="preserve">   ChannelDiagnostics</t>
  </si>
  <si>
    <t xml:space="preserve">      OutOfRangeNamur</t>
  </si>
  <si>
    <t xml:space="preserve">      ContinuitySupport</t>
  </si>
  <si>
    <t xml:space="preserve">      ContinuityOK</t>
  </si>
  <si>
    <t xml:space="preserve">      SensorTestPossible</t>
  </si>
  <si>
    <t xml:space="preserve">      SensorTestOK</t>
  </si>
  <si>
    <t xml:space="preserve">   Hart</t>
  </si>
  <si>
    <t xml:space="preserve">      HartVersion</t>
  </si>
  <si>
    <t xml:space="preserve">      LongTag</t>
  </si>
  <si>
    <t xml:space="preserve">      ShortTag</t>
  </si>
  <si>
    <t xml:space="preserve">      ErrorBitSet</t>
  </si>
  <si>
    <t xml:space="preserve">      MoreStatusAvailableBitSet</t>
  </si>
  <si>
    <t>IOChannel</t>
  </si>
  <si>
    <t>/redfish/v1/Systems/{ComputerSystemId}/OperatingSystem/MetricsAgents</t>
  </si>
  <si>
    <t>/redfish/v1/Systems/{ComputerSystemId}/OperatingSystem/MetricsAgents/{MetricsAgentId}</t>
  </si>
  <si>
    <t>/redfish/v1/Systems/{ComputerSystemId}/OperatingSystem/RemoteLoggingAgents</t>
  </si>
  <si>
    <t>/redfish/v1/Systems/{ComputerSystemId}/OperatingSystem/RemoteLoggingAgents/{RemoteLoggingAgentId}</t>
  </si>
  <si>
    <t>/redfish/v1/Systems/{ComputerSystemId}/OperatingSystem/Applications</t>
  </si>
  <si>
    <t>/redfish/v1/Systems/{ComputerSystemId}/OperatingSystem/VirtualMachines</t>
  </si>
  <si>
    <t>/redfish/v1/Systems/{ComputerSystemId}/OperatingSystem/Containers</t>
  </si>
  <si>
    <t>DCNIOModule URIs</t>
  </si>
  <si>
    <t>DateTimeOffset</t>
  </si>
  <si>
    <t>12/6/19 - Reduced number of OPC UA mapping examples per ABB-10
3/22/20 - Changed to DateTimeOffset type</t>
  </si>
  <si>
    <t>Singlular</t>
  </si>
  <si>
    <t>Bytes</t>
  </si>
  <si>
    <t>%</t>
  </si>
  <si>
    <t>IOPS</t>
  </si>
  <si>
    <t>Kbps</t>
  </si>
  <si>
    <t>ms</t>
  </si>
  <si>
    <t>Mbps</t>
  </si>
  <si>
    <t>Bytes/Second</t>
  </si>
  <si>
    <t>Degreees C</t>
  </si>
  <si>
    <t>Duration</t>
  </si>
  <si>
    <t>Packets/Second</t>
  </si>
  <si>
    <t>Total accumulated running time for the operating system.</t>
  </si>
  <si>
    <t>AccumulatedRunTime</t>
  </si>
  <si>
    <t>Edm.DateTimeOffset</t>
  </si>
  <si>
    <t xml:space="preserve">   RemainingTime</t>
  </si>
  <si>
    <t xml:space="preserve">   PercentCharged</t>
  </si>
  <si>
    <t>HeadUnits</t>
  </si>
  <si>
    <t>Collection of I/O and HART Busses, Modules, and Channels deployed remotely.  For additional detail on I/O Busses and DCN Physical Topology, see O-PAS Part 7 – Physical Platform.</t>
  </si>
  <si>
    <t>Collection of I/O modules deployed on the DCN node.   For additional detail on I/O Modules and DCN Physical Topology, see O-PAS Part 7 – Physical Platform.</t>
  </si>
  <si>
    <t>ProductName</t>
  </si>
  <si>
    <t>BusPath</t>
  </si>
  <si>
    <t>BusType</t>
  </si>
  <si>
    <t>CommStatus</t>
  </si>
  <si>
    <t>Communication status to the I/O Bus</t>
  </si>
  <si>
    <t>Fully qualified path name to the I/O Bus, e.g. DCP101/ION001/HU001/ IOB001</t>
  </si>
  <si>
    <t>Description of the I/O Bus interface type and protocol</t>
  </si>
  <si>
    <t>The DCN I/O Bus communication status.</t>
  </si>
  <si>
    <t>Good</t>
  </si>
  <si>
    <t>Bad</t>
  </si>
  <si>
    <t>Suspect</t>
  </si>
  <si>
    <t>I/O Bus communication status is suspect.</t>
  </si>
  <si>
    <t>I/O Bus communication Status is bad/failed.</t>
  </si>
  <si>
    <t>I/O Bus communication status is good.</t>
  </si>
  <si>
    <t xml:space="preserve">4/10/20 - Added Type per Part 7 Physical Platform </t>
  </si>
  <si>
    <t>1.1.1.3               DCNHeadUnitCollection</t>
  </si>
  <si>
    <t>DCNHeadUnitCollection (1.0.0)</t>
  </si>
  <si>
    <t>Collection of DCNHeadUnits associated with this system. Contains a link to a resource.</t>
  </si>
  <si>
    <t>DCNHeadUnitCollection URIs</t>
  </si>
  <si>
    <t>1.1.9.8 DCNHeadUnit</t>
  </si>
  <si>
    <t>RedfishDCNHeadUnitResourceType</t>
  </si>
  <si>
    <t>DCNHeadUnit URIs</t>
  </si>
  <si>
    <t>Actions supported for DCN HeadUnit</t>
  </si>
  <si>
    <t>HeadUnitName</t>
  </si>
  <si>
    <t>Name of the HeadUnit</t>
  </si>
  <si>
    <t>HeadUnitPath</t>
  </si>
  <si>
    <t>Communication status to the I/O HeadUnit</t>
  </si>
  <si>
    <t>RedfishDcnIOModuleHeadUnitResourceType</t>
  </si>
  <si>
    <t>A link to a DCNHeadUnit</t>
  </si>
  <si>
    <t>Fully qualified path name to the I/O HeadUnit, e.g. DCP101/ION001/HU001</t>
  </si>
  <si>
    <t>ModulePath</t>
  </si>
  <si>
    <t>Fully qualified path name to the I/O Bus, e.g. DCP101/ION001/HU001/ IOB001/IOM001</t>
  </si>
  <si>
    <t xml:space="preserve">   ChannelPath</t>
  </si>
  <si>
    <t>Fully qualified path name to the I/O Bus, e.g. DCP101/ION001/HU001/ IOB001/IOM001/IOC001</t>
  </si>
  <si>
    <t>ChannelPath</t>
  </si>
  <si>
    <t>DevicePath</t>
  </si>
  <si>
    <t>DeviceStatus</t>
  </si>
  <si>
    <t>SubsystemPath</t>
  </si>
  <si>
    <t xml:space="preserve">   DevicePath</t>
  </si>
  <si>
    <t xml:space="preserve">   ServiceRequiredNow</t>
  </si>
  <si>
    <t xml:space="preserve">   ServiceRequiredSoon</t>
  </si>
  <si>
    <t>Device</t>
  </si>
  <si>
    <t>1.1.1.3               DCNIONetworkCollection</t>
  </si>
  <si>
    <t>DCNIONetworkCollection (1.0.0)</t>
  </si>
  <si>
    <t>Collection of DCNIONetworks associated with this system. Contains a link to a resource.</t>
  </si>
  <si>
    <t>A link to a DCNIONetwork</t>
  </si>
  <si>
    <t>DCNIONetworkCollection URIs</t>
  </si>
  <si>
    <t>1.1.9.8 DCNIONetwork</t>
  </si>
  <si>
    <t>RedfishDCNIONetworkResourceType</t>
  </si>
  <si>
    <t>IONetworkName</t>
  </si>
  <si>
    <t>DCNIONetwork URIs</t>
  </si>
  <si>
    <t>Collection of Head Units connected to the I/O Network.  For additional detail on Head Units and DCN Physical Topology, see O-PAS Part 7 – Physical Platform.</t>
  </si>
  <si>
    <t>A link to the collection of I/O Modules</t>
  </si>
  <si>
    <t>IONetworks</t>
  </si>
  <si>
    <t>Collection of I/.O Networks s connected to this DCN.  For additional detail onI/O Networks and DCN Physical Topology, see O-PAS Part 7 – Physical Platform.</t>
  </si>
  <si>
    <t xml:space="preserve">   CommStatus</t>
  </si>
  <si>
    <t>Communication status of the I/O Channel (Good, Bad, Suspect)</t>
  </si>
  <si>
    <t>Communication status of the I/O Module (Good, Bad, Suspect)</t>
  </si>
  <si>
    <t>DCNIONetwork (1.0.0)</t>
  </si>
  <si>
    <t>DCNHeadUnit (1.0.0)</t>
  </si>
  <si>
    <t>RedfishIONetworkCommStatusEnum</t>
  </si>
  <si>
    <t>The DCN I/O Network communication status.</t>
  </si>
  <si>
    <t>I/O Network communication status is good.</t>
  </si>
  <si>
    <t>I/O Network communication Status is bad/failed.</t>
  </si>
  <si>
    <t>I/O Network communication status is suspect.</t>
  </si>
  <si>
    <t>DCNIONetwork</t>
  </si>
  <si>
    <t>RedfishHeadUnitCommStatusEnum</t>
  </si>
  <si>
    <t>DCNHeadUnit</t>
  </si>
  <si>
    <t>RedfishIOBusCommStatusEnum</t>
  </si>
  <si>
    <t>DCNIOBus</t>
  </si>
  <si>
    <t>RedfishIOModuleCommStatusEnum</t>
  </si>
  <si>
    <t>DCNIOModule</t>
  </si>
  <si>
    <t>RedfishIOChannelCommStatusEnum</t>
  </si>
  <si>
    <t>The DCN I/O Head Unit communication status.</t>
  </si>
  <si>
    <t>Head Unit communication status is good.</t>
  </si>
  <si>
    <t>Head Unit communication Status is bad/failed.</t>
  </si>
  <si>
    <t>Head Unit communication status is suspect.</t>
  </si>
  <si>
    <t>The DCN I/O Module communication status.</t>
  </si>
  <si>
    <t>I/O Module communication status is good.</t>
  </si>
  <si>
    <t>I/O Module communication Status is bad/failed.</t>
  </si>
  <si>
    <t>I/O Module communication status is suspect.</t>
  </si>
  <si>
    <t>The DCN I/O Channel communication status.</t>
  </si>
  <si>
    <t>I/O Channel communication status is good.</t>
  </si>
  <si>
    <t>I/O Channel communication Status is bad/failed.</t>
  </si>
  <si>
    <t>I/O Channel communication status is suspect.</t>
  </si>
  <si>
    <t>RedfishDCNIOBusResourceType</t>
  </si>
  <si>
    <t>1.1.1.3               DCNIOBusCollection</t>
  </si>
  <si>
    <t>DCNIOBusCollection (1.0.0)</t>
  </si>
  <si>
    <t>Collection of DCNIOBuss associated with this system. Contains a link to a resource.</t>
  </si>
  <si>
    <t>A link toa DCNIOBus</t>
  </si>
  <si>
    <t>DCNIOBusCollection URIs</t>
  </si>
  <si>
    <t>1.1.9.8 DCNIOBus</t>
  </si>
  <si>
    <t>DCNIOBus URIs</t>
  </si>
  <si>
    <t>IOBusses</t>
  </si>
  <si>
    <t>Collection of I/O and HART IOBusses, Modules, and Channels deployed remotely.  For additional detail on I/O Busses and DCN Physical Topology, see O-PAS Part 7 – Physical Platform.</t>
  </si>
  <si>
    <t>DCNIOBus (1.0.0)</t>
  </si>
  <si>
    <t>NetworkName</t>
  </si>
  <si>
    <t>NetworkPath</t>
  </si>
  <si>
    <t>NetworkType</t>
  </si>
  <si>
    <t xml:space="preserve">   OutdoorRated</t>
  </si>
  <si>
    <t>CpuCores</t>
  </si>
  <si>
    <t>MemoryBytes</t>
  </si>
  <si>
    <t>StorageLimitBytes</t>
  </si>
  <si>
    <t>Images</t>
  </si>
  <si>
    <t>CreateTime</t>
  </si>
  <si>
    <t xml:space="preserve">   Path</t>
  </si>
  <si>
    <t xml:space="preserve">   HostPath</t>
  </si>
  <si>
    <t>Path of volume in the container space.</t>
  </si>
  <si>
    <t>Host path the volume is mounted to.</t>
  </si>
  <si>
    <t>HostPath</t>
  </si>
  <si>
    <t>MemoryShared</t>
  </si>
  <si>
    <t>PinnedCores</t>
  </si>
  <si>
    <t>List of strings containing names of any other relevant features that the virtual machine has.</t>
  </si>
  <si>
    <t>IONetworkCommStatus</t>
  </si>
  <si>
    <t>HeadUnitCommStatus</t>
  </si>
  <si>
    <t>IOBusCommStatus</t>
  </si>
  <si>
    <t>IOModuleCommStatus</t>
  </si>
  <si>
    <t>IOChannelCommStatus</t>
  </si>
  <si>
    <t>DCNIONetwork.v1_0_0.IONetworkCommStatus</t>
  </si>
  <si>
    <t>DCNHeadUnit.v1_0_0.HeadUnitCommStatus</t>
  </si>
  <si>
    <t>DCNIOBus.v1_0_0.IOBusCommStatus</t>
  </si>
  <si>
    <t>DCNIOModule.v1_0_0.IOModuleCommStatus</t>
  </si>
  <si>
    <t>DCNIOModule.v1_0_0.IOChannelCommStatus</t>
  </si>
  <si>
    <t>Array of I/O modules deployed on the DCN node.</t>
  </si>
  <si>
    <t>Collection of I/O modules deployed on the DCN node.</t>
  </si>
  <si>
    <t>A DCNIONetworkCollection is a collection of DCNIONetwork Resources running on a node.
For additional detail on I/O Networks and DCN Physical Topology, see O-PAS Part 7 – Physical Platform.</t>
  </si>
  <si>
    <t>Resource describing an O-PAS DCN IONetwork.
For additional detail on I/O Networks and DCN Physical Topology, see O-PAS Part 7 – Physical Platform.</t>
  </si>
  <si>
    <t>A DCNHeadUnitCollection is a collection of DCNHeadUnit Resources running on a node.
For additional detail on I/O Head Units and DCN Physical Topology, see O-PAS Part 7 – Physical Platform.</t>
  </si>
  <si>
    <t>Resource describing an O-PAS DCN HeadUnit (I/O and HART®). 
For additional detail on Head Units and DCN Physical Topology, see O-PAS Part 7 – Physical Platform.</t>
  </si>
  <si>
    <t>A DCNIOBusCollection is a collection of DCNIOBus Resources running on a node.
For additional detail on I/O Busses and DCN Physical Topology, see O-PAS Part 7 – Physical Platform.</t>
  </si>
  <si>
    <t>Resource describing an O-PAS DCN Bus (I/O and HART®).
For additional detail on I/O Busses and DCN Physical Topology, see O-PAS Part 7 – Physical Platform.</t>
  </si>
  <si>
    <t>A DCNIOModuleCollection is a collection of DCNDevice Resources running on a node.
For additional detail on I/O Modules and DCN Physical Topology, see O-PAS Part 7 – Physical Platform.</t>
  </si>
  <si>
    <t>Resource to describe a IOModule connected to an O-PAS DCN directly or on a DCN Bus.
For additional detail on I/O Modules and DCN Physical Topology, see O-PAS Part 7 – Physical Platform.</t>
  </si>
  <si>
    <t>List of ID(s) (@odata.id or other identifier) of the underlying interface, if any, associated with this device.</t>
  </si>
  <si>
    <t>Actions supported for the DCN Non-O-PAS I/O subsystem</t>
  </si>
  <si>
    <t>DCNNonOpasIOSubsystem (1.0.0)</t>
  </si>
  <si>
    <t>Name of the DCN Non-O-PAS I/O Subsystem.</t>
  </si>
  <si>
    <t>NonOpasIOSubsystemName</t>
  </si>
  <si>
    <t>NonOpasIOSubsystemType</t>
  </si>
  <si>
    <t>Interface type and protocol for DCN Non-O-PAS I/O Subsystem and protocol  (Profinet, Ethernet, etc.).</t>
  </si>
  <si>
    <t>RedfishINonOpasIODeviceElementType</t>
  </si>
  <si>
    <t>DCNNonOpasIOSubsystem.v1_0_0.NonOpasIOSubsystemCommStatus</t>
  </si>
  <si>
    <t>DCNNonOpasIOSubsystem.v1_0_0.NonOpasIOSubsystemDeviceStatus</t>
  </si>
  <si>
    <t>DCNNonOpasIOSubsystem URIs</t>
  </si>
  <si>
    <t>RedfishNonOpasIOSubsystemCommStatusEnum</t>
  </si>
  <si>
    <t>RedfishNonOpasIOSubsystemDeviceStatusEnum</t>
  </si>
  <si>
    <t>The Non-O-PAS I/O Subsystem communication status.</t>
  </si>
  <si>
    <t>NonOpasIOSubsystemCommStatus</t>
  </si>
  <si>
    <t>NonOpasIOSubsystemDeviceStatus</t>
  </si>
  <si>
    <t>DCNNonOpasIOSubsystem</t>
  </si>
  <si>
    <t>Non-O-PAS I/O Device communication status is good.</t>
  </si>
  <si>
    <t>Non-O-PAS I/O Device communication Status is bad/failed.</t>
  </si>
  <si>
    <t>Non-O-PAS I/O Device communication status is suspect.</t>
  </si>
  <si>
    <t>Non-O-PAS I/O subsystem communication status is good.</t>
  </si>
  <si>
    <t>Non-O-PAS I/O subsystem communication Status is bad/failed.</t>
  </si>
  <si>
    <t>Non-O-PAS I/O subsystem communication status is suspect.</t>
  </si>
  <si>
    <t>NonOpasIOSubsystems</t>
  </si>
  <si>
    <t>A link to the collection of Non-O-PAS I/O Subsystems connected to this DCN.</t>
  </si>
  <si>
    <t>1.1.9.8 DCNNonOpasIOSubsystem</t>
  </si>
  <si>
    <t>1.1.1.3               DCNNonOpasIOSubsystemCollection</t>
  </si>
  <si>
    <t>A DCNNonOpasIOSubsystemCollection is a collection of DCN Non-O-PAS I/O Subsystem Resources running on a node.
For additional detail on Proprietary System and DCN Physical Topology, see O-PAS Part 7 – Physical Platform.</t>
  </si>
  <si>
    <t>DCNNonOpasIOSubsystemCollection (1.0.0)</t>
  </si>
  <si>
    <t>Collection of DCN NonO-PAS IO Subsystems associated with this system. Contains a link to a resource.</t>
  </si>
  <si>
    <t>A link to the collection of DCN Non-O-PAS I/O subsystems.</t>
  </si>
  <si>
    <t>DCNNonOpasIOSubsystemCollection URIs</t>
  </si>
  <si>
    <t>Resource to describe a southbound Non-O-PAS I/O Subsystem connected to an O-PAS DCN.
For additional detail on Non-O-PAS I/O Subsystems and DCN Physical Topology, see O-PAS Part 7 – Physical Platform.</t>
  </si>
  <si>
    <t>RedfishDCNNonOpasIOSubsystemResourceType</t>
  </si>
  <si>
    <t>DCNIONetworkCollection</t>
  </si>
  <si>
    <t>A link to the collection of Non-O-PAS I/O Subsystems connected to this Head Unit.</t>
  </si>
  <si>
    <t>1.1.1.3               DCNOpasIOSubsystemCollection</t>
  </si>
  <si>
    <t>DCNOpasIOSubsystemCollection (1.0.0)</t>
  </si>
  <si>
    <t>DCNOpasIOSubsystemCollection URIs</t>
  </si>
  <si>
    <t>1.1.9.8 DCNOpasIOSubsystem</t>
  </si>
  <si>
    <t>RedfishDCNOpasIOSubsystemResourceType</t>
  </si>
  <si>
    <t>DCNOpasIOSubsystem (1.0.0)</t>
  </si>
  <si>
    <t>OpasIOSubsystemName</t>
  </si>
  <si>
    <t>OpasIOSubsystemType</t>
  </si>
  <si>
    <t>RedfishIOpasIODeviceElementType</t>
  </si>
  <si>
    <t>DCNOpasIOSubsystem.v1_0_0.OpasIOSubsystemCommStatus</t>
  </si>
  <si>
    <t>DCNOpasIOSubsystem.v1_0_0.OpasIOSubsystemDeviceStatus</t>
  </si>
  <si>
    <t>DCNOpasIOSubsystem URIs</t>
  </si>
  <si>
    <t>Collection of O-PAS IO Subsystems associated with this system. Contains a link to a resource.</t>
  </si>
  <si>
    <t>A link to the collection of O-PAS I/O subsystems.</t>
  </si>
  <si>
    <t>Actions supported for the O-PAS I/O subsystem</t>
  </si>
  <si>
    <t>Name of the O-PAS I/O Subsystem.</t>
  </si>
  <si>
    <t>Interface type and protocol for O-PAS I/O Subsystem and protocol  (Profinet, Ethernet, etc.).</t>
  </si>
  <si>
    <t>RedfishOpasIOSubsystemDeviceStatusEnum</t>
  </si>
  <si>
    <t>OpasIOSubsystemDeviceStatus</t>
  </si>
  <si>
    <t>DCNOpasIOSubsystem</t>
  </si>
  <si>
    <t xml:space="preserve">   HazardousAreaClassification</t>
  </si>
  <si>
    <t>String indicating hazardous area classification for the device, if applicable.  For example, ATEX zone or class.</t>
  </si>
  <si>
    <t>OpasIOSubsystems</t>
  </si>
  <si>
    <t>A link to the collection of O-PAS I/O Subsystems connected to this DCN.</t>
  </si>
  <si>
    <t>The O-PAS I/O Device Communication status.</t>
  </si>
  <si>
    <t>The Non-O-PAS I/O Device Communication status.</t>
  </si>
  <si>
    <t>The O-PAS I/O Device communication status is good.</t>
  </si>
  <si>
    <t>The O-PAS I/O Device communication status is suspect.</t>
  </si>
  <si>
    <t>The O-PAS I/O Device communication Status is bad/failed.</t>
  </si>
  <si>
    <t>The O-PAS I/O Subsystem communication status.</t>
  </si>
  <si>
    <t>O-PAS I/O subsystem communication status is good.</t>
  </si>
  <si>
    <t>O-PAS I/O subsystem communication Status is bad/failed.</t>
  </si>
  <si>
    <t>O-PAS I/O subsystem communication status is suspect.</t>
  </si>
  <si>
    <t>RedfishOpasIOSubsystemCommStatusEnum</t>
  </si>
  <si>
    <t>OpasIOSubsystemCommStatus</t>
  </si>
  <si>
    <t>A DCNOpasIOSubsystemCollection is a collection of DCN O-PAS I/O Subsystem Resources running on a node.
This resource contains minimal detail in this version and will be defined in further detail in O-PAS Version 3.0 For additional detail on Proprietary System and DCN Physical Topology, see O-PAS Part 7 – Physical Platform.
Additional properties and attributes will be added to this resource in O-PAS Version 3.</t>
  </si>
  <si>
    <t>3/3/20 - Moved IOModules to a Collection instead of array
11/27/19 - Change DCN prefix to IO per review WindRiver-96, WindRiver-118, WindRiver-102
12/6/19 - Reduced number of OPC UA mapping examples per ABB-10
12/10/19 - Added disclaimer per ABB-40</t>
  </si>
  <si>
    <t>Resource to describe a southbound O-PAS I/O Subsystem connected to an O-PAS DCN.
For additional detail on O-PAS I/O Subsystems and DCN Physical Topology, see O-PAS Part 7 – Physical Platform.
Additional properties and attributes will be added to this resource in O-PAS Version 3.</t>
  </si>
  <si>
    <t>Collection of O-PAS I/O Subsystems connected to this DCN.</t>
  </si>
  <si>
    <t>Collection of Non-O-PAS I/O Subsystems connected to this DCN.</t>
  </si>
  <si>
    <t>Collection of O-PAS I/O Subsystems connected to this Head Unit.</t>
  </si>
  <si>
    <t>Collection of Non-O-PAS I/O Subsystems connected to this Head Unit.</t>
  </si>
  <si>
    <t>Creation time of the application.</t>
  </si>
  <si>
    <t>Name of the application.</t>
  </si>
  <si>
    <t>Version of application.</t>
  </si>
  <si>
    <t>Vendor of application.</t>
  </si>
  <si>
    <t>State of the application (running, stopped, etc.).</t>
  </si>
  <si>
    <t>Status of the application.</t>
  </si>
  <si>
    <t>Actions supported for Application.</t>
  </si>
  <si>
    <t>This action restarts the Application.</t>
  </si>
  <si>
    <t>This action starts the Application.</t>
  </si>
  <si>
    <t>This action stops the Application.</t>
  </si>
  <si>
    <t>This action stops the Container.</t>
  </si>
  <si>
    <t>MD5 or SHA hash of the container image.</t>
  </si>
  <si>
    <t>Fully qualified path name to the O-PAS I/O Subsystem, e.g. DCP101/SUB001.</t>
  </si>
  <si>
    <t>Communication status to the O-PAS I/O subsystem (Good, Bad, Suspect).</t>
  </si>
  <si>
    <t>Array of O-PAS I/O Devices deployed in this subsystem.</t>
  </si>
  <si>
    <t>Name of the device connected to the O-PAS I/O Subsystem.</t>
  </si>
  <si>
    <t>Fully qualified path name to the Device, e.g. DCP101/SUB001/DEV001.</t>
  </si>
  <si>
    <t>Communication status to the device (Good, Bad, Suspect).</t>
  </si>
  <si>
    <t>Fully qualified path name to the DCN  Non-O-PAS I/O Subsystem, e.g. DCP101/SUB001.</t>
  </si>
  <si>
    <t>Communication status to the Non-O-PAS I/O subsystem (Good, Bad, Suspect).</t>
  </si>
  <si>
    <t>Array of Non-O-PAS I/O Devices deployed in this subsystem.</t>
  </si>
  <si>
    <t>Name of the device connected to the DCN Non-O-PAS I/O Subsystem.</t>
  </si>
  <si>
    <t>This Resource  shall represent an operating system implementation in Redfish.</t>
  </si>
  <si>
    <t xml:space="preserve">This Resource shall represent a collection of remote metrics service that the operating system supports. </t>
  </si>
  <si>
    <t>This Resource shall represent a remote logging service that the operating system supports.  The purpose of this resource is to allow a node to expose which, if any, remote logging services it can interface to.</t>
  </si>
  <si>
    <t>This Resource shall represent a remote metrics service that the operating system supports.  The purpose of this resource is to allow a node to expose which, if any, remote metrics collection services that it can interface to.</t>
  </si>
  <si>
    <t>This Resource shall represent a virtual machine running on the node and resources that have been assigned to it (CPU, memory, storage, network, and devices).</t>
  </si>
  <si>
    <t>This Resource shall represent a collection of virtual machines running on the node that the vendor is exposing to the system manager.</t>
  </si>
  <si>
    <t>This Resource shall represent a container running on the node and resources that have been assigned to it (CPU, memory, storage, network, and devices).</t>
  </si>
  <si>
    <t>This Resource  represents an Execution Engine running on an  Open Process Automation Specification (O-PAS) Distributed Control Node (DCN).</t>
  </si>
  <si>
    <t>This Resource  represents a collection of Execution Engines running on an  Open Process Automation Specification (O-PAS) Distributed Control Node (DCN).</t>
  </si>
  <si>
    <t>This Resource  represents an Open Process Automation Specification (O-PAS)-compliant Input/Output (I/O) subsystem connected to an O-PAS Distributed Control Node (DCN).  For additional detail on O-PAS I/O Subsystems and DCN Physical Topology, see O-PAS Part 7 – Physical Platform.</t>
  </si>
  <si>
    <t>This Resource  represents a collection of Open Process Automation Specification (O-PAS)-compliant Input/Output (I/O) subsystems connected to an O-PAS Distributed Control Node (DCN).  For additional detail on O-PAS I/O Subsystems and DCN Physical Topology, see O-PAS Part 7 – Physical Platform.</t>
  </si>
  <si>
    <t>This Resource  represents an  Input/Output (I/O) subsystem that is not compliant with the Open Process Automation Specification (O-PAS but is connected to an O-PAS Distributed Control Node (DCN).  For additional detail on O-PAS I/O Subsystems and DCN Physical Topology, see O-PAS Part 7 – Physical Platform.</t>
  </si>
  <si>
    <t>This Resource  represents a collection of  Input/Output (I/O) subsystems that are not compliant with the Open Process Automation Specification (O-PAS) but are connected to an O-PAS Distributed Control Node (DCN).  For additional detail on O-PAS I/O Subsystems and DCN Physical Topology, see O-PAS Part 7 – Physical Platform.</t>
  </si>
  <si>
    <t>This property shall define the hostname by which the operating system is identified.</t>
  </si>
  <si>
    <t>This property shall provide the last time/date that the operating system was  booted.</t>
  </si>
  <si>
    <t>This property shall define the accumulated running time of the operating system since it was first powered on.</t>
  </si>
  <si>
    <t>This property shall provide the version of the kernel  the operating system is running on.  This string may be the kernel release from the uname command for Unix-like operating systems or it may be a vendor-specific string.</t>
  </si>
  <si>
    <t>` the release of the kernel  the operating system is running on.    This string may be the kernel version from the uname command for Unix-like operating systems or it may be a vendor-specific string.</t>
  </si>
  <si>
    <t>This property shall provide the name of the operating system.  This may be the operating system from the uname command for Unix-like operating systems or it may be a vendor-specific string.</t>
  </si>
  <si>
    <t>This property shall provide the current value of the operating system environment attribute.</t>
  </si>
  <si>
    <t>This property shall provide the name of an operating system environment attribute.</t>
  </si>
  <si>
    <t>This property shall contain a link to a Resource of type OperatingSystemMetrics.</t>
  </si>
  <si>
    <t>This property shall provide the type of operating system as a string.  The value may be a common name such as Linux or Windows or a vendor-specific operating system type such as VxWorks.</t>
  </si>
  <si>
    <t>This property shall contain any status or health properties of the Resource.</t>
  </si>
  <si>
    <t>This property shall contain a link to a Collection of type MetricsAgent.</t>
  </si>
  <si>
    <t>This property shall contain a link to a Collection of type RemoteLoggingAgent.</t>
  </si>
  <si>
    <t>This property shall contain a link to a Collection of type Application.</t>
  </si>
  <si>
    <t>This property shall contain a link to a Collection of type VirtualMachine.</t>
  </si>
  <si>
    <t>This property shall contain a link to a Collection of type Container.</t>
  </si>
  <si>
    <t>This type shall contain properties that describe the virtualization capabilities of the operating system.</t>
  </si>
  <si>
    <t>This type shall contain properties that describe the capabilities of the operating system to support containers</t>
  </si>
  <si>
    <t>This property shall contain the type of container engine supported, for example docker, cri-o, containerd, or others.</t>
  </si>
  <si>
    <t>This property shall contain the version of the container engine supported.</t>
  </si>
  <si>
    <t>This property shall contain the image types supported by the container, for example docker or OCI.</t>
  </si>
  <si>
    <t>This property shall contain the Service API URI to communicate with the container engine, if supported.</t>
  </si>
  <si>
    <t>This property shall contain a link to a Resource of type MemoryCollection.</t>
  </si>
  <si>
    <t>This property shall contain a link to a Resource of type ProcessorCollection.</t>
  </si>
  <si>
    <t>This property shall contain a link to a Resource of type SimpleStorageCollection.</t>
  </si>
  <si>
    <t>This property shall contain a link to a Resource of type StorageCollection.</t>
  </si>
  <si>
    <t>This property shall contain a link to a Resource of type VolumeCollection.</t>
  </si>
  <si>
    <t>This property shall contain a link to a Resource of type EthernetInterfaceCollection.</t>
  </si>
  <si>
    <t>This property shall provide the  time/date that the metrics were taken at.</t>
  </si>
  <si>
    <t>This property shall indicate whether collection of operating system processor metrics is enabled.</t>
  </si>
  <si>
    <t>This property shall indicate whether collection of operating system memory metrics is enabled.</t>
  </si>
  <si>
    <t>This property shall indicate whether collection of operating system ethernet interface metrics is enabled.</t>
  </si>
  <si>
    <t>This property shall indicate whether collection of operating system partition or volume metrics is enabled.</t>
  </si>
  <si>
    <t>This property shall contain the set of volume/partition metrics for this operating system.  Each element may represent the total storage or a vendor-defined subset of storage volumes or partition.</t>
  </si>
  <si>
    <t>This property shall contain the set of ethernet interface metrics for this operating system.  Each element may represent a physical interface or a logical interface such as a VLAN.</t>
  </si>
  <si>
    <t>This property shall contain the set of processor metrics for this operating system.  Each element may represent the total processor cores or a vendor-defined slice (subset) of processor cores.</t>
  </si>
  <si>
    <t>This property shall contain the set of memory metrics for this operating system.  Each element may represent the total memory or a vendor-defined slice (subset) of memory.</t>
  </si>
  <si>
    <t>This property shall contain the total memory in bytes of this slice of memory.</t>
  </si>
  <si>
    <t>This property shall provide a boolean indication of whether the memory for this slice persists across system reboots or not.</t>
  </si>
  <si>
    <t>This property shall contain the amount of free memory in bytes of this slice of memory.  Available memory is defined as the amount of memory which is available for allocation to a new process or to existing processes.</t>
  </si>
  <si>
    <t>This property shall contain the amount of free memory in bytes of this slice of memory.  Free memory is defined as the amount of memory which is currently not used for anything.</t>
  </si>
  <si>
    <t>This property shall contain the amount of memory in bytes that is used for buffers in this slice of memory if the operating system provides this information.</t>
  </si>
  <si>
    <t>This property shall contain the amount of memory in bytes that is used for cache in this slice of memory if the operating system provides this information.</t>
  </si>
  <si>
    <t>This property shall contain the total number of hugepages for this slice of memory if hugepages is supported.</t>
  </si>
  <si>
    <t>This property shall contain the total number of free hugepages for this slice of memory if hugepages is supported.</t>
  </si>
  <si>
    <t>This property shall contain the hugepage size in bytes for this slice of memory if hugepages is supported.</t>
  </si>
  <si>
    <t>This property shall contain the number of logical cores in this slice of processors cores.</t>
  </si>
  <si>
    <t>This property shall contain the number of logical cores in this slice of processors cores that are allocated/dedicated to a specific use.</t>
  </si>
  <si>
    <t>This property shall contain the number of logical cores in this slice of processors cores that are shared among applications, virtual machines, or containers.</t>
  </si>
  <si>
    <t>This property shall contain the percentage of time the processor was idle in the latest sampling period for this CPU slice.</t>
  </si>
  <si>
    <t>This property shall contain the percentage of time the processor was running in system space in the latest sampling period for this CPU slice.</t>
  </si>
  <si>
    <t>This property shall contain the percentage of time the processor was running in user space in the latest sampling period for this CPU slice.  This metric only applies if user space CPU measurement is supported by the operating system</t>
  </si>
  <si>
    <t>This property shall contain the percentage of time the processor was idle waiting for I/O operations to complete in the latest sampling period for this CPU slice.</t>
  </si>
  <si>
    <t>This property shall contain the storage capacity, in bytes, of this volume or partition.</t>
  </si>
  <si>
    <t>This property shall contain the amount of storage, in bytes, that is currently in use for this volume or partition .</t>
  </si>
  <si>
    <t>This property shall contain the amount of storage, in bytes, that is currently available for this volume or partition .</t>
  </si>
  <si>
    <t>This property shall contain the number of read Input/Output Operations (IOPS) performed for this volume, partition, or device in the last sample period.</t>
  </si>
  <si>
    <t>This property shall contain the number of write Input/Output Operations (IOPS) performed for this volume, partition, or device in the last sample period.</t>
  </si>
  <si>
    <t>This array property shall contain the IDs of volumes or devices to which these metrics apply.</t>
  </si>
  <si>
    <t>This array property shall contain the IDs of network interface(s) to which these metrics apply.</t>
  </si>
  <si>
    <t>This array property shall contain the IDs of the underlying volume or disk assigned to the virtual machine.</t>
  </si>
  <si>
    <t>This array property shall contain the IDs of the underlying network interface(s) assigned to the virtual machine.</t>
  </si>
  <si>
    <t>This array property shall contain the IDs of the underlying device(s) assigned to the virtual machine.</t>
  </si>
  <si>
    <t>This array property shall contain the IDs of the storage devices or volumes assigned to the container.</t>
  </si>
  <si>
    <t>This property shall contain the link speed of the network interface in megabytes.  For example, 10, 100, 1000, 10000.</t>
  </si>
  <si>
    <t>This property shall contain the number of packets per second received on this network interface.</t>
  </si>
  <si>
    <t>This property shall contain the number of packets per second transmitted on this network interface.</t>
  </si>
  <si>
    <t>This property shall contain the number of bytes per second received on this network interface.</t>
  </si>
  <si>
    <t>This property shall contain the number of bytes per second transmitted on this network interface.</t>
  </si>
  <si>
    <t>This property shall contain the number of receive errors on this network interface.</t>
  </si>
  <si>
    <t>This property shall contain the number of transmit errors on this network interface.</t>
  </si>
  <si>
    <t>This property shall contain the number of dropped packets on this network interface.</t>
  </si>
  <si>
    <t>This property shall contain a name for the metrics agent.</t>
  </si>
  <si>
    <t>This property shall contain the URI of the that a remote management service can pull metrics from.  It is only applicable for metrics protocols where data is pulled by the service from the device.</t>
  </si>
  <si>
    <t>This property shall indicate whether the remote metrics service is enabled.</t>
  </si>
  <si>
    <t>This property shall indicate whether the remote logging service is enabled.</t>
  </si>
  <si>
    <t>This property shall contain the URI of the remote management service the node is to push data to.  This property is written by the Redfish client to instruct the node where to send the metrics.   This property  is only applicable for metrics protocols where the node pushes metrics to  a remote service.</t>
  </si>
  <si>
    <t>This property shall contain a name for the remote logging agent.</t>
  </si>
  <si>
    <t>This property shall contain the protocol used for the remote  logging.  This may be an open standard protocol such as syslog, logstash, or fluentd, or a proprietary protocol the node decides to expose to system management.  Note that the system management client is not required to support the protocol.</t>
  </si>
  <si>
    <t xml:space="preserve">This action shall restart the application represented by the Resource.  </t>
  </si>
  <si>
    <t xml:space="preserve">This action shall start the application represented by the Resource.  </t>
  </si>
  <si>
    <t xml:space="preserve">This action shall stop the application represented by the Resource.  </t>
  </si>
  <si>
    <t xml:space="preserve">This action shall activate  the virtual machine represented by the Resource.  </t>
  </si>
  <si>
    <t xml:space="preserve">This action shall pause the virtual machine represented by the Resource.  </t>
  </si>
  <si>
    <t xml:space="preserve">This action shall reboot the virtual machine represented by the Resource.  </t>
  </si>
  <si>
    <t xml:space="preserve">This action shall reset the virtual machine represented by the Resource.  </t>
  </si>
  <si>
    <t xml:space="preserve">This action shall suspend the virtual machine represented by the Resource.  </t>
  </si>
  <si>
    <t xml:space="preserve">This action shall shut down the virtual machine represented by the Resource.  </t>
  </si>
  <si>
    <t>This property shall provide the creation time of the application.</t>
  </si>
  <si>
    <t>This property shall provide the name of the application represented by this Resource.</t>
  </si>
  <si>
    <t>This property shall provide the version of the application represented by this Resource.</t>
  </si>
  <si>
    <t>This property shall provide the name of the vendor of the application represented by this Resource.</t>
  </si>
  <si>
    <t>This property shall provide the state of the application represented by this Resource, for example, running, stopped, etc.)</t>
  </si>
  <si>
    <t>This property shall provide the creation time of the virtual machine.</t>
  </si>
  <si>
    <t>This property shall provide the name of the virtual machine.</t>
  </si>
  <si>
    <t xml:space="preserve">This action shall restart the container represented by the Resource.  </t>
  </si>
  <si>
    <t xml:space="preserve">This action shall start the container represented by the Resource.  </t>
  </si>
  <si>
    <t xml:space="preserve">This action shall stop the container represented by the Resource.  </t>
  </si>
  <si>
    <t>This property shall provide the name of the container represented by this Resource.</t>
  </si>
  <si>
    <t>This property shall provide the creation time of the container.</t>
  </si>
  <si>
    <t>This property shall provide the type of virtual machine, specifically the hypervisor it is running on.  For example, KVM, Xen, VMWare.</t>
  </si>
  <si>
    <t>This type shall contain and array of  properties that describe environment attributes as key/values pairs.</t>
  </si>
  <si>
    <t>This property shall contain the set of images associated with this virtual machine.</t>
  </si>
  <si>
    <t>This property shall contain name of the image.</t>
  </si>
  <si>
    <t>This property shall contain an MD5 or SHA hash of the image to validate its integrity.</t>
  </si>
  <si>
    <t>This property shall contain the size of the image in bytes.</t>
  </si>
  <si>
    <t>This property shall contain the type of image, which may be raw, qcow, or other common virtual machine image type.</t>
  </si>
  <si>
    <t>This property shall contain the number of CPU cores allocated to the virtual machine.</t>
  </si>
  <si>
    <t>This property shall contain the memory allocated to the virtual machine, in bytes.</t>
  </si>
  <si>
    <t>This property shall provide a boolean indication of whether the virtual machine memory is shared or dedicated.  True indicates the virtual machine memory is shared while false indicates the memory is dedicated to the virtual machine.</t>
  </si>
  <si>
    <t>This property shall contain the set of volumes associated with this virtual machine.</t>
  </si>
  <si>
    <t>This property shall contain name of the volume.</t>
  </si>
  <si>
    <t>This property shall contain an identifier for the volume.  The identifier may be a UUID or other unique identifier string for the volume.</t>
  </si>
  <si>
    <t>This property shall contain the size of the virtual machine in bytes.</t>
  </si>
  <si>
    <t>This property shall contain the name the volume appears as in the virtual machine, for example sda, sdb, etc.</t>
  </si>
  <si>
    <t>This property shall contain the name of type of network interface assigned to the virtual machine, for example, virtio, SR-IOV, PCI-Passthrough, or a vendor-NIC model.</t>
  </si>
  <si>
    <t>This property shall contain the name of type of the network the virtual machine network interface is connected to.</t>
  </si>
  <si>
    <t>This property shall contain the name of type of the subnet the virtual machine network interface is connected to.</t>
  </si>
  <si>
    <t>This property shall contain the network CIDR of for the subnet the virtual machine network interface is connected to.</t>
  </si>
  <si>
    <t>This property shall contain the list of IP addresses assigned to the virtual machine network interface.</t>
  </si>
  <si>
    <t>This property shall contain the list of DNS server addresses for the virtual machine network interface.</t>
  </si>
  <si>
    <t>This property shall contain the gateway IP address, if any, for the virtual machine network.</t>
  </si>
  <si>
    <t>This property shall contain an identifier for the network interface port.  The identifier may be a UUID or other unique identifier.</t>
  </si>
  <si>
    <t>This property shall contain the set of devices associated with this virtual machine.</t>
  </si>
  <si>
    <t>This property shall contain the set of network interfaces associated with this virtual machine.</t>
  </si>
  <si>
    <t>This property shall contain the name of the device assigned to the virtual machine.</t>
  </si>
  <si>
    <t>This property shall contain the name of the interface assigned to the virtual machine.</t>
  </si>
  <si>
    <t>This property shall contain textual description of any other information about the device that may be relevant.  The information is vendor-defined.</t>
  </si>
  <si>
    <t>This property shall contain textual description of any special features of the virtual machine. The information is vendor-defined.</t>
  </si>
  <si>
    <t>This property shall contain the state of the virtual machine, for example, running, paused, stopped, error.</t>
  </si>
  <si>
    <t>This property shall contain an identifier to correlate the virtual machine with its host. If the virtual machine is managed via a Redfish agent/server, this should be the ServiceRoot UUID. If not, the Vendor can define it.</t>
  </si>
  <si>
    <t>This property shall provide the type of container, for example, OCI.</t>
  </si>
  <si>
    <t>This property shall contain the set of images associated with this container.</t>
  </si>
  <si>
    <t>This property shall contain the version of the image to be used.</t>
  </si>
  <si>
    <t>This property shall contain the type of image, for example OCI.</t>
  </si>
  <si>
    <t>This property shall contain the memory allocated to the container, in bytes.</t>
  </si>
  <si>
    <t>This property shall contain the storage limit for the container, in bytes.</t>
  </si>
  <si>
    <t>This property shall contain the state of the container, for example, running, paused, stopped, error.</t>
  </si>
  <si>
    <t>This property shall contain the set of volumes associated with this container.</t>
  </si>
  <si>
    <t>This property shall contain the host path that the volume is mounted to.</t>
  </si>
  <si>
    <t>This property shall contain the size of the volume, in bytes.</t>
  </si>
  <si>
    <t>This property shall contain the set of devices associated with this container.</t>
  </si>
  <si>
    <t>This property shall contain the name of the device assigned to the container.</t>
  </si>
  <si>
    <t>This property shall contain the set of network interfaces associated with this container.</t>
  </si>
  <si>
    <t>This property shall contain the name of the interface assigned to the container.</t>
  </si>
  <si>
    <t>This property shall contain the name of type of the network the container interface is connected to.</t>
  </si>
  <si>
    <t>This property shall contain the name of type of the subnet the container network interface is connected to.</t>
  </si>
  <si>
    <t>This property shall contain the network CIDR of for the subnet the container network interface is connected to.</t>
  </si>
  <si>
    <t>This property shall contain the list of IP addresses assigned to the container network interface.</t>
  </si>
  <si>
    <t>This property shall contain the list of DNS server addresses for the container network interface.</t>
  </si>
  <si>
    <t>This property shall contain the gateway IP address, if any, for the container network.</t>
  </si>
  <si>
    <t>This property shall contain an identifier to correlate the container with its host. If the virtual machine is managed via a Redfish agent/server, this should be the ServiceRoot UUID. If not, the Vendor can define it.</t>
  </si>
  <si>
    <t>This property shall contain the set of O-PAS profiles that the node is conformant with.</t>
  </si>
  <si>
    <t xml:space="preserve">This property shall contain the OPC UA Server URI for this node.  The URI is used as a correlation ID between Redfish and OPC UA for the same node.  OPC UA will use the Redfish Service Root UUID for correlation the Redfish agent. </t>
  </si>
  <si>
    <t>This property shall contain the O-PAS profile that the node is compliant to, for example OSM-003 or DCP-002.</t>
  </si>
  <si>
    <t>This property shall contain the version of the O-PAS profile that the node is compliant with.</t>
  </si>
  <si>
    <t>This property shall contain the status of O-PAS certification for this profile.</t>
  </si>
  <si>
    <t>This property shall contain a list of Redfish resources and properties supported that are Recommended or IfImplemented in the profiles.  This list can assist the client in knowing which optional features the node supports.</t>
  </si>
  <si>
    <t>This property shall contain the maximum rated temperature in Celsius that that the product is rated for.</t>
  </si>
  <si>
    <t>This property shall contain the maximum rated humidity that the product is rated for and the type of humidity (relative, absolute, etc.).</t>
  </si>
  <si>
    <t xml:space="preserve">This property shall contain the ingress protection rating for the node, for example, IEC 60529-2004 and Ingress Protection (IP) code or another relevant standard. </t>
  </si>
  <si>
    <t>This property shall contain the hazardous area classification rating for the node, if any.  For example and ATEX zone or class.</t>
  </si>
  <si>
    <t>This property shall contain the list of batteries on the node and the status of those batteries.</t>
  </si>
  <si>
    <t>This property shall contain a description of the battery that can be used to determine what the battery provides power to, for example the entire node, back battery, etc.</t>
  </si>
  <si>
    <t>This property shall contain the percent charged for the battery.</t>
  </si>
  <si>
    <t>This property shall contain the estimated battery life remaining, if available.</t>
  </si>
  <si>
    <t>This property shall contain a link to a Collection of type O-PAS I/O Subsystems attached to this node.</t>
  </si>
  <si>
    <t>This property shall contain a link to a Collection of type non-O-PAS I/O Subsystems attached to this node.</t>
  </si>
  <si>
    <t xml:space="preserve">This action shall reset the O-PAS Execution Engine represented by the Resource.  </t>
  </si>
  <si>
    <t xml:space="preserve">This action shall start the O-PAS Execution Engine represented by the Resource.  </t>
  </si>
  <si>
    <t xml:space="preserve">This action shall stop the O-PAS Execution Engine represented by the Resource.  </t>
  </si>
  <si>
    <t>This property shall contain the vendor of the O-PAS Execution Engine software.</t>
  </si>
  <si>
    <t>This property shall contain the product name of the O-PAS Execution Engine software.</t>
  </si>
  <si>
    <t>This property shall contain the version  of the O-PAS Execution Engine software.</t>
  </si>
  <si>
    <t>This property shall contain the current role  of the O-PAS Execution Engine software, for example primary or secondary).</t>
  </si>
  <si>
    <t>This property shall contain the name of the function block running on this Execution Engine.</t>
  </si>
  <si>
    <t>This property shall contain the version of the function block running on this Execution Engine.</t>
  </si>
  <si>
    <t>This property shall contain the state of the function block running on this Execution Engine, for example running, stopped, or failed.</t>
  </si>
  <si>
    <t>This property shall indicate whether collection of operating system metrics is enabled.</t>
  </si>
  <si>
    <t>This property shall indicate whether collection of O-PAS function block metrics is enabled.</t>
  </si>
  <si>
    <t>This property shall provide the time/date that the metrics were taken at.</t>
  </si>
  <si>
    <t>This property shall contain the state of the O-PAS Execution Engine.  The state should be descriptions such as Starting, Stopping, Stopped, Failed, Disconnected, or Running.</t>
  </si>
  <si>
    <t>This property shall contain the connection state of the Execution Engine with other components.</t>
  </si>
  <si>
    <t>Connection state with other Components and I/O (Ok/Error).</t>
  </si>
  <si>
    <t>Communication status to the I/O Network.</t>
  </si>
  <si>
    <t>Description of the DCN I/O Network interface type and protocol.</t>
  </si>
  <si>
    <t>Fully qualified path name to the DCN I/O Network, e.g. DCP101/ION001/HU001.</t>
  </si>
  <si>
    <t>Name of the DCN I/O Network.</t>
  </si>
  <si>
    <t>Actions supported for DCN I/O Network.</t>
  </si>
  <si>
    <t>A link to the collection of Head Units.</t>
  </si>
  <si>
    <t>DCNExecutionEngineMetrics.v1_0_0.ExecutionEngineCommStatus</t>
  </si>
  <si>
    <t>ExecutionEngineCommStatus</t>
  </si>
  <si>
    <t>RedfishExecutionEngineCommStatusEnum</t>
  </si>
  <si>
    <t>The O-PAS Execution Engine communication status with I/O.</t>
  </si>
  <si>
    <t>DCNExecutionEngineMetrics</t>
  </si>
  <si>
    <t>O-PAS Execution Engine communication status is good.</t>
  </si>
  <si>
    <t>O-PAS Execution Engine communication Status is bad/failed.</t>
  </si>
  <si>
    <t>O-PAS Execution Engine communication status is suspect.</t>
  </si>
  <si>
    <t>This property shall contain the base cycle time in milliseconds for the O-PAS Execution Engine.</t>
  </si>
  <si>
    <t>This property shall contain the average amount of time available in milliseconds after user program has executed since configuration change.</t>
  </si>
  <si>
    <t>This property shall contain the minimum system cycle time in milliseconds since configuration change.</t>
  </si>
  <si>
    <t>This property shall contain the maximum system cycle time in milliseconds since configuration change.</t>
  </si>
  <si>
    <t>This property shall contain the percentage of CPU used for reading/writing I/O.</t>
  </si>
  <si>
    <t>This property shall contain the percentage of CPU used for executing the safety program.</t>
  </si>
  <si>
    <t>This property shall contain the total CPU load for the Execution Engine.</t>
  </si>
  <si>
    <t>This property shall contain the average CPU load for the Execution Engine.</t>
  </si>
  <si>
    <t>This property shall contain the minimum CPU load for the Execution Engine.</t>
  </si>
  <si>
    <t>This property shall contain the maximum CPU load for the Execution Engine.</t>
  </si>
  <si>
    <t>This property shall provide an a boolean indication indicating if a time synchronization error has occurred.  A value of true indicates a failure has occurred.</t>
  </si>
  <si>
    <t>This property shall contain an error code indicating the cause of the Execution Engine error.</t>
  </si>
  <si>
    <t>This property shall indicate if a system fault has occurred for the Execution Engine.  A value of true indicates a fault has occurred.</t>
  </si>
  <si>
    <t>This property shall contain the minimum base cycle time in milliseconds for the O-PAS Execution Engine.</t>
  </si>
  <si>
    <t>This property shall contain the maximum base cycle time in milliseconds for the O-PAS Execution Engine.</t>
  </si>
  <si>
    <t>Maximum base cycle time in milliseconds.</t>
  </si>
  <si>
    <t>This property shall contain the list of metrics for function blocks running on the O-PAS Execution Engine.</t>
  </si>
  <si>
    <t>This property shall contain the name of the function block running on the O-PAS Execution Engine.</t>
  </si>
  <si>
    <t>This property shall contain the CPU utilization percentage of the function block running on the O-PAS Execution Engine.</t>
  </si>
  <si>
    <t>This property shall contain the communication cycle load percentage of the function block running on the O-PAS Execution Engine.</t>
  </si>
  <si>
    <t>This property shall contain the percentage of CPU time spent in the idle state for the function block running on the O-PAS Execution Engine.</t>
  </si>
  <si>
    <t>This property shall contain the minimum net runtime of the function in milliseconds during profiling of the function block running on the O-PAS Execution Engine.</t>
  </si>
  <si>
    <t>This property shall contain the minimum gross runtime of the function in milliseconds during profiling of the function block running on the O-PAS Execution Engine.</t>
  </si>
  <si>
    <t>This property shall contain the maximum gross runtime of the function in milliseconds during profiling of the function block running on the O-PAS Execution Engine.</t>
  </si>
  <si>
    <t>This property shall contain the maximum net runtime of the function in milliseconds during profiling of the function block running on the O-PAS Execution Engine.</t>
  </si>
  <si>
    <t>This property shall contain the average net runtime of the function in milliseconds during profiling of the function block running on the O-PAS Execution Engine.</t>
  </si>
  <si>
    <t>This property shall contain the average gross runtime of the function in milliseconds during profiling of the function block running on the O-PAS Execution Engine.</t>
  </si>
  <si>
    <t>This property shall contain the O-PAS I/O subsystem name for this O-PAS Distributed Control Node (DCN).</t>
  </si>
  <si>
    <t>This property shall contain the path to the O-PAS I/O subsystem  for this O-PAS Distributed Control Node (DCN).  For example, DCP101/SUB001.</t>
  </si>
  <si>
    <t>This property shall contain the interface type and protocol of the O-PAS I/O subsystem for this O-PAS Distributed Control Node (DCN).  For example Ethernet or Profinet.</t>
  </si>
  <si>
    <t>This array property shall contain the IDs of the ethernet interface, if the interface is an ethernet interface, to which these metrics apply.</t>
  </si>
  <si>
    <t>This property shall contain the list of devices and properties connected to the O-PAS I/O subsystem on this O-PAS Distributed Control Node (DCN)</t>
  </si>
  <si>
    <t>This property shall contain the device name for the device connected to this O-PAS I/O Subsystem.</t>
  </si>
  <si>
    <t>This property shall contain the path to the device connected to the O-PAS I/O subsystem.  For example, DCP101/SUB001/DEV001.</t>
  </si>
  <si>
    <t>This property shall contain the non-O-PAS I/O subsystem name for this O-PAS Distributed Control Node (DCN).</t>
  </si>
  <si>
    <t>This property shall contain the path to the non-O-PAS I/O subsystem  for this O-PAS Distributed Control Node (DCN).  For example, DCP101/SUB001.</t>
  </si>
  <si>
    <t>This property shall contain the interface type and protocol of the non-O-PAS I/O subsystem for this O-PAS Distributed Control Node (DCN).  For example Ethernet or Profinet.</t>
  </si>
  <si>
    <t>This property shall contain the list of devices and properties connected to the non-O-PAS I/O subsystem on this O-PAS Distributed Control Node (DCN)</t>
  </si>
  <si>
    <t>This property shall contain the device name for the device connected to this non-O-PAS I/O Subsystem.</t>
  </si>
  <si>
    <t>This property shall contain the path to the device connected to the non-O-PAS I/O subsystem.  For example, DCP101/SUB001/DEV001.</t>
  </si>
  <si>
    <t xml:space="preserve">  
This property contains the status of the subscription. </t>
  </si>
  <si>
    <t>CPU Utilization – 1-minute average of CPU utilization for this group.</t>
  </si>
  <si>
    <t>CPU Utilization – 5-minute average of CPU utilization for this group.</t>
  </si>
  <si>
    <t>CPU Utilization – 15-minute average of CPU utilization for this group.</t>
  </si>
  <si>
    <t>Current System CPU Utilization for this processor group.</t>
  </si>
  <si>
    <t>Current Idle CPU Utilization for this processor group.</t>
  </si>
  <si>
    <t>This Resource  represents operating system  metrics for CPU, memory, storage, and network in the Redfish Specification.  Each metrics element may represent the total system metric, or a specific slice of the resource based on how the resource is used, e.g. CPUs by socket, CPUs or memory by usage (e.g. a VM or container), storage by physical device or partition, network by physical or logical interface.  The specific slices are determined by the vendor.</t>
  </si>
  <si>
    <t>This property shall contain the data rate for read operations in kilobits/second this volume, partition, or device in the last sample period.</t>
  </si>
  <si>
    <t>This property shall contain the data rate for write operations in kilobits/second this volume, partition, or device in the last sample period.</t>
  </si>
  <si>
    <t>This property shall contain the percentage of time during which I/O requests were issued to the device.  Device saturation occurs when value is close to 100%/  This measurement may not reflect performance limits for RAID and modern SSDs.</t>
  </si>
  <si>
    <t>This property shall contain the average service time for requests.  This measurement is being deprecated for newer devices.</t>
  </si>
  <si>
    <t>This property shall contain the protocol used for the metrics collection.  This may be an open standard such as prometheus or collectd, or a proprietary protocol the node decides to expose to system management that it supports.  Note that the system management client is not required to support the protocol.</t>
  </si>
  <si>
    <t>This Resource shall represent a collection of remote logging services that the operating system supports.</t>
  </si>
  <si>
    <t>This property shall contain the URI of the remote logging service the node is to push data to.  This property is written by the Redfish client to instruct the node where to send the metrics.</t>
  </si>
  <si>
    <t>This Resource shall represent a collection  of application running on the operating system that the vendor want to make visible to the system manager.</t>
  </si>
  <si>
    <t>This Resource shall represent an application running on the operating system.   "Application" is an abstract entity that can represent any process, daemon, application, or other executable entity that the vendor chooses to expose to the system manager.</t>
  </si>
  <si>
    <t>This property shall contain an identifier for the image.  The identifier may be a UUID or another unique identifier string for the image</t>
  </si>
  <si>
    <t>This property shall contain a boolean indication indicating whether the virtual machine cores are pinned (dedicated) for the virtual machine.  True indicates the virtual machine cores are pinned.  False indicates the virtual machine may be sharing cores with other virtual machines.</t>
  </si>
  <si>
    <t>This property shall contain an identifier for the volume.  The identifier may be a UUID or another unique identifier string for the volume.</t>
  </si>
  <si>
    <t>This property shall contain the type of device assigned to the virtual machine, for example, FPGA, GPU, NIC, etc.</t>
  </si>
  <si>
    <t>This property shall contain the management URI for the virtual machine.  For example, if the virtual machine has a Redfish or other management agent through which it can be reached.</t>
  </si>
  <si>
    <t>This property shall contain the management URI for the container.  For example, if the virtual machine has a Redfish or other management agent through which it can be reached.</t>
  </si>
  <si>
    <t>This property shall contain the type of device assigned to the container, for example, FPGA, GPU, NIC, etc.</t>
  </si>
  <si>
    <t>This property shall contain the name of type of network interface assigned to the container, for example, virtio, SR-IOV, PCI-Passthrough, or a vendor-NIC model.</t>
  </si>
  <si>
    <t>This property shall contain the minimum rated temperature in Celsius that that the product is rated for.</t>
  </si>
  <si>
    <t>This property shall contain the minimum rated humidity that the product is rated for and the type of humidity (relative, absolute, etc.).</t>
  </si>
  <si>
    <t>This property shall contain a boolean indicating if the node is rated for outdoor use (true) or only rated for indoor use (false).</t>
  </si>
  <si>
    <t>This property shall contain a link to a Collection of type O-PAS Execution Engines running on this node.</t>
  </si>
  <si>
    <t>This action shall swap the O-PAS Execution Engine represented by the Resource if a standby Execution Engine is present.</t>
  </si>
  <si>
    <t>This property shall contain the list of function block properties for function blocks running on this Execution Engine.</t>
  </si>
  <si>
    <t>This Resource  represents metrics provided by Execution engines running on Distributed Control Node (DCN) that is defined in the Open Process Automation Specification (O-PAS) standard.</t>
  </si>
  <si>
    <t>This property shall contain the percentage of CPU used for executing user program.</t>
  </si>
  <si>
    <t>This property shall indicate if a communication fault has occurred for the O-PAS Execution Engine.  A value of true indicates a fault has occurred.</t>
  </si>
  <si>
    <t>This property shall contain the communication status enumeration to the O-PAS I/O subsystem.</t>
  </si>
  <si>
    <t>This property shall contain the communication status enumeration to the device connected to this O-PAS I/O subsystem.</t>
  </si>
  <si>
    <t>This property shall contain the communication status enumeration to the non-O-PAS I/O subsystem.</t>
  </si>
  <si>
    <t>This property shall contain the communication status enumeration to the device connected to this non-O-PAS I/O subsystem.</t>
  </si>
  <si>
    <t>This property shall contain a boolean value indicating whether the device connected to the non-O-PAS I/O subsystem has indicated a Service Required Now condition.  True indicates service is required.</t>
  </si>
  <si>
    <t>This property shall contain a boolean value indicating whether the device connected to the non-O-PAS I/O subsystem has indicated a Service Required Soon condition.  True indicates service will be required soon.</t>
  </si>
  <si>
    <t>This property shall contain a boolean value indicating whether the device connected to the O-PAS I/O subsystem has indicated a Service Required Now condition.  True indicates service is required.</t>
  </si>
  <si>
    <t>This property shall contain a boolean value indicating whether the device connected to the O-PAS I/O subsystem has indicated a Service Required Soon condition.  True indicates service will be required soon.</t>
  </si>
  <si>
    <t>4/30/20 - Added resource per reviews and Physical Platform alignment</t>
  </si>
  <si>
    <t>4/30/2020 - Removed based on reviews.  Leave in spreadsheet in case it it added in Version 3</t>
  </si>
  <si>
    <t>N/A for Version 2.1</t>
  </si>
  <si>
    <t>5/11/20 - Changed to ProcessorType to ProcessorArch for consistiency with Processor resource</t>
  </si>
  <si>
    <t>This property shall contain the string that identifies the architecture of the processor contained in this Socket</t>
  </si>
  <si>
    <t>Processor.v1_0_0.ProcessorArchitecture</t>
  </si>
  <si>
    <t>5/11/20 - Modified description</t>
  </si>
  <si>
    <t>5/11/20 - This metric is being deprecated in unix tools like iostat so removed  here</t>
  </si>
  <si>
    <t>Name of the remote logging support agent.</t>
  </si>
  <si>
    <t>5/11/20 - removed protocol type from description</t>
  </si>
  <si>
    <t>5/11/20 - Added protocol types to description as examples.</t>
  </si>
  <si>
    <t>This property shall provide the name of the kernel  the operating system is running on.  This string may be the kernel name from the uname command for Unix-like operating systems or it may be a vendor-specific string.</t>
  </si>
  <si>
    <t>Additional Resources</t>
  </si>
  <si>
    <t>http://redfish.dmtf.org/schemas/v1/Processor,Processor.v1_0_0</t>
  </si>
  <si>
    <t>Protocol for remote logging supported (fluentd, logstash, syslog, etc.).</t>
  </si>
  <si>
    <t>A</t>
  </si>
  <si>
    <t>CRQ Increment</t>
  </si>
  <si>
    <t>C</t>
  </si>
  <si>
    <t>5/15/20 - Changed to Conditional because want conditional case later to define the requirement</t>
  </si>
  <si>
    <t>ComputerSystem</t>
  </si>
  <si>
    <t>5/15/20 - Changed to the resource Storage/SimpleStorage are in.  Cannot do conditional at resource level</t>
  </si>
  <si>
    <t>5/15/20 - Changed to IfImplemented because don't want to fail if no storage</t>
  </si>
  <si>
    <t>IfImplemented</t>
  </si>
  <si>
    <t>5/15/20 - Changed to IfImplemented.  This is subject to Conditional requirement in ComputerSystem that will set property to IfImplemented conditionally</t>
  </si>
  <si>
    <t>5/15/20 - Changed to conditional.  That will set the requirement in the profile</t>
  </si>
  <si>
    <t>5/15/20 - Changed to the property Storage/SimpleStorage are in.  Cannot do conditional at resource level</t>
  </si>
  <si>
    <t>This Resource shall represent a collection of containers running on the node that the vendor is exposing to the system manager.</t>
  </si>
  <si>
    <t>This Resource  shall represent a Distributed Control Node (DCN) defined in the Open Process Automation Specification (O-PAS).  The resource and associated DCN resources define O-PAS-specific data to be exposed in Redfish.</t>
  </si>
  <si>
    <t>This property shall contain the average CPU load for this slice over a 1-minute period.</t>
  </si>
  <si>
    <t>This property shall contain the average CPU load for this slice over a 5-minute period.</t>
  </si>
  <si>
    <t>This property shall contain the average CPU load for this slice over a 15-minute period.</t>
  </si>
  <si>
    <t>An ApplicationCollection is a collection of Application Resources running on a node.</t>
  </si>
  <si>
    <t>Array of battery information.</t>
  </si>
  <si>
    <t>CompareType</t>
  </si>
  <si>
    <t>8/28/20 - Fixed "Comparison" to "CompareType"</t>
  </si>
  <si>
    <t>9/4/20 - Changed to I and added note that it is only applicable for physical DCNs</t>
  </si>
  <si>
    <t>Describes product environmental ratings for the node.  Product ratings are only applicable for physical DCNs.</t>
  </si>
  <si>
    <t>This property shall contain properties that describe the product ratings of the Resource for physical DCNs.</t>
  </si>
  <si>
    <t>9/8/20 - Removed Function Blocks based on ABB (Heiko) review comments and SM team meeting</t>
  </si>
  <si>
    <t>9/8/20 - Changed from I to R based on ABB (Heiko) review comments and SM team meeting</t>
  </si>
  <si>
    <t>9/9/20 - Changed Logs to LogServices to be consistent with ComputerSystem LogServices.  Based on Mark Frame email on mockup issues</t>
  </si>
  <si>
    <t>9/9 - Defer Metrics to Version 3 per TWG Call</t>
  </si>
  <si>
    <t>9/9 - Defer Metrics to Version 3 per TWG Call
9/8/20 - Removed Function Blocks based on ABB (Heiko) review comments and SM team meeting</t>
  </si>
  <si>
    <t>FBExecutionEngines</t>
  </si>
  <si>
    <t>AlarmEngines</t>
  </si>
  <si>
    <t>Collection of Function Block (FB) execution engines running on the node.</t>
  </si>
  <si>
    <t>Collection of I/O Services Engines running on the node.</t>
  </si>
  <si>
    <t>IOServiceEngines</t>
  </si>
  <si>
    <t>A link to the collection of DCN Alarm Execution Engines.</t>
  </si>
  <si>
    <t>A link to the collection of DCN I/O Service Engines.</t>
  </si>
  <si>
    <t>A link to the collection of DCN Function Block Execution Engines.</t>
  </si>
  <si>
    <t>1.1.9.8 DCNFBExecutionEngine</t>
  </si>
  <si>
    <t>RedfishDCNFBExecutionEngineResourceType</t>
  </si>
  <si>
    <t>DCNFBExecutionEngine (1.0.0)</t>
  </si>
  <si>
    <t xml:space="preserve">   #DCNFBExecutionEngine.Reset</t>
  </si>
  <si>
    <t xml:space="preserve">   #DCNFBExecutionEngine.Start</t>
  </si>
  <si>
    <t xml:space="preserve">   #DCNFBExecutionEngine.Stop</t>
  </si>
  <si>
    <t xml:space="preserve">   #DCNFBExecutionEngine.Swap</t>
  </si>
  <si>
    <t>DCNFBExecutionEngine URIs</t>
  </si>
  <si>
    <t>EngineRole</t>
  </si>
  <si>
    <t>EngineType</t>
  </si>
  <si>
    <t>9/14/20 - Added type based on ABB comments and discussion with Artur</t>
  </si>
  <si>
    <t>9/14/20 - Added this per TWG discussion on 9/9/20 (one of three types of execution engine)</t>
  </si>
  <si>
    <t xml:space="preserve">This action shall reset the O-PAS Function Block Execution Engine represented by the Resource.  </t>
  </si>
  <si>
    <t xml:space="preserve">This action shall start the O-PAS Function Block Execution Engine represented by the Resource.  </t>
  </si>
  <si>
    <t xml:space="preserve">This action shall stop the O-PAS Function Block Execution Engine represented by the Resource.  </t>
  </si>
  <si>
    <t>This action shall swap the O-PAS Function Block Execution Engine represented by the Resource if a standby Execution Engine is present.</t>
  </si>
  <si>
    <t>This property shall contain the vendor of the O-PAS Function Block Execution Engine software.</t>
  </si>
  <si>
    <t>This property shall contain the product name of the O-PAS Function Block Execution Engine software.</t>
  </si>
  <si>
    <t>This property shall contain the version  of the O-PAS Function Block Execution Engine software.</t>
  </si>
  <si>
    <t>This property shall contain the current role  of the O-PAS Function Block Execution Engine software, for example primary or secondary).</t>
  </si>
  <si>
    <t>This Resource  represents Function Block Execution Engine running on an  Open Process Automation Specification (O-PAS) Distributed Control Node (DCN).</t>
  </si>
  <si>
    <t>IEC61131</t>
  </si>
  <si>
    <t>IEC61499</t>
  </si>
  <si>
    <t>Other</t>
  </si>
  <si>
    <t>The DCN Function Block Execution Engine Type</t>
  </si>
  <si>
    <t>Function Block Execution Engine supports IEC 61449.</t>
  </si>
  <si>
    <t>Function Block Execution Engine supports IEC 61131.</t>
  </si>
  <si>
    <t>Function Block Execution Engine does not support predefined Execution Engine types.</t>
  </si>
  <si>
    <t>DCNFBExecutionEngine</t>
  </si>
  <si>
    <t>9/14/20 - Added based on TWG inputs and SM call</t>
  </si>
  <si>
    <t>9/14/20 - Based on TWG feedback on different execution engine types. Replaced with resources for different execution engine types</t>
  </si>
  <si>
    <t>9/14/20 - Removed per dicussion with Artur</t>
  </si>
  <si>
    <t>9/14/20 - Made this R per TWG meeting on 9/9/20</t>
  </si>
  <si>
    <t>Type of Function Block Execution Engine (IEC 611131, IEC 61499, or Other)</t>
  </si>
  <si>
    <t>This property shall contain the type of O-PAS Function Block Execution Engine (IEC 61131, IEC 1499, or other)</t>
  </si>
  <si>
    <t>1.1.9.8 DCNAlarmEngine</t>
  </si>
  <si>
    <t>RedfishDCNAlarmEngineResourceType</t>
  </si>
  <si>
    <t>DCNAlarmEngine (1.0.0)</t>
  </si>
  <si>
    <t xml:space="preserve">   #DCNAlarmEngine.Reset</t>
  </si>
  <si>
    <t xml:space="preserve">   #DCNAlarmEngine.Start</t>
  </si>
  <si>
    <t xml:space="preserve">   #DCNAlarmEngine.Stop</t>
  </si>
  <si>
    <t xml:space="preserve">   #DCNAlarmEngine.Swap</t>
  </si>
  <si>
    <t>DCNAlarmEngine URIs</t>
  </si>
  <si>
    <t>1.1.9.8 DCNIOServicesEngine</t>
  </si>
  <si>
    <t>RedfishDCNIOServicesEngineResourceType</t>
  </si>
  <si>
    <t>DCNIOServicesEngine (1.0.0)</t>
  </si>
  <si>
    <t xml:space="preserve">   #DCNIOServicesEngine.Reset</t>
  </si>
  <si>
    <t xml:space="preserve">   #DCNIOServicesEngine.Start</t>
  </si>
  <si>
    <t xml:space="preserve">   #DCNIOServicesEngine.Stop</t>
  </si>
  <si>
    <t xml:space="preserve">   #DCNIOServicesEngine.Swap</t>
  </si>
  <si>
    <t>DCNIOServicesEngine URIs</t>
  </si>
  <si>
    <t>Current role of this Alarm Engine (primary or secondary).</t>
  </si>
  <si>
    <t>Status of the Alarm Engine.</t>
  </si>
  <si>
    <t>Alarm Engine product name.</t>
  </si>
  <si>
    <t>Status of the Function Block Execution Engine.</t>
  </si>
  <si>
    <t>Current role of this Function Block Execution engine (primary or secondary).</t>
  </si>
  <si>
    <t>This action starts the Alarm Engine</t>
  </si>
  <si>
    <t>This action stops the Alarm Engine.</t>
  </si>
  <si>
    <t>This action swaps between a primary and secondary Alarm Engine.</t>
  </si>
  <si>
    <t>Vendor of the Alarm Engine environment.</t>
  </si>
  <si>
    <t>This Resource  represents an Alarm Engine running on an  Open Process Automation Specification (O-PAS) Distributed Control Node (DCN).</t>
  </si>
  <si>
    <t xml:space="preserve">This action shall reset the O-PAS Alarm Engine represented by the Resource.  </t>
  </si>
  <si>
    <t xml:space="preserve">This action shall start the O-PAS Alarm Engine represented by the Resource.  </t>
  </si>
  <si>
    <t xml:space="preserve">This action shall stop the O-PAS Alarm Engine represented by the Resource.  </t>
  </si>
  <si>
    <t>This property shall contain the vendor of the O-PAS Alarm Engine software.</t>
  </si>
  <si>
    <t>This property shall contain the product name of the O-PAS Alarm Engine software.</t>
  </si>
  <si>
    <t>This property shall contain the version  of the O-PAS Alarm Engine software.</t>
  </si>
  <si>
    <t>This property shall contain the current role  of the O-PAS Alarm Engine software, for example primary or secondary).</t>
  </si>
  <si>
    <t>Actions supported for Alarm Engines.</t>
  </si>
  <si>
    <t>This action restarts the Alarm Engine</t>
  </si>
  <si>
    <t>This action starts the I/O Services Engine</t>
  </si>
  <si>
    <t>This action restarts the I/O Services Engine</t>
  </si>
  <si>
    <t>Actions supported for I/O Services Engines.</t>
  </si>
  <si>
    <t>This action stops the I/O Services Engine.</t>
  </si>
  <si>
    <t>This action swaps between a primary and secondary I/O Services Engine.</t>
  </si>
  <si>
    <t>Vendor of the I/O Services Engine environment.</t>
  </si>
  <si>
    <t>I/O Services Engine product name.</t>
  </si>
  <si>
    <t>I/O Services Engine environment version.</t>
  </si>
  <si>
    <t>Current role of this I/O Services Engine (primary or secondary).</t>
  </si>
  <si>
    <t>Status of the I/O Services Engine.</t>
  </si>
  <si>
    <t xml:space="preserve">This action shall reset the O-PAS I/O Services Engine represented by the Resource.  </t>
  </si>
  <si>
    <t xml:space="preserve">This action shall start the O-PAS I/O Services Engine represented by the Resource.  </t>
  </si>
  <si>
    <t xml:space="preserve">This action shall stop the O-PAS I/O Services Engine represented by the Resource.  </t>
  </si>
  <si>
    <t>This property shall contain the vendor of the O-PAS I/O Services Engine software.</t>
  </si>
  <si>
    <t>This property shall contain the product name of the O-PAS I/O Services Engine software.</t>
  </si>
  <si>
    <t>This property shall contain the version  of the O-PAS I/O Services Engine software.</t>
  </si>
  <si>
    <t>This property shall contain the current role  of the O-PAS I/O Services Engine software, for example primary or secondary).</t>
  </si>
  <si>
    <t>This Resource  represents I/O Services Engine running on an  Open Process Automation Specification (O-PAS) Distributed Control Node (DCN).</t>
  </si>
  <si>
    <t>This action shall swap the O-PAS Alarm Engine represented by the Resource if a standby Alarm Engine is present.</t>
  </si>
  <si>
    <t>AlarmEngineVendor</t>
  </si>
  <si>
    <t>AlarmEngineProductName</t>
  </si>
  <si>
    <t>AlarmEngineVersion</t>
  </si>
  <si>
    <t>AlarmEngineRole</t>
  </si>
  <si>
    <t>FBExecutionEngineVendor</t>
  </si>
  <si>
    <t>FBExecutionEngineProductName</t>
  </si>
  <si>
    <t>FBExecutionEngineVersion</t>
  </si>
  <si>
    <t>FBExecutionEngineRole</t>
  </si>
  <si>
    <t>Alarm Engine environment version.</t>
  </si>
  <si>
    <t>This action shall swap the O-PAS I/O Services Engine represented by the Resource if a standby  Engine is present.</t>
  </si>
  <si>
    <t>IOServicesEngineVendor</t>
  </si>
  <si>
    <t>IOServicesEngineProductName</t>
  </si>
  <si>
    <t>IOServicesEngineVersion</t>
  </si>
  <si>
    <t>IOServicesEngineRole</t>
  </si>
  <si>
    <t>1.1.1.3               DCNFBExecutionEngineCollection</t>
  </si>
  <si>
    <t>A DCNFBExecutionEngineCollection is a collection of DCN Function Block Execution Engine Resources running on a node.</t>
  </si>
  <si>
    <t>DCNFBExecutionEngineCollection (1.0.0)</t>
  </si>
  <si>
    <t>This Resource  represents a collection of DCN Function Block Execution Engines running on an  Open Process Automation Specification (O-PAS) Distributed Control Node (DCN).</t>
  </si>
  <si>
    <t>9/14/20 - Replaced Execution Engine with 3 types of  Engines per TWG</t>
  </si>
  <si>
    <t>Collection of DCN Function Block Execution Engines associated with this system. Contains a link to a resource.</t>
  </si>
  <si>
    <t>1.1.1.3               DCNAlarmEngineCollection</t>
  </si>
  <si>
    <t>A DCNAlarmEngineCollection is a collection of DCN Alarm Engine Resources running on a node.</t>
  </si>
  <si>
    <t>DCNAlarmEngineCollection (1.0.0)</t>
  </si>
  <si>
    <t>Collection of DCN Alarm Engines associated with this system. Contains a link to a resource.</t>
  </si>
  <si>
    <t>A link to the collection of DCN Engines.</t>
  </si>
  <si>
    <t>DCNAlarmEngineCollection URIs</t>
  </si>
  <si>
    <t>DCNFBExecutionEngineCollection URIs</t>
  </si>
  <si>
    <t>This Resource  represents a collection of DCN Alarm Engines running on an  Open Process Automation Specification (O-PAS) Distributed Control Node (DCN).</t>
  </si>
  <si>
    <t>1.1.1.3               DCNIOServicesEngineCollection</t>
  </si>
  <si>
    <t>A DCNIOServicesEngineCollection is a collection of DCN I/OServices Engine Resources running on a node.</t>
  </si>
  <si>
    <t>DCNIOServicesEngineCollection (1.0.0)</t>
  </si>
  <si>
    <t>Collection of DCN I/O Services Engines associated with this system. Contains a link to a resource.</t>
  </si>
  <si>
    <t>A link to the collection of DCN I/O Services Engines.</t>
  </si>
  <si>
    <t>DCNIOServicesEngineCollection URIs</t>
  </si>
  <si>
    <t>This Resource  represents a collection of DCN I/O Services Engines running on an  Open Process Automation Specification (O-PAS) Distributed Control Node (DCN).</t>
  </si>
  <si>
    <t>RedfishFBExecutionEngineTypeEnum</t>
  </si>
  <si>
    <t>FBExecutionEngineType</t>
  </si>
  <si>
    <t>DCNFBExecutionEngine.v1_0_0.FBExecutionEngineType</t>
  </si>
  <si>
    <t>f</t>
  </si>
  <si>
    <t>Resource describing attributes of a DCN Function Block Execution Engine environment on an O-PAS DCN.
Additional properties and attributes will be added to this resource in O-PAS Version 3.</t>
  </si>
  <si>
    <t>Resource describing attributes of a DCN Alarm Engine environment on an O-PAS DCN.
Additional properties and attributes will be added to this resource in O-PAS Version 3.</t>
  </si>
  <si>
    <t>Resource describing attributes of a DCN I/O Services Engine environment on an O-PAS DCN.
Additional properties and attributes will be added to this resource in O-PAS Version 3.</t>
  </si>
  <si>
    <t>9/15 - Fixed data type based on comment from Mark Frame</t>
  </si>
  <si>
    <t>9/9 - Defer Metrics to Version 3 per TWG Call
9/15/20 - Fixed data type per Mark Frame email</t>
  </si>
  <si>
    <t>4/10/20 - Added Type per Part 7 Physical Platform 
9/15/20 - Removed ExecutionEngineMetrics from 2.1 per Heiko comments and TWG</t>
  </si>
  <si>
    <t>AnyOf</t>
  </si>
  <si>
    <t>OSM-003</t>
  </si>
  <si>
    <t>OSM-001</t>
  </si>
  <si>
    <t>ApplyToProfile</t>
  </si>
  <si>
    <t>Values</t>
  </si>
  <si>
    <t>Comparison</t>
  </si>
  <si>
    <t>Conditional and Extra Requirements</t>
  </si>
  <si>
    <t>Conditional fields. Note that Resource, property, subproperty, etc. must be already created from earlier in spreadsheet
ExtraReq fields:  Added to existing resource or property.  Note that Resource, property, subproperty, etc. must be already created from earlier in spreadsheet</t>
  </si>
  <si>
    <t>ExtraReq Keyword</t>
  </si>
  <si>
    <t>12/18/20 - Removed PCIeSlot as it is never referenced as a property</t>
  </si>
  <si>
    <t xml:space="preserve">      AddressParityError</t>
  </si>
  <si>
    <t xml:space="preserve">      CorrectableECCError</t>
  </si>
  <si>
    <t xml:space="preserve">      SpareBlock</t>
  </si>
  <si>
    <t xml:space="preserve">      Temperature</t>
  </si>
  <si>
    <t xml:space="preserve">      UncorrectableECCError</t>
  </si>
  <si>
    <t>1/5/21 - Fixed indentation issue discovered by Mark Frame during testing</t>
  </si>
  <si>
    <t>1/5/20 - Removed this requirement because agreed to make this recommended in v2.1.
12/18/20 - Added requirement on value of HostingRoles</t>
  </si>
  <si>
    <t>1/5/20 - Removed  requirement because agreed to make this recommended in v2.1.
12/18/20 - Added requirement on value of HostingRoles</t>
  </si>
  <si>
    <t>xx</t>
  </si>
  <si>
    <t>The hosting roles that this ComputerSystem supports. The enumerations of hosting roles specify different resources that the hosting ComputerSystem supports.  For an O-PAS DCN, it is recommended to include "DistributedControlNode" and/or "ApplicationServer".</t>
  </si>
  <si>
    <t>http://redfish.dmtf.org/schemas/v1/</t>
  </si>
  <si>
    <t>1/10/21 - Move OperatingSystem schemas to DMTF</t>
  </si>
  <si>
    <t>2/10/21 - Fixed mistake - Missing parent=devices</t>
  </si>
  <si>
    <t>http://open-process-automation.projects.opengroup.org/twg/part-5-system-management/schemas/v1/DCNDevice</t>
  </si>
  <si>
    <t>http://open-process-automation.projects.opengroup.org/twg/part-5-system-management/schemas/v1</t>
  </si>
  <si>
    <t>http://open-process-automation.projects.opengroup.org/twg/part-5-system-management/schemas/v1/DCNExecutionEngineCollection</t>
  </si>
  <si>
    <t>http://open-process-automation.projects.opengroup.org/twg/part-5-system-management/schemas/v1/DCNFBExecutionEngineCollection</t>
  </si>
  <si>
    <t>http://open-process-automation.projects.opengroup.org/twg/part-5-system-management/schemas/v1/DCNAlarmEngineCollection</t>
  </si>
  <si>
    <t>http://open-process-automation.projects.opengroup.org/twg/part-5-system-management/schemas/v1/DCNIOServicesEngineCollection</t>
  </si>
  <si>
    <t>http://open-process-automation.projects.opengroup.org/twg/part-5-system-management/schemas/v1/DCNIONetworkCollection</t>
  </si>
  <si>
    <t>http://open-process-automation.projects.opengroup.org/twg/part-5-system-management/schemas/v1/DCNIOBusCollection</t>
  </si>
  <si>
    <t>http://open-process-automation.projects.opengroup.org/twg/part-5-system-management/schemas/v1/DCNIOModuleCollection</t>
  </si>
  <si>
    <t>http://open-process-automation.projects.opengroup.org/twg/part-5-system-management/schemas/v1/DCNOpasIOSubsystemCollection</t>
  </si>
  <si>
    <t>http://open-process-automation.projects.opengroup.org/twg/part-5-system-management/schemas/v1/DCNNonOpasIOSubsystemCollection</t>
  </si>
  <si>
    <t>http://open-process-automation.projects.opengroup.org/twg/part-5-system-management/schemas/v1/DCNExecutionEngine</t>
  </si>
  <si>
    <t>http://open-process-automation.projects.opengroup.org/twg/part-5-system-management/schemas/v1/DCNExecutionEngineMetrics</t>
  </si>
  <si>
    <t>http://open-process-automation.projects.opengroup.org/twg/part-5-system-management/schemas/v1/DCNFBExecutionEngine</t>
  </si>
  <si>
    <t>http://open-process-automation.projects.opengroup.org/twg/part-5-system-management/schemas/v1/DCNAlarmEngine</t>
  </si>
  <si>
    <t>http://open-process-automation.projects.opengroup.org/twg/part-5-system-management/schemas/v1/DCNIOServicesEngine</t>
  </si>
  <si>
    <t>http://open-process-automation.projects.opengroup.org/twg/part-5-system-management/schemas/v1/DCNIONetwork</t>
  </si>
  <si>
    <t>http://open-process-automation.projects.opengroup.org/twg/part-5-system-management/schemas/v1/DCNHeadUnit</t>
  </si>
  <si>
    <t>http://open-process-automation.projects.opengroup.org/twg/part-5-system-management/schemas/v1/DCNIOBus</t>
  </si>
  <si>
    <t>http://open-process-automation.projects.opengroup.org/twg/part-5-system-management/schemas/v1/DCNIOModule</t>
  </si>
  <si>
    <t>http://open-process-automation.projects.opengroup.org/twg/part-5-system-management/schemas/v1/DCNOpasIOSubsystem</t>
  </si>
  <si>
    <t>http://open-process-automation.projects.opengroup.org/twg/part-5-system-management/schemas/v1/DCNNonOpasIOSubsystem</t>
  </si>
  <si>
    <t>2/21/21- Changed to final URL</t>
  </si>
  <si>
    <t>2/21/21- Changed to final URL
5/11/20 - Changed to recommended since it will not be conformance tested.  Note that this would still be conformance tested if they choose to support but would not mandate vendor to support OpasIO and NonOpasIO even if they have I/O</t>
  </si>
  <si>
    <t>2/21/21- Changed to final URL
9/14 /20 -  Per ABB and TWG - Remove execution engines and added properties for each type of execution engine.</t>
  </si>
  <si>
    <t>2/21/21- Changed to final URL
9/14 /20 -  Remove execution engines and added properties for each type of execution engine</t>
  </si>
  <si>
    <t>2/21/21- Changed to final URL
9/10 - Defer Metrics to Version 3 per TWG Call 
9/8/20 - Changed from I to R based on ABB (Heiko) review comments and SM team meeting</t>
  </si>
  <si>
    <t>2/21/21 - Changed URL back to OPAF site
1/10/21 - Move OperatingSystem schemas to DMTF</t>
  </si>
  <si>
    <t>http://open-process-automation.projects.opengroup.org/twg/part-5-system-management/schemas/v1/OperatingSystemMetrics</t>
  </si>
  <si>
    <t>http://open-process-automation.projects.opengroup.org/twg/part-5-system-management/schemas/v1/MetricsAgentCollection</t>
  </si>
  <si>
    <t>http://open-process-automation.projects.opengroup.org/twg/part-5-system-management/schemas/v1/RemoteLoggingAgentCollection</t>
  </si>
  <si>
    <t>http://open-process-automation.projects.opengroup.org/twg/part-5-system-management/schemas/v1/Application</t>
  </si>
  <si>
    <t>http://open-process-automation.projects.opengroup.org/twg/part-5-system-management/schemas/v1/VirtualMachineCollection</t>
  </si>
  <si>
    <t>http://open-process-automation.projects.opengroup.org/twg/part-5-system-management/schemas/v1/ContainerCollection</t>
  </si>
  <si>
    <t>2/21/21 - Moved URL back to OPAF site
1/10/21 - Move OperatingSystem schemas to DMTF</t>
  </si>
  <si>
    <t>2/21/21- Moved URL back to OPAF site
1/10/21 - Move OperatingSystem schemas to DMTF</t>
  </si>
  <si>
    <t>2/21/21 - Move URL back to OPAF site
1/10/21 - Move OperatingSystem schemas to DMTF</t>
  </si>
  <si>
    <t>2/21/21- Moved URL back to OPAF
1/10/21 - Move OperatingSystem schemas to DMTF</t>
  </si>
  <si>
    <t>http://open-process-automation.projects.opengroup.org/twg/part-5-system-management/schemas/v1/MetricsAgent</t>
  </si>
  <si>
    <t>http://open-process-automation.projects.opengroup.org/twg/part-5-system-management/schemas/v1/RemoteLoggingAgent</t>
  </si>
  <si>
    <t>http://open-process-automation.projects.opengroup.org/twg/part-5-system-management/schemas/v1/VirtualMachine</t>
  </si>
  <si>
    <t>http://open-process-automation.projects.opengroup.org/twg/part-5-system-management/schemas/v1/Container</t>
  </si>
  <si>
    <t>2/26/21 - Fixed - Added M requirement so it would generate collection element
2/21/21 - Moved URL back to OPAF site
1/10/21 - Move OperatingSystem schemas to DMTF</t>
  </si>
  <si>
    <t>2/26/21 - Fixed - Added M requirement so it would generate collection element
2/21/21 - Moved URL back tp OPAF site
1/10/21 - Move OperatingSystem schemas to DMTF</t>
  </si>
  <si>
    <t>2/26/21 - Fixed - Added M requirement so it would generate collection element
2/21/21- Changed to final URL</t>
  </si>
  <si>
    <t>This property shall contain an array of references to the members of this collection.</t>
  </si>
  <si>
    <t>10/29/21 - Gitlab Issue #2 Resolution - Memory metrics are hardware-specific and may be more specific to server-class hardware so this will be changed to Recommended</t>
  </si>
  <si>
    <t>10/29/21 - Gitlab Issue #5 Resolution - VendorID is deprecated in Redfish and replaced by ModuleManufacturerID, but since Manufacturer is also a property and recommended, VendorID is removed asa requirement.</t>
  </si>
  <si>
    <t>10/29/21 - Gitlab Issue #3 - This property does not appear to be supported by some vendor so it will be relaxed to recommended.</t>
  </si>
  <si>
    <t>10/29/21 - Gitlab issue #4 - Does not appear to be universally supported property so will change to recommended</t>
  </si>
  <si>
    <t>10/29/21 - Gitlab Issue #3 - This property only applies if there is a property to related it to so it will changed to recommended.</t>
  </si>
  <si>
    <t>Change Log - v2.1</t>
  </si>
  <si>
    <r>
      <t xml:space="preserve">Wildcards used to replace values in </t>
    </r>
    <r>
      <rPr>
        <sz val="9"/>
        <color theme="1"/>
        <rFont val="Times New Roman"/>
        <family val="1"/>
      </rPr>
      <t>AppliesTo </t>
    </r>
    <r>
      <rPr>
        <sz val="9"/>
        <color rgb="FF000000"/>
        <rFont val="Times New Roman"/>
        <family val="1"/>
      </rPr>
      <t xml:space="preserve"> and calculates MetricProperties arrays.</t>
    </r>
  </si>
  <si>
    <t>RedfishOpasNodeTypeEnum</t>
  </si>
  <si>
    <t>DCN</t>
  </si>
  <si>
    <t>Distributed Control Node</t>
  </si>
  <si>
    <t>OpasNodeType</t>
  </si>
  <si>
    <t>The type of O-PAS Node</t>
  </si>
  <si>
    <t>Other O-PAS Node Type</t>
  </si>
  <si>
    <t>10/1/22 - Added OpasNodeType per Version 2.1 adjudication</t>
  </si>
  <si>
    <t>NodeType</t>
  </si>
  <si>
    <t>10/1/22 - Added O-PAS Node Type per Version 2.1 Adjudication</t>
  </si>
  <si>
    <t>This property shall contain the O-PAS Node type.</t>
  </si>
  <si>
    <t>10/1/22 - Modified description per Version 2.1 Adjudication</t>
  </si>
  <si>
    <t>10/1/22 - Deferred Engines to later version per Version 2.1 adjudication.  Use OS--&gt;Application V2.1</t>
  </si>
  <si>
    <t>10/1/22 - Deferred NonOpasIO to later version per Version 2.1 adjudication</t>
  </si>
  <si>
    <t>10/1/22 - Changed to R per Version 2.1 Adjudication</t>
  </si>
  <si>
    <t>10/1/22 - Changed to R Per Version 2.1 Adjudication</t>
  </si>
  <si>
    <t>10/1/22 - Changed to R per discusions about I in Version 2.1 Adjudication</t>
  </si>
  <si>
    <t>10/1/22 - Changed to R per Version 2.1 adjudication</t>
  </si>
  <si>
    <t>10/1/22 - Changed to R and updated the description per Version 2.1 Adjudication</t>
  </si>
  <si>
    <t>10/1/22 - Updated software inventory description per Version 2.1 adjudication</t>
  </si>
  <si>
    <t>An inventory of firmware.  This inventory should be used to provide an inventory of firmware running on devices such as NIC cards or other devices on the computer system.  This is particularly important for devices with firmware that can be patched or upgraded.</t>
  </si>
  <si>
    <t>An inventory of software.  This inventory should be used to provide inventory of software running on the board.  For a BMC this includes the BMC firmsoftware and operating system itself.  For a computer system this includes the operating system itself but can also include any other software that the vendor wants to expose, especially if it may be upgraded or patched.</t>
  </si>
  <si>
    <t>10/1/22 - Changed to R per version 2.1 adjudication</t>
  </si>
  <si>
    <t>10/1/22 - Removed requirement per gitlab issue #8</t>
  </si>
  <si>
    <t>10/1/22 - Changed to R per Version 2.1 Adjudication.  Also added that this should be used for O-PAS engines</t>
  </si>
  <si>
    <t>10/1/22 - Modifed description per Version 2.1 adjudication</t>
  </si>
  <si>
    <t>10/1/22 - Deprecated earlier so greyed out</t>
  </si>
  <si>
    <t>10/1/22 - Deferred I/O to later version per Version 2.1 adjudication.</t>
  </si>
  <si>
    <t>10/1/22 - Deferred Engines to later version per Version 2.1 adjudication.  Use OS--&gt;Application V2.1
Also removed Property in schema files so schema files not generate</t>
  </si>
  <si>
    <t>10/1/22 - Deferred Engines to later version per Version 2.1 adjudication.  Use OS--&gt;Application V2.1
Also removed Resource in schema files so schema files not generate</t>
  </si>
  <si>
    <t>10/1/22 - Deferred Engines to later version per Version 2.1 adjudication.  Use OS--&gt;Application V2.1
Also removed Action in schema files so schema files not generate</t>
  </si>
  <si>
    <t xml:space="preserve">
Removed Property in schema files so schema files not generate</t>
  </si>
  <si>
    <t>10/1/22 - Deferred Engines to later version per Version 2.1 adjudication.  Use OS--&gt;Application V2.1
Also removed Collection in schema files so schema files not generate</t>
  </si>
  <si>
    <t>10/1/22 - Removed Action in schema files so schema files not generate</t>
  </si>
  <si>
    <t>10/1/22 - Deferred I/O to later version per Version 2.1 adjudication.
Also removed Collection in schema files so schema files not generate</t>
  </si>
  <si>
    <t>10/1/22 - Deferred I/O to later version per Version 2.1 adjudication.
Also removed Property in schema files so schema files not generate</t>
  </si>
  <si>
    <t>10/1/22 - Deferred I/O to later version per Version 2.1 adjudication.
Also removed Resource in schema files so schema files not generate</t>
  </si>
  <si>
    <t>10/1/22 - Deferred OpasIO to later version per Version 2.1 adjudication
Also removed Property in schema files so schema files not generate</t>
  </si>
  <si>
    <t>10/1/22 - Deferred NonOpasIO to later version per Version 2.1 adjudication
Also removed Property in schema files so schema files not generate</t>
  </si>
  <si>
    <t>10/1/22 - Deferred I/O to later version per Version 2.1 adjudication.
Removed Enum in cell so schema will not generate it</t>
  </si>
  <si>
    <t>10/1/22 - Deferred I/O to later version per Version 2.1 adjudication.
Removed EnumType in cell so schema will not generate it</t>
  </si>
  <si>
    <t>This resource describes a virtual machine running on the device from the host perspective. Note that the VM may be statically provisioned or dynamically orchestrated.</t>
  </si>
  <si>
    <t>A SoftwareInventory resource is an inventory of software or firmware components.  See SoftwareInventory and FirmwareInventory properties in the UpdateService resource for guidance on what software components should be included in the inventories.</t>
  </si>
  <si>
    <t>Collection of applications to be exposed that are running on this platform. The collection allows the vendor to generically expose any applications and their status to remote managers, for example O-PAS function block engines, alarm engines, and I/O services engines</t>
  </si>
  <si>
    <t>This is a resource for the platform to expose key applications on the platform, usually because it is important to know externally; for example, an O-PAS Function Block Execution Engine, Alarm Engine, or I/O Services Engine. Expect this may be a pointer to things like the Execution Engine environment, in which case it needs to provide sufficient information to determine capabilities.</t>
  </si>
  <si>
    <t>Type of O-PAS Node (DCN, Other)</t>
  </si>
  <si>
    <t>10/1/22 - Deferred OPC UA URI to later version per Version 2.1 adjudication.
Also removed property from schema</t>
  </si>
  <si>
    <t>10/1/22 - Deferred ProductRatings to later version per Version 2.1 adjudication.
Also removed property from schema column</t>
  </si>
  <si>
    <t>10/1/22 - Deferred Batteries to later version per Version 2.1 adjudication.
Also removed property from schema column</t>
  </si>
  <si>
    <t>Resource to describe an O-PAS Distributed Control Node.</t>
  </si>
  <si>
    <t>Change Log - V2.x</t>
  </si>
  <si>
    <t>1.4.0-</t>
  </si>
  <si>
    <t>2/26/23 - Changed MinVersion to 1.4.0 per Gitlab Issue #5</t>
  </si>
  <si>
    <t>The health state of this resource in the absence of its dependent
resources.</t>
  </si>
  <si>
    <t>The overall health state from the view of this resource.</t>
  </si>
  <si>
    <t>6/27/23 - Profiles Issue #11 resolution.  Removed Mandatory, moved to sub-properties</t>
  </si>
  <si>
    <t>6/27/23 - Profiles Issue #11 resolution. Added requirement for status Health sub-property.</t>
  </si>
  <si>
    <t>6/27/23 - Profiles Issue #11 resolution. Added requirement for status HealthRollup sub-property but left blank since there are no dependent resources.</t>
  </si>
  <si>
    <t>6/27/23 - Profiles Issue #11 resolution. Added requirement for status HealthRollup sub-property and made Recommended because there are dependent resources.</t>
  </si>
  <si>
    <t xml:space="preserve">      Health</t>
  </si>
  <si>
    <t xml:space="preserve">      HealthRollup</t>
  </si>
  <si>
    <t xml:space="preserve">   HealthRollup</t>
  </si>
  <si>
    <t xml:space="preserve">   Health</t>
  </si>
  <si>
    <t>6/27/23 - Profiles Issue #11 resolution. Added requirement for status HealthRollup sub-property left blank because there are no dependent resources.</t>
  </si>
  <si>
    <t>6/27/23 - Profiles Issue #11 resolution.  Left blank because it was originally blank.</t>
  </si>
  <si>
    <t>6/27/23 - Profiles Issue #11 resolution.  Left blank because originally blank.</t>
  </si>
  <si>
    <t>6/27/23 - Profiles Issue #11 resolution.  Left blank because originally blank</t>
  </si>
  <si>
    <t>6/27/23 - Remove Row - Does not apply to anything</t>
  </si>
  <si>
    <t>6/27/23 - Profiles Issue #11 resolution. Added requirement for status Health sub-propertybut left blank since there are no dependent resources.</t>
  </si>
  <si>
    <t>6/27/23 - Profiles Issue #11 resolution. Added requirement for status HealthRollup sub-property.  Recommended because there are dependent resources.</t>
  </si>
  <si>
    <t>6/27/23 - Profiles Issue #11 resolution.</t>
  </si>
  <si>
    <t>6/27/23 - Profiles Issue #11 resolution. Left blank because originally blank</t>
  </si>
  <si>
    <t xml:space="preserve">6/27/23 - Profiles Issue #11 resolution.  </t>
  </si>
  <si>
    <t xml:space="preserve">6/27/23 - Profiles Issue #11 resolution. </t>
  </si>
  <si>
    <t>6/27/23 - Profiles Issue #11 resolution. Left blank because originally blank.</t>
  </si>
  <si>
    <t>6/27/23 - Realized that Y missing for V2</t>
  </si>
  <si>
    <t xml:space="preserve">         Health</t>
  </si>
  <si>
    <t xml:space="preserve">         HealthRollup</t>
  </si>
  <si>
    <t>7/26/23 - Changed to R per gitlab Issue 10</t>
  </si>
  <si>
    <t>8/9/23 - Removed per gitlab issue #13 and agremeent in subcommittee.  Property is newer than minVersion</t>
  </si>
  <si>
    <t>ReplacedBy:LocationIndicatorActive</t>
  </si>
  <si>
    <t>Replaces:IndicatorLED</t>
  </si>
  <si>
    <t>LocationIndicatorActive</t>
  </si>
  <si>
    <t>An indicator allowing an operator to physically locate this resource.</t>
  </si>
  <si>
    <t>The state of the indicator LED, which identifies the chassis. For the possible property values, see IndicatorLED in Property details. Deprecated in v1.14 and later. This property has been deprecated in favor of the LocationIndicatorActive property.</t>
  </si>
  <si>
    <t>ReplacedBy:PowerSubsystem</t>
  </si>
  <si>
    <t>Replaces:Power</t>
  </si>
  <si>
    <t>ThermalSubsystem</t>
  </si>
  <si>
    <t>The link to the power subsystem properties for this chassis. See the PowerSubsystem schema for details on this property.</t>
  </si>
  <si>
    <t>The link to the power properties, or power supplies, power policies, and sensors, for this chassis. See the Power schema for details on this property. Deprecated in v1.15 and later. This link has been deprecated in favor of the PowerSubsystem link property.</t>
  </si>
  <si>
    <t>ReplacedBy:ThermalSubsystem</t>
  </si>
  <si>
    <t>Replaces:Thermal</t>
  </si>
  <si>
    <t>The link to the thermal subsystem properties for this chassis. See the ThermalSubsystem schema for details on this property.</t>
  </si>
  <si>
    <t>TrustedComponents</t>
  </si>
  <si>
    <t>8/28/23 - New property added in v1.21.  Added but no requirement yet</t>
  </si>
  <si>
    <t>Link to Collection of TrustedComponent. See the TrustedComponent schema for details.</t>
  </si>
  <si>
    <t>The link to the trusted components in this chassis. Contains a link to a resource.</t>
  </si>
  <si>
    <t>8/28/23 - Added ThermalSubsystem in v1.15, replaces Thermal</t>
  </si>
  <si>
    <t>8/28/23 - Deprecated in v1.15, replaced by ThermalSubsystem</t>
  </si>
  <si>
    <t>8/28 - Added in v1.15, replaces Power</t>
  </si>
  <si>
    <t>8/28/23 - Deprecated  in v1.14, replaced by  LocationIndicatorActive</t>
  </si>
  <si>
    <t>8/28/23 - Deprecated in v1.13, replaced by LocationIndicatorActive</t>
  </si>
  <si>
    <t>The state of the indicator LED, which identifies the system. For the possible property values, see IndicatorLED in Property details. Deprecated in v1.13 and later. This property has been deprecated in favor of the LocationIndicatorActive property.</t>
  </si>
  <si>
    <t>8/28/23 - Added in v1.13,  replaces IndicatorLED</t>
  </si>
  <si>
    <t xml:space="preserve">8/28/23 - Deprecaterd in v1.19, replaced by TrustedComponents in links </t>
  </si>
  <si>
    <t>An array of trusted modules in the system. Deprecated in v1.19 and later. This property has been deprecated in favor of the TrustedComponents property in Links.</t>
  </si>
  <si>
    <t>ReplacedBy:TrustedComponents</t>
  </si>
  <si>
    <t xml:space="preserve">   TrustedComponents</t>
  </si>
  <si>
    <t>Link to a TrustedComponent resource. See the Links section and the TrustedComponent schema for details.</t>
  </si>
  <si>
    <t>8/28/23 - Added in v1.19, replaces TrustedModules</t>
  </si>
  <si>
    <t>TrustedComponent 1.1.0</t>
  </si>
  <si>
    <t>The TrustedComponent resource represents a trusted device, such as a TPM.</t>
  </si>
  <si>
    <t>The link to a collection of device identity certificates of the trusted component. Contains a link to a resource.</t>
  </si>
  <si>
    <t>The software version of the active software image on the trusted component.</t>
  </si>
  <si>
    <t>The links to other resources that are related to this resource.</t>
  </si>
  <si>
    <t>The link to the software inventory resource that represents the active firmware image for this trusted component. See the SoftwareInventory schema for details on this property.</t>
  </si>
  <si>
    <t xml:space="preserve">      @odata.id string read-write Link to a SoftwareInventory resource. See the Links section and the SoftwareInventory schema for details.</t>
  </si>
  <si>
    <t xml:space="preserve">   ComponentIntegrity</t>
  </si>
  <si>
    <t>An array of links to ComponentIntegrity resources for which the trusted component is responsible.</t>
  </si>
  <si>
    <t>Link to a ComponentIntegrity resource. See the Links section and the ComponentIntegrity schema for details.</t>
  </si>
  <si>
    <t xml:space="preserve">   ComponentsProtected</t>
  </si>
  <si>
    <t>An array of links to resources that the target component protects.</t>
  </si>
  <si>
    <t xml:space="preserve">   IntegratedInto</t>
  </si>
  <si>
    <t>A link to a resource to which this trusted component is integrated.</t>
  </si>
  <si>
    <t>See the Oem object definition in the Common properties section.</t>
  </si>
  <si>
    <t>The images that are associated with this trusted component.</t>
  </si>
  <si>
    <t>Link to a SoftwareInventory resource. See the Links section and the SoftwareInventory schema for details.</t>
  </si>
  <si>
    <t>The manufacturer of this trusted component.</t>
  </si>
  <si>
    <t>The model number of the trusted component.</t>
  </si>
  <si>
    <t>The part number of the trusted component.</t>
  </si>
  <si>
    <t>The serial number of the trusted component.</t>
  </si>
  <si>
    <t>The SKU of the trusted component.</t>
  </si>
  <si>
    <t>The status and health of the resource and its subordinate or dependent resources. For property details, see Status.</t>
  </si>
  <si>
    <t xml:space="preserve">   Conditions</t>
  </si>
  <si>
    <t>Conditions in this resource that require attention. (v1.11+)</t>
  </si>
  <si>
    <t xml:space="preserve">      LogEntry</t>
  </si>
  <si>
    <t>The link to the log entry created for this condition.</t>
  </si>
  <si>
    <t>Link to a LogEntry resource.</t>
  </si>
  <si>
    <t xml:space="preserve">      Message string</t>
  </si>
  <si>
    <t>The human-readable message for this condition.</t>
  </si>
  <si>
    <t xml:space="preserve">      MessageArgs</t>
  </si>
  <si>
    <t>An array of message arguments that are substituted for the arguments in the message when looked up in the message registry.</t>
  </si>
  <si>
    <t xml:space="preserve">      MessageId</t>
  </si>
  <si>
    <t>The identifier for the message.</t>
  </si>
  <si>
    <t xml:space="preserve">      OriginOfCondition</t>
  </si>
  <si>
    <t>A link to the resource or object that originated the condition.</t>
  </si>
  <si>
    <t xml:space="preserve">      Resolution</t>
  </si>
  <si>
    <t>Suggestions on how to resolve the condition. (v1.14+)</t>
  </si>
  <si>
    <t xml:space="preserve">      Severity</t>
  </si>
  <si>
    <t>The severity of the condition. For the possible property values, see Severity in Property details.</t>
  </si>
  <si>
    <t xml:space="preserve">      Timestamp</t>
  </si>
  <si>
    <t>The time the condition occurred.</t>
  </si>
  <si>
    <t>The health state of this resource in the absence of its dependentresources. For the possible property values, see Health in Property details.</t>
  </si>
  <si>
    <t>The overall health state from the view of this resource. For the possible property values, see HealthRollup in Property details.</t>
  </si>
  <si>
    <t>The known state of the resource, such as, enabled. For the possible property values, see State in Property details.</t>
  </si>
  <si>
    <t>TPM</t>
  </si>
  <si>
    <t>TPM-specific information for this trusted component. (v1.1+)</t>
  </si>
  <si>
    <t xml:space="preserve">   CapabilitiesVendorID</t>
  </si>
  <si>
    <t>The capabilities vendor ID for this trusted component. (v1.1+)</t>
  </si>
  <si>
    <t xml:space="preserve">   HardwareInterfaceVendorID</t>
  </si>
  <si>
    <t>The hardware interface vendor ID for this trusted component. (v1.1+)</t>
  </si>
  <si>
    <t>TrustedComponentType</t>
  </si>
  <si>
    <t>The type of trusted component, such as any physical distinction about the trusted component. For the possible property values, see TrustedComponentType in Property details.</t>
  </si>
  <si>
    <t>The UUID for this trusted component.</t>
  </si>
  <si>
    <t>PowerSubsystem 1.1.0</t>
  </si>
  <si>
    <t>This PowerSubsystem schema contains the definition for the power subsystem of a chassis.</t>
  </si>
  <si>
    <t>Allocation</t>
  </si>
  <si>
    <t>Power allocation for this subsystem.</t>
  </si>
  <si>
    <t xml:space="preserve">   AllocatedWatts</t>
  </si>
  <si>
    <t>The total amount of power that has been allocated or budgeted to this subsystem.</t>
  </si>
  <si>
    <t xml:space="preserve">   RequestedWatts</t>
  </si>
  <si>
    <t>The potential power, in watts, that the subsystem requests, which might be higher than the current level being consumed because the requested power includes a budget that the subsystem wants for future use.</t>
  </si>
  <si>
    <t>The link to the collection of batteries within this subsystem. See the Battery schema for details.</t>
  </si>
  <si>
    <t>(v1.1+)</t>
  </si>
  <si>
    <t>Link to Collection of Battery</t>
  </si>
  <si>
    <t>CapacityWatts</t>
  </si>
  <si>
    <t>The total amount of power that can be allocated to this subsystem. This value can be either the power supply capacity or the power budget that an upstream chassis assigns to this subsystem.</t>
  </si>
  <si>
    <t>The link to the collection of power supplies within this subsystem.</t>
  </si>
  <si>
    <t>Link to Collection of PowerSupply. See the PowerSupply schema for details.</t>
  </si>
  <si>
    <t>PowerSupplyRedundancy</t>
  </si>
  <si>
    <t>The redundancy information for the set of power supplies in this subsystem.</t>
  </si>
  <si>
    <t xml:space="preserve">   MaxSupportedInGroup</t>
  </si>
  <si>
    <t>The maximum number of devices supported in this redundancy group. (v1.4+)</t>
  </si>
  <si>
    <t xml:space="preserve">   MinNeededInGroup</t>
  </si>
  <si>
    <t>The minimum number of devices needed for this group to be redundant. (v1.4+)</t>
  </si>
  <si>
    <t xml:space="preserve">   RedundancyGroup</t>
  </si>
  <si>
    <t>The links to the devices included in this redundancy group.</t>
  </si>
  <si>
    <t>The unique identifier for a resource. (v1.4+)</t>
  </si>
  <si>
    <t xml:space="preserve">   RedundancyType</t>
  </si>
  <si>
    <t>The redundancy mode of the group. For the possible property values, see RedundancyType in Property details. (v1.4+)</t>
  </si>
  <si>
    <t>The status and health of the resource and its subordinate or dependent resources. (v1.4+)</t>
  </si>
  <si>
    <t>PowerSupply 1.5.1</t>
  </si>
  <si>
    <t>The PowerSupply schema describes a power supply unit. It also describes the location, such as a slot, socket, or bay, where a unit can be installed, by populating a resource instance with an absent state if a unit is not present.</t>
  </si>
  <si>
    <t>The link to the assembly associated with this power supply. See the Assembly schema for details on this property.</t>
  </si>
  <si>
    <t>Link to an Assembly resource. See the Links section and the Assembly schema for details.</t>
  </si>
  <si>
    <t>EfficiencyRatings</t>
  </si>
  <si>
    <t>The efficiency ratings of this power supply.</t>
  </si>
  <si>
    <t>The rated efficiency of this power supply at the specified load.</t>
  </si>
  <si>
    <t xml:space="preserve">   LoadPercent</t>
  </si>
  <si>
    <t>The electrical load for this rating.</t>
  </si>
  <si>
    <t>ElectricalSourceManagerURIs</t>
  </si>
  <si>
    <t>The URIs of the management interfaces for the upstream electrical source connections for this power supply. (v1.2+)</t>
  </si>
  <si>
    <t>ElectricalSourceNames</t>
  </si>
  <si>
    <t>The names of the upstream electrical sources, such as circuits or outlets, connected to this power supply. (v1.2+)</t>
  </si>
  <si>
    <t>An indication of whether this device can be inserted or removed while the equipment is in operation.</t>
  </si>
  <si>
    <t>InputNominalVoltageType</t>
  </si>
  <si>
    <t>The nominal voltage type of the line input to this power supply. For the possible property values, see InputNominalVoltageType in Property details.</t>
  </si>
  <si>
    <t>InputRanges</t>
  </si>
  <si>
    <t xml:space="preserve">   CapacityWatts</t>
  </si>
  <si>
    <t>The maximum capacity of this power supply when operating in this input range.</t>
  </si>
  <si>
    <t xml:space="preserve">   NominalVoltageType</t>
  </si>
  <si>
    <t>The input voltage range. For the possible property values, see NominalVoltageType in Property details.</t>
  </si>
  <si>
    <t>LineInputStatus</t>
  </si>
  <si>
    <t>The status of the line input. For the possible property values, see LineInputStatus in Property details. (v1.3+)</t>
  </si>
  <si>
    <t xml:space="preserve">   Oem See the Oem object definition in the Common properties section.</t>
  </si>
  <si>
    <t xml:space="preserve">   Outlet</t>
  </si>
  <si>
    <t>A link to the outlet connected to this power supply. See the Outlet schema for details on this property. Deprecated in v1.4 and later. This property has been deprecated in favor of the PowerOutlets property to allow for consistent modeling of power supplies with multiple outlet support. (deprecated v1.4)</t>
  </si>
  <si>
    <t>Link to an Outlet resource. See the Links section and the Outlet schema for details.</t>
  </si>
  <si>
    <t xml:space="preserve">   PoweringChassis</t>
  </si>
  <si>
    <t>An array of links to the chassis that are directly powered by this power supply. (v1.4+)</t>
  </si>
  <si>
    <t>Link to a Chassis resource. See the Links section and the Chassis schema for details.</t>
  </si>
  <si>
    <t xml:space="preserve">   PowerOutlets</t>
  </si>
  <si>
    <t>Link to a Outlet resource. See the Links section and the Outlet schema for details. (v1.2+)</t>
  </si>
  <si>
    <t>The location of the power supply. For property details, see Location.</t>
  </si>
  <si>
    <t>The link to the power supply metrics resource associated with this power supply. See the PowerSupplyMetrics schema for details on this property.</t>
  </si>
  <si>
    <t>Link to a PowerSupplyMetrics resource. See the Links section and the PowerSupplyMetrics schema for details.</t>
  </si>
  <si>
    <t>OutputNominalVoltageType</t>
  </si>
  <si>
    <t>The nominal output voltage type of this power supply. For the possible property values, see OutputNominalVoltageType in Property details. (v1.5+)</t>
  </si>
  <si>
    <t>OutputRails</t>
  </si>
  <si>
    <t>The output power rails provided by this power supply.</t>
  </si>
  <si>
    <t xml:space="preserve">   NominalVoltage</t>
  </si>
  <si>
    <t>The nominal voltage of this output power rail.</t>
  </si>
  <si>
    <t>The area or device to which this power rail applies. For the possible property values, see PhysicalContext in Property details.</t>
  </si>
  <si>
    <t>PhaseWiringType</t>
  </si>
  <si>
    <t>The number of ungrounded current-carrying conductors (phases) and the total number of conductors (wires) provided for the power supply input connector. For the possible property values, see PhaseWiringType in Property details.</t>
  </si>
  <si>
    <t>PlugType</t>
  </si>
  <si>
    <t>The type of plug according to NEMA, IEC, or regional standards. For the possible property values, see PlugType in Property details.</t>
  </si>
  <si>
    <t>The power supply type (AC or DC). For the possible property values, see PowerSupplyType in Property details.</t>
  </si>
  <si>
    <t>ProductionDate</t>
  </si>
  <si>
    <t>The production or manufacturing date of this power supply. (v1.1+)</t>
  </si>
  <si>
    <t>Replaceable</t>
  </si>
  <si>
    <t>An indication of whether this component can be independently replaced as allowed by the vendor's replacement policy. (v1.5+)</t>
  </si>
  <si>
    <t>SparePartNumber</t>
  </si>
  <si>
    <t>The status and health of the resource and its subordinate ordependent resources. For property details, see Status.</t>
  </si>
  <si>
    <t>The hardware version of this power supply. (v1.1+)</t>
  </si>
  <si>
    <t>PowerSupplyMetrics 1.1.0</t>
  </si>
  <si>
    <t>The PowerSupplyMetrics schema contains definitions for the metrics of a power supply.</t>
  </si>
  <si>
    <t>EnergykWh</t>
  </si>
  <si>
    <t>The energy consumption (kWh) of this unit. This object is an excerpt of the Sensor resource located at the URI shown in DataSourceUri.</t>
  </si>
  <si>
    <t xml:space="preserve">   ApparentkVAh</t>
  </si>
  <si>
    <t>Apparent energy (kVAh). (v1.5+)</t>
  </si>
  <si>
    <t xml:space="preserve">   DataSourceUri</t>
  </si>
  <si>
    <t>The link to the resource that provides the data for this sensor.</t>
  </si>
  <si>
    <t xml:space="preserve">   LifetimeReading</t>
  </si>
  <si>
    <t>The total accumulation value for this sensor. (v1.1+)</t>
  </si>
  <si>
    <t xml:space="preserve">   ReactivekVARh</t>
  </si>
  <si>
    <t>Reactive energy (kVARh). (v1.5+)</t>
  </si>
  <si>
    <t xml:space="preserve">   Reading number</t>
  </si>
  <si>
    <t>The sensor value.</t>
  </si>
  <si>
    <t xml:space="preserve">   SensorResetTime</t>
  </si>
  <si>
    <t>The date and time when the time-based properties were last reset.</t>
  </si>
  <si>
    <t>FanSpeedPercent</t>
  </si>
  <si>
    <t>The fan speed (percent) for this power supply. This object is an excerpt of the Sensor resource located at the URI shown in DataSourceUri. Deprecated in v1.1 and later. This property has been deprecated in favor of FanSpeedsPercent to support multiple fans within a power supply. (deprecated v1.1)</t>
  </si>
  <si>
    <t xml:space="preserve">   SpeedRPM</t>
  </si>
  <si>
    <t>The rotational speed. (v1.2+)</t>
  </si>
  <si>
    <t>FanSpeedsPercent</t>
  </si>
  <si>
    <t>Fan speeds (percent). This object is an excerpt of the Sensor resource located at the URI shown in DataSourceUri. (v1.1+)</t>
  </si>
  <si>
    <t>The name of the device. (v1.2+)</t>
  </si>
  <si>
    <t>The area or device to which this sensor measurement applies. For the possible property values, see PhysicalContext in Property details.</t>
  </si>
  <si>
    <t xml:space="preserve">   PhysicalSubContext</t>
  </si>
  <si>
    <t>The usage or location within a device to which this sensor measurement applies. For the possible property values, see PhysicalSubContext in Property details.</t>
  </si>
  <si>
    <t>FrequencyHz</t>
  </si>
  <si>
    <t>The frequency (Hz) for this power supply. This object is an excerpt of the Sensor resource located at the URI shown in DataSourceUri.</t>
  </si>
  <si>
    <t>InputCurrentAmps</t>
  </si>
  <si>
    <t>The input current (A) for this power supply. This object is an excerpt of the Sensor resource located at the URI shown in DataSourceUri.</t>
  </si>
  <si>
    <t xml:space="preserve">   CrestFactor</t>
  </si>
  <si>
    <t>The crest factor for this sensor. (v1.1+)</t>
  </si>
  <si>
    <t xml:space="preserve">   THDPercent</t>
  </si>
  <si>
    <t>The total harmonic distortion (THD). (v1.1+)</t>
  </si>
  <si>
    <t>InputPowerWatts</t>
  </si>
  <si>
    <t>The input power (W) for this power supply. This object is an excerpt of the Sensor resource located at the URI shown in DataSourceUri.</t>
  </si>
  <si>
    <t xml:space="preserve">   ApparentVA</t>
  </si>
  <si>
    <t>The product of voltage and current for an AC circuit, in volt-ampere units.</t>
  </si>
  <si>
    <t xml:space="preserve">   PhaseAngleDegrees</t>
  </si>
  <si>
    <t>The phase angle (degrees) between the current and voltage waveforms. (v1.5+)</t>
  </si>
  <si>
    <t xml:space="preserve">   PowerFactor</t>
  </si>
  <si>
    <t>The power factor for this sensor.</t>
  </si>
  <si>
    <t xml:space="preserve">   ReactiveVAR</t>
  </si>
  <si>
    <t>The square root of the difference term of squared apparent VA and squared power (Reading) for a circuit, in VAR units.</t>
  </si>
  <si>
    <t xml:space="preserve">   InputVoltage</t>
  </si>
  <si>
    <t>The input voltage (V) for this power supply. This object is an excerpt of the Sensor resource located at the URI shown in DataSourceUri.</t>
  </si>
  <si>
    <t>OutputPowerWatts</t>
  </si>
  <si>
    <t>The total power output (W) for this power supply. This object is an excerpt of the Sensor resource located at the URI shown in DataSourceUri.</t>
  </si>
  <si>
    <t xml:space="preserve">   RailCurrentAmps</t>
  </si>
  <si>
    <t>The output currents (A) for this power supply. This object is an excerpt of the Sensor resource located at the URI shown in DataSourceUri.</t>
  </si>
  <si>
    <t>RailPowerWatts</t>
  </si>
  <si>
    <t>The output power readings (W) for this power supply. This object is an excerpt of the Sensor resource located at the URI shown in DataSourceUri.</t>
  </si>
  <si>
    <t xml:space="preserve">   ApparentVA number</t>
  </si>
  <si>
    <t>RailVoltage</t>
  </si>
  <si>
    <t>The output voltages (V) for this power supply. This object is an excerpt of the Sensor resource located at the URI shown in DataSourceUri.</t>
  </si>
  <si>
    <t>The temperature (C) for this power supply. This object is an excerpt of the Sensor resource located at the URI shown in DataSourceUri.</t>
  </si>
  <si>
    <t>Battery 1.2.1</t>
  </si>
  <si>
    <t>The Battery schema describes a battery unit, such as those used to provide systems with power during a power loss event. It also describes the location, such as a slot, socket, or bay, where a unit can be installed, by populating a resource instance with an absent state if a unit is not present.</t>
  </si>
  <si>
    <t>The link to the assembly associated with this battery. See the Assembly schema for details on this property.</t>
  </si>
  <si>
    <t>Link to a Assembly resource. See the Links section and the Assembly schema for details.</t>
  </si>
  <si>
    <t>CapacityActualAmpHours</t>
  </si>
  <si>
    <t>The actual maximum capacity of this battery in amp-hours.</t>
  </si>
  <si>
    <t>CapacityActualWattHours</t>
  </si>
  <si>
    <t>The actual maximum capacity of this battery in watt-hours.</t>
  </si>
  <si>
    <t>CapacityRatedAmpHours</t>
  </si>
  <si>
    <t>The rated maximum capacity of this battery in amp-hours.</t>
  </si>
  <si>
    <t>CapacityRatedWattHours</t>
  </si>
  <si>
    <t>The rated maximum capacity of this battery in watt-hours.</t>
  </si>
  <si>
    <t xml:space="preserve">ChargeState </t>
  </si>
  <si>
    <t>The charge state of this battery. For the possible property values, see ChargeState in Property details.</t>
  </si>
  <si>
    <t>The firmware version for this battery.</t>
  </si>
  <si>
    <t>The links to other resources that are related to this resource. (v1.1+)</t>
  </si>
  <si>
    <t>An array of links to the memory devices to which this battery provides power during a power loss event. (v1.1+)</t>
  </si>
  <si>
    <t>Link to a Memory resource. See the Links section and the Memory schema for details.</t>
  </si>
  <si>
    <t>An array of links to the storage controllers to which this battery provides power during a power loss event. (v1.1+)</t>
  </si>
  <si>
    <t>Link to a StorageController resource. See the Links section and the StorageController schema for details.</t>
  </si>
  <si>
    <t>The location of the battery. For property details, see Location.</t>
  </si>
  <si>
    <t>The manufacturer of this battery.</t>
  </si>
  <si>
    <t>MaxChargeRateAmps</t>
  </si>
  <si>
    <t>The maximum charge rate of this battery in amps.</t>
  </si>
  <si>
    <t>MaxChargeVoltage</t>
  </si>
  <si>
    <t>The maximum charge voltage of this battery.</t>
  </si>
  <si>
    <t>MaxDischargeRateAmps</t>
  </si>
  <si>
    <t>The maximum discharge rate of this battery in amps.</t>
  </si>
  <si>
    <t>The link to the battery metrics resource associated with this battery. See the BatteryMetrics schema for details on this property.</t>
  </si>
  <si>
    <t>Link to a BatteryMetrics resource. See the Links section and the BatteryMetrics schema for details.</t>
  </si>
  <si>
    <t>The model number for this battery.</t>
  </si>
  <si>
    <t>The part number for this battery.</t>
  </si>
  <si>
    <t>The production or manufacturing date of this battery.</t>
  </si>
  <si>
    <t>An indication of whether this component can be independently replaced as allowed by the vendor's replacement policy. (v1.2+)</t>
  </si>
  <si>
    <t>The serial number for this battery.</t>
  </si>
  <si>
    <t>The spare part number for this battery.</t>
  </si>
  <si>
    <t>StateOfHealthPercent</t>
  </si>
  <si>
    <t>The state of health (percent) of this battery. This object is an excerpt of the Sensor resource located at the URI shown in DataSourceUri.</t>
  </si>
  <si>
    <t>The hardware version of this battery.</t>
  </si>
  <si>
    <t>BatteryMetrics 1.0.1</t>
  </si>
  <si>
    <t>The BatteryMetrics schema contains definitions for the metrics of a battery unit.</t>
  </si>
  <si>
    <t xml:space="preserve">   CellVoltages</t>
  </si>
  <si>
    <t>The cell voltages (V) for this battery. This object is an excerpt of the Sensor resource located at the URI shown in DataSourceUri.</t>
  </si>
  <si>
    <t xml:space="preserve">   THDPercent   The total harmonic distortion (THD). (v1.1+)</t>
  </si>
  <si>
    <t>ChargePercent</t>
  </si>
  <si>
    <t>The amount of charge available (percent) in this battery. For more information about this property, see SensorExcerpt in Property Details.</t>
  </si>
  <si>
    <t>DischargeCycles</t>
  </si>
  <si>
    <t>The number of discharges this battery sustained.</t>
  </si>
  <si>
    <t>The input current (A) for this battery. This object is an excerpt of the Sensor resource located at the URI shown in DataSourceUri.</t>
  </si>
  <si>
    <t>InputVoltage</t>
  </si>
  <si>
    <t>The input voltage (V) for this battery. This object is an excerpt of the Sensor resource located at the URI shown in DataSourceUri.</t>
  </si>
  <si>
    <t>OutputCurrentAmps</t>
  </si>
  <si>
    <t>The output currents (A) for this battery. This object is an excerpt of the Sensor resource located at the URI shown in DataSourceUri.</t>
  </si>
  <si>
    <t>OutputVoltages</t>
  </si>
  <si>
    <t>The output voltages (V) for this battery. This object is an excerpt of the Sensor resource located at the URI shown in DataSourceUri.</t>
  </si>
  <si>
    <t>StoredChargeAmpHours</t>
  </si>
  <si>
    <t>The charge (Ah) stored in this battery. For more information about this property, see SensorExcerpt in Property Details.</t>
  </si>
  <si>
    <t>StoredEnergyWattHours</t>
  </si>
  <si>
    <t>The energy (Wh) stored in this battery. For more information about this property, see SensorExcerpt in Property Details.</t>
  </si>
  <si>
    <t>The temperature (C) for this battery. For more information about this property, see SensorExcerpt in Property Details.</t>
  </si>
  <si>
    <t>ThermalSubsystem 1.2.0</t>
  </si>
  <si>
    <t>This ThermalSubsystem schema contains the definition for the thermal subsystem of a chassis.</t>
  </si>
  <si>
    <t>CoolantConnectors</t>
  </si>
  <si>
    <t>A link to the coolant connectors for this equipment. Contains a link to a resource. (v1.2+)</t>
  </si>
  <si>
    <t>Link to Collection of CoolantConnector. See the CoolantConnector schema for details.</t>
  </si>
  <si>
    <t>FanRedundancy</t>
  </si>
  <si>
    <t>The redundancy information for the groups of fans in this subsystem.</t>
  </si>
  <si>
    <t>The redundancy mode of the group. For the possible property values, see RedundancyType in Fans</t>
  </si>
  <si>
    <t>The link to the collection of fans within this subsystem. Contains a link to a resource.</t>
  </si>
  <si>
    <t>Link to Collection of Fan. See the Fan schema for details.</t>
  </si>
  <si>
    <t>Heaters</t>
  </si>
  <si>
    <t>The link to the collection of heaters within this subsystem. Contains a link to a resource. (v1.1+)</t>
  </si>
  <si>
    <t xml:space="preserve">   @odata.id string read-only Link to Collection of Heater. See the Heater schema for details.</t>
  </si>
  <si>
    <t>ThermalMetrics</t>
  </si>
  <si>
    <t>The link to the summary of thermal metrics for this subsystem. See the ThermalMetrics schema for details on this property.</t>
  </si>
  <si>
    <t>Link to a ThermalMetrics resource. See the Links section and the ThermalMetrics schema for details.</t>
  </si>
  <si>
    <t>ThermalMetrics 1.2.0</t>
  </si>
  <si>
    <t>The ThermalMetrics schema represents the thermal metrics of a chassis.</t>
  </si>
  <si>
    <t>AirFlowCubicMetersPerMinute</t>
  </si>
  <si>
    <t>The air flow through the chassis (m^3/min). For</t>
  </si>
  <si>
    <t>more information about this property, see SensorExcerpt in Property Details. (v1.2+)</t>
  </si>
  <si>
    <t>DeltaPressurekPa</t>
  </si>
  <si>
    <t>The differential pressure (kPa). For more information about this property, see SensorExcerpt in Property Details. (v1.2+)</t>
  </si>
  <si>
    <t>HeaterSummary</t>
  </si>
  <si>
    <t>The summary of heater metrics for this chassis. (v1.1+)</t>
  </si>
  <si>
    <t xml:space="preserve">   TotalPrePowerOnHeatingTimeSeconds</t>
  </si>
  <si>
    <t>The total number of seconds all the heaters in the thermal subsystem were active while the respective devices they heat were powered off. (v1.1+)</t>
  </si>
  <si>
    <t xml:space="preserve">   TotalRuntimeHeatingTimeSeconds</t>
  </si>
  <si>
    <t>The total number of seconds all the heaters in the thermal subsystem were active while the respective devices they heat were powered on. (v1.1+)</t>
  </si>
  <si>
    <t>TemperatureReadingsCelsius</t>
  </si>
  <si>
    <t>The temperatures (Celsius) from all related sensors for this device. This object is an excerpt of the Sensor resource located at the URI shown in DataSourceUri.</t>
  </si>
  <si>
    <t>The area or device to which this sensor measurement applies. For the possible property</t>
  </si>
  <si>
    <t>values, see PhysicalContext in Property details.</t>
  </si>
  <si>
    <t>The usage or location within a device to which this sensor measurement applies. For the possible</t>
  </si>
  <si>
    <t>property values, see PhysicalSubContext in Property details.</t>
  </si>
  <si>
    <t>TemperatureSummaryCelsius</t>
  </si>
  <si>
    <t>The summary temperature readings for this chassis.</t>
  </si>
  <si>
    <t xml:space="preserve">   Ambient</t>
  </si>
  <si>
    <t>The ambient temperature (Celsius) of this subsystem.</t>
  </si>
  <si>
    <t xml:space="preserve">      DataSourceUri</t>
  </si>
  <si>
    <t xml:space="preserve">      Reading number</t>
  </si>
  <si>
    <t xml:space="preserve">   Exhaust</t>
  </si>
  <si>
    <t>The exhaust temperature (Celsius) of this subsystem.</t>
  </si>
  <si>
    <t xml:space="preserve">   Intake</t>
  </si>
  <si>
    <t>The intake temperature (Celsius) of this subsystem.</t>
  </si>
  <si>
    <t xml:space="preserve">   Internal</t>
  </si>
  <si>
    <t>The internal temperature (Celsius) of this subsystem.</t>
  </si>
  <si>
    <t>Fan 1.4.0</t>
  </si>
  <si>
    <t>The Fan schema describes a cooling fan unit for a computer system or similar devices contained within a chassis. It also describes the location, such as a slot, socket, or bay, where a unit can be installed, by populating a resource instance with an absent state if a unit is not present.</t>
  </si>
  <si>
    <t>The link to the assembly associated with this fan. See the Assembly schema for details on this property.</t>
  </si>
  <si>
    <t>FanDiameterMm</t>
  </si>
  <si>
    <t>The diameter of the fan assembly in millimeters. (v1.4+)</t>
  </si>
  <si>
    <t>The links to other resources that are related to this resource. (v1.2+)</t>
  </si>
  <si>
    <t xml:space="preserve">   CoolingChassis</t>
  </si>
  <si>
    <t>An array of links to the chassis that are directly cooled by this fan. (v1.2+)</t>
  </si>
  <si>
    <t>The location of the fan. For property details, see Location.</t>
  </si>
  <si>
    <t>The area or device associated with this fan. For the possible property values, see PhysicalContext in Property details.</t>
  </si>
  <si>
    <t>Power consumption (W). This object is an excerpt of the Sensor resource located at the URI shown in DataSourceUri. (v1.1+)</t>
  </si>
  <si>
    <t>An indication of whether this component can be independently replaced as allowed by the vendor's replacement policy. (v1.3+)</t>
  </si>
  <si>
    <t>SpeedPercent The fan speed (percent). This object is an excerpt of the Sensor resource located at the URI shown in DataSourceUri.</t>
  </si>
  <si>
    <t>The usage or location within a device to which this sensor measurement applies. For the possible property values, see PhysicalSubContext in Property details</t>
  </si>
  <si>
    <t>Link to Collection of Heater. See the Heater schema for details.</t>
  </si>
  <si>
    <t xml:space="preserve"> The total harmonic distortion (THD). (v1.1+)</t>
  </si>
  <si>
    <t>1.1.7.2               TrustedComponent</t>
  </si>
  <si>
    <t>TrustedComponent (1.1.0)</t>
  </si>
  <si>
    <t>PowerSubsystem (1.1.0)</t>
  </si>
  <si>
    <t>1.1.7.2               PowerSupply</t>
  </si>
  <si>
    <t>PowerSupply (1.5.1)</t>
  </si>
  <si>
    <t>PowerSupplyMetrics (1.1.0)</t>
  </si>
  <si>
    <t>1.1.7.2               PowerSupplyMetrics</t>
  </si>
  <si>
    <t>1.1.7.2               Battery</t>
  </si>
  <si>
    <t>Battery (1.2.1)</t>
  </si>
  <si>
    <t>BatteryMetrics (1.0.1)</t>
  </si>
  <si>
    <t>1.1.7.2               BatteryMetrics</t>
  </si>
  <si>
    <t>ThermalSubsystem (1.2.0)</t>
  </si>
  <si>
    <t>1.1.7.2               ThermalSubsystem</t>
  </si>
  <si>
    <t>ThermalMetrics (1.2.0)</t>
  </si>
  <si>
    <t>1.1.7.2               ThermalMetrics</t>
  </si>
  <si>
    <t>Fan (1.4.0)</t>
  </si>
  <si>
    <t>1.1.7.2               Fan</t>
  </si>
  <si>
    <t>/redfish/v1/Chassis/{ChassisId}/TrustedComponents/{TrustedComponentId}</t>
  </si>
  <si>
    <t>/redfish/v1/Chassis/{ChassisId}/PowerSubsystem</t>
  </si>
  <si>
    <t>/redfish/v1/Chassis/{ChassisId}/PowerSubsystem/PowerSupplies/{PowerSupplyId}</t>
  </si>
  <si>
    <t>/redfish/v1/PowerEquipment/PowerShelves/{PowerDistributionId}/PowerSupplies/{PowerSupplyId}</t>
  </si>
  <si>
    <t>/redfish/v1/PowerEquipment/PowerShelves/{PowerDistributionId}/PowerSupplies/{PowerSupplyId}/
Metrics</t>
  </si>
  <si>
    <t>/redfish/v1/Chassis/{ChassisId}/PowerSubsystem/PowerSupplies/{PowerSupplyId}/Metrics</t>
  </si>
  <si>
    <t>/redfish/v1/Chassis/{ChassisId}/PowerSubsystem/Batteries/{BatteryId}</t>
  </si>
  <si>
    <t>/redfish/v1/Chassis/{ChassisId}/PowerSubsystem/Batteries/{BatteryId}/Metrics</t>
  </si>
  <si>
    <t>/redfish/v1/Chassis/{ChassisId}/ThermalSubsystem</t>
  </si>
  <si>
    <t>/redfish/v1/Chassis/{ChassisId}/ThermalSubsystem/ThermalMetrics</t>
  </si>
  <si>
    <t>/redfish/v1/Chassis/{ChassisId}/ThermalSubsystem/Fans/{FanId}</t>
  </si>
  <si>
    <t>8/28/23 - New Resource</t>
  </si>
  <si>
    <t>The state of the indicator LED, that identifies the drive. For the possible property values, see IndicatorLED in Property details. Deprecated in v1.11 and later. This property has been deprecated in favor of the LocationIndicatorActive property.</t>
  </si>
  <si>
    <t>An indicator allowing an operator to physically locate this resource. (v1.11+)</t>
  </si>
  <si>
    <t>8/29/23 - Deprecated in v1.11,  replaced by LocationIndicatorActive</t>
  </si>
  <si>
    <t>8/29/23 - Added in v1.11,  replaces IndicatorLED</t>
  </si>
  <si>
    <t>ReplacedBy:PhysicalLocation</t>
  </si>
  <si>
    <t>Replaces:Location</t>
  </si>
  <si>
    <t>The location of the drive. For property details, see Location. Deprecated in v1.4 and later. This property has been deprecated in favor of the singular property PhysicalLocation found in Drive.v1_4_0.</t>
  </si>
  <si>
    <t>The location of the drive. For property details, see Location. (v1.4+)</t>
  </si>
  <si>
    <t>8/29/23 - Deprecated in v1.4,  replaced by PhysicalLocation</t>
  </si>
  <si>
    <t>8/29/23 - Added in v1.4,  replaces Location</t>
  </si>
  <si>
    <t xml:space="preserve">   Operation</t>
  </si>
  <si>
    <t>The type of the operation. For the possible property values, see Operation in Property details. (v1.17+)</t>
  </si>
  <si>
    <t>The name of the operation. Deprecated in v1.17 and later. This property is deprecated in favor of the Operation property using the OperationType enumeration defined in the Volume schema.</t>
  </si>
  <si>
    <t>ReplacedBy:Operation</t>
  </si>
  <si>
    <t>Replaces:OperationName</t>
  </si>
  <si>
    <t>8/29/23 - Deprecated in v1.17,  replaced by Operation</t>
  </si>
  <si>
    <t>8/29/23 - Added in v1.17,  replaces OperationName</t>
  </si>
  <si>
    <t>The types of events to which a client can subscribe. For the possible property values, see EventTypesForSubscription in Property details. Deprecated in v1.3 and later. This property has been deprecated. Starting with Redfish Specification v1.6 (Event v1.3), subscriptions are based on the RegistryPrefix and ResourceType properties and not on the EventType property.</t>
  </si>
  <si>
    <t>The list of the prefixes of the message registries that can be used for the RegistryPrefixes or ExcludeRegistryPrefixes properties on a subscription. If this property is absent or contains an empty array, the service does not support RegistryPrefix-based subscriptions. (v1.2+)</t>
  </si>
  <si>
    <t>The list of @odata.type values, or schema names, that can be specified in the ResourceTypes array in a subscription. If this property is absent or contains an empty array, the service does not support resource type-based subscriptions. (v1.2+)</t>
  </si>
  <si>
    <t>ReplacedBy:RegistryPrefixes</t>
  </si>
  <si>
    <t>Replaces:EventTypesForSubscription</t>
  </si>
  <si>
    <t>8/29/23 - Updated description</t>
  </si>
  <si>
    <t>Location of the memory device in the platform. Deprecated in v1.9 and later. This property has been deprecated in favor of the ServiceLabel property within Location.</t>
  </si>
  <si>
    <t>ReplacedBy:Location</t>
  </si>
  <si>
    <t>Replaces:DeviceLocator</t>
  </si>
  <si>
    <t>The location of the memory device. For property details, see Location. (v1.4+)</t>
  </si>
  <si>
    <t>Subsystem device ID. Deprecated in v1.3 and later. This property has been deprecated in favor of MemorySubsystemControllerProductID.</t>
  </si>
  <si>
    <t>ReplacedBy:MemorySubsystemControllerProductID</t>
  </si>
  <si>
    <t>Replaces:SubsystemDeviceID</t>
  </si>
  <si>
    <t>The product ID of the memory subsystem controller of this memory device. (v1.3+)</t>
  </si>
  <si>
    <t>8/29/23 - Added in v1.3,  replaces SubsystemDeviceID</t>
  </si>
  <si>
    <t>8/29/23 - Deprecated in v1.3,  replaced by MemorySubsystemControllerProductID</t>
  </si>
  <si>
    <t>SubSystem vendor ID. Deprecated in v1.3 and later. This property has been deprecated in favor of MemorySubsystemControllerManufacturerID.</t>
  </si>
  <si>
    <t>ReplacedBy:MemorySubsystemControllerManufacturerID</t>
  </si>
  <si>
    <t>8/29/23 - Deprecated in v1.3,  replaced by MemorySubsystemControllerManufacturerID</t>
  </si>
  <si>
    <t>Replaces:SubsystemVendorID</t>
  </si>
  <si>
    <t>8/29/23 - Added in v1.3,  replaces SubsystemVerdorID</t>
  </si>
  <si>
    <t>The manufacturer ID of the memory subsystem controller of this memory device. (v1.3+)</t>
  </si>
  <si>
    <t>The link to the metric definition for this metric. See the MetricDefinition schema for details on this property. Deprecated in v1.5 and later. This property has been deprecated in favor of the MetricId property.</t>
  </si>
  <si>
    <t>ReplacedBy:MetricId</t>
  </si>
  <si>
    <t>Replaces:MetricDefinition</t>
  </si>
  <si>
    <t>8/29/23 - Replaces MetricDefinition</t>
  </si>
  <si>
    <t>8/29/23 - Deprecated in v1.5,  replaced by MetricId</t>
  </si>
  <si>
    <t>The metric definitions identifier that contains additional information for the source metric.</t>
  </si>
  <si>
    <t>Ports</t>
  </si>
  <si>
    <t>The link to the collection of network ports associated with this network adapter. Contains a link to a resource. Deprecated in v1.5 and later. This property has been deprecated in favor of the Ports property.</t>
  </si>
  <si>
    <t>ReplacedBy:Ports</t>
  </si>
  <si>
    <t>Replaces:NetworkPorts</t>
  </si>
  <si>
    <t>The link to the collection of ports associated with this network adapter. Contains a link to a resource. (v1.5+)</t>
  </si>
  <si>
    <t>8/29/23 - Deprecated in v1.5,  replaced by Ports</t>
  </si>
  <si>
    <t>8/29/23 - Added in v1.5,  replaces NetworkPorts</t>
  </si>
  <si>
    <t>An array of links to the network ports associated with this network controller. Deprecated in v1.5 and later. This property has been deprecated in favor of the Ports property.</t>
  </si>
  <si>
    <t>An array of links to the ports associated with this network controller.  (v1.5+)</t>
  </si>
  <si>
    <t>AssignablePhysicalNetworkPorts</t>
  </si>
  <si>
    <t>An array of physical ports to which this network device function can be assigned. Deprecated in v1.5 and later. This property has been deprecated in favor of the AssignablePhysicalNetworkPorts property.</t>
  </si>
  <si>
    <t>An array of physical ports to which this network device function can be assigned. (v1.5+)</t>
  </si>
  <si>
    <t>ReplacedBy:AssignablePhysicalNetworkPorts</t>
  </si>
  <si>
    <t>Replaces:AssignablePhysicalPorts</t>
  </si>
  <si>
    <t>8/29/23 - Deprecated in v1.5,  replaced by AssignablePhysicalNetworkPorts</t>
  </si>
  <si>
    <t>8/29/23 - Added in v1.5,  replaces AssignablePhysicalPorts</t>
  </si>
  <si>
    <t xml:space="preserve">   PhysicalNetworkPortAssignment</t>
  </si>
  <si>
    <t>The physical port to which this network device function is currently assigned. See the NetworkPort schema for details on this property. Deprecated in v1.5 and later. This property has been deprecated in favor of the PhysicalNetworkPortAssignment property.</t>
  </si>
  <si>
    <t>The physical port to which this network device function is currently assigned. See the Port schema for details on this property. (v1.5+)</t>
  </si>
  <si>
    <t>ReplacedBy:PhysicalNetworkPortAssignment</t>
  </si>
  <si>
    <t>Replaces:PhysicalPortAssignment</t>
  </si>
  <si>
    <t>8/29/23 - Added in v1.5,  replaces PhysicalPortAssignment</t>
  </si>
  <si>
    <t>8/29/23 - Deprecated in v1.5,  replaced by PhysicalNetworkPortAssignment</t>
  </si>
  <si>
    <t>The link to the network ports associated with this network interface. Contains a link to a resource. Deprecated in v1.2 and later. This property has been deprecated in favor of the Ports property.</t>
  </si>
  <si>
    <t>The link to the ports associated with this network interface. Contains a link to a resource. (v1.2+)</t>
  </si>
  <si>
    <t>8/29/23 - Deprecated in v1.2,  replaced by Ports</t>
  </si>
  <si>
    <t>8/29/23 - Added in v1.2,  replaces NetworkPorts</t>
  </si>
  <si>
    <t xml:space="preserve">   FirmwarePackageVersion</t>
  </si>
  <si>
    <t xml:space="preserve">      NetworkDeviceFunctions</t>
  </si>
  <si>
    <t xml:space="preserve">      NetworkPorts</t>
  </si>
  <si>
    <t xml:space="preserve">      PCIeDevices</t>
  </si>
  <si>
    <t xml:space="preserve">       Ports</t>
  </si>
  <si>
    <t xml:space="preserve">          @odata.id</t>
  </si>
  <si>
    <t>8/29/23 - Deprecated in v1.5,  replaced by Ports
9/1/2023 - Profiles issue #14 - Properties need to be outdented one level</t>
  </si>
  <si>
    <t>9/1/2023 - Profiles issue #15 - Properties need to be outdented one level</t>
  </si>
  <si>
    <t>8/29/23 - Deprecated in v1.5,  replaced by Ports
9/1/2023 - Profiles issue #15 - Properties need to be outdented one level</t>
  </si>
  <si>
    <t>Replaces:TrustedModules</t>
  </si>
  <si>
    <t>An array of links to the trusted components for this system. (v1.19+)</t>
  </si>
  <si>
    <t>8/29/23 - Deprecated in v1.9,  replaced by Location</t>
  </si>
  <si>
    <t>8/29/23 - Added in v1.4,  replaces DeviceLocator</t>
  </si>
  <si>
    <t>8/29/23 - Deprecated in v1.3,  replacedry by RegistryPrefixes</t>
  </si>
  <si>
    <t>8/29/23 - Added in v1.2,  replaces EventTypesForSubscription</t>
  </si>
  <si>
    <t>8/28/23 - Added property in v1.1, Replaces IndicatorLED</t>
  </si>
  <si>
    <t>8/28/23 - Deprecated in v1.15, replaced by PowerSubsystem</t>
  </si>
  <si>
    <t>The link to the thermal properties, such as fans, cooling, and sensors, for this chassis. See the Thermal schema for details on this property. Deprecated in v1.15 and later. This link has been deprecated in favor of the ThermalSubsystem link property.</t>
  </si>
  <si>
    <t>1.1.7.2               PowerSubsystem</t>
  </si>
  <si>
    <t>9/4 - Set rqnt from Tusted Modules
8/28/23 - New Resource</t>
  </si>
  <si>
    <t>9/4/23 - Added Rqmts from Power
8/28/23 - New Resource</t>
  </si>
  <si>
    <t>9/4/23 - Added rqmts from  Power
8/28/23 - New Resource</t>
  </si>
  <si>
    <t>9/4/23 - Added rqmts from power
8/28/23 - New Resource</t>
  </si>
  <si>
    <t>9/4/23 - Added rqmts from thermal
8/28/23 - New Resource</t>
  </si>
  <si>
    <t>SpeedPercent</t>
  </si>
  <si>
    <t>9/4/23 - Added rqmts from Thermal
8/28/23 - New Resource</t>
  </si>
  <si>
    <t>http://open-process-automation.projects.opengroup.org/twg/part-5-system-management/schemas/v1/ApplicationCollection</t>
  </si>
  <si>
    <t>9/5/23 - Issue #4 - Fixed external links to be underneath link property.</t>
  </si>
  <si>
    <t>9/5/23 - Issue #3 - Fixed reference.  Changed Application to ApplicationCollection</t>
  </si>
  <si>
    <t>ReplacedBy:Values</t>
  </si>
  <si>
    <t>Replaces:Keys</t>
  </si>
  <si>
    <t>An array of values to substitute for the wildcard. Deprecated in v1.1 and later. This property has been deprecated in favor of using the property Values.</t>
  </si>
  <si>
    <t>An array of key values to substitute for the wildcard. (v1.1+)</t>
  </si>
  <si>
    <t>9/5/23 - Issue #18 - Values property replaces by Keys</t>
  </si>
  <si>
    <t>9/5/23 - Issue #18 - Keys property replaced by Values</t>
  </si>
  <si>
    <t>9/7/23 - Per subcommittee review captured in Issue 19, changed requirement from R to M for all profiles</t>
  </si>
  <si>
    <t>9/11/23 - Issue 20 - Make  Complex Property requirement explicit</t>
  </si>
  <si>
    <t>6/27/23 - Profiles Issue #11 resolution.  Removed Mandatory, moved to sub-properties
9/11/23 - Issue 20 - Make  Complex Property requirement explicit</t>
  </si>
  <si>
    <t>8/28/23 - New Resource
9/11/23 - Issue 20 - Make  Complex Property requirement explicit</t>
  </si>
  <si>
    <t>9/4/23 - Fixed indentation
8/28/23 - New Resource
9/11/23 - Issue 20 - Make  Complex Property requirement explicit</t>
  </si>
  <si>
    <t>CellVoltages</t>
  </si>
  <si>
    <t>9/11/23 - Corrected indentation</t>
  </si>
  <si>
    <t>The air flow through the chassis (m^3/min). For more information about this property, see SensorExcerpt in Property Details. (v1.2+)</t>
  </si>
  <si>
    <t>8/28/23 - New Resource
9/11/23 - Fixed description</t>
  </si>
  <si>
    <t>8/28/23 - New Resource
more information about this property, see SensorExcerpt in Property Details. (v1.2+)</t>
  </si>
  <si>
    <t>9/1/2023 - Profiles issue #15 - Properties need to be outdented one level
9/11/23 - Issue 20 - Make  Complex Property requirement explicit</t>
  </si>
  <si>
    <t>6/27/23 - Profiles Issue #11 resolution.  Removed Mandatory, moved to sub-properties
9/19/23 - Issue 20 - Make  Complex Property requirement explicit</t>
  </si>
  <si>
    <t>8/28/23 - New Resource
9/19/23 - Issue 20 - Make  Complex Property requirement explicit</t>
  </si>
  <si>
    <t>10/1/22 - Deferred Engines to later version per Version 2.1 adjudication.  Use OS--&gt;Application V2.1
Also removed Property in schema files so schema files not generate
9/19/23 - Issue 20 - Make  Complex Property requirement explicit</t>
  </si>
  <si>
    <t>TrustedComponent URIs</t>
  </si>
  <si>
    <t>PowerSubsytem URIs</t>
  </si>
  <si>
    <t>PowerSupply URIs</t>
  </si>
  <si>
    <t>PowerSupplyMetrics URIs</t>
  </si>
  <si>
    <t>Battery URIs</t>
  </si>
  <si>
    <t>BatteryMetrics URIs</t>
  </si>
  <si>
    <t>ThermalSubsystem URIs</t>
  </si>
  <si>
    <t>ThermalMetrics URIs</t>
  </si>
  <si>
    <t>Fan URIs</t>
  </si>
  <si>
    <t>9/11/23 - Issue 20 - Make  Complex Property</t>
  </si>
  <si>
    <t>The fan speed (percent). This object is an excerpt of the Sensor resource located at the URI shown in DataSourceUri.</t>
  </si>
  <si>
    <t>8/28/23 - New Resource
9/4 - Fixed name/description
9/11/23 - Issue 20 - Make  Complex Property requirement explicit
9/19/23 - Deleted leading space on description</t>
  </si>
  <si>
    <t>9/19/23 - Issue 20 - Make  Complex Property requirement explicit</t>
  </si>
  <si>
    <t>9/19/23 - Issue 20 - Make  Complex Property requirement explicit
9/19/23 - Added description</t>
  </si>
  <si>
    <t>9/11/23 - Issue 20 - Make  Complex Property requirement explicit
9/19/23 - Fixed description</t>
  </si>
  <si>
    <t>Ethernet capabilities, status, and configuration values for this network device function.</t>
  </si>
  <si>
    <t>/redfish/v1/Systems/{ComputerSystemId}/HostedServices/DistributedControlNodeServices</t>
  </si>
  <si>
    <t xml:space="preserve">11/10/23 - Appended 'Services' to URI to match property in ComputerSystem
9/14/20 - Added missing HostedServices to path </t>
  </si>
  <si>
    <t>11/10/23 - Appended Services to schena URI per schema project issue #6
2/21/21- Changed to final URL
9/14/20 - Fixed Missing Hosted Services in path</t>
  </si>
  <si>
    <t>/redfish/v1/Systems/{ComputerSystemId}/HostedServices/DistributedControlNodeServices/ExecutionEngines</t>
  </si>
  <si>
    <t>11/10/23 - Appended Services to schema URI per schema project issue #6
2/21/21- Changed to final URL
9/14/20 - Fixed Missing Hosted Services in path</t>
  </si>
  <si>
    <t xml:space="preserve">11/10/23 - Appended Services to schema URI per schema project issue #6
9/14/20 - Added missing HostedServices to path </t>
  </si>
  <si>
    <t>/redfish/v1/Systems/{ComputerSystemId}/HostedServices/DistributedControlNodeServices/ExecutionEngines/{ExecutionEngineId}</t>
  </si>
  <si>
    <t>/redfish/v1/Systems/{ComputerSystemId}/HostedServices/DistributedControlNodeServices/FBExecutionEngines</t>
  </si>
  <si>
    <t>11/10/23 - Appended Services to schema URI per schema project issue #
62/21/21- Changed to final URL
9/14/20 - Added this per TWG discussion on 9/9/20 (one of three types of execution engine)
9/14/20 - Fixed Missing Hosted Services in path</t>
  </si>
  <si>
    <t>/redfish/v1/Systems/{ComputerSystemId}/HostedServices/DistributedControlNodeServices/FBExecutionEngines/{FBExecutionEngineId}</t>
  </si>
  <si>
    <t>/redfish/v1/Systems/{ComputerSystemId}/HostedServices/DistributedControlNodeServices/AlarmEngines</t>
  </si>
  <si>
    <t>/redfish/v1/Systems/{ComputerSystemId}/HostedServices/DistributedControlNodeServices/AlarmEngines/{AlarmEngineId}</t>
  </si>
  <si>
    <t>11/10/23 - Appended Services to schema URI per schema project issue #6
2/21/21- Changed to final URL
9/14/20 - Added this per TWG discussion on 9/9/20 (one of three types of execution engine)
9/14/20 - Fixed Missing Hosted Services in path</t>
  </si>
  <si>
    <t>/redfish/v1/Systems/{ComputerSystemId}/HostedServices/DistributedControlNodeServices/IOServicesEngines</t>
  </si>
  <si>
    <t>/redfish/v1/Systems/{ComputerSystemId}/HostedServices/DistributedControlNodeServices/IOServicesEngines/{IOServicesEngineId}</t>
  </si>
  <si>
    <t>/redfish/v1/Systems/{ComputerSystemId}/HostedServices/DistributedControlNodeServices/ExecutionEngines/{ExecutionEngineId}/ExecutionEngineMetrics</t>
  </si>
  <si>
    <t>11/10/23 - Appended Services to schema URI per schema project issue #6
2/21/21- Changed to final URL
9/9/20 - Defer Metrics to Version 3 per TWG Call
9/14/20 - Fixed Missing Hosted Services in path</t>
  </si>
  <si>
    <t>/redfish/v1/Systems/{ComputerSystemId}/HostedServices/DistributedControlNodeServices/ExecutionEngines/{ExecutionEngineId}/DCNExecutionEngineMetrics</t>
  </si>
  <si>
    <t>/redfish/v1/Systems/{ComputerSystemId}/HostedServices/DistributedControlNodeServices//IONetworks</t>
  </si>
  <si>
    <t>/redfish/v1/Systems/{ComputerSystemId}/HostedServices/DistributedControlNodeServices/IONetworks</t>
  </si>
  <si>
    <t>/redfish/v1/Systems/{ComputerSystemId}/HostedServices/DistributedControlNodeServices/IONetworks/{IONetworkId} /redfish/v1/Systems/{ComputerSystemId}/HostedServices/DistributedControlNodeServices/IONetworks/{IONetworkId}/IONetworks/{IONetworkId}</t>
  </si>
  <si>
    <t>/redfish/v1/Systems/{ComputerSystemId}/HostedServices/DistributedControlNodeServices/IONetworks/{IONetworkId}</t>
  </si>
  <si>
    <t>/redfish/v1/Systems/{ComputerSystemId}/HostedServices/DistributedControlNodeServices/HeadUnits</t>
  </si>
  <si>
    <t>/redfish/v1/Systems/{ComputerSystemId}/HostedServices/DistributedControlNodeServices/HeadUnits/{HeadUnitId} /redfish/v1/Systems/{ComputerSystemId}/HostedServices/DistributedControlNodeServices/HeadUnits/{HeadUnitId}/HeadUnits/{HeadUnitId}</t>
  </si>
  <si>
    <t>/redfish/v1/Systems/{ComputerSystemId}/HostedServices/DistributedControlNodeServices/HeadUnits/{HeadUnitId}</t>
  </si>
  <si>
    <t>/redfish/v1/Systems/{ComputerSystemId}/HostedServices/DistributedControlNodeServices/IOBusses</t>
  </si>
  <si>
    <t>/redfish/v1/Systems/{ComputerSystemId}HostedServices/DistributedControlNodeServices/IOBusses</t>
  </si>
  <si>
    <t>/redfish/v1/Systems/{ComputerSystemId}/HostedServices/DistributedControlNodeServices/IOBusses/{BusId} /redfish/v1/Systems/{ComputerSystemId}/HostedServices/DistributedControlNodeServices/HeadUnits/{HeadUnitId}/IOBusses/{BusId}</t>
  </si>
  <si>
    <t>/redfish/v1/Systems/{ComputerSystemId}/HostedServices/DistributedControlNodeServices/IOBusses/{BusId}</t>
  </si>
  <si>
    <t>/redfish/v1/Systems/{ComputerSystemId}/HostedServices/DistributedControlNodeServices/IOModules /redfish/v1/Systems/{ComputerSystemId}/HostedServices/DistributedControlNodeServices/IOBusses/{BusId}/IOModules</t>
  </si>
  <si>
    <t>/redfish/v1/Systems/{ComputerSystemId}/HostedServices/DistributedControlNodeServices/IOModules/{IOModuleId} /redfish/v1/Systems/{ComputerSystemId}/HostedServices/DistributedControlNodeServices/IOBusses/{BusId}/IOModules/{IOModuleId} /redfish/v1/Systems/{ComputerSystemId}/HostedServices/DistributedControlNodeServices/HeadUnits/{HeadUnitId}/IOModules/{IOModuleId} /redfish/v1/Systems/{ComputerSystemId}/HostedServices/DistributedControlNodeServices/HeadUnits/{HeadUnitId}/IOBusses/{BusId}/IOModules/{IOModuleId}</t>
  </si>
  <si>
    <t>/redfish/v1/Systems/{ComputerSystemId}/HostedServices/DistributedControlNodeServices/IOModules/{IOModuleId} /redfish/v1/Systems/{ComputerSystemId}/HostedServices/DistributedControlNodeServices/IOBusses/{BusId}/IOModules/{IOModuleId}</t>
  </si>
  <si>
    <t>/redfish/v1/Systems/{ComputerSystemId}/HostedServices/DistributedControlNodeServices/OpasIOSubsystems</t>
  </si>
  <si>
    <t>11/10/23 - Appended Services to schema URI per schema project issue #6
9/14/20 - Fixed Missing Hosted Services in path</t>
  </si>
  <si>
    <t>11/10/23 - Appended Services to schema URI per schema project issue #6
2/21/21- Changed to final URL
4/30/20 - Added resource per reviews and Physical Platform alignment
9/14/20 - Fixed Missing Hosted Services in path</t>
  </si>
  <si>
    <t>/redfish/v1/Systems/{ComputerSystemId}/HostedServices/DistributedControlNodeServices/OpasIOSubsystems/{OpasIOSubsystemId}</t>
  </si>
  <si>
    <t>/redfish/v1/Systems/{ComputerSystemId}/HostedServices/DistributedControlNodeServices/NonOpasIOSubsystems</t>
  </si>
  <si>
    <t>/redfish/v1/Systems/{ComputerSystemId}/HostedServices/DistributedControlNodeServices/NonOpasIOSubsystems/{NonOpasIOSubsystemId} /redfish/v1/Systems/{ComputerSystemId}/HostedServices/DistributedControlNodeServices/HeadUnits/{HeadUnitId}/NonOpasIOSubsystems/{NonOpasIOSubsystemId}</t>
  </si>
  <si>
    <t>/redfish/v1/Systems/{ComputerSystemId}/HostedServices/DistributedControlNodeServices/NonOpasIOSubsystems/{NonOpasIOSubsystemId}</t>
  </si>
  <si>
    <t>/redfish/v1/Systems/{ComputerSystemId}/HostedServices/DistributedControlNodeServices/Subsystems/{SubsystemId}/Devices</t>
  </si>
  <si>
    <t>/redfish/v1/Systems/{ComputerSystemId}/HostedServices/DistributedControlNodeServices/Subsystems/{SubsystemId}/Devices/{DeviceId}</t>
  </si>
  <si>
    <t>/redfish/v1/Systems/{ComputerSystemId}/HostedServices/DistributedControlNodeServices/Subsystems</t>
  </si>
  <si>
    <t>/redfish/v1/Systems/{ComputerSystemId}/HostedServices/DistributedControlNodeServices/Subsystems/{SubsystemId}</t>
  </si>
  <si>
    <t>V3</t>
  </si>
  <si>
    <t>Change Log - V3.x</t>
  </si>
  <si>
    <t>RealTimeOS</t>
  </si>
  <si>
    <t>9/3/24 - Created property with Craig, Mohamed, John</t>
  </si>
  <si>
    <t>Indicates Linux with real-time extensions or an RTOS.  True indicates an RTOS or OS with real-time extensions.</t>
  </si>
  <si>
    <t>RealTimeExtensions</t>
  </si>
  <si>
    <t>List of real-time extensions for the OS, for example Preempt RT.  This could be used by system tools to understand the real-time implementation details of OS.</t>
  </si>
  <si>
    <t>2/13/24 - Fixed indention on Health so it is under Status per Issue 25.
6/27/23 - Profiles Issue #11 resolution. Added requirement for status Health sub-property.</t>
  </si>
  <si>
    <t>OSVendorDistro</t>
  </si>
  <si>
    <t>Product name the vendor gives their operating system distribution, for example, Ubuntu, CentOS, Rocky, VxWorks</t>
  </si>
  <si>
    <t>False</t>
  </si>
  <si>
    <t>This property provides a non-null product name the vendor gives their operating system distribution, for example, Ubuntu, CentOS, Rocky, VxWorks.</t>
  </si>
  <si>
    <t xml:space="preserve">   TotalDedicatableCores</t>
  </si>
  <si>
    <t>This is defined as the number of cores (physical or logical) that are reserved for dedicating to specific workloads (also knows as core pinning).</t>
  </si>
  <si>
    <t>This property defines the number of cores (physical or logical) that are reserved for dedicating to specific workloads (also knows as core pinning).</t>
  </si>
  <si>
    <t>Capabilities</t>
  </si>
  <si>
    <t xml:space="preserve">   DCNRole</t>
  </si>
  <si>
    <t xml:space="preserve">   VirtualizedNode</t>
  </si>
  <si>
    <t>This property indicates, if true, that this operating environment is representing a virtual or container-based device and not representing the physcial device.</t>
  </si>
  <si>
    <t>The DCN roles that this operating environment supports, for example I/O, Compute, or Gateway.
NOTE:  This property is a placeholder for now.  The correct name, values, and descriptions will be discussed and aligned at the TWG level.</t>
  </si>
  <si>
    <t>O-PAS-related capabilities of this node</t>
  </si>
  <si>
    <t>9/6/24 - Added during Orchestration subcommittee call</t>
  </si>
  <si>
    <t>DcnRoleTypeEnum</t>
  </si>
  <si>
    <t>DCN Role</t>
  </si>
  <si>
    <t>Embedded I/O: I/O module(s) embedded in device body featuring a terminal block to Field Side.</t>
  </si>
  <si>
    <t>Local I/O: I/O modules local but outside device, with two standard interfaces: 
O-PAS I/O Bus to device
Field Side.</t>
  </si>
  <si>
    <t>Gateway: connects to non-OPAS Field (southside) I/O stream. The GW could have specialized roles, e.g., GW-MDTCP, GW-EIP, GW-PNRT, DNP3, …</t>
  </si>
  <si>
    <t>Remote I/O: supervises I/O modules over a network supporting the OCF. This network may be physically separate from the O-PAS Control Network so that the I/O traffic is Isolated from other network traffic seen by the device and, therefore, improve port usage and security.</t>
  </si>
  <si>
    <t>Device that implements O-PAS I/O Services (TBD)</t>
  </si>
  <si>
    <t>Device that supports IEC 61499, IEC 1131-3, or both</t>
  </si>
  <si>
    <t>Device that implements the O-PAS / OPC UA FX Alarm service</t>
  </si>
  <si>
    <t>EmbeddedIO</t>
  </si>
  <si>
    <t>LocalIO</t>
  </si>
  <si>
    <t>RemoteIO</t>
  </si>
  <si>
    <t>IOPServiceEngine</t>
  </si>
  <si>
    <t>ExecutionEngine</t>
  </si>
  <si>
    <t>AlarmEngine</t>
  </si>
  <si>
    <t>OpasDCNRoleType</t>
  </si>
  <si>
    <t>9/6/24 - Added enum per Orchestration call and Alex email</t>
  </si>
  <si>
    <t>Collection(DistributedControlNode.v1_0_0.OpasDCNRoleType)</t>
  </si>
  <si>
    <t>Capability</t>
  </si>
  <si>
    <t xml:space="preserve">   CPUAffinitySupport</t>
  </si>
  <si>
    <t>Indicates the level of CPU NUMA affinity supported (none, soft, hard).  Hard assumes soft is also supported.</t>
  </si>
  <si>
    <t>This property shall indicates the level of CPU NUMA affinity supported (none, soft, hard).  Hard assumes soft is also supported.</t>
  </si>
  <si>
    <t>9/10/24 - Added during System Management Call</t>
  </si>
  <si>
    <t>CPU Numa Affinity is not supported.</t>
  </si>
  <si>
    <t>CPU NUMA Affinity supports up to hard affinity where the affinity conditions are required to be met.  Soft or none are allowed to be requested as well.</t>
  </si>
  <si>
    <t>CPU NUMA Affinity supports up to best effort affinity where the workload will be have NUMA affinity but will still be placed if the conditions are not met.  None is also supported.</t>
  </si>
  <si>
    <t>CPU NUMA Affinity support level.</t>
  </si>
  <si>
    <t>OperatingSystemMetrics.v1_0_0.CPUAffinitySupportType</t>
  </si>
  <si>
    <t>CPUAffinitySupportEnum</t>
  </si>
  <si>
    <t>CPUAffinitySupportType</t>
  </si>
  <si>
    <t>OperatingSystemMetrics</t>
  </si>
  <si>
    <t>DistributedControlNode.v1_0_0.OpasNodeType</t>
  </si>
  <si>
    <t xml:space="preserve">   Level1</t>
  </si>
  <si>
    <t xml:space="preserve">      Key</t>
  </si>
  <si>
    <t>First level of location as a key/value pair where key is a name of the level and value is the level (e.g. plant, rack, etc.).</t>
  </si>
  <si>
    <t>This property indicates the location of the DistributedControlNode using key/value pairs to represent the names for different in a path location (e.g. level1/level2/level3/level4).  The key allows the vendor to assign more specific names for the location levels (values).</t>
  </si>
  <si>
    <t>Name of the level1 location.</t>
  </si>
  <si>
    <t>Value of the level1 location.</t>
  </si>
  <si>
    <t xml:space="preserve">   Level2</t>
  </si>
  <si>
    <t xml:space="preserve">   Level3</t>
  </si>
  <si>
    <t xml:space="preserve">   Level4</t>
  </si>
  <si>
    <t>Name of the level2 location.</t>
  </si>
  <si>
    <t>Value of the level2 location.</t>
  </si>
  <si>
    <t>Name of the level3 location.</t>
  </si>
  <si>
    <t>Value of the level3 location.</t>
  </si>
  <si>
    <t>Name of the level4 location.</t>
  </si>
  <si>
    <t>Value of the level4 location.</t>
  </si>
  <si>
    <t>Level1</t>
  </si>
  <si>
    <t>Level2</t>
  </si>
  <si>
    <t>Level3</t>
  </si>
  <si>
    <t>Level4</t>
  </si>
  <si>
    <t>This property indicates, if true, that this operating environment is representing a virtual or container-based device and not representing the physical device.</t>
  </si>
  <si>
    <t>True</t>
  </si>
  <si>
    <t>10/1/24 - Corrected misspelling
9/6/24 - Added during Orchestration subcommittee call</t>
  </si>
  <si>
    <t>10/1/24 - Added Location per System Management Call</t>
  </si>
  <si>
    <t>Second level of location as a key/value pair where key is a name of the level and value is the level (e.g. plant, rack, etc.).</t>
  </si>
  <si>
    <t>Third level of location as a key/value pair where key is a name of the level and value is the level (e.g. plant, rack, etc.).</t>
  </si>
  <si>
    <t>Fourth level of location as a key/value pair where key is a name of the level and value is the level (e.g. plant, rack,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</si>
</sst>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9"/>
      <color rgb="FF000000"/>
      <name val="Times New Roman"/>
      <family val="1"/>
    </font>
    <font>
      <sz val="9"/>
      <color rgb="FF000000"/>
      <name val="Times New Roman"/>
      <family val="1"/>
    </font>
    <font>
      <sz val="9"/>
      <color rgb="FF222222"/>
      <name val="Times New Roman"/>
      <family val="1"/>
    </font>
    <font>
      <i/>
      <sz val="9"/>
      <color rgb="FF000000"/>
      <name val="Times New Roman"/>
      <family val="1"/>
    </font>
    <font>
      <b/>
      <sz val="9"/>
      <color rgb="FF222222"/>
      <name val="Times New Roman"/>
      <family val="1"/>
    </font>
    <font>
      <sz val="9"/>
      <color theme="1"/>
      <name val="Times New Roman"/>
      <family val="1"/>
    </font>
    <font>
      <sz val="9"/>
      <name val="Times New Roman"/>
      <family val="1"/>
    </font>
    <font>
      <b/>
      <sz val="9"/>
      <color theme="1"/>
      <name val="Times New Roman"/>
      <family val="1"/>
    </font>
    <font>
      <i/>
      <sz val="9"/>
      <color theme="1"/>
      <name val="Times New Roman"/>
      <family val="1"/>
    </font>
    <font>
      <b/>
      <i/>
      <u/>
      <sz val="9"/>
      <color theme="1"/>
      <name val="Times New Roman"/>
      <family val="1"/>
    </font>
    <font>
      <b/>
      <u/>
      <sz val="9"/>
      <color rgb="FF000000"/>
      <name val="Times New Roman"/>
      <family val="1"/>
    </font>
    <font>
      <b/>
      <u/>
      <sz val="9"/>
      <color theme="1"/>
      <name val="Times New Roman"/>
      <family val="1"/>
    </font>
    <font>
      <b/>
      <i/>
      <sz val="9"/>
      <color theme="1"/>
      <name val="Times New Roman"/>
      <family val="1"/>
    </font>
    <font>
      <b/>
      <sz val="8"/>
      <color rgb="FF000000"/>
      <name val="Arial"/>
      <family val="2"/>
    </font>
    <font>
      <sz val="8"/>
      <color rgb="FF000000"/>
      <name val="Arial"/>
      <family val="2"/>
    </font>
    <font>
      <b/>
      <sz val="8.5"/>
      <color rgb="FF222222"/>
      <name val="Arial"/>
      <family val="2"/>
    </font>
    <font>
      <sz val="8.5"/>
      <color rgb="FF222222"/>
      <name val="Arial"/>
      <family val="2"/>
    </font>
    <font>
      <sz val="10"/>
      <color rgb="FF000000"/>
      <name val="Tahoma"/>
      <family val="2"/>
    </font>
    <font>
      <b/>
      <sz val="10"/>
      <color rgb="FF000000"/>
      <name val="Tahoma"/>
      <family val="2"/>
    </font>
    <font>
      <b/>
      <sz val="8"/>
      <color rgb="FF000000"/>
      <name val="Times New Roman"/>
      <family val="1"/>
    </font>
    <font>
      <sz val="8"/>
      <color rgb="FF000000"/>
      <name val="Times New Roman"/>
      <family val="1"/>
    </font>
    <font>
      <sz val="11"/>
      <color theme="1"/>
      <name val="Times New Roman"/>
      <family val="1"/>
    </font>
  </fonts>
  <fills count="21">
    <fill>
      <patternFill patternType="none"/>
    </fill>
    <fill>
      <patternFill patternType="gray125"/>
    </fill>
    <fill>
      <patternFill patternType="gray125">
        <bgColor rgb="FFE5E5E5"/>
      </patternFill>
    </fill>
    <fill>
      <patternFill patternType="solid">
        <fgColor rgb="FFFFFFFF"/>
        <bgColor indexed="64"/>
      </patternFill>
    </fill>
    <fill>
      <patternFill patternType="solid">
        <fgColor rgb="FFFF99FF"/>
        <bgColor indexed="64"/>
      </patternFill>
    </fill>
    <fill>
      <patternFill patternType="solid">
        <fgColor rgb="FFFFFF00"/>
        <bgColor indexed="64"/>
      </patternFill>
    </fill>
    <fill>
      <patternFill patternType="gray125">
        <bgColor rgb="FF92D050"/>
      </patternFill>
    </fill>
    <fill>
      <patternFill patternType="gray125">
        <bgColor rgb="FF99FF99"/>
      </patternFill>
    </fill>
    <fill>
      <patternFill patternType="solid">
        <fgColor theme="1"/>
        <bgColor indexed="64"/>
      </patternFill>
    </fill>
    <fill>
      <patternFill patternType="solid">
        <fgColor theme="0" tint="-0.249977111117893"/>
        <bgColor indexed="64"/>
      </patternFill>
    </fill>
    <fill>
      <patternFill patternType="solid">
        <fgColor rgb="FFFFC000"/>
        <bgColor indexed="64"/>
      </patternFill>
    </fill>
    <fill>
      <patternFill patternType="solid">
        <fgColor rgb="FFCC6600"/>
        <bgColor indexed="64"/>
      </patternFill>
    </fill>
    <fill>
      <patternFill patternType="solid">
        <fgColor theme="0" tint="-0.34998626667073579"/>
        <bgColor indexed="64"/>
      </patternFill>
    </fill>
    <fill>
      <patternFill patternType="gray125">
        <bgColor theme="0" tint="-0.249977111117893"/>
      </patternFill>
    </fill>
    <fill>
      <patternFill patternType="solid">
        <fgColor theme="9" tint="0.39997558519241921"/>
        <bgColor indexed="64"/>
      </patternFill>
    </fill>
    <fill>
      <patternFill patternType="gray125">
        <bgColor theme="0" tint="-0.14999847407452621"/>
      </patternFill>
    </fill>
    <fill>
      <patternFill patternType="solid">
        <fgColor rgb="FF99FF99"/>
        <bgColor indexed="64"/>
      </patternFill>
    </fill>
    <fill>
      <patternFill patternType="solid">
        <fgColor rgb="FF92D050"/>
        <bgColor indexed="64"/>
      </patternFill>
    </fill>
    <fill>
      <patternFill patternType="solid">
        <fgColor rgb="FF00FDFF"/>
        <bgColor indexed="64"/>
      </patternFill>
    </fill>
    <fill>
      <patternFill patternType="solid">
        <fgColor rgb="FF99FF99"/>
        <bgColor rgb="FF000000"/>
      </patternFill>
    </fill>
    <fill>
      <patternFill patternType="gray125">
        <bgColor rgb="FFFFFF00"/>
      </patternFill>
    </fill>
  </fills>
  <borders count="5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thick">
        <color rgb="FFFF0000"/>
      </left>
      <right/>
      <top style="thick">
        <color rgb="FFFF0000"/>
      </top>
      <bottom/>
      <diagonal/>
    </border>
    <border>
      <left/>
      <right/>
      <top style="thick">
        <color rgb="FFFF0000"/>
      </top>
      <bottom/>
      <diagonal/>
    </border>
    <border>
      <left style="medium">
        <color indexed="64"/>
      </left>
      <right/>
      <top style="thick">
        <color rgb="FFFF0000"/>
      </top>
      <bottom style="medium">
        <color indexed="64"/>
      </bottom>
      <diagonal/>
    </border>
    <border>
      <left/>
      <right style="medium">
        <color indexed="64"/>
      </right>
      <top style="thick">
        <color rgb="FFFF0000"/>
      </top>
      <bottom style="medium">
        <color indexed="64"/>
      </bottom>
      <diagonal/>
    </border>
    <border>
      <left style="thick">
        <color rgb="FFFF0000"/>
      </left>
      <right/>
      <top/>
      <bottom/>
      <diagonal/>
    </border>
    <border>
      <left/>
      <right style="thick">
        <color rgb="FFFF0000"/>
      </right>
      <top/>
      <bottom/>
      <diagonal/>
    </border>
    <border>
      <left style="thick">
        <color rgb="FFFF0000"/>
      </left>
      <right/>
      <top style="medium">
        <color indexed="64"/>
      </top>
      <bottom/>
      <diagonal/>
    </border>
    <border>
      <left style="thick">
        <color rgb="FFFF0000"/>
      </left>
      <right/>
      <top/>
      <bottom style="medium">
        <color indexed="64"/>
      </bottom>
      <diagonal/>
    </border>
    <border>
      <left style="thick">
        <color rgb="FFFF0000"/>
      </left>
      <right style="medium">
        <color indexed="64"/>
      </right>
      <top/>
      <bottom style="medium">
        <color indexed="64"/>
      </bottom>
      <diagonal/>
    </border>
    <border>
      <left style="thick">
        <color rgb="FFFF0000"/>
      </left>
      <right style="medium">
        <color indexed="64"/>
      </right>
      <top style="medium">
        <color indexed="64"/>
      </top>
      <bottom style="medium">
        <color indexed="64"/>
      </bottom>
      <diagonal/>
    </border>
    <border>
      <left style="thick">
        <color rgb="FFFF0000"/>
      </left>
      <right/>
      <top/>
      <bottom style="thick">
        <color rgb="FFFF0000"/>
      </bottom>
      <diagonal/>
    </border>
    <border>
      <left/>
      <right/>
      <top/>
      <bottom style="thick">
        <color rgb="FFFF0000"/>
      </bottom>
      <diagonal/>
    </border>
    <border>
      <left/>
      <right/>
      <top style="medium">
        <color indexed="64"/>
      </top>
      <bottom/>
      <diagonal/>
    </border>
    <border>
      <left/>
      <right/>
      <top/>
      <bottom style="medium">
        <color indexed="64"/>
      </bottom>
      <diagonal/>
    </border>
    <border>
      <left style="thick">
        <color auto="1"/>
      </left>
      <right style="thick">
        <color auto="1"/>
      </right>
      <top style="thick">
        <color auto="1"/>
      </top>
      <bottom style="thick">
        <color auto="1"/>
      </bottom>
      <diagonal/>
    </border>
    <border>
      <left style="thick">
        <color rgb="FFFF0000"/>
      </left>
      <right style="medium">
        <color indexed="64"/>
      </right>
      <top/>
      <bottom/>
      <diagonal/>
    </border>
    <border>
      <left/>
      <right style="medium">
        <color indexed="64"/>
      </right>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rgb="FFFF0000"/>
      </left>
      <right style="thick">
        <color auto="1"/>
      </right>
      <top style="thick">
        <color auto="1"/>
      </top>
      <bottom style="thick">
        <color auto="1"/>
      </bottom>
      <diagonal/>
    </border>
    <border>
      <left style="thick">
        <color rgb="FFFF0000"/>
      </left>
      <right style="thin">
        <color auto="1"/>
      </right>
      <top style="medium">
        <color auto="1"/>
      </top>
      <bottom style="thin">
        <color auto="1"/>
      </bottom>
      <diagonal/>
    </border>
    <border>
      <left style="thick">
        <color rgb="FFFF0000"/>
      </left>
      <right style="thin">
        <color auto="1"/>
      </right>
      <top style="thin">
        <color auto="1"/>
      </top>
      <bottom style="thin">
        <color auto="1"/>
      </bottom>
      <diagonal/>
    </border>
    <border>
      <left style="thick">
        <color rgb="FFFF0000"/>
      </left>
      <right style="thin">
        <color auto="1"/>
      </right>
      <top style="thin">
        <color auto="1"/>
      </top>
      <bottom style="medium">
        <color auto="1"/>
      </bottom>
      <diagonal/>
    </border>
    <border>
      <left style="medium">
        <color indexed="64"/>
      </left>
      <right/>
      <top/>
      <bottom/>
      <diagonal/>
    </border>
    <border>
      <left/>
      <right style="thick">
        <color rgb="FFFF0000"/>
      </right>
      <top style="thick">
        <color rgb="FFFF0000"/>
      </top>
      <bottom/>
      <diagonal/>
    </border>
    <border>
      <left style="medium">
        <color indexed="64"/>
      </left>
      <right style="medium">
        <color indexed="64"/>
      </right>
      <top/>
      <bottom style="medium">
        <color indexed="64"/>
      </bottom>
      <diagonal/>
    </border>
    <border>
      <left/>
      <right style="thick">
        <color rgb="FFFF0000"/>
      </right>
      <top style="medium">
        <color indexed="64"/>
      </top>
      <bottom style="medium">
        <color indexed="64"/>
      </bottom>
      <diagonal/>
    </border>
    <border>
      <left style="medium">
        <color indexed="64"/>
      </left>
      <right style="thick">
        <color rgb="FFFF0000"/>
      </right>
      <top style="medium">
        <color indexed="64"/>
      </top>
      <bottom/>
      <diagonal/>
    </border>
    <border>
      <left style="medium">
        <color indexed="64"/>
      </left>
      <right style="thick">
        <color rgb="FFFF0000"/>
      </right>
      <top/>
      <bottom style="medium">
        <color indexed="64"/>
      </bottom>
      <diagonal/>
    </border>
    <border>
      <left/>
      <right style="thick">
        <color rgb="FFFF0000"/>
      </right>
      <top style="medium">
        <color indexed="64"/>
      </top>
      <bottom/>
      <diagonal/>
    </border>
    <border>
      <left style="medium">
        <color indexed="64"/>
      </left>
      <right style="thick">
        <color rgb="FFFF0000"/>
      </right>
      <top style="medium">
        <color indexed="64"/>
      </top>
      <bottom style="medium">
        <color indexed="64"/>
      </bottom>
      <diagonal/>
    </border>
    <border>
      <left/>
      <right style="thin">
        <color auto="1"/>
      </right>
      <top style="thin">
        <color auto="1"/>
      </top>
      <bottom style="thin">
        <color auto="1"/>
      </bottom>
      <diagonal/>
    </border>
    <border>
      <left style="medium">
        <color indexed="64"/>
      </left>
      <right style="thick">
        <color indexed="64"/>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style="medium">
        <color indexed="64"/>
      </right>
      <top style="medium">
        <color indexed="64"/>
      </top>
      <bottom style="medium">
        <color indexed="64"/>
      </bottom>
      <diagonal/>
    </border>
    <border>
      <left style="thick">
        <color indexed="64"/>
      </left>
      <right style="medium">
        <color indexed="64"/>
      </right>
      <top/>
      <bottom style="medium">
        <color indexed="64"/>
      </bottom>
      <diagonal/>
    </border>
    <border>
      <left/>
      <right style="thick">
        <color indexed="64"/>
      </right>
      <top style="medium">
        <color indexed="64"/>
      </top>
      <bottom/>
      <diagonal/>
    </border>
    <border>
      <left/>
      <right style="thick">
        <color indexed="64"/>
      </right>
      <top/>
      <bottom style="medium">
        <color indexed="64"/>
      </bottom>
      <diagonal/>
    </border>
  </borders>
  <cellStyleXfs count="1">
    <xf numFmtId="0" fontId="0" fillId="0" borderId="0"/>
  </cellStyleXfs>
  <cellXfs count="369">
    <xf numFmtId="0" fontId="0" fillId="0" borderId="0" xfId="0"/>
    <xf numFmtId="0" fontId="2" fillId="3" borderId="3" xfId="0" applyFont="1" applyFill="1" applyBorder="1" applyAlignment="1">
      <alignment vertical="center" wrapText="1"/>
    </xf>
    <xf numFmtId="0" fontId="2" fillId="3" borderId="3" xfId="0" applyFont="1" applyFill="1" applyBorder="1" applyAlignment="1">
      <alignment horizontal="center" vertical="center" wrapText="1"/>
    </xf>
    <xf numFmtId="0" fontId="2" fillId="0" borderId="3" xfId="0" applyFont="1" applyBorder="1" applyAlignment="1">
      <alignment vertical="center" wrapText="1"/>
    </xf>
    <xf numFmtId="0" fontId="2" fillId="0" borderId="3" xfId="0" applyFont="1" applyBorder="1" applyAlignment="1">
      <alignment horizontal="center" vertical="center" wrapText="1"/>
    </xf>
    <xf numFmtId="0" fontId="3" fillId="0" borderId="3" xfId="0" applyFont="1" applyBorder="1" applyAlignment="1">
      <alignment vertical="center" wrapText="1"/>
    </xf>
    <xf numFmtId="0" fontId="2" fillId="0" borderId="0" xfId="0" applyFont="1" applyAlignment="1">
      <alignment horizontal="center" vertical="center" wrapText="1"/>
    </xf>
    <xf numFmtId="0" fontId="1" fillId="2" borderId="3" xfId="0" applyFont="1" applyFill="1" applyBorder="1" applyAlignment="1">
      <alignment horizontal="center" vertical="center" wrapText="1"/>
    </xf>
    <xf numFmtId="0" fontId="6" fillId="0" borderId="0" xfId="0" applyFont="1" applyAlignment="1">
      <alignment horizontal="center" wrapText="1"/>
    </xf>
    <xf numFmtId="0" fontId="1" fillId="6" borderId="3" xfId="0" applyFont="1" applyFill="1" applyBorder="1" applyAlignment="1">
      <alignment vertical="center" wrapText="1"/>
    </xf>
    <xf numFmtId="0" fontId="8" fillId="0" borderId="0" xfId="0" applyFont="1" applyAlignment="1">
      <alignment horizontal="left" vertical="center"/>
    </xf>
    <xf numFmtId="0" fontId="1" fillId="2" borderId="4" xfId="0" applyFont="1" applyFill="1" applyBorder="1" applyAlignment="1">
      <alignment vertical="center" wrapText="1"/>
    </xf>
    <xf numFmtId="0" fontId="6" fillId="0" borderId="1" xfId="0" applyFont="1" applyBorder="1" applyAlignment="1">
      <alignment horizontal="center" vertical="center" wrapText="1"/>
    </xf>
    <xf numFmtId="0" fontId="6" fillId="0" borderId="3" xfId="0" applyFont="1" applyBorder="1" applyAlignment="1">
      <alignment vertical="center" wrapText="1"/>
    </xf>
    <xf numFmtId="0" fontId="6" fillId="0" borderId="3" xfId="0" applyFont="1" applyBorder="1" applyAlignment="1">
      <alignment horizontal="center" vertical="center" wrapText="1"/>
    </xf>
    <xf numFmtId="0" fontId="6" fillId="0" borderId="7" xfId="0" applyFont="1" applyBorder="1" applyAlignment="1">
      <alignment vertical="center" wrapText="1"/>
    </xf>
    <xf numFmtId="0" fontId="9" fillId="0" borderId="0" xfId="0" applyFont="1" applyAlignment="1">
      <alignment horizontal="left" vertical="center"/>
    </xf>
    <xf numFmtId="0" fontId="6" fillId="0" borderId="0" xfId="0" applyFont="1"/>
    <xf numFmtId="0" fontId="6" fillId="0" borderId="0" xfId="0" applyFont="1" applyAlignment="1">
      <alignment horizontal="center"/>
    </xf>
    <xf numFmtId="0" fontId="6" fillId="0" borderId="0" xfId="0" applyFont="1" applyAlignment="1">
      <alignment wrapText="1"/>
    </xf>
    <xf numFmtId="0" fontId="6" fillId="0" borderId="1" xfId="0" applyFont="1" applyBorder="1" applyAlignment="1">
      <alignment horizontal="center"/>
    </xf>
    <xf numFmtId="0" fontId="6" fillId="0" borderId="1" xfId="0" applyFont="1" applyBorder="1"/>
    <xf numFmtId="0" fontId="6" fillId="0" borderId="1" xfId="0" applyFont="1" applyBorder="1" applyAlignment="1">
      <alignment horizontal="left" vertical="center" wrapText="1" readingOrder="1"/>
    </xf>
    <xf numFmtId="0" fontId="8" fillId="0" borderId="8" xfId="0" applyFont="1" applyBorder="1" applyAlignment="1">
      <alignment horizontal="left" vertical="center"/>
    </xf>
    <xf numFmtId="0" fontId="6" fillId="0" borderId="9" xfId="0" applyFont="1" applyBorder="1"/>
    <xf numFmtId="0" fontId="6" fillId="0" borderId="9" xfId="0" applyFont="1" applyBorder="1" applyAlignment="1">
      <alignment horizontal="center"/>
    </xf>
    <xf numFmtId="0" fontId="8" fillId="0" borderId="12" xfId="0" applyFont="1" applyBorder="1" applyAlignment="1">
      <alignment horizontal="left" vertical="center"/>
    </xf>
    <xf numFmtId="0" fontId="9" fillId="0" borderId="12" xfId="0" applyFont="1" applyBorder="1" applyAlignment="1">
      <alignment horizontal="left" vertical="center" indent="7"/>
    </xf>
    <xf numFmtId="0" fontId="8" fillId="0" borderId="12" xfId="0" applyFont="1" applyBorder="1" applyAlignment="1">
      <alignment horizontal="left" vertical="center" indent="7"/>
    </xf>
    <xf numFmtId="0" fontId="1" fillId="6" borderId="15" xfId="0" applyFont="1" applyFill="1" applyBorder="1" applyAlignment="1">
      <alignment vertical="center" wrapText="1"/>
    </xf>
    <xf numFmtId="0" fontId="1" fillId="2" borderId="16" xfId="0" applyFont="1" applyFill="1" applyBorder="1" applyAlignment="1">
      <alignment vertical="center" wrapText="1"/>
    </xf>
    <xf numFmtId="0" fontId="1" fillId="3" borderId="16" xfId="0" applyFont="1" applyFill="1" applyBorder="1" applyAlignment="1">
      <alignment vertical="center" wrapText="1"/>
    </xf>
    <xf numFmtId="0" fontId="2" fillId="3" borderId="16" xfId="0" applyFont="1" applyFill="1" applyBorder="1" applyAlignment="1">
      <alignment vertical="center" wrapText="1"/>
    </xf>
    <xf numFmtId="0" fontId="1" fillId="0" borderId="12" xfId="0" applyFont="1" applyBorder="1" applyAlignment="1">
      <alignment horizontal="left" vertical="center" indent="7"/>
    </xf>
    <xf numFmtId="0" fontId="6" fillId="0" borderId="12" xfId="0" applyFont="1" applyBorder="1" applyAlignment="1">
      <alignment horizontal="left" vertical="center" indent="7"/>
    </xf>
    <xf numFmtId="0" fontId="2" fillId="0" borderId="16" xfId="0" applyFont="1" applyBorder="1" applyAlignment="1">
      <alignment vertical="center" wrapText="1"/>
    </xf>
    <xf numFmtId="0" fontId="1" fillId="0" borderId="16" xfId="0" applyFont="1" applyBorder="1" applyAlignment="1">
      <alignment vertical="center" wrapText="1"/>
    </xf>
    <xf numFmtId="0" fontId="3" fillId="0" borderId="16" xfId="0" applyFont="1" applyBorder="1" applyAlignment="1">
      <alignment vertical="center" wrapText="1"/>
    </xf>
    <xf numFmtId="0" fontId="5" fillId="0" borderId="16" xfId="0" applyFont="1" applyBorder="1" applyAlignment="1">
      <alignment vertical="center" wrapText="1"/>
    </xf>
    <xf numFmtId="0" fontId="10" fillId="0" borderId="12" xfId="0" applyFont="1" applyBorder="1" applyAlignment="1">
      <alignment vertical="center"/>
    </xf>
    <xf numFmtId="0" fontId="6" fillId="0" borderId="12" xfId="0" applyFont="1" applyBorder="1" applyAlignment="1">
      <alignment vertical="center"/>
    </xf>
    <xf numFmtId="0" fontId="6" fillId="0" borderId="17" xfId="0" applyFont="1" applyBorder="1" applyAlignment="1">
      <alignment vertical="center" wrapText="1"/>
    </xf>
    <xf numFmtId="0" fontId="6" fillId="0" borderId="16" xfId="0" applyFont="1" applyBorder="1" applyAlignment="1">
      <alignment vertical="center" wrapText="1"/>
    </xf>
    <xf numFmtId="0" fontId="8" fillId="0" borderId="17" xfId="0" applyFont="1" applyBorder="1" applyAlignment="1">
      <alignment horizontal="left" vertical="center" wrapText="1" readingOrder="1"/>
    </xf>
    <xf numFmtId="0" fontId="8" fillId="0" borderId="17" xfId="0" applyFont="1" applyBorder="1" applyAlignment="1">
      <alignment vertical="center" wrapText="1"/>
    </xf>
    <xf numFmtId="0" fontId="6" fillId="0" borderId="19" xfId="0" applyFont="1" applyBorder="1" applyAlignment="1">
      <alignment horizontal="center"/>
    </xf>
    <xf numFmtId="0" fontId="1" fillId="7" borderId="15" xfId="0" applyFont="1" applyFill="1" applyBorder="1" applyAlignment="1">
      <alignment vertical="center" wrapText="1"/>
    </xf>
    <xf numFmtId="0" fontId="1" fillId="7" borderId="3" xfId="0" applyFont="1" applyFill="1" applyBorder="1" applyAlignment="1">
      <alignment vertical="center" wrapText="1"/>
    </xf>
    <xf numFmtId="0" fontId="11" fillId="7" borderId="15" xfId="0" applyFont="1" applyFill="1" applyBorder="1" applyAlignment="1">
      <alignment vertical="center" wrapText="1"/>
    </xf>
    <xf numFmtId="0" fontId="11" fillId="7" borderId="3" xfId="0" applyFont="1" applyFill="1" applyBorder="1" applyAlignment="1">
      <alignment vertical="center" wrapText="1"/>
    </xf>
    <xf numFmtId="0" fontId="6" fillId="0" borderId="1" xfId="0" applyFont="1" applyBorder="1" applyAlignment="1">
      <alignment vertical="center" wrapText="1"/>
    </xf>
    <xf numFmtId="0" fontId="1" fillId="0" borderId="3" xfId="0" applyFont="1" applyBorder="1" applyAlignment="1">
      <alignment horizontal="center" vertical="center" wrapText="1"/>
    </xf>
    <xf numFmtId="0" fontId="1" fillId="2" borderId="23" xfId="0" applyFont="1" applyFill="1" applyBorder="1" applyAlignment="1">
      <alignment vertical="center" wrapText="1"/>
    </xf>
    <xf numFmtId="0" fontId="1" fillId="2" borderId="24" xfId="0" applyFont="1" applyFill="1" applyBorder="1" applyAlignment="1">
      <alignment vertical="center" wrapText="1"/>
    </xf>
    <xf numFmtId="0" fontId="1" fillId="2" borderId="24" xfId="0" applyFont="1" applyFill="1" applyBorder="1" applyAlignment="1">
      <alignment horizontal="center" vertical="center" wrapText="1"/>
    </xf>
    <xf numFmtId="0" fontId="1" fillId="0" borderId="22" xfId="0" applyFont="1" applyBorder="1" applyAlignment="1">
      <alignment horizontal="center" vertical="center" wrapText="1"/>
    </xf>
    <xf numFmtId="0" fontId="6" fillId="0" borderId="22" xfId="0" applyFont="1" applyBorder="1" applyAlignment="1">
      <alignment vertical="center" wrapText="1"/>
    </xf>
    <xf numFmtId="0" fontId="6" fillId="0" borderId="22" xfId="0" applyFont="1" applyBorder="1" applyAlignment="1">
      <alignment horizontal="center" vertical="center" wrapText="1"/>
    </xf>
    <xf numFmtId="0" fontId="6" fillId="0" borderId="22" xfId="0" applyFont="1" applyBorder="1" applyAlignment="1">
      <alignment horizontal="center"/>
    </xf>
    <xf numFmtId="0" fontId="1" fillId="2" borderId="3" xfId="0" applyFont="1" applyFill="1" applyBorder="1" applyAlignment="1">
      <alignment vertical="center" wrapText="1"/>
    </xf>
    <xf numFmtId="0" fontId="1" fillId="2" borderId="17" xfId="0" applyFont="1" applyFill="1" applyBorder="1" applyAlignment="1">
      <alignment vertical="center" wrapText="1"/>
    </xf>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6" fillId="0" borderId="25" xfId="0" applyFont="1" applyBorder="1"/>
    <xf numFmtId="0" fontId="6" fillId="0" borderId="25" xfId="0" applyFont="1" applyBorder="1" applyAlignment="1">
      <alignment horizontal="center"/>
    </xf>
    <xf numFmtId="0" fontId="6" fillId="0" borderId="26" xfId="0" applyFont="1" applyBorder="1" applyAlignment="1">
      <alignment horizontal="center"/>
    </xf>
    <xf numFmtId="0" fontId="6" fillId="0" borderId="27" xfId="0" applyFont="1" applyBorder="1"/>
    <xf numFmtId="0" fontId="6" fillId="0" borderId="27" xfId="0" applyFont="1" applyBorder="1" applyAlignment="1">
      <alignment horizontal="center"/>
    </xf>
    <xf numFmtId="0" fontId="6" fillId="0" borderId="28" xfId="0" applyFont="1" applyBorder="1" applyAlignment="1">
      <alignment horizontal="center"/>
    </xf>
    <xf numFmtId="0" fontId="6" fillId="0" borderId="29" xfId="0" applyFont="1" applyBorder="1"/>
    <xf numFmtId="0" fontId="6" fillId="0" borderId="29" xfId="0" applyFont="1" applyBorder="1" applyAlignment="1">
      <alignment horizontal="center"/>
    </xf>
    <xf numFmtId="0" fontId="6" fillId="0" borderId="30" xfId="0" applyFont="1" applyBorder="1" applyAlignment="1">
      <alignment horizontal="center"/>
    </xf>
    <xf numFmtId="0" fontId="6" fillId="0" borderId="1" xfId="0" applyFont="1" applyBorder="1" applyAlignment="1">
      <alignment wrapText="1"/>
    </xf>
    <xf numFmtId="0" fontId="2" fillId="0" borderId="0" xfId="0" applyFont="1" applyAlignment="1">
      <alignment vertical="center" wrapText="1"/>
    </xf>
    <xf numFmtId="0" fontId="2" fillId="0" borderId="12" xfId="0" applyFont="1" applyBorder="1" applyAlignment="1">
      <alignment horizontal="left" vertical="center" indent="7"/>
    </xf>
    <xf numFmtId="0" fontId="6" fillId="8" borderId="12" xfId="0" applyFont="1" applyFill="1" applyBorder="1" applyAlignment="1">
      <alignment horizontal="left" vertical="center" indent="7"/>
    </xf>
    <xf numFmtId="0" fontId="6" fillId="8" borderId="0" xfId="0" applyFont="1" applyFill="1"/>
    <xf numFmtId="0" fontId="6" fillId="8" borderId="0" xfId="0" applyFont="1" applyFill="1" applyAlignment="1">
      <alignment horizontal="center"/>
    </xf>
    <xf numFmtId="0" fontId="6" fillId="8" borderId="0" xfId="0" applyFont="1" applyFill="1" applyAlignment="1">
      <alignment horizontal="center" wrapText="1"/>
    </xf>
    <xf numFmtId="0" fontId="0" fillId="8" borderId="0" xfId="0" applyFill="1"/>
    <xf numFmtId="0" fontId="1" fillId="0" borderId="31" xfId="0" applyFont="1" applyBorder="1" applyAlignment="1">
      <alignment vertical="center" wrapText="1"/>
    </xf>
    <xf numFmtId="0" fontId="8" fillId="0" borderId="31" xfId="0" applyFont="1" applyBorder="1" applyAlignment="1">
      <alignment vertical="center" wrapText="1"/>
    </xf>
    <xf numFmtId="0" fontId="8" fillId="0" borderId="32" xfId="0" applyFont="1" applyBorder="1"/>
    <xf numFmtId="0" fontId="8" fillId="0" borderId="33" xfId="0" applyFont="1" applyBorder="1"/>
    <xf numFmtId="0" fontId="6" fillId="0" borderId="33" xfId="0" applyFont="1" applyBorder="1"/>
    <xf numFmtId="0" fontId="8" fillId="0" borderId="34" xfId="0" applyFont="1" applyBorder="1"/>
    <xf numFmtId="0" fontId="12" fillId="0" borderId="12" xfId="0" applyFont="1" applyBorder="1" applyAlignment="1">
      <alignment horizontal="left" indent="5"/>
    </xf>
    <xf numFmtId="0" fontId="6" fillId="0" borderId="12" xfId="0" applyFont="1" applyBorder="1" applyAlignment="1">
      <alignment horizontal="left" indent="5"/>
    </xf>
    <xf numFmtId="0" fontId="6" fillId="0" borderId="17" xfId="0" applyFont="1" applyBorder="1"/>
    <xf numFmtId="0" fontId="13" fillId="0" borderId="12" xfId="0" applyFont="1" applyBorder="1" applyAlignment="1">
      <alignment horizontal="left" indent="6"/>
    </xf>
    <xf numFmtId="0" fontId="6" fillId="0" borderId="12" xfId="0" applyFont="1" applyBorder="1" applyAlignment="1">
      <alignment horizontal="left" indent="6"/>
    </xf>
    <xf numFmtId="0" fontId="6" fillId="0" borderId="17" xfId="0" applyFont="1" applyBorder="1" applyAlignment="1">
      <alignment wrapText="1"/>
    </xf>
    <xf numFmtId="0" fontId="13" fillId="0" borderId="12" xfId="0" applyFont="1" applyBorder="1" applyAlignment="1">
      <alignment horizontal="left" indent="7"/>
    </xf>
    <xf numFmtId="0" fontId="6" fillId="0" borderId="17" xfId="0" applyFont="1" applyBorder="1" applyAlignment="1">
      <alignment horizontal="left" vertical="center" wrapText="1" readingOrder="1"/>
    </xf>
    <xf numFmtId="0" fontId="6" fillId="0" borderId="0" xfId="0" applyFont="1" applyAlignment="1">
      <alignment horizontal="center" vertical="center"/>
    </xf>
    <xf numFmtId="0" fontId="8" fillId="0" borderId="17" xfId="0" applyFont="1" applyBorder="1" applyAlignment="1">
      <alignment wrapText="1"/>
    </xf>
    <xf numFmtId="0" fontId="6" fillId="0" borderId="0" xfId="0" applyFont="1" applyAlignment="1">
      <alignment horizontal="center" vertical="center" wrapText="1"/>
    </xf>
    <xf numFmtId="0" fontId="6" fillId="0" borderId="0" xfId="0" applyFont="1" applyAlignment="1">
      <alignment horizontal="left"/>
    </xf>
    <xf numFmtId="0" fontId="6" fillId="0" borderId="35" xfId="0" applyFont="1" applyBorder="1" applyAlignment="1">
      <alignment horizontal="center"/>
    </xf>
    <xf numFmtId="0" fontId="6" fillId="0" borderId="12" xfId="0" applyFont="1" applyBorder="1" applyAlignment="1">
      <alignment horizontal="left" indent="7"/>
    </xf>
    <xf numFmtId="0" fontId="0" fillId="9" borderId="0" xfId="0" applyFill="1"/>
    <xf numFmtId="0" fontId="2" fillId="0" borderId="0" xfId="0" applyFont="1" applyAlignment="1">
      <alignment horizontal="justify" vertical="center"/>
    </xf>
    <xf numFmtId="0" fontId="1" fillId="2" borderId="0" xfId="0" applyFont="1" applyFill="1" applyAlignment="1">
      <alignment horizontal="center" vertical="center" wrapText="1"/>
    </xf>
    <xf numFmtId="0" fontId="6" fillId="0" borderId="0" xfId="0" applyFont="1" applyAlignment="1">
      <alignment vertical="center" wrapText="1"/>
    </xf>
    <xf numFmtId="0" fontId="6" fillId="0" borderId="1" xfId="0" applyFont="1" applyBorder="1" applyAlignment="1">
      <alignment horizontal="center" vertical="center"/>
    </xf>
    <xf numFmtId="0" fontId="0" fillId="0" borderId="0" xfId="0" applyAlignment="1">
      <alignment vertical="center"/>
    </xf>
    <xf numFmtId="0" fontId="0" fillId="0" borderId="0" xfId="0" applyAlignment="1">
      <alignment horizontal="left"/>
    </xf>
    <xf numFmtId="0" fontId="2" fillId="0" borderId="3" xfId="0" applyFont="1" applyBorder="1" applyAlignment="1">
      <alignment horizontal="left" vertical="center" wrapText="1"/>
    </xf>
    <xf numFmtId="0" fontId="6" fillId="9" borderId="0" xfId="0" applyFont="1" applyFill="1" applyAlignment="1">
      <alignment horizontal="center" wrapText="1"/>
    </xf>
    <xf numFmtId="0" fontId="0" fillId="0" borderId="0" xfId="0" applyAlignment="1">
      <alignment wrapText="1"/>
    </xf>
    <xf numFmtId="0" fontId="6" fillId="0" borderId="12" xfId="0" applyFont="1" applyBorder="1" applyAlignment="1">
      <alignment vertical="center" wrapText="1"/>
    </xf>
    <xf numFmtId="0" fontId="14" fillId="0" borderId="1" xfId="0" applyFont="1" applyBorder="1" applyAlignment="1">
      <alignment horizontal="justify" vertical="center" wrapText="1"/>
    </xf>
    <xf numFmtId="0" fontId="15" fillId="0" borderId="37" xfId="0" applyFont="1" applyBorder="1" applyAlignment="1">
      <alignment horizontal="justify" vertical="center" wrapText="1"/>
    </xf>
    <xf numFmtId="0" fontId="15" fillId="0" borderId="3" xfId="0" applyFont="1" applyBorder="1" applyAlignment="1">
      <alignment horizontal="justify" vertical="center" wrapText="1"/>
    </xf>
    <xf numFmtId="0" fontId="15" fillId="0" borderId="4" xfId="0" applyFont="1" applyBorder="1" applyAlignment="1">
      <alignment horizontal="justify" vertical="center" wrapText="1"/>
    </xf>
    <xf numFmtId="0" fontId="15" fillId="0" borderId="20" xfId="0" applyFont="1" applyBorder="1" applyAlignment="1">
      <alignment horizontal="justify" vertical="center" wrapText="1"/>
    </xf>
    <xf numFmtId="0" fontId="15" fillId="0" borderId="41" xfId="0" applyFont="1" applyBorder="1" applyAlignment="1">
      <alignment horizontal="justify" vertical="center" wrapText="1"/>
    </xf>
    <xf numFmtId="0" fontId="14" fillId="0" borderId="0" xfId="0" applyFont="1" applyAlignment="1">
      <alignment horizontal="justify" vertical="center" wrapText="1"/>
    </xf>
    <xf numFmtId="0" fontId="14" fillId="0" borderId="13" xfId="0" applyFont="1" applyBorder="1" applyAlignment="1">
      <alignment horizontal="justify" vertical="center" wrapText="1"/>
    </xf>
    <xf numFmtId="0" fontId="14" fillId="0" borderId="42" xfId="0" applyFont="1" applyBorder="1" applyAlignment="1">
      <alignment horizontal="justify" vertical="center" wrapText="1"/>
    </xf>
    <xf numFmtId="0" fontId="15" fillId="9" borderId="4" xfId="0" applyFont="1" applyFill="1" applyBorder="1" applyAlignment="1">
      <alignment horizontal="justify" vertical="center" wrapText="1"/>
    </xf>
    <xf numFmtId="0" fontId="6" fillId="0" borderId="27" xfId="0" applyFont="1" applyBorder="1" applyAlignment="1">
      <alignment horizontal="center" wrapText="1"/>
    </xf>
    <xf numFmtId="0" fontId="15" fillId="0" borderId="1" xfId="0" applyFont="1" applyBorder="1" applyAlignment="1">
      <alignment horizontal="justify" vertical="center" wrapText="1"/>
    </xf>
    <xf numFmtId="0" fontId="14" fillId="0" borderId="6" xfId="0" applyFont="1" applyBorder="1" applyAlignment="1">
      <alignment horizontal="justify" vertical="center" wrapText="1"/>
    </xf>
    <xf numFmtId="0" fontId="14" fillId="0" borderId="5" xfId="0" applyFont="1" applyBorder="1" applyAlignment="1">
      <alignment horizontal="justify" vertical="center" wrapText="1"/>
    </xf>
    <xf numFmtId="0" fontId="15" fillId="0" borderId="5" xfId="0" applyFont="1" applyBorder="1" applyAlignment="1">
      <alignment horizontal="justify" vertical="center" wrapText="1"/>
    </xf>
    <xf numFmtId="0" fontId="6" fillId="0" borderId="9" xfId="0" applyFont="1" applyBorder="1" applyAlignment="1">
      <alignment horizontal="center" wrapText="1"/>
    </xf>
    <xf numFmtId="0" fontId="6" fillId="0" borderId="36" xfId="0" applyFont="1" applyBorder="1" applyAlignment="1">
      <alignment horizontal="center" wrapText="1"/>
    </xf>
    <xf numFmtId="0" fontId="14" fillId="0" borderId="4" xfId="0" applyFont="1" applyBorder="1" applyAlignment="1">
      <alignment horizontal="justify" vertical="center" wrapText="1"/>
    </xf>
    <xf numFmtId="0" fontId="0" fillId="0" borderId="0" xfId="0" applyAlignment="1">
      <alignment horizontal="justify" vertical="center" wrapText="1"/>
    </xf>
    <xf numFmtId="0" fontId="0" fillId="0" borderId="24" xfId="0" applyBorder="1" applyAlignment="1">
      <alignment horizontal="justify" vertical="center" wrapText="1"/>
    </xf>
    <xf numFmtId="0" fontId="15" fillId="0" borderId="0" xfId="0" applyFont="1" applyAlignment="1">
      <alignment horizontal="justify" vertical="center" wrapText="1"/>
    </xf>
    <xf numFmtId="0" fontId="6" fillId="0" borderId="1" xfId="0" applyFont="1" applyBorder="1" applyAlignment="1">
      <alignment horizontal="center" wrapText="1"/>
    </xf>
    <xf numFmtId="0" fontId="6" fillId="0" borderId="43" xfId="0" applyFont="1" applyBorder="1" applyAlignment="1">
      <alignment horizontal="center" wrapText="1"/>
    </xf>
    <xf numFmtId="0" fontId="6" fillId="0" borderId="1" xfId="0" applyFont="1" applyBorder="1" applyAlignment="1">
      <alignment horizontal="left"/>
    </xf>
    <xf numFmtId="0" fontId="16" fillId="0" borderId="0" xfId="0" applyFont="1" applyAlignment="1">
      <alignment vertical="center"/>
    </xf>
    <xf numFmtId="0" fontId="17" fillId="0" borderId="0" xfId="0" applyFont="1" applyAlignment="1">
      <alignment vertical="center"/>
    </xf>
    <xf numFmtId="0" fontId="17" fillId="0" borderId="27" xfId="0" applyFont="1" applyBorder="1" applyAlignment="1">
      <alignment vertical="center"/>
    </xf>
    <xf numFmtId="0" fontId="15" fillId="9" borderId="0" xfId="0" applyFont="1" applyFill="1" applyAlignment="1">
      <alignment horizontal="justify" vertical="center" wrapText="1"/>
    </xf>
    <xf numFmtId="0" fontId="6" fillId="4" borderId="0" xfId="0" applyFont="1" applyFill="1" applyAlignment="1">
      <alignment horizontal="center" wrapText="1"/>
    </xf>
    <xf numFmtId="0" fontId="2" fillId="4" borderId="0" xfId="0" applyFont="1" applyFill="1" applyAlignment="1">
      <alignment horizontal="center" vertical="center" wrapText="1"/>
    </xf>
    <xf numFmtId="0" fontId="6" fillId="0" borderId="0" xfId="0" applyFont="1" applyAlignment="1">
      <alignment horizontal="left" wrapText="1"/>
    </xf>
    <xf numFmtId="0" fontId="6" fillId="0" borderId="1" xfId="0" applyFont="1" applyBorder="1" applyAlignment="1">
      <alignment horizontal="left" wrapText="1"/>
    </xf>
    <xf numFmtId="0" fontId="6" fillId="0" borderId="27" xfId="0" applyFont="1" applyBorder="1" applyAlignment="1">
      <alignment horizontal="left" wrapText="1"/>
    </xf>
    <xf numFmtId="0" fontId="6" fillId="0" borderId="13" xfId="0" applyFont="1" applyBorder="1" applyAlignment="1">
      <alignment horizontal="center" vertical="center" wrapText="1"/>
    </xf>
    <xf numFmtId="0" fontId="6" fillId="0" borderId="13" xfId="0" applyFont="1" applyBorder="1" applyAlignment="1">
      <alignment horizontal="center" wrapText="1"/>
    </xf>
    <xf numFmtId="0" fontId="6" fillId="9" borderId="13" xfId="0" applyFont="1" applyFill="1" applyBorder="1" applyAlignment="1">
      <alignment horizontal="center" wrapText="1"/>
    </xf>
    <xf numFmtId="0" fontId="0" fillId="0" borderId="13" xfId="0" applyBorder="1"/>
    <xf numFmtId="0" fontId="6" fillId="8" borderId="13" xfId="0" applyFont="1" applyFill="1" applyBorder="1" applyAlignment="1">
      <alignment horizontal="center" wrapText="1"/>
    </xf>
    <xf numFmtId="0" fontId="15" fillId="0" borderId="13" xfId="0" applyFont="1" applyBorder="1" applyAlignment="1">
      <alignment horizontal="justify" vertical="center" wrapText="1"/>
    </xf>
    <xf numFmtId="0" fontId="15" fillId="9" borderId="13" xfId="0" applyFont="1" applyFill="1" applyBorder="1" applyAlignment="1">
      <alignment horizontal="justify" vertical="center" wrapText="1"/>
    </xf>
    <xf numFmtId="0" fontId="0" fillId="0" borderId="13" xfId="0" applyBorder="1" applyAlignment="1">
      <alignment wrapText="1"/>
    </xf>
    <xf numFmtId="0" fontId="6" fillId="10" borderId="0" xfId="0" applyFont="1" applyFill="1" applyAlignment="1">
      <alignment horizontal="center" wrapText="1"/>
    </xf>
    <xf numFmtId="0" fontId="2" fillId="10" borderId="0" xfId="0" applyFont="1" applyFill="1" applyAlignment="1">
      <alignment horizontal="center" vertical="center" wrapText="1"/>
    </xf>
    <xf numFmtId="49" fontId="6" fillId="0" borderId="0" xfId="0" applyNumberFormat="1" applyFont="1" applyAlignment="1">
      <alignment horizontal="center" wrapText="1"/>
    </xf>
    <xf numFmtId="49" fontId="6" fillId="0" borderId="0" xfId="0" applyNumberFormat="1" applyFont="1" applyAlignment="1">
      <alignment horizontal="center" vertical="center" wrapText="1"/>
    </xf>
    <xf numFmtId="49" fontId="6" fillId="8" borderId="0" xfId="0" applyNumberFormat="1" applyFont="1" applyFill="1" applyAlignment="1">
      <alignment horizontal="center" wrapText="1"/>
    </xf>
    <xf numFmtId="49" fontId="6" fillId="9" borderId="0" xfId="0" applyNumberFormat="1" applyFont="1" applyFill="1" applyAlignment="1">
      <alignment horizontal="center" wrapText="1"/>
    </xf>
    <xf numFmtId="0" fontId="8" fillId="9" borderId="17" xfId="0" applyFont="1" applyFill="1" applyBorder="1" applyAlignment="1">
      <alignment vertical="center" wrapText="1"/>
    </xf>
    <xf numFmtId="0" fontId="6" fillId="9" borderId="1" xfId="0" applyFont="1" applyFill="1" applyBorder="1" applyAlignment="1">
      <alignment vertical="center" wrapText="1"/>
    </xf>
    <xf numFmtId="0" fontId="6" fillId="9" borderId="1" xfId="0" applyFont="1" applyFill="1" applyBorder="1" applyAlignment="1">
      <alignment horizontal="center" vertical="center" wrapText="1"/>
    </xf>
    <xf numFmtId="0" fontId="6" fillId="9" borderId="1" xfId="0" applyFont="1" applyFill="1" applyBorder="1" applyAlignment="1">
      <alignment horizontal="center"/>
    </xf>
    <xf numFmtId="0" fontId="6" fillId="9" borderId="0" xfId="0" applyFont="1" applyFill="1" applyAlignment="1">
      <alignment horizontal="center"/>
    </xf>
    <xf numFmtId="0" fontId="6" fillId="9" borderId="17" xfId="0" applyFont="1" applyFill="1" applyBorder="1" applyAlignment="1">
      <alignment vertical="center" wrapText="1"/>
    </xf>
    <xf numFmtId="0" fontId="2" fillId="9" borderId="16" xfId="0" applyFont="1" applyFill="1" applyBorder="1" applyAlignment="1">
      <alignment vertical="center" wrapText="1"/>
    </xf>
    <xf numFmtId="0" fontId="2" fillId="9" borderId="3" xfId="0" applyFont="1" applyFill="1" applyBorder="1" applyAlignment="1">
      <alignment vertical="center" wrapText="1"/>
    </xf>
    <xf numFmtId="0" fontId="2" fillId="9" borderId="3" xfId="0" applyFont="1" applyFill="1" applyBorder="1" applyAlignment="1">
      <alignment horizontal="center" vertical="center" wrapText="1"/>
    </xf>
    <xf numFmtId="0" fontId="8" fillId="12" borderId="17" xfId="0" applyFont="1" applyFill="1" applyBorder="1" applyAlignment="1">
      <alignment vertical="center" wrapText="1"/>
    </xf>
    <xf numFmtId="0" fontId="6" fillId="12" borderId="1" xfId="0" applyFont="1" applyFill="1" applyBorder="1" applyAlignment="1">
      <alignment vertical="center" wrapText="1"/>
    </xf>
    <xf numFmtId="0" fontId="6" fillId="12" borderId="1" xfId="0" applyFont="1" applyFill="1" applyBorder="1" applyAlignment="1">
      <alignment horizontal="center" vertical="center" wrapText="1"/>
    </xf>
    <xf numFmtId="0" fontId="6" fillId="12" borderId="1" xfId="0" applyFont="1" applyFill="1" applyBorder="1" applyAlignment="1">
      <alignment horizontal="center"/>
    </xf>
    <xf numFmtId="0" fontId="6" fillId="12" borderId="17" xfId="0" applyFont="1" applyFill="1" applyBorder="1" applyAlignment="1">
      <alignment vertical="center" wrapText="1"/>
    </xf>
    <xf numFmtId="0" fontId="2" fillId="12" borderId="16" xfId="0" applyFont="1" applyFill="1" applyBorder="1" applyAlignment="1">
      <alignment vertical="center" wrapText="1"/>
    </xf>
    <xf numFmtId="0" fontId="2" fillId="12" borderId="3" xfId="0" applyFont="1" applyFill="1" applyBorder="1" applyAlignment="1">
      <alignment vertical="center" wrapText="1"/>
    </xf>
    <xf numFmtId="0" fontId="2" fillId="12" borderId="3" xfId="0" applyFont="1" applyFill="1" applyBorder="1" applyAlignment="1">
      <alignment horizontal="center" vertical="center" wrapText="1"/>
    </xf>
    <xf numFmtId="0" fontId="6" fillId="9" borderId="1" xfId="0" applyFont="1" applyFill="1" applyBorder="1" applyAlignment="1">
      <alignment horizontal="center" vertical="center"/>
    </xf>
    <xf numFmtId="0" fontId="6" fillId="9" borderId="0" xfId="0" applyFont="1" applyFill="1" applyAlignment="1">
      <alignment horizontal="center" vertical="center"/>
    </xf>
    <xf numFmtId="0" fontId="8" fillId="9" borderId="31" xfId="0" applyFont="1" applyFill="1" applyBorder="1" applyAlignment="1">
      <alignment vertical="center" wrapText="1"/>
    </xf>
    <xf numFmtId="0" fontId="6" fillId="9" borderId="22" xfId="0" applyFont="1" applyFill="1" applyBorder="1" applyAlignment="1">
      <alignment vertical="center" wrapText="1"/>
    </xf>
    <xf numFmtId="0" fontId="6" fillId="9" borderId="22" xfId="0" applyFont="1" applyFill="1" applyBorder="1" applyAlignment="1">
      <alignment horizontal="center" vertical="center" wrapText="1"/>
    </xf>
    <xf numFmtId="0" fontId="6" fillId="9" borderId="22" xfId="0" applyFont="1" applyFill="1" applyBorder="1" applyAlignment="1">
      <alignment horizontal="center"/>
    </xf>
    <xf numFmtId="0" fontId="6" fillId="9" borderId="13" xfId="0" applyFont="1" applyFill="1" applyBorder="1" applyAlignment="1">
      <alignment horizontal="center" vertical="center" wrapText="1"/>
    </xf>
    <xf numFmtId="0" fontId="1" fillId="9" borderId="16" xfId="0" applyFont="1" applyFill="1" applyBorder="1" applyAlignment="1">
      <alignment vertical="center" wrapText="1"/>
    </xf>
    <xf numFmtId="0" fontId="2" fillId="0" borderId="0" xfId="0" applyFont="1" applyAlignment="1">
      <alignment horizontal="justify" vertical="center" wrapText="1"/>
    </xf>
    <xf numFmtId="49" fontId="2" fillId="0" borderId="0" xfId="0" applyNumberFormat="1" applyFont="1" applyAlignment="1">
      <alignment horizontal="justify" vertical="center" wrapText="1"/>
    </xf>
    <xf numFmtId="0" fontId="1" fillId="0" borderId="0" xfId="0" applyFont="1" applyAlignment="1">
      <alignment horizontal="justify" vertical="center" wrapText="1"/>
    </xf>
    <xf numFmtId="49" fontId="1" fillId="0" borderId="0" xfId="0" applyNumberFormat="1" applyFont="1" applyAlignment="1">
      <alignment horizontal="justify" vertical="center" wrapText="1"/>
    </xf>
    <xf numFmtId="49" fontId="6" fillId="0" borderId="0" xfId="0" applyNumberFormat="1" applyFont="1"/>
    <xf numFmtId="49" fontId="2" fillId="0" borderId="0" xfId="0" applyNumberFormat="1" applyFont="1" applyAlignment="1">
      <alignment horizontal="justify" vertical="center"/>
    </xf>
    <xf numFmtId="0" fontId="2" fillId="9" borderId="0" xfId="0" applyFont="1" applyFill="1" applyAlignment="1">
      <alignment horizontal="justify" vertical="center" wrapText="1"/>
    </xf>
    <xf numFmtId="49" fontId="2" fillId="9" borderId="0" xfId="0" applyNumberFormat="1" applyFont="1" applyFill="1" applyAlignment="1">
      <alignment horizontal="justify" vertical="center" wrapText="1"/>
    </xf>
    <xf numFmtId="49" fontId="6" fillId="0" borderId="0" xfId="0" applyNumberFormat="1" applyFont="1" applyAlignment="1">
      <alignment wrapText="1"/>
    </xf>
    <xf numFmtId="0" fontId="1" fillId="9" borderId="3" xfId="0" applyFont="1" applyFill="1" applyBorder="1" applyAlignment="1">
      <alignment horizontal="center" vertical="center" wrapText="1"/>
    </xf>
    <xf numFmtId="0" fontId="1" fillId="13" borderId="17" xfId="0" applyFont="1" applyFill="1" applyBorder="1" applyAlignment="1">
      <alignment vertical="center" wrapText="1"/>
    </xf>
    <xf numFmtId="0" fontId="1" fillId="13" borderId="1" xfId="0" applyFont="1" applyFill="1" applyBorder="1" applyAlignment="1">
      <alignment vertical="center" wrapText="1"/>
    </xf>
    <xf numFmtId="0" fontId="1" fillId="13" borderId="1" xfId="0" applyFont="1" applyFill="1" applyBorder="1" applyAlignment="1">
      <alignment horizontal="center" vertical="center" wrapText="1"/>
    </xf>
    <xf numFmtId="0" fontId="6" fillId="9" borderId="1" xfId="0" applyFont="1" applyFill="1" applyBorder="1"/>
    <xf numFmtId="0" fontId="6" fillId="9" borderId="16" xfId="0" applyFont="1" applyFill="1" applyBorder="1" applyAlignment="1">
      <alignment vertical="center" wrapText="1"/>
    </xf>
    <xf numFmtId="0" fontId="6" fillId="9" borderId="3" xfId="0" applyFont="1" applyFill="1" applyBorder="1" applyAlignment="1">
      <alignment vertical="center" wrapText="1"/>
    </xf>
    <xf numFmtId="0" fontId="6" fillId="9" borderId="3" xfId="0" applyFont="1" applyFill="1" applyBorder="1" applyAlignment="1">
      <alignment horizontal="center" vertical="center" wrapText="1"/>
    </xf>
    <xf numFmtId="0" fontId="6" fillId="12" borderId="1" xfId="0" applyFont="1" applyFill="1" applyBorder="1"/>
    <xf numFmtId="0" fontId="2" fillId="5" borderId="0" xfId="0" applyFont="1" applyFill="1" applyAlignment="1">
      <alignment horizontal="center" vertical="center" wrapText="1"/>
    </xf>
    <xf numFmtId="0" fontId="6" fillId="4" borderId="0" xfId="0" applyFont="1" applyFill="1" applyAlignment="1">
      <alignment wrapText="1"/>
    </xf>
    <xf numFmtId="0" fontId="6" fillId="10" borderId="0" xfId="0" applyFont="1" applyFill="1" applyAlignment="1">
      <alignment wrapText="1"/>
    </xf>
    <xf numFmtId="16" fontId="6" fillId="4" borderId="0" xfId="0" applyNumberFormat="1" applyFont="1" applyFill="1" applyAlignment="1">
      <alignment wrapText="1"/>
    </xf>
    <xf numFmtId="0" fontId="6" fillId="11" borderId="0" xfId="0" applyFont="1" applyFill="1" applyAlignment="1">
      <alignment wrapText="1"/>
    </xf>
    <xf numFmtId="0" fontId="6" fillId="11" borderId="0" xfId="0" applyFont="1" applyFill="1" applyAlignment="1">
      <alignment horizontal="center" wrapText="1"/>
    </xf>
    <xf numFmtId="14" fontId="6" fillId="14" borderId="0" xfId="0" applyNumberFormat="1" applyFont="1" applyFill="1" applyAlignment="1">
      <alignment wrapText="1"/>
    </xf>
    <xf numFmtId="0" fontId="6" fillId="14" borderId="0" xfId="0" applyFont="1" applyFill="1" applyAlignment="1">
      <alignment wrapText="1"/>
    </xf>
    <xf numFmtId="0" fontId="6" fillId="5" borderId="0" xfId="0" applyFont="1" applyFill="1" applyAlignment="1">
      <alignment wrapText="1"/>
    </xf>
    <xf numFmtId="0" fontId="0" fillId="4" borderId="0" xfId="0" applyFill="1" applyAlignment="1">
      <alignment wrapText="1"/>
    </xf>
    <xf numFmtId="0" fontId="1" fillId="15" borderId="0" xfId="0" applyFont="1" applyFill="1" applyAlignment="1">
      <alignment horizontal="center" vertical="center" wrapText="1"/>
    </xf>
    <xf numFmtId="0" fontId="1" fillId="16" borderId="15" xfId="0" applyFont="1" applyFill="1" applyBorder="1" applyAlignment="1">
      <alignment vertical="center" wrapText="1"/>
    </xf>
    <xf numFmtId="0" fontId="1" fillId="16" borderId="3" xfId="0" applyFont="1" applyFill="1" applyBorder="1" applyAlignment="1">
      <alignment vertical="center" wrapText="1"/>
    </xf>
    <xf numFmtId="0" fontId="1" fillId="17" borderId="15" xfId="0" applyFont="1" applyFill="1" applyBorder="1" applyAlignment="1">
      <alignment vertical="center" wrapText="1"/>
    </xf>
    <xf numFmtId="0" fontId="1" fillId="17" borderId="3" xfId="0" applyFont="1" applyFill="1" applyBorder="1" applyAlignment="1">
      <alignment vertical="center" wrapText="1"/>
    </xf>
    <xf numFmtId="0" fontId="14" fillId="0" borderId="21" xfId="0" applyFont="1" applyBorder="1" applyAlignment="1">
      <alignment horizontal="justify" vertical="center" wrapText="1"/>
    </xf>
    <xf numFmtId="0" fontId="14" fillId="0" borderId="44" xfId="0" applyFont="1" applyBorder="1" applyAlignment="1">
      <alignment horizontal="justify" vertical="center" wrapText="1"/>
    </xf>
    <xf numFmtId="0" fontId="14" fillId="0" borderId="46" xfId="0" applyFont="1" applyBorder="1" applyAlignment="1">
      <alignment horizontal="justify" vertical="center" wrapText="1"/>
    </xf>
    <xf numFmtId="0" fontId="15" fillId="0" borderId="47" xfId="0" applyFont="1" applyBorder="1" applyAlignment="1">
      <alignment horizontal="justify" vertical="center" wrapText="1"/>
    </xf>
    <xf numFmtId="0" fontId="15" fillId="0" borderId="48" xfId="0" applyFont="1" applyBorder="1" applyAlignment="1">
      <alignment horizontal="justify" vertical="center" wrapText="1"/>
    </xf>
    <xf numFmtId="0" fontId="14" fillId="0" borderId="49" xfId="0" applyFont="1" applyBorder="1" applyAlignment="1">
      <alignment horizontal="justify" vertical="center" wrapText="1"/>
    </xf>
    <xf numFmtId="0" fontId="6" fillId="0" borderId="27" xfId="0" applyFont="1" applyBorder="1" applyAlignment="1">
      <alignment horizontal="left"/>
    </xf>
    <xf numFmtId="0" fontId="17" fillId="0" borderId="27" xfId="0" applyFont="1" applyBorder="1" applyAlignment="1">
      <alignment horizontal="left" vertical="center"/>
    </xf>
    <xf numFmtId="0" fontId="6" fillId="0" borderId="27" xfId="0" applyFont="1" applyBorder="1" applyAlignment="1">
      <alignment horizontal="left" vertical="top"/>
    </xf>
    <xf numFmtId="0" fontId="6" fillId="16" borderId="0" xfId="0" applyFont="1" applyFill="1" applyAlignment="1">
      <alignment horizontal="center"/>
    </xf>
    <xf numFmtId="0" fontId="6" fillId="18" borderId="12" xfId="0" applyFont="1" applyFill="1" applyBorder="1" applyAlignment="1">
      <alignment vertical="center"/>
    </xf>
    <xf numFmtId="0" fontId="6" fillId="18" borderId="0" xfId="0" applyFont="1" applyFill="1"/>
    <xf numFmtId="0" fontId="1" fillId="12" borderId="16" xfId="0" applyFont="1" applyFill="1" applyBorder="1" applyAlignment="1">
      <alignment vertical="center" wrapText="1"/>
    </xf>
    <xf numFmtId="0" fontId="1" fillId="12" borderId="3" xfId="0" applyFont="1" applyFill="1" applyBorder="1" applyAlignment="1">
      <alignment horizontal="center" vertical="center" wrapText="1"/>
    </xf>
    <xf numFmtId="0" fontId="8" fillId="12" borderId="17" xfId="0" applyFont="1" applyFill="1" applyBorder="1" applyAlignment="1">
      <alignment horizontal="left" vertical="center" wrapText="1" readingOrder="1"/>
    </xf>
    <xf numFmtId="0" fontId="6" fillId="12" borderId="1" xfId="0" applyFont="1" applyFill="1" applyBorder="1" applyAlignment="1">
      <alignment horizontal="left" vertical="center" wrapText="1" readingOrder="1"/>
    </xf>
    <xf numFmtId="0" fontId="6" fillId="12" borderId="17" xfId="0" applyFont="1" applyFill="1" applyBorder="1" applyAlignment="1">
      <alignment horizontal="left" vertical="center" wrapText="1" readingOrder="1"/>
    </xf>
    <xf numFmtId="0" fontId="6" fillId="5" borderId="0" xfId="0" applyFont="1" applyFill="1" applyAlignment="1">
      <alignment horizontal="center" wrapText="1"/>
    </xf>
    <xf numFmtId="0" fontId="2" fillId="5" borderId="0" xfId="0" applyFont="1" applyFill="1" applyAlignment="1">
      <alignment horizontal="justify" vertical="center" wrapText="1"/>
    </xf>
    <xf numFmtId="0" fontId="2" fillId="18" borderId="0" xfId="0" applyFont="1" applyFill="1" applyAlignment="1">
      <alignment horizontal="justify" vertical="center" wrapText="1"/>
    </xf>
    <xf numFmtId="0" fontId="2" fillId="16" borderId="0" xfId="0" applyFont="1" applyFill="1" applyAlignment="1">
      <alignment horizontal="justify" vertical="center" wrapText="1"/>
    </xf>
    <xf numFmtId="0" fontId="2" fillId="4" borderId="0" xfId="0" applyFont="1" applyFill="1" applyAlignment="1">
      <alignment horizontal="left" vertical="center" wrapText="1"/>
    </xf>
    <xf numFmtId="0" fontId="2" fillId="0" borderId="0" xfId="0" applyFont="1" applyAlignment="1">
      <alignment horizontal="left" vertical="center" wrapText="1"/>
    </xf>
    <xf numFmtId="0" fontId="6" fillId="12" borderId="0" xfId="0" applyFont="1" applyFill="1" applyAlignment="1">
      <alignment horizontal="center" wrapText="1"/>
    </xf>
    <xf numFmtId="0" fontId="6" fillId="16" borderId="0" xfId="0" applyFont="1" applyFill="1" applyAlignment="1">
      <alignment horizontal="center" wrapText="1"/>
    </xf>
    <xf numFmtId="0" fontId="8" fillId="0" borderId="35" xfId="0" applyFont="1" applyBorder="1" applyAlignment="1">
      <alignment horizontal="center"/>
    </xf>
    <xf numFmtId="0" fontId="8" fillId="18" borderId="1" xfId="0" applyFont="1" applyFill="1" applyBorder="1"/>
    <xf numFmtId="0" fontId="2" fillId="4" borderId="16" xfId="0" applyFont="1" applyFill="1" applyBorder="1" applyAlignment="1">
      <alignment vertical="center" wrapText="1"/>
    </xf>
    <xf numFmtId="0" fontId="6" fillId="16" borderId="13" xfId="0" applyFont="1" applyFill="1" applyBorder="1" applyAlignment="1">
      <alignment horizontal="center" wrapText="1"/>
    </xf>
    <xf numFmtId="0" fontId="22" fillId="0" borderId="0" xfId="0" applyFont="1" applyAlignment="1">
      <alignment vertical="center"/>
    </xf>
    <xf numFmtId="0" fontId="1" fillId="0" borderId="13" xfId="0" applyFont="1" applyBorder="1" applyAlignment="1">
      <alignment horizontal="justify" vertical="center" wrapText="1"/>
    </xf>
    <xf numFmtId="0" fontId="6" fillId="0" borderId="0" xfId="0" applyFont="1" applyAlignment="1">
      <alignment horizontal="justify" vertical="center" wrapText="1"/>
    </xf>
    <xf numFmtId="0" fontId="6" fillId="0" borderId="13" xfId="0" applyFont="1" applyBorder="1"/>
    <xf numFmtId="0" fontId="2" fillId="10" borderId="0" xfId="0" applyFont="1" applyFill="1" applyAlignment="1">
      <alignment horizontal="justify" vertical="center" wrapText="1"/>
    </xf>
    <xf numFmtId="0" fontId="2" fillId="11" borderId="3" xfId="0" applyFont="1" applyFill="1" applyBorder="1" applyAlignment="1">
      <alignment horizontal="center" vertical="center" wrapText="1"/>
    </xf>
    <xf numFmtId="0" fontId="2" fillId="11" borderId="0" xfId="0" applyFont="1" applyFill="1" applyAlignment="1">
      <alignment horizontal="left" vertical="center" wrapText="1"/>
    </xf>
    <xf numFmtId="0" fontId="6" fillId="0" borderId="27" xfId="0" applyFont="1" applyBorder="1" applyAlignment="1">
      <alignment wrapText="1"/>
    </xf>
    <xf numFmtId="49" fontId="2" fillId="4" borderId="0" xfId="0" applyNumberFormat="1" applyFont="1" applyFill="1" applyAlignment="1">
      <alignment horizontal="justify" vertical="center"/>
    </xf>
    <xf numFmtId="49" fontId="2" fillId="4" borderId="0" xfId="0" applyNumberFormat="1" applyFont="1" applyFill="1" applyAlignment="1">
      <alignment horizontal="justify" vertical="center" wrapText="1"/>
    </xf>
    <xf numFmtId="0" fontId="8" fillId="0" borderId="1" xfId="0" applyFont="1" applyBorder="1" applyAlignment="1">
      <alignment vertical="center"/>
    </xf>
    <xf numFmtId="0" fontId="6" fillId="0" borderId="1" xfId="0" applyFont="1" applyBorder="1" applyAlignment="1">
      <alignment vertical="center"/>
    </xf>
    <xf numFmtId="0" fontId="6" fillId="0" borderId="0" xfId="0" applyFont="1" applyAlignment="1">
      <alignment horizontal="left" vertical="center" indent="7"/>
    </xf>
    <xf numFmtId="0" fontId="20" fillId="0" borderId="0" xfId="0" applyFont="1" applyAlignment="1">
      <alignment horizontal="center" vertical="center" wrapText="1"/>
    </xf>
    <xf numFmtId="0" fontId="21" fillId="0" borderId="0" xfId="0" applyFont="1" applyAlignment="1">
      <alignment horizontal="center" vertical="center" wrapText="1"/>
    </xf>
    <xf numFmtId="0" fontId="2" fillId="19" borderId="0" xfId="0" applyFont="1" applyFill="1" applyAlignment="1">
      <alignment horizontal="center" wrapText="1"/>
    </xf>
    <xf numFmtId="0" fontId="22" fillId="0" borderId="0" xfId="0" applyFont="1" applyAlignment="1">
      <alignment horizontal="center"/>
    </xf>
    <xf numFmtId="0" fontId="21" fillId="16" borderId="0" xfId="0" applyFont="1" applyFill="1" applyAlignment="1">
      <alignment horizontal="center" vertical="center" wrapText="1"/>
    </xf>
    <xf numFmtId="0" fontId="21" fillId="11" borderId="0" xfId="0" applyFont="1" applyFill="1" applyAlignment="1">
      <alignment horizontal="center" vertical="center" wrapText="1"/>
    </xf>
    <xf numFmtId="14" fontId="6" fillId="5" borderId="0" xfId="0" applyNumberFormat="1" applyFont="1" applyFill="1" applyAlignment="1">
      <alignment horizontal="center" wrapText="1"/>
    </xf>
    <xf numFmtId="14" fontId="6" fillId="11" borderId="0" xfId="0" applyNumberFormat="1" applyFont="1" applyFill="1" applyAlignment="1">
      <alignment horizontal="center" wrapText="1"/>
    </xf>
    <xf numFmtId="0" fontId="2" fillId="11" borderId="0" xfId="0" applyFont="1" applyFill="1" applyAlignment="1">
      <alignment horizontal="center" vertical="center" wrapText="1"/>
    </xf>
    <xf numFmtId="0" fontId="21" fillId="9" borderId="0" xfId="0" applyFont="1" applyFill="1" applyAlignment="1">
      <alignment horizontal="center" vertical="center" wrapText="1"/>
    </xf>
    <xf numFmtId="0" fontId="21" fillId="10" borderId="0" xfId="0" applyFont="1" applyFill="1" applyAlignment="1">
      <alignment horizontal="center" vertical="center" wrapText="1"/>
    </xf>
    <xf numFmtId="0" fontId="21" fillId="5" borderId="0" xfId="0" applyFont="1" applyFill="1" applyAlignment="1">
      <alignment horizontal="center" vertical="center" wrapText="1"/>
    </xf>
    <xf numFmtId="0" fontId="22" fillId="0" borderId="0" xfId="0" applyFont="1" applyAlignment="1">
      <alignment horizontal="center" wrapText="1"/>
    </xf>
    <xf numFmtId="0" fontId="21" fillId="4" borderId="12" xfId="0" applyFont="1" applyFill="1" applyBorder="1" applyAlignment="1">
      <alignment horizontal="justify" vertical="center" wrapText="1"/>
    </xf>
    <xf numFmtId="0" fontId="21" fillId="4" borderId="0" xfId="0" applyFont="1" applyFill="1" applyAlignment="1">
      <alignment horizontal="justify" vertical="center" wrapText="1"/>
    </xf>
    <xf numFmtId="0" fontId="2" fillId="4" borderId="0" xfId="0" applyFont="1" applyFill="1" applyAlignment="1">
      <alignment horizontal="justify" vertical="center" wrapText="1"/>
    </xf>
    <xf numFmtId="0" fontId="2" fillId="4" borderId="3" xfId="0" applyFont="1" applyFill="1" applyBorder="1" applyAlignment="1">
      <alignment vertical="center" wrapText="1"/>
    </xf>
    <xf numFmtId="0" fontId="6" fillId="4" borderId="1" xfId="0" applyFont="1" applyFill="1" applyBorder="1" applyAlignment="1">
      <alignment horizontal="center" vertical="center" wrapText="1"/>
    </xf>
    <xf numFmtId="0" fontId="6" fillId="4" borderId="0" xfId="0" applyFont="1" applyFill="1" applyAlignment="1">
      <alignment horizontal="center"/>
    </xf>
    <xf numFmtId="0" fontId="2" fillId="4" borderId="0" xfId="0" applyFont="1" applyFill="1" applyAlignment="1">
      <alignment vertical="center" wrapText="1"/>
    </xf>
    <xf numFmtId="0" fontId="8" fillId="4" borderId="17" xfId="0" applyFont="1" applyFill="1" applyBorder="1" applyAlignment="1">
      <alignment vertical="center" wrapText="1"/>
    </xf>
    <xf numFmtId="0" fontId="6" fillId="4" borderId="1" xfId="0" applyFont="1" applyFill="1" applyBorder="1"/>
    <xf numFmtId="0" fontId="6" fillId="4" borderId="17" xfId="0" applyFont="1" applyFill="1" applyBorder="1" applyAlignment="1">
      <alignment vertical="center" wrapText="1"/>
    </xf>
    <xf numFmtId="0" fontId="6" fillId="4" borderId="1" xfId="0" applyFont="1" applyFill="1" applyBorder="1" applyAlignment="1">
      <alignment vertical="center" wrapText="1"/>
    </xf>
    <xf numFmtId="0" fontId="6" fillId="4" borderId="1" xfId="0" applyFont="1" applyFill="1" applyBorder="1" applyAlignment="1">
      <alignment horizontal="center"/>
    </xf>
    <xf numFmtId="0" fontId="6" fillId="4" borderId="1" xfId="0" applyFont="1" applyFill="1" applyBorder="1" applyAlignment="1">
      <alignment wrapText="1"/>
    </xf>
    <xf numFmtId="0" fontId="6" fillId="0" borderId="12" xfId="0" applyFont="1" applyBorder="1" applyAlignment="1">
      <alignment horizontal="left" wrapText="1"/>
    </xf>
    <xf numFmtId="0" fontId="6" fillId="0" borderId="12" xfId="0" applyFont="1" applyBorder="1" applyAlignment="1">
      <alignment horizontal="left" vertical="center" wrapText="1"/>
    </xf>
    <xf numFmtId="0" fontId="6" fillId="8" borderId="12" xfId="0" applyFont="1" applyFill="1" applyBorder="1" applyAlignment="1">
      <alignment horizontal="left" wrapText="1"/>
    </xf>
    <xf numFmtId="0" fontId="20" fillId="0" borderId="12" xfId="0" applyFont="1" applyBorder="1" applyAlignment="1">
      <alignment horizontal="left" vertical="center" wrapText="1"/>
    </xf>
    <xf numFmtId="0" fontId="21" fillId="0" borderId="12" xfId="0" applyFont="1" applyBorder="1" applyAlignment="1">
      <alignment horizontal="left" vertical="center" wrapText="1"/>
    </xf>
    <xf numFmtId="0" fontId="22" fillId="0" borderId="12" xfId="0" applyFont="1" applyBorder="1" applyAlignment="1">
      <alignment horizontal="left"/>
    </xf>
    <xf numFmtId="0" fontId="6" fillId="0" borderId="12" xfId="0" applyFont="1" applyBorder="1" applyAlignment="1">
      <alignment horizontal="left"/>
    </xf>
    <xf numFmtId="0" fontId="1" fillId="0" borderId="12" xfId="0" applyFont="1" applyBorder="1" applyAlignment="1">
      <alignment horizontal="left" vertical="center" wrapText="1"/>
    </xf>
    <xf numFmtId="0" fontId="2" fillId="0" borderId="12" xfId="0" applyFont="1" applyBorder="1" applyAlignment="1">
      <alignment horizontal="left" vertical="center" wrapText="1"/>
    </xf>
    <xf numFmtId="0" fontId="21" fillId="4" borderId="12" xfId="0" applyFont="1" applyFill="1" applyBorder="1" applyAlignment="1">
      <alignment horizontal="left" vertical="center" wrapText="1"/>
    </xf>
    <xf numFmtId="0" fontId="21" fillId="9" borderId="12" xfId="0" applyFont="1" applyFill="1" applyBorder="1" applyAlignment="1">
      <alignment horizontal="left" vertical="center" wrapText="1"/>
    </xf>
    <xf numFmtId="0" fontId="6" fillId="9" borderId="12" xfId="0" applyFont="1" applyFill="1" applyBorder="1" applyAlignment="1">
      <alignment horizontal="left" wrapText="1"/>
    </xf>
    <xf numFmtId="0" fontId="22" fillId="0" borderId="12" xfId="0" applyFont="1" applyBorder="1" applyAlignment="1">
      <alignment horizontal="left" wrapText="1"/>
    </xf>
    <xf numFmtId="0" fontId="6" fillId="4" borderId="12" xfId="0" applyFont="1" applyFill="1" applyBorder="1" applyAlignment="1">
      <alignment horizontal="left" wrapText="1"/>
    </xf>
    <xf numFmtId="0" fontId="6" fillId="0" borderId="6" xfId="0" applyFont="1" applyBorder="1" applyAlignment="1">
      <alignment horizontal="center"/>
    </xf>
    <xf numFmtId="0" fontId="6" fillId="0" borderId="5" xfId="0" applyFont="1" applyBorder="1" applyAlignment="1">
      <alignment horizontal="center"/>
    </xf>
    <xf numFmtId="0" fontId="6" fillId="0" borderId="4" xfId="0" applyFont="1" applyBorder="1" applyAlignment="1">
      <alignment horizontal="center"/>
    </xf>
    <xf numFmtId="0" fontId="1" fillId="2" borderId="6"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7" borderId="6" xfId="0" applyFont="1" applyFill="1" applyBorder="1" applyAlignment="1">
      <alignment horizontal="center" vertical="center" wrapText="1"/>
    </xf>
    <xf numFmtId="0" fontId="1" fillId="7" borderId="4" xfId="0" applyFont="1" applyFill="1" applyBorder="1" applyAlignment="1">
      <alignment horizontal="center" vertical="center" wrapText="1"/>
    </xf>
    <xf numFmtId="0" fontId="1" fillId="6" borderId="6"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2" borderId="17" xfId="0" applyFont="1" applyFill="1" applyBorder="1" applyAlignment="1">
      <alignment vertical="center" wrapText="1"/>
    </xf>
    <xf numFmtId="0" fontId="1" fillId="2" borderId="1" xfId="0" applyFont="1" applyFill="1" applyBorder="1" applyAlignment="1">
      <alignment vertical="center" wrapText="1"/>
    </xf>
    <xf numFmtId="0" fontId="1" fillId="2" borderId="14" xfId="0" applyFont="1" applyFill="1" applyBorder="1" applyAlignment="1">
      <alignment vertical="center" wrapText="1"/>
    </xf>
    <xf numFmtId="0" fontId="1" fillId="2" borderId="2" xfId="0" applyFont="1" applyFill="1" applyBorder="1" applyAlignment="1">
      <alignment vertical="center" wrapText="1"/>
    </xf>
    <xf numFmtId="0" fontId="1" fillId="2" borderId="15" xfId="0" applyFont="1" applyFill="1" applyBorder="1" applyAlignment="1">
      <alignment vertical="center" wrapText="1"/>
    </xf>
    <xf numFmtId="0" fontId="1" fillId="2" borderId="3" xfId="0" applyFont="1" applyFill="1" applyBorder="1" applyAlignment="1">
      <alignment vertical="center" wrapText="1"/>
    </xf>
    <xf numFmtId="0" fontId="6" fillId="0" borderId="1" xfId="0" applyFont="1" applyBorder="1" applyAlignment="1">
      <alignment horizontal="center"/>
    </xf>
    <xf numFmtId="0" fontId="1" fillId="2" borderId="1" xfId="0" applyFont="1" applyFill="1" applyBorder="1" applyAlignment="1">
      <alignment horizontal="center" vertical="center" wrapText="1"/>
    </xf>
    <xf numFmtId="0" fontId="1" fillId="15" borderId="14" xfId="0" applyFont="1" applyFill="1" applyBorder="1" applyAlignment="1">
      <alignment vertical="center" wrapText="1"/>
    </xf>
    <xf numFmtId="0" fontId="1" fillId="15" borderId="2" xfId="0" applyFont="1" applyFill="1" applyBorder="1" applyAlignment="1">
      <alignment vertical="center" wrapText="1"/>
    </xf>
    <xf numFmtId="0" fontId="1" fillId="15" borderId="15" xfId="0" applyFont="1" applyFill="1" applyBorder="1" applyAlignment="1">
      <alignment vertical="center" wrapText="1"/>
    </xf>
    <xf numFmtId="0" fontId="1" fillId="15" borderId="3" xfId="0" applyFont="1" applyFill="1" applyBorder="1" applyAlignment="1">
      <alignment vertical="center" wrapText="1"/>
    </xf>
    <xf numFmtId="0" fontId="1" fillId="2" borderId="5" xfId="0" applyFont="1" applyFill="1" applyBorder="1" applyAlignment="1">
      <alignment horizontal="center" vertical="center" wrapText="1"/>
    </xf>
    <xf numFmtId="0" fontId="8" fillId="18" borderId="1" xfId="0" applyFont="1" applyFill="1" applyBorder="1" applyAlignment="1">
      <alignment horizontal="center"/>
    </xf>
    <xf numFmtId="0" fontId="1" fillId="15" borderId="17" xfId="0" applyFont="1" applyFill="1" applyBorder="1" applyAlignment="1">
      <alignment vertical="center" wrapText="1"/>
    </xf>
    <xf numFmtId="0" fontId="1" fillId="15" borderId="1" xfId="0" applyFont="1" applyFill="1" applyBorder="1" applyAlignment="1">
      <alignment vertical="center" wrapText="1"/>
    </xf>
    <xf numFmtId="0" fontId="2" fillId="0" borderId="12" xfId="0" applyFont="1" applyBorder="1" applyAlignment="1">
      <alignment horizontal="justify" vertical="center"/>
    </xf>
    <xf numFmtId="0" fontId="2" fillId="0" borderId="0" xfId="0" applyFont="1" applyAlignment="1">
      <alignment horizontal="justify" vertical="center"/>
    </xf>
    <xf numFmtId="0" fontId="2" fillId="0" borderId="14" xfId="0" applyFont="1" applyBorder="1" applyAlignment="1">
      <alignment horizontal="justify" vertical="center"/>
    </xf>
    <xf numFmtId="0" fontId="2" fillId="0" borderId="20" xfId="0" applyFont="1" applyBorder="1" applyAlignment="1">
      <alignment horizontal="justify" vertical="center"/>
    </xf>
    <xf numFmtId="0" fontId="11" fillId="7" borderId="6" xfId="0" applyFont="1" applyFill="1" applyBorder="1" applyAlignment="1">
      <alignment horizontal="center" vertical="center" wrapText="1"/>
    </xf>
    <xf numFmtId="0" fontId="11" fillId="7" borderId="4" xfId="0" applyFont="1" applyFill="1" applyBorder="1" applyAlignment="1">
      <alignment horizontal="center" vertical="center" wrapText="1"/>
    </xf>
    <xf numFmtId="0" fontId="1" fillId="15" borderId="6" xfId="0" applyFont="1" applyFill="1" applyBorder="1" applyAlignment="1">
      <alignment horizontal="center" vertical="center" wrapText="1"/>
    </xf>
    <xf numFmtId="0" fontId="1" fillId="15" borderId="4" xfId="0" applyFont="1" applyFill="1" applyBorder="1" applyAlignment="1">
      <alignment horizontal="center" vertical="center" wrapText="1"/>
    </xf>
    <xf numFmtId="0" fontId="1" fillId="15" borderId="5" xfId="0" applyFont="1" applyFill="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2" fillId="0" borderId="6" xfId="0" applyFont="1" applyBorder="1" applyAlignment="1">
      <alignment horizontal="center" vertical="center" wrapText="1"/>
    </xf>
    <xf numFmtId="0" fontId="2" fillId="0" borderId="4" xfId="0" applyFont="1" applyBorder="1" applyAlignment="1">
      <alignment horizontal="center" vertical="center" wrapText="1"/>
    </xf>
    <xf numFmtId="0" fontId="1" fillId="0" borderId="14" xfId="0" applyFont="1" applyBorder="1" applyAlignment="1">
      <alignment vertical="center" wrapText="1"/>
    </xf>
    <xf numFmtId="0" fontId="1" fillId="0" borderId="2" xfId="0" applyFont="1" applyBorder="1" applyAlignment="1">
      <alignment vertical="center" wrapText="1"/>
    </xf>
    <xf numFmtId="0" fontId="1" fillId="0" borderId="15" xfId="0" applyFont="1" applyBorder="1" applyAlignment="1">
      <alignment vertical="center" wrapText="1"/>
    </xf>
    <xf numFmtId="0" fontId="1" fillId="0" borderId="3" xfId="0" applyFont="1" applyBorder="1" applyAlignment="1">
      <alignment vertical="center" wrapText="1"/>
    </xf>
    <xf numFmtId="0" fontId="6" fillId="0" borderId="15" xfId="0" applyFont="1" applyBorder="1" applyAlignment="1">
      <alignment vertical="center" wrapText="1"/>
    </xf>
    <xf numFmtId="0" fontId="6" fillId="0" borderId="21" xfId="0" applyFont="1" applyBorder="1" applyAlignment="1">
      <alignment vertical="center" wrapText="1"/>
    </xf>
    <xf numFmtId="0" fontId="1" fillId="20" borderId="6" xfId="0" applyFont="1" applyFill="1" applyBorder="1" applyAlignment="1">
      <alignment horizontal="center" vertical="center" wrapText="1"/>
    </xf>
    <xf numFmtId="0" fontId="1" fillId="20" borderId="4" xfId="0" applyFont="1" applyFill="1" applyBorder="1" applyAlignment="1">
      <alignment horizontal="center" vertical="center" wrapText="1"/>
    </xf>
    <xf numFmtId="0" fontId="1" fillId="16" borderId="6" xfId="0" applyFont="1" applyFill="1" applyBorder="1" applyAlignment="1">
      <alignment horizontal="center" vertical="center" wrapText="1"/>
    </xf>
    <xf numFmtId="0" fontId="1" fillId="16" borderId="4" xfId="0" applyFont="1" applyFill="1" applyBorder="1" applyAlignment="1">
      <alignment horizontal="center" vertical="center" wrapText="1"/>
    </xf>
    <xf numFmtId="0" fontId="2" fillId="0" borderId="12" xfId="0" applyFont="1" applyBorder="1" applyAlignment="1">
      <alignment horizontal="justify" vertical="center" wrapText="1"/>
    </xf>
    <xf numFmtId="0" fontId="1" fillId="17" borderId="6" xfId="0" applyFont="1" applyFill="1" applyBorder="1" applyAlignment="1">
      <alignment horizontal="center" vertical="center" wrapText="1"/>
    </xf>
    <xf numFmtId="0" fontId="1" fillId="17" borderId="4" xfId="0" applyFont="1" applyFill="1" applyBorder="1" applyAlignment="1">
      <alignment horizontal="center" vertical="center" wrapText="1"/>
    </xf>
    <xf numFmtId="0" fontId="14" fillId="0" borderId="6" xfId="0" applyFont="1" applyBorder="1" applyAlignment="1">
      <alignment horizontal="justify" vertical="center" wrapText="1"/>
    </xf>
    <xf numFmtId="0" fontId="14" fillId="0" borderId="5" xfId="0" applyFont="1" applyBorder="1" applyAlignment="1">
      <alignment horizontal="justify" vertical="center" wrapText="1"/>
    </xf>
    <xf numFmtId="0" fontId="14" fillId="0" borderId="38" xfId="0" applyFont="1" applyBorder="1" applyAlignment="1">
      <alignment horizontal="justify" vertical="center" wrapText="1"/>
    </xf>
    <xf numFmtId="0" fontId="15" fillId="0" borderId="6" xfId="0" applyFont="1" applyBorder="1" applyAlignment="1">
      <alignment horizontal="justify" vertical="center" wrapText="1"/>
    </xf>
    <xf numFmtId="0" fontId="15" fillId="0" borderId="5" xfId="0" applyFont="1" applyBorder="1" applyAlignment="1">
      <alignment horizontal="justify" vertical="center" wrapText="1"/>
    </xf>
    <xf numFmtId="0" fontId="15" fillId="0" borderId="38" xfId="0" applyFont="1" applyBorder="1" applyAlignment="1">
      <alignment horizontal="justify" vertical="center" wrapText="1"/>
    </xf>
    <xf numFmtId="0" fontId="14" fillId="0" borderId="45" xfId="0" applyFont="1" applyBorder="1" applyAlignment="1">
      <alignment horizontal="justify" vertical="center" wrapText="1"/>
    </xf>
    <xf numFmtId="0" fontId="15" fillId="0" borderId="45" xfId="0" applyFont="1" applyBorder="1" applyAlignment="1">
      <alignment horizontal="justify" vertical="center" wrapText="1"/>
    </xf>
    <xf numFmtId="0" fontId="15" fillId="0" borderId="4" xfId="0" applyFont="1" applyBorder="1" applyAlignment="1">
      <alignment horizontal="justify" vertical="center" wrapText="1"/>
    </xf>
    <xf numFmtId="0" fontId="14" fillId="0" borderId="7" xfId="0" applyFont="1" applyBorder="1" applyAlignment="1">
      <alignment horizontal="justify" vertical="center" wrapText="1"/>
    </xf>
    <xf numFmtId="0" fontId="14" fillId="0" borderId="37" xfId="0" applyFont="1" applyBorder="1" applyAlignment="1">
      <alignment horizontal="justify" vertical="center" wrapText="1"/>
    </xf>
    <xf numFmtId="0" fontId="14" fillId="0" borderId="39" xfId="0" applyFont="1" applyBorder="1" applyAlignment="1">
      <alignment horizontal="justify" vertical="center" wrapText="1"/>
    </xf>
    <xf numFmtId="0" fontId="14" fillId="0" borderId="40" xfId="0" applyFont="1" applyBorder="1" applyAlignment="1">
      <alignment horizontal="justify" vertical="center" wrapText="1"/>
    </xf>
    <xf numFmtId="0" fontId="14" fillId="0" borderId="4" xfId="0" applyFont="1" applyBorder="1" applyAlignment="1">
      <alignment horizontal="justify" vertical="center" wrapText="1"/>
    </xf>
    <xf numFmtId="0" fontId="15" fillId="0" borderId="1" xfId="0" applyFont="1" applyBorder="1" applyAlignment="1">
      <alignment horizontal="justify" vertical="center" wrapText="1"/>
    </xf>
    <xf numFmtId="0" fontId="15" fillId="0" borderId="42" xfId="0" applyFont="1" applyBorder="1" applyAlignment="1">
      <alignment horizontal="justify" vertical="center" wrapText="1"/>
    </xf>
    <xf numFmtId="0" fontId="6" fillId="0" borderId="12" xfId="0" applyFont="1" applyBorder="1" applyAlignment="1">
      <alignment horizontal="left" vertical="center" wrapText="1" indent="7"/>
    </xf>
    <xf numFmtId="0" fontId="6" fillId="0" borderId="0" xfId="0" applyFont="1" applyAlignment="1">
      <alignment horizontal="left" vertical="center" wrapText="1" indent="7"/>
    </xf>
    <xf numFmtId="0" fontId="6" fillId="0" borderId="18" xfId="0" applyFont="1" applyBorder="1" applyAlignment="1">
      <alignment horizontal="left" vertical="center" wrapText="1" indent="7"/>
    </xf>
    <xf numFmtId="0" fontId="6" fillId="0" borderId="19" xfId="0" applyFont="1" applyBorder="1" applyAlignment="1">
      <alignment horizontal="left" vertical="center" wrapText="1" indent="7"/>
    </xf>
  </cellXfs>
  <cellStyles count="1">
    <cellStyle name="Normal" xfId="0" builtinId="0"/>
  </cellStyles>
  <dxfs count="0"/>
  <tableStyles count="0" defaultTableStyle="TableStyleMedium2" defaultPivotStyle="PivotStyleLight16"/>
  <colors>
    <mruColors>
      <color rgb="FFFF99FF"/>
      <color rgb="FFCC6600"/>
      <color rgb="FF99FF99"/>
      <color rgb="FF00F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C9"/>
  <sheetViews>
    <sheetView workbookViewId="0">
      <selection activeCell="A14" sqref="A14"/>
    </sheetView>
  </sheetViews>
  <sheetFormatPr defaultColWidth="8.796875" defaultRowHeight="14.25" x14ac:dyDescent="0.45"/>
  <sheetData>
    <row r="2" spans="1:3" x14ac:dyDescent="0.45">
      <c r="A2" t="s">
        <v>2323</v>
      </c>
    </row>
    <row r="3" spans="1:3" x14ac:dyDescent="0.45">
      <c r="A3" t="s">
        <v>2324</v>
      </c>
    </row>
    <row r="4" spans="1:3" x14ac:dyDescent="0.45">
      <c r="A4" t="s">
        <v>2325</v>
      </c>
    </row>
    <row r="5" spans="1:3" x14ac:dyDescent="0.45">
      <c r="B5" t="s">
        <v>2326</v>
      </c>
    </row>
    <row r="6" spans="1:3" x14ac:dyDescent="0.45">
      <c r="C6" t="s">
        <v>2328</v>
      </c>
    </row>
    <row r="7" spans="1:3" x14ac:dyDescent="0.45">
      <c r="C7" t="s">
        <v>2327</v>
      </c>
    </row>
    <row r="8" spans="1:3" x14ac:dyDescent="0.45">
      <c r="C8" t="s">
        <v>2329</v>
      </c>
    </row>
    <row r="9" spans="1:3" x14ac:dyDescent="0.45">
      <c r="A9" t="s">
        <v>2330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pageSetUpPr fitToPage="1"/>
  </sheetPr>
  <dimension ref="A1:AW4926"/>
  <sheetViews>
    <sheetView tabSelected="1" topLeftCell="A3502" zoomScale="131" zoomScaleNormal="175" workbookViewId="0">
      <pane xSplit="25012" ySplit="2460" topLeftCell="AI3338" activePane="bottomLeft"/>
      <selection activeCell="A3503" sqref="A3503"/>
      <selection pane="topRight" activeCell="AR3502" sqref="AR1:AR1048576"/>
      <selection pane="bottomLeft" activeCell="A3339" sqref="A3339"/>
      <selection pane="bottomRight" activeCell="AR3961" sqref="AR3961"/>
    </sheetView>
  </sheetViews>
  <sheetFormatPr defaultColWidth="8.796875" defaultRowHeight="14.25" x14ac:dyDescent="0.45"/>
  <cols>
    <col min="1" max="1" width="25.46484375" style="17" customWidth="1"/>
    <col min="2" max="2" width="48.33203125" style="17" customWidth="1"/>
    <col min="3" max="8" width="8.796875" style="18"/>
    <col min="9" max="11" width="5.46484375" style="18" customWidth="1"/>
    <col min="12" max="12" width="11.1328125" style="18" customWidth="1"/>
    <col min="13" max="13" width="16.46484375" style="145" customWidth="1"/>
    <col min="14" max="24" width="11.1328125" style="8" customWidth="1"/>
    <col min="25" max="25" width="11.1328125" style="145" customWidth="1"/>
    <col min="26" max="27" width="11.1328125" style="8" customWidth="1"/>
    <col min="28" max="28" width="12.796875" style="8" customWidth="1"/>
    <col min="29" max="29" width="11.1328125" style="8" customWidth="1"/>
    <col min="30" max="30" width="15.1328125" style="8" customWidth="1"/>
    <col min="31" max="32" width="11.1328125" style="154" customWidth="1"/>
    <col min="33" max="43" width="11.1328125" style="8" customWidth="1"/>
    <col min="44" max="44" width="11.1328125" style="284" customWidth="1"/>
    <col min="45" max="45" width="16.46484375" style="8" customWidth="1"/>
    <col min="46" max="46" width="16" style="8" customWidth="1"/>
    <col min="47" max="48" width="19.46484375" style="19" customWidth="1"/>
  </cols>
  <sheetData>
    <row r="1" spans="1:48" ht="24" x14ac:dyDescent="0.45">
      <c r="A1" s="16"/>
      <c r="AQ1" s="8" t="s">
        <v>5933</v>
      </c>
      <c r="AR1" s="284" t="s">
        <v>5933</v>
      </c>
      <c r="AS1" s="8" t="s">
        <v>5349</v>
      </c>
      <c r="AT1" s="8" t="s">
        <v>5298</v>
      </c>
      <c r="AU1" s="19" t="s">
        <v>4082</v>
      </c>
    </row>
    <row r="2" spans="1:48" ht="14.65" thickBot="1" x14ac:dyDescent="0.5">
      <c r="A2" s="10" t="s">
        <v>2479</v>
      </c>
      <c r="I2" s="18" t="s">
        <v>2471</v>
      </c>
      <c r="J2" s="18" t="s">
        <v>2472</v>
      </c>
      <c r="K2" s="18" t="s">
        <v>5932</v>
      </c>
      <c r="L2" s="18" t="s">
        <v>2334</v>
      </c>
      <c r="AM2" s="8">
        <v>1000</v>
      </c>
      <c r="AN2" s="8">
        <v>1300</v>
      </c>
      <c r="AO2" s="8">
        <v>1600</v>
      </c>
      <c r="AP2" s="8" t="s">
        <v>5055</v>
      </c>
    </row>
    <row r="3" spans="1:48" ht="33" customHeight="1" thickTop="1" thickBot="1" x14ac:dyDescent="0.5">
      <c r="A3" s="23" t="s">
        <v>2477</v>
      </c>
      <c r="B3" s="24"/>
      <c r="C3" s="332" t="s">
        <v>2</v>
      </c>
      <c r="D3" s="333"/>
      <c r="E3" s="332" t="s">
        <v>3</v>
      </c>
      <c r="F3" s="333"/>
      <c r="G3" s="332" t="s">
        <v>2896</v>
      </c>
      <c r="H3" s="333"/>
      <c r="I3" s="25" t="s">
        <v>2473</v>
      </c>
      <c r="J3" s="25" t="s">
        <v>2473</v>
      </c>
      <c r="K3" s="25" t="s">
        <v>2473</v>
      </c>
      <c r="L3" s="25" t="s">
        <v>2478</v>
      </c>
      <c r="M3" s="127" t="s">
        <v>2790</v>
      </c>
      <c r="N3" s="126"/>
      <c r="O3" s="126"/>
      <c r="P3" s="126"/>
      <c r="Q3" s="126"/>
      <c r="R3" s="126"/>
      <c r="S3" s="126"/>
      <c r="T3" s="126"/>
      <c r="U3" s="126"/>
      <c r="V3" s="126"/>
      <c r="W3" s="126"/>
      <c r="X3" s="127"/>
      <c r="Z3" s="183" t="s">
        <v>4347</v>
      </c>
      <c r="AA3" s="183" t="s">
        <v>4343</v>
      </c>
      <c r="AB3" s="183" t="s">
        <v>4172</v>
      </c>
      <c r="AC3" s="183" t="s">
        <v>4340</v>
      </c>
      <c r="AD3" s="183" t="s">
        <v>4339</v>
      </c>
      <c r="AE3" s="184" t="s">
        <v>4341</v>
      </c>
      <c r="AF3" s="184" t="s">
        <v>4342</v>
      </c>
      <c r="AG3" s="8" t="s">
        <v>4353</v>
      </c>
      <c r="AH3" s="8" t="s">
        <v>3429</v>
      </c>
      <c r="AI3" s="8" t="s">
        <v>4356</v>
      </c>
      <c r="AJ3" s="8" t="s">
        <v>4364</v>
      </c>
      <c r="AK3" s="8" t="s">
        <v>4441</v>
      </c>
      <c r="AL3" s="8" t="s">
        <v>694</v>
      </c>
      <c r="AP3" s="8">
        <v>4</v>
      </c>
      <c r="AU3" s="6"/>
      <c r="AV3" s="6" t="str">
        <f>IF(A3&lt;&gt;"",IF(T3&lt;&gt;"",IF(LEFT(R3,3)="Has",IF(TRIM(A3)&lt;&gt;T3,"ERROR","OK"),""),""),"")</f>
        <v/>
      </c>
    </row>
    <row r="4" spans="1:48" ht="16.8" customHeight="1" thickBot="1" x14ac:dyDescent="0.5">
      <c r="A4" s="26" t="s">
        <v>2475</v>
      </c>
      <c r="B4" s="17" t="s">
        <v>2487</v>
      </c>
      <c r="C4" s="334" t="s">
        <v>4009</v>
      </c>
      <c r="D4" s="335"/>
      <c r="E4" s="334" t="s">
        <v>3617</v>
      </c>
      <c r="F4" s="335"/>
      <c r="G4" s="334" t="s">
        <v>4010</v>
      </c>
      <c r="H4" s="335"/>
      <c r="I4" s="94" t="s">
        <v>2473</v>
      </c>
      <c r="J4" s="94" t="s">
        <v>2473</v>
      </c>
      <c r="K4" s="94" t="s">
        <v>2473</v>
      </c>
      <c r="L4" s="96" t="s">
        <v>2476</v>
      </c>
      <c r="M4" s="144"/>
      <c r="N4" s="96"/>
      <c r="O4" s="96"/>
      <c r="P4" s="96"/>
      <c r="Q4" s="96"/>
      <c r="R4" s="96"/>
      <c r="S4" s="96"/>
      <c r="T4" s="96"/>
      <c r="U4" s="96"/>
      <c r="V4" s="96"/>
      <c r="W4" s="96"/>
      <c r="X4" s="96"/>
      <c r="Y4" s="144"/>
      <c r="Z4" s="96"/>
      <c r="AA4" s="96"/>
      <c r="AB4" s="96"/>
      <c r="AC4" s="96"/>
      <c r="AD4" s="96"/>
      <c r="AE4" s="155"/>
      <c r="AF4" s="155"/>
      <c r="AG4" s="96"/>
      <c r="AH4" s="96"/>
      <c r="AI4" s="96"/>
      <c r="AJ4" s="96"/>
      <c r="AK4" s="96"/>
      <c r="AL4" s="96"/>
      <c r="AM4" s="96"/>
      <c r="AN4" s="96"/>
      <c r="AO4" s="96"/>
      <c r="AP4" s="96"/>
      <c r="AQ4" s="96"/>
      <c r="AR4" s="285"/>
      <c r="AS4" s="96"/>
      <c r="AT4" s="96"/>
      <c r="AU4" s="6" t="s">
        <v>5054</v>
      </c>
      <c r="AV4" s="6" t="str">
        <f t="shared" ref="AV4:AV67" si="0">IF(A4&lt;&gt;"",IF(T4&lt;&gt;"",IF(LEFT(R4,3)="Has",IF(TRIM(A4)&lt;&gt;T4,"ERROR","OK"),""),""),"")</f>
        <v/>
      </c>
    </row>
    <row r="5" spans="1:48" s="79" customFormat="1" x14ac:dyDescent="0.45">
      <c r="A5" s="75"/>
      <c r="B5" s="76"/>
      <c r="C5" s="77"/>
      <c r="D5" s="77"/>
      <c r="E5" s="77" t="s">
        <v>2892</v>
      </c>
      <c r="F5" s="77"/>
      <c r="G5" s="77"/>
      <c r="H5" s="77"/>
      <c r="I5" s="77"/>
      <c r="J5" s="77"/>
      <c r="K5" s="77"/>
      <c r="L5" s="77"/>
      <c r="M5" s="148"/>
      <c r="N5" s="78"/>
      <c r="O5" s="78"/>
      <c r="P5" s="78"/>
      <c r="Q5" s="78"/>
      <c r="R5" s="78"/>
      <c r="S5" s="78"/>
      <c r="T5" s="78"/>
      <c r="U5" s="78"/>
      <c r="V5" s="78"/>
      <c r="W5" s="78"/>
      <c r="X5" s="78"/>
      <c r="Y5" s="148"/>
      <c r="Z5" s="78"/>
      <c r="AA5" s="78"/>
      <c r="AB5" s="78"/>
      <c r="AC5" s="78"/>
      <c r="AD5" s="78"/>
      <c r="AE5" s="156"/>
      <c r="AF5" s="156"/>
      <c r="AG5" s="78"/>
      <c r="AH5" s="78"/>
      <c r="AI5" s="78"/>
      <c r="AJ5" s="78"/>
      <c r="AK5" s="78"/>
      <c r="AL5" s="78"/>
      <c r="AM5" s="78"/>
      <c r="AN5" s="78"/>
      <c r="AO5" s="78"/>
      <c r="AP5" s="78"/>
      <c r="AQ5" s="78"/>
      <c r="AR5" s="286"/>
      <c r="AS5" s="78"/>
      <c r="AT5" s="78"/>
      <c r="AU5" s="8"/>
      <c r="AV5" s="6" t="str">
        <f t="shared" si="0"/>
        <v/>
      </c>
    </row>
    <row r="6" spans="1:48" x14ac:dyDescent="0.45">
      <c r="A6" s="27" t="s">
        <v>2390</v>
      </c>
      <c r="I6" s="18" t="s">
        <v>2473</v>
      </c>
      <c r="J6" s="18" t="s">
        <v>2473</v>
      </c>
      <c r="K6" s="18" t="s">
        <v>2473</v>
      </c>
      <c r="L6" s="18" t="s">
        <v>2336</v>
      </c>
      <c r="AU6" s="6"/>
      <c r="AV6" s="6" t="str">
        <f t="shared" si="0"/>
        <v/>
      </c>
    </row>
    <row r="7" spans="1:48" x14ac:dyDescent="0.45">
      <c r="A7" s="323" t="s">
        <v>2488</v>
      </c>
      <c r="B7" s="324"/>
      <c r="C7" s="324"/>
      <c r="D7" s="324"/>
      <c r="E7" s="324"/>
      <c r="F7" s="324"/>
      <c r="G7" s="101"/>
      <c r="H7" s="101"/>
      <c r="I7" s="18" t="s">
        <v>2473</v>
      </c>
      <c r="J7" s="18" t="s">
        <v>2473</v>
      </c>
      <c r="K7" s="18" t="s">
        <v>2473</v>
      </c>
      <c r="L7" s="18" t="s">
        <v>2336</v>
      </c>
      <c r="AU7" s="6"/>
      <c r="AV7" s="6" t="str">
        <f t="shared" si="0"/>
        <v/>
      </c>
    </row>
    <row r="8" spans="1:48" ht="14.65" thickBot="1" x14ac:dyDescent="0.5">
      <c r="A8" s="28" t="s">
        <v>0</v>
      </c>
      <c r="I8" s="18" t="s">
        <v>2473</v>
      </c>
      <c r="J8" s="18" t="s">
        <v>2473</v>
      </c>
      <c r="K8" s="18" t="s">
        <v>2473</v>
      </c>
      <c r="L8" s="18" t="s">
        <v>2336</v>
      </c>
      <c r="Z8" s="183"/>
      <c r="AA8" s="183" t="s">
        <v>2322</v>
      </c>
      <c r="AB8" s="183" t="s">
        <v>1697</v>
      </c>
      <c r="AC8" s="183" t="s">
        <v>5</v>
      </c>
      <c r="AU8" s="6"/>
      <c r="AV8" s="6" t="str">
        <f t="shared" si="0"/>
        <v/>
      </c>
    </row>
    <row r="9" spans="1:48" ht="151.5" thickBot="1" x14ac:dyDescent="0.5">
      <c r="A9" s="336" t="s">
        <v>2891</v>
      </c>
      <c r="B9" s="337"/>
      <c r="C9" s="329" t="s">
        <v>1</v>
      </c>
      <c r="D9" s="331"/>
      <c r="E9" s="331"/>
      <c r="F9" s="330"/>
      <c r="G9" s="211"/>
      <c r="H9" s="211"/>
      <c r="I9" s="18" t="s">
        <v>2473</v>
      </c>
      <c r="L9" s="18" t="s">
        <v>2336</v>
      </c>
      <c r="Z9" s="183"/>
      <c r="AA9" s="183" t="str">
        <f>LEFT($A9,FIND(" ",$A9)-1)</f>
        <v>Bios</v>
      </c>
      <c r="AB9" s="183" t="str">
        <f>MID($A9,FIND("(",$A9)+1,LEN($A9)-FIND("(",$A9)-1)</f>
        <v>1.0.4</v>
      </c>
      <c r="AC9" s="101" t="str">
        <f>A7</f>
        <v>The BIOS AttributeRegistry describes the system-specific BIOS attributes and actions for changing the BIOS settings. Changes to the BIOS typically require a system reset before they take effect.</v>
      </c>
      <c r="AU9" s="6"/>
      <c r="AV9" s="6" t="str">
        <f t="shared" si="0"/>
        <v/>
      </c>
    </row>
    <row r="10" spans="1:48" ht="14.65" thickBot="1" x14ac:dyDescent="0.5">
      <c r="A10" s="338"/>
      <c r="B10" s="339"/>
      <c r="C10" s="329" t="s">
        <v>2</v>
      </c>
      <c r="D10" s="330"/>
      <c r="E10" s="329" t="s">
        <v>3</v>
      </c>
      <c r="F10" s="330"/>
      <c r="G10" s="329" t="s">
        <v>2896</v>
      </c>
      <c r="H10" s="330"/>
      <c r="I10" s="18" t="s">
        <v>2473</v>
      </c>
      <c r="L10" s="18" t="s">
        <v>2336</v>
      </c>
      <c r="AA10" s="183" t="s">
        <v>2322</v>
      </c>
      <c r="AB10" s="183" t="s">
        <v>1697</v>
      </c>
      <c r="AC10" s="183" t="s">
        <v>5</v>
      </c>
      <c r="AU10" s="6"/>
      <c r="AV10" s="6" t="str">
        <f t="shared" si="0"/>
        <v/>
      </c>
    </row>
    <row r="11" spans="1:48" ht="151.5" thickBot="1" x14ac:dyDescent="0.5">
      <c r="A11" s="315" t="s">
        <v>3077</v>
      </c>
      <c r="B11" s="316"/>
      <c r="C11" s="329" t="s">
        <v>1</v>
      </c>
      <c r="D11" s="331"/>
      <c r="E11" s="331"/>
      <c r="F11" s="330"/>
      <c r="G11" s="211"/>
      <c r="H11" s="211"/>
      <c r="J11" s="18" t="s">
        <v>2473</v>
      </c>
      <c r="K11" s="18" t="s">
        <v>2473</v>
      </c>
      <c r="L11" s="18" t="s">
        <v>2336</v>
      </c>
      <c r="AA11" s="183" t="str">
        <f>LEFT($A11,FIND(" ",$A11)-1)</f>
        <v>Bios</v>
      </c>
      <c r="AB11" s="183" t="str">
        <f>MID($A11,FIND("(",$A11)+1,LEN($A11)-FIND("(",$A11)-1)</f>
        <v>1.0.6</v>
      </c>
      <c r="AC11" s="101" t="str">
        <f>AC9</f>
        <v>The BIOS AttributeRegistry describes the system-specific BIOS attributes and actions for changing the BIOS settings. Changes to the BIOS typically require a system reset before they take effect.</v>
      </c>
      <c r="AU11" s="6"/>
      <c r="AV11" s="6" t="str">
        <f t="shared" si="0"/>
        <v/>
      </c>
    </row>
    <row r="12" spans="1:48" ht="14.65" thickBot="1" x14ac:dyDescent="0.5">
      <c r="A12" s="317"/>
      <c r="B12" s="318"/>
      <c r="C12" s="329" t="s">
        <v>2</v>
      </c>
      <c r="D12" s="330"/>
      <c r="E12" s="329" t="s">
        <v>3</v>
      </c>
      <c r="F12" s="330"/>
      <c r="G12" s="329" t="s">
        <v>2896</v>
      </c>
      <c r="H12" s="330"/>
      <c r="J12" s="18" t="s">
        <v>2473</v>
      </c>
      <c r="K12" s="18" t="s">
        <v>2473</v>
      </c>
      <c r="L12" s="18" t="s">
        <v>2336</v>
      </c>
      <c r="AM12" s="8" t="str">
        <f>C12</f>
        <v>OSM-Redfish</v>
      </c>
      <c r="AN12" s="8" t="str">
        <f>E12</f>
        <v>OSM-RedfishBMC</v>
      </c>
      <c r="AO12" s="8" t="str">
        <f>G12</f>
        <v>OSM-RedfishDCN</v>
      </c>
      <c r="AU12" s="6"/>
      <c r="AV12" s="6" t="str">
        <f t="shared" si="0"/>
        <v/>
      </c>
    </row>
    <row r="13" spans="1:48" ht="14.65" thickBot="1" x14ac:dyDescent="0.5">
      <c r="A13" s="46" t="s">
        <v>2377</v>
      </c>
      <c r="B13" s="47"/>
      <c r="C13" s="303"/>
      <c r="D13" s="304"/>
      <c r="E13" s="303" t="s">
        <v>13</v>
      </c>
      <c r="F13" s="304"/>
      <c r="G13" s="303"/>
      <c r="H13" s="304"/>
      <c r="I13" s="18" t="s">
        <v>2473</v>
      </c>
      <c r="J13" s="18" t="s">
        <v>2473</v>
      </c>
      <c r="K13" s="18" t="s">
        <v>2473</v>
      </c>
      <c r="L13" s="18" t="s">
        <v>2336</v>
      </c>
      <c r="AM13" s="8" t="str">
        <f>IF(C13&lt;&gt;"","CRQ-P5-"&amp;(AM$2+$AP13*$AP$3),"")</f>
        <v/>
      </c>
      <c r="AN13" s="8" t="str">
        <f>IF(E13&lt;&gt;"","CRQ-P5-"&amp;(AN$2+$AP13*$AP$3),"")</f>
        <v>CRQ-P5-1316</v>
      </c>
      <c r="AO13" s="8" t="str">
        <f>IF(G13&lt;&gt;"","CRQ-P5-"&amp;(AO$2+$AP13*$AP$3),"")</f>
        <v/>
      </c>
      <c r="AP13" s="8">
        <v>4</v>
      </c>
      <c r="AU13" s="6"/>
      <c r="AV13" s="6" t="str">
        <f t="shared" si="0"/>
        <v/>
      </c>
    </row>
    <row r="14" spans="1:48" ht="14.65" thickBot="1" x14ac:dyDescent="0.5">
      <c r="A14" s="29" t="s">
        <v>3394</v>
      </c>
      <c r="B14" s="9"/>
      <c r="C14" s="305" t="str">
        <f>MID($A9,FIND("(",$A9)+1,5)</f>
        <v>1.0.4</v>
      </c>
      <c r="D14" s="306"/>
      <c r="E14" s="305" t="s">
        <v>3403</v>
      </c>
      <c r="F14" s="306"/>
      <c r="G14" s="305" t="str">
        <f>MID($A9,FIND("(",$A9)+1,5)</f>
        <v>1.0.4</v>
      </c>
      <c r="H14" s="306"/>
      <c r="I14" s="18" t="s">
        <v>2473</v>
      </c>
      <c r="J14" s="18" t="s">
        <v>2473</v>
      </c>
      <c r="K14" s="18" t="s">
        <v>2473</v>
      </c>
      <c r="L14" s="18" t="s">
        <v>2336</v>
      </c>
      <c r="AU14" s="6"/>
      <c r="AV14" s="6" t="str">
        <f t="shared" si="0"/>
        <v/>
      </c>
    </row>
    <row r="15" spans="1:48" ht="14.65" thickBot="1" x14ac:dyDescent="0.5">
      <c r="A15" s="30" t="s">
        <v>4</v>
      </c>
      <c r="B15" s="59" t="s">
        <v>5</v>
      </c>
      <c r="C15" s="7" t="s">
        <v>6</v>
      </c>
      <c r="D15" s="7" t="s">
        <v>7</v>
      </c>
      <c r="E15" s="7" t="s">
        <v>6</v>
      </c>
      <c r="F15" s="7" t="s">
        <v>7</v>
      </c>
      <c r="G15" s="7" t="s">
        <v>6</v>
      </c>
      <c r="H15" s="7" t="s">
        <v>7</v>
      </c>
      <c r="I15" s="18" t="s">
        <v>2473</v>
      </c>
      <c r="J15" s="18" t="s">
        <v>2473</v>
      </c>
      <c r="K15" s="18" t="s">
        <v>2473</v>
      </c>
      <c r="L15" s="18" t="s">
        <v>2336</v>
      </c>
      <c r="AU15" s="6"/>
      <c r="AV15" s="6" t="str">
        <f t="shared" si="0"/>
        <v/>
      </c>
    </row>
    <row r="16" spans="1:48" ht="14.65" thickBot="1" x14ac:dyDescent="0.5">
      <c r="A16" s="31" t="s">
        <v>8</v>
      </c>
      <c r="B16" s="1" t="s">
        <v>9</v>
      </c>
      <c r="C16" s="2"/>
      <c r="D16" s="2"/>
      <c r="E16" s="4" t="s">
        <v>13</v>
      </c>
      <c r="F16" s="4"/>
      <c r="G16" s="2"/>
      <c r="H16" s="2"/>
      <c r="I16" s="18" t="s">
        <v>2473</v>
      </c>
      <c r="J16" s="18" t="s">
        <v>2473</v>
      </c>
      <c r="K16" s="18" t="s">
        <v>2473</v>
      </c>
      <c r="L16" s="18" t="s">
        <v>2336</v>
      </c>
      <c r="AU16" s="6"/>
      <c r="AV16" s="6" t="str">
        <f t="shared" si="0"/>
        <v/>
      </c>
    </row>
    <row r="17" spans="1:48" ht="14.65" thickBot="1" x14ac:dyDescent="0.5">
      <c r="A17" s="32" t="s">
        <v>11</v>
      </c>
      <c r="B17" s="1" t="s">
        <v>12</v>
      </c>
      <c r="C17" s="2"/>
      <c r="D17" s="2"/>
      <c r="E17" s="4" t="s">
        <v>13</v>
      </c>
      <c r="F17" s="4"/>
      <c r="G17" s="2"/>
      <c r="H17" s="2"/>
      <c r="I17" s="18" t="s">
        <v>2473</v>
      </c>
      <c r="J17" s="18" t="s">
        <v>2473</v>
      </c>
      <c r="K17" s="18" t="s">
        <v>2473</v>
      </c>
      <c r="L17" s="18" t="s">
        <v>2336</v>
      </c>
      <c r="AU17" s="6"/>
      <c r="AV17" s="6" t="str">
        <f t="shared" si="0"/>
        <v/>
      </c>
    </row>
    <row r="18" spans="1:48" ht="14.65" thickBot="1" x14ac:dyDescent="0.5">
      <c r="A18" s="32" t="s">
        <v>14</v>
      </c>
      <c r="B18" s="1" t="s">
        <v>15</v>
      </c>
      <c r="C18" s="2"/>
      <c r="D18" s="2"/>
      <c r="E18" s="4" t="s">
        <v>13</v>
      </c>
      <c r="F18" s="4"/>
      <c r="G18" s="2"/>
      <c r="H18" s="2"/>
      <c r="I18" s="18" t="s">
        <v>2473</v>
      </c>
      <c r="J18" s="18" t="s">
        <v>2473</v>
      </c>
      <c r="K18" s="18" t="s">
        <v>2473</v>
      </c>
      <c r="L18" s="18" t="s">
        <v>2336</v>
      </c>
      <c r="AU18" s="8"/>
      <c r="AV18" s="6" t="str">
        <f t="shared" si="0"/>
        <v/>
      </c>
    </row>
    <row r="19" spans="1:48" ht="23.65" thickBot="1" x14ac:dyDescent="0.5">
      <c r="A19" s="31" t="s">
        <v>16</v>
      </c>
      <c r="B19" s="1" t="s">
        <v>17</v>
      </c>
      <c r="C19" s="2"/>
      <c r="D19" s="2"/>
      <c r="E19" s="4"/>
      <c r="F19" s="4"/>
      <c r="G19" s="2"/>
      <c r="H19" s="2"/>
      <c r="I19" s="18" t="s">
        <v>2473</v>
      </c>
      <c r="J19" s="18" t="s">
        <v>2473</v>
      </c>
      <c r="K19" s="18" t="s">
        <v>2473</v>
      </c>
      <c r="L19" s="18" t="s">
        <v>2336</v>
      </c>
      <c r="AU19" s="8"/>
      <c r="AV19" s="6" t="str">
        <f t="shared" si="0"/>
        <v/>
      </c>
    </row>
    <row r="20" spans="1:48" ht="14.65" thickBot="1" x14ac:dyDescent="0.5">
      <c r="A20" s="31" t="s">
        <v>18</v>
      </c>
      <c r="B20" s="1" t="s">
        <v>19</v>
      </c>
      <c r="C20" s="2"/>
      <c r="D20" s="2"/>
      <c r="E20" s="4" t="s">
        <v>10</v>
      </c>
      <c r="F20" s="4"/>
      <c r="G20" s="2"/>
      <c r="H20" s="2"/>
      <c r="I20" s="18" t="s">
        <v>2473</v>
      </c>
      <c r="J20" s="18" t="s">
        <v>2473</v>
      </c>
      <c r="K20" s="18" t="s">
        <v>2473</v>
      </c>
      <c r="L20" s="18" t="s">
        <v>2336</v>
      </c>
      <c r="AU20" s="6"/>
      <c r="AV20" s="6" t="str">
        <f t="shared" si="0"/>
        <v/>
      </c>
    </row>
    <row r="21" spans="1:48" x14ac:dyDescent="0.45">
      <c r="A21" s="33" t="s">
        <v>20</v>
      </c>
      <c r="I21" s="18" t="s">
        <v>2473</v>
      </c>
      <c r="J21" s="18" t="s">
        <v>2473</v>
      </c>
      <c r="K21" s="18" t="s">
        <v>2473</v>
      </c>
      <c r="L21" s="18" t="s">
        <v>2336</v>
      </c>
      <c r="AU21" s="8"/>
      <c r="AV21" s="6" t="str">
        <f t="shared" si="0"/>
        <v/>
      </c>
    </row>
    <row r="22" spans="1:48" x14ac:dyDescent="0.45">
      <c r="A22" s="34" t="s">
        <v>21</v>
      </c>
      <c r="I22" s="18" t="s">
        <v>2473</v>
      </c>
      <c r="J22" s="18" t="s">
        <v>2473</v>
      </c>
      <c r="K22" s="18" t="s">
        <v>2473</v>
      </c>
      <c r="L22" s="18" t="s">
        <v>2336</v>
      </c>
      <c r="AU22" s="8"/>
      <c r="AV22" s="6" t="str">
        <f t="shared" si="0"/>
        <v/>
      </c>
    </row>
    <row r="23" spans="1:48" s="79" customFormat="1" x14ac:dyDescent="0.45">
      <c r="A23" s="75"/>
      <c r="B23" s="76"/>
      <c r="C23" s="77"/>
      <c r="D23" s="77"/>
      <c r="E23" s="77"/>
      <c r="F23" s="77"/>
      <c r="G23" s="77"/>
      <c r="H23" s="77"/>
      <c r="I23" s="77"/>
      <c r="J23" s="77"/>
      <c r="K23" s="77"/>
      <c r="L23" s="77"/>
      <c r="M23" s="148"/>
      <c r="N23" s="78"/>
      <c r="O23" s="78"/>
      <c r="P23" s="78"/>
      <c r="Q23" s="78"/>
      <c r="R23" s="78"/>
      <c r="S23" s="78"/>
      <c r="T23" s="78"/>
      <c r="U23" s="78"/>
      <c r="V23" s="78"/>
      <c r="W23" s="78"/>
      <c r="X23" s="78"/>
      <c r="Y23" s="148"/>
      <c r="Z23" s="78"/>
      <c r="AA23" s="78"/>
      <c r="AB23" s="78"/>
      <c r="AC23" s="78"/>
      <c r="AD23" s="78"/>
      <c r="AE23" s="156"/>
      <c r="AF23" s="156"/>
      <c r="AG23" s="78"/>
      <c r="AH23" s="78"/>
      <c r="AI23" s="78"/>
      <c r="AJ23" s="78"/>
      <c r="AK23" s="78"/>
      <c r="AL23" s="78"/>
      <c r="AM23" s="78"/>
      <c r="AN23" s="78"/>
      <c r="AO23" s="78"/>
      <c r="AP23" s="78"/>
      <c r="AQ23" s="78"/>
      <c r="AR23" s="286"/>
      <c r="AS23" s="78"/>
      <c r="AT23" s="78"/>
      <c r="AU23" s="8"/>
      <c r="AV23" s="6" t="str">
        <f t="shared" si="0"/>
        <v/>
      </c>
    </row>
    <row r="24" spans="1:48" x14ac:dyDescent="0.45">
      <c r="A24" s="27" t="s">
        <v>2391</v>
      </c>
      <c r="I24" s="18" t="s">
        <v>2473</v>
      </c>
      <c r="J24" s="18" t="s">
        <v>2473</v>
      </c>
      <c r="K24" s="18" t="s">
        <v>2473</v>
      </c>
      <c r="L24" s="18" t="s">
        <v>2335</v>
      </c>
      <c r="AU24" s="6"/>
      <c r="AV24" s="6" t="str">
        <f t="shared" si="0"/>
        <v/>
      </c>
    </row>
    <row r="25" spans="1:48" x14ac:dyDescent="0.45">
      <c r="A25" s="323" t="s">
        <v>22</v>
      </c>
      <c r="B25" s="324"/>
      <c r="C25" s="324"/>
      <c r="D25" s="324"/>
      <c r="E25" s="324"/>
      <c r="F25" s="324"/>
      <c r="G25" s="101"/>
      <c r="H25" s="101"/>
      <c r="I25" s="18" t="s">
        <v>2473</v>
      </c>
      <c r="J25" s="18" t="s">
        <v>2473</v>
      </c>
      <c r="K25" s="18" t="s">
        <v>2473</v>
      </c>
      <c r="L25" s="18" t="s">
        <v>2335</v>
      </c>
      <c r="AU25" s="6"/>
      <c r="AV25" s="6" t="str">
        <f t="shared" si="0"/>
        <v/>
      </c>
    </row>
    <row r="26" spans="1:48" x14ac:dyDescent="0.45">
      <c r="A26" s="323" t="s">
        <v>23</v>
      </c>
      <c r="B26" s="324"/>
      <c r="C26" s="324"/>
      <c r="D26" s="324"/>
      <c r="E26" s="324"/>
      <c r="F26" s="324"/>
      <c r="G26" s="101"/>
      <c r="H26" s="101"/>
      <c r="I26" s="18" t="s">
        <v>2473</v>
      </c>
      <c r="J26" s="18" t="s">
        <v>2473</v>
      </c>
      <c r="K26" s="18" t="s">
        <v>2473</v>
      </c>
      <c r="L26" s="18" t="s">
        <v>2335</v>
      </c>
      <c r="AU26" s="6"/>
      <c r="AV26" s="6" t="str">
        <f t="shared" si="0"/>
        <v/>
      </c>
    </row>
    <row r="27" spans="1:48" s="79" customFormat="1" x14ac:dyDescent="0.45">
      <c r="A27" s="75"/>
      <c r="B27" s="76"/>
      <c r="C27" s="77"/>
      <c r="D27" s="77"/>
      <c r="E27" s="77"/>
      <c r="F27" s="77"/>
      <c r="G27" s="77"/>
      <c r="H27" s="77"/>
      <c r="I27" s="77"/>
      <c r="J27" s="77"/>
      <c r="K27" s="77"/>
      <c r="L27" s="77"/>
      <c r="M27" s="148"/>
      <c r="N27" s="78"/>
      <c r="O27" s="78"/>
      <c r="P27" s="78"/>
      <c r="Q27" s="78"/>
      <c r="R27" s="78"/>
      <c r="S27" s="78"/>
      <c r="T27" s="78"/>
      <c r="U27" s="78"/>
      <c r="V27" s="78"/>
      <c r="W27" s="78"/>
      <c r="X27" s="78"/>
      <c r="Y27" s="148"/>
      <c r="Z27" s="78"/>
      <c r="AA27" s="78"/>
      <c r="AB27" s="78"/>
      <c r="AC27" s="78"/>
      <c r="AD27" s="78"/>
      <c r="AE27" s="156"/>
      <c r="AF27" s="156"/>
      <c r="AG27" s="78"/>
      <c r="AH27" s="78"/>
      <c r="AI27" s="78"/>
      <c r="AJ27" s="78"/>
      <c r="AK27" s="78"/>
      <c r="AL27" s="78"/>
      <c r="AM27" s="78"/>
      <c r="AN27" s="78"/>
      <c r="AO27" s="78"/>
      <c r="AP27" s="78"/>
      <c r="AQ27" s="78"/>
      <c r="AR27" s="286"/>
      <c r="AS27" s="78"/>
      <c r="AT27" s="78"/>
      <c r="AU27" s="8"/>
      <c r="AV27" s="6" t="str">
        <f t="shared" si="0"/>
        <v/>
      </c>
    </row>
    <row r="28" spans="1:48" x14ac:dyDescent="0.45">
      <c r="A28" s="27" t="s">
        <v>2795</v>
      </c>
      <c r="I28" s="18" t="s">
        <v>2473</v>
      </c>
      <c r="J28" s="18" t="s">
        <v>2473</v>
      </c>
      <c r="K28" s="18" t="s">
        <v>2473</v>
      </c>
      <c r="L28" s="18" t="s">
        <v>2335</v>
      </c>
      <c r="AU28" s="6"/>
      <c r="AV28" s="6" t="str">
        <f t="shared" si="0"/>
        <v/>
      </c>
    </row>
    <row r="29" spans="1:48" x14ac:dyDescent="0.45">
      <c r="A29" s="323" t="s">
        <v>2794</v>
      </c>
      <c r="B29" s="324"/>
      <c r="C29" s="324"/>
      <c r="D29" s="324"/>
      <c r="E29" s="324"/>
      <c r="F29" s="324"/>
      <c r="G29" s="101"/>
      <c r="H29" s="101"/>
      <c r="I29" s="18" t="s">
        <v>2473</v>
      </c>
      <c r="J29" s="18" t="s">
        <v>2473</v>
      </c>
      <c r="K29" s="18" t="s">
        <v>2473</v>
      </c>
      <c r="L29" s="18" t="s">
        <v>2335</v>
      </c>
      <c r="AU29" s="6"/>
      <c r="AV29" s="6" t="str">
        <f t="shared" si="0"/>
        <v/>
      </c>
    </row>
    <row r="30" spans="1:48" ht="14.65" thickBot="1" x14ac:dyDescent="0.5">
      <c r="A30" s="28" t="s">
        <v>2799</v>
      </c>
      <c r="I30" s="18" t="s">
        <v>2473</v>
      </c>
      <c r="J30" s="18" t="s">
        <v>2473</v>
      </c>
      <c r="K30" s="18" t="s">
        <v>2473</v>
      </c>
      <c r="L30" s="18" t="s">
        <v>2335</v>
      </c>
      <c r="AA30" s="183" t="s">
        <v>2322</v>
      </c>
      <c r="AB30" s="183" t="s">
        <v>1697</v>
      </c>
      <c r="AC30" s="183" t="s">
        <v>5</v>
      </c>
      <c r="AU30" s="6"/>
      <c r="AV30" s="6" t="str">
        <f t="shared" si="0"/>
        <v/>
      </c>
    </row>
    <row r="31" spans="1:48" ht="70.150000000000006" thickBot="1" x14ac:dyDescent="0.5">
      <c r="A31" s="309" t="s">
        <v>2793</v>
      </c>
      <c r="B31" s="310"/>
      <c r="C31" s="301" t="s">
        <v>1</v>
      </c>
      <c r="D31" s="319"/>
      <c r="E31" s="319"/>
      <c r="F31" s="302"/>
      <c r="G31" s="102"/>
      <c r="H31" s="102"/>
      <c r="I31" s="18" t="s">
        <v>2473</v>
      </c>
      <c r="J31" s="18" t="s">
        <v>2473</v>
      </c>
      <c r="K31" s="18" t="s">
        <v>2473</v>
      </c>
      <c r="L31" s="18" t="s">
        <v>2335</v>
      </c>
      <c r="AA31" s="183" t="str">
        <f>LEFT($A31,FIND(" ",$A31)-1)</f>
        <v>ComputerSystemCollection</v>
      </c>
      <c r="AB31" s="183" t="str">
        <f>MID($A31,FIND("(",$A31)+1,LEN($A31)-FIND("(",$A31)-1)</f>
        <v/>
      </c>
      <c r="AC31" s="101" t="str">
        <f>A29</f>
        <v>A ComputerSystemCollection is a collection of ComputerSystem Resources</v>
      </c>
      <c r="AU31" s="6"/>
      <c r="AV31" s="6" t="str">
        <f t="shared" si="0"/>
        <v/>
      </c>
    </row>
    <row r="32" spans="1:48" ht="14.65" thickBot="1" x14ac:dyDescent="0.5">
      <c r="A32" s="311"/>
      <c r="B32" s="312"/>
      <c r="C32" s="301" t="s">
        <v>2</v>
      </c>
      <c r="D32" s="302"/>
      <c r="E32" s="301" t="s">
        <v>3</v>
      </c>
      <c r="F32" s="302"/>
      <c r="G32" s="301" t="s">
        <v>2896</v>
      </c>
      <c r="H32" s="302"/>
      <c r="I32" s="18" t="s">
        <v>2473</v>
      </c>
      <c r="J32" s="18" t="s">
        <v>2473</v>
      </c>
      <c r="K32" s="18" t="s">
        <v>2473</v>
      </c>
      <c r="L32" s="18" t="s">
        <v>2335</v>
      </c>
      <c r="AU32" s="6"/>
      <c r="AV32" s="6" t="str">
        <f t="shared" si="0"/>
        <v/>
      </c>
    </row>
    <row r="33" spans="1:48" ht="14.65" thickBot="1" x14ac:dyDescent="0.5">
      <c r="A33" s="46" t="s">
        <v>2377</v>
      </c>
      <c r="B33" s="47"/>
      <c r="C33" s="303" t="s">
        <v>10</v>
      </c>
      <c r="D33" s="304"/>
      <c r="E33" s="303" t="s">
        <v>10</v>
      </c>
      <c r="F33" s="304"/>
      <c r="G33" s="303" t="s">
        <v>10</v>
      </c>
      <c r="H33" s="304"/>
      <c r="I33" s="18" t="s">
        <v>2473</v>
      </c>
      <c r="J33" s="18" t="s">
        <v>2473</v>
      </c>
      <c r="K33" s="18" t="s">
        <v>2473</v>
      </c>
      <c r="M33" s="145" t="s">
        <v>2797</v>
      </c>
      <c r="AU33" s="6"/>
      <c r="AV33" s="6" t="str">
        <f t="shared" si="0"/>
        <v/>
      </c>
    </row>
    <row r="34" spans="1:48" ht="14.65" thickBot="1" x14ac:dyDescent="0.5">
      <c r="A34" s="30" t="s">
        <v>4</v>
      </c>
      <c r="B34" s="59" t="s">
        <v>5</v>
      </c>
      <c r="C34" s="7" t="s">
        <v>6</v>
      </c>
      <c r="D34" s="7" t="s">
        <v>7</v>
      </c>
      <c r="E34" s="7" t="s">
        <v>6</v>
      </c>
      <c r="F34" s="7" t="s">
        <v>7</v>
      </c>
      <c r="G34" s="7" t="s">
        <v>6</v>
      </c>
      <c r="H34" s="7" t="s">
        <v>7</v>
      </c>
      <c r="I34" s="18" t="s">
        <v>2473</v>
      </c>
      <c r="J34" s="18" t="s">
        <v>2473</v>
      </c>
      <c r="K34" s="18" t="s">
        <v>2473</v>
      </c>
      <c r="L34" s="18" t="s">
        <v>2335</v>
      </c>
      <c r="AU34" s="6"/>
      <c r="AV34" s="6" t="str">
        <f t="shared" si="0"/>
        <v/>
      </c>
    </row>
    <row r="35" spans="1:48" ht="23.65" thickBot="1" x14ac:dyDescent="0.5">
      <c r="A35" s="36" t="s">
        <v>2792</v>
      </c>
      <c r="B35" s="3" t="s">
        <v>3602</v>
      </c>
      <c r="C35" s="4"/>
      <c r="D35" s="4"/>
      <c r="E35" s="4"/>
      <c r="F35" s="4"/>
      <c r="G35" s="4"/>
      <c r="H35" s="4"/>
      <c r="I35" s="18" t="s">
        <v>2473</v>
      </c>
      <c r="J35" s="18" t="s">
        <v>2473</v>
      </c>
      <c r="K35" s="18" t="s">
        <v>2473</v>
      </c>
      <c r="AU35" s="6"/>
      <c r="AV35" s="6" t="str">
        <f t="shared" si="0"/>
        <v/>
      </c>
    </row>
    <row r="36" spans="1:48" ht="14.65" thickBot="1" x14ac:dyDescent="0.5">
      <c r="A36" s="35" t="s">
        <v>33</v>
      </c>
      <c r="B36" s="3" t="s">
        <v>2805</v>
      </c>
      <c r="C36" s="2"/>
      <c r="D36" s="2"/>
      <c r="E36" s="2"/>
      <c r="F36" s="2"/>
      <c r="G36" s="2"/>
      <c r="H36" s="2"/>
      <c r="I36" s="18" t="s">
        <v>2473</v>
      </c>
      <c r="J36" s="18" t="s">
        <v>2473</v>
      </c>
      <c r="K36" s="18" t="s">
        <v>2473</v>
      </c>
      <c r="L36" s="18" t="s">
        <v>2335</v>
      </c>
      <c r="AU36" s="6"/>
      <c r="AV36" s="6" t="str">
        <f t="shared" si="0"/>
        <v/>
      </c>
    </row>
    <row r="37" spans="1:48" x14ac:dyDescent="0.45">
      <c r="A37" s="33" t="s">
        <v>2798</v>
      </c>
      <c r="I37" s="18" t="s">
        <v>2473</v>
      </c>
      <c r="J37" s="18" t="s">
        <v>2473</v>
      </c>
      <c r="K37" s="18" t="s">
        <v>2473</v>
      </c>
      <c r="L37" s="18" t="s">
        <v>2335</v>
      </c>
      <c r="AU37" s="6"/>
      <c r="AV37" s="6" t="str">
        <f t="shared" si="0"/>
        <v/>
      </c>
    </row>
    <row r="38" spans="1:48" x14ac:dyDescent="0.45">
      <c r="A38" s="34" t="s">
        <v>2796</v>
      </c>
      <c r="I38" s="18" t="s">
        <v>2473</v>
      </c>
      <c r="J38" s="18" t="s">
        <v>2473</v>
      </c>
      <c r="K38" s="18" t="s">
        <v>2473</v>
      </c>
      <c r="L38" s="18" t="s">
        <v>2335</v>
      </c>
      <c r="AU38" s="6"/>
      <c r="AV38" s="6" t="str">
        <f t="shared" si="0"/>
        <v/>
      </c>
    </row>
    <row r="39" spans="1:48" s="79" customFormat="1" x14ac:dyDescent="0.45">
      <c r="A39" s="75"/>
      <c r="B39" s="76"/>
      <c r="C39" s="77"/>
      <c r="D39" s="77"/>
      <c r="E39" s="77"/>
      <c r="F39" s="77"/>
      <c r="G39" s="77"/>
      <c r="H39" s="77"/>
      <c r="I39" s="77"/>
      <c r="J39" s="77"/>
      <c r="K39" s="77"/>
      <c r="L39" s="77"/>
      <c r="M39" s="148"/>
      <c r="N39" s="78"/>
      <c r="O39" s="78"/>
      <c r="P39" s="78"/>
      <c r="Q39" s="78"/>
      <c r="R39" s="78"/>
      <c r="S39" s="78"/>
      <c r="T39" s="78"/>
      <c r="U39" s="78"/>
      <c r="V39" s="78"/>
      <c r="W39" s="78"/>
      <c r="X39" s="78"/>
      <c r="Y39" s="148"/>
      <c r="Z39" s="78"/>
      <c r="AA39" s="78"/>
      <c r="AB39" s="78"/>
      <c r="AC39" s="78"/>
      <c r="AD39" s="78"/>
      <c r="AE39" s="156"/>
      <c r="AF39" s="156"/>
      <c r="AG39" s="78"/>
      <c r="AH39" s="78"/>
      <c r="AI39" s="78"/>
      <c r="AJ39" s="78"/>
      <c r="AK39" s="78"/>
      <c r="AL39" s="78"/>
      <c r="AM39" s="78"/>
      <c r="AN39" s="78"/>
      <c r="AO39" s="78"/>
      <c r="AP39" s="78"/>
      <c r="AQ39" s="78"/>
      <c r="AR39" s="286"/>
      <c r="AS39" s="78"/>
      <c r="AT39" s="78"/>
      <c r="AU39" s="8"/>
      <c r="AV39" s="6" t="str">
        <f t="shared" si="0"/>
        <v/>
      </c>
    </row>
    <row r="40" spans="1:48" x14ac:dyDescent="0.45">
      <c r="A40" s="27" t="s">
        <v>2392</v>
      </c>
      <c r="I40" s="18" t="s">
        <v>2473</v>
      </c>
      <c r="J40" s="18" t="s">
        <v>2473</v>
      </c>
      <c r="K40" s="18" t="s">
        <v>2473</v>
      </c>
      <c r="L40" s="18" t="s">
        <v>2335</v>
      </c>
      <c r="AU40" s="6"/>
      <c r="AV40" s="6" t="str">
        <f t="shared" si="0"/>
        <v/>
      </c>
    </row>
    <row r="41" spans="1:48" x14ac:dyDescent="0.45">
      <c r="A41" s="323" t="s">
        <v>2489</v>
      </c>
      <c r="B41" s="324"/>
      <c r="C41" s="324"/>
      <c r="D41" s="324"/>
      <c r="E41" s="324"/>
      <c r="F41" s="324"/>
      <c r="G41" s="101"/>
      <c r="H41" s="101"/>
      <c r="I41" s="18" t="s">
        <v>2473</v>
      </c>
      <c r="J41" s="18" t="s">
        <v>2473</v>
      </c>
      <c r="K41" s="18" t="s">
        <v>2473</v>
      </c>
      <c r="L41" s="18" t="s">
        <v>2335</v>
      </c>
      <c r="AU41" s="6"/>
      <c r="AV41" s="6" t="str">
        <f t="shared" si="0"/>
        <v/>
      </c>
    </row>
    <row r="42" spans="1:48" ht="14.65" thickBot="1" x14ac:dyDescent="0.5">
      <c r="A42" s="28" t="s">
        <v>24</v>
      </c>
      <c r="I42" s="18" t="s">
        <v>2473</v>
      </c>
      <c r="J42" s="18" t="s">
        <v>2473</v>
      </c>
      <c r="K42" s="18" t="s">
        <v>2473</v>
      </c>
      <c r="L42" s="18" t="s">
        <v>2335</v>
      </c>
      <c r="AA42" s="183" t="s">
        <v>2322</v>
      </c>
      <c r="AB42" s="183" t="s">
        <v>1697</v>
      </c>
      <c r="AC42" s="183" t="s">
        <v>5</v>
      </c>
      <c r="AU42" s="6"/>
      <c r="AV42" s="6" t="str">
        <f t="shared" si="0"/>
        <v/>
      </c>
    </row>
    <row r="43" spans="1:48" ht="163.15" thickBot="1" x14ac:dyDescent="0.5">
      <c r="A43" s="309" t="s">
        <v>25</v>
      </c>
      <c r="B43" s="310"/>
      <c r="C43" s="301" t="s">
        <v>1</v>
      </c>
      <c r="D43" s="319"/>
      <c r="E43" s="319"/>
      <c r="F43" s="302"/>
      <c r="G43" s="102"/>
      <c r="H43" s="102"/>
      <c r="I43" s="18" t="s">
        <v>2473</v>
      </c>
      <c r="L43" s="18" t="s">
        <v>2334</v>
      </c>
      <c r="R43" s="111" t="s">
        <v>3426</v>
      </c>
      <c r="S43" s="349" t="s">
        <v>823</v>
      </c>
      <c r="T43" s="350"/>
      <c r="U43" s="350"/>
      <c r="V43" s="350"/>
      <c r="W43" s="350"/>
      <c r="X43" s="351"/>
      <c r="Y43" s="118"/>
      <c r="Z43" s="185"/>
      <c r="AA43" s="183" t="str">
        <f>LEFT($A43,FIND(" ",$A43)-1)</f>
        <v>ComputerSystem</v>
      </c>
      <c r="AB43" s="183" t="str">
        <f>MID($A43,FIND("(",$A43)+1,LEN($A43)-FIND("(",$A43)-1)</f>
        <v>1.5.1</v>
      </c>
      <c r="AC43" s="101" t="str">
        <f>A41</f>
        <v>A ComputerSystem represents a machine (physical or virtual) and the local resources such as memory, CPU, and other devices that can be accessed from that machine.</v>
      </c>
      <c r="AD43" s="185"/>
      <c r="AE43" s="186"/>
      <c r="AF43" s="186"/>
      <c r="AG43" s="185"/>
      <c r="AH43" s="185"/>
      <c r="AI43" s="185"/>
      <c r="AJ43" s="185"/>
      <c r="AK43" s="185"/>
      <c r="AL43" s="185"/>
      <c r="AM43" s="185"/>
      <c r="AN43" s="117"/>
      <c r="AO43" s="117"/>
      <c r="AP43" s="117"/>
      <c r="AQ43" s="117"/>
      <c r="AR43" s="287"/>
      <c r="AS43" s="258"/>
      <c r="AT43" s="185"/>
      <c r="AU43" s="6"/>
      <c r="AV43" s="6" t="str">
        <f t="shared" si="0"/>
        <v/>
      </c>
    </row>
    <row r="44" spans="1:48" ht="15" customHeight="1" thickBot="1" x14ac:dyDescent="0.5">
      <c r="A44" s="311"/>
      <c r="B44" s="312"/>
      <c r="C44" s="301" t="s">
        <v>2</v>
      </c>
      <c r="D44" s="302"/>
      <c r="E44" s="301" t="s">
        <v>3</v>
      </c>
      <c r="F44" s="302"/>
      <c r="G44" s="301" t="s">
        <v>2896</v>
      </c>
      <c r="H44" s="302"/>
      <c r="I44" s="18" t="s">
        <v>2473</v>
      </c>
      <c r="L44" s="18" t="s">
        <v>2334</v>
      </c>
      <c r="R44" s="112" t="s">
        <v>3427</v>
      </c>
      <c r="S44" s="352" t="s">
        <v>3447</v>
      </c>
      <c r="T44" s="353"/>
      <c r="U44" s="353"/>
      <c r="V44" s="353"/>
      <c r="W44" s="353"/>
      <c r="X44" s="354"/>
      <c r="Y44" s="149"/>
      <c r="Z44" s="183"/>
      <c r="AA44" s="183" t="s">
        <v>2322</v>
      </c>
      <c r="AB44" s="183" t="s">
        <v>1697</v>
      </c>
      <c r="AC44" s="183" t="s">
        <v>5</v>
      </c>
      <c r="AD44" s="183"/>
      <c r="AE44" s="184"/>
      <c r="AF44" s="184"/>
      <c r="AG44" s="183"/>
      <c r="AH44" s="183"/>
      <c r="AI44" s="183"/>
      <c r="AJ44" s="183"/>
      <c r="AK44" s="183"/>
      <c r="AL44" s="183"/>
      <c r="AM44" s="183"/>
      <c r="AN44" s="131"/>
      <c r="AO44" s="131"/>
      <c r="AP44" s="131"/>
      <c r="AQ44" s="131"/>
      <c r="AR44" s="288"/>
      <c r="AS44" s="259"/>
      <c r="AT44" s="183"/>
      <c r="AU44" s="6"/>
      <c r="AV44" s="6" t="str">
        <f t="shared" si="0"/>
        <v/>
      </c>
    </row>
    <row r="45" spans="1:48" ht="163.15" thickBot="1" x14ac:dyDescent="0.5">
      <c r="A45" s="309" t="s">
        <v>3037</v>
      </c>
      <c r="B45" s="310"/>
      <c r="C45" s="301" t="s">
        <v>1</v>
      </c>
      <c r="D45" s="319"/>
      <c r="E45" s="319"/>
      <c r="F45" s="302"/>
      <c r="G45" s="102"/>
      <c r="H45" s="102"/>
      <c r="J45" s="18" t="s">
        <v>2473</v>
      </c>
      <c r="K45" s="18" t="s">
        <v>2473</v>
      </c>
      <c r="L45" s="18" t="s">
        <v>2334</v>
      </c>
      <c r="R45" s="112" t="s">
        <v>3428</v>
      </c>
      <c r="S45" s="352" t="b">
        <v>0</v>
      </c>
      <c r="T45" s="353"/>
      <c r="U45" s="353"/>
      <c r="V45" s="353"/>
      <c r="W45" s="353"/>
      <c r="X45" s="354"/>
      <c r="Y45" s="149"/>
      <c r="Z45" s="183"/>
      <c r="AA45" s="183" t="str">
        <f>LEFT($A45,FIND(" ",$A45)-1)</f>
        <v>ComputerSystem</v>
      </c>
      <c r="AB45" s="183" t="str">
        <f>MID($A45,FIND("(",$A45)+1,LEN($A45)-FIND("(",$A45)-1)</f>
        <v>1.7.0</v>
      </c>
      <c r="AC45" s="101" t="str">
        <f>AC43</f>
        <v>A ComputerSystem represents a machine (physical or virtual) and the local resources such as memory, CPU, and other devices that can be accessed from that machine.</v>
      </c>
      <c r="AD45" s="183"/>
      <c r="AE45" s="184"/>
      <c r="AF45" s="184"/>
      <c r="AG45" s="183"/>
      <c r="AH45" s="183"/>
      <c r="AI45" s="183"/>
      <c r="AJ45" s="183"/>
      <c r="AK45" s="183"/>
      <c r="AL45" s="183"/>
      <c r="AM45" s="183"/>
      <c r="AN45" s="131"/>
      <c r="AO45" s="131"/>
      <c r="AP45" s="131"/>
      <c r="AQ45" s="131"/>
      <c r="AR45" s="288"/>
      <c r="AS45" s="259"/>
      <c r="AT45" s="183"/>
      <c r="AU45" s="6"/>
      <c r="AV45" s="6" t="str">
        <f t="shared" si="0"/>
        <v/>
      </c>
    </row>
    <row r="46" spans="1:48" ht="24.4" thickBot="1" x14ac:dyDescent="0.5">
      <c r="A46" s="311"/>
      <c r="B46" s="312"/>
      <c r="C46" s="301" t="s">
        <v>2</v>
      </c>
      <c r="D46" s="302"/>
      <c r="E46" s="301" t="s">
        <v>3</v>
      </c>
      <c r="F46" s="302"/>
      <c r="G46" s="301" t="s">
        <v>2896</v>
      </c>
      <c r="H46" s="302"/>
      <c r="J46" s="18" t="s">
        <v>2473</v>
      </c>
      <c r="K46" s="18" t="s">
        <v>2473</v>
      </c>
      <c r="L46" s="18" t="s">
        <v>2335</v>
      </c>
      <c r="R46" s="115"/>
      <c r="S46" s="115"/>
      <c r="T46" s="115"/>
      <c r="U46" s="115"/>
      <c r="V46" s="115"/>
      <c r="W46" s="115"/>
      <c r="X46" s="116"/>
      <c r="Y46" s="149"/>
      <c r="Z46" s="183"/>
      <c r="AA46" s="183"/>
      <c r="AB46" s="183"/>
      <c r="AC46" s="183"/>
      <c r="AD46" s="183"/>
      <c r="AE46" s="184"/>
      <c r="AF46" s="184"/>
      <c r="AG46" s="183"/>
      <c r="AH46" s="183"/>
      <c r="AI46" s="183"/>
      <c r="AJ46" s="183"/>
      <c r="AK46" s="183"/>
      <c r="AL46" s="183"/>
      <c r="AM46" s="8" t="str">
        <f>C46</f>
        <v>OSM-Redfish</v>
      </c>
      <c r="AN46" s="8" t="str">
        <f>E46</f>
        <v>OSM-RedfishBMC</v>
      </c>
      <c r="AO46" s="8" t="str">
        <f>G46</f>
        <v>OSM-RedfishDCN</v>
      </c>
      <c r="AP46" s="131"/>
      <c r="AQ46" s="131"/>
      <c r="AR46" s="288"/>
      <c r="AS46" s="259"/>
      <c r="AT46" s="183"/>
      <c r="AU46" s="6"/>
      <c r="AV46" s="6" t="str">
        <f t="shared" si="0"/>
        <v/>
      </c>
    </row>
    <row r="47" spans="1:48" ht="14.65" thickBot="1" x14ac:dyDescent="0.5">
      <c r="A47" s="46" t="s">
        <v>2377</v>
      </c>
      <c r="B47" s="47"/>
      <c r="C47" s="303" t="s">
        <v>10</v>
      </c>
      <c r="D47" s="304"/>
      <c r="E47" s="303" t="s">
        <v>10</v>
      </c>
      <c r="F47" s="304"/>
      <c r="G47" s="303" t="s">
        <v>10</v>
      </c>
      <c r="H47" s="304"/>
      <c r="I47" s="18" t="s">
        <v>2473</v>
      </c>
      <c r="J47" s="18" t="s">
        <v>2473</v>
      </c>
      <c r="K47" s="18" t="s">
        <v>2473</v>
      </c>
      <c r="R47" s="129"/>
      <c r="S47" s="117"/>
      <c r="T47" s="117"/>
      <c r="U47" s="117"/>
      <c r="V47" s="117"/>
      <c r="W47" s="117"/>
      <c r="X47" s="118"/>
      <c r="Y47" s="118"/>
      <c r="Z47" s="185"/>
      <c r="AA47" s="185"/>
      <c r="AB47" s="185"/>
      <c r="AC47" s="185"/>
      <c r="AD47" s="185"/>
      <c r="AE47" s="186"/>
      <c r="AF47" s="186"/>
      <c r="AG47" s="185"/>
      <c r="AH47" s="185"/>
      <c r="AI47" s="185"/>
      <c r="AJ47" s="185"/>
      <c r="AK47" s="185"/>
      <c r="AL47" s="185"/>
      <c r="AM47" s="8" t="str">
        <f>IF(C47&lt;&gt;"","CRQ-P5-"&amp;(AM$2+$AP47*$AP$3),"")</f>
        <v>CRQ-P5-1036</v>
      </c>
      <c r="AN47" s="8" t="str">
        <f>IF(E47&lt;&gt;"","CRQ-P5-"&amp;(AN$2+$AP47*$AP$3),"")</f>
        <v>CRQ-P5-1336</v>
      </c>
      <c r="AO47" s="8" t="str">
        <f>IF(G47&lt;&gt;"","CRQ-P5-"&amp;(AO$2+$AP47*$AP$3),"")</f>
        <v>CRQ-P5-1636</v>
      </c>
      <c r="AP47" s="117">
        <v>9</v>
      </c>
      <c r="AQ47" s="117"/>
      <c r="AR47" s="287"/>
      <c r="AS47" s="258"/>
      <c r="AT47" s="185"/>
      <c r="AU47" s="6"/>
      <c r="AV47" s="6" t="str">
        <f t="shared" si="0"/>
        <v/>
      </c>
    </row>
    <row r="48" spans="1:48" ht="14.65" thickBot="1" x14ac:dyDescent="0.5">
      <c r="A48" s="29" t="s">
        <v>3394</v>
      </c>
      <c r="B48" s="9"/>
      <c r="C48" s="305" t="str">
        <f>MID($A43,FIND("(",$A43)+1,5)</f>
        <v>1.5.1</v>
      </c>
      <c r="D48" s="306"/>
      <c r="E48" s="305" t="s">
        <v>3404</v>
      </c>
      <c r="F48" s="306"/>
      <c r="G48" s="305" t="str">
        <f>MID($A43,FIND("(",$A43)+1,5)</f>
        <v>1.5.1</v>
      </c>
      <c r="H48" s="306"/>
      <c r="I48" s="18" t="s">
        <v>2473</v>
      </c>
      <c r="J48" s="18" t="s">
        <v>2473</v>
      </c>
      <c r="K48" s="18" t="s">
        <v>2473</v>
      </c>
      <c r="L48" s="18" t="s">
        <v>2334</v>
      </c>
      <c r="R48" s="123" t="s">
        <v>3429</v>
      </c>
      <c r="S48" s="124" t="s">
        <v>3430</v>
      </c>
      <c r="T48" s="124" t="s">
        <v>3427</v>
      </c>
      <c r="U48" s="124" t="s">
        <v>3431</v>
      </c>
      <c r="V48" s="124" t="s">
        <v>3432</v>
      </c>
      <c r="W48" s="124" t="s">
        <v>3433</v>
      </c>
      <c r="X48" s="128" t="s">
        <v>3434</v>
      </c>
      <c r="Y48" s="118" t="s">
        <v>3965</v>
      </c>
      <c r="Z48" s="185"/>
      <c r="AA48" s="185"/>
      <c r="AB48" s="185"/>
      <c r="AC48" s="185"/>
      <c r="AD48" s="185"/>
      <c r="AE48" s="186"/>
      <c r="AF48" s="186"/>
      <c r="AG48" s="185"/>
      <c r="AH48" s="185"/>
      <c r="AI48" s="185"/>
      <c r="AJ48" s="185"/>
      <c r="AK48" s="185"/>
      <c r="AL48" s="185"/>
      <c r="AM48" s="185"/>
      <c r="AN48" s="117"/>
      <c r="AO48" s="117"/>
      <c r="AP48" s="117"/>
      <c r="AQ48" s="117"/>
      <c r="AR48" s="287"/>
      <c r="AS48" s="258"/>
      <c r="AT48" s="185"/>
      <c r="AU48" s="6"/>
      <c r="AV48" s="6" t="str">
        <f t="shared" si="0"/>
        <v/>
      </c>
    </row>
    <row r="49" spans="1:48" ht="15" customHeight="1" thickBot="1" x14ac:dyDescent="0.5">
      <c r="A49" s="30" t="s">
        <v>4</v>
      </c>
      <c r="B49" s="59" t="s">
        <v>5</v>
      </c>
      <c r="C49" s="7" t="s">
        <v>6</v>
      </c>
      <c r="D49" s="7" t="s">
        <v>7</v>
      </c>
      <c r="E49" s="7" t="s">
        <v>6</v>
      </c>
      <c r="F49" s="7" t="s">
        <v>7</v>
      </c>
      <c r="G49" s="7" t="s">
        <v>6</v>
      </c>
      <c r="H49" s="7" t="s">
        <v>7</v>
      </c>
      <c r="I49" s="18" t="s">
        <v>2473</v>
      </c>
      <c r="J49" s="18" t="s">
        <v>2473</v>
      </c>
      <c r="K49" s="18" t="s">
        <v>2473</v>
      </c>
      <c r="L49" s="18" t="s">
        <v>2334</v>
      </c>
      <c r="R49" s="352" t="s">
        <v>4040</v>
      </c>
      <c r="S49" s="353"/>
      <c r="T49" s="353"/>
      <c r="U49" s="353"/>
      <c r="V49" s="353"/>
      <c r="W49" s="353"/>
      <c r="X49" s="357"/>
      <c r="Y49" s="149"/>
      <c r="Z49" s="183"/>
      <c r="AA49" s="183"/>
      <c r="AB49" s="183"/>
      <c r="AC49" s="183"/>
      <c r="AD49" s="183"/>
      <c r="AE49" s="184"/>
      <c r="AF49" s="184"/>
      <c r="AG49" s="183"/>
      <c r="AH49" s="183"/>
      <c r="AI49" s="183"/>
      <c r="AJ49" s="183"/>
      <c r="AK49" s="183"/>
      <c r="AL49" s="183"/>
      <c r="AM49" s="183"/>
      <c r="AN49" s="131"/>
      <c r="AO49" s="131"/>
      <c r="AP49" s="131"/>
      <c r="AQ49" s="131"/>
      <c r="AR49" s="288"/>
      <c r="AS49" s="259"/>
      <c r="AT49" s="183"/>
      <c r="AU49" s="6"/>
      <c r="AV49" s="6" t="str">
        <f t="shared" si="0"/>
        <v/>
      </c>
    </row>
    <row r="50" spans="1:48" ht="47.65" thickBot="1" x14ac:dyDescent="0.5">
      <c r="A50" s="31" t="s">
        <v>8</v>
      </c>
      <c r="B50" s="1" t="s">
        <v>9</v>
      </c>
      <c r="C50" s="4" t="s">
        <v>13</v>
      </c>
      <c r="D50" s="4"/>
      <c r="E50" s="4" t="s">
        <v>10</v>
      </c>
      <c r="F50" s="4"/>
      <c r="G50" s="4" t="s">
        <v>13</v>
      </c>
      <c r="H50" s="2"/>
      <c r="I50" s="18" t="s">
        <v>2473</v>
      </c>
      <c r="J50" s="18" t="s">
        <v>2473</v>
      </c>
      <c r="K50" s="18" t="s">
        <v>2473</v>
      </c>
      <c r="L50" s="18" t="s">
        <v>2335</v>
      </c>
      <c r="AS50" s="206" t="s">
        <v>5885</v>
      </c>
      <c r="AU50" s="6"/>
      <c r="AV50" s="6" t="str">
        <f t="shared" si="0"/>
        <v/>
      </c>
    </row>
    <row r="51" spans="1:48" ht="14.65" thickBot="1" x14ac:dyDescent="0.5">
      <c r="A51" s="32" t="s">
        <v>26</v>
      </c>
      <c r="B51" s="1" t="s">
        <v>27</v>
      </c>
      <c r="C51" s="4" t="s">
        <v>13</v>
      </c>
      <c r="D51" s="4"/>
      <c r="E51" s="4" t="s">
        <v>10</v>
      </c>
      <c r="F51" s="4"/>
      <c r="G51" s="4" t="s">
        <v>13</v>
      </c>
      <c r="H51" s="2"/>
      <c r="I51" s="18" t="s">
        <v>2473</v>
      </c>
      <c r="J51" s="18" t="s">
        <v>2473</v>
      </c>
      <c r="K51" s="18" t="s">
        <v>2473</v>
      </c>
      <c r="L51" s="18" t="s">
        <v>2336</v>
      </c>
      <c r="AU51" s="6"/>
      <c r="AV51" s="6" t="str">
        <f t="shared" si="0"/>
        <v/>
      </c>
    </row>
    <row r="52" spans="1:48" ht="35.25" thickBot="1" x14ac:dyDescent="0.5">
      <c r="A52" s="32" t="s">
        <v>28</v>
      </c>
      <c r="B52" s="1" t="s">
        <v>29</v>
      </c>
      <c r="C52" s="4"/>
      <c r="D52" s="4"/>
      <c r="E52" s="4"/>
      <c r="F52" s="4"/>
      <c r="G52" s="4"/>
      <c r="H52" s="2"/>
      <c r="I52" s="18" t="s">
        <v>2473</v>
      </c>
      <c r="J52" s="18" t="s">
        <v>2473</v>
      </c>
      <c r="K52" s="18" t="s">
        <v>2473</v>
      </c>
      <c r="L52" s="18" t="s">
        <v>2335</v>
      </c>
      <c r="AU52" s="6"/>
      <c r="AV52" s="6" t="str">
        <f t="shared" si="0"/>
        <v/>
      </c>
    </row>
    <row r="53" spans="1:48" ht="23.65" thickBot="1" x14ac:dyDescent="0.5">
      <c r="A53" s="31" t="s">
        <v>30</v>
      </c>
      <c r="B53" s="1" t="s">
        <v>31</v>
      </c>
      <c r="C53" s="4" t="s">
        <v>13</v>
      </c>
      <c r="D53" s="4" t="s">
        <v>13</v>
      </c>
      <c r="E53" s="4" t="s">
        <v>13</v>
      </c>
      <c r="F53" s="4" t="s">
        <v>13</v>
      </c>
      <c r="G53" s="4" t="s">
        <v>13</v>
      </c>
      <c r="H53" s="4" t="s">
        <v>13</v>
      </c>
      <c r="I53" s="18" t="s">
        <v>2473</v>
      </c>
      <c r="J53" s="18" t="s">
        <v>2473</v>
      </c>
      <c r="K53" s="18" t="s">
        <v>2473</v>
      </c>
      <c r="L53" s="18" t="s">
        <v>2334</v>
      </c>
      <c r="R53" s="122" t="s">
        <v>3529</v>
      </c>
      <c r="S53" s="114" t="s">
        <v>4</v>
      </c>
      <c r="T53" s="114" t="s">
        <v>30</v>
      </c>
      <c r="U53" s="114" t="s">
        <v>3521</v>
      </c>
      <c r="V53" s="114" t="s">
        <v>3530</v>
      </c>
      <c r="W53" s="114" t="s">
        <v>3436</v>
      </c>
      <c r="X53" s="114" t="s">
        <v>13</v>
      </c>
      <c r="Y53" s="149"/>
      <c r="Z53" s="183"/>
      <c r="AA53" s="183"/>
      <c r="AB53" s="183"/>
      <c r="AC53" s="183"/>
      <c r="AD53" s="183"/>
      <c r="AE53" s="184"/>
      <c r="AF53" s="184"/>
      <c r="AG53" s="183"/>
      <c r="AH53" s="183"/>
      <c r="AI53" s="183"/>
      <c r="AJ53" s="183"/>
      <c r="AK53" s="183"/>
      <c r="AL53" s="183"/>
      <c r="AM53" s="183"/>
      <c r="AN53" s="131"/>
      <c r="AO53" s="131"/>
      <c r="AP53" s="131"/>
      <c r="AQ53" s="131"/>
      <c r="AR53" s="288"/>
      <c r="AS53" s="259"/>
      <c r="AT53" s="183"/>
      <c r="AU53" s="6"/>
      <c r="AV53" s="6" t="str">
        <f t="shared" si="0"/>
        <v>OK</v>
      </c>
    </row>
    <row r="54" spans="1:48" ht="14.65" thickBot="1" x14ac:dyDescent="0.5">
      <c r="A54" s="31" t="s">
        <v>32</v>
      </c>
      <c r="B54" s="1" t="s">
        <v>3578</v>
      </c>
      <c r="C54" s="4"/>
      <c r="D54" s="4"/>
      <c r="E54" s="4" t="s">
        <v>13</v>
      </c>
      <c r="F54" s="4"/>
      <c r="G54" s="4"/>
      <c r="H54" s="4"/>
      <c r="I54" s="18" t="s">
        <v>2473</v>
      </c>
      <c r="J54" s="18" t="s">
        <v>2473</v>
      </c>
      <c r="K54" s="18" t="s">
        <v>2473</v>
      </c>
      <c r="AU54" s="6"/>
      <c r="AV54" s="6" t="str">
        <f t="shared" si="0"/>
        <v/>
      </c>
    </row>
    <row r="55" spans="1:48" ht="14.65" thickBot="1" x14ac:dyDescent="0.5">
      <c r="A55" s="32" t="s">
        <v>33</v>
      </c>
      <c r="B55" s="1" t="s">
        <v>34</v>
      </c>
      <c r="C55" s="4"/>
      <c r="D55" s="4"/>
      <c r="E55" s="4"/>
      <c r="F55" s="4"/>
      <c r="G55" s="4"/>
      <c r="H55" s="4"/>
      <c r="I55" s="18" t="s">
        <v>2473</v>
      </c>
      <c r="J55" s="18" t="s">
        <v>2473</v>
      </c>
      <c r="K55" s="18" t="s">
        <v>2473</v>
      </c>
      <c r="L55" s="18" t="s">
        <v>2335</v>
      </c>
      <c r="AU55" s="6"/>
      <c r="AV55" s="6" t="str">
        <f t="shared" si="0"/>
        <v/>
      </c>
    </row>
    <row r="56" spans="1:48" ht="14.65" thickBot="1" x14ac:dyDescent="0.5">
      <c r="A56" s="31" t="s">
        <v>35</v>
      </c>
      <c r="B56" s="1" t="s">
        <v>36</v>
      </c>
      <c r="C56" s="4" t="s">
        <v>13</v>
      </c>
      <c r="D56" s="4"/>
      <c r="E56" s="4" t="s">
        <v>10</v>
      </c>
      <c r="F56" s="4"/>
      <c r="G56" s="4" t="s">
        <v>13</v>
      </c>
      <c r="H56" s="4"/>
      <c r="I56" s="18" t="s">
        <v>2473</v>
      </c>
      <c r="J56" s="18" t="s">
        <v>2473</v>
      </c>
      <c r="K56" s="18" t="s">
        <v>2473</v>
      </c>
      <c r="L56" s="18" t="s">
        <v>2334</v>
      </c>
      <c r="R56" s="122" t="s">
        <v>3529</v>
      </c>
      <c r="S56" s="114" t="s">
        <v>4</v>
      </c>
      <c r="T56" s="114" t="s">
        <v>35</v>
      </c>
      <c r="U56" s="114" t="s">
        <v>3521</v>
      </c>
      <c r="V56" s="114" t="s">
        <v>3530</v>
      </c>
      <c r="W56" s="114" t="s">
        <v>3436</v>
      </c>
      <c r="X56" s="114" t="s">
        <v>13</v>
      </c>
      <c r="AU56" s="6"/>
      <c r="AV56" s="6" t="str">
        <f t="shared" si="0"/>
        <v>OK</v>
      </c>
    </row>
    <row r="57" spans="1:48" ht="47.65" thickBot="1" x14ac:dyDescent="0.5">
      <c r="A57" s="31" t="s">
        <v>38</v>
      </c>
      <c r="B57" s="1" t="s">
        <v>39</v>
      </c>
      <c r="C57" s="4" t="s">
        <v>13</v>
      </c>
      <c r="D57" s="4"/>
      <c r="E57" s="4" t="s">
        <v>10</v>
      </c>
      <c r="F57" s="4"/>
      <c r="G57" s="4" t="s">
        <v>13</v>
      </c>
      <c r="H57" s="4"/>
      <c r="I57" s="18" t="s">
        <v>2473</v>
      </c>
      <c r="J57" s="18" t="s">
        <v>2473</v>
      </c>
      <c r="K57" s="18" t="s">
        <v>2473</v>
      </c>
      <c r="L57" s="18" t="s">
        <v>2335</v>
      </c>
      <c r="AS57" s="206" t="s">
        <v>5860</v>
      </c>
      <c r="AU57" s="6"/>
      <c r="AV57" s="6" t="str">
        <f t="shared" si="0"/>
        <v/>
      </c>
    </row>
    <row r="58" spans="1:48" ht="23.65" thickBot="1" x14ac:dyDescent="0.5">
      <c r="A58" s="32" t="s">
        <v>40</v>
      </c>
      <c r="B58" s="1" t="s">
        <v>41</v>
      </c>
      <c r="C58" s="4"/>
      <c r="D58" s="4"/>
      <c r="E58" s="4"/>
      <c r="F58" s="4"/>
      <c r="G58" s="4"/>
      <c r="H58" s="4"/>
      <c r="I58" s="18" t="s">
        <v>2473</v>
      </c>
      <c r="J58" s="18" t="s">
        <v>2473</v>
      </c>
      <c r="K58" s="18" t="s">
        <v>2473</v>
      </c>
      <c r="L58" s="18" t="s">
        <v>2335</v>
      </c>
      <c r="AU58" s="6"/>
      <c r="AV58" s="6" t="str">
        <f t="shared" si="0"/>
        <v/>
      </c>
    </row>
    <row r="59" spans="1:48" ht="23.65" thickBot="1" x14ac:dyDescent="0.5">
      <c r="A59" s="32" t="s">
        <v>42</v>
      </c>
      <c r="B59" s="1" t="s">
        <v>3603</v>
      </c>
      <c r="C59" s="4"/>
      <c r="D59" s="4"/>
      <c r="E59" s="4"/>
      <c r="F59" s="4"/>
      <c r="G59" s="4"/>
      <c r="H59" s="4"/>
      <c r="I59" s="18" t="s">
        <v>2473</v>
      </c>
      <c r="J59" s="18" t="s">
        <v>2473</v>
      </c>
      <c r="K59" s="18" t="s">
        <v>2473</v>
      </c>
      <c r="L59" s="18" t="s">
        <v>2335</v>
      </c>
      <c r="AU59" s="6"/>
      <c r="AV59" s="6" t="str">
        <f t="shared" si="0"/>
        <v/>
      </c>
    </row>
    <row r="60" spans="1:48" ht="14.65" thickBot="1" x14ac:dyDescent="0.5">
      <c r="A60" s="32" t="s">
        <v>43</v>
      </c>
      <c r="B60" s="1" t="s">
        <v>44</v>
      </c>
      <c r="C60" s="4"/>
      <c r="D60" s="4"/>
      <c r="E60" s="4"/>
      <c r="F60" s="4"/>
      <c r="G60" s="4"/>
      <c r="H60" s="4"/>
      <c r="I60" s="18" t="s">
        <v>2473</v>
      </c>
      <c r="J60" s="18" t="s">
        <v>2473</v>
      </c>
      <c r="K60" s="18" t="s">
        <v>2473</v>
      </c>
      <c r="L60" s="18" t="s">
        <v>2335</v>
      </c>
      <c r="AU60" s="6"/>
      <c r="AV60" s="6" t="str">
        <f t="shared" si="0"/>
        <v/>
      </c>
    </row>
    <row r="61" spans="1:48" ht="23.65" thickBot="1" x14ac:dyDescent="0.5">
      <c r="A61" s="32" t="s">
        <v>45</v>
      </c>
      <c r="B61" s="1" t="s">
        <v>46</v>
      </c>
      <c r="C61" s="4" t="s">
        <v>13</v>
      </c>
      <c r="D61" s="4" t="s">
        <v>13</v>
      </c>
      <c r="E61" s="4" t="s">
        <v>13</v>
      </c>
      <c r="F61" s="4" t="s">
        <v>13</v>
      </c>
      <c r="G61" s="4" t="s">
        <v>13</v>
      </c>
      <c r="H61" s="4" t="s">
        <v>13</v>
      </c>
      <c r="I61" s="18" t="s">
        <v>2473</v>
      </c>
      <c r="J61" s="18" t="s">
        <v>2473</v>
      </c>
      <c r="K61" s="18" t="s">
        <v>2473</v>
      </c>
      <c r="AU61" s="6"/>
      <c r="AV61" s="6" t="str">
        <f t="shared" si="0"/>
        <v/>
      </c>
    </row>
    <row r="62" spans="1:48" ht="23.65" thickBot="1" x14ac:dyDescent="0.5">
      <c r="A62" s="32" t="s">
        <v>3038</v>
      </c>
      <c r="B62" s="1" t="s">
        <v>3969</v>
      </c>
      <c r="C62" s="4" t="s">
        <v>13</v>
      </c>
      <c r="D62" s="4" t="s">
        <v>13</v>
      </c>
      <c r="E62" s="4" t="s">
        <v>13</v>
      </c>
      <c r="F62" s="4" t="s">
        <v>13</v>
      </c>
      <c r="G62" s="4" t="s">
        <v>13</v>
      </c>
      <c r="H62" s="4" t="s">
        <v>13</v>
      </c>
      <c r="J62" s="18" t="s">
        <v>2473</v>
      </c>
      <c r="K62" s="18" t="s">
        <v>2473</v>
      </c>
      <c r="AU62" s="6"/>
      <c r="AV62" s="6" t="str">
        <f t="shared" si="0"/>
        <v/>
      </c>
    </row>
    <row r="63" spans="1:48" ht="14.65" thickBot="1" x14ac:dyDescent="0.5">
      <c r="A63" s="32" t="s">
        <v>47</v>
      </c>
      <c r="B63" s="1" t="s">
        <v>48</v>
      </c>
      <c r="C63" s="4" t="s">
        <v>13</v>
      </c>
      <c r="D63" s="4" t="s">
        <v>13</v>
      </c>
      <c r="E63" s="4" t="s">
        <v>10</v>
      </c>
      <c r="F63" s="4" t="s">
        <v>10</v>
      </c>
      <c r="G63" s="4" t="s">
        <v>13</v>
      </c>
      <c r="H63" s="4" t="s">
        <v>13</v>
      </c>
      <c r="I63" s="18" t="s">
        <v>2473</v>
      </c>
      <c r="J63" s="18" t="s">
        <v>2473</v>
      </c>
      <c r="K63" s="18" t="s">
        <v>2473</v>
      </c>
      <c r="AU63" s="6"/>
      <c r="AV63" s="6" t="str">
        <f t="shared" si="0"/>
        <v/>
      </c>
    </row>
    <row r="64" spans="1:48" ht="23.65" thickBot="1" x14ac:dyDescent="0.5">
      <c r="A64" s="32" t="s">
        <v>49</v>
      </c>
      <c r="B64" s="1" t="s">
        <v>50</v>
      </c>
      <c r="C64" s="4" t="s">
        <v>13</v>
      </c>
      <c r="D64" s="4" t="s">
        <v>13</v>
      </c>
      <c r="E64" s="4" t="s">
        <v>10</v>
      </c>
      <c r="F64" s="4" t="s">
        <v>10</v>
      </c>
      <c r="G64" s="4" t="s">
        <v>13</v>
      </c>
      <c r="H64" s="4" t="s">
        <v>13</v>
      </c>
      <c r="I64" s="18" t="s">
        <v>2473</v>
      </c>
      <c r="J64" s="18" t="s">
        <v>2473</v>
      </c>
      <c r="K64" s="18" t="s">
        <v>2473</v>
      </c>
      <c r="AU64" s="6"/>
      <c r="AV64" s="6" t="str">
        <f t="shared" si="0"/>
        <v/>
      </c>
    </row>
    <row r="65" spans="1:48" ht="23.65" thickBot="1" x14ac:dyDescent="0.5">
      <c r="A65" s="32" t="s">
        <v>51</v>
      </c>
      <c r="B65" s="1" t="s">
        <v>52</v>
      </c>
      <c r="C65" s="4" t="s">
        <v>13</v>
      </c>
      <c r="D65" s="4" t="s">
        <v>13</v>
      </c>
      <c r="E65" s="4" t="s">
        <v>10</v>
      </c>
      <c r="F65" s="4" t="s">
        <v>10</v>
      </c>
      <c r="G65" s="4" t="s">
        <v>13</v>
      </c>
      <c r="H65" s="4" t="s">
        <v>13</v>
      </c>
      <c r="I65" s="18" t="s">
        <v>2473</v>
      </c>
      <c r="J65" s="18" t="s">
        <v>2473</v>
      </c>
      <c r="K65" s="18" t="s">
        <v>2473</v>
      </c>
      <c r="AU65" s="6"/>
      <c r="AV65" s="6" t="str">
        <f t="shared" si="0"/>
        <v/>
      </c>
    </row>
    <row r="66" spans="1:48" ht="23.65" thickBot="1" x14ac:dyDescent="0.5">
      <c r="A66" s="32" t="s">
        <v>53</v>
      </c>
      <c r="B66" s="1" t="s">
        <v>54</v>
      </c>
      <c r="C66" s="4" t="s">
        <v>13</v>
      </c>
      <c r="D66" s="4" t="s">
        <v>13</v>
      </c>
      <c r="E66" s="4" t="s">
        <v>37</v>
      </c>
      <c r="F66" s="4" t="s">
        <v>37</v>
      </c>
      <c r="G66" s="4" t="s">
        <v>13</v>
      </c>
      <c r="H66" s="4" t="s">
        <v>13</v>
      </c>
      <c r="I66" s="18" t="s">
        <v>2473</v>
      </c>
      <c r="J66" s="18" t="s">
        <v>2473</v>
      </c>
      <c r="K66" s="18" t="s">
        <v>2473</v>
      </c>
      <c r="AU66" s="6"/>
      <c r="AV66" s="6" t="str">
        <f t="shared" si="0"/>
        <v/>
      </c>
    </row>
    <row r="67" spans="1:48" ht="23.65" thickBot="1" x14ac:dyDescent="0.5">
      <c r="A67" s="31" t="s">
        <v>2603</v>
      </c>
      <c r="B67" s="1" t="s">
        <v>3579</v>
      </c>
      <c r="C67" s="4"/>
      <c r="D67" s="4"/>
      <c r="E67" s="4" t="s">
        <v>37</v>
      </c>
      <c r="F67" s="4" t="s">
        <v>37</v>
      </c>
      <c r="G67" s="4"/>
      <c r="H67" s="4"/>
      <c r="J67" s="18" t="s">
        <v>2473</v>
      </c>
      <c r="K67" s="18" t="s">
        <v>2473</v>
      </c>
      <c r="AU67" s="6"/>
      <c r="AV67" s="6" t="str">
        <f t="shared" si="0"/>
        <v/>
      </c>
    </row>
    <row r="68" spans="1:48" ht="14.65" thickBot="1" x14ac:dyDescent="0.5">
      <c r="A68" s="32" t="s">
        <v>33</v>
      </c>
      <c r="B68" s="1" t="s">
        <v>56</v>
      </c>
      <c r="C68" s="4"/>
      <c r="D68" s="4"/>
      <c r="E68" s="4"/>
      <c r="F68" s="4"/>
      <c r="G68" s="4"/>
      <c r="H68" s="4"/>
      <c r="J68" s="18" t="s">
        <v>2473</v>
      </c>
      <c r="K68" s="18" t="s">
        <v>2473</v>
      </c>
      <c r="AU68" s="6"/>
      <c r="AV68" s="6" t="str">
        <f t="shared" ref="AV68:AV140" si="1">IF(A68&lt;&gt;"",IF(T68&lt;&gt;"",IF(LEFT(R68,3)="Has",IF(TRIM(A68)&lt;&gt;T68,"ERROR","OK"),""),""),"")</f>
        <v/>
      </c>
    </row>
    <row r="69" spans="1:48" ht="14.65" thickBot="1" x14ac:dyDescent="0.5">
      <c r="A69" s="31" t="s">
        <v>55</v>
      </c>
      <c r="B69" s="1" t="s">
        <v>3580</v>
      </c>
      <c r="C69" s="4" t="s">
        <v>10</v>
      </c>
      <c r="D69" s="4"/>
      <c r="E69" s="4" t="s">
        <v>10</v>
      </c>
      <c r="F69" s="4"/>
      <c r="G69" s="4" t="s">
        <v>10</v>
      </c>
      <c r="H69" s="4"/>
      <c r="I69" s="18" t="s">
        <v>2473</v>
      </c>
      <c r="J69" s="18" t="s">
        <v>2473</v>
      </c>
      <c r="K69" s="18" t="s">
        <v>2473</v>
      </c>
      <c r="AU69" s="6"/>
      <c r="AV69" s="6" t="str">
        <f t="shared" si="1"/>
        <v/>
      </c>
    </row>
    <row r="70" spans="1:48" ht="14.65" thickBot="1" x14ac:dyDescent="0.5">
      <c r="A70" s="32" t="s">
        <v>33</v>
      </c>
      <c r="B70" s="1" t="s">
        <v>56</v>
      </c>
      <c r="C70" s="4"/>
      <c r="D70" s="4"/>
      <c r="E70" s="4"/>
      <c r="F70" s="4"/>
      <c r="G70" s="4"/>
      <c r="H70" s="4"/>
      <c r="I70" s="18" t="s">
        <v>2473</v>
      </c>
      <c r="J70" s="18" t="s">
        <v>2473</v>
      </c>
      <c r="K70" s="18" t="s">
        <v>2473</v>
      </c>
      <c r="AU70" s="6"/>
      <c r="AV70" s="6" t="str">
        <f t="shared" si="1"/>
        <v/>
      </c>
    </row>
    <row r="71" spans="1:48" ht="20.65" thickBot="1" x14ac:dyDescent="0.5">
      <c r="A71" s="36" t="s">
        <v>57</v>
      </c>
      <c r="B71" s="3" t="s">
        <v>58</v>
      </c>
      <c r="C71" s="4"/>
      <c r="D71" s="4"/>
      <c r="E71" s="4"/>
      <c r="F71" s="4"/>
      <c r="G71" s="4" t="s">
        <v>10</v>
      </c>
      <c r="H71" s="4"/>
      <c r="I71" s="18" t="s">
        <v>2473</v>
      </c>
      <c r="J71" s="18" t="s">
        <v>2473</v>
      </c>
      <c r="K71" s="18" t="s">
        <v>2473</v>
      </c>
      <c r="L71" s="18" t="s">
        <v>2334</v>
      </c>
      <c r="R71" s="122" t="s">
        <v>3435</v>
      </c>
      <c r="S71" s="114" t="s">
        <v>3437</v>
      </c>
      <c r="T71" s="114" t="s">
        <v>57</v>
      </c>
      <c r="U71" s="114"/>
      <c r="V71" s="114" t="s">
        <v>4164</v>
      </c>
      <c r="W71" s="114" t="s">
        <v>3436</v>
      </c>
      <c r="X71" s="114" t="s">
        <v>13</v>
      </c>
      <c r="AU71" s="6"/>
      <c r="AV71" s="6" t="str">
        <f t="shared" si="1"/>
        <v>OK</v>
      </c>
    </row>
    <row r="72" spans="1:48" ht="14.65" thickBot="1" x14ac:dyDescent="0.5">
      <c r="A72" s="35" t="s">
        <v>59</v>
      </c>
      <c r="B72" s="3" t="s">
        <v>60</v>
      </c>
      <c r="C72" s="51"/>
      <c r="D72" s="51"/>
      <c r="E72" s="51"/>
      <c r="F72" s="51"/>
      <c r="G72" s="51"/>
      <c r="H72" s="51"/>
      <c r="I72" s="18" t="s">
        <v>2473</v>
      </c>
      <c r="J72" s="18" t="s">
        <v>2473</v>
      </c>
      <c r="K72" s="18" t="s">
        <v>2473</v>
      </c>
      <c r="AU72" s="6"/>
      <c r="AV72" s="6" t="str">
        <f t="shared" si="1"/>
        <v/>
      </c>
    </row>
    <row r="73" spans="1:48" ht="14.65" thickBot="1" x14ac:dyDescent="0.5">
      <c r="A73" s="35" t="s">
        <v>61</v>
      </c>
      <c r="B73" s="3" t="s">
        <v>3581</v>
      </c>
      <c r="C73" s="51"/>
      <c r="D73" s="51"/>
      <c r="E73" s="51"/>
      <c r="F73" s="51"/>
      <c r="G73" s="51"/>
      <c r="H73" s="51"/>
      <c r="I73" s="18" t="s">
        <v>2473</v>
      </c>
      <c r="J73" s="18" t="s">
        <v>2473</v>
      </c>
      <c r="K73" s="18" t="s">
        <v>2473</v>
      </c>
      <c r="AU73" s="6"/>
      <c r="AV73" s="6" t="str">
        <f t="shared" si="1"/>
        <v/>
      </c>
    </row>
    <row r="74" spans="1:48" ht="30.75" thickBot="1" x14ac:dyDescent="0.5">
      <c r="A74" s="35" t="s">
        <v>4094</v>
      </c>
      <c r="B74" s="3" t="s">
        <v>4096</v>
      </c>
      <c r="C74" s="4"/>
      <c r="D74" s="4"/>
      <c r="E74" s="4"/>
      <c r="F74" s="4"/>
      <c r="G74" s="4" t="s">
        <v>10</v>
      </c>
      <c r="H74" s="4"/>
      <c r="J74" s="18" t="s">
        <v>2473</v>
      </c>
      <c r="K74" s="18" t="s">
        <v>2473</v>
      </c>
      <c r="L74" s="18" t="s">
        <v>2334</v>
      </c>
      <c r="Q74" s="114" t="s">
        <v>4164</v>
      </c>
      <c r="R74" s="122" t="s">
        <v>3435</v>
      </c>
      <c r="S74" s="114" t="s">
        <v>3437</v>
      </c>
      <c r="T74" s="114" t="s">
        <v>4095</v>
      </c>
      <c r="U74" s="114"/>
      <c r="V74" s="114" t="s">
        <v>3613</v>
      </c>
      <c r="W74" s="114" t="s">
        <v>3436</v>
      </c>
      <c r="X74" s="114" t="s">
        <v>13</v>
      </c>
      <c r="Y74" s="149"/>
      <c r="Z74" s="183"/>
      <c r="AA74" s="183"/>
      <c r="AB74" s="183"/>
      <c r="AC74" s="183"/>
      <c r="AD74" s="183"/>
      <c r="AE74" s="184"/>
      <c r="AF74" s="184"/>
      <c r="AG74" s="183"/>
      <c r="AH74" s="183"/>
      <c r="AI74" s="183"/>
      <c r="AJ74" s="183"/>
      <c r="AK74" s="183"/>
      <c r="AL74" s="183"/>
      <c r="AM74" s="183"/>
      <c r="AN74" s="131"/>
      <c r="AO74" s="131"/>
      <c r="AP74" s="131"/>
      <c r="AQ74" s="131"/>
      <c r="AR74" s="288"/>
      <c r="AS74" s="259"/>
      <c r="AT74" s="183"/>
      <c r="AU74" s="6"/>
      <c r="AV74" s="6" t="str">
        <f t="shared" si="1"/>
        <v>OK</v>
      </c>
    </row>
    <row r="75" spans="1:48" ht="14.65" thickBot="1" x14ac:dyDescent="0.5">
      <c r="A75" s="35" t="s">
        <v>43</v>
      </c>
      <c r="B75" s="3" t="s">
        <v>84</v>
      </c>
      <c r="C75" s="4"/>
      <c r="D75" s="4"/>
      <c r="E75" s="4"/>
      <c r="F75" s="4"/>
      <c r="G75" s="4"/>
      <c r="H75" s="4"/>
      <c r="J75" s="18" t="s">
        <v>2473</v>
      </c>
      <c r="K75" s="18" t="s">
        <v>2473</v>
      </c>
      <c r="L75" s="18" t="s">
        <v>2335</v>
      </c>
      <c r="AU75" s="6"/>
      <c r="AV75" s="6" t="str">
        <f t="shared" si="1"/>
        <v/>
      </c>
    </row>
    <row r="76" spans="1:48" ht="46.9" thickBot="1" x14ac:dyDescent="0.5">
      <c r="A76" s="36" t="s">
        <v>62</v>
      </c>
      <c r="B76" s="3" t="s">
        <v>5243</v>
      </c>
      <c r="C76" s="4" t="s">
        <v>13</v>
      </c>
      <c r="D76" s="51"/>
      <c r="E76" s="51"/>
      <c r="F76" s="51"/>
      <c r="G76" s="4" t="s">
        <v>13</v>
      </c>
      <c r="H76" s="51"/>
      <c r="J76" s="18" t="s">
        <v>2473</v>
      </c>
      <c r="K76" s="18" t="s">
        <v>2473</v>
      </c>
      <c r="L76" s="18" t="s">
        <v>2334</v>
      </c>
      <c r="R76" s="122" t="s">
        <v>3529</v>
      </c>
      <c r="S76" s="114" t="s">
        <v>4</v>
      </c>
      <c r="T76" s="114" t="s">
        <v>62</v>
      </c>
      <c r="U76" s="114" t="s">
        <v>3521</v>
      </c>
      <c r="V76" s="114" t="s">
        <v>3530</v>
      </c>
      <c r="W76" s="114" t="s">
        <v>3436</v>
      </c>
      <c r="X76" s="114" t="s">
        <v>13</v>
      </c>
      <c r="AU76" s="6"/>
      <c r="AV76" s="6" t="str">
        <f t="shared" si="1"/>
        <v>OK</v>
      </c>
    </row>
    <row r="77" spans="1:48" ht="14.65" thickBot="1" x14ac:dyDescent="0.5">
      <c r="A77" s="31" t="s">
        <v>63</v>
      </c>
      <c r="B77" s="1" t="s">
        <v>64</v>
      </c>
      <c r="C77" s="4" t="s">
        <v>13</v>
      </c>
      <c r="D77" s="4" t="s">
        <v>13</v>
      </c>
      <c r="E77" s="4" t="s">
        <v>13</v>
      </c>
      <c r="F77" s="4" t="s">
        <v>13</v>
      </c>
      <c r="G77" s="4" t="s">
        <v>13</v>
      </c>
      <c r="H77" s="4" t="s">
        <v>13</v>
      </c>
      <c r="I77" s="18" t="s">
        <v>2473</v>
      </c>
      <c r="J77" s="18" t="s">
        <v>2473</v>
      </c>
      <c r="K77" s="18" t="s">
        <v>2473</v>
      </c>
      <c r="L77" s="18" t="s">
        <v>2334</v>
      </c>
      <c r="R77" s="122" t="s">
        <v>3529</v>
      </c>
      <c r="S77" s="114" t="s">
        <v>4</v>
      </c>
      <c r="T77" s="114" t="s">
        <v>63</v>
      </c>
      <c r="U77" s="114" t="s">
        <v>3521</v>
      </c>
      <c r="V77" s="114" t="s">
        <v>3530</v>
      </c>
      <c r="W77" s="114" t="s">
        <v>3436</v>
      </c>
      <c r="X77" s="114" t="s">
        <v>13</v>
      </c>
      <c r="Y77" s="149"/>
      <c r="Z77" s="183"/>
      <c r="AA77" s="183"/>
      <c r="AB77" s="183"/>
      <c r="AC77" s="183"/>
      <c r="AD77" s="183"/>
      <c r="AE77" s="184"/>
      <c r="AF77" s="184"/>
      <c r="AG77" s="183"/>
      <c r="AH77" s="183"/>
      <c r="AI77" s="183"/>
      <c r="AJ77" s="183"/>
      <c r="AK77" s="183"/>
      <c r="AL77" s="183"/>
      <c r="AM77" s="183"/>
      <c r="AN77" s="131"/>
      <c r="AO77" s="131"/>
      <c r="AP77" s="131"/>
      <c r="AQ77" s="131"/>
      <c r="AR77" s="288"/>
      <c r="AS77" s="259"/>
      <c r="AT77" s="183"/>
      <c r="AU77" s="6"/>
      <c r="AV77" s="6" t="str">
        <f t="shared" si="1"/>
        <v>OK</v>
      </c>
    </row>
    <row r="78" spans="1:48" ht="23.65" thickBot="1" x14ac:dyDescent="0.5">
      <c r="A78" s="31" t="s">
        <v>65</v>
      </c>
      <c r="B78" s="1" t="s">
        <v>66</v>
      </c>
      <c r="C78" s="4"/>
      <c r="D78" s="4"/>
      <c r="E78" s="4"/>
      <c r="F78" s="4"/>
      <c r="G78" s="4"/>
      <c r="H78" s="4"/>
      <c r="I78" s="18" t="s">
        <v>2473</v>
      </c>
      <c r="J78" s="18" t="s">
        <v>2473</v>
      </c>
      <c r="K78" s="18" t="s">
        <v>2473</v>
      </c>
      <c r="L78" s="18" t="s">
        <v>2335</v>
      </c>
      <c r="AU78" s="6"/>
      <c r="AV78" s="6" t="str">
        <f t="shared" si="1"/>
        <v/>
      </c>
    </row>
    <row r="79" spans="1:48" ht="35.25" thickBot="1" x14ac:dyDescent="0.5">
      <c r="A79" s="32" t="s">
        <v>67</v>
      </c>
      <c r="B79" s="1" t="s">
        <v>68</v>
      </c>
      <c r="C79" s="4"/>
      <c r="D79" s="4"/>
      <c r="E79" s="4"/>
      <c r="F79" s="4"/>
      <c r="G79" s="4"/>
      <c r="H79" s="4"/>
      <c r="I79" s="18" t="s">
        <v>2473</v>
      </c>
      <c r="J79" s="18" t="s">
        <v>2473</v>
      </c>
      <c r="K79" s="18" t="s">
        <v>2473</v>
      </c>
      <c r="L79" s="18" t="s">
        <v>2335</v>
      </c>
      <c r="AU79" s="6"/>
      <c r="AV79" s="6" t="str">
        <f t="shared" si="1"/>
        <v/>
      </c>
    </row>
    <row r="80" spans="1:48" ht="14.65" thickBot="1" x14ac:dyDescent="0.5">
      <c r="A80" s="32" t="s">
        <v>59</v>
      </c>
      <c r="B80" s="1" t="s">
        <v>60</v>
      </c>
      <c r="C80" s="4"/>
      <c r="D80" s="4"/>
      <c r="E80" s="4"/>
      <c r="F80" s="4"/>
      <c r="G80" s="4"/>
      <c r="H80" s="4"/>
      <c r="I80" s="18" t="s">
        <v>2473</v>
      </c>
      <c r="J80" s="18" t="s">
        <v>2473</v>
      </c>
      <c r="K80" s="18" t="s">
        <v>2473</v>
      </c>
      <c r="L80" s="18" t="s">
        <v>2335</v>
      </c>
      <c r="AU80" s="6"/>
      <c r="AV80" s="6" t="str">
        <f t="shared" si="1"/>
        <v/>
      </c>
    </row>
    <row r="81" spans="1:48" ht="47.65" thickBot="1" x14ac:dyDescent="0.5">
      <c r="A81" s="32" t="s">
        <v>69</v>
      </c>
      <c r="B81" s="1" t="s">
        <v>3604</v>
      </c>
      <c r="C81" s="4"/>
      <c r="D81" s="4"/>
      <c r="E81" s="4"/>
      <c r="F81" s="4"/>
      <c r="G81" s="4"/>
      <c r="H81" s="4"/>
      <c r="I81" s="18" t="s">
        <v>2473</v>
      </c>
      <c r="J81" s="18" t="s">
        <v>2473</v>
      </c>
      <c r="K81" s="18" t="s">
        <v>2473</v>
      </c>
      <c r="L81" s="18" t="s">
        <v>2335</v>
      </c>
      <c r="AS81" s="139" t="s">
        <v>5365</v>
      </c>
      <c r="AU81" s="6"/>
      <c r="AV81" s="6" t="str">
        <f t="shared" si="1"/>
        <v/>
      </c>
    </row>
    <row r="82" spans="1:48" ht="47.65" thickBot="1" x14ac:dyDescent="0.5">
      <c r="A82" s="35" t="s">
        <v>5358</v>
      </c>
      <c r="B82" s="3" t="s">
        <v>5352</v>
      </c>
      <c r="C82" s="4"/>
      <c r="D82" s="4"/>
      <c r="E82" s="4"/>
      <c r="F82" s="4"/>
      <c r="G82" s="4"/>
      <c r="H82" s="4"/>
      <c r="I82" s="18" t="s">
        <v>2473</v>
      </c>
      <c r="J82" s="18" t="s">
        <v>2473</v>
      </c>
      <c r="K82" s="18" t="s">
        <v>2473</v>
      </c>
      <c r="Q82" s="131"/>
      <c r="R82" s="131"/>
      <c r="S82" s="131"/>
      <c r="T82" s="131"/>
      <c r="U82" s="131"/>
      <c r="V82" s="131"/>
      <c r="W82" s="131"/>
      <c r="X82" s="131"/>
      <c r="AS82" s="139" t="s">
        <v>5365</v>
      </c>
      <c r="AU82" s="6"/>
      <c r="AV82" s="6"/>
    </row>
    <row r="83" spans="1:48" ht="47.65" thickBot="1" x14ac:dyDescent="0.5">
      <c r="A83" s="35" t="s">
        <v>5359</v>
      </c>
      <c r="B83" s="3" t="s">
        <v>5353</v>
      </c>
      <c r="C83" s="4"/>
      <c r="D83" s="4"/>
      <c r="E83" s="4"/>
      <c r="F83" s="4"/>
      <c r="G83" s="4"/>
      <c r="H83" s="4"/>
      <c r="I83" s="18" t="s">
        <v>2473</v>
      </c>
      <c r="J83" s="18" t="s">
        <v>2473</v>
      </c>
      <c r="K83" s="18" t="s">
        <v>2473</v>
      </c>
      <c r="Q83" s="131"/>
      <c r="R83" s="131"/>
      <c r="S83" s="131"/>
      <c r="T83" s="131"/>
      <c r="U83" s="131"/>
      <c r="V83" s="131"/>
      <c r="W83" s="131"/>
      <c r="X83" s="131"/>
      <c r="AS83" s="139" t="s">
        <v>5365</v>
      </c>
      <c r="AU83" s="6"/>
      <c r="AV83" s="6"/>
    </row>
    <row r="84" spans="1:48" ht="23.65" thickBot="1" x14ac:dyDescent="0.5">
      <c r="A84" s="35" t="s">
        <v>70</v>
      </c>
      <c r="B84" s="3" t="s">
        <v>71</v>
      </c>
      <c r="C84" s="4"/>
      <c r="D84" s="4"/>
      <c r="E84" s="4"/>
      <c r="F84" s="4"/>
      <c r="G84" s="4"/>
      <c r="H84" s="4"/>
      <c r="I84" s="18" t="s">
        <v>2473</v>
      </c>
      <c r="J84" s="18" t="s">
        <v>2473</v>
      </c>
      <c r="K84" s="18" t="s">
        <v>2473</v>
      </c>
      <c r="L84" s="18" t="s">
        <v>2335</v>
      </c>
      <c r="AU84" s="6"/>
      <c r="AV84" s="6" t="str">
        <f t="shared" si="1"/>
        <v/>
      </c>
    </row>
    <row r="85" spans="1:48" ht="23.65" thickBot="1" x14ac:dyDescent="0.5">
      <c r="A85" s="35" t="s">
        <v>72</v>
      </c>
      <c r="B85" s="3" t="s">
        <v>73</v>
      </c>
      <c r="C85" s="4"/>
      <c r="D85" s="4"/>
      <c r="E85" s="4"/>
      <c r="F85" s="4"/>
      <c r="G85" s="4"/>
      <c r="H85" s="4"/>
      <c r="I85" s="18" t="s">
        <v>2473</v>
      </c>
      <c r="J85" s="18" t="s">
        <v>2473</v>
      </c>
      <c r="K85" s="18" t="s">
        <v>2473</v>
      </c>
      <c r="L85" s="18" t="s">
        <v>2335</v>
      </c>
      <c r="AU85" s="6"/>
      <c r="AV85" s="6" t="str">
        <f t="shared" si="1"/>
        <v/>
      </c>
    </row>
    <row r="86" spans="1:48" ht="46.9" thickBot="1" x14ac:dyDescent="0.5">
      <c r="A86" s="36" t="s">
        <v>74</v>
      </c>
      <c r="B86" s="3" t="s">
        <v>5401</v>
      </c>
      <c r="C86" s="4" t="s">
        <v>13</v>
      </c>
      <c r="D86" s="4" t="s">
        <v>13</v>
      </c>
      <c r="E86" s="4" t="s">
        <v>13</v>
      </c>
      <c r="F86" s="4" t="s">
        <v>13</v>
      </c>
      <c r="G86" s="4" t="s">
        <v>13</v>
      </c>
      <c r="H86" s="4" t="s">
        <v>13</v>
      </c>
      <c r="I86" s="18" t="s">
        <v>2473</v>
      </c>
      <c r="J86" s="18" t="s">
        <v>2473</v>
      </c>
      <c r="K86" s="18" t="s">
        <v>2473</v>
      </c>
      <c r="M86" s="145" t="s">
        <v>5379</v>
      </c>
      <c r="AS86" s="240" t="s">
        <v>5400</v>
      </c>
      <c r="AU86" s="6"/>
      <c r="AV86" s="6" t="str">
        <f t="shared" ref="AV86" si="2">IF(A86&lt;&gt;"",IF(T86&lt;&gt;"",IF(LEFT(R86,3)="Has",IF(TRIM(A86)&lt;&gt;T86,"ERROR","OK"),""),""),"")</f>
        <v/>
      </c>
    </row>
    <row r="87" spans="1:48" ht="36" thickBot="1" x14ac:dyDescent="0.5">
      <c r="A87" s="36" t="s">
        <v>5381</v>
      </c>
      <c r="B87" s="3" t="s">
        <v>5382</v>
      </c>
      <c r="C87" s="4" t="s">
        <v>13</v>
      </c>
      <c r="D87" s="4" t="s">
        <v>13</v>
      </c>
      <c r="E87" s="4" t="s">
        <v>13</v>
      </c>
      <c r="F87" s="4" t="s">
        <v>13</v>
      </c>
      <c r="G87" s="4" t="s">
        <v>13</v>
      </c>
      <c r="H87" s="4" t="s">
        <v>13</v>
      </c>
      <c r="J87" s="18" t="s">
        <v>2473</v>
      </c>
      <c r="K87" s="18" t="s">
        <v>2473</v>
      </c>
      <c r="M87" s="145" t="s">
        <v>5380</v>
      </c>
      <c r="AS87" s="240" t="s">
        <v>5402</v>
      </c>
      <c r="AU87" s="6"/>
      <c r="AV87" s="6" t="str">
        <f t="shared" si="1"/>
        <v/>
      </c>
    </row>
    <row r="88" spans="1:48" ht="47.65" thickBot="1" x14ac:dyDescent="0.5">
      <c r="A88" s="36" t="s">
        <v>75</v>
      </c>
      <c r="B88" s="3" t="s">
        <v>76</v>
      </c>
      <c r="C88" s="4" t="s">
        <v>10</v>
      </c>
      <c r="D88" s="4"/>
      <c r="E88" s="4" t="s">
        <v>10</v>
      </c>
      <c r="F88" s="4"/>
      <c r="G88" s="4" t="s">
        <v>10</v>
      </c>
      <c r="H88" s="4"/>
      <c r="I88" s="18" t="s">
        <v>2473</v>
      </c>
      <c r="J88" s="18" t="s">
        <v>2473</v>
      </c>
      <c r="K88" s="18" t="s">
        <v>2473</v>
      </c>
      <c r="L88" s="18" t="s">
        <v>2335</v>
      </c>
      <c r="AS88" s="206" t="s">
        <v>5860</v>
      </c>
      <c r="AU88" s="6"/>
      <c r="AV88" s="6" t="str">
        <f t="shared" si="1"/>
        <v/>
      </c>
    </row>
    <row r="89" spans="1:48" ht="14.65" thickBot="1" x14ac:dyDescent="0.5">
      <c r="A89" s="35" t="s">
        <v>77</v>
      </c>
      <c r="B89" s="3" t="s">
        <v>78</v>
      </c>
      <c r="C89" s="4" t="s">
        <v>10</v>
      </c>
      <c r="D89" s="4"/>
      <c r="E89" s="4" t="s">
        <v>10</v>
      </c>
      <c r="F89" s="4"/>
      <c r="G89" s="4" t="s">
        <v>10</v>
      </c>
      <c r="H89" s="4"/>
      <c r="I89" s="18" t="s">
        <v>2473</v>
      </c>
      <c r="J89" s="18" t="s">
        <v>2473</v>
      </c>
      <c r="K89" s="18" t="s">
        <v>2473</v>
      </c>
      <c r="AU89" s="6"/>
      <c r="AV89" s="6" t="str">
        <f t="shared" si="1"/>
        <v/>
      </c>
    </row>
    <row r="90" spans="1:48" ht="14.65" thickBot="1" x14ac:dyDescent="0.5">
      <c r="A90" s="35" t="s">
        <v>43</v>
      </c>
      <c r="B90" s="3" t="s">
        <v>79</v>
      </c>
      <c r="C90" s="4"/>
      <c r="D90" s="4"/>
      <c r="E90" s="4"/>
      <c r="F90" s="4"/>
      <c r="G90" s="4"/>
      <c r="H90" s="4"/>
      <c r="I90" s="18" t="s">
        <v>2473</v>
      </c>
      <c r="J90" s="18" t="s">
        <v>2473</v>
      </c>
      <c r="K90" s="18" t="s">
        <v>2473</v>
      </c>
      <c r="AU90" s="6"/>
      <c r="AV90" s="6" t="str">
        <f t="shared" si="1"/>
        <v/>
      </c>
    </row>
    <row r="91" spans="1:48" ht="23.65" thickBot="1" x14ac:dyDescent="0.5">
      <c r="A91" s="35" t="s">
        <v>80</v>
      </c>
      <c r="B91" s="3" t="s">
        <v>81</v>
      </c>
      <c r="C91" s="4"/>
      <c r="D91" s="4"/>
      <c r="E91" s="4"/>
      <c r="F91" s="4"/>
      <c r="G91" s="4"/>
      <c r="H91" s="4"/>
      <c r="I91" s="18" t="s">
        <v>2473</v>
      </c>
      <c r="J91" s="18" t="s">
        <v>2473</v>
      </c>
      <c r="K91" s="18" t="s">
        <v>2473</v>
      </c>
      <c r="AU91" s="6"/>
      <c r="AV91" s="6" t="str">
        <f t="shared" si="1"/>
        <v/>
      </c>
    </row>
    <row r="92" spans="1:48" ht="14.65" thickBot="1" x14ac:dyDescent="0.5">
      <c r="A92" s="35" t="s">
        <v>43</v>
      </c>
      <c r="B92" s="3" t="s">
        <v>82</v>
      </c>
      <c r="C92" s="4"/>
      <c r="D92" s="4"/>
      <c r="E92" s="4"/>
      <c r="F92" s="4"/>
      <c r="G92" s="4"/>
      <c r="H92" s="4"/>
      <c r="I92" s="18" t="s">
        <v>2473</v>
      </c>
      <c r="J92" s="18" t="s">
        <v>2473</v>
      </c>
      <c r="K92" s="18" t="s">
        <v>2473</v>
      </c>
      <c r="AU92" s="6"/>
      <c r="AV92" s="6" t="str">
        <f t="shared" si="1"/>
        <v/>
      </c>
    </row>
    <row r="93" spans="1:48" ht="23.65" thickBot="1" x14ac:dyDescent="0.5">
      <c r="A93" s="35" t="s">
        <v>83</v>
      </c>
      <c r="B93" s="3" t="s">
        <v>3667</v>
      </c>
      <c r="C93" s="4"/>
      <c r="D93" s="4"/>
      <c r="E93" s="4"/>
      <c r="F93" s="4"/>
      <c r="G93" s="4"/>
      <c r="H93" s="4"/>
      <c r="I93" s="18" t="s">
        <v>2473</v>
      </c>
      <c r="J93" s="18" t="s">
        <v>2473</v>
      </c>
      <c r="K93" s="18" t="s">
        <v>2473</v>
      </c>
      <c r="AU93" s="6"/>
      <c r="AV93" s="6" t="str">
        <f t="shared" si="1"/>
        <v/>
      </c>
    </row>
    <row r="94" spans="1:48" ht="14.65" thickBot="1" x14ac:dyDescent="0.5">
      <c r="A94" s="35" t="s">
        <v>43</v>
      </c>
      <c r="B94" s="3" t="s">
        <v>84</v>
      </c>
      <c r="C94" s="4"/>
      <c r="D94" s="4"/>
      <c r="E94" s="4"/>
      <c r="F94" s="4"/>
      <c r="G94" s="4"/>
      <c r="H94" s="4"/>
      <c r="I94" s="18" t="s">
        <v>2473</v>
      </c>
      <c r="J94" s="18" t="s">
        <v>2473</v>
      </c>
      <c r="K94" s="18" t="s">
        <v>2473</v>
      </c>
      <c r="AU94" s="6"/>
      <c r="AV94" s="6" t="str">
        <f t="shared" si="1"/>
        <v/>
      </c>
    </row>
    <row r="95" spans="1:48" ht="14.65" thickBot="1" x14ac:dyDescent="0.5">
      <c r="A95" s="35" t="s">
        <v>85</v>
      </c>
      <c r="B95" s="3" t="s">
        <v>86</v>
      </c>
      <c r="C95" s="4"/>
      <c r="D95" s="4"/>
      <c r="E95" s="4"/>
      <c r="F95" s="4"/>
      <c r="G95" s="4"/>
      <c r="H95" s="4"/>
      <c r="I95" s="18" t="s">
        <v>2473</v>
      </c>
      <c r="J95" s="18" t="s">
        <v>2473</v>
      </c>
      <c r="K95" s="18" t="s">
        <v>2473</v>
      </c>
      <c r="AU95" s="6"/>
      <c r="AV95" s="6" t="str">
        <f t="shared" si="1"/>
        <v/>
      </c>
    </row>
    <row r="96" spans="1:48" ht="14.65" thickBot="1" x14ac:dyDescent="0.5">
      <c r="A96" s="35" t="s">
        <v>43</v>
      </c>
      <c r="B96" s="3" t="s">
        <v>87</v>
      </c>
      <c r="C96" s="4"/>
      <c r="D96" s="4"/>
      <c r="E96" s="4"/>
      <c r="F96" s="4"/>
      <c r="G96" s="4"/>
      <c r="H96" s="4"/>
      <c r="I96" s="18" t="s">
        <v>2473</v>
      </c>
      <c r="J96" s="18" t="s">
        <v>2473</v>
      </c>
      <c r="K96" s="18" t="s">
        <v>2473</v>
      </c>
      <c r="AU96" s="6"/>
      <c r="AV96" s="6" t="str">
        <f t="shared" si="1"/>
        <v/>
      </c>
    </row>
    <row r="97" spans="1:48" ht="14.65" thickBot="1" x14ac:dyDescent="0.5">
      <c r="A97" s="35" t="s">
        <v>88</v>
      </c>
      <c r="B97" s="3" t="s">
        <v>89</v>
      </c>
      <c r="C97" s="4" t="s">
        <v>10</v>
      </c>
      <c r="D97" s="4"/>
      <c r="E97" s="4" t="s">
        <v>10</v>
      </c>
      <c r="F97" s="4"/>
      <c r="G97" s="4" t="s">
        <v>10</v>
      </c>
      <c r="H97" s="4"/>
      <c r="I97" s="18" t="s">
        <v>2473</v>
      </c>
      <c r="J97" s="18" t="s">
        <v>2473</v>
      </c>
      <c r="K97" s="18" t="s">
        <v>2473</v>
      </c>
      <c r="AU97" s="6"/>
      <c r="AV97" s="6" t="str">
        <f t="shared" si="1"/>
        <v/>
      </c>
    </row>
    <row r="98" spans="1:48" ht="14.65" thickBot="1" x14ac:dyDescent="0.5">
      <c r="A98" s="35" t="s">
        <v>43</v>
      </c>
      <c r="B98" s="3" t="s">
        <v>90</v>
      </c>
      <c r="C98" s="4"/>
      <c r="D98" s="4"/>
      <c r="E98" s="4"/>
      <c r="F98" s="4"/>
      <c r="G98" s="4"/>
      <c r="H98" s="4"/>
      <c r="I98" s="18" t="s">
        <v>2473</v>
      </c>
      <c r="J98" s="18" t="s">
        <v>2473</v>
      </c>
      <c r="K98" s="18" t="s">
        <v>2473</v>
      </c>
      <c r="L98" s="18" t="s">
        <v>2335</v>
      </c>
      <c r="AU98" s="6"/>
      <c r="AV98" s="6" t="str">
        <f t="shared" si="1"/>
        <v/>
      </c>
    </row>
    <row r="99" spans="1:48" ht="14.65" thickBot="1" x14ac:dyDescent="0.5">
      <c r="A99" s="35" t="s">
        <v>59</v>
      </c>
      <c r="B99" s="3" t="s">
        <v>60</v>
      </c>
      <c r="C99" s="4"/>
      <c r="D99" s="4"/>
      <c r="E99" s="4"/>
      <c r="F99" s="4"/>
      <c r="G99" s="4"/>
      <c r="H99" s="4"/>
      <c r="I99" s="18" t="s">
        <v>2473</v>
      </c>
      <c r="J99" s="18" t="s">
        <v>2473</v>
      </c>
      <c r="K99" s="18" t="s">
        <v>2473</v>
      </c>
      <c r="L99" s="18" t="s">
        <v>2335</v>
      </c>
      <c r="AU99" s="6"/>
      <c r="AV99" s="6" t="str">
        <f t="shared" si="1"/>
        <v/>
      </c>
    </row>
    <row r="100" spans="1:48" ht="23.65" thickBot="1" x14ac:dyDescent="0.5">
      <c r="A100" s="35" t="s">
        <v>91</v>
      </c>
      <c r="B100" s="3" t="s">
        <v>3668</v>
      </c>
      <c r="C100" s="4"/>
      <c r="D100" s="4"/>
      <c r="E100" s="4"/>
      <c r="F100" s="4"/>
      <c r="G100" s="4"/>
      <c r="H100" s="4"/>
      <c r="I100" s="18" t="s">
        <v>2473</v>
      </c>
      <c r="J100" s="18" t="s">
        <v>2473</v>
      </c>
      <c r="K100" s="18" t="s">
        <v>2473</v>
      </c>
      <c r="L100" s="18" t="s">
        <v>2335</v>
      </c>
      <c r="AU100" s="6"/>
      <c r="AV100" s="6" t="str">
        <f t="shared" si="1"/>
        <v/>
      </c>
    </row>
    <row r="101" spans="1:48" ht="14.65" thickBot="1" x14ac:dyDescent="0.5">
      <c r="A101" s="35" t="s">
        <v>43</v>
      </c>
      <c r="B101" s="3" t="s">
        <v>84</v>
      </c>
      <c r="C101" s="4"/>
      <c r="D101" s="4"/>
      <c r="E101" s="4"/>
      <c r="F101" s="4"/>
      <c r="G101" s="4"/>
      <c r="H101" s="4"/>
      <c r="I101" s="18" t="s">
        <v>2473</v>
      </c>
      <c r="J101" s="18" t="s">
        <v>2473</v>
      </c>
      <c r="K101" s="18" t="s">
        <v>2473</v>
      </c>
      <c r="L101" s="18" t="s">
        <v>2335</v>
      </c>
      <c r="AU101" s="6"/>
      <c r="AV101" s="6" t="str">
        <f t="shared" si="1"/>
        <v/>
      </c>
    </row>
    <row r="102" spans="1:48" ht="23.65" thickBot="1" x14ac:dyDescent="0.5">
      <c r="A102" s="35" t="s">
        <v>92</v>
      </c>
      <c r="B102" s="3" t="s">
        <v>93</v>
      </c>
      <c r="C102" s="4"/>
      <c r="D102" s="4"/>
      <c r="E102" s="4"/>
      <c r="F102" s="4"/>
      <c r="G102" s="4"/>
      <c r="H102" s="4"/>
      <c r="I102" s="18" t="s">
        <v>2473</v>
      </c>
      <c r="J102" s="18" t="s">
        <v>2473</v>
      </c>
      <c r="K102" s="18" t="s">
        <v>2473</v>
      </c>
      <c r="L102" s="18" t="s">
        <v>2335</v>
      </c>
      <c r="AU102" s="6"/>
      <c r="AV102" s="6" t="str">
        <f t="shared" si="1"/>
        <v/>
      </c>
    </row>
    <row r="103" spans="1:48" ht="14.65" thickBot="1" x14ac:dyDescent="0.5">
      <c r="A103" s="35" t="s">
        <v>43</v>
      </c>
      <c r="B103" s="3" t="s">
        <v>94</v>
      </c>
      <c r="C103" s="4"/>
      <c r="D103" s="4"/>
      <c r="E103" s="4"/>
      <c r="F103" s="4"/>
      <c r="G103" s="4"/>
      <c r="H103" s="4"/>
      <c r="I103" s="18" t="s">
        <v>2473</v>
      </c>
      <c r="J103" s="18" t="s">
        <v>2473</v>
      </c>
      <c r="K103" s="18" t="s">
        <v>2473</v>
      </c>
      <c r="L103" s="18" t="s">
        <v>2335</v>
      </c>
      <c r="AU103" s="6"/>
      <c r="AV103" s="6" t="str">
        <f t="shared" si="1"/>
        <v/>
      </c>
    </row>
    <row r="104" spans="1:48" ht="23.65" thickBot="1" x14ac:dyDescent="0.5">
      <c r="A104" s="35" t="s">
        <v>95</v>
      </c>
      <c r="B104" s="3" t="s">
        <v>96</v>
      </c>
      <c r="C104" s="4"/>
      <c r="D104" s="4"/>
      <c r="E104" s="4"/>
      <c r="F104" s="4"/>
      <c r="G104" s="4"/>
      <c r="H104" s="4"/>
      <c r="I104" s="18" t="s">
        <v>2473</v>
      </c>
      <c r="J104" s="18" t="s">
        <v>2473</v>
      </c>
      <c r="K104" s="18" t="s">
        <v>2473</v>
      </c>
      <c r="L104" s="18" t="s">
        <v>2335</v>
      </c>
      <c r="AU104" s="6"/>
      <c r="AV104" s="6" t="str">
        <f t="shared" ref="AV104:AV105" si="3">IF(A104&lt;&gt;"",IF(T104&lt;&gt;"",IF(LEFT(R104,3)="Has",IF(TRIM(A104)&lt;&gt;T104,"ERROR","OK"),""),""),"")</f>
        <v/>
      </c>
    </row>
    <row r="105" spans="1:48" ht="14.65" thickBot="1" x14ac:dyDescent="0.5">
      <c r="A105" s="35" t="s">
        <v>43</v>
      </c>
      <c r="B105" s="3" t="s">
        <v>82</v>
      </c>
      <c r="C105" s="4"/>
      <c r="D105" s="4"/>
      <c r="E105" s="4"/>
      <c r="F105" s="4"/>
      <c r="G105" s="4"/>
      <c r="H105" s="4"/>
      <c r="I105" s="18" t="s">
        <v>2473</v>
      </c>
      <c r="J105" s="18" t="s">
        <v>2473</v>
      </c>
      <c r="K105" s="18" t="s">
        <v>2473</v>
      </c>
      <c r="L105" s="18" t="s">
        <v>2335</v>
      </c>
      <c r="AU105" s="6"/>
      <c r="AV105" s="6" t="str">
        <f t="shared" si="3"/>
        <v/>
      </c>
    </row>
    <row r="106" spans="1:48" ht="36" thickBot="1" x14ac:dyDescent="0.5">
      <c r="A106" s="35" t="s">
        <v>5406</v>
      </c>
      <c r="B106" s="3" t="s">
        <v>5834</v>
      </c>
      <c r="C106" s="4" t="s">
        <v>37</v>
      </c>
      <c r="D106" s="4"/>
      <c r="E106" s="4" t="s">
        <v>37</v>
      </c>
      <c r="F106" s="4"/>
      <c r="G106" s="4" t="s">
        <v>37</v>
      </c>
      <c r="H106" s="4"/>
      <c r="I106" s="18" t="s">
        <v>2473</v>
      </c>
      <c r="J106" s="18" t="s">
        <v>2473</v>
      </c>
      <c r="K106" s="18" t="s">
        <v>2473</v>
      </c>
      <c r="L106" s="18" t="s">
        <v>2335</v>
      </c>
      <c r="M106" s="145" t="s">
        <v>5833</v>
      </c>
      <c r="AS106" s="240" t="s">
        <v>5408</v>
      </c>
      <c r="AU106" s="6"/>
      <c r="AV106" s="6" t="str">
        <f t="shared" si="1"/>
        <v/>
      </c>
    </row>
    <row r="107" spans="1:48" ht="36" thickBot="1" x14ac:dyDescent="0.5">
      <c r="A107" s="35" t="s">
        <v>43</v>
      </c>
      <c r="B107" s="3" t="s">
        <v>5407</v>
      </c>
      <c r="C107" s="4"/>
      <c r="D107" s="4"/>
      <c r="E107" s="4"/>
      <c r="F107" s="4"/>
      <c r="G107" s="4"/>
      <c r="H107" s="4"/>
      <c r="I107" s="18" t="s">
        <v>2473</v>
      </c>
      <c r="J107" s="18" t="s">
        <v>2473</v>
      </c>
      <c r="K107" s="18" t="s">
        <v>2473</v>
      </c>
      <c r="L107" s="18" t="s">
        <v>2335</v>
      </c>
      <c r="AS107" s="240" t="s">
        <v>5408</v>
      </c>
      <c r="AU107" s="6"/>
      <c r="AV107" s="6" t="str">
        <f t="shared" si="1"/>
        <v/>
      </c>
    </row>
    <row r="108" spans="1:48" ht="23.65" thickBot="1" x14ac:dyDescent="0.5">
      <c r="A108" s="36" t="s">
        <v>97</v>
      </c>
      <c r="B108" s="3" t="s">
        <v>3582</v>
      </c>
      <c r="C108" s="4" t="s">
        <v>13</v>
      </c>
      <c r="D108" s="4"/>
      <c r="E108" s="4" t="s">
        <v>13</v>
      </c>
      <c r="F108" s="4"/>
      <c r="G108" s="4" t="s">
        <v>13</v>
      </c>
      <c r="H108" s="4"/>
      <c r="I108" s="18" t="s">
        <v>2473</v>
      </c>
      <c r="J108" s="18" t="s">
        <v>2473</v>
      </c>
      <c r="K108" s="18" t="s">
        <v>2473</v>
      </c>
      <c r="AU108" s="6"/>
      <c r="AV108" s="6" t="str">
        <f t="shared" si="1"/>
        <v/>
      </c>
    </row>
    <row r="109" spans="1:48" ht="14.65" thickBot="1" x14ac:dyDescent="0.5">
      <c r="A109" s="35" t="s">
        <v>33</v>
      </c>
      <c r="B109" s="3" t="s">
        <v>98</v>
      </c>
      <c r="C109" s="4"/>
      <c r="D109" s="4"/>
      <c r="E109" s="4"/>
      <c r="F109" s="4"/>
      <c r="G109" s="4"/>
      <c r="H109" s="4"/>
      <c r="I109" s="18" t="s">
        <v>2473</v>
      </c>
      <c r="J109" s="18" t="s">
        <v>2473</v>
      </c>
      <c r="K109" s="18" t="s">
        <v>2473</v>
      </c>
      <c r="L109" s="18" t="s">
        <v>2335</v>
      </c>
      <c r="AU109" s="6"/>
      <c r="AV109" s="6" t="str">
        <f t="shared" si="1"/>
        <v/>
      </c>
    </row>
    <row r="110" spans="1:48" ht="14.65" thickBot="1" x14ac:dyDescent="0.5">
      <c r="A110" s="36" t="s">
        <v>99</v>
      </c>
      <c r="B110" s="3" t="s">
        <v>100</v>
      </c>
      <c r="C110" s="4" t="s">
        <v>13</v>
      </c>
      <c r="D110" s="4"/>
      <c r="E110" s="4" t="s">
        <v>10</v>
      </c>
      <c r="F110" s="4"/>
      <c r="G110" s="4" t="s">
        <v>13</v>
      </c>
      <c r="H110" s="4"/>
      <c r="I110" s="18" t="s">
        <v>2473</v>
      </c>
      <c r="J110" s="18" t="s">
        <v>2473</v>
      </c>
      <c r="K110" s="18" t="s">
        <v>2473</v>
      </c>
      <c r="L110" s="18" t="s">
        <v>2334</v>
      </c>
      <c r="R110" s="122" t="s">
        <v>3529</v>
      </c>
      <c r="S110" s="114" t="s">
        <v>4</v>
      </c>
      <c r="T110" s="114" t="s">
        <v>99</v>
      </c>
      <c r="U110" s="114" t="s">
        <v>3521</v>
      </c>
      <c r="V110" s="114" t="s">
        <v>3530</v>
      </c>
      <c r="W110" s="114" t="s">
        <v>3436</v>
      </c>
      <c r="X110" s="114" t="s">
        <v>13</v>
      </c>
      <c r="Y110" s="149"/>
      <c r="Z110" s="183"/>
      <c r="AA110" s="183"/>
      <c r="AB110" s="183"/>
      <c r="AC110" s="183"/>
      <c r="AD110" s="183"/>
      <c r="AE110" s="184"/>
      <c r="AF110" s="184"/>
      <c r="AG110" s="183"/>
      <c r="AH110" s="183"/>
      <c r="AI110" s="183"/>
      <c r="AJ110" s="183"/>
      <c r="AK110" s="183"/>
      <c r="AL110" s="183"/>
      <c r="AM110" s="183"/>
      <c r="AN110" s="131"/>
      <c r="AO110" s="131"/>
      <c r="AP110" s="131"/>
      <c r="AQ110" s="131"/>
      <c r="AR110" s="288"/>
      <c r="AS110" s="259"/>
      <c r="AT110" s="183"/>
      <c r="AU110" s="6"/>
      <c r="AV110" s="6" t="str">
        <f t="shared" si="1"/>
        <v>OK</v>
      </c>
    </row>
    <row r="111" spans="1:48" ht="14.65" thickBot="1" x14ac:dyDescent="0.5">
      <c r="A111" s="36" t="s">
        <v>101</v>
      </c>
      <c r="B111" s="3" t="s">
        <v>3583</v>
      </c>
      <c r="C111" s="4" t="s">
        <v>13</v>
      </c>
      <c r="D111" s="4"/>
      <c r="E111" s="4" t="s">
        <v>13</v>
      </c>
      <c r="F111" s="4"/>
      <c r="G111" s="4" t="s">
        <v>13</v>
      </c>
      <c r="H111" s="4"/>
      <c r="I111" s="18" t="s">
        <v>2473</v>
      </c>
      <c r="J111" s="18" t="s">
        <v>2473</v>
      </c>
      <c r="K111" s="18" t="s">
        <v>2473</v>
      </c>
      <c r="AU111" s="6"/>
      <c r="AV111" s="6" t="str">
        <f t="shared" si="1"/>
        <v/>
      </c>
    </row>
    <row r="112" spans="1:48" ht="14.65" thickBot="1" x14ac:dyDescent="0.5">
      <c r="A112" s="35" t="s">
        <v>33</v>
      </c>
      <c r="B112" s="3" t="s">
        <v>103</v>
      </c>
      <c r="C112" s="4"/>
      <c r="D112" s="4"/>
      <c r="E112" s="4"/>
      <c r="F112" s="4"/>
      <c r="G112" s="4"/>
      <c r="H112" s="4"/>
      <c r="I112" s="18" t="s">
        <v>2473</v>
      </c>
      <c r="J112" s="18" t="s">
        <v>2473</v>
      </c>
      <c r="K112" s="18" t="s">
        <v>2473</v>
      </c>
      <c r="AU112" s="6"/>
      <c r="AV112" s="6" t="str">
        <f t="shared" si="1"/>
        <v/>
      </c>
    </row>
    <row r="113" spans="1:48" ht="14.65" thickBot="1" x14ac:dyDescent="0.5">
      <c r="A113" s="36" t="s">
        <v>104</v>
      </c>
      <c r="B113" s="3" t="s">
        <v>3584</v>
      </c>
      <c r="C113" s="4"/>
      <c r="D113" s="4"/>
      <c r="E113" s="4"/>
      <c r="F113" s="4"/>
      <c r="G113" s="4"/>
      <c r="H113" s="4"/>
      <c r="I113" s="18" t="s">
        <v>2473</v>
      </c>
      <c r="J113" s="18" t="s">
        <v>2473</v>
      </c>
      <c r="K113" s="18" t="s">
        <v>2473</v>
      </c>
      <c r="L113" s="18" t="s">
        <v>2335</v>
      </c>
      <c r="AU113" s="6"/>
      <c r="AV113" s="6" t="str">
        <f t="shared" si="1"/>
        <v/>
      </c>
    </row>
    <row r="114" spans="1:48" ht="14.65" thickBot="1" x14ac:dyDescent="0.5">
      <c r="A114" s="35" t="s">
        <v>33</v>
      </c>
      <c r="B114" s="3" t="s">
        <v>105</v>
      </c>
      <c r="C114" s="4"/>
      <c r="D114" s="4"/>
      <c r="E114" s="4"/>
      <c r="F114" s="4"/>
      <c r="G114" s="4"/>
      <c r="H114" s="4"/>
      <c r="I114" s="18" t="s">
        <v>2473</v>
      </c>
      <c r="J114" s="18" t="s">
        <v>2473</v>
      </c>
      <c r="K114" s="18" t="s">
        <v>2473</v>
      </c>
      <c r="L114" s="18" t="s">
        <v>2335</v>
      </c>
      <c r="AU114" s="6"/>
      <c r="AV114" s="6" t="str">
        <f t="shared" si="1"/>
        <v/>
      </c>
    </row>
    <row r="115" spans="1:48" ht="47.65" thickBot="1" x14ac:dyDescent="0.5">
      <c r="A115" s="36" t="s">
        <v>106</v>
      </c>
      <c r="B115" s="3" t="s">
        <v>107</v>
      </c>
      <c r="C115" s="4" t="s">
        <v>10</v>
      </c>
      <c r="D115" s="4"/>
      <c r="E115" s="4" t="s">
        <v>10</v>
      </c>
      <c r="F115" s="4"/>
      <c r="G115" s="4" t="s">
        <v>10</v>
      </c>
      <c r="H115" s="4"/>
      <c r="I115" s="18" t="s">
        <v>2473</v>
      </c>
      <c r="J115" s="18" t="s">
        <v>2473</v>
      </c>
      <c r="K115" s="18" t="s">
        <v>2473</v>
      </c>
      <c r="L115" s="18" t="s">
        <v>2334</v>
      </c>
      <c r="R115" s="122" t="s">
        <v>3435</v>
      </c>
      <c r="S115" s="114" t="s">
        <v>3437</v>
      </c>
      <c r="T115" s="114" t="s">
        <v>106</v>
      </c>
      <c r="U115" s="114"/>
      <c r="V115" s="114" t="s">
        <v>4205</v>
      </c>
      <c r="W115" s="114" t="s">
        <v>3436</v>
      </c>
      <c r="X115" s="114" t="s">
        <v>13</v>
      </c>
      <c r="AS115" s="206" t="s">
        <v>5860</v>
      </c>
      <c r="AU115" s="6"/>
      <c r="AV115" s="6" t="str">
        <f t="shared" si="1"/>
        <v>OK</v>
      </c>
    </row>
    <row r="116" spans="1:48" ht="14.65" thickBot="1" x14ac:dyDescent="0.5">
      <c r="A116" s="35" t="s">
        <v>108</v>
      </c>
      <c r="B116" s="3" t="s">
        <v>109</v>
      </c>
      <c r="C116" s="4" t="s">
        <v>37</v>
      </c>
      <c r="D116" s="4"/>
      <c r="E116" s="4" t="s">
        <v>37</v>
      </c>
      <c r="F116" s="4"/>
      <c r="G116" s="4" t="s">
        <v>37</v>
      </c>
      <c r="H116" s="4"/>
      <c r="I116" s="18" t="s">
        <v>2473</v>
      </c>
      <c r="J116" s="18" t="s">
        <v>2473</v>
      </c>
      <c r="K116" s="18" t="s">
        <v>2473</v>
      </c>
      <c r="AU116" s="6"/>
      <c r="AV116" s="6" t="str">
        <f t="shared" si="1"/>
        <v/>
      </c>
    </row>
    <row r="117" spans="1:48" ht="105.75" thickBot="1" x14ac:dyDescent="0.5">
      <c r="A117" s="35" t="s">
        <v>69</v>
      </c>
      <c r="B117" s="3" t="s">
        <v>3604</v>
      </c>
      <c r="C117" s="4" t="s">
        <v>10</v>
      </c>
      <c r="D117" s="4"/>
      <c r="E117" s="4" t="s">
        <v>10</v>
      </c>
      <c r="F117" s="4"/>
      <c r="G117" s="4" t="s">
        <v>10</v>
      </c>
      <c r="H117" s="4"/>
      <c r="I117" s="18" t="s">
        <v>2473</v>
      </c>
      <c r="J117" s="18" t="s">
        <v>2473</v>
      </c>
      <c r="K117" s="18" t="s">
        <v>2473</v>
      </c>
      <c r="L117" s="18" t="s">
        <v>2334</v>
      </c>
      <c r="Q117" s="114" t="s">
        <v>4205</v>
      </c>
      <c r="R117" s="122" t="s">
        <v>3435</v>
      </c>
      <c r="S117" s="114" t="s">
        <v>3437</v>
      </c>
      <c r="T117" s="114" t="s">
        <v>145</v>
      </c>
      <c r="U117" s="114"/>
      <c r="V117" s="114" t="s">
        <v>3441</v>
      </c>
      <c r="W117" s="114" t="s">
        <v>3436</v>
      </c>
      <c r="X117" s="114" t="s">
        <v>13</v>
      </c>
      <c r="AS117" s="206" t="s">
        <v>5861</v>
      </c>
      <c r="AU117" s="6"/>
      <c r="AV117" s="6" t="str">
        <f t="shared" si="1"/>
        <v>OK</v>
      </c>
    </row>
    <row r="118" spans="1:48" ht="47.65" thickBot="1" x14ac:dyDescent="0.5">
      <c r="A118" s="35" t="s">
        <v>5358</v>
      </c>
      <c r="B118" s="3" t="s">
        <v>5352</v>
      </c>
      <c r="C118" s="4" t="s">
        <v>10</v>
      </c>
      <c r="D118" s="4"/>
      <c r="E118" s="4" t="s">
        <v>10</v>
      </c>
      <c r="F118" s="4"/>
      <c r="G118" s="4" t="s">
        <v>10</v>
      </c>
      <c r="H118" s="4"/>
      <c r="I118" s="18" t="s">
        <v>2473</v>
      </c>
      <c r="J118" s="18" t="s">
        <v>2473</v>
      </c>
      <c r="K118" s="18" t="s">
        <v>2473</v>
      </c>
      <c r="Q118" s="131"/>
      <c r="R118" s="131"/>
      <c r="S118" s="131"/>
      <c r="T118" s="131"/>
      <c r="U118" s="131"/>
      <c r="V118" s="131"/>
      <c r="W118" s="131"/>
      <c r="X118" s="131"/>
      <c r="AS118" s="139" t="s">
        <v>5355</v>
      </c>
      <c r="AU118" s="6"/>
      <c r="AV118" s="6"/>
    </row>
    <row r="119" spans="1:48" ht="82.5" thickBot="1" x14ac:dyDescent="0.5">
      <c r="A119" s="35" t="s">
        <v>5359</v>
      </c>
      <c r="B119" s="3" t="s">
        <v>5353</v>
      </c>
      <c r="C119" s="4"/>
      <c r="D119" s="4"/>
      <c r="E119" s="4"/>
      <c r="F119" s="4"/>
      <c r="G119" s="4"/>
      <c r="H119" s="4"/>
      <c r="I119" s="18" t="s">
        <v>2473</v>
      </c>
      <c r="J119" s="18" t="s">
        <v>2473</v>
      </c>
      <c r="K119" s="18" t="s">
        <v>2473</v>
      </c>
      <c r="Q119" s="131"/>
      <c r="R119" s="131"/>
      <c r="S119" s="131"/>
      <c r="T119" s="131"/>
      <c r="U119" s="131"/>
      <c r="V119" s="131"/>
      <c r="W119" s="131"/>
      <c r="X119" s="131"/>
      <c r="AS119" s="139" t="s">
        <v>5356</v>
      </c>
      <c r="AU119" s="6"/>
      <c r="AV119" s="6"/>
    </row>
    <row r="120" spans="1:48" ht="20.65" thickBot="1" x14ac:dyDescent="0.5">
      <c r="A120" s="35" t="s">
        <v>110</v>
      </c>
      <c r="B120" s="3" t="s">
        <v>111</v>
      </c>
      <c r="C120" s="4" t="s">
        <v>10</v>
      </c>
      <c r="D120" s="4"/>
      <c r="E120" s="4" t="s">
        <v>10</v>
      </c>
      <c r="F120" s="4"/>
      <c r="G120" s="4" t="s">
        <v>10</v>
      </c>
      <c r="H120" s="4"/>
      <c r="I120" s="18" t="s">
        <v>2473</v>
      </c>
      <c r="J120" s="18" t="s">
        <v>2473</v>
      </c>
      <c r="K120" s="18" t="s">
        <v>2473</v>
      </c>
      <c r="L120" s="18" t="s">
        <v>2334</v>
      </c>
      <c r="Q120" s="114" t="s">
        <v>4205</v>
      </c>
      <c r="R120" s="122" t="s">
        <v>3435</v>
      </c>
      <c r="S120" s="114" t="s">
        <v>4</v>
      </c>
      <c r="T120" s="114" t="s">
        <v>4329</v>
      </c>
      <c r="U120" s="114" t="s">
        <v>3523</v>
      </c>
      <c r="V120" s="114" t="s">
        <v>3530</v>
      </c>
      <c r="W120" s="114" t="s">
        <v>3436</v>
      </c>
      <c r="X120" s="114" t="s">
        <v>13</v>
      </c>
      <c r="Y120" s="149"/>
      <c r="Z120" s="183"/>
      <c r="AA120" s="183"/>
      <c r="AB120" s="183"/>
      <c r="AC120" s="183"/>
      <c r="AD120" s="183"/>
      <c r="AE120" s="184"/>
      <c r="AF120" s="184"/>
      <c r="AG120" s="183"/>
      <c r="AH120" s="183"/>
      <c r="AI120" s="183"/>
      <c r="AJ120" s="183"/>
      <c r="AK120" s="183"/>
      <c r="AL120" s="183"/>
      <c r="AM120" s="183"/>
      <c r="AN120" s="131"/>
      <c r="AO120" s="131"/>
      <c r="AP120" s="131"/>
      <c r="AQ120" s="131"/>
      <c r="AR120" s="288"/>
      <c r="AS120" s="259"/>
      <c r="AT120" s="183"/>
      <c r="AU120" s="6"/>
      <c r="AV120" s="6" t="str">
        <f t="shared" si="1"/>
        <v>OK</v>
      </c>
    </row>
    <row r="121" spans="1:48" ht="23.65" thickBot="1" x14ac:dyDescent="0.5">
      <c r="A121" s="35" t="s">
        <v>112</v>
      </c>
      <c r="B121" s="3" t="s">
        <v>113</v>
      </c>
      <c r="C121" s="4"/>
      <c r="D121" s="4"/>
      <c r="E121" s="4"/>
      <c r="F121" s="4"/>
      <c r="G121" s="4"/>
      <c r="H121" s="4"/>
      <c r="I121" s="18" t="s">
        <v>2473</v>
      </c>
      <c r="J121" s="18" t="s">
        <v>2473</v>
      </c>
      <c r="K121" s="18" t="s">
        <v>2473</v>
      </c>
      <c r="L121" s="18" t="s">
        <v>2335</v>
      </c>
      <c r="AU121" s="6"/>
      <c r="AV121" s="6" t="str">
        <f t="shared" si="1"/>
        <v/>
      </c>
    </row>
    <row r="122" spans="1:48" ht="14.65" thickBot="1" x14ac:dyDescent="0.5">
      <c r="A122" s="36" t="s">
        <v>114</v>
      </c>
      <c r="B122" s="3" t="s">
        <v>115</v>
      </c>
      <c r="C122" s="4" t="s">
        <v>13</v>
      </c>
      <c r="D122" s="4"/>
      <c r="E122" s="4" t="s">
        <v>10</v>
      </c>
      <c r="F122" s="4"/>
      <c r="G122" s="4" t="s">
        <v>13</v>
      </c>
      <c r="H122" s="4"/>
      <c r="I122" s="18" t="s">
        <v>2473</v>
      </c>
      <c r="J122" s="18" t="s">
        <v>2473</v>
      </c>
      <c r="K122" s="18" t="s">
        <v>2473</v>
      </c>
      <c r="L122" s="18" t="s">
        <v>2334</v>
      </c>
      <c r="R122" s="122" t="s">
        <v>3529</v>
      </c>
      <c r="S122" s="114" t="s">
        <v>4</v>
      </c>
      <c r="T122" s="114" t="s">
        <v>114</v>
      </c>
      <c r="U122" s="114" t="s">
        <v>3521</v>
      </c>
      <c r="V122" s="114" t="s">
        <v>3530</v>
      </c>
      <c r="W122" s="114" t="s">
        <v>3436</v>
      </c>
      <c r="X122" s="114" t="s">
        <v>13</v>
      </c>
      <c r="Y122" s="149"/>
      <c r="Z122" s="183"/>
      <c r="AA122" s="183"/>
      <c r="AB122" s="183"/>
      <c r="AC122" s="183"/>
      <c r="AD122" s="183"/>
      <c r="AE122" s="184"/>
      <c r="AF122" s="184"/>
      <c r="AG122" s="183"/>
      <c r="AH122" s="183"/>
      <c r="AI122" s="183"/>
      <c r="AJ122" s="183"/>
      <c r="AK122" s="183"/>
      <c r="AL122" s="183"/>
      <c r="AM122" s="183"/>
      <c r="AN122" s="131"/>
      <c r="AO122" s="131"/>
      <c r="AP122" s="131"/>
      <c r="AQ122" s="131"/>
      <c r="AR122" s="288"/>
      <c r="AS122" s="259"/>
      <c r="AT122" s="183"/>
      <c r="AU122" s="6"/>
      <c r="AV122" s="6" t="str">
        <f t="shared" si="1"/>
        <v>OK</v>
      </c>
    </row>
    <row r="123" spans="1:48" ht="14.65" thickBot="1" x14ac:dyDescent="0.5">
      <c r="A123" s="36" t="s">
        <v>116</v>
      </c>
      <c r="B123" s="3" t="s">
        <v>3585</v>
      </c>
      <c r="C123" s="4" t="s">
        <v>37</v>
      </c>
      <c r="D123" s="4"/>
      <c r="E123" s="4" t="s">
        <v>37</v>
      </c>
      <c r="F123" s="4"/>
      <c r="G123" s="4" t="s">
        <v>37</v>
      </c>
      <c r="H123" s="4"/>
      <c r="I123" s="18" t="s">
        <v>2473</v>
      </c>
      <c r="J123" s="18" t="s">
        <v>2473</v>
      </c>
      <c r="K123" s="18" t="s">
        <v>2473</v>
      </c>
      <c r="AU123" s="6"/>
      <c r="AV123" s="6" t="str">
        <f t="shared" si="1"/>
        <v/>
      </c>
    </row>
    <row r="124" spans="1:48" ht="14.65" thickBot="1" x14ac:dyDescent="0.5">
      <c r="A124" s="35" t="s">
        <v>33</v>
      </c>
      <c r="B124" s="3" t="s">
        <v>117</v>
      </c>
      <c r="C124" s="4"/>
      <c r="D124" s="4"/>
      <c r="E124" s="4"/>
      <c r="F124" s="4"/>
      <c r="G124" s="4"/>
      <c r="H124" s="4"/>
      <c r="I124" s="18" t="s">
        <v>2473</v>
      </c>
      <c r="J124" s="18" t="s">
        <v>2473</v>
      </c>
      <c r="K124" s="18" t="s">
        <v>2473</v>
      </c>
      <c r="L124" s="18" t="s">
        <v>2335</v>
      </c>
      <c r="AU124" s="6"/>
      <c r="AV124" s="6" t="str">
        <f t="shared" si="1"/>
        <v/>
      </c>
    </row>
    <row r="125" spans="1:48" ht="14.65" thickBot="1" x14ac:dyDescent="0.5">
      <c r="A125" s="36" t="s">
        <v>118</v>
      </c>
      <c r="B125" s="3" t="s">
        <v>3586</v>
      </c>
      <c r="C125" s="4" t="s">
        <v>37</v>
      </c>
      <c r="D125" s="4"/>
      <c r="E125" s="4" t="s">
        <v>37</v>
      </c>
      <c r="F125" s="4"/>
      <c r="G125" s="4" t="s">
        <v>37</v>
      </c>
      <c r="H125" s="4"/>
      <c r="I125" s="18" t="s">
        <v>2473</v>
      </c>
      <c r="J125" s="18" t="s">
        <v>2473</v>
      </c>
      <c r="K125" s="18" t="s">
        <v>2473</v>
      </c>
      <c r="AU125" s="6"/>
      <c r="AV125" s="6" t="str">
        <f t="shared" si="1"/>
        <v/>
      </c>
    </row>
    <row r="126" spans="1:48" ht="14.65" thickBot="1" x14ac:dyDescent="0.5">
      <c r="A126" s="35" t="s">
        <v>33</v>
      </c>
      <c r="B126" s="3" t="s">
        <v>119</v>
      </c>
      <c r="C126" s="4"/>
      <c r="D126" s="4"/>
      <c r="E126" s="4"/>
      <c r="F126" s="4"/>
      <c r="G126" s="4"/>
      <c r="H126" s="4"/>
      <c r="I126" s="18" t="s">
        <v>2473</v>
      </c>
      <c r="J126" s="18" t="s">
        <v>2473</v>
      </c>
      <c r="K126" s="18" t="s">
        <v>2473</v>
      </c>
      <c r="L126" s="18" t="s">
        <v>2335</v>
      </c>
      <c r="AU126" s="6"/>
      <c r="AV126" s="6" t="str">
        <f t="shared" si="1"/>
        <v/>
      </c>
    </row>
    <row r="127" spans="1:48" ht="14.65" thickBot="1" x14ac:dyDescent="0.5">
      <c r="A127" s="36" t="s">
        <v>120</v>
      </c>
      <c r="B127" s="3" t="s">
        <v>3587</v>
      </c>
      <c r="C127" s="4" t="s">
        <v>37</v>
      </c>
      <c r="D127" s="4"/>
      <c r="E127" s="4" t="s">
        <v>37</v>
      </c>
      <c r="F127" s="4"/>
      <c r="G127" s="4" t="s">
        <v>37</v>
      </c>
      <c r="H127" s="4"/>
      <c r="I127" s="18" t="s">
        <v>2473</v>
      </c>
      <c r="J127" s="18" t="s">
        <v>2473</v>
      </c>
      <c r="K127" s="18" t="s">
        <v>2473</v>
      </c>
      <c r="AU127" s="6"/>
      <c r="AV127" s="6" t="str">
        <f t="shared" si="1"/>
        <v/>
      </c>
    </row>
    <row r="128" spans="1:48" ht="14.65" thickBot="1" x14ac:dyDescent="0.5">
      <c r="A128" s="35" t="s">
        <v>33</v>
      </c>
      <c r="B128" s="3" t="s">
        <v>121</v>
      </c>
      <c r="C128" s="4"/>
      <c r="D128" s="4"/>
      <c r="E128" s="4"/>
      <c r="F128" s="4"/>
      <c r="G128" s="4"/>
      <c r="H128" s="4"/>
      <c r="I128" s="18" t="s">
        <v>2473</v>
      </c>
      <c r="J128" s="18" t="s">
        <v>2473</v>
      </c>
      <c r="K128" s="18" t="s">
        <v>2473</v>
      </c>
      <c r="AU128" s="6"/>
      <c r="AV128" s="6" t="str">
        <f t="shared" si="1"/>
        <v/>
      </c>
    </row>
    <row r="129" spans="1:48" ht="23.65" thickBot="1" x14ac:dyDescent="0.5">
      <c r="A129" s="36" t="s">
        <v>3039</v>
      </c>
      <c r="B129" s="3" t="s">
        <v>3040</v>
      </c>
      <c r="C129" s="4"/>
      <c r="D129" s="4"/>
      <c r="E129" s="4" t="s">
        <v>13</v>
      </c>
      <c r="F129" s="4"/>
      <c r="G129" s="4"/>
      <c r="H129" s="4"/>
      <c r="I129" s="18" t="s">
        <v>2473</v>
      </c>
      <c r="J129" s="18" t="s">
        <v>2473</v>
      </c>
      <c r="K129" s="18" t="s">
        <v>2473</v>
      </c>
      <c r="AU129" s="6"/>
      <c r="AV129" s="6" t="str">
        <f t="shared" si="1"/>
        <v/>
      </c>
    </row>
    <row r="130" spans="1:48" ht="14.65" thickBot="1" x14ac:dyDescent="0.5">
      <c r="A130" s="36" t="s">
        <v>122</v>
      </c>
      <c r="B130" s="3" t="s">
        <v>123</v>
      </c>
      <c r="C130" s="4"/>
      <c r="D130" s="4"/>
      <c r="E130" s="4" t="s">
        <v>10</v>
      </c>
      <c r="F130" s="4"/>
      <c r="G130" s="4"/>
      <c r="H130" s="4"/>
      <c r="I130" s="18" t="s">
        <v>2473</v>
      </c>
      <c r="J130" s="18" t="s">
        <v>2473</v>
      </c>
      <c r="K130" s="18" t="s">
        <v>2473</v>
      </c>
      <c r="AU130" s="6"/>
      <c r="AV130" s="6" t="str">
        <f t="shared" si="1"/>
        <v/>
      </c>
    </row>
    <row r="131" spans="1:48" ht="47.65" thickBot="1" x14ac:dyDescent="0.5">
      <c r="A131" s="36" t="s">
        <v>124</v>
      </c>
      <c r="B131" s="3" t="s">
        <v>125</v>
      </c>
      <c r="C131" s="4" t="s">
        <v>10</v>
      </c>
      <c r="D131" s="4"/>
      <c r="E131" s="4" t="s">
        <v>10</v>
      </c>
      <c r="F131" s="4"/>
      <c r="G131" s="4" t="s">
        <v>10</v>
      </c>
      <c r="H131" s="4"/>
      <c r="I131" s="18" t="s">
        <v>2473</v>
      </c>
      <c r="J131" s="18" t="s">
        <v>2473</v>
      </c>
      <c r="K131" s="18" t="s">
        <v>2473</v>
      </c>
      <c r="L131" s="18" t="s">
        <v>2334</v>
      </c>
      <c r="R131" s="122" t="s">
        <v>3435</v>
      </c>
      <c r="S131" s="114" t="s">
        <v>3437</v>
      </c>
      <c r="T131" s="114" t="s">
        <v>124</v>
      </c>
      <c r="U131" s="114"/>
      <c r="V131" s="114" t="s">
        <v>4207</v>
      </c>
      <c r="W131" s="114" t="s">
        <v>3436</v>
      </c>
      <c r="X131" s="114" t="s">
        <v>13</v>
      </c>
      <c r="AS131" s="206" t="s">
        <v>5860</v>
      </c>
      <c r="AU131" s="6"/>
      <c r="AV131" s="6" t="str">
        <f t="shared" si="1"/>
        <v>OK</v>
      </c>
    </row>
    <row r="132" spans="1:48" ht="20.65" thickBot="1" x14ac:dyDescent="0.5">
      <c r="A132" s="35" t="s">
        <v>126</v>
      </c>
      <c r="B132" s="3" t="s">
        <v>127</v>
      </c>
      <c r="C132" s="4" t="s">
        <v>10</v>
      </c>
      <c r="D132" s="4"/>
      <c r="E132" s="4" t="s">
        <v>10</v>
      </c>
      <c r="F132" s="4"/>
      <c r="G132" s="4" t="s">
        <v>10</v>
      </c>
      <c r="H132" s="4"/>
      <c r="I132" s="18" t="s">
        <v>2473</v>
      </c>
      <c r="J132" s="18" t="s">
        <v>2473</v>
      </c>
      <c r="K132" s="18" t="s">
        <v>2473</v>
      </c>
      <c r="L132" s="18" t="s">
        <v>2334</v>
      </c>
      <c r="Q132" s="114" t="s">
        <v>4207</v>
      </c>
      <c r="R132" s="122" t="s">
        <v>3435</v>
      </c>
      <c r="S132" s="114" t="s">
        <v>4</v>
      </c>
      <c r="T132" s="114" t="s">
        <v>4206</v>
      </c>
      <c r="U132" s="114" t="s">
        <v>3524</v>
      </c>
      <c r="V132" s="114" t="s">
        <v>3530</v>
      </c>
      <c r="W132" s="114" t="s">
        <v>3436</v>
      </c>
      <c r="X132" s="114" t="s">
        <v>13</v>
      </c>
      <c r="AU132" s="6"/>
      <c r="AV132" s="6" t="str">
        <f t="shared" si="1"/>
        <v>OK</v>
      </c>
    </row>
    <row r="133" spans="1:48" ht="20.65" thickBot="1" x14ac:dyDescent="0.5">
      <c r="A133" s="35" t="s">
        <v>128</v>
      </c>
      <c r="B133" s="3" t="s">
        <v>129</v>
      </c>
      <c r="C133" s="4" t="s">
        <v>13</v>
      </c>
      <c r="D133" s="4"/>
      <c r="E133" s="4" t="s">
        <v>13</v>
      </c>
      <c r="F133" s="4"/>
      <c r="G133" s="4" t="s">
        <v>13</v>
      </c>
      <c r="H133" s="4"/>
      <c r="I133" s="18" t="s">
        <v>2473</v>
      </c>
      <c r="J133" s="18" t="s">
        <v>2473</v>
      </c>
      <c r="K133" s="18" t="s">
        <v>2473</v>
      </c>
      <c r="L133" s="18" t="s">
        <v>2334</v>
      </c>
      <c r="Q133" s="114" t="s">
        <v>4207</v>
      </c>
      <c r="R133" s="122" t="s">
        <v>3435</v>
      </c>
      <c r="S133" s="114" t="s">
        <v>4</v>
      </c>
      <c r="T133" s="114" t="s">
        <v>2480</v>
      </c>
      <c r="U133" s="114" t="s">
        <v>3524</v>
      </c>
      <c r="V133" s="114" t="s">
        <v>3530</v>
      </c>
      <c r="W133" s="114" t="s">
        <v>3436</v>
      </c>
      <c r="X133" s="114" t="s">
        <v>13</v>
      </c>
      <c r="AU133" s="6"/>
      <c r="AV133" s="6" t="str">
        <f t="shared" si="1"/>
        <v>OK</v>
      </c>
    </row>
    <row r="134" spans="1:48" ht="23.65" thickBot="1" x14ac:dyDescent="0.5">
      <c r="A134" s="35" t="s">
        <v>130</v>
      </c>
      <c r="B134" s="3" t="s">
        <v>131</v>
      </c>
      <c r="C134" s="4" t="s">
        <v>10</v>
      </c>
      <c r="D134" s="4"/>
      <c r="E134" s="4" t="s">
        <v>10</v>
      </c>
      <c r="F134" s="4"/>
      <c r="G134" s="4" t="s">
        <v>10</v>
      </c>
      <c r="H134" s="4"/>
      <c r="I134" s="18" t="s">
        <v>2473</v>
      </c>
      <c r="J134" s="18" t="s">
        <v>2473</v>
      </c>
      <c r="K134" s="18" t="s">
        <v>2473</v>
      </c>
      <c r="L134" s="18" t="s">
        <v>2334</v>
      </c>
      <c r="Q134" s="114" t="s">
        <v>4207</v>
      </c>
      <c r="R134" s="122" t="s">
        <v>3435</v>
      </c>
      <c r="S134" s="114" t="s">
        <v>4</v>
      </c>
      <c r="T134" s="114" t="s">
        <v>114</v>
      </c>
      <c r="U134" s="114" t="s">
        <v>3521</v>
      </c>
      <c r="V134" s="114" t="s">
        <v>3530</v>
      </c>
      <c r="W134" s="114" t="s">
        <v>3436</v>
      </c>
      <c r="X134" s="114" t="s">
        <v>13</v>
      </c>
      <c r="AU134" s="6"/>
      <c r="AV134" s="6" t="str">
        <f t="shared" si="1"/>
        <v>OK</v>
      </c>
    </row>
    <row r="135" spans="1:48" ht="14.65" thickBot="1" x14ac:dyDescent="0.5">
      <c r="A135" s="35" t="s">
        <v>3041</v>
      </c>
      <c r="B135" s="3" t="s">
        <v>3042</v>
      </c>
      <c r="C135" s="4" t="s">
        <v>13</v>
      </c>
      <c r="D135" s="4"/>
      <c r="E135" s="4" t="s">
        <v>13</v>
      </c>
      <c r="F135" s="4"/>
      <c r="G135" s="4" t="s">
        <v>13</v>
      </c>
      <c r="H135" s="4"/>
      <c r="I135" s="18" t="s">
        <v>2473</v>
      </c>
      <c r="J135" s="18" t="s">
        <v>2473</v>
      </c>
      <c r="K135" s="18" t="s">
        <v>2473</v>
      </c>
      <c r="AU135" s="6"/>
      <c r="AV135" s="6" t="str">
        <f t="shared" si="1"/>
        <v/>
      </c>
    </row>
    <row r="136" spans="1:48" ht="14.65" thickBot="1" x14ac:dyDescent="0.5">
      <c r="A136" s="35" t="s">
        <v>43</v>
      </c>
      <c r="B136" s="3" t="s">
        <v>3043</v>
      </c>
      <c r="C136" s="4"/>
      <c r="D136" s="4"/>
      <c r="E136" s="4"/>
      <c r="F136" s="4"/>
      <c r="G136" s="4"/>
      <c r="H136" s="4"/>
      <c r="I136" s="18" t="s">
        <v>2473</v>
      </c>
      <c r="J136" s="18" t="s">
        <v>2473</v>
      </c>
      <c r="K136" s="18" t="s">
        <v>2473</v>
      </c>
      <c r="L136" s="18" t="s">
        <v>2335</v>
      </c>
      <c r="AU136" s="6"/>
      <c r="AV136" s="6" t="str">
        <f t="shared" si="1"/>
        <v/>
      </c>
    </row>
    <row r="137" spans="1:48" ht="105.75" thickBot="1" x14ac:dyDescent="0.5">
      <c r="A137" s="35" t="s">
        <v>69</v>
      </c>
      <c r="B137" s="3" t="s">
        <v>3604</v>
      </c>
      <c r="C137" s="4" t="s">
        <v>10</v>
      </c>
      <c r="D137" s="4"/>
      <c r="E137" s="4" t="s">
        <v>10</v>
      </c>
      <c r="F137" s="4"/>
      <c r="G137" s="4" t="s">
        <v>10</v>
      </c>
      <c r="H137" s="4"/>
      <c r="I137" s="18" t="s">
        <v>2473</v>
      </c>
      <c r="J137" s="18" t="s">
        <v>2473</v>
      </c>
      <c r="K137" s="18" t="s">
        <v>2473</v>
      </c>
      <c r="L137" s="18" t="s">
        <v>2334</v>
      </c>
      <c r="Q137" s="114" t="s">
        <v>4207</v>
      </c>
      <c r="R137" s="122" t="s">
        <v>3435</v>
      </c>
      <c r="S137" s="114" t="s">
        <v>3437</v>
      </c>
      <c r="T137" s="114" t="s">
        <v>145</v>
      </c>
      <c r="U137" s="114"/>
      <c r="V137" s="114" t="s">
        <v>3441</v>
      </c>
      <c r="W137" s="114" t="s">
        <v>3436</v>
      </c>
      <c r="X137" s="114" t="s">
        <v>13</v>
      </c>
      <c r="AS137" s="206" t="s">
        <v>5861</v>
      </c>
      <c r="AU137" s="6"/>
      <c r="AV137" s="6" t="str">
        <f t="shared" si="1"/>
        <v>OK</v>
      </c>
    </row>
    <row r="138" spans="1:48" ht="47.65" thickBot="1" x14ac:dyDescent="0.5">
      <c r="A138" s="35" t="s">
        <v>5358</v>
      </c>
      <c r="B138" s="3" t="s">
        <v>5352</v>
      </c>
      <c r="C138" s="4" t="s">
        <v>10</v>
      </c>
      <c r="D138" s="4"/>
      <c r="E138" s="4" t="s">
        <v>10</v>
      </c>
      <c r="F138" s="4"/>
      <c r="G138" s="4" t="s">
        <v>10</v>
      </c>
      <c r="H138" s="4"/>
      <c r="I138" s="18" t="s">
        <v>2473</v>
      </c>
      <c r="J138" s="18" t="s">
        <v>2473</v>
      </c>
      <c r="K138" s="18" t="s">
        <v>2473</v>
      </c>
      <c r="Q138" s="131"/>
      <c r="R138" s="131"/>
      <c r="S138" s="131"/>
      <c r="T138" s="131"/>
      <c r="U138" s="131"/>
      <c r="V138" s="131"/>
      <c r="W138" s="131"/>
      <c r="X138" s="131"/>
      <c r="AS138" s="139" t="s">
        <v>5355</v>
      </c>
      <c r="AU138" s="6"/>
      <c r="AV138" s="6"/>
    </row>
    <row r="139" spans="1:48" ht="82.5" thickBot="1" x14ac:dyDescent="0.5">
      <c r="A139" s="35" t="s">
        <v>5359</v>
      </c>
      <c r="B139" s="3" t="s">
        <v>5353</v>
      </c>
      <c r="C139" s="4"/>
      <c r="D139" s="4"/>
      <c r="E139" s="4"/>
      <c r="F139" s="4"/>
      <c r="G139" s="4"/>
      <c r="H139" s="4"/>
      <c r="I139" s="18" t="s">
        <v>2473</v>
      </c>
      <c r="J139" s="18" t="s">
        <v>2473</v>
      </c>
      <c r="K139" s="18" t="s">
        <v>2473</v>
      </c>
      <c r="Q139" s="131"/>
      <c r="R139" s="131"/>
      <c r="S139" s="131"/>
      <c r="T139" s="131"/>
      <c r="U139" s="131"/>
      <c r="V139" s="131"/>
      <c r="W139" s="131"/>
      <c r="X139" s="131"/>
      <c r="AS139" s="139" t="s">
        <v>5356</v>
      </c>
      <c r="AU139" s="6"/>
      <c r="AV139" s="6"/>
    </row>
    <row r="140" spans="1:48" ht="14.65" thickBot="1" x14ac:dyDescent="0.5">
      <c r="A140" s="36" t="s">
        <v>132</v>
      </c>
      <c r="B140" s="3" t="s">
        <v>3588</v>
      </c>
      <c r="C140" s="4" t="s">
        <v>10</v>
      </c>
      <c r="D140" s="4"/>
      <c r="E140" s="4" t="s">
        <v>10</v>
      </c>
      <c r="F140" s="4"/>
      <c r="G140" s="4" t="s">
        <v>10</v>
      </c>
      <c r="H140" s="4"/>
      <c r="I140" s="18" t="s">
        <v>2473</v>
      </c>
      <c r="J140" s="18" t="s">
        <v>2473</v>
      </c>
      <c r="K140" s="18" t="s">
        <v>2473</v>
      </c>
      <c r="AU140" s="6"/>
      <c r="AV140" s="6" t="str">
        <f t="shared" si="1"/>
        <v/>
      </c>
    </row>
    <row r="141" spans="1:48" ht="14.65" thickBot="1" x14ac:dyDescent="0.5">
      <c r="A141" s="35" t="s">
        <v>33</v>
      </c>
      <c r="B141" s="3" t="s">
        <v>134</v>
      </c>
      <c r="C141" s="4"/>
      <c r="D141" s="4"/>
      <c r="E141" s="4"/>
      <c r="F141" s="4"/>
      <c r="G141" s="4"/>
      <c r="H141" s="4"/>
      <c r="I141" s="18" t="s">
        <v>2473</v>
      </c>
      <c r="J141" s="18" t="s">
        <v>2473</v>
      </c>
      <c r="K141" s="18" t="s">
        <v>2473</v>
      </c>
      <c r="L141" s="18" t="s">
        <v>2335</v>
      </c>
      <c r="AU141" s="6"/>
      <c r="AV141" s="6" t="str">
        <f t="shared" ref="AV141:AV208" si="4">IF(A141&lt;&gt;"",IF(T141&lt;&gt;"",IF(LEFT(R141,3)="Has",IF(TRIM(A141)&lt;&gt;T141,"ERROR","OK"),""),""),"")</f>
        <v/>
      </c>
    </row>
    <row r="142" spans="1:48" ht="23.65" thickBot="1" x14ac:dyDescent="0.5">
      <c r="A142" s="36" t="s">
        <v>135</v>
      </c>
      <c r="B142" s="3" t="s">
        <v>3589</v>
      </c>
      <c r="C142" s="4"/>
      <c r="D142" s="4"/>
      <c r="E142" s="4"/>
      <c r="F142" s="4"/>
      <c r="G142" s="4"/>
      <c r="H142" s="4"/>
      <c r="I142" s="18" t="s">
        <v>2473</v>
      </c>
      <c r="J142" s="18" t="s">
        <v>2473</v>
      </c>
      <c r="K142" s="18" t="s">
        <v>2473</v>
      </c>
      <c r="L142" s="18" t="s">
        <v>2335</v>
      </c>
      <c r="AU142" s="6"/>
      <c r="AV142" s="6" t="str">
        <f t="shared" si="4"/>
        <v/>
      </c>
    </row>
    <row r="143" spans="1:48" ht="14.65" thickBot="1" x14ac:dyDescent="0.5">
      <c r="A143" s="35" t="s">
        <v>33</v>
      </c>
      <c r="B143" s="3" t="s">
        <v>84</v>
      </c>
      <c r="C143" s="4"/>
      <c r="D143" s="4"/>
      <c r="E143" s="4"/>
      <c r="F143" s="4"/>
      <c r="G143" s="4"/>
      <c r="H143" s="4"/>
      <c r="I143" s="18" t="s">
        <v>2473</v>
      </c>
      <c r="J143" s="18" t="s">
        <v>2473</v>
      </c>
      <c r="K143" s="18" t="s">
        <v>2473</v>
      </c>
      <c r="L143" s="18" t="s">
        <v>2335</v>
      </c>
      <c r="AU143" s="6"/>
      <c r="AV143" s="6" t="str">
        <f t="shared" si="4"/>
        <v/>
      </c>
    </row>
    <row r="144" spans="1:48" ht="14.65" thickBot="1" x14ac:dyDescent="0.5">
      <c r="A144" s="36" t="s">
        <v>136</v>
      </c>
      <c r="B144" s="3" t="s">
        <v>137</v>
      </c>
      <c r="C144" s="4" t="s">
        <v>13</v>
      </c>
      <c r="D144" s="4"/>
      <c r="E144" s="4" t="s">
        <v>13</v>
      </c>
      <c r="F144" s="4"/>
      <c r="G144" s="4" t="s">
        <v>13</v>
      </c>
      <c r="H144" s="4"/>
      <c r="I144" s="18" t="s">
        <v>2473</v>
      </c>
      <c r="J144" s="18" t="s">
        <v>2473</v>
      </c>
      <c r="K144" s="18" t="s">
        <v>2473</v>
      </c>
      <c r="L144" s="18" t="s">
        <v>2334</v>
      </c>
      <c r="AU144" s="6"/>
      <c r="AV144" s="6" t="str">
        <f t="shared" si="4"/>
        <v/>
      </c>
    </row>
    <row r="145" spans="1:48" ht="14.65" thickBot="1" x14ac:dyDescent="0.5">
      <c r="A145" s="36" t="s">
        <v>138</v>
      </c>
      <c r="B145" s="3" t="s">
        <v>3590</v>
      </c>
      <c r="C145" s="4"/>
      <c r="D145" s="4"/>
      <c r="E145" s="4" t="s">
        <v>37</v>
      </c>
      <c r="F145" s="4"/>
      <c r="G145" s="4"/>
      <c r="H145" s="4"/>
      <c r="I145" s="18" t="s">
        <v>2473</v>
      </c>
      <c r="J145" s="18" t="s">
        <v>2473</v>
      </c>
      <c r="K145" s="18" t="s">
        <v>2473</v>
      </c>
      <c r="L145" s="18" t="s">
        <v>2334</v>
      </c>
      <c r="AU145" s="6"/>
      <c r="AV145" s="6" t="str">
        <f t="shared" si="4"/>
        <v/>
      </c>
    </row>
    <row r="146" spans="1:48" ht="14.65" thickBot="1" x14ac:dyDescent="0.5">
      <c r="A146" s="35" t="s">
        <v>33</v>
      </c>
      <c r="B146" s="3" t="s">
        <v>139</v>
      </c>
      <c r="C146" s="4"/>
      <c r="D146" s="4"/>
      <c r="E146" s="4"/>
      <c r="F146" s="4"/>
      <c r="G146" s="4"/>
      <c r="H146" s="4"/>
      <c r="I146" s="18" t="s">
        <v>2473</v>
      </c>
      <c r="J146" s="18" t="s">
        <v>2473</v>
      </c>
      <c r="K146" s="18" t="s">
        <v>2473</v>
      </c>
      <c r="L146" s="18" t="s">
        <v>2335</v>
      </c>
      <c r="AU146" s="6"/>
      <c r="AV146" s="6" t="str">
        <f t="shared" si="4"/>
        <v/>
      </c>
    </row>
    <row r="147" spans="1:48" ht="14.65" thickBot="1" x14ac:dyDescent="0.5">
      <c r="A147" s="36" t="s">
        <v>140</v>
      </c>
      <c r="B147" s="3" t="s">
        <v>141</v>
      </c>
      <c r="C147" s="4" t="s">
        <v>13</v>
      </c>
      <c r="D147" s="4"/>
      <c r="E147" s="4" t="s">
        <v>10</v>
      </c>
      <c r="F147" s="4"/>
      <c r="G147" s="4" t="s">
        <v>13</v>
      </c>
      <c r="H147" s="4"/>
      <c r="I147" s="18" t="s">
        <v>2473</v>
      </c>
      <c r="J147" s="18" t="s">
        <v>2473</v>
      </c>
      <c r="K147" s="18" t="s">
        <v>2473</v>
      </c>
      <c r="L147" s="18" t="s">
        <v>2334</v>
      </c>
      <c r="R147" s="122" t="s">
        <v>3529</v>
      </c>
      <c r="S147" s="114" t="s">
        <v>4</v>
      </c>
      <c r="T147" s="114" t="s">
        <v>140</v>
      </c>
      <c r="U147" s="114" t="s">
        <v>3521</v>
      </c>
      <c r="V147" s="114" t="s">
        <v>3530</v>
      </c>
      <c r="W147" s="114" t="s">
        <v>3436</v>
      </c>
      <c r="X147" s="114" t="s">
        <v>13</v>
      </c>
      <c r="Y147" s="149"/>
      <c r="Z147" s="183"/>
      <c r="AA147" s="183"/>
      <c r="AB147" s="183"/>
      <c r="AC147" s="183"/>
      <c r="AD147" s="183"/>
      <c r="AE147" s="184"/>
      <c r="AF147" s="184"/>
      <c r="AG147" s="183"/>
      <c r="AH147" s="183"/>
      <c r="AI147" s="183"/>
      <c r="AJ147" s="183"/>
      <c r="AK147" s="183"/>
      <c r="AL147" s="183"/>
      <c r="AM147" s="183"/>
      <c r="AN147" s="131"/>
      <c r="AO147" s="131"/>
      <c r="AP147" s="131"/>
      <c r="AQ147" s="131"/>
      <c r="AR147" s="288"/>
      <c r="AS147" s="259"/>
      <c r="AT147" s="183"/>
      <c r="AU147" s="6"/>
      <c r="AV147" s="6" t="str">
        <f t="shared" si="4"/>
        <v>OK</v>
      </c>
    </row>
    <row r="148" spans="1:48" ht="46.9" thickBot="1" x14ac:dyDescent="0.5">
      <c r="A148" s="36" t="s">
        <v>142</v>
      </c>
      <c r="B148" s="3" t="s">
        <v>3591</v>
      </c>
      <c r="C148" s="14" t="s">
        <v>5056</v>
      </c>
      <c r="D148" s="4"/>
      <c r="E148" s="14" t="s">
        <v>5056</v>
      </c>
      <c r="F148" s="4"/>
      <c r="G148" s="14" t="s">
        <v>5056</v>
      </c>
      <c r="H148" s="4"/>
      <c r="I148" s="18" t="s">
        <v>2473</v>
      </c>
      <c r="J148" s="18" t="s">
        <v>2473</v>
      </c>
      <c r="K148" s="18" t="s">
        <v>2473</v>
      </c>
      <c r="AU148" s="140" t="s">
        <v>5057</v>
      </c>
      <c r="AV148" s="6" t="str">
        <f t="shared" si="4"/>
        <v/>
      </c>
    </row>
    <row r="149" spans="1:48" ht="14.65" thickBot="1" x14ac:dyDescent="0.5">
      <c r="A149" s="35" t="s">
        <v>33</v>
      </c>
      <c r="B149" s="3" t="s">
        <v>144</v>
      </c>
      <c r="C149" s="4"/>
      <c r="D149" s="4"/>
      <c r="E149" s="4"/>
      <c r="F149" s="4"/>
      <c r="G149" s="4"/>
      <c r="H149" s="4"/>
      <c r="I149" s="18" t="s">
        <v>2473</v>
      </c>
      <c r="J149" s="18" t="s">
        <v>2473</v>
      </c>
      <c r="K149" s="18" t="s">
        <v>2473</v>
      </c>
      <c r="L149" s="18" t="s">
        <v>2335</v>
      </c>
      <c r="AU149" s="6"/>
      <c r="AV149" s="6" t="str">
        <f t="shared" si="4"/>
        <v/>
      </c>
    </row>
    <row r="150" spans="1:48" ht="105.75" thickBot="1" x14ac:dyDescent="0.5">
      <c r="A150" s="36" t="s">
        <v>145</v>
      </c>
      <c r="B150" s="3" t="s">
        <v>3604</v>
      </c>
      <c r="C150" s="4" t="s">
        <v>10</v>
      </c>
      <c r="D150" s="4"/>
      <c r="E150" s="4" t="s">
        <v>10</v>
      </c>
      <c r="F150" s="4"/>
      <c r="G150" s="4" t="s">
        <v>10</v>
      </c>
      <c r="H150" s="4"/>
      <c r="I150" s="18" t="s">
        <v>2473</v>
      </c>
      <c r="J150" s="18" t="s">
        <v>2473</v>
      </c>
      <c r="K150" s="18" t="s">
        <v>2473</v>
      </c>
      <c r="L150" s="18" t="s">
        <v>2334</v>
      </c>
      <c r="R150" s="122" t="s">
        <v>3435</v>
      </c>
      <c r="S150" s="114" t="s">
        <v>3437</v>
      </c>
      <c r="T150" s="114" t="s">
        <v>145</v>
      </c>
      <c r="U150" s="114"/>
      <c r="V150" s="114" t="s">
        <v>3779</v>
      </c>
      <c r="W150" s="114" t="s">
        <v>3436</v>
      </c>
      <c r="X150" s="114" t="s">
        <v>13</v>
      </c>
      <c r="Y150" s="149"/>
      <c r="Z150" s="183"/>
      <c r="AA150" s="183"/>
      <c r="AB150" s="183"/>
      <c r="AC150" s="183"/>
      <c r="AD150" s="183"/>
      <c r="AE150" s="184"/>
      <c r="AF150" s="184"/>
      <c r="AG150" s="183"/>
      <c r="AH150" s="183"/>
      <c r="AI150" s="183"/>
      <c r="AJ150" s="183"/>
      <c r="AK150" s="183"/>
      <c r="AL150" s="183"/>
      <c r="AM150" s="183"/>
      <c r="AN150" s="131"/>
      <c r="AO150" s="131"/>
      <c r="AP150" s="131"/>
      <c r="AQ150" s="131"/>
      <c r="AR150" s="288"/>
      <c r="AS150" s="206" t="s">
        <v>5861</v>
      </c>
      <c r="AT150" s="183"/>
      <c r="AU150" s="6"/>
      <c r="AV150" s="6" t="str">
        <f t="shared" si="4"/>
        <v>OK</v>
      </c>
    </row>
    <row r="151" spans="1:48" ht="47.65" thickBot="1" x14ac:dyDescent="0.5">
      <c r="A151" s="35" t="s">
        <v>5361</v>
      </c>
      <c r="B151" s="3" t="s">
        <v>5352</v>
      </c>
      <c r="C151" s="4" t="s">
        <v>10</v>
      </c>
      <c r="D151" s="4"/>
      <c r="E151" s="4" t="s">
        <v>10</v>
      </c>
      <c r="F151" s="4"/>
      <c r="G151" s="4" t="s">
        <v>10</v>
      </c>
      <c r="H151" s="4"/>
      <c r="I151" s="18" t="s">
        <v>2473</v>
      </c>
      <c r="J151" s="18" t="s">
        <v>2473</v>
      </c>
      <c r="K151" s="18" t="s">
        <v>2473</v>
      </c>
      <c r="Q151" s="131"/>
      <c r="R151" s="131"/>
      <c r="S151" s="131"/>
      <c r="T151" s="131"/>
      <c r="U151" s="131"/>
      <c r="V151" s="131"/>
      <c r="W151" s="131"/>
      <c r="X151" s="131"/>
      <c r="AS151" s="139" t="s">
        <v>5355</v>
      </c>
      <c r="AU151" s="6"/>
      <c r="AV151" s="6"/>
    </row>
    <row r="152" spans="1:48" ht="94.15" thickBot="1" x14ac:dyDescent="0.5">
      <c r="A152" s="35" t="s">
        <v>5360</v>
      </c>
      <c r="B152" s="3" t="s">
        <v>5353</v>
      </c>
      <c r="C152" s="4" t="s">
        <v>13</v>
      </c>
      <c r="D152" s="4"/>
      <c r="E152" s="4" t="s">
        <v>13</v>
      </c>
      <c r="F152" s="4"/>
      <c r="G152" s="4" t="s">
        <v>13</v>
      </c>
      <c r="H152" s="4"/>
      <c r="I152" s="18" t="s">
        <v>2473</v>
      </c>
      <c r="J152" s="18" t="s">
        <v>2473</v>
      </c>
      <c r="K152" s="18" t="s">
        <v>2473</v>
      </c>
      <c r="Q152" s="131"/>
      <c r="R152" s="131"/>
      <c r="S152" s="131"/>
      <c r="T152" s="131"/>
      <c r="U152" s="131"/>
      <c r="V152" s="131"/>
      <c r="W152" s="131"/>
      <c r="X152" s="131"/>
      <c r="AS152" s="139" t="s">
        <v>5357</v>
      </c>
      <c r="AU152" s="6"/>
      <c r="AV152" s="6"/>
    </row>
    <row r="153" spans="1:48" ht="54" customHeight="1" thickBot="1" x14ac:dyDescent="0.5">
      <c r="A153" s="36" t="s">
        <v>146</v>
      </c>
      <c r="B153" s="3" t="s">
        <v>3591</v>
      </c>
      <c r="C153" s="14" t="s">
        <v>5056</v>
      </c>
      <c r="D153" s="4"/>
      <c r="E153" s="14" t="s">
        <v>5056</v>
      </c>
      <c r="F153" s="4"/>
      <c r="G153" s="14" t="s">
        <v>5056</v>
      </c>
      <c r="H153" s="4"/>
      <c r="I153" s="18" t="s">
        <v>2473</v>
      </c>
      <c r="J153" s="18" t="s">
        <v>2473</v>
      </c>
      <c r="K153" s="18" t="s">
        <v>2473</v>
      </c>
      <c r="AU153" s="140" t="s">
        <v>5057</v>
      </c>
      <c r="AV153" s="6" t="str">
        <f t="shared" si="4"/>
        <v/>
      </c>
    </row>
    <row r="154" spans="1:48" ht="14.65" thickBot="1" x14ac:dyDescent="0.5">
      <c r="A154" s="35" t="s">
        <v>33</v>
      </c>
      <c r="B154" s="3" t="s">
        <v>147</v>
      </c>
      <c r="C154" s="4"/>
      <c r="D154" s="4"/>
      <c r="E154" s="4"/>
      <c r="F154" s="4"/>
      <c r="G154" s="4"/>
      <c r="H154" s="4"/>
      <c r="I154" s="18" t="s">
        <v>2473</v>
      </c>
      <c r="J154" s="18" t="s">
        <v>2473</v>
      </c>
      <c r="K154" s="18" t="s">
        <v>2473</v>
      </c>
      <c r="L154" s="18" t="s">
        <v>2335</v>
      </c>
      <c r="AU154" s="6"/>
      <c r="AV154" s="6" t="str">
        <f t="shared" si="4"/>
        <v/>
      </c>
    </row>
    <row r="155" spans="1:48" ht="14.65" thickBot="1" x14ac:dyDescent="0.5">
      <c r="A155" s="36" t="s">
        <v>148</v>
      </c>
      <c r="B155" s="3" t="s">
        <v>149</v>
      </c>
      <c r="C155" s="4"/>
      <c r="D155" s="4"/>
      <c r="E155" s="4"/>
      <c r="F155" s="4"/>
      <c r="G155" s="4"/>
      <c r="H155" s="4"/>
      <c r="I155" s="18" t="s">
        <v>2473</v>
      </c>
      <c r="J155" s="18" t="s">
        <v>2473</v>
      </c>
      <c r="K155" s="18" t="s">
        <v>2473</v>
      </c>
      <c r="L155" s="18" t="s">
        <v>2335</v>
      </c>
      <c r="AU155" s="6"/>
      <c r="AV155" s="6" t="str">
        <f t="shared" si="4"/>
        <v/>
      </c>
    </row>
    <row r="156" spans="1:48" ht="20.65" thickBot="1" x14ac:dyDescent="0.5">
      <c r="A156" s="36" t="s">
        <v>150</v>
      </c>
      <c r="B156" s="3" t="s">
        <v>151</v>
      </c>
      <c r="C156" s="4" t="s">
        <v>10</v>
      </c>
      <c r="D156" s="4"/>
      <c r="E156" s="4" t="s">
        <v>10</v>
      </c>
      <c r="F156" s="4"/>
      <c r="G156" s="4" t="s">
        <v>10</v>
      </c>
      <c r="H156" s="4"/>
      <c r="I156" s="18" t="s">
        <v>2473</v>
      </c>
      <c r="J156" s="18" t="s">
        <v>2473</v>
      </c>
      <c r="K156" s="18" t="s">
        <v>2473</v>
      </c>
      <c r="L156" s="18" t="s">
        <v>2334</v>
      </c>
      <c r="R156" s="122" t="s">
        <v>3529</v>
      </c>
      <c r="S156" s="114" t="s">
        <v>4</v>
      </c>
      <c r="T156" s="114" t="s">
        <v>150</v>
      </c>
      <c r="U156" s="114" t="s">
        <v>4243</v>
      </c>
      <c r="V156" s="114" t="s">
        <v>3530</v>
      </c>
      <c r="W156" s="114" t="s">
        <v>3436</v>
      </c>
      <c r="X156" s="114" t="s">
        <v>13</v>
      </c>
      <c r="AU156" s="6"/>
      <c r="AV156" s="6" t="str">
        <f t="shared" si="4"/>
        <v>OK</v>
      </c>
    </row>
    <row r="157" spans="1:48" ht="47.65" thickBot="1" x14ac:dyDescent="0.5">
      <c r="A157" s="36" t="s">
        <v>152</v>
      </c>
      <c r="B157" s="3" t="s">
        <v>5404</v>
      </c>
      <c r="C157" s="4" t="s">
        <v>37</v>
      </c>
      <c r="D157" s="4"/>
      <c r="E157" s="4" t="s">
        <v>37</v>
      </c>
      <c r="F157" s="4"/>
      <c r="G157" s="4" t="s">
        <v>37</v>
      </c>
      <c r="H157" s="4"/>
      <c r="I157" s="18" t="s">
        <v>2473</v>
      </c>
      <c r="J157" s="18" t="s">
        <v>2473</v>
      </c>
      <c r="K157" s="18" t="s">
        <v>2473</v>
      </c>
      <c r="L157" s="18" t="s">
        <v>2334</v>
      </c>
      <c r="M157" s="145" t="s">
        <v>5405</v>
      </c>
      <c r="R157" s="122" t="s">
        <v>3435</v>
      </c>
      <c r="S157" s="114" t="s">
        <v>3437</v>
      </c>
      <c r="T157" s="114" t="s">
        <v>152</v>
      </c>
      <c r="U157" s="114"/>
      <c r="V157" s="114" t="s">
        <v>4335</v>
      </c>
      <c r="W157" s="114" t="s">
        <v>3436</v>
      </c>
      <c r="X157" s="114" t="s">
        <v>13</v>
      </c>
      <c r="AS157" s="240" t="s">
        <v>5403</v>
      </c>
      <c r="AU157" s="6"/>
      <c r="AV157" s="6" t="str">
        <f t="shared" si="4"/>
        <v>OK</v>
      </c>
    </row>
    <row r="158" spans="1:48" ht="20.65" thickBot="1" x14ac:dyDescent="0.5">
      <c r="A158" s="35" t="s">
        <v>153</v>
      </c>
      <c r="B158" s="3" t="s">
        <v>154</v>
      </c>
      <c r="C158" s="4" t="s">
        <v>10</v>
      </c>
      <c r="D158" s="4"/>
      <c r="E158" s="4" t="s">
        <v>10</v>
      </c>
      <c r="F158" s="4"/>
      <c r="G158" s="4" t="s">
        <v>10</v>
      </c>
      <c r="H158" s="4"/>
      <c r="I158" s="18" t="s">
        <v>2473</v>
      </c>
      <c r="J158" s="18" t="s">
        <v>2473</v>
      </c>
      <c r="K158" s="18" t="s">
        <v>2473</v>
      </c>
      <c r="L158" s="18" t="s">
        <v>2334</v>
      </c>
      <c r="Q158" s="114" t="s">
        <v>4335</v>
      </c>
      <c r="R158" s="122" t="s">
        <v>3435</v>
      </c>
      <c r="S158" s="114" t="s">
        <v>4</v>
      </c>
      <c r="T158" s="114" t="s">
        <v>897</v>
      </c>
      <c r="U158" s="114" t="s">
        <v>3524</v>
      </c>
      <c r="V158" s="114" t="s">
        <v>3530</v>
      </c>
      <c r="W158" s="114" t="s">
        <v>3436</v>
      </c>
      <c r="X158" s="114" t="s">
        <v>13</v>
      </c>
      <c r="AU158" s="6"/>
      <c r="AV158" s="6" t="str">
        <f t="shared" si="4"/>
        <v>OK</v>
      </c>
    </row>
    <row r="159" spans="1:48" ht="20.65" thickBot="1" x14ac:dyDescent="0.5">
      <c r="A159" s="35" t="s">
        <v>155</v>
      </c>
      <c r="B159" s="3" t="s">
        <v>156</v>
      </c>
      <c r="C159" s="4" t="s">
        <v>37</v>
      </c>
      <c r="D159" s="4"/>
      <c r="E159" s="4" t="s">
        <v>37</v>
      </c>
      <c r="F159" s="4"/>
      <c r="G159" s="4" t="s">
        <v>37</v>
      </c>
      <c r="H159" s="4"/>
      <c r="I159" s="18" t="s">
        <v>2473</v>
      </c>
      <c r="J159" s="18" t="s">
        <v>2473</v>
      </c>
      <c r="K159" s="18" t="s">
        <v>2473</v>
      </c>
      <c r="L159" s="18" t="s">
        <v>2334</v>
      </c>
      <c r="Q159" s="114" t="s">
        <v>4335</v>
      </c>
      <c r="R159" s="122" t="s">
        <v>3435</v>
      </c>
      <c r="S159" s="114" t="s">
        <v>4</v>
      </c>
      <c r="T159" s="114" t="s">
        <v>4330</v>
      </c>
      <c r="U159" s="114" t="s">
        <v>3524</v>
      </c>
      <c r="V159" s="114" t="s">
        <v>3530</v>
      </c>
      <c r="W159" s="114" t="s">
        <v>3436</v>
      </c>
      <c r="X159" s="114" t="s">
        <v>13</v>
      </c>
      <c r="AU159" s="6"/>
      <c r="AV159" s="6" t="str">
        <f t="shared" si="4"/>
        <v>OK</v>
      </c>
    </row>
    <row r="160" spans="1:48" ht="20.65" thickBot="1" x14ac:dyDescent="0.5">
      <c r="A160" s="35" t="s">
        <v>157</v>
      </c>
      <c r="B160" s="3" t="s">
        <v>158</v>
      </c>
      <c r="C160" s="4" t="s">
        <v>13</v>
      </c>
      <c r="D160" s="4"/>
      <c r="E160" s="4" t="s">
        <v>13</v>
      </c>
      <c r="F160" s="4"/>
      <c r="G160" s="4" t="s">
        <v>13</v>
      </c>
      <c r="H160" s="4"/>
      <c r="I160" s="18" t="s">
        <v>2473</v>
      </c>
      <c r="J160" s="18" t="s">
        <v>2473</v>
      </c>
      <c r="K160" s="18" t="s">
        <v>2473</v>
      </c>
      <c r="L160" s="18" t="s">
        <v>2334</v>
      </c>
      <c r="Q160" s="114" t="s">
        <v>4335</v>
      </c>
      <c r="R160" s="122" t="s">
        <v>3435</v>
      </c>
      <c r="S160" s="114" t="s">
        <v>4</v>
      </c>
      <c r="T160" s="114" t="s">
        <v>3490</v>
      </c>
      <c r="U160" s="114" t="s">
        <v>4208</v>
      </c>
      <c r="V160" s="114" t="s">
        <v>3530</v>
      </c>
      <c r="W160" s="114" t="s">
        <v>3436</v>
      </c>
      <c r="X160" s="114" t="s">
        <v>13</v>
      </c>
      <c r="AU160" s="6"/>
      <c r="AV160" s="6" t="str">
        <f t="shared" si="4"/>
        <v>OK</v>
      </c>
    </row>
    <row r="161" spans="1:48" ht="30.75" thickBot="1" x14ac:dyDescent="0.5">
      <c r="A161" s="35" t="s">
        <v>159</v>
      </c>
      <c r="B161" s="3" t="s">
        <v>160</v>
      </c>
      <c r="C161" s="4" t="s">
        <v>13</v>
      </c>
      <c r="D161" s="4"/>
      <c r="E161" s="4" t="s">
        <v>13</v>
      </c>
      <c r="F161" s="4"/>
      <c r="G161" s="4" t="s">
        <v>13</v>
      </c>
      <c r="H161" s="4"/>
      <c r="I161" s="18" t="s">
        <v>2473</v>
      </c>
      <c r="J161" s="18" t="s">
        <v>2473</v>
      </c>
      <c r="K161" s="18" t="s">
        <v>2473</v>
      </c>
      <c r="L161" s="18" t="s">
        <v>2334</v>
      </c>
      <c r="Q161" s="114" t="s">
        <v>4335</v>
      </c>
      <c r="R161" s="122" t="s">
        <v>3435</v>
      </c>
      <c r="S161" s="114" t="s">
        <v>4</v>
      </c>
      <c r="T161" s="114" t="s">
        <v>4331</v>
      </c>
      <c r="U161" s="114" t="s">
        <v>4209</v>
      </c>
      <c r="V161" s="114" t="s">
        <v>3530</v>
      </c>
      <c r="W161" s="114" t="s">
        <v>3436</v>
      </c>
      <c r="X161" s="114" t="s">
        <v>13</v>
      </c>
      <c r="AU161" s="6"/>
      <c r="AV161" s="6" t="str">
        <f t="shared" si="4"/>
        <v>OK</v>
      </c>
    </row>
    <row r="162" spans="1:48" ht="14.65" thickBot="1" x14ac:dyDescent="0.5">
      <c r="A162" s="35" t="s">
        <v>59</v>
      </c>
      <c r="B162" s="3" t="s">
        <v>60</v>
      </c>
      <c r="C162" s="4"/>
      <c r="D162" s="4"/>
      <c r="E162" s="4"/>
      <c r="F162" s="4"/>
      <c r="G162" s="4"/>
      <c r="H162" s="4"/>
      <c r="I162" s="18" t="s">
        <v>2473</v>
      </c>
      <c r="J162" s="18" t="s">
        <v>2473</v>
      </c>
      <c r="K162" s="18" t="s">
        <v>2473</v>
      </c>
      <c r="L162" s="18" t="s">
        <v>2335</v>
      </c>
      <c r="AU162" s="6"/>
      <c r="AV162" s="6" t="str">
        <f t="shared" si="4"/>
        <v/>
      </c>
    </row>
    <row r="163" spans="1:48" ht="105.75" thickBot="1" x14ac:dyDescent="0.5">
      <c r="A163" s="35" t="s">
        <v>69</v>
      </c>
      <c r="B163" s="3" t="s">
        <v>3604</v>
      </c>
      <c r="C163" s="4" t="s">
        <v>10</v>
      </c>
      <c r="D163" s="4"/>
      <c r="E163" s="4" t="s">
        <v>10</v>
      </c>
      <c r="F163" s="4"/>
      <c r="G163" s="4" t="s">
        <v>10</v>
      </c>
      <c r="H163" s="4"/>
      <c r="I163" s="18" t="s">
        <v>2473</v>
      </c>
      <c r="J163" s="18" t="s">
        <v>2473</v>
      </c>
      <c r="K163" s="18" t="s">
        <v>2473</v>
      </c>
      <c r="L163" s="18" t="s">
        <v>2334</v>
      </c>
      <c r="Q163" s="114" t="s">
        <v>4335</v>
      </c>
      <c r="R163" s="122" t="s">
        <v>3435</v>
      </c>
      <c r="S163" s="114" t="s">
        <v>3437</v>
      </c>
      <c r="T163" s="114" t="s">
        <v>145</v>
      </c>
      <c r="U163" s="114"/>
      <c r="V163" s="114" t="s">
        <v>3441</v>
      </c>
      <c r="W163" s="114" t="s">
        <v>3436</v>
      </c>
      <c r="X163" s="114" t="s">
        <v>13</v>
      </c>
      <c r="AS163" s="206" t="s">
        <v>5861</v>
      </c>
      <c r="AU163" s="6"/>
      <c r="AV163" s="6" t="str">
        <f t="shared" si="4"/>
        <v>OK</v>
      </c>
    </row>
    <row r="164" spans="1:48" ht="47.65" thickBot="1" x14ac:dyDescent="0.5">
      <c r="A164" s="35" t="s">
        <v>5358</v>
      </c>
      <c r="B164" s="3" t="s">
        <v>5352</v>
      </c>
      <c r="C164" s="4" t="s">
        <v>10</v>
      </c>
      <c r="D164" s="4"/>
      <c r="E164" s="4" t="s">
        <v>10</v>
      </c>
      <c r="F164" s="4"/>
      <c r="G164" s="4" t="s">
        <v>10</v>
      </c>
      <c r="H164" s="4"/>
      <c r="I164" s="18" t="s">
        <v>2473</v>
      </c>
      <c r="J164" s="18" t="s">
        <v>2473</v>
      </c>
      <c r="K164" s="18" t="s">
        <v>2473</v>
      </c>
      <c r="Q164" s="131"/>
      <c r="R164" s="131"/>
      <c r="S164" s="131"/>
      <c r="T164" s="131"/>
      <c r="U164" s="131"/>
      <c r="V164" s="131"/>
      <c r="W164" s="131"/>
      <c r="X164" s="131"/>
      <c r="AS164" s="139" t="s">
        <v>5355</v>
      </c>
      <c r="AU164" s="6"/>
      <c r="AV164" s="6"/>
    </row>
    <row r="165" spans="1:48" ht="82.5" thickBot="1" x14ac:dyDescent="0.5">
      <c r="A165" s="35" t="s">
        <v>5359</v>
      </c>
      <c r="B165" s="3" t="s">
        <v>5353</v>
      </c>
      <c r="C165" s="4"/>
      <c r="D165" s="4"/>
      <c r="E165" s="4"/>
      <c r="F165" s="4"/>
      <c r="G165" s="4"/>
      <c r="H165" s="4"/>
      <c r="I165" s="18" t="s">
        <v>2473</v>
      </c>
      <c r="J165" s="18" t="s">
        <v>2473</v>
      </c>
      <c r="K165" s="18" t="s">
        <v>2473</v>
      </c>
      <c r="Q165" s="131"/>
      <c r="R165" s="131"/>
      <c r="S165" s="131"/>
      <c r="T165" s="131"/>
      <c r="U165" s="131"/>
      <c r="V165" s="131"/>
      <c r="W165" s="131"/>
      <c r="X165" s="131"/>
      <c r="AS165" s="139" t="s">
        <v>5362</v>
      </c>
      <c r="AU165" s="6"/>
      <c r="AV165" s="6"/>
    </row>
    <row r="166" spans="1:48" ht="14.65" thickBot="1" x14ac:dyDescent="0.5">
      <c r="A166" s="36" t="s">
        <v>161</v>
      </c>
      <c r="B166" s="3" t="s">
        <v>162</v>
      </c>
      <c r="C166" s="4" t="s">
        <v>10</v>
      </c>
      <c r="D166" s="4"/>
      <c r="E166" s="4" t="s">
        <v>10</v>
      </c>
      <c r="F166" s="4"/>
      <c r="G166" s="4" t="s">
        <v>10</v>
      </c>
      <c r="H166" s="4"/>
      <c r="I166" s="18" t="s">
        <v>2473</v>
      </c>
      <c r="J166" s="18" t="s">
        <v>2473</v>
      </c>
      <c r="K166" s="18" t="s">
        <v>2473</v>
      </c>
      <c r="L166" s="18" t="s">
        <v>2334</v>
      </c>
      <c r="R166" s="122" t="s">
        <v>3529</v>
      </c>
      <c r="S166" s="114" t="s">
        <v>4</v>
      </c>
      <c r="T166" s="114" t="s">
        <v>161</v>
      </c>
      <c r="U166" s="114" t="s">
        <v>3521</v>
      </c>
      <c r="V166" s="114" t="s">
        <v>3530</v>
      </c>
      <c r="W166" s="114" t="s">
        <v>3436</v>
      </c>
      <c r="X166" s="114" t="s">
        <v>13</v>
      </c>
      <c r="Y166" s="149"/>
      <c r="Z166" s="183"/>
      <c r="AA166" s="183"/>
      <c r="AB166" s="183"/>
      <c r="AC166" s="183"/>
      <c r="AD166" s="183"/>
      <c r="AE166" s="184"/>
      <c r="AF166" s="184"/>
      <c r="AG166" s="183"/>
      <c r="AH166" s="183"/>
      <c r="AI166" s="183"/>
      <c r="AJ166" s="183"/>
      <c r="AK166" s="183"/>
      <c r="AL166" s="183"/>
      <c r="AM166" s="183"/>
      <c r="AN166" s="131"/>
      <c r="AO166" s="131"/>
      <c r="AP166" s="131"/>
      <c r="AQ166" s="131"/>
      <c r="AR166" s="288"/>
      <c r="AS166" s="259"/>
      <c r="AT166" s="183"/>
      <c r="AU166" s="6"/>
      <c r="AV166" s="6" t="str">
        <f t="shared" si="4"/>
        <v>OK</v>
      </c>
    </row>
    <row r="167" spans="1:48" ht="30.75" thickBot="1" x14ac:dyDescent="0.5">
      <c r="A167" s="36" t="s">
        <v>2875</v>
      </c>
      <c r="B167" s="3" t="s">
        <v>4069</v>
      </c>
      <c r="C167" s="4"/>
      <c r="D167" s="4"/>
      <c r="E167" s="4"/>
      <c r="F167" s="4"/>
      <c r="G167" s="4" t="s">
        <v>10</v>
      </c>
      <c r="H167" s="4"/>
      <c r="J167" s="18" t="s">
        <v>2473</v>
      </c>
      <c r="K167" s="18" t="s">
        <v>2473</v>
      </c>
      <c r="R167" s="122" t="s">
        <v>3435</v>
      </c>
      <c r="S167" s="114" t="s">
        <v>3437</v>
      </c>
      <c r="T167" s="114" t="s">
        <v>2875</v>
      </c>
      <c r="U167" s="114"/>
      <c r="V167" s="114" t="s">
        <v>3438</v>
      </c>
      <c r="W167" s="114" t="s">
        <v>3436</v>
      </c>
      <c r="X167" s="114" t="s">
        <v>13</v>
      </c>
      <c r="Y167" s="149"/>
      <c r="Z167" s="183"/>
      <c r="AA167" s="183"/>
      <c r="AB167" s="183"/>
      <c r="AC167" s="183"/>
      <c r="AD167" s="183"/>
      <c r="AE167" s="184"/>
      <c r="AF167" s="184"/>
      <c r="AG167" s="183"/>
      <c r="AH167" s="183"/>
      <c r="AI167" s="183"/>
      <c r="AJ167" s="183"/>
      <c r="AK167" s="183"/>
      <c r="AL167" s="183"/>
      <c r="AM167" s="183"/>
      <c r="AN167" s="131"/>
      <c r="AO167" s="131"/>
      <c r="AP167" s="131"/>
      <c r="AQ167" s="131"/>
      <c r="AR167" s="288"/>
      <c r="AS167" s="259"/>
      <c r="AT167" s="183"/>
      <c r="AU167" s="6"/>
      <c r="AV167" s="6" t="str">
        <f t="shared" si="4"/>
        <v>OK</v>
      </c>
    </row>
    <row r="168" spans="1:48" ht="14.65" thickBot="1" x14ac:dyDescent="0.5">
      <c r="A168" s="35" t="s">
        <v>33</v>
      </c>
      <c r="B168" s="3" t="s">
        <v>2876</v>
      </c>
      <c r="C168" s="4"/>
      <c r="D168" s="4"/>
      <c r="E168" s="4"/>
      <c r="F168" s="4"/>
      <c r="G168" s="4"/>
      <c r="H168" s="4"/>
      <c r="J168" s="18" t="s">
        <v>2473</v>
      </c>
      <c r="K168" s="18" t="s">
        <v>2473</v>
      </c>
      <c r="L168" s="18" t="s">
        <v>2335</v>
      </c>
      <c r="AU168" s="6"/>
      <c r="AV168" s="6" t="str">
        <f t="shared" si="4"/>
        <v/>
      </c>
    </row>
    <row r="169" spans="1:48" x14ac:dyDescent="0.45">
      <c r="A169" s="33" t="s">
        <v>163</v>
      </c>
      <c r="I169" s="18" t="s">
        <v>2473</v>
      </c>
      <c r="J169" s="18" t="s">
        <v>2473</v>
      </c>
      <c r="K169" s="18" t="s">
        <v>2473</v>
      </c>
      <c r="L169" s="18" t="s">
        <v>2335</v>
      </c>
      <c r="AU169" s="6"/>
      <c r="AV169" s="6" t="str">
        <f t="shared" si="4"/>
        <v/>
      </c>
    </row>
    <row r="170" spans="1:48" x14ac:dyDescent="0.45">
      <c r="A170" s="34" t="s">
        <v>164</v>
      </c>
      <c r="I170" s="18" t="s">
        <v>2473</v>
      </c>
      <c r="J170" s="18" t="s">
        <v>2473</v>
      </c>
      <c r="K170" s="18" t="s">
        <v>2473</v>
      </c>
      <c r="L170" s="18" t="s">
        <v>2335</v>
      </c>
      <c r="AU170" s="6"/>
      <c r="AV170" s="6" t="str">
        <f t="shared" si="4"/>
        <v/>
      </c>
    </row>
    <row r="171" spans="1:48" s="79" customFormat="1" x14ac:dyDescent="0.45">
      <c r="A171" s="75"/>
      <c r="B171" s="76"/>
      <c r="C171" s="77"/>
      <c r="D171" s="77"/>
      <c r="E171" s="77"/>
      <c r="F171" s="77"/>
      <c r="G171" s="77"/>
      <c r="H171" s="77"/>
      <c r="I171" s="77"/>
      <c r="J171" s="77"/>
      <c r="K171" s="77"/>
      <c r="L171" s="77"/>
      <c r="M171" s="148"/>
      <c r="N171" s="78"/>
      <c r="O171" s="78"/>
      <c r="P171" s="78"/>
      <c r="Q171" s="78"/>
      <c r="R171" s="78"/>
      <c r="S171" s="78"/>
      <c r="T171" s="78"/>
      <c r="U171" s="78"/>
      <c r="V171" s="78"/>
      <c r="W171" s="78"/>
      <c r="X171" s="78"/>
      <c r="Y171" s="148"/>
      <c r="Z171" s="78"/>
      <c r="AA171" s="78"/>
      <c r="AB171" s="78"/>
      <c r="AC171" s="78"/>
      <c r="AD171" s="78"/>
      <c r="AE171" s="156"/>
      <c r="AF171" s="156"/>
      <c r="AG171" s="78"/>
      <c r="AH171" s="78"/>
      <c r="AI171" s="78"/>
      <c r="AJ171" s="78"/>
      <c r="AK171" s="78"/>
      <c r="AL171" s="78"/>
      <c r="AM171" s="78"/>
      <c r="AN171" s="78"/>
      <c r="AO171" s="78"/>
      <c r="AP171" s="78"/>
      <c r="AQ171" s="78"/>
      <c r="AR171" s="286"/>
      <c r="AS171" s="78"/>
      <c r="AT171" s="78"/>
      <c r="AU171" s="8"/>
      <c r="AV171" s="6" t="str">
        <f t="shared" si="4"/>
        <v/>
      </c>
    </row>
    <row r="172" spans="1:48" x14ac:dyDescent="0.45">
      <c r="A172" s="27" t="s">
        <v>2393</v>
      </c>
      <c r="I172" s="18" t="s">
        <v>2473</v>
      </c>
      <c r="J172" s="18" t="s">
        <v>2473</v>
      </c>
      <c r="K172" s="18" t="s">
        <v>2473</v>
      </c>
      <c r="L172" s="18" t="s">
        <v>2335</v>
      </c>
      <c r="AU172" s="6"/>
      <c r="AV172" s="6" t="str">
        <f t="shared" si="4"/>
        <v/>
      </c>
    </row>
    <row r="173" spans="1:48" x14ac:dyDescent="0.45">
      <c r="A173" s="323" t="s">
        <v>165</v>
      </c>
      <c r="B173" s="324"/>
      <c r="C173" s="324"/>
      <c r="D173" s="324"/>
      <c r="E173" s="324"/>
      <c r="F173" s="324"/>
      <c r="G173" s="101"/>
      <c r="H173" s="101"/>
      <c r="I173" s="18" t="s">
        <v>2473</v>
      </c>
      <c r="J173" s="18" t="s">
        <v>2473</v>
      </c>
      <c r="K173" s="18" t="s">
        <v>2473</v>
      </c>
      <c r="L173" s="18" t="s">
        <v>2335</v>
      </c>
      <c r="AU173" s="6"/>
      <c r="AV173" s="6" t="str">
        <f t="shared" si="4"/>
        <v/>
      </c>
    </row>
    <row r="174" spans="1:48" x14ac:dyDescent="0.45">
      <c r="A174" s="323" t="s">
        <v>3780</v>
      </c>
      <c r="B174" s="324"/>
      <c r="C174" s="324"/>
      <c r="D174" s="324"/>
      <c r="E174" s="324"/>
      <c r="F174" s="324"/>
      <c r="G174" s="101"/>
      <c r="H174" s="101"/>
      <c r="I174" s="18" t="s">
        <v>2473</v>
      </c>
      <c r="J174" s="18" t="s">
        <v>2473</v>
      </c>
      <c r="K174" s="18" t="s">
        <v>2473</v>
      </c>
      <c r="L174" s="18" t="s">
        <v>2335</v>
      </c>
      <c r="AU174" s="6"/>
      <c r="AV174" s="6" t="str">
        <f t="shared" si="4"/>
        <v/>
      </c>
    </row>
    <row r="175" spans="1:48" s="79" customFormat="1" x14ac:dyDescent="0.45">
      <c r="A175" s="75"/>
      <c r="B175" s="76"/>
      <c r="C175" s="77"/>
      <c r="D175" s="77"/>
      <c r="E175" s="77"/>
      <c r="F175" s="77"/>
      <c r="G175" s="77"/>
      <c r="H175" s="77"/>
      <c r="I175" s="77"/>
      <c r="J175" s="77"/>
      <c r="K175" s="77"/>
      <c r="L175" s="77"/>
      <c r="M175" s="148"/>
      <c r="N175" s="78"/>
      <c r="O175" s="78"/>
      <c r="P175" s="78"/>
      <c r="Q175" s="78"/>
      <c r="R175" s="78"/>
      <c r="S175" s="78"/>
      <c r="T175" s="78"/>
      <c r="U175" s="78"/>
      <c r="V175" s="78"/>
      <c r="W175" s="78"/>
      <c r="X175" s="78"/>
      <c r="Y175" s="148"/>
      <c r="Z175" s="78"/>
      <c r="AA175" s="78"/>
      <c r="AB175" s="78"/>
      <c r="AC175" s="78"/>
      <c r="AD175" s="78"/>
      <c r="AE175" s="156"/>
      <c r="AF175" s="156"/>
      <c r="AG175" s="78"/>
      <c r="AH175" s="78"/>
      <c r="AI175" s="78"/>
      <c r="AJ175" s="78"/>
      <c r="AK175" s="78"/>
      <c r="AL175" s="78"/>
      <c r="AM175" s="78"/>
      <c r="AN175" s="78"/>
      <c r="AO175" s="78"/>
      <c r="AP175" s="78"/>
      <c r="AQ175" s="78"/>
      <c r="AR175" s="286"/>
      <c r="AS175" s="78"/>
      <c r="AT175" s="78"/>
      <c r="AU175" s="8"/>
      <c r="AV175" s="6" t="str">
        <f t="shared" si="4"/>
        <v/>
      </c>
    </row>
    <row r="176" spans="1:48" x14ac:dyDescent="0.45">
      <c r="A176" s="27" t="s">
        <v>2394</v>
      </c>
      <c r="I176" s="18" t="s">
        <v>2473</v>
      </c>
      <c r="J176" s="18" t="s">
        <v>2473</v>
      </c>
      <c r="K176" s="18" t="s">
        <v>2473</v>
      </c>
      <c r="L176" s="18" t="s">
        <v>2335</v>
      </c>
      <c r="AU176" s="6"/>
      <c r="AV176" s="6" t="str">
        <f t="shared" si="4"/>
        <v/>
      </c>
    </row>
    <row r="177" spans="1:48" x14ac:dyDescent="0.45">
      <c r="A177" s="323" t="s">
        <v>2490</v>
      </c>
      <c r="B177" s="324"/>
      <c r="C177" s="324"/>
      <c r="D177" s="324"/>
      <c r="E177" s="324"/>
      <c r="F177" s="324"/>
      <c r="G177" s="101"/>
      <c r="H177" s="101"/>
      <c r="I177" s="18" t="s">
        <v>2473</v>
      </c>
      <c r="J177" s="18" t="s">
        <v>2473</v>
      </c>
      <c r="K177" s="18" t="s">
        <v>2473</v>
      </c>
      <c r="L177" s="18" t="s">
        <v>2335</v>
      </c>
      <c r="AU177" s="6"/>
      <c r="AV177" s="6" t="str">
        <f t="shared" si="4"/>
        <v/>
      </c>
    </row>
    <row r="178" spans="1:48" ht="14.65" thickBot="1" x14ac:dyDescent="0.5">
      <c r="A178" s="28" t="s">
        <v>166</v>
      </c>
      <c r="I178" s="18" t="s">
        <v>2473</v>
      </c>
      <c r="J178" s="18" t="s">
        <v>2473</v>
      </c>
      <c r="K178" s="18" t="s">
        <v>2473</v>
      </c>
      <c r="L178" s="18" t="s">
        <v>2335</v>
      </c>
      <c r="AA178" s="183" t="s">
        <v>2322</v>
      </c>
      <c r="AB178" s="183" t="s">
        <v>1697</v>
      </c>
      <c r="AC178" s="183" t="s">
        <v>5</v>
      </c>
      <c r="AU178" s="6"/>
      <c r="AV178" s="6" t="str">
        <f t="shared" si="4"/>
        <v/>
      </c>
    </row>
    <row r="179" spans="1:48" ht="35.25" thickBot="1" x14ac:dyDescent="0.5">
      <c r="A179" s="309" t="s">
        <v>167</v>
      </c>
      <c r="B179" s="310"/>
      <c r="C179" s="301" t="s">
        <v>1</v>
      </c>
      <c r="D179" s="319"/>
      <c r="E179" s="319"/>
      <c r="F179" s="302"/>
      <c r="G179" s="102"/>
      <c r="H179" s="102"/>
      <c r="I179" s="18" t="s">
        <v>2473</v>
      </c>
      <c r="L179" s="18" t="s">
        <v>2335</v>
      </c>
      <c r="AA179" s="183" t="str">
        <f>LEFT($A179,FIND(" ",$A179)-1)</f>
        <v>Memory</v>
      </c>
      <c r="AB179" s="183" t="str">
        <f>MID($A179,FIND("(",$A179)+1,LEN($A179)-FIND("(",$A179)-1)</f>
        <v>1.6.0</v>
      </c>
      <c r="AC179" s="101" t="str">
        <f>A177</f>
        <v>Definition for Memory and its configuration.</v>
      </c>
      <c r="AU179" s="6"/>
      <c r="AV179" s="6" t="str">
        <f t="shared" si="4"/>
        <v/>
      </c>
    </row>
    <row r="180" spans="1:48" ht="14.65" thickBot="1" x14ac:dyDescent="0.5">
      <c r="A180" s="311"/>
      <c r="B180" s="312"/>
      <c r="C180" s="301" t="s">
        <v>2</v>
      </c>
      <c r="D180" s="302"/>
      <c r="E180" s="301" t="s">
        <v>3</v>
      </c>
      <c r="F180" s="302"/>
      <c r="G180" s="301" t="s">
        <v>2896</v>
      </c>
      <c r="H180" s="302"/>
      <c r="I180" s="18" t="s">
        <v>2473</v>
      </c>
      <c r="AA180" s="183" t="s">
        <v>2322</v>
      </c>
      <c r="AB180" s="183" t="s">
        <v>1697</v>
      </c>
      <c r="AC180" s="183" t="s">
        <v>5</v>
      </c>
      <c r="AU180" s="6"/>
      <c r="AV180" s="6" t="str">
        <f t="shared" si="4"/>
        <v/>
      </c>
    </row>
    <row r="181" spans="1:48" ht="35.25" thickBot="1" x14ac:dyDescent="0.5">
      <c r="A181" s="309" t="s">
        <v>3119</v>
      </c>
      <c r="B181" s="310"/>
      <c r="C181" s="301" t="s">
        <v>1</v>
      </c>
      <c r="D181" s="319"/>
      <c r="E181" s="319"/>
      <c r="F181" s="302"/>
      <c r="G181" s="102"/>
      <c r="H181" s="102"/>
      <c r="J181" s="18" t="s">
        <v>2473</v>
      </c>
      <c r="K181" s="18" t="s">
        <v>2473</v>
      </c>
      <c r="AA181" s="183" t="str">
        <f>LEFT($A181,FIND(" ",$A181)-1)</f>
        <v>Memory</v>
      </c>
      <c r="AB181" s="183" t="str">
        <f>MID($A181,FIND("(",$A181)+1,LEN($A181)-FIND("(",$A181)-1)</f>
        <v>1.7.1</v>
      </c>
      <c r="AC181" s="101" t="str">
        <f>AC179</f>
        <v>Definition for Memory and its configuration.</v>
      </c>
      <c r="AU181" s="6"/>
      <c r="AV181" s="6" t="str">
        <f t="shared" si="4"/>
        <v/>
      </c>
    </row>
    <row r="182" spans="1:48" ht="14.65" thickBot="1" x14ac:dyDescent="0.5">
      <c r="A182" s="311"/>
      <c r="B182" s="312"/>
      <c r="C182" s="301" t="s">
        <v>2</v>
      </c>
      <c r="D182" s="302"/>
      <c r="E182" s="301" t="s">
        <v>3</v>
      </c>
      <c r="F182" s="302"/>
      <c r="G182" s="301" t="s">
        <v>2896</v>
      </c>
      <c r="H182" s="302"/>
      <c r="J182" s="18" t="s">
        <v>2473</v>
      </c>
      <c r="K182" s="18" t="s">
        <v>2473</v>
      </c>
      <c r="AM182" s="8" t="str">
        <f>C182</f>
        <v>OSM-Redfish</v>
      </c>
      <c r="AN182" s="8" t="str">
        <f>E182</f>
        <v>OSM-RedfishBMC</v>
      </c>
      <c r="AO182" s="8" t="str">
        <f>G182</f>
        <v>OSM-RedfishDCN</v>
      </c>
      <c r="AU182" s="6"/>
      <c r="AV182" s="6" t="str">
        <f t="shared" si="4"/>
        <v/>
      </c>
    </row>
    <row r="183" spans="1:48" ht="14.65" thickBot="1" x14ac:dyDescent="0.5">
      <c r="A183" s="46" t="s">
        <v>2377</v>
      </c>
      <c r="B183" s="47"/>
      <c r="C183" s="303" t="s">
        <v>13</v>
      </c>
      <c r="D183" s="304"/>
      <c r="E183" s="303" t="s">
        <v>37</v>
      </c>
      <c r="F183" s="304"/>
      <c r="G183" s="303" t="s">
        <v>13</v>
      </c>
      <c r="H183" s="304"/>
      <c r="I183" s="18" t="s">
        <v>2473</v>
      </c>
      <c r="J183" s="18" t="s">
        <v>2473</v>
      </c>
      <c r="K183" s="18" t="s">
        <v>2473</v>
      </c>
      <c r="AM183" s="8" t="str">
        <f>IF(C183&lt;&gt;"","CRQ-P5-"&amp;(AM$2+$AP183*$AP$3),"")</f>
        <v>CRQ-P5-1116</v>
      </c>
      <c r="AN183" s="8" t="str">
        <f>IF(E183&lt;&gt;"","CRQ-P5-"&amp;(AN$2+$AP183*$AP$3),"")</f>
        <v>CRQ-P5-1416</v>
      </c>
      <c r="AO183" s="8" t="str">
        <f>IF(G183&lt;&gt;"","CRQ-P5-"&amp;(AO$2+$AP183*$AP$3),"")</f>
        <v>CRQ-P5-1716</v>
      </c>
      <c r="AP183" s="8">
        <v>29</v>
      </c>
      <c r="AU183" s="6"/>
      <c r="AV183" s="6" t="str">
        <f t="shared" si="4"/>
        <v/>
      </c>
    </row>
    <row r="184" spans="1:48" ht="14.65" thickBot="1" x14ac:dyDescent="0.5">
      <c r="A184" s="29" t="s">
        <v>3394</v>
      </c>
      <c r="B184" s="9"/>
      <c r="C184" s="305" t="str">
        <f>MID($A179,FIND("(",$A179)+1,5)</f>
        <v>1.6.0</v>
      </c>
      <c r="D184" s="306"/>
      <c r="E184" s="305" t="s">
        <v>3405</v>
      </c>
      <c r="F184" s="306"/>
      <c r="G184" s="305" t="str">
        <f>MID($A179,FIND("(",$A179)+1,5)</f>
        <v>1.6.0</v>
      </c>
      <c r="H184" s="306"/>
      <c r="I184" s="18" t="s">
        <v>2473</v>
      </c>
      <c r="J184" s="18" t="s">
        <v>2473</v>
      </c>
      <c r="K184" s="18" t="s">
        <v>2473</v>
      </c>
      <c r="AU184" s="6"/>
      <c r="AV184" s="6" t="str">
        <f t="shared" si="4"/>
        <v/>
      </c>
    </row>
    <row r="185" spans="1:48" ht="14.65" thickBot="1" x14ac:dyDescent="0.5">
      <c r="A185" s="30" t="s">
        <v>4</v>
      </c>
      <c r="B185" s="59" t="s">
        <v>5</v>
      </c>
      <c r="C185" s="7" t="s">
        <v>6</v>
      </c>
      <c r="D185" s="7" t="s">
        <v>7</v>
      </c>
      <c r="E185" s="7" t="s">
        <v>6</v>
      </c>
      <c r="F185" s="7" t="s">
        <v>7</v>
      </c>
      <c r="G185" s="7" t="s">
        <v>6</v>
      </c>
      <c r="H185" s="7" t="s">
        <v>7</v>
      </c>
      <c r="I185" s="18" t="s">
        <v>2473</v>
      </c>
      <c r="J185" s="18" t="s">
        <v>2473</v>
      </c>
      <c r="K185" s="18" t="s">
        <v>2473</v>
      </c>
      <c r="AU185" s="6"/>
      <c r="AV185" s="6" t="str">
        <f t="shared" si="4"/>
        <v/>
      </c>
    </row>
    <row r="186" spans="1:48" ht="14.65" thickBot="1" x14ac:dyDescent="0.5">
      <c r="A186" s="31" t="s">
        <v>8</v>
      </c>
      <c r="B186" s="1" t="s">
        <v>9</v>
      </c>
      <c r="C186" s="2"/>
      <c r="D186" s="2"/>
      <c r="E186" s="2"/>
      <c r="F186" s="2"/>
      <c r="G186" s="2"/>
      <c r="H186" s="2"/>
      <c r="I186" s="18" t="s">
        <v>2473</v>
      </c>
      <c r="J186" s="18" t="s">
        <v>2473</v>
      </c>
      <c r="K186" s="18" t="s">
        <v>2473</v>
      </c>
      <c r="AU186" s="6"/>
      <c r="AV186" s="6" t="str">
        <f t="shared" si="4"/>
        <v/>
      </c>
    </row>
    <row r="187" spans="1:48" ht="14.65" thickBot="1" x14ac:dyDescent="0.5">
      <c r="A187" s="32" t="s">
        <v>168</v>
      </c>
      <c r="B187" s="1" t="s">
        <v>169</v>
      </c>
      <c r="C187" s="2"/>
      <c r="D187" s="2"/>
      <c r="E187" s="2"/>
      <c r="F187" s="2"/>
      <c r="G187" s="2"/>
      <c r="H187" s="2"/>
      <c r="I187" s="18" t="s">
        <v>2473</v>
      </c>
      <c r="J187" s="18" t="s">
        <v>2473</v>
      </c>
      <c r="K187" s="18" t="s">
        <v>2473</v>
      </c>
      <c r="AU187" s="6"/>
      <c r="AV187" s="6" t="str">
        <f t="shared" si="4"/>
        <v/>
      </c>
    </row>
    <row r="188" spans="1:48" ht="14.65" thickBot="1" x14ac:dyDescent="0.5">
      <c r="A188" s="32" t="s">
        <v>170</v>
      </c>
      <c r="B188" s="1" t="s">
        <v>171</v>
      </c>
      <c r="C188" s="2"/>
      <c r="D188" s="2"/>
      <c r="E188" s="2"/>
      <c r="F188" s="2"/>
      <c r="G188" s="2"/>
      <c r="H188" s="2"/>
      <c r="I188" s="18" t="s">
        <v>2473</v>
      </c>
      <c r="J188" s="18" t="s">
        <v>2473</v>
      </c>
      <c r="K188" s="18" t="s">
        <v>2473</v>
      </c>
      <c r="AU188" s="6"/>
      <c r="AV188" s="6" t="str">
        <f t="shared" si="4"/>
        <v/>
      </c>
    </row>
    <row r="189" spans="1:48" ht="14.65" thickBot="1" x14ac:dyDescent="0.5">
      <c r="A189" s="32" t="s">
        <v>172</v>
      </c>
      <c r="B189" s="1" t="s">
        <v>173</v>
      </c>
      <c r="C189" s="2"/>
      <c r="D189" s="2"/>
      <c r="E189" s="2"/>
      <c r="F189" s="2"/>
      <c r="G189" s="2"/>
      <c r="H189" s="2"/>
      <c r="I189" s="18" t="s">
        <v>2473</v>
      </c>
      <c r="J189" s="18" t="s">
        <v>2473</v>
      </c>
      <c r="K189" s="18" t="s">
        <v>2473</v>
      </c>
      <c r="AU189" s="6"/>
      <c r="AV189" s="6" t="str">
        <f t="shared" si="4"/>
        <v/>
      </c>
    </row>
    <row r="190" spans="1:48" ht="14.65" thickBot="1" x14ac:dyDescent="0.5">
      <c r="A190" s="32" t="s">
        <v>174</v>
      </c>
      <c r="B190" s="1" t="s">
        <v>175</v>
      </c>
      <c r="C190" s="2"/>
      <c r="D190" s="2"/>
      <c r="E190" s="2"/>
      <c r="F190" s="2"/>
      <c r="G190" s="2"/>
      <c r="H190" s="2"/>
      <c r="I190" s="18" t="s">
        <v>2473</v>
      </c>
      <c r="J190" s="18" t="s">
        <v>2473</v>
      </c>
      <c r="K190" s="18" t="s">
        <v>2473</v>
      </c>
      <c r="AU190" s="6"/>
      <c r="AV190" s="6" t="str">
        <f t="shared" si="4"/>
        <v/>
      </c>
    </row>
    <row r="191" spans="1:48" ht="23.65" thickBot="1" x14ac:dyDescent="0.5">
      <c r="A191" s="31" t="s">
        <v>176</v>
      </c>
      <c r="B191" s="1" t="s">
        <v>3781</v>
      </c>
      <c r="C191" s="2"/>
      <c r="D191" s="2"/>
      <c r="E191" s="2"/>
      <c r="F191" s="2"/>
      <c r="G191" s="2"/>
      <c r="H191" s="2"/>
      <c r="I191" s="18" t="s">
        <v>2473</v>
      </c>
      <c r="J191" s="18" t="s">
        <v>2473</v>
      </c>
      <c r="K191" s="18" t="s">
        <v>2473</v>
      </c>
      <c r="AU191" s="6"/>
      <c r="AV191" s="6" t="str">
        <f t="shared" si="4"/>
        <v/>
      </c>
    </row>
    <row r="192" spans="1:48" ht="14.65" thickBot="1" x14ac:dyDescent="0.5">
      <c r="A192" s="31" t="s">
        <v>177</v>
      </c>
      <c r="B192" s="1" t="s">
        <v>178</v>
      </c>
      <c r="C192" s="2"/>
      <c r="D192" s="2"/>
      <c r="E192" s="2"/>
      <c r="F192" s="2"/>
      <c r="G192" s="2"/>
      <c r="H192" s="2"/>
      <c r="I192" s="18" t="s">
        <v>2473</v>
      </c>
      <c r="J192" s="18" t="s">
        <v>2473</v>
      </c>
      <c r="K192" s="18" t="s">
        <v>2473</v>
      </c>
      <c r="AU192" s="6"/>
      <c r="AV192" s="6" t="str">
        <f t="shared" si="4"/>
        <v/>
      </c>
    </row>
    <row r="193" spans="1:48" ht="14.65" thickBot="1" x14ac:dyDescent="0.5">
      <c r="A193" s="31" t="s">
        <v>179</v>
      </c>
      <c r="B193" s="1" t="s">
        <v>180</v>
      </c>
      <c r="C193" s="4"/>
      <c r="D193" s="4"/>
      <c r="E193" s="4"/>
      <c r="F193" s="4"/>
      <c r="G193" s="4"/>
      <c r="H193" s="4"/>
      <c r="I193" s="18" t="s">
        <v>2473</v>
      </c>
      <c r="J193" s="18" t="s">
        <v>2473</v>
      </c>
      <c r="K193" s="18" t="s">
        <v>2473</v>
      </c>
      <c r="AU193" s="6"/>
      <c r="AV193" s="6" t="str">
        <f t="shared" si="4"/>
        <v/>
      </c>
    </row>
    <row r="194" spans="1:48" ht="14.65" thickBot="1" x14ac:dyDescent="0.5">
      <c r="A194" s="36" t="s">
        <v>181</v>
      </c>
      <c r="B194" s="3" t="s">
        <v>182</v>
      </c>
      <c r="C194" s="4"/>
      <c r="D194" s="4"/>
      <c r="E194" s="4"/>
      <c r="F194" s="4"/>
      <c r="G194" s="4"/>
      <c r="H194" s="4"/>
      <c r="I194" s="18" t="s">
        <v>2473</v>
      </c>
      <c r="J194" s="18" t="s">
        <v>2473</v>
      </c>
      <c r="K194" s="18" t="s">
        <v>2473</v>
      </c>
      <c r="AU194" s="6"/>
      <c r="AV194" s="6" t="str">
        <f t="shared" si="4"/>
        <v/>
      </c>
    </row>
    <row r="195" spans="1:48" ht="14.65" thickBot="1" x14ac:dyDescent="0.5">
      <c r="A195" s="35" t="s">
        <v>33</v>
      </c>
      <c r="B195" s="3" t="s">
        <v>183</v>
      </c>
      <c r="C195" s="4"/>
      <c r="D195" s="4"/>
      <c r="E195" s="4"/>
      <c r="F195" s="4"/>
      <c r="G195" s="4"/>
      <c r="H195" s="4"/>
      <c r="I195" s="18" t="s">
        <v>2473</v>
      </c>
      <c r="J195" s="18" t="s">
        <v>2473</v>
      </c>
      <c r="K195" s="18" t="s">
        <v>2473</v>
      </c>
      <c r="AU195" s="6"/>
      <c r="AV195" s="6" t="str">
        <f t="shared" si="4"/>
        <v/>
      </c>
    </row>
    <row r="196" spans="1:48" ht="23.65" thickBot="1" x14ac:dyDescent="0.5">
      <c r="A196" s="36" t="s">
        <v>184</v>
      </c>
      <c r="B196" s="3" t="s">
        <v>185</v>
      </c>
      <c r="C196" s="4" t="s">
        <v>13</v>
      </c>
      <c r="D196" s="4"/>
      <c r="E196" s="4" t="s">
        <v>13</v>
      </c>
      <c r="F196" s="4"/>
      <c r="G196" s="4" t="s">
        <v>13</v>
      </c>
      <c r="H196" s="4"/>
      <c r="I196" s="18" t="s">
        <v>2473</v>
      </c>
      <c r="J196" s="18" t="s">
        <v>2473</v>
      </c>
      <c r="K196" s="18" t="s">
        <v>2473</v>
      </c>
      <c r="AU196" s="140" t="s">
        <v>4121</v>
      </c>
      <c r="AV196" s="6" t="str">
        <f t="shared" si="4"/>
        <v/>
      </c>
    </row>
    <row r="197" spans="1:48" ht="14.65" thickBot="1" x14ac:dyDescent="0.5">
      <c r="A197" s="36" t="s">
        <v>186</v>
      </c>
      <c r="B197" s="3" t="s">
        <v>187</v>
      </c>
      <c r="C197" s="4" t="s">
        <v>10</v>
      </c>
      <c r="D197" s="4"/>
      <c r="E197" s="4" t="s">
        <v>10</v>
      </c>
      <c r="F197" s="4"/>
      <c r="G197" s="4" t="s">
        <v>10</v>
      </c>
      <c r="H197" s="4"/>
      <c r="I197" s="18" t="s">
        <v>2473</v>
      </c>
      <c r="J197" s="18" t="s">
        <v>2473</v>
      </c>
      <c r="K197" s="18" t="s">
        <v>2473</v>
      </c>
      <c r="AU197" s="6"/>
      <c r="AV197" s="6" t="str">
        <f t="shared" si="4"/>
        <v/>
      </c>
    </row>
    <row r="198" spans="1:48" ht="14.65" thickBot="1" x14ac:dyDescent="0.5">
      <c r="A198" s="36" t="s">
        <v>188</v>
      </c>
      <c r="B198" s="3" t="s">
        <v>189</v>
      </c>
      <c r="C198" s="4"/>
      <c r="D198" s="4"/>
      <c r="E198" s="4"/>
      <c r="F198" s="4"/>
      <c r="G198" s="4"/>
      <c r="H198" s="4"/>
      <c r="I198" s="18" t="s">
        <v>2473</v>
      </c>
      <c r="J198" s="18" t="s">
        <v>2473</v>
      </c>
      <c r="K198" s="18" t="s">
        <v>2473</v>
      </c>
      <c r="AU198" s="6"/>
      <c r="AV198" s="6" t="str">
        <f t="shared" si="4"/>
        <v/>
      </c>
    </row>
    <row r="199" spans="1:48" ht="14.65" thickBot="1" x14ac:dyDescent="0.5">
      <c r="A199" s="36" t="s">
        <v>190</v>
      </c>
      <c r="B199" s="3" t="s">
        <v>191</v>
      </c>
      <c r="C199" s="4" t="s">
        <v>10</v>
      </c>
      <c r="D199" s="4"/>
      <c r="E199" s="4" t="s">
        <v>10</v>
      </c>
      <c r="F199" s="4"/>
      <c r="G199" s="4" t="s">
        <v>10</v>
      </c>
      <c r="H199" s="4"/>
      <c r="I199" s="18" t="s">
        <v>2473</v>
      </c>
      <c r="J199" s="18" t="s">
        <v>2473</v>
      </c>
      <c r="K199" s="18" t="s">
        <v>2473</v>
      </c>
      <c r="AU199" s="6"/>
      <c r="AV199" s="6" t="str">
        <f t="shared" si="4"/>
        <v/>
      </c>
    </row>
    <row r="200" spans="1:48" ht="14.65" thickBot="1" x14ac:dyDescent="0.5">
      <c r="A200" s="36" t="s">
        <v>3111</v>
      </c>
      <c r="B200" s="3" t="s">
        <v>3112</v>
      </c>
      <c r="C200" s="4"/>
      <c r="D200" s="4"/>
      <c r="E200" s="4"/>
      <c r="F200" s="4"/>
      <c r="G200" s="4"/>
      <c r="H200" s="4"/>
      <c r="J200" s="18" t="s">
        <v>2473</v>
      </c>
      <c r="K200" s="18" t="s">
        <v>2473</v>
      </c>
      <c r="AU200" s="6"/>
      <c r="AV200" s="6" t="str">
        <f t="shared" si="4"/>
        <v/>
      </c>
    </row>
    <row r="201" spans="1:48" ht="14.65" thickBot="1" x14ac:dyDescent="0.5">
      <c r="A201" s="36" t="s">
        <v>192</v>
      </c>
      <c r="B201" s="3" t="s">
        <v>193</v>
      </c>
      <c r="C201" s="4" t="s">
        <v>10</v>
      </c>
      <c r="D201" s="4"/>
      <c r="E201" s="4" t="s">
        <v>10</v>
      </c>
      <c r="F201" s="4"/>
      <c r="G201" s="4" t="s">
        <v>10</v>
      </c>
      <c r="H201" s="4"/>
      <c r="I201" s="18" t="s">
        <v>2473</v>
      </c>
      <c r="J201" s="18" t="s">
        <v>2473</v>
      </c>
      <c r="K201" s="18" t="s">
        <v>2473</v>
      </c>
      <c r="AU201" s="6"/>
      <c r="AV201" s="6" t="str">
        <f t="shared" si="4"/>
        <v/>
      </c>
    </row>
    <row r="202" spans="1:48" ht="36" thickBot="1" x14ac:dyDescent="0.5">
      <c r="A202" s="36" t="s">
        <v>194</v>
      </c>
      <c r="B202" s="3" t="s">
        <v>5775</v>
      </c>
      <c r="C202" s="4" t="s">
        <v>10</v>
      </c>
      <c r="D202" s="4"/>
      <c r="E202" s="4" t="s">
        <v>10</v>
      </c>
      <c r="F202" s="4"/>
      <c r="G202" s="4" t="s">
        <v>10</v>
      </c>
      <c r="H202" s="4"/>
      <c r="I202" s="18" t="s">
        <v>2473</v>
      </c>
      <c r="J202" s="18" t="s">
        <v>2473</v>
      </c>
      <c r="K202" s="18" t="s">
        <v>2473</v>
      </c>
      <c r="M202" s="145" t="s">
        <v>5776</v>
      </c>
      <c r="AS202" s="240" t="s">
        <v>5835</v>
      </c>
      <c r="AU202" s="6"/>
      <c r="AV202" s="6" t="str">
        <f t="shared" si="4"/>
        <v/>
      </c>
    </row>
    <row r="203" spans="1:48" ht="14.65" thickBot="1" x14ac:dyDescent="0.5">
      <c r="A203" s="36" t="s">
        <v>195</v>
      </c>
      <c r="B203" s="3" t="s">
        <v>196</v>
      </c>
      <c r="C203" s="4" t="s">
        <v>37</v>
      </c>
      <c r="D203" s="4"/>
      <c r="E203" s="4" t="s">
        <v>37</v>
      </c>
      <c r="F203" s="4"/>
      <c r="G203" s="4" t="s">
        <v>37</v>
      </c>
      <c r="H203" s="4"/>
      <c r="I203" s="18" t="s">
        <v>2473</v>
      </c>
      <c r="J203" s="18" t="s">
        <v>2473</v>
      </c>
      <c r="K203" s="18" t="s">
        <v>2473</v>
      </c>
      <c r="AU203" s="6"/>
      <c r="AV203" s="6" t="str">
        <f t="shared" si="4"/>
        <v/>
      </c>
    </row>
    <row r="204" spans="1:48" ht="14.65" thickBot="1" x14ac:dyDescent="0.5">
      <c r="A204" s="36" t="s">
        <v>197</v>
      </c>
      <c r="B204" s="3" t="s">
        <v>198</v>
      </c>
      <c r="C204" s="4"/>
      <c r="D204" s="4"/>
      <c r="E204" s="4"/>
      <c r="F204" s="4"/>
      <c r="G204" s="4"/>
      <c r="H204" s="4"/>
      <c r="I204" s="18" t="s">
        <v>2473</v>
      </c>
      <c r="J204" s="18" t="s">
        <v>2473</v>
      </c>
      <c r="K204" s="18" t="s">
        <v>2473</v>
      </c>
      <c r="AU204" s="6"/>
      <c r="AV204" s="6" t="str">
        <f t="shared" si="4"/>
        <v/>
      </c>
    </row>
    <row r="205" spans="1:48" ht="14.65" thickBot="1" x14ac:dyDescent="0.5">
      <c r="A205" s="36" t="s">
        <v>199</v>
      </c>
      <c r="B205" s="3" t="s">
        <v>200</v>
      </c>
      <c r="C205" s="4" t="s">
        <v>13</v>
      </c>
      <c r="D205" s="4"/>
      <c r="E205" s="4" t="s">
        <v>13</v>
      </c>
      <c r="F205" s="4"/>
      <c r="G205" s="4" t="s">
        <v>13</v>
      </c>
      <c r="H205" s="4"/>
      <c r="I205" s="18" t="s">
        <v>2473</v>
      </c>
      <c r="J205" s="18" t="s">
        <v>2473</v>
      </c>
      <c r="K205" s="18" t="s">
        <v>2473</v>
      </c>
      <c r="AU205" s="6"/>
      <c r="AV205" s="6" t="str">
        <f t="shared" si="4"/>
        <v/>
      </c>
    </row>
    <row r="206" spans="1:48" ht="14.65" thickBot="1" x14ac:dyDescent="0.5">
      <c r="A206" s="36" t="s">
        <v>201</v>
      </c>
      <c r="B206" s="3" t="s">
        <v>202</v>
      </c>
      <c r="C206" s="4"/>
      <c r="D206" s="4"/>
      <c r="E206" s="4"/>
      <c r="F206" s="4"/>
      <c r="G206" s="4"/>
      <c r="H206" s="4"/>
      <c r="I206" s="18" t="s">
        <v>2473</v>
      </c>
      <c r="J206" s="18" t="s">
        <v>2473</v>
      </c>
      <c r="K206" s="18" t="s">
        <v>2473</v>
      </c>
      <c r="AU206" s="6"/>
      <c r="AV206" s="6" t="str">
        <f t="shared" si="4"/>
        <v/>
      </c>
    </row>
    <row r="207" spans="1:48" ht="14.65" thickBot="1" x14ac:dyDescent="0.5">
      <c r="A207" s="36" t="s">
        <v>203</v>
      </c>
      <c r="B207" s="3" t="s">
        <v>204</v>
      </c>
      <c r="C207" s="4"/>
      <c r="D207" s="4"/>
      <c r="E207" s="4"/>
      <c r="F207" s="4"/>
      <c r="G207" s="4"/>
      <c r="H207" s="4"/>
      <c r="I207" s="18" t="s">
        <v>2473</v>
      </c>
      <c r="J207" s="18" t="s">
        <v>2473</v>
      </c>
      <c r="K207" s="18" t="s">
        <v>2473</v>
      </c>
      <c r="AU207" s="6"/>
      <c r="AV207" s="6" t="str">
        <f t="shared" si="4"/>
        <v/>
      </c>
    </row>
    <row r="208" spans="1:48" ht="14.65" thickBot="1" x14ac:dyDescent="0.5">
      <c r="A208" s="36" t="s">
        <v>205</v>
      </c>
      <c r="B208" s="3" t="s">
        <v>206</v>
      </c>
      <c r="C208" s="4"/>
      <c r="D208" s="4"/>
      <c r="E208" s="4"/>
      <c r="F208" s="4"/>
      <c r="G208" s="4"/>
      <c r="H208" s="4"/>
      <c r="I208" s="18" t="s">
        <v>2473</v>
      </c>
      <c r="J208" s="18" t="s">
        <v>2473</v>
      </c>
      <c r="K208" s="18" t="s">
        <v>2473</v>
      </c>
      <c r="AU208" s="6"/>
      <c r="AV208" s="6" t="str">
        <f t="shared" si="4"/>
        <v/>
      </c>
    </row>
    <row r="209" spans="1:48" ht="14.65" thickBot="1" x14ac:dyDescent="0.5">
      <c r="A209" s="36" t="s">
        <v>75</v>
      </c>
      <c r="B209" s="3" t="s">
        <v>76</v>
      </c>
      <c r="C209" s="4"/>
      <c r="D209" s="4"/>
      <c r="E209" s="4"/>
      <c r="F209" s="4"/>
      <c r="G209" s="4"/>
      <c r="H209" s="4"/>
      <c r="I209" s="18" t="s">
        <v>2473</v>
      </c>
      <c r="J209" s="18" t="s">
        <v>2473</v>
      </c>
      <c r="K209" s="18" t="s">
        <v>2473</v>
      </c>
      <c r="AU209" s="6"/>
      <c r="AV209" s="6" t="str">
        <f t="shared" ref="AV209:AV274" si="5">IF(A209&lt;&gt;"",IF(T209&lt;&gt;"",IF(LEFT(R209,3)="Has",IF(TRIM(A209)&lt;&gt;T209,"ERROR","OK"),""),""),"")</f>
        <v/>
      </c>
    </row>
    <row r="210" spans="1:48" ht="14.65" thickBot="1" x14ac:dyDescent="0.5">
      <c r="A210" s="35" t="s">
        <v>77</v>
      </c>
      <c r="B210" s="3" t="s">
        <v>207</v>
      </c>
      <c r="C210" s="4"/>
      <c r="D210" s="4"/>
      <c r="E210" s="4"/>
      <c r="F210" s="4"/>
      <c r="G210" s="4"/>
      <c r="H210" s="4"/>
      <c r="I210" s="18" t="s">
        <v>2473</v>
      </c>
      <c r="J210" s="18" t="s">
        <v>2473</v>
      </c>
      <c r="K210" s="18" t="s">
        <v>2473</v>
      </c>
      <c r="AU210" s="6"/>
      <c r="AV210" s="6" t="str">
        <f t="shared" si="5"/>
        <v/>
      </c>
    </row>
    <row r="211" spans="1:48" ht="14.65" thickBot="1" x14ac:dyDescent="0.5">
      <c r="A211" s="35" t="s">
        <v>43</v>
      </c>
      <c r="B211" s="3" t="s">
        <v>79</v>
      </c>
      <c r="C211" s="4"/>
      <c r="D211" s="4"/>
      <c r="E211" s="4"/>
      <c r="F211" s="4"/>
      <c r="G211" s="4"/>
      <c r="H211" s="4"/>
      <c r="I211" s="18" t="s">
        <v>2473</v>
      </c>
      <c r="J211" s="18" t="s">
        <v>2473</v>
      </c>
      <c r="K211" s="18" t="s">
        <v>2473</v>
      </c>
      <c r="AU211" s="6"/>
      <c r="AV211" s="6" t="str">
        <f t="shared" si="5"/>
        <v/>
      </c>
    </row>
    <row r="212" spans="1:48" ht="14.65" thickBot="1" x14ac:dyDescent="0.5">
      <c r="A212" s="35" t="s">
        <v>59</v>
      </c>
      <c r="B212" s="3" t="s">
        <v>60</v>
      </c>
      <c r="C212" s="4"/>
      <c r="D212" s="4"/>
      <c r="E212" s="4"/>
      <c r="F212" s="4"/>
      <c r="G212" s="4"/>
      <c r="H212" s="4"/>
      <c r="I212" s="18" t="s">
        <v>2473</v>
      </c>
      <c r="J212" s="18" t="s">
        <v>2473</v>
      </c>
      <c r="K212" s="18" t="s">
        <v>2473</v>
      </c>
      <c r="AU212" s="6"/>
      <c r="AV212" s="6" t="str">
        <f t="shared" si="5"/>
        <v/>
      </c>
    </row>
    <row r="213" spans="1:48" ht="36" thickBot="1" x14ac:dyDescent="0.5">
      <c r="A213" s="36" t="s">
        <v>208</v>
      </c>
      <c r="B213" s="3" t="s">
        <v>5778</v>
      </c>
      <c r="C213" s="4" t="s">
        <v>10</v>
      </c>
      <c r="D213" s="4"/>
      <c r="E213" s="4" t="s">
        <v>10</v>
      </c>
      <c r="F213" s="4"/>
      <c r="G213" s="4" t="s">
        <v>10</v>
      </c>
      <c r="H213" s="4"/>
      <c r="J213" s="18" t="s">
        <v>2473</v>
      </c>
      <c r="K213" s="18" t="s">
        <v>2473</v>
      </c>
      <c r="M213" s="145" t="s">
        <v>5777</v>
      </c>
      <c r="AS213" s="240" t="s">
        <v>5836</v>
      </c>
      <c r="AU213" s="139" t="s">
        <v>4336</v>
      </c>
      <c r="AV213" s="6" t="str">
        <f t="shared" si="5"/>
        <v/>
      </c>
    </row>
    <row r="214" spans="1:48" ht="14.65" thickBot="1" x14ac:dyDescent="0.5">
      <c r="A214" s="36" t="s">
        <v>209</v>
      </c>
      <c r="B214" s="3" t="s">
        <v>210</v>
      </c>
      <c r="C214" s="4"/>
      <c r="D214" s="4"/>
      <c r="E214" s="4"/>
      <c r="F214" s="4"/>
      <c r="G214" s="4"/>
      <c r="H214" s="4"/>
      <c r="I214" s="18" t="s">
        <v>2473</v>
      </c>
      <c r="J214" s="18" t="s">
        <v>2473</v>
      </c>
      <c r="K214" s="18" t="s">
        <v>2473</v>
      </c>
      <c r="AU214" s="6"/>
      <c r="AV214" s="6" t="str">
        <f t="shared" si="5"/>
        <v/>
      </c>
    </row>
    <row r="215" spans="1:48" ht="23.65" thickBot="1" x14ac:dyDescent="0.5">
      <c r="A215" s="36" t="s">
        <v>99</v>
      </c>
      <c r="B215" s="3" t="s">
        <v>211</v>
      </c>
      <c r="C215" s="4" t="s">
        <v>13</v>
      </c>
      <c r="D215" s="4"/>
      <c r="E215" s="4" t="s">
        <v>13</v>
      </c>
      <c r="F215" s="4"/>
      <c r="G215" s="4" t="s">
        <v>13</v>
      </c>
      <c r="H215" s="4"/>
      <c r="I215" s="18" t="s">
        <v>2473</v>
      </c>
      <c r="J215" s="18" t="s">
        <v>2473</v>
      </c>
      <c r="K215" s="18" t="s">
        <v>2473</v>
      </c>
      <c r="AU215" s="140" t="s">
        <v>4122</v>
      </c>
      <c r="AV215" s="6" t="str">
        <f t="shared" si="5"/>
        <v/>
      </c>
    </row>
    <row r="216" spans="1:48" ht="14.65" thickBot="1" x14ac:dyDescent="0.5">
      <c r="A216" s="36" t="s">
        <v>212</v>
      </c>
      <c r="B216" s="3" t="s">
        <v>3782</v>
      </c>
      <c r="C216" s="4"/>
      <c r="D216" s="4"/>
      <c r="E216" s="4"/>
      <c r="F216" s="4"/>
      <c r="G216" s="4"/>
      <c r="H216" s="4"/>
      <c r="I216" s="18" t="s">
        <v>2473</v>
      </c>
      <c r="J216" s="18" t="s">
        <v>2473</v>
      </c>
      <c r="K216" s="18" t="s">
        <v>2473</v>
      </c>
      <c r="AU216" s="6"/>
      <c r="AV216" s="6" t="str">
        <f t="shared" si="5"/>
        <v/>
      </c>
    </row>
    <row r="217" spans="1:48" ht="23.65" thickBot="1" x14ac:dyDescent="0.5">
      <c r="A217" s="36" t="s">
        <v>213</v>
      </c>
      <c r="B217" s="3" t="s">
        <v>214</v>
      </c>
      <c r="C217" s="4" t="s">
        <v>13</v>
      </c>
      <c r="D217" s="4"/>
      <c r="E217" s="4" t="s">
        <v>13</v>
      </c>
      <c r="F217" s="4"/>
      <c r="G217" s="4" t="s">
        <v>13</v>
      </c>
      <c r="H217" s="4"/>
      <c r="I217" s="18" t="s">
        <v>2473</v>
      </c>
      <c r="J217" s="18" t="s">
        <v>2473</v>
      </c>
      <c r="K217" s="18" t="s">
        <v>2473</v>
      </c>
      <c r="AU217" s="140" t="s">
        <v>4122</v>
      </c>
      <c r="AV217" s="6" t="str">
        <f t="shared" si="5"/>
        <v/>
      </c>
    </row>
    <row r="218" spans="1:48" ht="14.65" thickBot="1" x14ac:dyDescent="0.5">
      <c r="A218" s="36" t="s">
        <v>215</v>
      </c>
      <c r="B218" s="3" t="s">
        <v>216</v>
      </c>
      <c r="C218" s="4"/>
      <c r="D218" s="4"/>
      <c r="E218" s="4" t="s">
        <v>10</v>
      </c>
      <c r="F218" s="4"/>
      <c r="G218" s="4"/>
      <c r="H218" s="4"/>
      <c r="I218" s="18" t="s">
        <v>2473</v>
      </c>
      <c r="J218" s="18" t="s">
        <v>2473</v>
      </c>
      <c r="K218" s="18" t="s">
        <v>2473</v>
      </c>
      <c r="AU218" s="6"/>
      <c r="AV218" s="6" t="str">
        <f t="shared" si="5"/>
        <v/>
      </c>
    </row>
    <row r="219" spans="1:48" ht="14.65" thickBot="1" x14ac:dyDescent="0.5">
      <c r="A219" s="35" t="s">
        <v>217</v>
      </c>
      <c r="B219" s="3" t="s">
        <v>218</v>
      </c>
      <c r="C219" s="4"/>
      <c r="D219" s="4"/>
      <c r="E219" s="4" t="s">
        <v>10</v>
      </c>
      <c r="F219" s="4"/>
      <c r="G219" s="4"/>
      <c r="H219" s="4"/>
      <c r="I219" s="18" t="s">
        <v>2473</v>
      </c>
      <c r="J219" s="18" t="s">
        <v>2473</v>
      </c>
      <c r="K219" s="18" t="s">
        <v>2473</v>
      </c>
      <c r="AU219" s="6"/>
      <c r="AV219" s="6" t="str">
        <f t="shared" si="5"/>
        <v/>
      </c>
    </row>
    <row r="220" spans="1:48" ht="14.65" thickBot="1" x14ac:dyDescent="0.5">
      <c r="A220" s="35" t="s">
        <v>219</v>
      </c>
      <c r="B220" s="3" t="s">
        <v>220</v>
      </c>
      <c r="C220" s="4"/>
      <c r="D220" s="4"/>
      <c r="E220" s="4" t="s">
        <v>10</v>
      </c>
      <c r="F220" s="4"/>
      <c r="G220" s="4"/>
      <c r="H220" s="4"/>
      <c r="I220" s="18" t="s">
        <v>2473</v>
      </c>
      <c r="J220" s="18" t="s">
        <v>2473</v>
      </c>
      <c r="K220" s="18" t="s">
        <v>2473</v>
      </c>
      <c r="AU220" s="6"/>
      <c r="AV220" s="6" t="str">
        <f t="shared" si="5"/>
        <v/>
      </c>
    </row>
    <row r="221" spans="1:48" ht="14.65" thickBot="1" x14ac:dyDescent="0.5">
      <c r="A221" s="35" t="s">
        <v>221</v>
      </c>
      <c r="B221" s="3" t="s">
        <v>222</v>
      </c>
      <c r="C221" s="4"/>
      <c r="D221" s="4"/>
      <c r="E221" s="4" t="s">
        <v>10</v>
      </c>
      <c r="F221" s="4"/>
      <c r="G221" s="4"/>
      <c r="H221" s="4"/>
      <c r="I221" s="18" t="s">
        <v>2473</v>
      </c>
      <c r="J221" s="18" t="s">
        <v>2473</v>
      </c>
      <c r="K221" s="18" t="s">
        <v>2473</v>
      </c>
      <c r="AU221" s="6"/>
      <c r="AV221" s="6" t="str">
        <f t="shared" si="5"/>
        <v/>
      </c>
    </row>
    <row r="222" spans="1:48" ht="14.65" thickBot="1" x14ac:dyDescent="0.5">
      <c r="A222" s="35" t="s">
        <v>223</v>
      </c>
      <c r="B222" s="3" t="s">
        <v>224</v>
      </c>
      <c r="C222" s="4"/>
      <c r="D222" s="4"/>
      <c r="E222" s="4" t="s">
        <v>10</v>
      </c>
      <c r="F222" s="4"/>
      <c r="G222" s="4"/>
      <c r="H222" s="4"/>
      <c r="I222" s="18" t="s">
        <v>2473</v>
      </c>
      <c r="J222" s="18" t="s">
        <v>2473</v>
      </c>
      <c r="K222" s="18" t="s">
        <v>2473</v>
      </c>
      <c r="AU222" s="6"/>
      <c r="AV222" s="6" t="str">
        <f t="shared" si="5"/>
        <v/>
      </c>
    </row>
    <row r="223" spans="1:48" ht="14.65" thickBot="1" x14ac:dyDescent="0.5">
      <c r="A223" s="36" t="s">
        <v>225</v>
      </c>
      <c r="B223" s="3" t="s">
        <v>226</v>
      </c>
      <c r="C223" s="4"/>
      <c r="D223" s="4"/>
      <c r="E223" s="4"/>
      <c r="F223" s="4"/>
      <c r="G223" s="4"/>
      <c r="H223" s="4"/>
      <c r="I223" s="18" t="s">
        <v>2473</v>
      </c>
      <c r="J223" s="18" t="s">
        <v>2473</v>
      </c>
      <c r="K223" s="18" t="s">
        <v>2473</v>
      </c>
      <c r="AU223" s="6"/>
      <c r="AV223" s="6" t="str">
        <f t="shared" si="5"/>
        <v/>
      </c>
    </row>
    <row r="224" spans="1:48" ht="36" thickBot="1" x14ac:dyDescent="0.5">
      <c r="A224" s="36" t="s">
        <v>227</v>
      </c>
      <c r="B224" s="3" t="s">
        <v>5790</v>
      </c>
      <c r="C224" s="4" t="s">
        <v>13</v>
      </c>
      <c r="D224" s="4"/>
      <c r="E224" s="4" t="s">
        <v>13</v>
      </c>
      <c r="F224" s="4"/>
      <c r="G224" s="4" t="s">
        <v>13</v>
      </c>
      <c r="H224" s="4"/>
      <c r="J224" s="18" t="s">
        <v>2473</v>
      </c>
      <c r="K224" s="18" t="s">
        <v>2473</v>
      </c>
      <c r="M224" s="145" t="s">
        <v>5788</v>
      </c>
      <c r="AS224" s="240" t="s">
        <v>5789</v>
      </c>
      <c r="AU224" s="6"/>
      <c r="AV224" s="6" t="str">
        <f t="shared" si="5"/>
        <v/>
      </c>
    </row>
    <row r="225" spans="1:48" ht="36" thickBot="1" x14ac:dyDescent="0.5">
      <c r="A225" s="36" t="s">
        <v>228</v>
      </c>
      <c r="B225" s="3" t="s">
        <v>5782</v>
      </c>
      <c r="C225" s="4" t="s">
        <v>13</v>
      </c>
      <c r="D225" s="4"/>
      <c r="E225" s="4" t="s">
        <v>13</v>
      </c>
      <c r="F225" s="4"/>
      <c r="G225" s="4" t="s">
        <v>13</v>
      </c>
      <c r="H225" s="4"/>
      <c r="J225" s="18" t="s">
        <v>2473</v>
      </c>
      <c r="K225" s="18" t="s">
        <v>2473</v>
      </c>
      <c r="M225" s="145" t="s">
        <v>5781</v>
      </c>
      <c r="AS225" s="240" t="s">
        <v>5783</v>
      </c>
      <c r="AU225" s="6"/>
      <c r="AV225" s="6" t="str">
        <f t="shared" si="5"/>
        <v/>
      </c>
    </row>
    <row r="226" spans="1:48" ht="14.65" thickBot="1" x14ac:dyDescent="0.5">
      <c r="A226" s="36" t="s">
        <v>229</v>
      </c>
      <c r="B226" s="3" t="s">
        <v>230</v>
      </c>
      <c r="C226" s="4" t="s">
        <v>10</v>
      </c>
      <c r="D226" s="4"/>
      <c r="E226" s="4" t="s">
        <v>10</v>
      </c>
      <c r="F226" s="4"/>
      <c r="G226" s="4" t="s">
        <v>10</v>
      </c>
      <c r="H226" s="4"/>
      <c r="I226" s="18" t="s">
        <v>2473</v>
      </c>
      <c r="J226" s="18" t="s">
        <v>2473</v>
      </c>
      <c r="K226" s="18" t="s">
        <v>2473</v>
      </c>
      <c r="AU226" s="6"/>
      <c r="AV226" s="6" t="str">
        <f t="shared" si="5"/>
        <v/>
      </c>
    </row>
    <row r="227" spans="1:48" ht="14.65" thickBot="1" x14ac:dyDescent="0.5">
      <c r="A227" s="36" t="s">
        <v>231</v>
      </c>
      <c r="B227" s="3" t="s">
        <v>232</v>
      </c>
      <c r="C227" s="4"/>
      <c r="D227" s="4"/>
      <c r="E227" s="4" t="s">
        <v>37</v>
      </c>
      <c r="F227" s="4"/>
      <c r="G227" s="4"/>
      <c r="H227" s="4"/>
      <c r="I227" s="18" t="s">
        <v>2473</v>
      </c>
      <c r="J227" s="18" t="s">
        <v>2473</v>
      </c>
      <c r="K227" s="18" t="s">
        <v>2473</v>
      </c>
      <c r="AU227" s="6"/>
      <c r="AV227" s="6" t="str">
        <f t="shared" si="5"/>
        <v/>
      </c>
    </row>
    <row r="228" spans="1:48" ht="14.65" thickBot="1" x14ac:dyDescent="0.5">
      <c r="A228" s="35" t="s">
        <v>33</v>
      </c>
      <c r="B228" s="3" t="s">
        <v>233</v>
      </c>
      <c r="C228" s="4"/>
      <c r="D228" s="4"/>
      <c r="E228" s="4"/>
      <c r="F228" s="4"/>
      <c r="G228" s="4"/>
      <c r="H228" s="4"/>
      <c r="I228" s="18" t="s">
        <v>2473</v>
      </c>
      <c r="J228" s="18" t="s">
        <v>2473</v>
      </c>
      <c r="K228" s="18" t="s">
        <v>2473</v>
      </c>
      <c r="AU228" s="6"/>
      <c r="AV228" s="6" t="str">
        <f t="shared" si="5"/>
        <v/>
      </c>
    </row>
    <row r="229" spans="1:48" ht="14.65" thickBot="1" x14ac:dyDescent="0.5">
      <c r="A229" s="36" t="s">
        <v>234</v>
      </c>
      <c r="B229" s="3" t="s">
        <v>235</v>
      </c>
      <c r="C229" s="4"/>
      <c r="D229" s="4"/>
      <c r="E229" s="4"/>
      <c r="F229" s="4"/>
      <c r="G229" s="4"/>
      <c r="H229" s="4"/>
      <c r="I229" s="18" t="s">
        <v>2473</v>
      </c>
      <c r="J229" s="18" t="s">
        <v>2473</v>
      </c>
      <c r="K229" s="18" t="s">
        <v>2473</v>
      </c>
      <c r="AU229" s="6"/>
      <c r="AV229" s="6" t="str">
        <f t="shared" si="5"/>
        <v/>
      </c>
    </row>
    <row r="230" spans="1:48" ht="14.65" thickBot="1" x14ac:dyDescent="0.5">
      <c r="A230" s="36" t="s">
        <v>236</v>
      </c>
      <c r="B230" s="3" t="s">
        <v>237</v>
      </c>
      <c r="C230" s="4"/>
      <c r="D230" s="4"/>
      <c r="E230" s="4"/>
      <c r="F230" s="4"/>
      <c r="G230" s="4"/>
      <c r="H230" s="4"/>
      <c r="I230" s="18" t="s">
        <v>2473</v>
      </c>
      <c r="J230" s="18" t="s">
        <v>2473</v>
      </c>
      <c r="K230" s="18" t="s">
        <v>2473</v>
      </c>
      <c r="AU230" s="6"/>
      <c r="AV230" s="6" t="str">
        <f t="shared" si="5"/>
        <v/>
      </c>
    </row>
    <row r="231" spans="1:48" ht="14.65" thickBot="1" x14ac:dyDescent="0.5">
      <c r="A231" s="36" t="s">
        <v>238</v>
      </c>
      <c r="B231" s="3" t="s">
        <v>239</v>
      </c>
      <c r="C231" s="4"/>
      <c r="D231" s="4"/>
      <c r="E231" s="4"/>
      <c r="F231" s="4"/>
      <c r="G231" s="4"/>
      <c r="H231" s="4"/>
      <c r="I231" s="18" t="s">
        <v>2473</v>
      </c>
      <c r="J231" s="18" t="s">
        <v>2473</v>
      </c>
      <c r="K231" s="18" t="s">
        <v>2473</v>
      </c>
      <c r="AU231" s="6"/>
      <c r="AV231" s="6" t="str">
        <f t="shared" si="5"/>
        <v/>
      </c>
    </row>
    <row r="232" spans="1:48" ht="14.65" thickBot="1" x14ac:dyDescent="0.5">
      <c r="A232" s="36" t="s">
        <v>240</v>
      </c>
      <c r="B232" s="3" t="s">
        <v>241</v>
      </c>
      <c r="C232" s="4" t="s">
        <v>37</v>
      </c>
      <c r="D232" s="4"/>
      <c r="E232" s="4" t="s">
        <v>37</v>
      </c>
      <c r="F232" s="4"/>
      <c r="G232" s="4" t="s">
        <v>37</v>
      </c>
      <c r="H232" s="4"/>
      <c r="I232" s="18" t="s">
        <v>2473</v>
      </c>
      <c r="J232" s="18" t="s">
        <v>2473</v>
      </c>
      <c r="K232" s="18" t="s">
        <v>2473</v>
      </c>
      <c r="AU232" s="6"/>
      <c r="AV232" s="6" t="str">
        <f t="shared" si="5"/>
        <v/>
      </c>
    </row>
    <row r="233" spans="1:48" ht="23.65" thickBot="1" x14ac:dyDescent="0.5">
      <c r="A233" s="36" t="s">
        <v>242</v>
      </c>
      <c r="B233" s="3" t="s">
        <v>243</v>
      </c>
      <c r="C233" s="4" t="s">
        <v>13</v>
      </c>
      <c r="D233" s="4"/>
      <c r="E233" s="4" t="s">
        <v>13</v>
      </c>
      <c r="F233" s="4"/>
      <c r="G233" s="4" t="s">
        <v>13</v>
      </c>
      <c r="H233" s="4"/>
      <c r="I233" s="18" t="s">
        <v>2473</v>
      </c>
      <c r="J233" s="18" t="s">
        <v>2473</v>
      </c>
      <c r="K233" s="18" t="s">
        <v>2473</v>
      </c>
      <c r="AU233" s="140" t="s">
        <v>4123</v>
      </c>
      <c r="AV233" s="6" t="str">
        <f t="shared" si="5"/>
        <v/>
      </c>
    </row>
    <row r="234" spans="1:48" ht="23.65" thickBot="1" x14ac:dyDescent="0.5">
      <c r="A234" s="36" t="s">
        <v>244</v>
      </c>
      <c r="B234" s="3" t="s">
        <v>245</v>
      </c>
      <c r="C234" s="4" t="s">
        <v>13</v>
      </c>
      <c r="D234" s="4"/>
      <c r="E234" s="4" t="s">
        <v>13</v>
      </c>
      <c r="F234" s="4"/>
      <c r="G234" s="4" t="s">
        <v>13</v>
      </c>
      <c r="H234" s="4"/>
      <c r="I234" s="18" t="s">
        <v>2473</v>
      </c>
      <c r="J234" s="18" t="s">
        <v>2473</v>
      </c>
      <c r="K234" s="18" t="s">
        <v>2473</v>
      </c>
      <c r="AU234" s="140" t="s">
        <v>4123</v>
      </c>
      <c r="AV234" s="6" t="str">
        <f t="shared" si="5"/>
        <v/>
      </c>
    </row>
    <row r="235" spans="1:48" ht="14.65" thickBot="1" x14ac:dyDescent="0.5">
      <c r="A235" s="36" t="s">
        <v>246</v>
      </c>
      <c r="B235" s="3" t="s">
        <v>247</v>
      </c>
      <c r="C235" s="4"/>
      <c r="D235" s="4"/>
      <c r="E235" s="4"/>
      <c r="F235" s="4"/>
      <c r="G235" s="4"/>
      <c r="H235" s="4"/>
      <c r="I235" s="18" t="s">
        <v>2473</v>
      </c>
      <c r="J235" s="18" t="s">
        <v>2473</v>
      </c>
      <c r="K235" s="18" t="s">
        <v>2473</v>
      </c>
      <c r="AU235" s="6"/>
      <c r="AV235" s="6" t="str">
        <f t="shared" si="5"/>
        <v/>
      </c>
    </row>
    <row r="236" spans="1:48" ht="14.65" thickBot="1" x14ac:dyDescent="0.5">
      <c r="A236" s="36" t="s">
        <v>248</v>
      </c>
      <c r="B236" s="3" t="s">
        <v>249</v>
      </c>
      <c r="C236" s="4"/>
      <c r="D236" s="4"/>
      <c r="E236" s="4"/>
      <c r="F236" s="4"/>
      <c r="G236" s="4"/>
      <c r="H236" s="4"/>
      <c r="I236" s="18" t="s">
        <v>2473</v>
      </c>
      <c r="J236" s="18" t="s">
        <v>2473</v>
      </c>
      <c r="K236" s="18" t="s">
        <v>2473</v>
      </c>
      <c r="AU236" s="6"/>
      <c r="AV236" s="6" t="str">
        <f t="shared" si="5"/>
        <v/>
      </c>
    </row>
    <row r="237" spans="1:48" ht="14.65" thickBot="1" x14ac:dyDescent="0.5">
      <c r="A237" s="36" t="s">
        <v>250</v>
      </c>
      <c r="B237" s="3" t="s">
        <v>251</v>
      </c>
      <c r="C237" s="4"/>
      <c r="D237" s="4"/>
      <c r="E237" s="4"/>
      <c r="F237" s="4"/>
      <c r="G237" s="4"/>
      <c r="H237" s="4"/>
      <c r="I237" s="18" t="s">
        <v>2473</v>
      </c>
      <c r="J237" s="18" t="s">
        <v>2473</v>
      </c>
      <c r="K237" s="18" t="s">
        <v>2473</v>
      </c>
      <c r="AU237" s="6"/>
      <c r="AV237" s="6" t="str">
        <f t="shared" si="5"/>
        <v/>
      </c>
    </row>
    <row r="238" spans="1:48" ht="14.65" thickBot="1" x14ac:dyDescent="0.5">
      <c r="A238" s="36" t="s">
        <v>252</v>
      </c>
      <c r="B238" s="3" t="s">
        <v>253</v>
      </c>
      <c r="C238" s="4"/>
      <c r="D238" s="4"/>
      <c r="E238" s="4"/>
      <c r="F238" s="4"/>
      <c r="G238" s="4"/>
      <c r="H238" s="4"/>
      <c r="I238" s="18" t="s">
        <v>2473</v>
      </c>
      <c r="J238" s="18" t="s">
        <v>2473</v>
      </c>
      <c r="K238" s="18" t="s">
        <v>2473</v>
      </c>
      <c r="AU238" s="6"/>
      <c r="AV238" s="6" t="str">
        <f t="shared" si="5"/>
        <v/>
      </c>
    </row>
    <row r="239" spans="1:48" ht="14.65" thickBot="1" x14ac:dyDescent="0.5">
      <c r="A239" s="35" t="s">
        <v>254</v>
      </c>
      <c r="B239" s="3" t="s">
        <v>3783</v>
      </c>
      <c r="C239" s="4"/>
      <c r="D239" s="4"/>
      <c r="E239" s="4"/>
      <c r="F239" s="4"/>
      <c r="G239" s="4"/>
      <c r="H239" s="4"/>
      <c r="I239" s="18" t="s">
        <v>2473</v>
      </c>
      <c r="J239" s="18" t="s">
        <v>2473</v>
      </c>
      <c r="K239" s="18" t="s">
        <v>2473</v>
      </c>
      <c r="AU239" s="6"/>
      <c r="AV239" s="6" t="str">
        <f t="shared" si="5"/>
        <v/>
      </c>
    </row>
    <row r="240" spans="1:48" ht="14.65" thickBot="1" x14ac:dyDescent="0.5">
      <c r="A240" s="35" t="s">
        <v>255</v>
      </c>
      <c r="B240" s="3" t="s">
        <v>3784</v>
      </c>
      <c r="C240" s="4"/>
      <c r="D240" s="4"/>
      <c r="E240" s="4"/>
      <c r="F240" s="4"/>
      <c r="G240" s="4"/>
      <c r="H240" s="4"/>
      <c r="I240" s="18" t="s">
        <v>2473</v>
      </c>
      <c r="J240" s="18" t="s">
        <v>2473</v>
      </c>
      <c r="K240" s="18" t="s">
        <v>2473</v>
      </c>
      <c r="AU240" s="6"/>
      <c r="AV240" s="6" t="str">
        <f t="shared" si="5"/>
        <v/>
      </c>
    </row>
    <row r="241" spans="1:48" ht="14.65" thickBot="1" x14ac:dyDescent="0.5">
      <c r="A241" s="35" t="s">
        <v>256</v>
      </c>
      <c r="B241" s="3" t="s">
        <v>3785</v>
      </c>
      <c r="C241" s="4"/>
      <c r="D241" s="4"/>
      <c r="E241" s="4"/>
      <c r="F241" s="4"/>
      <c r="G241" s="4"/>
      <c r="H241" s="4"/>
      <c r="I241" s="18" t="s">
        <v>2473</v>
      </c>
      <c r="J241" s="18" t="s">
        <v>2473</v>
      </c>
      <c r="K241" s="18" t="s">
        <v>2473</v>
      </c>
      <c r="AU241" s="6"/>
      <c r="AV241" s="6" t="str">
        <f t="shared" si="5"/>
        <v/>
      </c>
    </row>
    <row r="242" spans="1:48" ht="14.65" thickBot="1" x14ac:dyDescent="0.5">
      <c r="A242" s="35" t="s">
        <v>257</v>
      </c>
      <c r="B242" s="3" t="s">
        <v>258</v>
      </c>
      <c r="C242" s="4"/>
      <c r="D242" s="4"/>
      <c r="E242" s="4"/>
      <c r="F242" s="4"/>
      <c r="G242" s="4"/>
      <c r="H242" s="4"/>
      <c r="I242" s="18" t="s">
        <v>2473</v>
      </c>
      <c r="J242" s="18" t="s">
        <v>2473</v>
      </c>
      <c r="K242" s="18" t="s">
        <v>2473</v>
      </c>
      <c r="AU242" s="6"/>
      <c r="AV242" s="6" t="str">
        <f t="shared" si="5"/>
        <v/>
      </c>
    </row>
    <row r="243" spans="1:48" ht="14.65" thickBot="1" x14ac:dyDescent="0.5">
      <c r="A243" s="36" t="s">
        <v>259</v>
      </c>
      <c r="B243" s="3" t="s">
        <v>260</v>
      </c>
      <c r="C243" s="4" t="s">
        <v>10</v>
      </c>
      <c r="D243" s="4"/>
      <c r="E243" s="4" t="s">
        <v>10</v>
      </c>
      <c r="F243" s="4"/>
      <c r="G243" s="4" t="s">
        <v>10</v>
      </c>
      <c r="H243" s="4"/>
      <c r="I243" s="18" t="s">
        <v>2473</v>
      </c>
      <c r="J243" s="18" t="s">
        <v>2473</v>
      </c>
      <c r="K243" s="18" t="s">
        <v>2473</v>
      </c>
      <c r="AU243" s="6"/>
      <c r="AV243" s="6" t="str">
        <f t="shared" si="5"/>
        <v/>
      </c>
    </row>
    <row r="244" spans="1:48" ht="14.65" thickBot="1" x14ac:dyDescent="0.5">
      <c r="A244" s="36" t="s">
        <v>261</v>
      </c>
      <c r="B244" s="3" t="s">
        <v>262</v>
      </c>
      <c r="C244" s="4"/>
      <c r="D244" s="4"/>
      <c r="E244" s="4"/>
      <c r="F244" s="4"/>
      <c r="G244" s="4"/>
      <c r="H244" s="4"/>
      <c r="I244" s="18" t="s">
        <v>2473</v>
      </c>
      <c r="J244" s="18" t="s">
        <v>2473</v>
      </c>
      <c r="K244" s="18" t="s">
        <v>2473</v>
      </c>
      <c r="AU244" s="6"/>
      <c r="AV244" s="6" t="str">
        <f t="shared" si="5"/>
        <v/>
      </c>
    </row>
    <row r="245" spans="1:48" ht="14.65" thickBot="1" x14ac:dyDescent="0.5">
      <c r="A245" s="35" t="s">
        <v>263</v>
      </c>
      <c r="B245" s="3" t="s">
        <v>264</v>
      </c>
      <c r="C245" s="4"/>
      <c r="D245" s="4"/>
      <c r="E245" s="4"/>
      <c r="F245" s="4"/>
      <c r="G245" s="4"/>
      <c r="H245" s="4"/>
      <c r="I245" s="18" t="s">
        <v>2473</v>
      </c>
      <c r="J245" s="18" t="s">
        <v>2473</v>
      </c>
      <c r="K245" s="18" t="s">
        <v>2473</v>
      </c>
      <c r="AU245" s="6"/>
      <c r="AV245" s="6" t="str">
        <f t="shared" si="5"/>
        <v/>
      </c>
    </row>
    <row r="246" spans="1:48" ht="23.65" thickBot="1" x14ac:dyDescent="0.5">
      <c r="A246" s="35" t="s">
        <v>265</v>
      </c>
      <c r="B246" s="3" t="s">
        <v>266</v>
      </c>
      <c r="C246" s="4"/>
      <c r="D246" s="4"/>
      <c r="E246" s="4"/>
      <c r="F246" s="4"/>
      <c r="G246" s="4"/>
      <c r="H246" s="4"/>
      <c r="I246" s="18" t="s">
        <v>2473</v>
      </c>
      <c r="J246" s="18" t="s">
        <v>2473</v>
      </c>
      <c r="K246" s="18" t="s">
        <v>2473</v>
      </c>
      <c r="AU246" s="6"/>
      <c r="AV246" s="6" t="str">
        <f t="shared" si="5"/>
        <v/>
      </c>
    </row>
    <row r="247" spans="1:48" ht="14.65" thickBot="1" x14ac:dyDescent="0.5">
      <c r="A247" s="35" t="s">
        <v>267</v>
      </c>
      <c r="B247" s="3" t="s">
        <v>268</v>
      </c>
      <c r="C247" s="4"/>
      <c r="D247" s="4"/>
      <c r="E247" s="4"/>
      <c r="F247" s="4"/>
      <c r="G247" s="4"/>
      <c r="H247" s="4"/>
      <c r="I247" s="18" t="s">
        <v>2473</v>
      </c>
      <c r="J247" s="18" t="s">
        <v>2473</v>
      </c>
      <c r="K247" s="18" t="s">
        <v>2473</v>
      </c>
      <c r="AU247" s="6"/>
      <c r="AV247" s="6" t="str">
        <f t="shared" si="5"/>
        <v/>
      </c>
    </row>
    <row r="248" spans="1:48" ht="14.65" thickBot="1" x14ac:dyDescent="0.5">
      <c r="A248" s="35" t="s">
        <v>269</v>
      </c>
      <c r="B248" s="3" t="s">
        <v>270</v>
      </c>
      <c r="C248" s="4"/>
      <c r="D248" s="4"/>
      <c r="E248" s="4"/>
      <c r="F248" s="4"/>
      <c r="G248" s="4"/>
      <c r="H248" s="4"/>
      <c r="I248" s="18" t="s">
        <v>2473</v>
      </c>
      <c r="J248" s="18" t="s">
        <v>2473</v>
      </c>
      <c r="K248" s="18" t="s">
        <v>2473</v>
      </c>
      <c r="AU248" s="6"/>
      <c r="AV248" s="6" t="str">
        <f t="shared" si="5"/>
        <v/>
      </c>
    </row>
    <row r="249" spans="1:48" ht="14.65" thickBot="1" x14ac:dyDescent="0.5">
      <c r="A249" s="35" t="s">
        <v>271</v>
      </c>
      <c r="B249" s="3" t="s">
        <v>272</v>
      </c>
      <c r="C249" s="4"/>
      <c r="D249" s="4"/>
      <c r="E249" s="4"/>
      <c r="F249" s="4"/>
      <c r="G249" s="4"/>
      <c r="H249" s="4"/>
      <c r="I249" s="18" t="s">
        <v>2473</v>
      </c>
      <c r="J249" s="18" t="s">
        <v>2473</v>
      </c>
      <c r="K249" s="18" t="s">
        <v>2473</v>
      </c>
      <c r="AU249" s="6"/>
      <c r="AV249" s="6" t="str">
        <f t="shared" si="5"/>
        <v/>
      </c>
    </row>
    <row r="250" spans="1:48" ht="14.65" thickBot="1" x14ac:dyDescent="0.5">
      <c r="A250" s="35" t="s">
        <v>273</v>
      </c>
      <c r="B250" s="3" t="s">
        <v>274</v>
      </c>
      <c r="C250" s="4"/>
      <c r="D250" s="4"/>
      <c r="E250" s="4"/>
      <c r="F250" s="4"/>
      <c r="G250" s="4"/>
      <c r="H250" s="4"/>
      <c r="I250" s="18" t="s">
        <v>2473</v>
      </c>
      <c r="J250" s="18" t="s">
        <v>2473</v>
      </c>
      <c r="K250" s="18" t="s">
        <v>2473</v>
      </c>
      <c r="AU250" s="6"/>
      <c r="AV250" s="6" t="str">
        <f t="shared" si="5"/>
        <v/>
      </c>
    </row>
    <row r="251" spans="1:48" ht="14.65" thickBot="1" x14ac:dyDescent="0.5">
      <c r="A251" s="36" t="s">
        <v>275</v>
      </c>
      <c r="B251" s="3" t="s">
        <v>276</v>
      </c>
      <c r="C251" s="4"/>
      <c r="D251" s="4"/>
      <c r="E251" s="4"/>
      <c r="F251" s="4"/>
      <c r="G251" s="4"/>
      <c r="H251" s="4"/>
      <c r="I251" s="18" t="s">
        <v>2473</v>
      </c>
      <c r="J251" s="18" t="s">
        <v>2473</v>
      </c>
      <c r="K251" s="18" t="s">
        <v>2473</v>
      </c>
      <c r="AU251" s="6"/>
      <c r="AV251" s="6" t="str">
        <f t="shared" si="5"/>
        <v/>
      </c>
    </row>
    <row r="252" spans="1:48" ht="14.65" thickBot="1" x14ac:dyDescent="0.5">
      <c r="A252" s="35" t="s">
        <v>3113</v>
      </c>
      <c r="B252" s="3" t="s">
        <v>3116</v>
      </c>
      <c r="C252" s="4"/>
      <c r="D252" s="4"/>
      <c r="E252" s="4"/>
      <c r="F252" s="4"/>
      <c r="G252" s="4"/>
      <c r="H252" s="4"/>
      <c r="J252" s="18" t="s">
        <v>2473</v>
      </c>
      <c r="K252" s="18" t="s">
        <v>2473</v>
      </c>
      <c r="AU252" s="6"/>
      <c r="AV252" s="6" t="str">
        <f t="shared" si="5"/>
        <v/>
      </c>
    </row>
    <row r="253" spans="1:48" ht="14.65" thickBot="1" x14ac:dyDescent="0.5">
      <c r="A253" s="35" t="s">
        <v>3114</v>
      </c>
      <c r="B253" s="3" t="s">
        <v>3117</v>
      </c>
      <c r="C253" s="4"/>
      <c r="D253" s="4"/>
      <c r="E253" s="4"/>
      <c r="F253" s="4"/>
      <c r="G253" s="4"/>
      <c r="H253" s="4"/>
      <c r="J253" s="18" t="s">
        <v>2473</v>
      </c>
      <c r="K253" s="18" t="s">
        <v>2473</v>
      </c>
      <c r="AU253" s="6"/>
      <c r="AV253" s="6" t="str">
        <f t="shared" si="5"/>
        <v/>
      </c>
    </row>
    <row r="254" spans="1:48" ht="14.65" thickBot="1" x14ac:dyDescent="0.5">
      <c r="A254" s="35" t="s">
        <v>277</v>
      </c>
      <c r="B254" s="3" t="s">
        <v>278</v>
      </c>
      <c r="C254" s="4"/>
      <c r="D254" s="4"/>
      <c r="E254" s="4"/>
      <c r="F254" s="4"/>
      <c r="G254" s="4"/>
      <c r="H254" s="4"/>
      <c r="I254" s="18" t="s">
        <v>2473</v>
      </c>
      <c r="J254" s="18" t="s">
        <v>2473</v>
      </c>
      <c r="K254" s="18" t="s">
        <v>2473</v>
      </c>
      <c r="AU254" s="6"/>
      <c r="AV254" s="6" t="str">
        <f t="shared" si="5"/>
        <v/>
      </c>
    </row>
    <row r="255" spans="1:48" ht="14.65" thickBot="1" x14ac:dyDescent="0.5">
      <c r="A255" s="35" t="s">
        <v>279</v>
      </c>
      <c r="B255" s="3" t="s">
        <v>280</v>
      </c>
      <c r="C255" s="4"/>
      <c r="D255" s="4"/>
      <c r="E255" s="4"/>
      <c r="F255" s="4"/>
      <c r="G255" s="4"/>
      <c r="H255" s="4"/>
      <c r="I255" s="18" t="s">
        <v>2473</v>
      </c>
      <c r="J255" s="18" t="s">
        <v>2473</v>
      </c>
      <c r="K255" s="18" t="s">
        <v>2473</v>
      </c>
      <c r="AU255" s="6"/>
      <c r="AV255" s="6" t="str">
        <f t="shared" si="5"/>
        <v/>
      </c>
    </row>
    <row r="256" spans="1:48" ht="23.65" thickBot="1" x14ac:dyDescent="0.5">
      <c r="A256" s="35" t="s">
        <v>3115</v>
      </c>
      <c r="B256" s="3" t="s">
        <v>3118</v>
      </c>
      <c r="C256" s="4"/>
      <c r="D256" s="4"/>
      <c r="E256" s="4"/>
      <c r="F256" s="4"/>
      <c r="G256" s="4"/>
      <c r="H256" s="4"/>
      <c r="J256" s="18" t="s">
        <v>2473</v>
      </c>
      <c r="K256" s="18" t="s">
        <v>2473</v>
      </c>
      <c r="AU256" s="6"/>
      <c r="AV256" s="6" t="str">
        <f t="shared" si="5"/>
        <v/>
      </c>
    </row>
    <row r="257" spans="1:48" ht="14.65" thickBot="1" x14ac:dyDescent="0.5">
      <c r="A257" s="35" t="s">
        <v>281</v>
      </c>
      <c r="B257" s="3" t="s">
        <v>282</v>
      </c>
      <c r="C257" s="4"/>
      <c r="D257" s="4"/>
      <c r="E257" s="4"/>
      <c r="F257" s="4"/>
      <c r="G257" s="4"/>
      <c r="H257" s="4"/>
      <c r="I257" s="18" t="s">
        <v>2473</v>
      </c>
      <c r="J257" s="18" t="s">
        <v>2473</v>
      </c>
      <c r="K257" s="18" t="s">
        <v>2473</v>
      </c>
      <c r="AU257" s="6"/>
      <c r="AV257" s="6" t="str">
        <f t="shared" si="5"/>
        <v/>
      </c>
    </row>
    <row r="258" spans="1:48" ht="23.65" thickBot="1" x14ac:dyDescent="0.5">
      <c r="A258" s="36" t="s">
        <v>140</v>
      </c>
      <c r="B258" s="3" t="s">
        <v>283</v>
      </c>
      <c r="C258" s="4" t="s">
        <v>13</v>
      </c>
      <c r="D258" s="4"/>
      <c r="E258" s="4" t="s">
        <v>13</v>
      </c>
      <c r="F258" s="4"/>
      <c r="G258" s="4" t="s">
        <v>13</v>
      </c>
      <c r="H258" s="4"/>
      <c r="I258" s="18" t="s">
        <v>2473</v>
      </c>
      <c r="J258" s="18" t="s">
        <v>2473</v>
      </c>
      <c r="K258" s="18" t="s">
        <v>2473</v>
      </c>
      <c r="AU258" s="140" t="s">
        <v>4124</v>
      </c>
      <c r="AV258" s="6" t="str">
        <f t="shared" si="5"/>
        <v/>
      </c>
    </row>
    <row r="259" spans="1:48" ht="14.65" thickBot="1" x14ac:dyDescent="0.5">
      <c r="A259" s="36" t="s">
        <v>284</v>
      </c>
      <c r="B259" s="3" t="s">
        <v>285</v>
      </c>
      <c r="C259" s="4"/>
      <c r="D259" s="4"/>
      <c r="E259" s="4"/>
      <c r="F259" s="4"/>
      <c r="G259" s="4"/>
      <c r="H259" s="4"/>
      <c r="I259" s="18" t="s">
        <v>2473</v>
      </c>
      <c r="J259" s="18" t="s">
        <v>2473</v>
      </c>
      <c r="K259" s="18" t="s">
        <v>2473</v>
      </c>
      <c r="AU259" s="8"/>
      <c r="AV259" s="6" t="str">
        <f t="shared" si="5"/>
        <v/>
      </c>
    </row>
    <row r="260" spans="1:48" ht="105.75" thickBot="1" x14ac:dyDescent="0.5">
      <c r="A260" s="36" t="s">
        <v>145</v>
      </c>
      <c r="B260" s="3" t="s">
        <v>3604</v>
      </c>
      <c r="C260" s="4" t="s">
        <v>10</v>
      </c>
      <c r="D260" s="4"/>
      <c r="E260" s="4" t="s">
        <v>10</v>
      </c>
      <c r="F260" s="4"/>
      <c r="G260" s="4" t="s">
        <v>10</v>
      </c>
      <c r="H260" s="4"/>
      <c r="I260" s="18" t="s">
        <v>2473</v>
      </c>
      <c r="J260" s="18" t="s">
        <v>2473</v>
      </c>
      <c r="K260" s="18" t="s">
        <v>2473</v>
      </c>
      <c r="AS260" s="206" t="s">
        <v>5861</v>
      </c>
      <c r="AU260" s="8"/>
      <c r="AV260" s="6" t="str">
        <f t="shared" si="5"/>
        <v/>
      </c>
    </row>
    <row r="261" spans="1:48" ht="47.65" thickBot="1" x14ac:dyDescent="0.5">
      <c r="A261" s="243" t="s">
        <v>5361</v>
      </c>
      <c r="B261" s="3" t="s">
        <v>5352</v>
      </c>
      <c r="C261" s="4" t="s">
        <v>10</v>
      </c>
      <c r="D261" s="4"/>
      <c r="E261" s="4" t="s">
        <v>10</v>
      </c>
      <c r="F261" s="4"/>
      <c r="G261" s="4" t="s">
        <v>10</v>
      </c>
      <c r="H261" s="4"/>
      <c r="I261" s="18" t="s">
        <v>2473</v>
      </c>
      <c r="J261" s="18" t="s">
        <v>2473</v>
      </c>
      <c r="K261" s="18" t="s">
        <v>2473</v>
      </c>
      <c r="Q261" s="131"/>
      <c r="R261" s="131"/>
      <c r="S261" s="131"/>
      <c r="T261" s="131"/>
      <c r="U261" s="131"/>
      <c r="V261" s="131"/>
      <c r="W261" s="131"/>
      <c r="X261" s="131"/>
      <c r="AS261" s="139" t="s">
        <v>5355</v>
      </c>
      <c r="AU261" s="6"/>
      <c r="AV261" s="6"/>
    </row>
    <row r="262" spans="1:48" ht="82.5" thickBot="1" x14ac:dyDescent="0.5">
      <c r="A262" s="243" t="s">
        <v>5360</v>
      </c>
      <c r="B262" s="3" t="s">
        <v>5353</v>
      </c>
      <c r="C262" s="4"/>
      <c r="D262" s="4"/>
      <c r="E262" s="4"/>
      <c r="F262" s="4"/>
      <c r="G262" s="4"/>
      <c r="H262" s="4"/>
      <c r="I262" s="18" t="s">
        <v>2473</v>
      </c>
      <c r="J262" s="18" t="s">
        <v>2473</v>
      </c>
      <c r="K262" s="18" t="s">
        <v>2473</v>
      </c>
      <c r="Q262" s="131"/>
      <c r="R262" s="131"/>
      <c r="S262" s="131"/>
      <c r="T262" s="131"/>
      <c r="U262" s="131"/>
      <c r="V262" s="131"/>
      <c r="W262" s="131"/>
      <c r="X262" s="131"/>
      <c r="AS262" s="139" t="s">
        <v>5356</v>
      </c>
      <c r="AU262" s="6"/>
      <c r="AV262" s="6"/>
    </row>
    <row r="263" spans="1:48" ht="47.65" thickBot="1" x14ac:dyDescent="0.5">
      <c r="A263" s="36" t="s">
        <v>2886</v>
      </c>
      <c r="B263" s="3" t="s">
        <v>5779</v>
      </c>
      <c r="C263" s="4" t="s">
        <v>13</v>
      </c>
      <c r="D263" s="4"/>
      <c r="E263" s="4" t="s">
        <v>13</v>
      </c>
      <c r="F263" s="4"/>
      <c r="G263" s="4" t="s">
        <v>13</v>
      </c>
      <c r="H263" s="4"/>
      <c r="I263" s="18" t="s">
        <v>2473</v>
      </c>
      <c r="J263" s="18" t="s">
        <v>2473</v>
      </c>
      <c r="K263" s="18" t="s">
        <v>2473</v>
      </c>
      <c r="M263" s="145" t="s">
        <v>5780</v>
      </c>
      <c r="AS263" s="240" t="s">
        <v>5784</v>
      </c>
      <c r="AU263" s="8"/>
      <c r="AV263" s="6" t="str">
        <f t="shared" si="5"/>
        <v/>
      </c>
    </row>
    <row r="264" spans="1:48" ht="47.65" thickBot="1" x14ac:dyDescent="0.5">
      <c r="A264" s="36" t="s">
        <v>2887</v>
      </c>
      <c r="B264" s="3" t="s">
        <v>5785</v>
      </c>
      <c r="C264" s="4" t="s">
        <v>13</v>
      </c>
      <c r="D264" s="4"/>
      <c r="E264" s="4" t="s">
        <v>13</v>
      </c>
      <c r="F264" s="4"/>
      <c r="G264" s="4" t="s">
        <v>13</v>
      </c>
      <c r="H264" s="4"/>
      <c r="I264" s="18" t="s">
        <v>2473</v>
      </c>
      <c r="J264" s="18" t="s">
        <v>2473</v>
      </c>
      <c r="K264" s="18" t="s">
        <v>2473</v>
      </c>
      <c r="M264" s="145" t="s">
        <v>5786</v>
      </c>
      <c r="AS264" s="240" t="s">
        <v>5787</v>
      </c>
      <c r="AU264" s="8"/>
      <c r="AV264" s="6" t="str">
        <f t="shared" si="5"/>
        <v/>
      </c>
    </row>
    <row r="265" spans="1:48" ht="105.75" thickBot="1" x14ac:dyDescent="0.5">
      <c r="A265" s="36" t="s">
        <v>2885</v>
      </c>
      <c r="B265" s="3" t="s">
        <v>288</v>
      </c>
      <c r="C265" s="4"/>
      <c r="D265" s="4"/>
      <c r="E265" s="4"/>
      <c r="F265" s="4"/>
      <c r="G265" s="4"/>
      <c r="H265" s="4"/>
      <c r="I265" s="18" t="s">
        <v>2473</v>
      </c>
      <c r="J265" s="18" t="s">
        <v>2473</v>
      </c>
      <c r="K265" s="18" t="s">
        <v>2473</v>
      </c>
      <c r="AU265" s="152" t="s">
        <v>5294</v>
      </c>
      <c r="AV265" s="6" t="str">
        <f t="shared" si="5"/>
        <v/>
      </c>
    </row>
    <row r="266" spans="1:48" ht="14.65" thickBot="1" x14ac:dyDescent="0.5">
      <c r="A266" s="36" t="s">
        <v>289</v>
      </c>
      <c r="B266" s="3" t="s">
        <v>290</v>
      </c>
      <c r="C266" s="4"/>
      <c r="D266" s="4"/>
      <c r="E266" s="4"/>
      <c r="F266" s="4"/>
      <c r="G266" s="4"/>
      <c r="H266" s="4"/>
      <c r="I266" s="18" t="s">
        <v>2473</v>
      </c>
      <c r="J266" s="18" t="s">
        <v>2473</v>
      </c>
      <c r="K266" s="18" t="s">
        <v>2473</v>
      </c>
      <c r="AU266" s="8"/>
      <c r="AV266" s="6" t="str">
        <f t="shared" si="5"/>
        <v/>
      </c>
    </row>
    <row r="267" spans="1:48" ht="14.65" thickBot="1" x14ac:dyDescent="0.5">
      <c r="A267" s="36" t="s">
        <v>291</v>
      </c>
      <c r="B267" s="3" t="s">
        <v>292</v>
      </c>
      <c r="C267" s="4" t="s">
        <v>13</v>
      </c>
      <c r="D267" s="4"/>
      <c r="E267" s="4" t="s">
        <v>13</v>
      </c>
      <c r="F267" s="4"/>
      <c r="G267" s="4" t="s">
        <v>13</v>
      </c>
      <c r="H267" s="4"/>
      <c r="I267" s="18" t="s">
        <v>2473</v>
      </c>
      <c r="J267" s="18" t="s">
        <v>2473</v>
      </c>
      <c r="K267" s="18" t="s">
        <v>2473</v>
      </c>
      <c r="AU267" s="6"/>
      <c r="AV267" s="6" t="str">
        <f t="shared" si="5"/>
        <v/>
      </c>
    </row>
    <row r="268" spans="1:48" ht="14.65" thickBot="1" x14ac:dyDescent="0.5">
      <c r="A268" s="36" t="s">
        <v>293</v>
      </c>
      <c r="B268" s="3" t="s">
        <v>294</v>
      </c>
      <c r="C268" s="4"/>
      <c r="D268" s="4"/>
      <c r="E268" s="4"/>
      <c r="F268" s="4"/>
      <c r="G268" s="4"/>
      <c r="H268" s="4"/>
      <c r="I268" s="18" t="s">
        <v>2473</v>
      </c>
      <c r="J268" s="18" t="s">
        <v>2473</v>
      </c>
      <c r="K268" s="18" t="s">
        <v>2473</v>
      </c>
      <c r="AU268" s="6"/>
      <c r="AV268" s="6" t="str">
        <f t="shared" si="5"/>
        <v/>
      </c>
    </row>
    <row r="269" spans="1:48" ht="14.65" thickBot="1" x14ac:dyDescent="0.5">
      <c r="A269" s="36" t="s">
        <v>295</v>
      </c>
      <c r="B269" s="3" t="s">
        <v>296</v>
      </c>
      <c r="C269" s="4"/>
      <c r="D269" s="4"/>
      <c r="E269" s="4"/>
      <c r="F269" s="4"/>
      <c r="G269" s="4"/>
      <c r="H269" s="4"/>
      <c r="I269" s="18" t="s">
        <v>2473</v>
      </c>
      <c r="J269" s="18" t="s">
        <v>2473</v>
      </c>
      <c r="K269" s="18" t="s">
        <v>2473</v>
      </c>
      <c r="AU269" s="6"/>
      <c r="AV269" s="6" t="str">
        <f t="shared" si="5"/>
        <v/>
      </c>
    </row>
    <row r="270" spans="1:48" x14ac:dyDescent="0.45">
      <c r="A270" s="33" t="s">
        <v>297</v>
      </c>
      <c r="I270" s="18" t="s">
        <v>2473</v>
      </c>
      <c r="J270" s="18" t="s">
        <v>2473</v>
      </c>
      <c r="K270" s="18" t="s">
        <v>2473</v>
      </c>
      <c r="AU270" s="6"/>
      <c r="AV270" s="6" t="str">
        <f t="shared" si="5"/>
        <v/>
      </c>
    </row>
    <row r="271" spans="1:48" x14ac:dyDescent="0.45">
      <c r="A271" s="34" t="s">
        <v>298</v>
      </c>
      <c r="I271" s="18" t="s">
        <v>2473</v>
      </c>
      <c r="J271" s="18" t="s">
        <v>2473</v>
      </c>
      <c r="K271" s="18" t="s">
        <v>2473</v>
      </c>
      <c r="AU271" s="6"/>
      <c r="AV271" s="6" t="str">
        <f t="shared" si="5"/>
        <v/>
      </c>
    </row>
    <row r="272" spans="1:48" s="79" customFormat="1" x14ac:dyDescent="0.45">
      <c r="A272" s="75"/>
      <c r="B272" s="76"/>
      <c r="C272" s="77"/>
      <c r="D272" s="77"/>
      <c r="E272" s="77"/>
      <c r="F272" s="77"/>
      <c r="G272" s="77"/>
      <c r="H272" s="77"/>
      <c r="I272" s="77"/>
      <c r="J272" s="77"/>
      <c r="K272" s="77"/>
      <c r="L272" s="77"/>
      <c r="M272" s="148"/>
      <c r="N272" s="78"/>
      <c r="O272" s="78"/>
      <c r="P272" s="78"/>
      <c r="Q272" s="78"/>
      <c r="R272" s="78"/>
      <c r="S272" s="78"/>
      <c r="T272" s="78"/>
      <c r="U272" s="78"/>
      <c r="V272" s="78"/>
      <c r="W272" s="78"/>
      <c r="X272" s="78"/>
      <c r="Y272" s="148"/>
      <c r="Z272" s="78"/>
      <c r="AA272" s="78"/>
      <c r="AB272" s="78"/>
      <c r="AC272" s="78"/>
      <c r="AD272" s="78"/>
      <c r="AE272" s="156"/>
      <c r="AF272" s="156"/>
      <c r="AG272" s="78"/>
      <c r="AH272" s="78"/>
      <c r="AI272" s="78"/>
      <c r="AJ272" s="78"/>
      <c r="AK272" s="78"/>
      <c r="AL272" s="78"/>
      <c r="AM272" s="78"/>
      <c r="AN272" s="78"/>
      <c r="AO272" s="78"/>
      <c r="AP272" s="78"/>
      <c r="AQ272" s="78"/>
      <c r="AR272" s="286"/>
      <c r="AS272" s="78"/>
      <c r="AT272" s="78"/>
      <c r="AU272" s="8"/>
      <c r="AV272" s="6" t="str">
        <f t="shared" si="5"/>
        <v/>
      </c>
    </row>
    <row r="273" spans="1:48" x14ac:dyDescent="0.45">
      <c r="A273" s="27" t="s">
        <v>2395</v>
      </c>
      <c r="I273" s="18" t="s">
        <v>2473</v>
      </c>
      <c r="J273" s="18" t="s">
        <v>2473</v>
      </c>
      <c r="K273" s="18" t="s">
        <v>2473</v>
      </c>
      <c r="AU273" s="6"/>
      <c r="AV273" s="6" t="str">
        <f t="shared" si="5"/>
        <v/>
      </c>
    </row>
    <row r="274" spans="1:48" x14ac:dyDescent="0.45">
      <c r="A274" s="323" t="s">
        <v>299</v>
      </c>
      <c r="B274" s="324"/>
      <c r="C274" s="324"/>
      <c r="D274" s="324"/>
      <c r="E274" s="324"/>
      <c r="F274" s="324"/>
      <c r="G274" s="101"/>
      <c r="H274" s="101"/>
      <c r="I274" s="18" t="s">
        <v>2473</v>
      </c>
      <c r="J274" s="18" t="s">
        <v>2473</v>
      </c>
      <c r="K274" s="18" t="s">
        <v>2473</v>
      </c>
      <c r="AU274" s="6"/>
      <c r="AV274" s="6" t="str">
        <f t="shared" si="5"/>
        <v/>
      </c>
    </row>
    <row r="275" spans="1:48" x14ac:dyDescent="0.45">
      <c r="A275" s="323" t="s">
        <v>300</v>
      </c>
      <c r="B275" s="324"/>
      <c r="C275" s="324"/>
      <c r="D275" s="324"/>
      <c r="E275" s="324"/>
      <c r="F275" s="324"/>
      <c r="G275" s="101"/>
      <c r="H275" s="101"/>
      <c r="I275" s="18" t="s">
        <v>2473</v>
      </c>
      <c r="J275" s="18" t="s">
        <v>2473</v>
      </c>
      <c r="K275" s="18" t="s">
        <v>2473</v>
      </c>
      <c r="AU275" s="6"/>
      <c r="AV275" s="6" t="str">
        <f t="shared" ref="AV275:AV338" si="6">IF(A275&lt;&gt;"",IF(T275&lt;&gt;"",IF(LEFT(R275,3)="Has",IF(TRIM(A275)&lt;&gt;T275,"ERROR","OK"),""),""),"")</f>
        <v/>
      </c>
    </row>
    <row r="276" spans="1:48" s="79" customFormat="1" x14ac:dyDescent="0.45">
      <c r="A276" s="75"/>
      <c r="B276" s="76"/>
      <c r="C276" s="77"/>
      <c r="D276" s="77"/>
      <c r="E276" s="77"/>
      <c r="F276" s="77"/>
      <c r="G276" s="77"/>
      <c r="H276" s="77"/>
      <c r="I276" s="77"/>
      <c r="J276" s="77"/>
      <c r="K276" s="77"/>
      <c r="L276" s="77"/>
      <c r="M276" s="148"/>
      <c r="N276" s="78"/>
      <c r="O276" s="78"/>
      <c r="P276" s="78"/>
      <c r="Q276" s="78"/>
      <c r="R276" s="78"/>
      <c r="S276" s="78"/>
      <c r="T276" s="78"/>
      <c r="U276" s="78"/>
      <c r="V276" s="78"/>
      <c r="W276" s="78"/>
      <c r="X276" s="78"/>
      <c r="Y276" s="148"/>
      <c r="Z276" s="78"/>
      <c r="AA276" s="78"/>
      <c r="AB276" s="78"/>
      <c r="AC276" s="78"/>
      <c r="AD276" s="78"/>
      <c r="AE276" s="156"/>
      <c r="AF276" s="156"/>
      <c r="AG276" s="78"/>
      <c r="AH276" s="78"/>
      <c r="AI276" s="78"/>
      <c r="AJ276" s="78"/>
      <c r="AK276" s="78"/>
      <c r="AL276" s="78"/>
      <c r="AM276" s="78"/>
      <c r="AN276" s="78"/>
      <c r="AO276" s="78"/>
      <c r="AP276" s="78"/>
      <c r="AQ276" s="78"/>
      <c r="AR276" s="286"/>
      <c r="AS276" s="78"/>
      <c r="AT276" s="78"/>
      <c r="AU276" s="8"/>
      <c r="AV276" s="6" t="str">
        <f t="shared" si="6"/>
        <v/>
      </c>
    </row>
    <row r="277" spans="1:48" x14ac:dyDescent="0.45">
      <c r="A277" s="27" t="s">
        <v>2396</v>
      </c>
      <c r="I277" s="18" t="s">
        <v>2473</v>
      </c>
      <c r="J277" s="18" t="s">
        <v>2473</v>
      </c>
      <c r="K277" s="18" t="s">
        <v>2473</v>
      </c>
      <c r="AU277" s="6"/>
      <c r="AV277" s="6" t="str">
        <f t="shared" si="6"/>
        <v/>
      </c>
    </row>
    <row r="278" spans="1:48" x14ac:dyDescent="0.45">
      <c r="A278" s="323" t="s">
        <v>301</v>
      </c>
      <c r="B278" s="324"/>
      <c r="C278" s="324"/>
      <c r="D278" s="324"/>
      <c r="E278" s="324"/>
      <c r="F278" s="324"/>
      <c r="G278" s="101"/>
      <c r="H278" s="101"/>
      <c r="I278" s="18" t="s">
        <v>2473</v>
      </c>
      <c r="J278" s="18" t="s">
        <v>2473</v>
      </c>
      <c r="K278" s="18" t="s">
        <v>2473</v>
      </c>
      <c r="AU278" s="6"/>
      <c r="AV278" s="6" t="str">
        <f t="shared" si="6"/>
        <v/>
      </c>
    </row>
    <row r="279" spans="1:48" x14ac:dyDescent="0.45">
      <c r="A279" s="323" t="s">
        <v>302</v>
      </c>
      <c r="B279" s="324"/>
      <c r="C279" s="324"/>
      <c r="D279" s="324"/>
      <c r="E279" s="324"/>
      <c r="F279" s="324"/>
      <c r="G279" s="101"/>
      <c r="H279" s="101"/>
      <c r="I279" s="18" t="s">
        <v>2473</v>
      </c>
      <c r="J279" s="18" t="s">
        <v>2473</v>
      </c>
      <c r="K279" s="18" t="s">
        <v>2473</v>
      </c>
      <c r="AU279" s="6"/>
      <c r="AV279" s="6" t="str">
        <f t="shared" si="6"/>
        <v/>
      </c>
    </row>
    <row r="280" spans="1:48" s="79" customFormat="1" x14ac:dyDescent="0.45">
      <c r="A280" s="75"/>
      <c r="B280" s="76"/>
      <c r="C280" s="77"/>
      <c r="D280" s="77"/>
      <c r="E280" s="77"/>
      <c r="F280" s="77"/>
      <c r="G280" s="77"/>
      <c r="H280" s="77"/>
      <c r="I280" s="77"/>
      <c r="J280" s="77"/>
      <c r="K280" s="77"/>
      <c r="L280" s="77"/>
      <c r="M280" s="148"/>
      <c r="N280" s="78"/>
      <c r="O280" s="78"/>
      <c r="P280" s="78"/>
      <c r="Q280" s="78"/>
      <c r="R280" s="78"/>
      <c r="S280" s="78"/>
      <c r="T280" s="78"/>
      <c r="U280" s="78"/>
      <c r="V280" s="78"/>
      <c r="W280" s="78"/>
      <c r="X280" s="78"/>
      <c r="Y280" s="148"/>
      <c r="Z280" s="78"/>
      <c r="AA280" s="78"/>
      <c r="AB280" s="78"/>
      <c r="AC280" s="78"/>
      <c r="AD280" s="78"/>
      <c r="AE280" s="156"/>
      <c r="AF280" s="156"/>
      <c r="AG280" s="78"/>
      <c r="AH280" s="78"/>
      <c r="AI280" s="78"/>
      <c r="AJ280" s="78"/>
      <c r="AK280" s="78"/>
      <c r="AL280" s="78"/>
      <c r="AM280" s="78"/>
      <c r="AN280" s="78"/>
      <c r="AO280" s="78"/>
      <c r="AP280" s="78"/>
      <c r="AQ280" s="78"/>
      <c r="AR280" s="286"/>
      <c r="AS280" s="78"/>
      <c r="AT280" s="78"/>
      <c r="AU280" s="8"/>
      <c r="AV280" s="6" t="str">
        <f t="shared" si="6"/>
        <v/>
      </c>
    </row>
    <row r="281" spans="1:48" x14ac:dyDescent="0.45">
      <c r="A281" s="27" t="s">
        <v>2397</v>
      </c>
      <c r="I281" s="18" t="s">
        <v>2473</v>
      </c>
      <c r="J281" s="18" t="s">
        <v>2473</v>
      </c>
      <c r="K281" s="18" t="s">
        <v>2473</v>
      </c>
      <c r="AU281" s="6"/>
      <c r="AV281" s="6" t="str">
        <f t="shared" si="6"/>
        <v/>
      </c>
    </row>
    <row r="282" spans="1:48" x14ac:dyDescent="0.45">
      <c r="A282" s="323" t="s">
        <v>2491</v>
      </c>
      <c r="B282" s="324"/>
      <c r="C282" s="324"/>
      <c r="D282" s="324"/>
      <c r="E282" s="324"/>
      <c r="F282" s="324"/>
      <c r="G282" s="101"/>
      <c r="H282" s="101"/>
      <c r="I282" s="18" t="s">
        <v>2473</v>
      </c>
      <c r="J282" s="18" t="s">
        <v>2473</v>
      </c>
      <c r="K282" s="18" t="s">
        <v>2473</v>
      </c>
      <c r="AU282" s="6"/>
      <c r="AV282" s="6" t="str">
        <f t="shared" si="6"/>
        <v/>
      </c>
    </row>
    <row r="283" spans="1:48" ht="14.65" thickBot="1" x14ac:dyDescent="0.5">
      <c r="A283" s="28" t="s">
        <v>303</v>
      </c>
      <c r="I283" s="18" t="s">
        <v>2473</v>
      </c>
      <c r="J283" s="18" t="s">
        <v>2473</v>
      </c>
      <c r="K283" s="18" t="s">
        <v>2473</v>
      </c>
      <c r="AA283" s="183" t="s">
        <v>2322</v>
      </c>
      <c r="AB283" s="183" t="s">
        <v>1697</v>
      </c>
      <c r="AC283" s="183" t="s">
        <v>5</v>
      </c>
      <c r="AU283" s="6"/>
      <c r="AV283" s="6" t="str">
        <f t="shared" si="6"/>
        <v/>
      </c>
    </row>
    <row r="284" spans="1:48" ht="105" thickBot="1" x14ac:dyDescent="0.5">
      <c r="A284" s="309" t="s">
        <v>304</v>
      </c>
      <c r="B284" s="310"/>
      <c r="C284" s="301" t="s">
        <v>1</v>
      </c>
      <c r="D284" s="319"/>
      <c r="E284" s="319"/>
      <c r="F284" s="302"/>
      <c r="G284" s="102"/>
      <c r="H284" s="102"/>
      <c r="I284" s="18" t="s">
        <v>2473</v>
      </c>
      <c r="AA284" s="183" t="str">
        <f>LEFT($A284,FIND(" ",$A284)-1)</f>
        <v>MemoryMetrics</v>
      </c>
      <c r="AB284" s="183" t="str">
        <f>MID($A284,FIND("(",$A284)+1,LEN($A284)-FIND("(",$A284)-1)</f>
        <v>1.1.4</v>
      </c>
      <c r="AC284" s="101" t="str">
        <f>A282</f>
        <v>The MemoryMetrics resource contains usage and health statistics for a single Memory module or device instance.</v>
      </c>
      <c r="AU284" s="6"/>
      <c r="AV284" s="6" t="str">
        <f t="shared" si="6"/>
        <v/>
      </c>
    </row>
    <row r="285" spans="1:48" ht="14.65" thickBot="1" x14ac:dyDescent="0.5">
      <c r="A285" s="311"/>
      <c r="B285" s="312"/>
      <c r="C285" s="301" t="s">
        <v>2</v>
      </c>
      <c r="D285" s="302"/>
      <c r="E285" s="301" t="s">
        <v>3</v>
      </c>
      <c r="F285" s="302"/>
      <c r="G285" s="301" t="s">
        <v>2896</v>
      </c>
      <c r="H285" s="302"/>
      <c r="I285" s="18" t="s">
        <v>2473</v>
      </c>
      <c r="AA285" s="183" t="s">
        <v>2322</v>
      </c>
      <c r="AB285" s="183" t="s">
        <v>1697</v>
      </c>
      <c r="AC285" s="183" t="s">
        <v>5</v>
      </c>
      <c r="AU285" s="6"/>
      <c r="AV285" s="6" t="str">
        <f t="shared" si="6"/>
        <v/>
      </c>
    </row>
    <row r="286" spans="1:48" ht="105" thickBot="1" x14ac:dyDescent="0.5">
      <c r="A286" s="309" t="s">
        <v>3120</v>
      </c>
      <c r="B286" s="310"/>
      <c r="C286" s="301" t="s">
        <v>1</v>
      </c>
      <c r="D286" s="319"/>
      <c r="E286" s="319"/>
      <c r="F286" s="302"/>
      <c r="G286" s="102"/>
      <c r="H286" s="102"/>
      <c r="J286" s="18" t="s">
        <v>2473</v>
      </c>
      <c r="K286" s="18" t="s">
        <v>2473</v>
      </c>
      <c r="AA286" s="183" t="str">
        <f>LEFT($A286,FIND(" ",$A286)-1)</f>
        <v>MemoryMetrics</v>
      </c>
      <c r="AB286" s="183" t="str">
        <f>MID($A286,FIND("(",$A286)+1,LEN($A286)-FIND("(",$A286)-1)</f>
        <v>1.1.5</v>
      </c>
      <c r="AC286" s="101" t="str">
        <f>AC284</f>
        <v>The MemoryMetrics resource contains usage and health statistics for a single Memory module or device instance.</v>
      </c>
      <c r="AU286" s="6"/>
      <c r="AV286" s="6" t="str">
        <f t="shared" si="6"/>
        <v/>
      </c>
    </row>
    <row r="287" spans="1:48" ht="14.65" thickBot="1" x14ac:dyDescent="0.5">
      <c r="A287" s="311"/>
      <c r="B287" s="312"/>
      <c r="C287" s="301" t="s">
        <v>2</v>
      </c>
      <c r="D287" s="302"/>
      <c r="E287" s="301" t="s">
        <v>3</v>
      </c>
      <c r="F287" s="302"/>
      <c r="G287" s="301" t="s">
        <v>2896</v>
      </c>
      <c r="H287" s="302"/>
      <c r="J287" s="18" t="s">
        <v>2473</v>
      </c>
      <c r="K287" s="18" t="s">
        <v>2473</v>
      </c>
      <c r="AM287" s="8" t="str">
        <f>C287</f>
        <v>OSM-Redfish</v>
      </c>
      <c r="AN287" s="8" t="str">
        <f>E287</f>
        <v>OSM-RedfishBMC</v>
      </c>
      <c r="AO287" s="8" t="str">
        <f>G287</f>
        <v>OSM-RedfishDCN</v>
      </c>
      <c r="AU287" s="6"/>
      <c r="AV287" s="6" t="str">
        <f t="shared" si="6"/>
        <v/>
      </c>
    </row>
    <row r="288" spans="1:48" ht="14.65" thickBot="1" x14ac:dyDescent="0.5">
      <c r="A288" s="46" t="s">
        <v>2377</v>
      </c>
      <c r="B288" s="47"/>
      <c r="C288" s="303"/>
      <c r="D288" s="304"/>
      <c r="E288" s="303" t="s">
        <v>37</v>
      </c>
      <c r="F288" s="304"/>
      <c r="G288" s="303"/>
      <c r="H288" s="304"/>
      <c r="I288" s="18" t="s">
        <v>2473</v>
      </c>
      <c r="J288" s="18" t="s">
        <v>2473</v>
      </c>
      <c r="K288" s="18" t="s">
        <v>2473</v>
      </c>
      <c r="AM288" s="8" t="str">
        <f>IF(C288&lt;&gt;"","CRQ-P5-"&amp;(AM$2+$AP288*$AP$3),"")</f>
        <v/>
      </c>
      <c r="AN288" s="8" t="str">
        <f>IF(E288&lt;&gt;"","CRQ-P5-"&amp;(AN$2+$AP288*$AP$3),"")</f>
        <v>CRQ-P5-1420</v>
      </c>
      <c r="AO288" s="8" t="str">
        <f>IF(G288&lt;&gt;"","CRQ-P5-"&amp;(AO$2+$AP288*$AP$3),"")</f>
        <v/>
      </c>
      <c r="AP288" s="8">
        <v>30</v>
      </c>
      <c r="AU288" s="6"/>
      <c r="AV288" s="6" t="str">
        <f t="shared" si="6"/>
        <v/>
      </c>
    </row>
    <row r="289" spans="1:48" ht="14.65" thickBot="1" x14ac:dyDescent="0.5">
      <c r="A289" s="29" t="s">
        <v>3394</v>
      </c>
      <c r="B289" s="9"/>
      <c r="C289" s="305" t="str">
        <f>MID($A284,FIND("(",$A284)+1,5)</f>
        <v>1.1.4</v>
      </c>
      <c r="D289" s="306"/>
      <c r="E289" s="305" t="s">
        <v>3406</v>
      </c>
      <c r="F289" s="306"/>
      <c r="G289" s="305" t="str">
        <f>MID($A284,FIND("(",$A284)+1,5)</f>
        <v>1.1.4</v>
      </c>
      <c r="H289" s="306"/>
      <c r="I289" s="18" t="s">
        <v>2473</v>
      </c>
      <c r="J289" s="18" t="s">
        <v>2473</v>
      </c>
      <c r="K289" s="18" t="s">
        <v>2473</v>
      </c>
      <c r="AU289" s="6"/>
      <c r="AV289" s="6" t="str">
        <f t="shared" si="6"/>
        <v/>
      </c>
    </row>
    <row r="290" spans="1:48" ht="14.65" thickBot="1" x14ac:dyDescent="0.5">
      <c r="A290" s="30" t="s">
        <v>4</v>
      </c>
      <c r="B290" s="59" t="s">
        <v>5</v>
      </c>
      <c r="C290" s="7" t="s">
        <v>6</v>
      </c>
      <c r="D290" s="7" t="s">
        <v>7</v>
      </c>
      <c r="E290" s="7" t="s">
        <v>6</v>
      </c>
      <c r="F290" s="7" t="s">
        <v>7</v>
      </c>
      <c r="G290" s="7" t="s">
        <v>6</v>
      </c>
      <c r="H290" s="7" t="s">
        <v>7</v>
      </c>
      <c r="I290" s="18" t="s">
        <v>2473</v>
      </c>
      <c r="J290" s="18" t="s">
        <v>2473</v>
      </c>
      <c r="K290" s="18" t="s">
        <v>2473</v>
      </c>
      <c r="AU290" s="6"/>
      <c r="AV290" s="6" t="str">
        <f t="shared" si="6"/>
        <v/>
      </c>
    </row>
    <row r="291" spans="1:48" ht="14.65" thickBot="1" x14ac:dyDescent="0.5">
      <c r="A291" s="36" t="s">
        <v>8</v>
      </c>
      <c r="B291" s="3" t="s">
        <v>9</v>
      </c>
      <c r="C291" s="4"/>
      <c r="D291" s="4"/>
      <c r="E291" s="4" t="s">
        <v>13</v>
      </c>
      <c r="F291" s="4"/>
      <c r="G291" s="4"/>
      <c r="H291" s="4"/>
      <c r="I291" s="18" t="s">
        <v>2473</v>
      </c>
      <c r="J291" s="18" t="s">
        <v>2473</v>
      </c>
      <c r="K291" s="18" t="s">
        <v>2473</v>
      </c>
      <c r="AU291" s="6"/>
      <c r="AV291" s="6" t="str">
        <f t="shared" si="6"/>
        <v/>
      </c>
    </row>
    <row r="292" spans="1:48" ht="23.65" thickBot="1" x14ac:dyDescent="0.5">
      <c r="A292" s="35" t="s">
        <v>305</v>
      </c>
      <c r="B292" s="3" t="s">
        <v>306</v>
      </c>
      <c r="C292" s="4"/>
      <c r="D292" s="4"/>
      <c r="E292" s="4" t="s">
        <v>13</v>
      </c>
      <c r="F292" s="4"/>
      <c r="G292" s="4"/>
      <c r="H292" s="4"/>
      <c r="I292" s="18" t="s">
        <v>2473</v>
      </c>
      <c r="J292" s="18" t="s">
        <v>2473</v>
      </c>
      <c r="K292" s="18" t="s">
        <v>2473</v>
      </c>
      <c r="AU292" s="6"/>
      <c r="AV292" s="6" t="str">
        <f t="shared" si="6"/>
        <v/>
      </c>
    </row>
    <row r="293" spans="1:48" ht="14.65" thickBot="1" x14ac:dyDescent="0.5">
      <c r="A293" s="36" t="s">
        <v>307</v>
      </c>
      <c r="B293" s="3" t="s">
        <v>308</v>
      </c>
      <c r="C293" s="4"/>
      <c r="D293" s="4"/>
      <c r="E293" s="4" t="s">
        <v>10</v>
      </c>
      <c r="F293" s="4"/>
      <c r="G293" s="4"/>
      <c r="H293" s="4"/>
      <c r="I293" s="18" t="s">
        <v>2473</v>
      </c>
      <c r="J293" s="18" t="s">
        <v>2473</v>
      </c>
      <c r="K293" s="18" t="s">
        <v>2473</v>
      </c>
      <c r="AU293" s="6"/>
      <c r="AV293" s="6" t="str">
        <f t="shared" si="6"/>
        <v/>
      </c>
    </row>
    <row r="294" spans="1:48" ht="47.65" thickBot="1" x14ac:dyDescent="0.5">
      <c r="A294" s="36" t="s">
        <v>309</v>
      </c>
      <c r="B294" s="5" t="s">
        <v>310</v>
      </c>
      <c r="C294" s="4"/>
      <c r="D294" s="4"/>
      <c r="E294" s="4" t="s">
        <v>10</v>
      </c>
      <c r="F294" s="4"/>
      <c r="G294" s="4"/>
      <c r="H294" s="4"/>
      <c r="I294" s="18" t="s">
        <v>2473</v>
      </c>
      <c r="J294" s="18" t="s">
        <v>2473</v>
      </c>
      <c r="K294" s="18" t="s">
        <v>2473</v>
      </c>
      <c r="AS294" s="206" t="s">
        <v>5885</v>
      </c>
      <c r="AU294" s="6"/>
      <c r="AV294" s="6" t="str">
        <f t="shared" si="6"/>
        <v/>
      </c>
    </row>
    <row r="295" spans="1:48" ht="14.65" thickBot="1" x14ac:dyDescent="0.5">
      <c r="A295" s="35" t="s">
        <v>311</v>
      </c>
      <c r="B295" s="3" t="s">
        <v>312</v>
      </c>
      <c r="C295" s="4"/>
      <c r="D295" s="4"/>
      <c r="E295" s="4" t="s">
        <v>10</v>
      </c>
      <c r="F295" s="4"/>
      <c r="G295" s="4"/>
      <c r="H295" s="4"/>
      <c r="I295" s="18" t="s">
        <v>2473</v>
      </c>
      <c r="J295" s="18" t="s">
        <v>2473</v>
      </c>
      <c r="K295" s="18" t="s">
        <v>2473</v>
      </c>
      <c r="AU295" s="6"/>
      <c r="AV295" s="6" t="str">
        <f t="shared" si="6"/>
        <v/>
      </c>
    </row>
    <row r="296" spans="1:48" ht="14.65" thickBot="1" x14ac:dyDescent="0.5">
      <c r="A296" s="35" t="s">
        <v>313</v>
      </c>
      <c r="B296" s="3" t="s">
        <v>314</v>
      </c>
      <c r="C296" s="4"/>
      <c r="D296" s="4"/>
      <c r="E296" s="4" t="s">
        <v>10</v>
      </c>
      <c r="F296" s="4"/>
      <c r="G296" s="4"/>
      <c r="H296" s="4"/>
      <c r="I296" s="18" t="s">
        <v>2473</v>
      </c>
      <c r="J296" s="18" t="s">
        <v>2473</v>
      </c>
      <c r="K296" s="18" t="s">
        <v>2473</v>
      </c>
      <c r="AU296" s="6"/>
      <c r="AV296" s="6" t="str">
        <f t="shared" si="6"/>
        <v/>
      </c>
    </row>
    <row r="297" spans="1:48" ht="47.65" thickBot="1" x14ac:dyDescent="0.5">
      <c r="A297" s="36" t="s">
        <v>315</v>
      </c>
      <c r="B297" s="3" t="s">
        <v>316</v>
      </c>
      <c r="C297" s="4"/>
      <c r="D297" s="4"/>
      <c r="E297" s="4" t="s">
        <v>10</v>
      </c>
      <c r="F297" s="4"/>
      <c r="G297" s="4"/>
      <c r="H297" s="4"/>
      <c r="I297" s="18" t="s">
        <v>2473</v>
      </c>
      <c r="J297" s="18" t="s">
        <v>2473</v>
      </c>
      <c r="K297" s="18" t="s">
        <v>2473</v>
      </c>
      <c r="AS297" s="206" t="s">
        <v>5885</v>
      </c>
      <c r="AU297" s="6"/>
      <c r="AV297" s="6" t="str">
        <f t="shared" si="6"/>
        <v/>
      </c>
    </row>
    <row r="298" spans="1:48" ht="14.65" thickBot="1" x14ac:dyDescent="0.5">
      <c r="A298" s="35" t="s">
        <v>317</v>
      </c>
      <c r="B298" s="3" t="s">
        <v>318</v>
      </c>
      <c r="C298" s="4"/>
      <c r="D298" s="4"/>
      <c r="E298" s="4" t="s">
        <v>10</v>
      </c>
      <c r="F298" s="4"/>
      <c r="G298" s="4"/>
      <c r="H298" s="4"/>
      <c r="I298" s="18" t="s">
        <v>2473</v>
      </c>
      <c r="J298" s="18" t="s">
        <v>2473</v>
      </c>
      <c r="K298" s="18" t="s">
        <v>2473</v>
      </c>
      <c r="AU298" s="8"/>
      <c r="AV298" s="6" t="str">
        <f t="shared" si="6"/>
        <v/>
      </c>
    </row>
    <row r="299" spans="1:48" ht="36" thickBot="1" x14ac:dyDescent="0.5">
      <c r="A299" s="35" t="s">
        <v>5234</v>
      </c>
      <c r="B299" s="3" t="s">
        <v>319</v>
      </c>
      <c r="C299" s="4"/>
      <c r="D299" s="4"/>
      <c r="E299" s="4" t="s">
        <v>10</v>
      </c>
      <c r="F299" s="4"/>
      <c r="G299" s="4"/>
      <c r="H299" s="4"/>
      <c r="I299" s="18" t="s">
        <v>2473</v>
      </c>
      <c r="J299" s="18" t="s">
        <v>2473</v>
      </c>
      <c r="K299" s="18" t="s">
        <v>2473</v>
      </c>
      <c r="AU299" s="139" t="s">
        <v>5239</v>
      </c>
      <c r="AV299" s="6" t="str">
        <f t="shared" si="6"/>
        <v/>
      </c>
    </row>
    <row r="300" spans="1:48" ht="36" thickBot="1" x14ac:dyDescent="0.5">
      <c r="A300" s="35" t="s">
        <v>5235</v>
      </c>
      <c r="B300" s="3" t="s">
        <v>320</v>
      </c>
      <c r="C300" s="4"/>
      <c r="D300" s="4"/>
      <c r="E300" s="4" t="s">
        <v>10</v>
      </c>
      <c r="F300" s="4"/>
      <c r="G300" s="4"/>
      <c r="H300" s="4"/>
      <c r="I300" s="18" t="s">
        <v>2473</v>
      </c>
      <c r="J300" s="18" t="s">
        <v>2473</v>
      </c>
      <c r="K300" s="18" t="s">
        <v>2473</v>
      </c>
      <c r="AU300" s="139" t="s">
        <v>5239</v>
      </c>
      <c r="AV300" s="6" t="str">
        <f t="shared" si="6"/>
        <v/>
      </c>
    </row>
    <row r="301" spans="1:48" ht="36" thickBot="1" x14ac:dyDescent="0.5">
      <c r="A301" s="35" t="s">
        <v>5236</v>
      </c>
      <c r="B301" s="3" t="s">
        <v>321</v>
      </c>
      <c r="C301" s="4"/>
      <c r="D301" s="4"/>
      <c r="E301" s="4" t="s">
        <v>10</v>
      </c>
      <c r="F301" s="4"/>
      <c r="G301" s="4"/>
      <c r="H301" s="4"/>
      <c r="I301" s="18" t="s">
        <v>2473</v>
      </c>
      <c r="J301" s="18" t="s">
        <v>2473</v>
      </c>
      <c r="K301" s="18" t="s">
        <v>2473</v>
      </c>
      <c r="AU301" s="139" t="s">
        <v>5239</v>
      </c>
      <c r="AV301" s="6" t="str">
        <f t="shared" si="6"/>
        <v/>
      </c>
    </row>
    <row r="302" spans="1:48" ht="36" thickBot="1" x14ac:dyDescent="0.5">
      <c r="A302" s="35" t="s">
        <v>5237</v>
      </c>
      <c r="B302" s="3" t="s">
        <v>322</v>
      </c>
      <c r="C302" s="4"/>
      <c r="D302" s="4"/>
      <c r="E302" s="4" t="s">
        <v>10</v>
      </c>
      <c r="F302" s="4"/>
      <c r="G302" s="4"/>
      <c r="H302" s="4"/>
      <c r="I302" s="18" t="s">
        <v>2473</v>
      </c>
      <c r="J302" s="18" t="s">
        <v>2473</v>
      </c>
      <c r="K302" s="18" t="s">
        <v>2473</v>
      </c>
      <c r="AU302" s="139" t="s">
        <v>5239</v>
      </c>
      <c r="AV302" s="6" t="str">
        <f t="shared" si="6"/>
        <v/>
      </c>
    </row>
    <row r="303" spans="1:48" ht="14.65" thickBot="1" x14ac:dyDescent="0.5">
      <c r="A303" s="35" t="s">
        <v>5238</v>
      </c>
      <c r="B303" s="3" t="s">
        <v>323</v>
      </c>
      <c r="C303" s="4"/>
      <c r="D303" s="4"/>
      <c r="E303" s="4" t="s">
        <v>10</v>
      </c>
      <c r="F303" s="4"/>
      <c r="G303" s="4"/>
      <c r="H303" s="4"/>
      <c r="I303" s="18" t="s">
        <v>2473</v>
      </c>
      <c r="J303" s="18" t="s">
        <v>2473</v>
      </c>
      <c r="K303" s="18" t="s">
        <v>2473</v>
      </c>
      <c r="AU303" s="6"/>
      <c r="AV303" s="6" t="str">
        <f t="shared" si="6"/>
        <v/>
      </c>
    </row>
    <row r="304" spans="1:48" ht="36" thickBot="1" x14ac:dyDescent="0.5">
      <c r="A304" s="35" t="s">
        <v>324</v>
      </c>
      <c r="B304" s="3" t="s">
        <v>325</v>
      </c>
      <c r="C304" s="4"/>
      <c r="D304" s="4"/>
      <c r="E304" s="4" t="s">
        <v>10</v>
      </c>
      <c r="F304" s="4"/>
      <c r="G304" s="4"/>
      <c r="H304" s="4"/>
      <c r="I304" s="18" t="s">
        <v>2473</v>
      </c>
      <c r="J304" s="18" t="s">
        <v>2473</v>
      </c>
      <c r="K304" s="18" t="s">
        <v>2473</v>
      </c>
      <c r="AU304" s="139" t="s">
        <v>5239</v>
      </c>
      <c r="AV304" s="6" t="str">
        <f t="shared" si="6"/>
        <v/>
      </c>
    </row>
    <row r="305" spans="1:48" ht="14.65" thickBot="1" x14ac:dyDescent="0.5">
      <c r="A305" s="35" t="s">
        <v>326</v>
      </c>
      <c r="B305" s="3" t="s">
        <v>327</v>
      </c>
      <c r="C305" s="4"/>
      <c r="D305" s="4"/>
      <c r="E305" s="4" t="s">
        <v>10</v>
      </c>
      <c r="F305" s="4"/>
      <c r="G305" s="4"/>
      <c r="H305" s="4"/>
      <c r="I305" s="18" t="s">
        <v>2473</v>
      </c>
      <c r="J305" s="18" t="s">
        <v>2473</v>
      </c>
      <c r="K305" s="18" t="s">
        <v>2473</v>
      </c>
      <c r="AU305" s="6"/>
      <c r="AV305" s="6" t="str">
        <f t="shared" si="6"/>
        <v/>
      </c>
    </row>
    <row r="306" spans="1:48" ht="14.65" thickBot="1" x14ac:dyDescent="0.5">
      <c r="A306" s="35" t="s">
        <v>328</v>
      </c>
      <c r="B306" s="3" t="s">
        <v>329</v>
      </c>
      <c r="C306" s="4"/>
      <c r="D306" s="4"/>
      <c r="E306" s="4" t="s">
        <v>10</v>
      </c>
      <c r="F306" s="4"/>
      <c r="G306" s="4"/>
      <c r="H306" s="4"/>
      <c r="I306" s="18" t="s">
        <v>2473</v>
      </c>
      <c r="J306" s="18" t="s">
        <v>2473</v>
      </c>
      <c r="K306" s="18" t="s">
        <v>2473</v>
      </c>
      <c r="AU306" s="6"/>
      <c r="AV306" s="6" t="str">
        <f t="shared" si="6"/>
        <v/>
      </c>
    </row>
    <row r="307" spans="1:48" ht="23.65" thickBot="1" x14ac:dyDescent="0.5">
      <c r="A307" s="35" t="s">
        <v>330</v>
      </c>
      <c r="B307" s="3" t="s">
        <v>331</v>
      </c>
      <c r="C307" s="4"/>
      <c r="D307" s="4"/>
      <c r="E307" s="4" t="s">
        <v>10</v>
      </c>
      <c r="F307" s="4"/>
      <c r="G307" s="4"/>
      <c r="H307" s="4"/>
      <c r="I307" s="18" t="s">
        <v>2473</v>
      </c>
      <c r="J307" s="18" t="s">
        <v>2473</v>
      </c>
      <c r="K307" s="18" t="s">
        <v>2473</v>
      </c>
      <c r="AU307" s="6"/>
      <c r="AV307" s="6" t="str">
        <f t="shared" si="6"/>
        <v/>
      </c>
    </row>
    <row r="308" spans="1:48" ht="14.65" thickBot="1" x14ac:dyDescent="0.5">
      <c r="A308" s="35" t="s">
        <v>332</v>
      </c>
      <c r="B308" s="3" t="s">
        <v>333</v>
      </c>
      <c r="C308" s="4"/>
      <c r="D308" s="4"/>
      <c r="E308" s="4" t="s">
        <v>10</v>
      </c>
      <c r="F308" s="4"/>
      <c r="G308" s="4"/>
      <c r="H308" s="4"/>
      <c r="I308" s="18" t="s">
        <v>2473</v>
      </c>
      <c r="J308" s="18" t="s">
        <v>2473</v>
      </c>
      <c r="K308" s="18" t="s">
        <v>2473</v>
      </c>
      <c r="AU308" s="6"/>
      <c r="AV308" s="6" t="str">
        <f t="shared" si="6"/>
        <v/>
      </c>
    </row>
    <row r="309" spans="1:48" ht="47.65" thickBot="1" x14ac:dyDescent="0.5">
      <c r="A309" s="36" t="s">
        <v>334</v>
      </c>
      <c r="B309" s="3" t="s">
        <v>335</v>
      </c>
      <c r="C309" s="4"/>
      <c r="D309" s="4"/>
      <c r="E309" s="4" t="s">
        <v>10</v>
      </c>
      <c r="F309" s="4"/>
      <c r="G309" s="4"/>
      <c r="H309" s="4"/>
      <c r="I309" s="18" t="s">
        <v>2473</v>
      </c>
      <c r="J309" s="18" t="s">
        <v>2473</v>
      </c>
      <c r="K309" s="18" t="s">
        <v>2473</v>
      </c>
      <c r="AS309" s="206" t="s">
        <v>5885</v>
      </c>
      <c r="AU309" s="6"/>
      <c r="AV309" s="6" t="str">
        <f t="shared" si="6"/>
        <v/>
      </c>
    </row>
    <row r="310" spans="1:48" ht="14.65" thickBot="1" x14ac:dyDescent="0.5">
      <c r="A310" s="35" t="s">
        <v>311</v>
      </c>
      <c r="B310" s="3" t="s">
        <v>336</v>
      </c>
      <c r="C310" s="4"/>
      <c r="D310" s="4"/>
      <c r="E310" s="4" t="s">
        <v>10</v>
      </c>
      <c r="F310" s="4"/>
      <c r="G310" s="4"/>
      <c r="H310" s="4"/>
      <c r="I310" s="18" t="s">
        <v>2473</v>
      </c>
      <c r="J310" s="18" t="s">
        <v>2473</v>
      </c>
      <c r="K310" s="18" t="s">
        <v>2473</v>
      </c>
      <c r="AU310" s="6"/>
      <c r="AV310" s="6" t="str">
        <f t="shared" si="6"/>
        <v/>
      </c>
    </row>
    <row r="311" spans="1:48" ht="14.65" thickBot="1" x14ac:dyDescent="0.5">
      <c r="A311" s="35" t="s">
        <v>313</v>
      </c>
      <c r="B311" s="3" t="s">
        <v>337</v>
      </c>
      <c r="C311" s="4"/>
      <c r="D311" s="4"/>
      <c r="E311" s="4" t="s">
        <v>10</v>
      </c>
      <c r="F311" s="4"/>
      <c r="G311" s="4"/>
      <c r="H311" s="4"/>
      <c r="I311" s="18" t="s">
        <v>2473</v>
      </c>
      <c r="J311" s="18" t="s">
        <v>2473</v>
      </c>
      <c r="K311" s="18" t="s">
        <v>2473</v>
      </c>
      <c r="AU311" s="6"/>
      <c r="AV311" s="6" t="str">
        <f t="shared" si="6"/>
        <v/>
      </c>
    </row>
    <row r="312" spans="1:48" x14ac:dyDescent="0.45">
      <c r="A312" s="33" t="s">
        <v>338</v>
      </c>
      <c r="I312" s="18" t="s">
        <v>2473</v>
      </c>
      <c r="J312" s="18" t="s">
        <v>2473</v>
      </c>
      <c r="K312" s="18" t="s">
        <v>2473</v>
      </c>
      <c r="AU312" s="6"/>
      <c r="AV312" s="6" t="str">
        <f t="shared" si="6"/>
        <v/>
      </c>
    </row>
    <row r="313" spans="1:48" x14ac:dyDescent="0.45">
      <c r="A313" s="34" t="s">
        <v>339</v>
      </c>
      <c r="I313" s="18" t="s">
        <v>2473</v>
      </c>
      <c r="J313" s="18" t="s">
        <v>2473</v>
      </c>
      <c r="K313" s="18" t="s">
        <v>2473</v>
      </c>
      <c r="AU313" s="6"/>
      <c r="AV313" s="6" t="str">
        <f t="shared" si="6"/>
        <v/>
      </c>
    </row>
    <row r="314" spans="1:48" s="79" customFormat="1" x14ac:dyDescent="0.45">
      <c r="A314" s="75"/>
      <c r="B314" s="76"/>
      <c r="C314" s="77"/>
      <c r="D314" s="77"/>
      <c r="E314" s="77"/>
      <c r="F314" s="77"/>
      <c r="G314" s="77"/>
      <c r="H314" s="77"/>
      <c r="I314" s="77"/>
      <c r="J314" s="77"/>
      <c r="K314" s="77"/>
      <c r="L314" s="77"/>
      <c r="M314" s="148"/>
      <c r="N314" s="78"/>
      <c r="O314" s="78"/>
      <c r="P314" s="78"/>
      <c r="Q314" s="78"/>
      <c r="R314" s="78"/>
      <c r="S314" s="78"/>
      <c r="T314" s="78"/>
      <c r="U314" s="78"/>
      <c r="V314" s="78"/>
      <c r="W314" s="78"/>
      <c r="X314" s="78"/>
      <c r="Y314" s="148"/>
      <c r="Z314" s="78"/>
      <c r="AA314" s="78"/>
      <c r="AB314" s="78"/>
      <c r="AC314" s="78"/>
      <c r="AD314" s="78"/>
      <c r="AE314" s="156"/>
      <c r="AF314" s="156"/>
      <c r="AG314" s="78"/>
      <c r="AH314" s="78"/>
      <c r="AI314" s="78"/>
      <c r="AJ314" s="78"/>
      <c r="AK314" s="78"/>
      <c r="AL314" s="78"/>
      <c r="AM314" s="78"/>
      <c r="AN314" s="78"/>
      <c r="AO314" s="78"/>
      <c r="AP314" s="78"/>
      <c r="AQ314" s="78"/>
      <c r="AR314" s="286"/>
      <c r="AS314" s="78"/>
      <c r="AT314" s="78"/>
      <c r="AU314" s="8"/>
      <c r="AV314" s="6" t="str">
        <f t="shared" si="6"/>
        <v/>
      </c>
    </row>
    <row r="315" spans="1:48" x14ac:dyDescent="0.45">
      <c r="A315" s="27" t="s">
        <v>2398</v>
      </c>
      <c r="I315" s="18" t="s">
        <v>2473</v>
      </c>
      <c r="J315" s="18" t="s">
        <v>2473</v>
      </c>
      <c r="K315" s="18" t="s">
        <v>2473</v>
      </c>
      <c r="AU315" s="6"/>
      <c r="AV315" s="6" t="str">
        <f t="shared" si="6"/>
        <v/>
      </c>
    </row>
    <row r="316" spans="1:48" x14ac:dyDescent="0.45">
      <c r="A316" s="323" t="s">
        <v>2492</v>
      </c>
      <c r="B316" s="324"/>
      <c r="C316" s="324"/>
      <c r="D316" s="324"/>
      <c r="E316" s="324"/>
      <c r="F316" s="324"/>
      <c r="G316" s="101"/>
      <c r="H316" s="101"/>
      <c r="I316" s="18" t="s">
        <v>2473</v>
      </c>
      <c r="J316" s="18" t="s">
        <v>2473</v>
      </c>
      <c r="K316" s="18" t="s">
        <v>2473</v>
      </c>
      <c r="AU316" s="6"/>
      <c r="AV316" s="6" t="str">
        <f t="shared" si="6"/>
        <v/>
      </c>
    </row>
    <row r="317" spans="1:48" ht="14.65" thickBot="1" x14ac:dyDescent="0.5">
      <c r="A317" s="28" t="s">
        <v>340</v>
      </c>
      <c r="I317" s="18" t="s">
        <v>2473</v>
      </c>
      <c r="J317" s="18" t="s">
        <v>2473</v>
      </c>
      <c r="K317" s="18" t="s">
        <v>2473</v>
      </c>
      <c r="AA317" s="183" t="s">
        <v>2322</v>
      </c>
      <c r="AB317" s="183" t="s">
        <v>1697</v>
      </c>
      <c r="AC317" s="183" t="s">
        <v>5</v>
      </c>
      <c r="AU317" s="6"/>
      <c r="AV317" s="6" t="str">
        <f t="shared" si="6"/>
        <v/>
      </c>
    </row>
    <row r="318" spans="1:48" ht="81.75" thickBot="1" x14ac:dyDescent="0.5">
      <c r="A318" s="309" t="s">
        <v>341</v>
      </c>
      <c r="B318" s="310"/>
      <c r="C318" s="301" t="s">
        <v>1</v>
      </c>
      <c r="D318" s="319"/>
      <c r="E318" s="319"/>
      <c r="F318" s="302"/>
      <c r="G318" s="102"/>
      <c r="H318" s="102"/>
      <c r="I318" s="18" t="s">
        <v>2473</v>
      </c>
      <c r="AA318" s="183" t="str">
        <f>LEFT($A318,FIND(" ",$A318)-1)</f>
        <v>PCIeFunction</v>
      </c>
      <c r="AB318" s="183" t="str">
        <f>MID($A318,FIND("(",$A318)+1,LEN($A318)-FIND("(",$A318)-1)</f>
        <v>1.2.1</v>
      </c>
      <c r="AC318" s="101" t="str">
        <f>A316</f>
        <v>The PCIeFunction represents the properties of a PCIeFunction attached to a system.</v>
      </c>
      <c r="AU318" s="6"/>
      <c r="AV318" s="6" t="str">
        <f t="shared" si="6"/>
        <v/>
      </c>
    </row>
    <row r="319" spans="1:48" ht="14.65" thickBot="1" x14ac:dyDescent="0.5">
      <c r="A319" s="311"/>
      <c r="B319" s="312"/>
      <c r="C319" s="301" t="s">
        <v>2</v>
      </c>
      <c r="D319" s="302"/>
      <c r="E319" s="301" t="s">
        <v>3</v>
      </c>
      <c r="F319" s="302"/>
      <c r="G319" s="301" t="s">
        <v>2896</v>
      </c>
      <c r="H319" s="302"/>
      <c r="I319" s="18" t="s">
        <v>2473</v>
      </c>
      <c r="AA319" s="183" t="s">
        <v>2322</v>
      </c>
      <c r="AB319" s="183" t="s">
        <v>1697</v>
      </c>
      <c r="AC319" s="183" t="s">
        <v>5</v>
      </c>
      <c r="AU319" s="6"/>
      <c r="AV319" s="6" t="str">
        <f t="shared" si="6"/>
        <v/>
      </c>
    </row>
    <row r="320" spans="1:48" ht="81.75" thickBot="1" x14ac:dyDescent="0.5">
      <c r="A320" s="309" t="s">
        <v>3098</v>
      </c>
      <c r="B320" s="310"/>
      <c r="C320" s="301" t="s">
        <v>1</v>
      </c>
      <c r="D320" s="319"/>
      <c r="E320" s="319"/>
      <c r="F320" s="302"/>
      <c r="G320" s="102"/>
      <c r="H320" s="102"/>
      <c r="J320" s="18" t="s">
        <v>2473</v>
      </c>
      <c r="K320" s="18" t="s">
        <v>2473</v>
      </c>
      <c r="AA320" s="183" t="str">
        <f>LEFT($A320,FIND(" ",$A320)-1)</f>
        <v>PCIeFunction</v>
      </c>
      <c r="AB320" s="183" t="str">
        <f>MID($A320,FIND("(",$A320)+1,LEN($A320)-FIND("(",$A320)-1)</f>
        <v>1.2.2</v>
      </c>
      <c r="AC320" s="101" t="str">
        <f>AC318</f>
        <v>The PCIeFunction represents the properties of a PCIeFunction attached to a system.</v>
      </c>
      <c r="AU320" s="6"/>
      <c r="AV320" s="6" t="str">
        <f t="shared" si="6"/>
        <v/>
      </c>
    </row>
    <row r="321" spans="1:48" ht="14.65" thickBot="1" x14ac:dyDescent="0.5">
      <c r="A321" s="311"/>
      <c r="B321" s="312"/>
      <c r="C321" s="301" t="s">
        <v>2</v>
      </c>
      <c r="D321" s="302"/>
      <c r="E321" s="301" t="s">
        <v>3</v>
      </c>
      <c r="F321" s="302"/>
      <c r="G321" s="301" t="s">
        <v>2896</v>
      </c>
      <c r="H321" s="302"/>
      <c r="J321" s="18" t="s">
        <v>2473</v>
      </c>
      <c r="K321" s="18" t="s">
        <v>2473</v>
      </c>
      <c r="AM321" s="8" t="str">
        <f>C321</f>
        <v>OSM-Redfish</v>
      </c>
      <c r="AN321" s="8" t="str">
        <f>E321</f>
        <v>OSM-RedfishBMC</v>
      </c>
      <c r="AO321" s="8" t="str">
        <f>G321</f>
        <v>OSM-RedfishDCN</v>
      </c>
      <c r="AU321" s="6"/>
      <c r="AV321" s="6" t="str">
        <f t="shared" si="6"/>
        <v/>
      </c>
    </row>
    <row r="322" spans="1:48" ht="14.65" thickBot="1" x14ac:dyDescent="0.5">
      <c r="A322" s="46" t="s">
        <v>2377</v>
      </c>
      <c r="B322" s="47"/>
      <c r="C322" s="303" t="s">
        <v>37</v>
      </c>
      <c r="D322" s="304"/>
      <c r="E322" s="303" t="s">
        <v>37</v>
      </c>
      <c r="F322" s="304"/>
      <c r="G322" s="303" t="s">
        <v>37</v>
      </c>
      <c r="H322" s="304"/>
      <c r="I322" s="18" t="s">
        <v>2473</v>
      </c>
      <c r="J322" s="18" t="s">
        <v>2473</v>
      </c>
      <c r="K322" s="18" t="s">
        <v>2473</v>
      </c>
      <c r="AM322" s="8" t="str">
        <f>IF(C322&lt;&gt;"","CRQ-P5-"&amp;(AM$2+$AP322*$AP$3),"")</f>
        <v>CRQ-P5-1176</v>
      </c>
      <c r="AN322" s="8" t="str">
        <f>IF(E322&lt;&gt;"","CRQ-P5-"&amp;(AN$2+$AP322*$AP$3),"")</f>
        <v>CRQ-P5-1476</v>
      </c>
      <c r="AO322" s="8" t="str">
        <f>IF(G322&lt;&gt;"","CRQ-P5-"&amp;(AO$2+$AP322*$AP$3),"")</f>
        <v>CRQ-P5-1776</v>
      </c>
      <c r="AP322" s="8">
        <v>44</v>
      </c>
      <c r="AU322" s="6"/>
      <c r="AV322" s="6" t="str">
        <f t="shared" si="6"/>
        <v/>
      </c>
    </row>
    <row r="323" spans="1:48" ht="14.65" thickBot="1" x14ac:dyDescent="0.5">
      <c r="A323" s="29" t="s">
        <v>3394</v>
      </c>
      <c r="B323" s="9"/>
      <c r="C323" s="305" t="str">
        <f>MID($A318,FIND("(",$A318)+1,5)</f>
        <v>1.2.1</v>
      </c>
      <c r="D323" s="306"/>
      <c r="E323" s="305" t="s">
        <v>3407</v>
      </c>
      <c r="F323" s="306"/>
      <c r="G323" s="305" t="str">
        <f>MID($A318,FIND("(",$A318)+1,5)</f>
        <v>1.2.1</v>
      </c>
      <c r="H323" s="306"/>
      <c r="I323" s="18" t="s">
        <v>2473</v>
      </c>
      <c r="J323" s="18" t="s">
        <v>2473</v>
      </c>
      <c r="K323" s="18" t="s">
        <v>2473</v>
      </c>
      <c r="AU323" s="6"/>
      <c r="AV323" s="6" t="str">
        <f t="shared" si="6"/>
        <v/>
      </c>
    </row>
    <row r="324" spans="1:48" ht="14.65" thickBot="1" x14ac:dyDescent="0.5">
      <c r="A324" s="30" t="s">
        <v>4</v>
      </c>
      <c r="B324" s="59" t="s">
        <v>5</v>
      </c>
      <c r="C324" s="7" t="s">
        <v>6</v>
      </c>
      <c r="D324" s="7" t="s">
        <v>7</v>
      </c>
      <c r="E324" s="7" t="s">
        <v>6</v>
      </c>
      <c r="F324" s="7" t="s">
        <v>7</v>
      </c>
      <c r="G324" s="7" t="s">
        <v>6</v>
      </c>
      <c r="H324" s="7" t="s">
        <v>7</v>
      </c>
      <c r="I324" s="18" t="s">
        <v>2473</v>
      </c>
      <c r="J324" s="18" t="s">
        <v>2473</v>
      </c>
      <c r="K324" s="18" t="s">
        <v>2473</v>
      </c>
      <c r="AU324" s="6"/>
      <c r="AV324" s="6" t="str">
        <f t="shared" si="6"/>
        <v/>
      </c>
    </row>
    <row r="325" spans="1:48" ht="14.65" thickBot="1" x14ac:dyDescent="0.5">
      <c r="A325" s="36" t="s">
        <v>8</v>
      </c>
      <c r="B325" s="3" t="s">
        <v>9</v>
      </c>
      <c r="C325" s="4"/>
      <c r="D325" s="4"/>
      <c r="E325" s="4"/>
      <c r="F325" s="4"/>
      <c r="G325" s="4"/>
      <c r="H325" s="4"/>
      <c r="I325" s="18" t="s">
        <v>2473</v>
      </c>
      <c r="J325" s="18" t="s">
        <v>2473</v>
      </c>
      <c r="K325" s="18" t="s">
        <v>2473</v>
      </c>
      <c r="AU325" s="6"/>
      <c r="AV325" s="6" t="str">
        <f t="shared" si="6"/>
        <v/>
      </c>
    </row>
    <row r="326" spans="1:48" ht="14.65" thickBot="1" x14ac:dyDescent="0.5">
      <c r="A326" s="36" t="s">
        <v>342</v>
      </c>
      <c r="B326" s="3" t="s">
        <v>343</v>
      </c>
      <c r="C326" s="4" t="s">
        <v>10</v>
      </c>
      <c r="D326" s="4"/>
      <c r="E326" s="4" t="s">
        <v>10</v>
      </c>
      <c r="F326" s="4"/>
      <c r="G326" s="4" t="s">
        <v>10</v>
      </c>
      <c r="H326" s="4"/>
      <c r="I326" s="18" t="s">
        <v>2473</v>
      </c>
      <c r="J326" s="18" t="s">
        <v>2473</v>
      </c>
      <c r="K326" s="18" t="s">
        <v>2473</v>
      </c>
      <c r="AU326" s="6"/>
      <c r="AV326" s="6" t="str">
        <f t="shared" si="6"/>
        <v/>
      </c>
    </row>
    <row r="327" spans="1:48" ht="14.65" thickBot="1" x14ac:dyDescent="0.5">
      <c r="A327" s="36" t="s">
        <v>344</v>
      </c>
      <c r="B327" s="3" t="s">
        <v>345</v>
      </c>
      <c r="C327" s="4" t="s">
        <v>10</v>
      </c>
      <c r="D327" s="4"/>
      <c r="E327" s="4" t="s">
        <v>10</v>
      </c>
      <c r="F327" s="4"/>
      <c r="G327" s="4" t="s">
        <v>10</v>
      </c>
      <c r="H327" s="4"/>
      <c r="I327" s="18" t="s">
        <v>2473</v>
      </c>
      <c r="J327" s="18" t="s">
        <v>2473</v>
      </c>
      <c r="K327" s="18" t="s">
        <v>2473</v>
      </c>
      <c r="AU327" s="6"/>
      <c r="AV327" s="6" t="str">
        <f t="shared" si="6"/>
        <v/>
      </c>
    </row>
    <row r="328" spans="1:48" ht="14.65" thickBot="1" x14ac:dyDescent="0.5">
      <c r="A328" s="36" t="s">
        <v>346</v>
      </c>
      <c r="B328" s="3" t="s">
        <v>347</v>
      </c>
      <c r="C328" s="4" t="s">
        <v>10</v>
      </c>
      <c r="D328" s="4"/>
      <c r="E328" s="4" t="s">
        <v>10</v>
      </c>
      <c r="F328" s="4"/>
      <c r="G328" s="4" t="s">
        <v>10</v>
      </c>
      <c r="H328" s="4"/>
      <c r="I328" s="18" t="s">
        <v>2473</v>
      </c>
      <c r="J328" s="18" t="s">
        <v>2473</v>
      </c>
      <c r="K328" s="18" t="s">
        <v>2473</v>
      </c>
      <c r="AU328" s="6"/>
      <c r="AV328" s="6" t="str">
        <f t="shared" si="6"/>
        <v/>
      </c>
    </row>
    <row r="329" spans="1:48" ht="14.65" thickBot="1" x14ac:dyDescent="0.5">
      <c r="A329" s="36" t="s">
        <v>348</v>
      </c>
      <c r="B329" s="3" t="s">
        <v>349</v>
      </c>
      <c r="C329" s="4" t="s">
        <v>10</v>
      </c>
      <c r="D329" s="4"/>
      <c r="E329" s="4" t="s">
        <v>10</v>
      </c>
      <c r="F329" s="4"/>
      <c r="G329" s="4" t="s">
        <v>10</v>
      </c>
      <c r="H329" s="4"/>
      <c r="I329" s="18" t="s">
        <v>2473</v>
      </c>
      <c r="J329" s="18" t="s">
        <v>2473</v>
      </c>
      <c r="K329" s="18" t="s">
        <v>2473</v>
      </c>
      <c r="AU329" s="6"/>
      <c r="AV329" s="6" t="str">
        <f t="shared" si="6"/>
        <v/>
      </c>
    </row>
    <row r="330" spans="1:48" ht="14.65" thickBot="1" x14ac:dyDescent="0.5">
      <c r="A330" s="36" t="s">
        <v>350</v>
      </c>
      <c r="B330" s="3" t="s">
        <v>351</v>
      </c>
      <c r="C330" s="4" t="s">
        <v>10</v>
      </c>
      <c r="D330" s="4"/>
      <c r="E330" s="4" t="s">
        <v>10</v>
      </c>
      <c r="F330" s="4"/>
      <c r="G330" s="4" t="s">
        <v>10</v>
      </c>
      <c r="H330" s="4"/>
      <c r="I330" s="18" t="s">
        <v>2473</v>
      </c>
      <c r="J330" s="18" t="s">
        <v>2473</v>
      </c>
      <c r="K330" s="18" t="s">
        <v>2473</v>
      </c>
      <c r="AU330" s="6"/>
      <c r="AV330" s="6" t="str">
        <f t="shared" si="6"/>
        <v/>
      </c>
    </row>
    <row r="331" spans="1:48" ht="47.65" thickBot="1" x14ac:dyDescent="0.5">
      <c r="A331" s="36" t="s">
        <v>75</v>
      </c>
      <c r="B331" s="3" t="s">
        <v>352</v>
      </c>
      <c r="C331" s="4" t="s">
        <v>10</v>
      </c>
      <c r="D331" s="4"/>
      <c r="E331" s="4" t="s">
        <v>10</v>
      </c>
      <c r="F331" s="4"/>
      <c r="G331" s="4" t="s">
        <v>10</v>
      </c>
      <c r="H331" s="4"/>
      <c r="I331" s="18" t="s">
        <v>2473</v>
      </c>
      <c r="J331" s="18" t="s">
        <v>2473</v>
      </c>
      <c r="K331" s="18" t="s">
        <v>2473</v>
      </c>
      <c r="AS331" s="206" t="s">
        <v>5860</v>
      </c>
      <c r="AU331" s="6"/>
      <c r="AV331" s="6" t="str">
        <f t="shared" si="6"/>
        <v/>
      </c>
    </row>
    <row r="332" spans="1:48" ht="14.65" thickBot="1" x14ac:dyDescent="0.5">
      <c r="A332" s="35" t="s">
        <v>353</v>
      </c>
      <c r="B332" s="3" t="s">
        <v>354</v>
      </c>
      <c r="C332" s="4" t="s">
        <v>37</v>
      </c>
      <c r="D332" s="4"/>
      <c r="E332" s="4" t="s">
        <v>37</v>
      </c>
      <c r="F332" s="4"/>
      <c r="G332" s="4" t="s">
        <v>37</v>
      </c>
      <c r="H332" s="4"/>
      <c r="I332" s="18" t="s">
        <v>2473</v>
      </c>
      <c r="J332" s="18" t="s">
        <v>2473</v>
      </c>
      <c r="K332" s="18" t="s">
        <v>2473</v>
      </c>
      <c r="AU332" s="8"/>
      <c r="AV332" s="6" t="str">
        <f t="shared" si="6"/>
        <v/>
      </c>
    </row>
    <row r="333" spans="1:48" ht="14.65" thickBot="1" x14ac:dyDescent="0.5">
      <c r="A333" s="35" t="s">
        <v>43</v>
      </c>
      <c r="B333" s="3" t="s">
        <v>355</v>
      </c>
      <c r="C333" s="4"/>
      <c r="D333" s="4"/>
      <c r="E333" s="4"/>
      <c r="F333" s="4"/>
      <c r="G333" s="4"/>
      <c r="H333" s="4"/>
      <c r="I333" s="18" t="s">
        <v>2473</v>
      </c>
      <c r="J333" s="18" t="s">
        <v>2473</v>
      </c>
      <c r="K333" s="18" t="s">
        <v>2473</v>
      </c>
      <c r="AU333" s="6"/>
      <c r="AV333" s="6" t="str">
        <f t="shared" si="6"/>
        <v/>
      </c>
    </row>
    <row r="334" spans="1:48" ht="23.65" thickBot="1" x14ac:dyDescent="0.5">
      <c r="A334" s="35" t="s">
        <v>356</v>
      </c>
      <c r="B334" s="3" t="s">
        <v>357</v>
      </c>
      <c r="C334" s="4" t="s">
        <v>37</v>
      </c>
      <c r="D334" s="4"/>
      <c r="E334" s="4" t="s">
        <v>37</v>
      </c>
      <c r="F334" s="4"/>
      <c r="G334" s="4" t="s">
        <v>37</v>
      </c>
      <c r="H334" s="4"/>
      <c r="I334" s="18" t="s">
        <v>2473</v>
      </c>
      <c r="J334" s="18" t="s">
        <v>2473</v>
      </c>
      <c r="K334" s="18" t="s">
        <v>2473</v>
      </c>
      <c r="AU334" s="8"/>
      <c r="AV334" s="6" t="str">
        <f t="shared" si="6"/>
        <v/>
      </c>
    </row>
    <row r="335" spans="1:48" ht="14.65" thickBot="1" x14ac:dyDescent="0.5">
      <c r="A335" s="35" t="s">
        <v>43</v>
      </c>
      <c r="B335" s="3" t="s">
        <v>358</v>
      </c>
      <c r="C335" s="4"/>
      <c r="D335" s="4"/>
      <c r="E335" s="4"/>
      <c r="F335" s="4"/>
      <c r="G335" s="4"/>
      <c r="H335" s="4"/>
      <c r="I335" s="18" t="s">
        <v>2473</v>
      </c>
      <c r="J335" s="18" t="s">
        <v>2473</v>
      </c>
      <c r="K335" s="18" t="s">
        <v>2473</v>
      </c>
      <c r="AU335" s="6"/>
      <c r="AV335" s="6" t="str">
        <f t="shared" si="6"/>
        <v/>
      </c>
    </row>
    <row r="336" spans="1:48" ht="23.65" thickBot="1" x14ac:dyDescent="0.5">
      <c r="A336" s="35" t="s">
        <v>359</v>
      </c>
      <c r="B336" s="3" t="s">
        <v>360</v>
      </c>
      <c r="C336" s="4" t="s">
        <v>13</v>
      </c>
      <c r="D336" s="4"/>
      <c r="E336" s="4" t="s">
        <v>13</v>
      </c>
      <c r="F336" s="4"/>
      <c r="G336" s="4" t="s">
        <v>13</v>
      </c>
      <c r="H336" s="4"/>
      <c r="I336" s="18" t="s">
        <v>2473</v>
      </c>
      <c r="J336" s="18" t="s">
        <v>2473</v>
      </c>
      <c r="K336" s="18" t="s">
        <v>2473</v>
      </c>
      <c r="AU336" s="8"/>
      <c r="AV336" s="6" t="str">
        <f t="shared" si="6"/>
        <v/>
      </c>
    </row>
    <row r="337" spans="1:48" ht="14.65" thickBot="1" x14ac:dyDescent="0.5">
      <c r="A337" s="35" t="s">
        <v>43</v>
      </c>
      <c r="B337" s="3" t="s">
        <v>361</v>
      </c>
      <c r="C337" s="4"/>
      <c r="D337" s="4"/>
      <c r="E337" s="4"/>
      <c r="F337" s="4"/>
      <c r="G337" s="4"/>
      <c r="H337" s="4"/>
      <c r="I337" s="18" t="s">
        <v>2473</v>
      </c>
      <c r="J337" s="18" t="s">
        <v>2473</v>
      </c>
      <c r="K337" s="18" t="s">
        <v>2473</v>
      </c>
      <c r="AU337" s="6"/>
      <c r="AV337" s="6" t="str">
        <f t="shared" si="6"/>
        <v/>
      </c>
    </row>
    <row r="338" spans="1:48" ht="14.65" thickBot="1" x14ac:dyDescent="0.5">
      <c r="A338" s="35" t="s">
        <v>59</v>
      </c>
      <c r="B338" s="3" t="s">
        <v>60</v>
      </c>
      <c r="C338" s="4"/>
      <c r="D338" s="4"/>
      <c r="E338" s="4"/>
      <c r="F338" s="4"/>
      <c r="G338" s="4"/>
      <c r="H338" s="4"/>
      <c r="I338" s="18" t="s">
        <v>2473</v>
      </c>
      <c r="J338" s="18" t="s">
        <v>2473</v>
      </c>
      <c r="K338" s="18" t="s">
        <v>2473</v>
      </c>
      <c r="AU338" s="6"/>
      <c r="AV338" s="6" t="str">
        <f t="shared" si="6"/>
        <v/>
      </c>
    </row>
    <row r="339" spans="1:48" ht="14.65" thickBot="1" x14ac:dyDescent="0.5">
      <c r="A339" s="35" t="s">
        <v>362</v>
      </c>
      <c r="B339" s="3" t="s">
        <v>363</v>
      </c>
      <c r="C339" s="4" t="s">
        <v>10</v>
      </c>
      <c r="D339" s="4"/>
      <c r="E339" s="4" t="s">
        <v>10</v>
      </c>
      <c r="F339" s="4"/>
      <c r="G339" s="4" t="s">
        <v>10</v>
      </c>
      <c r="H339" s="4"/>
      <c r="I339" s="18" t="s">
        <v>2473</v>
      </c>
      <c r="J339" s="18" t="s">
        <v>2473</v>
      </c>
      <c r="K339" s="18" t="s">
        <v>2473</v>
      </c>
      <c r="AU339" s="8"/>
      <c r="AV339" s="6" t="str">
        <f t="shared" ref="AV339:AV404" si="7">IF(A339&lt;&gt;"",IF(T339&lt;&gt;"",IF(LEFT(R339,3)="Has",IF(TRIM(A339)&lt;&gt;T339,"ERROR","OK"),""),""),"")</f>
        <v/>
      </c>
    </row>
    <row r="340" spans="1:48" ht="14.65" thickBot="1" x14ac:dyDescent="0.5">
      <c r="A340" s="35" t="s">
        <v>43</v>
      </c>
      <c r="B340" s="3" t="s">
        <v>364</v>
      </c>
      <c r="C340" s="4"/>
      <c r="D340" s="4"/>
      <c r="E340" s="4"/>
      <c r="F340" s="4"/>
      <c r="G340" s="4"/>
      <c r="H340" s="4"/>
      <c r="I340" s="18" t="s">
        <v>2473</v>
      </c>
      <c r="J340" s="18" t="s">
        <v>2473</v>
      </c>
      <c r="K340" s="18" t="s">
        <v>2473</v>
      </c>
      <c r="AU340" s="6"/>
      <c r="AV340" s="6" t="str">
        <f t="shared" si="7"/>
        <v/>
      </c>
    </row>
    <row r="341" spans="1:48" ht="23.65" thickBot="1" x14ac:dyDescent="0.5">
      <c r="A341" s="35" t="s">
        <v>365</v>
      </c>
      <c r="B341" s="3" t="s">
        <v>366</v>
      </c>
      <c r="C341" s="4" t="s">
        <v>37</v>
      </c>
      <c r="D341" s="4"/>
      <c r="E341" s="4" t="s">
        <v>37</v>
      </c>
      <c r="F341" s="4"/>
      <c r="G341" s="4" t="s">
        <v>37</v>
      </c>
      <c r="H341" s="4"/>
      <c r="I341" s="18" t="s">
        <v>2473</v>
      </c>
      <c r="J341" s="18" t="s">
        <v>2473</v>
      </c>
      <c r="K341" s="18" t="s">
        <v>2473</v>
      </c>
      <c r="AU341" s="8"/>
      <c r="AV341" s="6" t="str">
        <f t="shared" si="7"/>
        <v/>
      </c>
    </row>
    <row r="342" spans="1:48" ht="14.65" thickBot="1" x14ac:dyDescent="0.5">
      <c r="A342" s="35" t="s">
        <v>43</v>
      </c>
      <c r="B342" s="3" t="s">
        <v>367</v>
      </c>
      <c r="C342" s="4"/>
      <c r="D342" s="4"/>
      <c r="E342" s="4"/>
      <c r="F342" s="4"/>
      <c r="G342" s="4"/>
      <c r="H342" s="4"/>
      <c r="I342" s="18" t="s">
        <v>2473</v>
      </c>
      <c r="J342" s="18" t="s">
        <v>2473</v>
      </c>
      <c r="K342" s="18" t="s">
        <v>2473</v>
      </c>
      <c r="AU342" s="6"/>
      <c r="AV342" s="6" t="str">
        <f t="shared" si="7"/>
        <v/>
      </c>
    </row>
    <row r="343" spans="1:48" ht="14.65" thickBot="1" x14ac:dyDescent="0.5">
      <c r="A343" s="36" t="s">
        <v>368</v>
      </c>
      <c r="B343" s="3" t="s">
        <v>369</v>
      </c>
      <c r="C343" s="4"/>
      <c r="D343" s="4"/>
      <c r="E343" s="4"/>
      <c r="F343" s="4"/>
      <c r="G343" s="4"/>
      <c r="H343" s="4"/>
      <c r="I343" s="18" t="s">
        <v>2473</v>
      </c>
      <c r="J343" s="18" t="s">
        <v>2473</v>
      </c>
      <c r="K343" s="18" t="s">
        <v>2473</v>
      </c>
      <c r="AU343" s="6"/>
      <c r="AV343" s="6" t="str">
        <f t="shared" si="7"/>
        <v/>
      </c>
    </row>
    <row r="344" spans="1:48" ht="105.75" thickBot="1" x14ac:dyDescent="0.5">
      <c r="A344" s="36" t="s">
        <v>145</v>
      </c>
      <c r="B344" s="3" t="s">
        <v>3604</v>
      </c>
      <c r="C344" s="4" t="s">
        <v>10</v>
      </c>
      <c r="D344" s="4"/>
      <c r="E344" s="4" t="s">
        <v>10</v>
      </c>
      <c r="F344" s="4"/>
      <c r="G344" s="4" t="s">
        <v>10</v>
      </c>
      <c r="H344" s="4"/>
      <c r="I344" s="18" t="s">
        <v>2473</v>
      </c>
      <c r="J344" s="18" t="s">
        <v>2473</v>
      </c>
      <c r="K344" s="18" t="s">
        <v>2473</v>
      </c>
      <c r="AS344" s="206" t="s">
        <v>5861</v>
      </c>
      <c r="AU344" s="6"/>
      <c r="AV344" s="6" t="str">
        <f t="shared" si="7"/>
        <v/>
      </c>
    </row>
    <row r="345" spans="1:48" ht="47.65" thickBot="1" x14ac:dyDescent="0.5">
      <c r="A345" s="243" t="s">
        <v>5361</v>
      </c>
      <c r="B345" s="3" t="s">
        <v>5352</v>
      </c>
      <c r="C345" s="4" t="s">
        <v>10</v>
      </c>
      <c r="D345" s="4"/>
      <c r="E345" s="4" t="s">
        <v>10</v>
      </c>
      <c r="F345" s="4"/>
      <c r="G345" s="4" t="s">
        <v>10</v>
      </c>
      <c r="H345" s="4"/>
      <c r="I345" s="18" t="s">
        <v>2473</v>
      </c>
      <c r="J345" s="18" t="s">
        <v>2473</v>
      </c>
      <c r="K345" s="18" t="s">
        <v>2473</v>
      </c>
      <c r="Q345" s="131"/>
      <c r="R345" s="131"/>
      <c r="S345" s="131"/>
      <c r="T345" s="131"/>
      <c r="U345" s="131"/>
      <c r="V345" s="131"/>
      <c r="W345" s="131"/>
      <c r="X345" s="131"/>
      <c r="AS345" s="139" t="s">
        <v>5355</v>
      </c>
      <c r="AU345" s="6"/>
      <c r="AV345" s="6"/>
    </row>
    <row r="346" spans="1:48" ht="82.5" thickBot="1" x14ac:dyDescent="0.5">
      <c r="A346" s="243" t="s">
        <v>5360</v>
      </c>
      <c r="B346" s="3" t="s">
        <v>5353</v>
      </c>
      <c r="C346" s="4"/>
      <c r="D346" s="4"/>
      <c r="E346" s="4"/>
      <c r="F346" s="4"/>
      <c r="G346" s="4"/>
      <c r="H346" s="4"/>
      <c r="I346" s="18" t="s">
        <v>2473</v>
      </c>
      <c r="J346" s="18" t="s">
        <v>2473</v>
      </c>
      <c r="K346" s="18" t="s">
        <v>2473</v>
      </c>
      <c r="Q346" s="131"/>
      <c r="R346" s="131"/>
      <c r="S346" s="131"/>
      <c r="T346" s="131"/>
      <c r="U346" s="131"/>
      <c r="V346" s="131"/>
      <c r="W346" s="131"/>
      <c r="X346" s="131"/>
      <c r="AS346" s="139" t="s">
        <v>5356</v>
      </c>
      <c r="AU346" s="6"/>
      <c r="AV346" s="6"/>
    </row>
    <row r="347" spans="1:48" ht="14.65" thickBot="1" x14ac:dyDescent="0.5">
      <c r="A347" s="36" t="s">
        <v>370</v>
      </c>
      <c r="B347" s="3" t="s">
        <v>371</v>
      </c>
      <c r="C347" s="4" t="s">
        <v>10</v>
      </c>
      <c r="D347" s="4"/>
      <c r="E347" s="4" t="s">
        <v>10</v>
      </c>
      <c r="F347" s="4"/>
      <c r="G347" s="4" t="s">
        <v>10</v>
      </c>
      <c r="H347" s="4"/>
      <c r="I347" s="18" t="s">
        <v>2473</v>
      </c>
      <c r="J347" s="18" t="s">
        <v>2473</v>
      </c>
      <c r="K347" s="18" t="s">
        <v>2473</v>
      </c>
      <c r="AU347" s="6"/>
      <c r="AV347" s="6" t="str">
        <f t="shared" si="7"/>
        <v/>
      </c>
    </row>
    <row r="348" spans="1:48" ht="14.65" thickBot="1" x14ac:dyDescent="0.5">
      <c r="A348" s="36" t="s">
        <v>286</v>
      </c>
      <c r="B348" s="3" t="s">
        <v>372</v>
      </c>
      <c r="C348" s="4" t="s">
        <v>10</v>
      </c>
      <c r="D348" s="4"/>
      <c r="E348" s="4" t="s">
        <v>10</v>
      </c>
      <c r="F348" s="4"/>
      <c r="G348" s="4" t="s">
        <v>10</v>
      </c>
      <c r="H348" s="4"/>
      <c r="I348" s="18" t="s">
        <v>2473</v>
      </c>
      <c r="J348" s="18" t="s">
        <v>2473</v>
      </c>
      <c r="K348" s="18" t="s">
        <v>2473</v>
      </c>
      <c r="AU348" s="6"/>
      <c r="AV348" s="6" t="str">
        <f t="shared" si="7"/>
        <v/>
      </c>
    </row>
    <row r="349" spans="1:48" ht="14.65" thickBot="1" x14ac:dyDescent="0.5">
      <c r="A349" s="36" t="s">
        <v>287</v>
      </c>
      <c r="B349" s="3" t="s">
        <v>373</v>
      </c>
      <c r="C349" s="4" t="s">
        <v>10</v>
      </c>
      <c r="D349" s="4"/>
      <c r="E349" s="4" t="s">
        <v>10</v>
      </c>
      <c r="F349" s="4"/>
      <c r="G349" s="4" t="s">
        <v>10</v>
      </c>
      <c r="H349" s="4"/>
      <c r="I349" s="18" t="s">
        <v>2473</v>
      </c>
      <c r="J349" s="18" t="s">
        <v>2473</v>
      </c>
      <c r="K349" s="18" t="s">
        <v>2473</v>
      </c>
      <c r="AU349" s="6"/>
      <c r="AV349" s="6" t="str">
        <f t="shared" si="7"/>
        <v/>
      </c>
    </row>
    <row r="350" spans="1:48" x14ac:dyDescent="0.45">
      <c r="A350" s="33" t="s">
        <v>374</v>
      </c>
      <c r="I350" s="18" t="s">
        <v>2473</v>
      </c>
      <c r="J350" s="18" t="s">
        <v>2473</v>
      </c>
      <c r="K350" s="18" t="s">
        <v>2473</v>
      </c>
      <c r="AU350" s="6"/>
      <c r="AV350" s="6" t="str">
        <f t="shared" si="7"/>
        <v/>
      </c>
    </row>
    <row r="351" spans="1:48" x14ac:dyDescent="0.45">
      <c r="A351" s="34" t="s">
        <v>375</v>
      </c>
      <c r="I351" s="18" t="s">
        <v>2473</v>
      </c>
      <c r="J351" s="18" t="s">
        <v>2473</v>
      </c>
      <c r="K351" s="18" t="s">
        <v>2473</v>
      </c>
      <c r="AU351" s="6"/>
      <c r="AV351" s="6" t="str">
        <f t="shared" si="7"/>
        <v/>
      </c>
    </row>
    <row r="352" spans="1:48" x14ac:dyDescent="0.45">
      <c r="A352" s="34" t="s">
        <v>376</v>
      </c>
      <c r="I352" s="18" t="s">
        <v>2473</v>
      </c>
      <c r="J352" s="18" t="s">
        <v>2473</v>
      </c>
      <c r="K352" s="18" t="s">
        <v>2473</v>
      </c>
      <c r="AU352" s="6"/>
      <c r="AV352" s="6" t="str">
        <f t="shared" si="7"/>
        <v/>
      </c>
    </row>
    <row r="353" spans="1:48" s="79" customFormat="1" x14ac:dyDescent="0.45">
      <c r="A353" s="75"/>
      <c r="B353" s="76"/>
      <c r="C353" s="77"/>
      <c r="D353" s="77"/>
      <c r="E353" s="77"/>
      <c r="F353" s="77"/>
      <c r="G353" s="77"/>
      <c r="H353" s="77"/>
      <c r="I353" s="77"/>
      <c r="J353" s="77"/>
      <c r="K353" s="77"/>
      <c r="L353" s="77"/>
      <c r="M353" s="148"/>
      <c r="N353" s="78"/>
      <c r="O353" s="78"/>
      <c r="P353" s="78"/>
      <c r="Q353" s="78"/>
      <c r="R353" s="78"/>
      <c r="S353" s="78"/>
      <c r="T353" s="78"/>
      <c r="U353" s="78"/>
      <c r="V353" s="78"/>
      <c r="W353" s="78"/>
      <c r="X353" s="78"/>
      <c r="Y353" s="148"/>
      <c r="Z353" s="78"/>
      <c r="AA353" s="78"/>
      <c r="AB353" s="78"/>
      <c r="AC353" s="78"/>
      <c r="AD353" s="78"/>
      <c r="AE353" s="156"/>
      <c r="AF353" s="156"/>
      <c r="AG353" s="78"/>
      <c r="AH353" s="78"/>
      <c r="AI353" s="78"/>
      <c r="AJ353" s="78"/>
      <c r="AK353" s="78"/>
      <c r="AL353" s="78"/>
      <c r="AM353" s="78"/>
      <c r="AN353" s="78"/>
      <c r="AO353" s="78"/>
      <c r="AP353" s="78"/>
      <c r="AQ353" s="78"/>
      <c r="AR353" s="286"/>
      <c r="AS353" s="78"/>
      <c r="AT353" s="78"/>
      <c r="AU353" s="8"/>
      <c r="AV353" s="6" t="str">
        <f t="shared" si="7"/>
        <v/>
      </c>
    </row>
    <row r="354" spans="1:48" x14ac:dyDescent="0.45">
      <c r="A354" s="27" t="s">
        <v>2399</v>
      </c>
      <c r="I354" s="18" t="s">
        <v>2473</v>
      </c>
      <c r="J354" s="18" t="s">
        <v>2473</v>
      </c>
      <c r="K354" s="18" t="s">
        <v>2473</v>
      </c>
      <c r="AU354" s="6"/>
      <c r="AV354" s="6" t="str">
        <f t="shared" si="7"/>
        <v/>
      </c>
    </row>
    <row r="355" spans="1:48" x14ac:dyDescent="0.45">
      <c r="A355" s="323" t="s">
        <v>2493</v>
      </c>
      <c r="B355" s="324"/>
      <c r="C355" s="324"/>
      <c r="D355" s="324"/>
      <c r="E355" s="324"/>
      <c r="F355" s="324"/>
      <c r="G355" s="101"/>
      <c r="H355" s="101"/>
      <c r="I355" s="18" t="s">
        <v>2473</v>
      </c>
      <c r="J355" s="18" t="s">
        <v>2473</v>
      </c>
      <c r="K355" s="18" t="s">
        <v>2473</v>
      </c>
      <c r="AU355" s="6"/>
      <c r="AV355" s="6" t="str">
        <f t="shared" si="7"/>
        <v/>
      </c>
    </row>
    <row r="356" spans="1:48" ht="14.65" thickBot="1" x14ac:dyDescent="0.5">
      <c r="A356" s="28" t="s">
        <v>377</v>
      </c>
      <c r="I356" s="18" t="s">
        <v>2473</v>
      </c>
      <c r="J356" s="18" t="s">
        <v>2473</v>
      </c>
      <c r="K356" s="18" t="s">
        <v>2473</v>
      </c>
      <c r="AA356" s="183" t="s">
        <v>2322</v>
      </c>
      <c r="AB356" s="183" t="s">
        <v>1697</v>
      </c>
      <c r="AC356" s="183" t="s">
        <v>5</v>
      </c>
      <c r="AU356" s="6"/>
      <c r="AV356" s="6" t="str">
        <f t="shared" si="7"/>
        <v/>
      </c>
    </row>
    <row r="357" spans="1:48" ht="81.75" thickBot="1" x14ac:dyDescent="0.5">
      <c r="A357" s="309" t="s">
        <v>378</v>
      </c>
      <c r="B357" s="310"/>
      <c r="C357" s="301" t="s">
        <v>1</v>
      </c>
      <c r="D357" s="319"/>
      <c r="E357" s="319"/>
      <c r="F357" s="302"/>
      <c r="G357" s="102"/>
      <c r="H357" s="102"/>
      <c r="I357" s="18" t="s">
        <v>2473</v>
      </c>
      <c r="AA357" s="183" t="str">
        <f>LEFT($A357,FIND(" ",$A357)-1)</f>
        <v>Processor</v>
      </c>
      <c r="AB357" s="183" t="str">
        <f>MID($A357,FIND("(",$A357)+1,LEN($A357)-FIND("(",$A357)-1)</f>
        <v>1.3.1</v>
      </c>
      <c r="AC357" s="101" t="str">
        <f>A355</f>
        <v>A Processor resource represents the properties of a Processor attached to a system.</v>
      </c>
      <c r="AU357" s="6"/>
      <c r="AV357" s="6" t="str">
        <f t="shared" si="7"/>
        <v/>
      </c>
    </row>
    <row r="358" spans="1:48" ht="14.65" thickBot="1" x14ac:dyDescent="0.5">
      <c r="A358" s="311"/>
      <c r="B358" s="312"/>
      <c r="C358" s="301" t="s">
        <v>2</v>
      </c>
      <c r="D358" s="302"/>
      <c r="E358" s="301" t="s">
        <v>3</v>
      </c>
      <c r="F358" s="302"/>
      <c r="G358" s="301" t="s">
        <v>2896</v>
      </c>
      <c r="H358" s="302"/>
      <c r="I358" s="18" t="s">
        <v>2473</v>
      </c>
      <c r="AA358" s="183" t="s">
        <v>2322</v>
      </c>
      <c r="AB358" s="183" t="s">
        <v>1697</v>
      </c>
      <c r="AC358" s="183" t="s">
        <v>5</v>
      </c>
      <c r="AU358" s="6"/>
      <c r="AV358" s="6" t="str">
        <f t="shared" si="7"/>
        <v/>
      </c>
    </row>
    <row r="359" spans="1:48" ht="81.75" thickBot="1" x14ac:dyDescent="0.5">
      <c r="A359" s="309" t="s">
        <v>3121</v>
      </c>
      <c r="B359" s="310"/>
      <c r="C359" s="301" t="s">
        <v>1</v>
      </c>
      <c r="D359" s="319"/>
      <c r="E359" s="319"/>
      <c r="F359" s="302"/>
      <c r="G359" s="102"/>
      <c r="H359" s="102"/>
      <c r="J359" s="18" t="s">
        <v>2473</v>
      </c>
      <c r="K359" s="18" t="s">
        <v>2473</v>
      </c>
      <c r="AA359" s="183" t="str">
        <f>LEFT($A359,FIND(" ",$A359)-1)</f>
        <v>Processor</v>
      </c>
      <c r="AB359" s="183" t="str">
        <f>MID($A359,FIND("(",$A359)+1,LEN($A359)-FIND("(",$A359)-1)</f>
        <v>1.5.0</v>
      </c>
      <c r="AC359" s="101" t="str">
        <f>AC357</f>
        <v>A Processor resource represents the properties of a Processor attached to a system.</v>
      </c>
      <c r="AU359" s="6"/>
      <c r="AV359" s="6" t="str">
        <f t="shared" si="7"/>
        <v/>
      </c>
    </row>
    <row r="360" spans="1:48" ht="14.65" thickBot="1" x14ac:dyDescent="0.5">
      <c r="A360" s="311"/>
      <c r="B360" s="312"/>
      <c r="C360" s="301" t="s">
        <v>2</v>
      </c>
      <c r="D360" s="302"/>
      <c r="E360" s="301" t="s">
        <v>3</v>
      </c>
      <c r="F360" s="302"/>
      <c r="G360" s="301" t="s">
        <v>2896</v>
      </c>
      <c r="H360" s="302"/>
      <c r="J360" s="18" t="s">
        <v>2473</v>
      </c>
      <c r="K360" s="18" t="s">
        <v>2473</v>
      </c>
      <c r="AM360" s="8" t="str">
        <f>C360</f>
        <v>OSM-Redfish</v>
      </c>
      <c r="AN360" s="8" t="str">
        <f>E360</f>
        <v>OSM-RedfishBMC</v>
      </c>
      <c r="AO360" s="8" t="str">
        <f>G360</f>
        <v>OSM-RedfishDCN</v>
      </c>
      <c r="AU360" s="6"/>
      <c r="AV360" s="6" t="str">
        <f t="shared" si="7"/>
        <v/>
      </c>
    </row>
    <row r="361" spans="1:48" ht="14.65" thickBot="1" x14ac:dyDescent="0.5">
      <c r="A361" s="46" t="s">
        <v>2377</v>
      </c>
      <c r="B361" s="47"/>
      <c r="C361" s="303" t="s">
        <v>10</v>
      </c>
      <c r="D361" s="304"/>
      <c r="E361" s="303" t="s">
        <v>10</v>
      </c>
      <c r="F361" s="304"/>
      <c r="G361" s="303" t="s">
        <v>10</v>
      </c>
      <c r="H361" s="304"/>
      <c r="I361" s="18" t="s">
        <v>2473</v>
      </c>
      <c r="J361" s="18" t="s">
        <v>2473</v>
      </c>
      <c r="K361" s="18" t="s">
        <v>2473</v>
      </c>
      <c r="AM361" s="8" t="str">
        <f>IF(C361&lt;&gt;"","CRQ-P5-"&amp;(AM$2+$AP361*$AP$3),"")</f>
        <v>CRQ-P5-1188</v>
      </c>
      <c r="AN361" s="8" t="str">
        <f>IF(E361&lt;&gt;"","CRQ-P5-"&amp;(AN$2+$AP361*$AP$3),"")</f>
        <v>CRQ-P5-1488</v>
      </c>
      <c r="AO361" s="8" t="str">
        <f>IF(G361&lt;&gt;"","CRQ-P5-"&amp;(AO$2+$AP361*$AP$3),"")</f>
        <v>CRQ-P5-1788</v>
      </c>
      <c r="AP361" s="8">
        <v>47</v>
      </c>
      <c r="AU361" s="6"/>
      <c r="AV361" s="6" t="str">
        <f t="shared" si="7"/>
        <v/>
      </c>
    </row>
    <row r="362" spans="1:48" ht="14.65" thickBot="1" x14ac:dyDescent="0.5">
      <c r="A362" s="29" t="s">
        <v>3394</v>
      </c>
      <c r="B362" s="9"/>
      <c r="C362" s="305" t="str">
        <f>MID($A357,FIND("(",$A357)+1,5)</f>
        <v>1.3.1</v>
      </c>
      <c r="D362" s="306"/>
      <c r="E362" s="305" t="s">
        <v>3407</v>
      </c>
      <c r="F362" s="306"/>
      <c r="G362" s="305" t="str">
        <f>MID($A357,FIND("(",$A357)+1,5)</f>
        <v>1.3.1</v>
      </c>
      <c r="H362" s="306"/>
      <c r="I362" s="18" t="s">
        <v>2473</v>
      </c>
      <c r="J362" s="18" t="s">
        <v>2473</v>
      </c>
      <c r="K362" s="18" t="s">
        <v>2473</v>
      </c>
      <c r="AU362" s="6"/>
      <c r="AV362" s="6" t="str">
        <f t="shared" si="7"/>
        <v/>
      </c>
    </row>
    <row r="363" spans="1:48" ht="14.65" thickBot="1" x14ac:dyDescent="0.5">
      <c r="A363" s="30" t="s">
        <v>4</v>
      </c>
      <c r="B363" s="59" t="s">
        <v>5</v>
      </c>
      <c r="C363" s="7" t="s">
        <v>6</v>
      </c>
      <c r="D363" s="7" t="s">
        <v>7</v>
      </c>
      <c r="E363" s="7" t="s">
        <v>6</v>
      </c>
      <c r="F363" s="7" t="s">
        <v>7</v>
      </c>
      <c r="G363" s="7" t="s">
        <v>6</v>
      </c>
      <c r="H363" s="7" t="s">
        <v>7</v>
      </c>
      <c r="I363" s="18" t="s">
        <v>2473</v>
      </c>
      <c r="J363" s="18" t="s">
        <v>2473</v>
      </c>
      <c r="K363" s="18" t="s">
        <v>2473</v>
      </c>
      <c r="AU363" s="6"/>
      <c r="AV363" s="6" t="str">
        <f t="shared" si="7"/>
        <v/>
      </c>
    </row>
    <row r="364" spans="1:48" ht="14.65" thickBot="1" x14ac:dyDescent="0.5">
      <c r="A364" s="36" t="s">
        <v>8</v>
      </c>
      <c r="B364" s="3" t="s">
        <v>9</v>
      </c>
      <c r="C364" s="4"/>
      <c r="D364" s="4"/>
      <c r="E364" s="4"/>
      <c r="F364" s="4"/>
      <c r="G364" s="4"/>
      <c r="H364" s="4"/>
      <c r="I364" s="18" t="s">
        <v>2473</v>
      </c>
      <c r="J364" s="18" t="s">
        <v>2473</v>
      </c>
      <c r="K364" s="18" t="s">
        <v>2473</v>
      </c>
      <c r="AU364" s="6"/>
      <c r="AV364" s="6" t="str">
        <f t="shared" si="7"/>
        <v/>
      </c>
    </row>
    <row r="365" spans="1:48" ht="14.65" thickBot="1" x14ac:dyDescent="0.5">
      <c r="A365" s="36" t="s">
        <v>3122</v>
      </c>
      <c r="B365" s="3" t="s">
        <v>3592</v>
      </c>
      <c r="C365" s="4" t="s">
        <v>37</v>
      </c>
      <c r="D365" s="4"/>
      <c r="E365" s="4" t="s">
        <v>37</v>
      </c>
      <c r="F365" s="4"/>
      <c r="G365" s="4" t="s">
        <v>37</v>
      </c>
      <c r="H365" s="4"/>
      <c r="J365" s="18" t="s">
        <v>2473</v>
      </c>
      <c r="K365" s="18" t="s">
        <v>2473</v>
      </c>
      <c r="AU365" s="6"/>
      <c r="AV365" s="6" t="str">
        <f t="shared" si="7"/>
        <v/>
      </c>
    </row>
    <row r="366" spans="1:48" ht="14.65" thickBot="1" x14ac:dyDescent="0.5">
      <c r="A366" s="35" t="s">
        <v>33</v>
      </c>
      <c r="B366" s="3" t="s">
        <v>3123</v>
      </c>
      <c r="C366" s="4"/>
      <c r="D366" s="4"/>
      <c r="E366" s="4"/>
      <c r="F366" s="4"/>
      <c r="G366" s="4"/>
      <c r="H366" s="4"/>
      <c r="J366" s="18" t="s">
        <v>2473</v>
      </c>
      <c r="K366" s="18" t="s">
        <v>2473</v>
      </c>
      <c r="AU366" s="6"/>
      <c r="AV366" s="6" t="str">
        <f t="shared" si="7"/>
        <v/>
      </c>
    </row>
    <row r="367" spans="1:48" ht="14.65" thickBot="1" x14ac:dyDescent="0.5">
      <c r="A367" s="36" t="s">
        <v>181</v>
      </c>
      <c r="B367" s="3" t="s">
        <v>379</v>
      </c>
      <c r="C367" s="4"/>
      <c r="D367" s="4"/>
      <c r="E367" s="4"/>
      <c r="F367" s="4"/>
      <c r="G367" s="4"/>
      <c r="H367" s="4"/>
      <c r="I367" s="18" t="s">
        <v>2473</v>
      </c>
      <c r="J367" s="18" t="s">
        <v>2473</v>
      </c>
      <c r="K367" s="18" t="s">
        <v>2473</v>
      </c>
      <c r="AU367" s="6"/>
      <c r="AV367" s="6" t="str">
        <f t="shared" si="7"/>
        <v/>
      </c>
    </row>
    <row r="368" spans="1:48" ht="14.65" thickBot="1" x14ac:dyDescent="0.5">
      <c r="A368" s="35" t="s">
        <v>33</v>
      </c>
      <c r="B368" s="3" t="s">
        <v>183</v>
      </c>
      <c r="C368" s="4"/>
      <c r="D368" s="4"/>
      <c r="E368" s="4"/>
      <c r="F368" s="4"/>
      <c r="G368" s="4"/>
      <c r="H368" s="4"/>
      <c r="I368" s="18" t="s">
        <v>2473</v>
      </c>
      <c r="J368" s="18" t="s">
        <v>2473</v>
      </c>
      <c r="K368" s="18" t="s">
        <v>2473</v>
      </c>
      <c r="AU368" s="6"/>
      <c r="AV368" s="6" t="str">
        <f t="shared" si="7"/>
        <v/>
      </c>
    </row>
    <row r="369" spans="1:48" ht="14.65" thickBot="1" x14ac:dyDescent="0.5">
      <c r="A369" s="36" t="s">
        <v>3124</v>
      </c>
      <c r="B369" s="3" t="s">
        <v>3125</v>
      </c>
      <c r="C369" s="4" t="s">
        <v>37</v>
      </c>
      <c r="D369" s="4"/>
      <c r="E369" s="4" t="s">
        <v>37</v>
      </c>
      <c r="F369" s="4"/>
      <c r="G369" s="4" t="s">
        <v>37</v>
      </c>
      <c r="H369" s="4"/>
      <c r="J369" s="18" t="s">
        <v>2473</v>
      </c>
      <c r="K369" s="18" t="s">
        <v>2473</v>
      </c>
      <c r="AU369" s="6"/>
      <c r="AV369" s="6" t="str">
        <f t="shared" si="7"/>
        <v/>
      </c>
    </row>
    <row r="370" spans="1:48" ht="14.65" thickBot="1" x14ac:dyDescent="0.5">
      <c r="A370" s="35" t="s">
        <v>3147</v>
      </c>
      <c r="B370" s="3" t="s">
        <v>3126</v>
      </c>
      <c r="C370" s="4" t="s">
        <v>37</v>
      </c>
      <c r="D370" s="4"/>
      <c r="E370" s="4" t="s">
        <v>37</v>
      </c>
      <c r="F370" s="4"/>
      <c r="G370" s="4" t="s">
        <v>37</v>
      </c>
      <c r="H370" s="4"/>
      <c r="J370" s="18" t="s">
        <v>2473</v>
      </c>
      <c r="K370" s="18" t="s">
        <v>2473</v>
      </c>
      <c r="AU370" s="6"/>
      <c r="AV370" s="6" t="str">
        <f t="shared" si="7"/>
        <v/>
      </c>
    </row>
    <row r="371" spans="1:48" ht="14.65" thickBot="1" x14ac:dyDescent="0.5">
      <c r="A371" s="35" t="s">
        <v>3148</v>
      </c>
      <c r="B371" s="3" t="s">
        <v>3127</v>
      </c>
      <c r="C371" s="4" t="s">
        <v>37</v>
      </c>
      <c r="D371" s="4"/>
      <c r="E371" s="4" t="s">
        <v>37</v>
      </c>
      <c r="F371" s="4"/>
      <c r="G371" s="4" t="s">
        <v>37</v>
      </c>
      <c r="H371" s="4"/>
      <c r="J371" s="18" t="s">
        <v>2473</v>
      </c>
      <c r="K371" s="18" t="s">
        <v>2473</v>
      </c>
      <c r="AU371" s="6"/>
      <c r="AV371" s="6" t="str">
        <f t="shared" si="7"/>
        <v/>
      </c>
    </row>
    <row r="372" spans="1:48" ht="14.65" thickBot="1" x14ac:dyDescent="0.5">
      <c r="A372" s="35" t="s">
        <v>3149</v>
      </c>
      <c r="B372" s="3" t="s">
        <v>3128</v>
      </c>
      <c r="C372" s="4"/>
      <c r="D372" s="4"/>
      <c r="E372" s="4"/>
      <c r="F372" s="4"/>
      <c r="G372" s="4"/>
      <c r="H372" s="4"/>
      <c r="J372" s="18" t="s">
        <v>2473</v>
      </c>
      <c r="K372" s="18" t="s">
        <v>2473</v>
      </c>
      <c r="AU372" s="6"/>
      <c r="AV372" s="6" t="str">
        <f t="shared" si="7"/>
        <v/>
      </c>
    </row>
    <row r="373" spans="1:48" ht="14.65" thickBot="1" x14ac:dyDescent="0.5">
      <c r="A373" s="35" t="s">
        <v>3150</v>
      </c>
      <c r="B373" s="3" t="s">
        <v>3129</v>
      </c>
      <c r="C373" s="4"/>
      <c r="D373" s="4"/>
      <c r="E373" s="4"/>
      <c r="F373" s="4"/>
      <c r="G373" s="4"/>
      <c r="H373" s="4"/>
      <c r="J373" s="18" t="s">
        <v>2473</v>
      </c>
      <c r="K373" s="18" t="s">
        <v>2473</v>
      </c>
      <c r="AU373" s="6"/>
      <c r="AV373" s="6" t="str">
        <f t="shared" si="7"/>
        <v/>
      </c>
    </row>
    <row r="374" spans="1:48" ht="14.65" thickBot="1" x14ac:dyDescent="0.5">
      <c r="A374" s="35" t="s">
        <v>1991</v>
      </c>
      <c r="B374" s="3" t="s">
        <v>2608</v>
      </c>
      <c r="C374" s="4"/>
      <c r="D374" s="4"/>
      <c r="E374" s="4"/>
      <c r="F374" s="4"/>
      <c r="G374" s="4"/>
      <c r="H374" s="4"/>
      <c r="J374" s="18" t="s">
        <v>2473</v>
      </c>
      <c r="K374" s="18" t="s">
        <v>2473</v>
      </c>
      <c r="AU374" s="6"/>
      <c r="AV374" s="6" t="str">
        <f t="shared" si="7"/>
        <v/>
      </c>
    </row>
    <row r="375" spans="1:48" ht="14.65" thickBot="1" x14ac:dyDescent="0.5">
      <c r="A375" s="35" t="s">
        <v>3151</v>
      </c>
      <c r="B375" s="3" t="s">
        <v>3130</v>
      </c>
      <c r="C375" s="4" t="s">
        <v>10</v>
      </c>
      <c r="D375" s="4"/>
      <c r="E375" s="4" t="s">
        <v>10</v>
      </c>
      <c r="F375" s="4"/>
      <c r="G375" s="4" t="s">
        <v>10</v>
      </c>
      <c r="H375" s="4"/>
      <c r="J375" s="18" t="s">
        <v>2473</v>
      </c>
      <c r="K375" s="18" t="s">
        <v>2473</v>
      </c>
      <c r="AU375" s="6"/>
      <c r="AV375" s="6" t="str">
        <f t="shared" si="7"/>
        <v/>
      </c>
    </row>
    <row r="376" spans="1:48" ht="14.65" thickBot="1" x14ac:dyDescent="0.5">
      <c r="A376" s="35" t="s">
        <v>3152</v>
      </c>
      <c r="B376" s="3" t="s">
        <v>3131</v>
      </c>
      <c r="C376" s="4" t="s">
        <v>13</v>
      </c>
      <c r="D376" s="4"/>
      <c r="E376" s="4" t="s">
        <v>13</v>
      </c>
      <c r="F376" s="4"/>
      <c r="G376" s="4" t="s">
        <v>13</v>
      </c>
      <c r="H376" s="4"/>
      <c r="J376" s="18" t="s">
        <v>2473</v>
      </c>
      <c r="K376" s="18" t="s">
        <v>2473</v>
      </c>
      <c r="AU376" s="6"/>
      <c r="AV376" s="6" t="str">
        <f t="shared" si="7"/>
        <v/>
      </c>
    </row>
    <row r="377" spans="1:48" ht="14.65" thickBot="1" x14ac:dyDescent="0.5">
      <c r="A377" s="35" t="s">
        <v>3153</v>
      </c>
      <c r="B377" s="3" t="s">
        <v>3132</v>
      </c>
      <c r="C377" s="4" t="s">
        <v>13</v>
      </c>
      <c r="D377" s="4"/>
      <c r="E377" s="4" t="s">
        <v>13</v>
      </c>
      <c r="F377" s="4"/>
      <c r="G377" s="4" t="s">
        <v>13</v>
      </c>
      <c r="H377" s="4"/>
      <c r="J377" s="18" t="s">
        <v>2473</v>
      </c>
      <c r="K377" s="18" t="s">
        <v>2473</v>
      </c>
      <c r="AU377" s="6"/>
      <c r="AV377" s="6" t="str">
        <f t="shared" si="7"/>
        <v/>
      </c>
    </row>
    <row r="378" spans="1:48" ht="14.65" thickBot="1" x14ac:dyDescent="0.5">
      <c r="A378" s="35" t="s">
        <v>3154</v>
      </c>
      <c r="B378" s="3" t="s">
        <v>3133</v>
      </c>
      <c r="C378" s="4" t="s">
        <v>13</v>
      </c>
      <c r="D378" s="4"/>
      <c r="E378" s="4" t="s">
        <v>13</v>
      </c>
      <c r="F378" s="4"/>
      <c r="G378" s="4" t="s">
        <v>13</v>
      </c>
      <c r="H378" s="4"/>
      <c r="J378" s="18" t="s">
        <v>2473</v>
      </c>
      <c r="K378" s="18" t="s">
        <v>2473</v>
      </c>
      <c r="AU378" s="6"/>
      <c r="AV378" s="6" t="str">
        <f t="shared" si="7"/>
        <v/>
      </c>
    </row>
    <row r="379" spans="1:48" ht="14.65" thickBot="1" x14ac:dyDescent="0.5">
      <c r="A379" s="35" t="s">
        <v>153</v>
      </c>
      <c r="B379" s="3" t="s">
        <v>3134</v>
      </c>
      <c r="C379" s="4" t="s">
        <v>13</v>
      </c>
      <c r="D379" s="4"/>
      <c r="E379" s="4" t="s">
        <v>13</v>
      </c>
      <c r="F379" s="4"/>
      <c r="G379" s="4" t="s">
        <v>13</v>
      </c>
      <c r="H379" s="4"/>
      <c r="J379" s="18" t="s">
        <v>2473</v>
      </c>
      <c r="K379" s="18" t="s">
        <v>2473</v>
      </c>
      <c r="AU379" s="6"/>
      <c r="AV379" s="6" t="str">
        <f t="shared" si="7"/>
        <v/>
      </c>
    </row>
    <row r="380" spans="1:48" ht="14.65" thickBot="1" x14ac:dyDescent="0.5">
      <c r="A380" s="35" t="s">
        <v>3155</v>
      </c>
      <c r="B380" s="3" t="s">
        <v>3135</v>
      </c>
      <c r="C380" s="4" t="s">
        <v>10</v>
      </c>
      <c r="D380" s="4"/>
      <c r="E380" s="4" t="s">
        <v>10</v>
      </c>
      <c r="F380" s="4"/>
      <c r="G380" s="4" t="s">
        <v>10</v>
      </c>
      <c r="H380" s="4"/>
      <c r="J380" s="18" t="s">
        <v>2473</v>
      </c>
      <c r="K380" s="18" t="s">
        <v>2473</v>
      </c>
      <c r="AU380" s="6"/>
      <c r="AV380" s="6" t="str">
        <f t="shared" si="7"/>
        <v/>
      </c>
    </row>
    <row r="381" spans="1:48" ht="14.65" thickBot="1" x14ac:dyDescent="0.5">
      <c r="A381" s="35" t="s">
        <v>1244</v>
      </c>
      <c r="B381" s="3" t="s">
        <v>3136</v>
      </c>
      <c r="C381" s="4" t="s">
        <v>37</v>
      </c>
      <c r="D381" s="4"/>
      <c r="E381" s="4" t="s">
        <v>37</v>
      </c>
      <c r="F381" s="4"/>
      <c r="G381" s="4" t="s">
        <v>37</v>
      </c>
      <c r="H381" s="4"/>
      <c r="J381" s="18" t="s">
        <v>2473</v>
      </c>
      <c r="K381" s="18" t="s">
        <v>2473</v>
      </c>
      <c r="AU381" s="6"/>
      <c r="AV381" s="6" t="str">
        <f t="shared" si="7"/>
        <v/>
      </c>
    </row>
    <row r="382" spans="1:48" ht="14.65" thickBot="1" x14ac:dyDescent="0.5">
      <c r="A382" s="35" t="s">
        <v>3148</v>
      </c>
      <c r="B382" s="3" t="s">
        <v>3127</v>
      </c>
      <c r="C382" s="4" t="s">
        <v>37</v>
      </c>
      <c r="D382" s="4"/>
      <c r="E382" s="4" t="s">
        <v>37</v>
      </c>
      <c r="F382" s="4"/>
      <c r="G382" s="4" t="s">
        <v>37</v>
      </c>
      <c r="H382" s="4"/>
      <c r="J382" s="18" t="s">
        <v>2473</v>
      </c>
      <c r="K382" s="18" t="s">
        <v>2473</v>
      </c>
      <c r="AU382" s="6"/>
      <c r="AV382" s="6" t="str">
        <f t="shared" si="7"/>
        <v/>
      </c>
    </row>
    <row r="383" spans="1:48" ht="14.65" thickBot="1" x14ac:dyDescent="0.5">
      <c r="A383" s="35" t="s">
        <v>3149</v>
      </c>
      <c r="B383" s="3" t="s">
        <v>3137</v>
      </c>
      <c r="C383" s="4"/>
      <c r="D383" s="4"/>
      <c r="E383" s="4"/>
      <c r="F383" s="4"/>
      <c r="G383" s="4"/>
      <c r="H383" s="4"/>
      <c r="J383" s="18" t="s">
        <v>2473</v>
      </c>
      <c r="K383" s="18" t="s">
        <v>2473</v>
      </c>
      <c r="AU383" s="6"/>
      <c r="AV383" s="6" t="str">
        <f t="shared" si="7"/>
        <v/>
      </c>
    </row>
    <row r="384" spans="1:48" ht="14.65" thickBot="1" x14ac:dyDescent="0.5">
      <c r="A384" s="35" t="s">
        <v>3150</v>
      </c>
      <c r="B384" s="3" t="s">
        <v>3129</v>
      </c>
      <c r="C384" s="4"/>
      <c r="D384" s="4"/>
      <c r="E384" s="4"/>
      <c r="F384" s="4"/>
      <c r="G384" s="4"/>
      <c r="H384" s="4"/>
      <c r="J384" s="18" t="s">
        <v>2473</v>
      </c>
      <c r="K384" s="18" t="s">
        <v>2473</v>
      </c>
      <c r="AU384" s="6"/>
      <c r="AV384" s="6" t="str">
        <f t="shared" si="7"/>
        <v/>
      </c>
    </row>
    <row r="385" spans="1:48" ht="14.65" thickBot="1" x14ac:dyDescent="0.5">
      <c r="A385" s="35" t="s">
        <v>1991</v>
      </c>
      <c r="B385" s="3" t="s">
        <v>3045</v>
      </c>
      <c r="C385" s="4"/>
      <c r="D385" s="4"/>
      <c r="E385" s="4"/>
      <c r="F385" s="4"/>
      <c r="G385" s="4"/>
      <c r="H385" s="4"/>
      <c r="J385" s="18" t="s">
        <v>2473</v>
      </c>
      <c r="K385" s="18" t="s">
        <v>2473</v>
      </c>
      <c r="AU385" s="6"/>
      <c r="AV385" s="6" t="str">
        <f t="shared" si="7"/>
        <v/>
      </c>
    </row>
    <row r="386" spans="1:48" ht="14.65" thickBot="1" x14ac:dyDescent="0.5">
      <c r="A386" s="35" t="s">
        <v>3151</v>
      </c>
      <c r="B386" s="3" t="s">
        <v>3130</v>
      </c>
      <c r="C386" s="4" t="s">
        <v>37</v>
      </c>
      <c r="D386" s="4"/>
      <c r="E386" s="4" t="s">
        <v>37</v>
      </c>
      <c r="F386" s="4"/>
      <c r="G386" s="4" t="s">
        <v>37</v>
      </c>
      <c r="H386" s="4"/>
      <c r="J386" s="18" t="s">
        <v>2473</v>
      </c>
      <c r="K386" s="18" t="s">
        <v>2473</v>
      </c>
      <c r="AU386" s="6"/>
      <c r="AV386" s="6" t="str">
        <f t="shared" si="7"/>
        <v/>
      </c>
    </row>
    <row r="387" spans="1:48" ht="14.65" thickBot="1" x14ac:dyDescent="0.5">
      <c r="A387" s="35" t="s">
        <v>3152</v>
      </c>
      <c r="B387" s="3" t="s">
        <v>3131</v>
      </c>
      <c r="C387" s="4" t="s">
        <v>13</v>
      </c>
      <c r="D387" s="4"/>
      <c r="E387" s="4" t="s">
        <v>13</v>
      </c>
      <c r="F387" s="4"/>
      <c r="G387" s="4" t="s">
        <v>13</v>
      </c>
      <c r="H387" s="4"/>
      <c r="J387" s="18" t="s">
        <v>2473</v>
      </c>
      <c r="K387" s="18" t="s">
        <v>2473</v>
      </c>
      <c r="AU387" s="6"/>
      <c r="AV387" s="6" t="str">
        <f t="shared" si="7"/>
        <v/>
      </c>
    </row>
    <row r="388" spans="1:48" ht="14.65" thickBot="1" x14ac:dyDescent="0.5">
      <c r="A388" s="35" t="s">
        <v>130</v>
      </c>
      <c r="B388" s="3" t="s">
        <v>3138</v>
      </c>
      <c r="C388" s="4" t="s">
        <v>10</v>
      </c>
      <c r="D388" s="4"/>
      <c r="E388" s="4" t="s">
        <v>10</v>
      </c>
      <c r="F388" s="4"/>
      <c r="G388" s="4" t="s">
        <v>10</v>
      </c>
      <c r="H388" s="4"/>
      <c r="J388" s="18" t="s">
        <v>2473</v>
      </c>
      <c r="K388" s="18" t="s">
        <v>2473</v>
      </c>
      <c r="AU388" s="6"/>
      <c r="AV388" s="6" t="str">
        <f t="shared" si="7"/>
        <v/>
      </c>
    </row>
    <row r="389" spans="1:48" ht="14.65" thickBot="1" x14ac:dyDescent="0.5">
      <c r="A389" s="35" t="s">
        <v>59</v>
      </c>
      <c r="B389" s="3" t="s">
        <v>3045</v>
      </c>
      <c r="C389" s="4"/>
      <c r="D389" s="4"/>
      <c r="E389" s="4"/>
      <c r="F389" s="4"/>
      <c r="G389" s="4"/>
      <c r="H389" s="4"/>
      <c r="J389" s="18" t="s">
        <v>2473</v>
      </c>
      <c r="K389" s="18" t="s">
        <v>2473</v>
      </c>
      <c r="AU389" s="6"/>
      <c r="AV389" s="6" t="str">
        <f t="shared" si="7"/>
        <v/>
      </c>
    </row>
    <row r="390" spans="1:48" ht="14.65" thickBot="1" x14ac:dyDescent="0.5">
      <c r="A390" s="35" t="s">
        <v>3156</v>
      </c>
      <c r="B390" s="3" t="s">
        <v>3139</v>
      </c>
      <c r="C390" s="4" t="s">
        <v>37</v>
      </c>
      <c r="D390" s="4"/>
      <c r="E390" s="4" t="s">
        <v>37</v>
      </c>
      <c r="F390" s="4"/>
      <c r="G390" s="4" t="s">
        <v>37</v>
      </c>
      <c r="H390" s="4"/>
      <c r="J390" s="18" t="s">
        <v>2473</v>
      </c>
      <c r="K390" s="18" t="s">
        <v>2473</v>
      </c>
      <c r="AU390" s="6"/>
      <c r="AV390" s="6" t="str">
        <f t="shared" si="7"/>
        <v/>
      </c>
    </row>
    <row r="391" spans="1:48" ht="23.65" thickBot="1" x14ac:dyDescent="0.5">
      <c r="A391" s="35" t="s">
        <v>3157</v>
      </c>
      <c r="B391" s="3" t="s">
        <v>3140</v>
      </c>
      <c r="C391" s="4" t="s">
        <v>13</v>
      </c>
      <c r="D391" s="4"/>
      <c r="E391" s="4" t="s">
        <v>13</v>
      </c>
      <c r="F391" s="4"/>
      <c r="G391" s="4" t="s">
        <v>13</v>
      </c>
      <c r="H391" s="4"/>
      <c r="J391" s="18" t="s">
        <v>2473</v>
      </c>
      <c r="K391" s="18" t="s">
        <v>2473</v>
      </c>
      <c r="AU391" s="6"/>
      <c r="AV391" s="6" t="str">
        <f t="shared" si="7"/>
        <v/>
      </c>
    </row>
    <row r="392" spans="1:48" ht="35.25" thickBot="1" x14ac:dyDescent="0.5">
      <c r="A392" s="35" t="s">
        <v>3158</v>
      </c>
      <c r="B392" s="3" t="s">
        <v>3141</v>
      </c>
      <c r="C392" s="4" t="s">
        <v>37</v>
      </c>
      <c r="D392" s="4"/>
      <c r="E392" s="4" t="s">
        <v>37</v>
      </c>
      <c r="F392" s="4"/>
      <c r="G392" s="4" t="s">
        <v>37</v>
      </c>
      <c r="H392" s="4"/>
      <c r="J392" s="18" t="s">
        <v>2473</v>
      </c>
      <c r="K392" s="18" t="s">
        <v>2473</v>
      </c>
      <c r="AU392" s="6"/>
      <c r="AV392" s="6" t="str">
        <f t="shared" si="7"/>
        <v/>
      </c>
    </row>
    <row r="393" spans="1:48" ht="23.65" thickBot="1" x14ac:dyDescent="0.5">
      <c r="A393" s="35" t="s">
        <v>3159</v>
      </c>
      <c r="B393" s="3" t="s">
        <v>3142</v>
      </c>
      <c r="C393" s="4" t="s">
        <v>13</v>
      </c>
      <c r="D393" s="4"/>
      <c r="E393" s="4" t="s">
        <v>13</v>
      </c>
      <c r="F393" s="4"/>
      <c r="G393" s="4" t="s">
        <v>13</v>
      </c>
      <c r="H393" s="4"/>
      <c r="J393" s="18" t="s">
        <v>2473</v>
      </c>
      <c r="K393" s="18" t="s">
        <v>2473</v>
      </c>
      <c r="AU393" s="6"/>
      <c r="AV393" s="6" t="str">
        <f t="shared" si="7"/>
        <v/>
      </c>
    </row>
    <row r="394" spans="1:48" ht="14.65" thickBot="1" x14ac:dyDescent="0.5">
      <c r="A394" s="35" t="s">
        <v>1994</v>
      </c>
      <c r="B394" s="3" t="s">
        <v>3143</v>
      </c>
      <c r="C394" s="4"/>
      <c r="D394" s="4"/>
      <c r="E394" s="4"/>
      <c r="F394" s="4"/>
      <c r="G394" s="4"/>
      <c r="H394" s="4"/>
      <c r="J394" s="18" t="s">
        <v>2473</v>
      </c>
      <c r="K394" s="18" t="s">
        <v>2473</v>
      </c>
      <c r="AU394" s="6"/>
      <c r="AV394" s="6" t="str">
        <f t="shared" si="7"/>
        <v/>
      </c>
    </row>
    <row r="395" spans="1:48" ht="23.65" thickBot="1" x14ac:dyDescent="0.5">
      <c r="A395" s="35" t="s">
        <v>3160</v>
      </c>
      <c r="B395" s="3" t="s">
        <v>3144</v>
      </c>
      <c r="C395" s="4" t="s">
        <v>13</v>
      </c>
      <c r="D395" s="4"/>
      <c r="E395" s="4" t="s">
        <v>13</v>
      </c>
      <c r="F395" s="4"/>
      <c r="G395" s="4" t="s">
        <v>13</v>
      </c>
      <c r="H395" s="4"/>
      <c r="J395" s="18" t="s">
        <v>2473</v>
      </c>
      <c r="K395" s="18" t="s">
        <v>2473</v>
      </c>
      <c r="AU395" s="6"/>
      <c r="AV395" s="6" t="str">
        <f t="shared" si="7"/>
        <v/>
      </c>
    </row>
    <row r="396" spans="1:48" ht="14.65" thickBot="1" x14ac:dyDescent="0.5">
      <c r="A396" s="35" t="s">
        <v>3161</v>
      </c>
      <c r="B396" s="3" t="s">
        <v>3145</v>
      </c>
      <c r="C396" s="4" t="s">
        <v>13</v>
      </c>
      <c r="D396" s="4"/>
      <c r="E396" s="4" t="s">
        <v>13</v>
      </c>
      <c r="F396" s="4"/>
      <c r="G396" s="4" t="s">
        <v>13</v>
      </c>
      <c r="H396" s="4"/>
      <c r="J396" s="18" t="s">
        <v>2473</v>
      </c>
      <c r="K396" s="18" t="s">
        <v>2473</v>
      </c>
      <c r="AU396" s="6"/>
      <c r="AV396" s="6" t="str">
        <f t="shared" si="7"/>
        <v/>
      </c>
    </row>
    <row r="397" spans="1:48" ht="14.65" thickBot="1" x14ac:dyDescent="0.5">
      <c r="A397" s="35" t="s">
        <v>3162</v>
      </c>
      <c r="B397" s="3" t="s">
        <v>3146</v>
      </c>
      <c r="C397" s="4" t="s">
        <v>13</v>
      </c>
      <c r="D397" s="4"/>
      <c r="E397" s="4" t="s">
        <v>13</v>
      </c>
      <c r="F397" s="4"/>
      <c r="G397" s="4" t="s">
        <v>13</v>
      </c>
      <c r="H397" s="4"/>
      <c r="J397" s="18" t="s">
        <v>2473</v>
      </c>
      <c r="K397" s="18" t="s">
        <v>2473</v>
      </c>
      <c r="AU397" s="6"/>
      <c r="AV397" s="6" t="str">
        <f t="shared" si="7"/>
        <v/>
      </c>
    </row>
    <row r="398" spans="1:48" ht="14.65" thickBot="1" x14ac:dyDescent="0.5">
      <c r="A398" s="36" t="s">
        <v>380</v>
      </c>
      <c r="B398" s="3" t="s">
        <v>381</v>
      </c>
      <c r="C398" s="4" t="s">
        <v>10</v>
      </c>
      <c r="D398" s="4"/>
      <c r="E398" s="4" t="s">
        <v>10</v>
      </c>
      <c r="F398" s="4"/>
      <c r="G398" s="4" t="s">
        <v>10</v>
      </c>
      <c r="H398" s="4"/>
      <c r="I398" s="18" t="s">
        <v>2473</v>
      </c>
      <c r="J398" s="18" t="s">
        <v>2473</v>
      </c>
      <c r="K398" s="18" t="s">
        <v>2473</v>
      </c>
      <c r="AU398" s="6"/>
      <c r="AV398" s="6" t="str">
        <f t="shared" si="7"/>
        <v/>
      </c>
    </row>
    <row r="399" spans="1:48" ht="14.65" thickBot="1" x14ac:dyDescent="0.5">
      <c r="A399" s="36" t="s">
        <v>75</v>
      </c>
      <c r="B399" s="3" t="s">
        <v>76</v>
      </c>
      <c r="C399" s="4"/>
      <c r="D399" s="4"/>
      <c r="E399" s="4"/>
      <c r="F399" s="4"/>
      <c r="G399" s="4"/>
      <c r="H399" s="4"/>
      <c r="I399" s="18" t="s">
        <v>2473</v>
      </c>
      <c r="J399" s="18" t="s">
        <v>2473</v>
      </c>
      <c r="K399" s="18" t="s">
        <v>2473</v>
      </c>
      <c r="AU399" s="6"/>
      <c r="AV399" s="6" t="str">
        <f t="shared" si="7"/>
        <v/>
      </c>
    </row>
    <row r="400" spans="1:48" ht="14.65" thickBot="1" x14ac:dyDescent="0.5">
      <c r="A400" s="35" t="s">
        <v>77</v>
      </c>
      <c r="B400" s="3" t="s">
        <v>382</v>
      </c>
      <c r="C400" s="4"/>
      <c r="D400" s="4"/>
      <c r="E400" s="4"/>
      <c r="F400" s="4"/>
      <c r="G400" s="4"/>
      <c r="H400" s="4"/>
      <c r="I400" s="18" t="s">
        <v>2473</v>
      </c>
      <c r="J400" s="18" t="s">
        <v>2473</v>
      </c>
      <c r="K400" s="18" t="s">
        <v>2473</v>
      </c>
      <c r="AU400" s="6"/>
      <c r="AV400" s="6" t="str">
        <f t="shared" si="7"/>
        <v/>
      </c>
    </row>
    <row r="401" spans="1:48" ht="14.65" thickBot="1" x14ac:dyDescent="0.5">
      <c r="A401" s="35" t="s">
        <v>43</v>
      </c>
      <c r="B401" s="3" t="s">
        <v>79</v>
      </c>
      <c r="C401" s="4"/>
      <c r="D401" s="4"/>
      <c r="E401" s="4"/>
      <c r="F401" s="4"/>
      <c r="G401" s="4"/>
      <c r="H401" s="4"/>
      <c r="I401" s="18" t="s">
        <v>2473</v>
      </c>
      <c r="J401" s="18" t="s">
        <v>2473</v>
      </c>
      <c r="K401" s="18" t="s">
        <v>2473</v>
      </c>
      <c r="AU401" s="6"/>
      <c r="AV401" s="6" t="str">
        <f t="shared" si="7"/>
        <v/>
      </c>
    </row>
    <row r="402" spans="1:48" ht="23.65" thickBot="1" x14ac:dyDescent="0.5">
      <c r="A402" s="35" t="s">
        <v>3163</v>
      </c>
      <c r="B402" s="3" t="s">
        <v>3164</v>
      </c>
      <c r="C402" s="4"/>
      <c r="D402" s="4"/>
      <c r="E402" s="4"/>
      <c r="F402" s="4"/>
      <c r="G402" s="4"/>
      <c r="H402" s="4"/>
      <c r="J402" s="18" t="s">
        <v>2473</v>
      </c>
      <c r="K402" s="18" t="s">
        <v>2473</v>
      </c>
      <c r="AU402" s="6"/>
      <c r="AV402" s="6" t="str">
        <f t="shared" si="7"/>
        <v/>
      </c>
    </row>
    <row r="403" spans="1:48" ht="14.65" thickBot="1" x14ac:dyDescent="0.5">
      <c r="A403" s="35" t="s">
        <v>33</v>
      </c>
      <c r="B403" s="3" t="s">
        <v>3165</v>
      </c>
      <c r="C403" s="4"/>
      <c r="D403" s="4"/>
      <c r="E403" s="4"/>
      <c r="F403" s="4"/>
      <c r="G403" s="4"/>
      <c r="H403" s="4"/>
      <c r="J403" s="18" t="s">
        <v>2473</v>
      </c>
      <c r="K403" s="18" t="s">
        <v>2473</v>
      </c>
      <c r="AU403" s="6"/>
      <c r="AV403" s="6" t="str">
        <f t="shared" si="7"/>
        <v/>
      </c>
    </row>
    <row r="404" spans="1:48" ht="14.65" thickBot="1" x14ac:dyDescent="0.5">
      <c r="A404" s="35" t="s">
        <v>85</v>
      </c>
      <c r="B404" s="3" t="s">
        <v>3165</v>
      </c>
      <c r="C404" s="4"/>
      <c r="D404" s="4"/>
      <c r="E404" s="4"/>
      <c r="F404" s="4"/>
      <c r="G404" s="4"/>
      <c r="H404" s="4"/>
      <c r="J404" s="18" t="s">
        <v>2473</v>
      </c>
      <c r="K404" s="18" t="s">
        <v>2473</v>
      </c>
      <c r="AU404" s="6"/>
      <c r="AV404" s="6" t="str">
        <f t="shared" si="7"/>
        <v/>
      </c>
    </row>
    <row r="405" spans="1:48" ht="14.65" thickBot="1" x14ac:dyDescent="0.5">
      <c r="A405" s="35" t="s">
        <v>1113</v>
      </c>
      <c r="B405" s="3" t="s">
        <v>3166</v>
      </c>
      <c r="C405" s="4"/>
      <c r="D405" s="4"/>
      <c r="E405" s="4"/>
      <c r="F405" s="4"/>
      <c r="G405" s="4"/>
      <c r="H405" s="4"/>
      <c r="J405" s="18" t="s">
        <v>2473</v>
      </c>
      <c r="K405" s="18" t="s">
        <v>2473</v>
      </c>
      <c r="AU405" s="6"/>
      <c r="AV405" s="6" t="str">
        <f t="shared" ref="AV405:AV470" si="8">IF(A405&lt;&gt;"",IF(T405&lt;&gt;"",IF(LEFT(R405,3)="Has",IF(TRIM(A405)&lt;&gt;T405,"ERROR","OK"),""),""),"")</f>
        <v/>
      </c>
    </row>
    <row r="406" spans="1:48" ht="14.65" thickBot="1" x14ac:dyDescent="0.5">
      <c r="A406" s="35" t="s">
        <v>59</v>
      </c>
      <c r="B406" s="3" t="s">
        <v>60</v>
      </c>
      <c r="C406" s="4"/>
      <c r="D406" s="4"/>
      <c r="E406" s="4"/>
      <c r="F406" s="4"/>
      <c r="G406" s="4"/>
      <c r="H406" s="4"/>
      <c r="I406" s="18" t="s">
        <v>2473</v>
      </c>
      <c r="J406" s="18" t="s">
        <v>2473</v>
      </c>
      <c r="K406" s="18" t="s">
        <v>2473</v>
      </c>
      <c r="AU406" s="6"/>
      <c r="AV406" s="6" t="str">
        <f t="shared" si="8"/>
        <v/>
      </c>
    </row>
    <row r="407" spans="1:48" ht="36" thickBot="1" x14ac:dyDescent="0.5">
      <c r="A407" s="36" t="s">
        <v>208</v>
      </c>
      <c r="B407" s="3" t="s">
        <v>3967</v>
      </c>
      <c r="C407" s="4"/>
      <c r="D407" s="4"/>
      <c r="E407" s="4"/>
      <c r="F407" s="4"/>
      <c r="G407" s="4"/>
      <c r="H407" s="4"/>
      <c r="I407" s="18" t="s">
        <v>2473</v>
      </c>
      <c r="J407" s="18" t="s">
        <v>2473</v>
      </c>
      <c r="K407" s="18" t="s">
        <v>2473</v>
      </c>
      <c r="AU407" s="139" t="s">
        <v>4337</v>
      </c>
      <c r="AV407" s="6" t="str">
        <f t="shared" si="8"/>
        <v/>
      </c>
    </row>
    <row r="408" spans="1:48" ht="14.65" thickBot="1" x14ac:dyDescent="0.5">
      <c r="A408" s="36" t="s">
        <v>99</v>
      </c>
      <c r="B408" s="3" t="s">
        <v>383</v>
      </c>
      <c r="C408" s="4" t="s">
        <v>10</v>
      </c>
      <c r="D408" s="4"/>
      <c r="E408" s="4" t="s">
        <v>10</v>
      </c>
      <c r="F408" s="4"/>
      <c r="G408" s="4" t="s">
        <v>10</v>
      </c>
      <c r="H408" s="4"/>
      <c r="I408" s="18" t="s">
        <v>2473</v>
      </c>
      <c r="J408" s="18" t="s">
        <v>2473</v>
      </c>
      <c r="K408" s="18" t="s">
        <v>2473</v>
      </c>
      <c r="AU408" s="6"/>
      <c r="AV408" s="6" t="str">
        <f t="shared" si="8"/>
        <v/>
      </c>
    </row>
    <row r="409" spans="1:48" ht="14.65" thickBot="1" x14ac:dyDescent="0.5">
      <c r="A409" s="36" t="s">
        <v>384</v>
      </c>
      <c r="B409" s="3" t="s">
        <v>385</v>
      </c>
      <c r="C409" s="4" t="s">
        <v>10</v>
      </c>
      <c r="D409" s="4"/>
      <c r="E409" s="4" t="s">
        <v>10</v>
      </c>
      <c r="F409" s="4"/>
      <c r="G409" s="4" t="s">
        <v>10</v>
      </c>
      <c r="H409" s="4"/>
      <c r="I409" s="18" t="s">
        <v>2473</v>
      </c>
      <c r="J409" s="18" t="s">
        <v>2473</v>
      </c>
      <c r="K409" s="18" t="s">
        <v>2473</v>
      </c>
      <c r="AU409" s="6"/>
      <c r="AV409" s="6" t="str">
        <f t="shared" si="8"/>
        <v/>
      </c>
    </row>
    <row r="410" spans="1:48" ht="14.65" thickBot="1" x14ac:dyDescent="0.5">
      <c r="A410" s="36" t="s">
        <v>3167</v>
      </c>
      <c r="B410" s="3" t="s">
        <v>3168</v>
      </c>
      <c r="C410" s="4"/>
      <c r="D410" s="4"/>
      <c r="E410" s="4"/>
      <c r="F410" s="4"/>
      <c r="G410" s="4"/>
      <c r="H410" s="4"/>
      <c r="J410" s="18" t="s">
        <v>2473</v>
      </c>
      <c r="K410" s="18" t="s">
        <v>2473</v>
      </c>
      <c r="AU410" s="6"/>
      <c r="AV410" s="6" t="str">
        <f t="shared" si="8"/>
        <v/>
      </c>
    </row>
    <row r="411" spans="1:48" ht="14.65" thickBot="1" x14ac:dyDescent="0.5">
      <c r="A411" s="36" t="s">
        <v>231</v>
      </c>
      <c r="B411" s="3" t="s">
        <v>3169</v>
      </c>
      <c r="C411" s="4"/>
      <c r="D411" s="4"/>
      <c r="E411" s="4"/>
      <c r="F411" s="4"/>
      <c r="G411" s="4"/>
      <c r="H411" s="4"/>
      <c r="J411" s="18" t="s">
        <v>2473</v>
      </c>
      <c r="K411" s="18" t="s">
        <v>2473</v>
      </c>
      <c r="AU411" s="6"/>
      <c r="AV411" s="6" t="str">
        <f t="shared" si="8"/>
        <v/>
      </c>
    </row>
    <row r="412" spans="1:48" ht="14.65" thickBot="1" x14ac:dyDescent="0.5">
      <c r="A412" s="36" t="s">
        <v>33</v>
      </c>
      <c r="B412" s="3" t="s">
        <v>3043</v>
      </c>
      <c r="C412" s="4"/>
      <c r="D412" s="4"/>
      <c r="E412" s="4"/>
      <c r="F412" s="4"/>
      <c r="G412" s="4"/>
      <c r="H412" s="4"/>
      <c r="J412" s="18" t="s">
        <v>2473</v>
      </c>
      <c r="K412" s="18" t="s">
        <v>2473</v>
      </c>
      <c r="AU412" s="6"/>
      <c r="AV412" s="6" t="str">
        <f t="shared" si="8"/>
        <v/>
      </c>
    </row>
    <row r="413" spans="1:48" ht="14.65" thickBot="1" x14ac:dyDescent="0.5">
      <c r="A413" s="36" t="s">
        <v>114</v>
      </c>
      <c r="B413" s="3" t="s">
        <v>386</v>
      </c>
      <c r="C413" s="4" t="s">
        <v>10</v>
      </c>
      <c r="D413" s="4"/>
      <c r="E413" s="4" t="s">
        <v>10</v>
      </c>
      <c r="F413" s="4"/>
      <c r="G413" s="4" t="s">
        <v>10</v>
      </c>
      <c r="H413" s="4"/>
      <c r="I413" s="18" t="s">
        <v>2473</v>
      </c>
      <c r="J413" s="18" t="s">
        <v>2473</v>
      </c>
      <c r="K413" s="18" t="s">
        <v>2473</v>
      </c>
      <c r="AU413" s="8"/>
      <c r="AV413" s="6" t="str">
        <f t="shared" si="8"/>
        <v/>
      </c>
    </row>
    <row r="414" spans="1:48" ht="14.65" thickBot="1" x14ac:dyDescent="0.5">
      <c r="A414" s="36" t="s">
        <v>387</v>
      </c>
      <c r="B414" s="3" t="s">
        <v>388</v>
      </c>
      <c r="C414" s="4" t="s">
        <v>10</v>
      </c>
      <c r="D414" s="4"/>
      <c r="E414" s="4" t="s">
        <v>10</v>
      </c>
      <c r="F414" s="4"/>
      <c r="G414" s="4" t="s">
        <v>10</v>
      </c>
      <c r="H414" s="4"/>
      <c r="I414" s="18" t="s">
        <v>2473</v>
      </c>
      <c r="J414" s="18" t="s">
        <v>2473</v>
      </c>
      <c r="K414" s="18" t="s">
        <v>2473</v>
      </c>
      <c r="AU414" s="8"/>
      <c r="AV414" s="6" t="str">
        <f t="shared" si="8"/>
        <v/>
      </c>
    </row>
    <row r="415" spans="1:48" ht="14.65" thickBot="1" x14ac:dyDescent="0.5">
      <c r="A415" s="36" t="s">
        <v>389</v>
      </c>
      <c r="B415" s="3" t="s">
        <v>390</v>
      </c>
      <c r="C415" s="4"/>
      <c r="D415" s="4"/>
      <c r="E415" s="4"/>
      <c r="F415" s="4"/>
      <c r="G415" s="4"/>
      <c r="H415" s="4"/>
      <c r="I415" s="18" t="s">
        <v>2473</v>
      </c>
      <c r="J415" s="18" t="s">
        <v>2473</v>
      </c>
      <c r="K415" s="18" t="s">
        <v>2473</v>
      </c>
      <c r="AU415" s="8"/>
      <c r="AV415" s="6" t="str">
        <f t="shared" si="8"/>
        <v/>
      </c>
    </row>
    <row r="416" spans="1:48" ht="14.65" thickBot="1" x14ac:dyDescent="0.5">
      <c r="A416" s="35" t="s">
        <v>391</v>
      </c>
      <c r="B416" s="3" t="s">
        <v>392</v>
      </c>
      <c r="C416" s="4" t="s">
        <v>10</v>
      </c>
      <c r="D416" s="4"/>
      <c r="E416" s="4" t="s">
        <v>10</v>
      </c>
      <c r="F416" s="4"/>
      <c r="G416" s="4" t="s">
        <v>10</v>
      </c>
      <c r="H416" s="4"/>
      <c r="I416" s="18" t="s">
        <v>2473</v>
      </c>
      <c r="J416" s="18" t="s">
        <v>2473</v>
      </c>
      <c r="K416" s="18" t="s">
        <v>2473</v>
      </c>
      <c r="AU416" s="8"/>
      <c r="AV416" s="6" t="str">
        <f t="shared" si="8"/>
        <v/>
      </c>
    </row>
    <row r="417" spans="1:48" ht="14.65" thickBot="1" x14ac:dyDescent="0.5">
      <c r="A417" s="35" t="s">
        <v>393</v>
      </c>
      <c r="B417" s="3" t="s">
        <v>394</v>
      </c>
      <c r="C417" s="4" t="s">
        <v>10</v>
      </c>
      <c r="D417" s="4"/>
      <c r="E417" s="4" t="s">
        <v>10</v>
      </c>
      <c r="F417" s="4"/>
      <c r="G417" s="4" t="s">
        <v>10</v>
      </c>
      <c r="H417" s="4"/>
      <c r="I417" s="18" t="s">
        <v>2473</v>
      </c>
      <c r="J417" s="18" t="s">
        <v>2473</v>
      </c>
      <c r="K417" s="18" t="s">
        <v>2473</v>
      </c>
      <c r="AU417" s="8"/>
      <c r="AV417" s="6" t="str">
        <f t="shared" si="8"/>
        <v/>
      </c>
    </row>
    <row r="418" spans="1:48" ht="14.65" thickBot="1" x14ac:dyDescent="0.5">
      <c r="A418" s="35" t="s">
        <v>395</v>
      </c>
      <c r="B418" s="3" t="s">
        <v>396</v>
      </c>
      <c r="C418" s="4"/>
      <c r="D418" s="4"/>
      <c r="E418" s="4"/>
      <c r="F418" s="4"/>
      <c r="G418" s="4"/>
      <c r="H418" s="4"/>
      <c r="I418" s="18" t="s">
        <v>2473</v>
      </c>
      <c r="J418" s="18" t="s">
        <v>2473</v>
      </c>
      <c r="K418" s="18" t="s">
        <v>2473</v>
      </c>
      <c r="AU418" s="6"/>
      <c r="AV418" s="6" t="str">
        <f t="shared" si="8"/>
        <v/>
      </c>
    </row>
    <row r="419" spans="1:48" ht="14.65" thickBot="1" x14ac:dyDescent="0.5">
      <c r="A419" s="35" t="s">
        <v>397</v>
      </c>
      <c r="B419" s="3" t="s">
        <v>398</v>
      </c>
      <c r="C419" s="4"/>
      <c r="D419" s="4"/>
      <c r="E419" s="4"/>
      <c r="F419" s="4"/>
      <c r="G419" s="4"/>
      <c r="H419" s="4"/>
      <c r="I419" s="18" t="s">
        <v>2473</v>
      </c>
      <c r="J419" s="18" t="s">
        <v>2473</v>
      </c>
      <c r="K419" s="18" t="s">
        <v>2473</v>
      </c>
      <c r="AU419" s="6"/>
      <c r="AV419" s="6" t="str">
        <f t="shared" si="8"/>
        <v/>
      </c>
    </row>
    <row r="420" spans="1:48" ht="14.65" thickBot="1" x14ac:dyDescent="0.5">
      <c r="A420" s="35" t="s">
        <v>399</v>
      </c>
      <c r="B420" s="3" t="s">
        <v>400</v>
      </c>
      <c r="C420" s="4" t="s">
        <v>13</v>
      </c>
      <c r="D420" s="4"/>
      <c r="E420" s="4" t="s">
        <v>13</v>
      </c>
      <c r="F420" s="4"/>
      <c r="G420" s="4" t="s">
        <v>13</v>
      </c>
      <c r="H420" s="4"/>
      <c r="I420" s="18" t="s">
        <v>2473</v>
      </c>
      <c r="J420" s="18" t="s">
        <v>2473</v>
      </c>
      <c r="K420" s="18" t="s">
        <v>2473</v>
      </c>
      <c r="AU420" s="6"/>
      <c r="AV420" s="6" t="str">
        <f t="shared" si="8"/>
        <v/>
      </c>
    </row>
    <row r="421" spans="1:48" ht="14.65" thickBot="1" x14ac:dyDescent="0.5">
      <c r="A421" s="35" t="s">
        <v>401</v>
      </c>
      <c r="B421" s="3" t="s">
        <v>402</v>
      </c>
      <c r="C421" s="4" t="s">
        <v>10</v>
      </c>
      <c r="D421" s="4"/>
      <c r="E421" s="4" t="s">
        <v>10</v>
      </c>
      <c r="F421" s="4"/>
      <c r="G421" s="4" t="s">
        <v>10</v>
      </c>
      <c r="H421" s="4"/>
      <c r="I421" s="18" t="s">
        <v>2473</v>
      </c>
      <c r="J421" s="18" t="s">
        <v>2473</v>
      </c>
      <c r="K421" s="18" t="s">
        <v>2473</v>
      </c>
      <c r="AU421" s="6"/>
      <c r="AV421" s="6" t="str">
        <f t="shared" si="8"/>
        <v/>
      </c>
    </row>
    <row r="422" spans="1:48" ht="14.65" thickBot="1" x14ac:dyDescent="0.5">
      <c r="A422" s="36" t="s">
        <v>3170</v>
      </c>
      <c r="B422" s="3" t="s">
        <v>3786</v>
      </c>
      <c r="C422" s="4"/>
      <c r="D422" s="4"/>
      <c r="E422" s="4"/>
      <c r="F422" s="4"/>
      <c r="G422" s="4"/>
      <c r="H422" s="4"/>
      <c r="J422" s="18" t="s">
        <v>2473</v>
      </c>
      <c r="K422" s="18" t="s">
        <v>2473</v>
      </c>
      <c r="AU422" s="6"/>
      <c r="AV422" s="6" t="str">
        <f t="shared" si="8"/>
        <v/>
      </c>
    </row>
    <row r="423" spans="1:48" ht="14.65" thickBot="1" x14ac:dyDescent="0.5">
      <c r="A423" s="35" t="s">
        <v>3175</v>
      </c>
      <c r="B423" s="3" t="s">
        <v>3171</v>
      </c>
      <c r="C423" s="4"/>
      <c r="D423" s="4"/>
      <c r="E423" s="4"/>
      <c r="F423" s="4"/>
      <c r="G423" s="4"/>
      <c r="H423" s="4"/>
      <c r="J423" s="18" t="s">
        <v>2473</v>
      </c>
      <c r="K423" s="18" t="s">
        <v>2473</v>
      </c>
      <c r="AU423" s="6"/>
      <c r="AV423" s="6" t="str">
        <f t="shared" si="8"/>
        <v/>
      </c>
    </row>
    <row r="424" spans="1:48" ht="14.65" thickBot="1" x14ac:dyDescent="0.5">
      <c r="A424" s="35" t="s">
        <v>3176</v>
      </c>
      <c r="B424" s="3" t="s">
        <v>3172</v>
      </c>
      <c r="C424" s="4"/>
      <c r="D424" s="4"/>
      <c r="E424" s="4"/>
      <c r="F424" s="4"/>
      <c r="G424" s="4"/>
      <c r="H424" s="4"/>
      <c r="J424" s="18" t="s">
        <v>2473</v>
      </c>
      <c r="K424" s="18" t="s">
        <v>2473</v>
      </c>
      <c r="AU424" s="6"/>
      <c r="AV424" s="6" t="str">
        <f t="shared" si="8"/>
        <v/>
      </c>
    </row>
    <row r="425" spans="1:48" ht="14.65" thickBot="1" x14ac:dyDescent="0.5">
      <c r="A425" s="35" t="s">
        <v>3177</v>
      </c>
      <c r="B425" s="3" t="s">
        <v>3173</v>
      </c>
      <c r="C425" s="4"/>
      <c r="D425" s="4"/>
      <c r="E425" s="4"/>
      <c r="F425" s="4"/>
      <c r="G425" s="4"/>
      <c r="H425" s="4"/>
      <c r="J425" s="18" t="s">
        <v>2473</v>
      </c>
      <c r="K425" s="18" t="s">
        <v>2473</v>
      </c>
      <c r="AU425" s="6"/>
      <c r="AV425" s="6" t="str">
        <f t="shared" si="8"/>
        <v/>
      </c>
    </row>
    <row r="426" spans="1:48" ht="14.65" thickBot="1" x14ac:dyDescent="0.5">
      <c r="A426" s="35" t="s">
        <v>3178</v>
      </c>
      <c r="B426" s="3" t="s">
        <v>3174</v>
      </c>
      <c r="C426" s="4"/>
      <c r="D426" s="4"/>
      <c r="E426" s="4"/>
      <c r="F426" s="4"/>
      <c r="G426" s="4"/>
      <c r="H426" s="4"/>
      <c r="J426" s="18" t="s">
        <v>2473</v>
      </c>
      <c r="K426" s="18" t="s">
        <v>2473</v>
      </c>
      <c r="AU426" s="6"/>
      <c r="AV426" s="6" t="str">
        <f t="shared" si="8"/>
        <v/>
      </c>
    </row>
    <row r="427" spans="1:48" ht="14.65" thickBot="1" x14ac:dyDescent="0.5">
      <c r="A427" s="36" t="s">
        <v>403</v>
      </c>
      <c r="B427" s="3" t="s">
        <v>404</v>
      </c>
      <c r="C427" s="4" t="s">
        <v>10</v>
      </c>
      <c r="D427" s="4"/>
      <c r="E427" s="4" t="s">
        <v>10</v>
      </c>
      <c r="F427" s="4"/>
      <c r="G427" s="4" t="s">
        <v>10</v>
      </c>
      <c r="H427" s="4"/>
      <c r="I427" s="18" t="s">
        <v>2473</v>
      </c>
      <c r="J427" s="18" t="s">
        <v>2473</v>
      </c>
      <c r="K427" s="18" t="s">
        <v>2473</v>
      </c>
      <c r="AU427" s="6"/>
      <c r="AV427" s="6" t="str">
        <f t="shared" si="8"/>
        <v/>
      </c>
    </row>
    <row r="428" spans="1:48" ht="14.65" thickBot="1" x14ac:dyDescent="0.5">
      <c r="A428" s="36" t="s">
        <v>405</v>
      </c>
      <c r="B428" s="3" t="s">
        <v>406</v>
      </c>
      <c r="C428" s="4" t="s">
        <v>37</v>
      </c>
      <c r="D428" s="4"/>
      <c r="E428" s="4" t="s">
        <v>37</v>
      </c>
      <c r="F428" s="4"/>
      <c r="G428" s="4" t="s">
        <v>37</v>
      </c>
      <c r="H428" s="4"/>
      <c r="I428" s="18" t="s">
        <v>2473</v>
      </c>
      <c r="J428" s="18" t="s">
        <v>2473</v>
      </c>
      <c r="K428" s="18" t="s">
        <v>2473</v>
      </c>
      <c r="AU428" s="6"/>
      <c r="AV428" s="6" t="str">
        <f t="shared" si="8"/>
        <v/>
      </c>
    </row>
    <row r="429" spans="1:48" ht="105.75" thickBot="1" x14ac:dyDescent="0.5">
      <c r="A429" s="36" t="s">
        <v>145</v>
      </c>
      <c r="B429" s="3" t="s">
        <v>3604</v>
      </c>
      <c r="C429" s="4" t="s">
        <v>10</v>
      </c>
      <c r="D429" s="4"/>
      <c r="E429" s="4" t="s">
        <v>10</v>
      </c>
      <c r="F429" s="4"/>
      <c r="G429" s="4" t="s">
        <v>10</v>
      </c>
      <c r="H429" s="4"/>
      <c r="I429" s="18" t="s">
        <v>2473</v>
      </c>
      <c r="J429" s="18" t="s">
        <v>2473</v>
      </c>
      <c r="K429" s="18" t="s">
        <v>2473</v>
      </c>
      <c r="AS429" s="206" t="s">
        <v>5861</v>
      </c>
      <c r="AU429" s="6"/>
      <c r="AV429" s="6" t="str">
        <f t="shared" si="8"/>
        <v/>
      </c>
    </row>
    <row r="430" spans="1:48" ht="47.65" thickBot="1" x14ac:dyDescent="0.5">
      <c r="A430" s="35" t="s">
        <v>5361</v>
      </c>
      <c r="B430" s="3" t="s">
        <v>5352</v>
      </c>
      <c r="C430" s="4" t="s">
        <v>10</v>
      </c>
      <c r="D430" s="4"/>
      <c r="E430" s="4" t="s">
        <v>10</v>
      </c>
      <c r="F430" s="4"/>
      <c r="G430" s="4" t="s">
        <v>10</v>
      </c>
      <c r="H430" s="4"/>
      <c r="I430" s="18" t="s">
        <v>2473</v>
      </c>
      <c r="J430" s="18" t="s">
        <v>2473</v>
      </c>
      <c r="K430" s="18" t="s">
        <v>2473</v>
      </c>
      <c r="Q430" s="131"/>
      <c r="R430" s="131"/>
      <c r="S430" s="131"/>
      <c r="T430" s="131"/>
      <c r="U430" s="131"/>
      <c r="V430" s="131"/>
      <c r="W430" s="131"/>
      <c r="X430" s="131"/>
      <c r="AS430" s="139" t="s">
        <v>5355</v>
      </c>
      <c r="AU430" s="6"/>
      <c r="AV430" s="6"/>
    </row>
    <row r="431" spans="1:48" ht="82.5" thickBot="1" x14ac:dyDescent="0.5">
      <c r="A431" s="35" t="s">
        <v>5360</v>
      </c>
      <c r="B431" s="3" t="s">
        <v>5353</v>
      </c>
      <c r="C431" s="4"/>
      <c r="D431" s="4"/>
      <c r="E431" s="4"/>
      <c r="F431" s="4"/>
      <c r="G431" s="4"/>
      <c r="H431" s="4"/>
      <c r="I431" s="18" t="s">
        <v>2473</v>
      </c>
      <c r="J431" s="18" t="s">
        <v>2473</v>
      </c>
      <c r="K431" s="18" t="s">
        <v>2473</v>
      </c>
      <c r="Q431" s="131"/>
      <c r="R431" s="131"/>
      <c r="S431" s="131"/>
      <c r="T431" s="131"/>
      <c r="U431" s="131"/>
      <c r="V431" s="131"/>
      <c r="W431" s="131"/>
      <c r="X431" s="131"/>
      <c r="AS431" s="139" t="s">
        <v>5356</v>
      </c>
      <c r="AU431" s="6"/>
      <c r="AV431" s="6"/>
    </row>
    <row r="432" spans="1:48" ht="23.65" thickBot="1" x14ac:dyDescent="0.5">
      <c r="A432" s="36" t="s">
        <v>407</v>
      </c>
      <c r="B432" s="3" t="s">
        <v>3600</v>
      </c>
      <c r="C432" s="4"/>
      <c r="D432" s="4"/>
      <c r="E432" s="4"/>
      <c r="F432" s="4"/>
      <c r="G432" s="4"/>
      <c r="H432" s="4"/>
      <c r="I432" s="18" t="s">
        <v>2473</v>
      </c>
      <c r="J432" s="18" t="s">
        <v>2473</v>
      </c>
      <c r="K432" s="18" t="s">
        <v>2473</v>
      </c>
      <c r="AU432" s="6"/>
      <c r="AV432" s="6" t="str">
        <f t="shared" si="8"/>
        <v/>
      </c>
    </row>
    <row r="433" spans="1:48" ht="14.65" thickBot="1" x14ac:dyDescent="0.5">
      <c r="A433" s="35" t="s">
        <v>33</v>
      </c>
      <c r="B433" s="3" t="s">
        <v>134</v>
      </c>
      <c r="C433" s="4"/>
      <c r="D433" s="4"/>
      <c r="E433" s="4"/>
      <c r="F433" s="4"/>
      <c r="G433" s="4"/>
      <c r="H433" s="4"/>
      <c r="I433" s="18" t="s">
        <v>2473</v>
      </c>
      <c r="J433" s="18" t="s">
        <v>2473</v>
      </c>
      <c r="K433" s="18" t="s">
        <v>2473</v>
      </c>
      <c r="AU433" s="6"/>
      <c r="AV433" s="6" t="str">
        <f t="shared" si="8"/>
        <v/>
      </c>
    </row>
    <row r="434" spans="1:48" ht="14.65" thickBot="1" x14ac:dyDescent="0.5">
      <c r="A434" s="36" t="s">
        <v>408</v>
      </c>
      <c r="B434" s="3" t="s">
        <v>409</v>
      </c>
      <c r="C434" s="4" t="s">
        <v>10</v>
      </c>
      <c r="D434" s="4"/>
      <c r="E434" s="4" t="s">
        <v>10</v>
      </c>
      <c r="F434" s="4"/>
      <c r="G434" s="4" t="s">
        <v>10</v>
      </c>
      <c r="H434" s="4"/>
      <c r="I434" s="18" t="s">
        <v>2473</v>
      </c>
      <c r="J434" s="18" t="s">
        <v>2473</v>
      </c>
      <c r="K434" s="18" t="s">
        <v>2473</v>
      </c>
      <c r="AU434" s="6"/>
      <c r="AV434" s="6" t="str">
        <f t="shared" si="8"/>
        <v/>
      </c>
    </row>
    <row r="435" spans="1:48" ht="14.65" thickBot="1" x14ac:dyDescent="0.5">
      <c r="A435" s="36" t="s">
        <v>3179</v>
      </c>
      <c r="B435" s="3" t="s">
        <v>3180</v>
      </c>
      <c r="C435" s="4"/>
      <c r="D435" s="4"/>
      <c r="E435" s="4"/>
      <c r="F435" s="4"/>
      <c r="G435" s="4"/>
      <c r="H435" s="4"/>
      <c r="J435" s="18" t="s">
        <v>2473</v>
      </c>
      <c r="K435" s="18" t="s">
        <v>2473</v>
      </c>
      <c r="AU435" s="6"/>
      <c r="AV435" s="6" t="str">
        <f t="shared" si="8"/>
        <v/>
      </c>
    </row>
    <row r="436" spans="1:48" ht="14.65" thickBot="1" x14ac:dyDescent="0.5">
      <c r="A436" s="36" t="s">
        <v>410</v>
      </c>
      <c r="B436" s="3" t="s">
        <v>411</v>
      </c>
      <c r="C436" s="4" t="s">
        <v>10</v>
      </c>
      <c r="D436" s="4"/>
      <c r="E436" s="4" t="s">
        <v>10</v>
      </c>
      <c r="F436" s="4"/>
      <c r="G436" s="4" t="s">
        <v>10</v>
      </c>
      <c r="H436" s="4"/>
      <c r="I436" s="18" t="s">
        <v>2473</v>
      </c>
      <c r="J436" s="18" t="s">
        <v>2473</v>
      </c>
      <c r="K436" s="18" t="s">
        <v>2473</v>
      </c>
      <c r="AU436" s="6"/>
      <c r="AV436" s="6" t="str">
        <f t="shared" si="8"/>
        <v/>
      </c>
    </row>
    <row r="437" spans="1:48" x14ac:dyDescent="0.45">
      <c r="A437" s="33" t="s">
        <v>412</v>
      </c>
      <c r="I437" s="18" t="s">
        <v>2473</v>
      </c>
      <c r="J437" s="18" t="s">
        <v>2473</v>
      </c>
      <c r="K437" s="18" t="s">
        <v>2473</v>
      </c>
      <c r="AU437" s="6"/>
      <c r="AV437" s="6" t="str">
        <f t="shared" si="8"/>
        <v/>
      </c>
    </row>
    <row r="438" spans="1:48" x14ac:dyDescent="0.45">
      <c r="A438" s="34" t="s">
        <v>413</v>
      </c>
      <c r="I438" s="18" t="s">
        <v>2473</v>
      </c>
      <c r="J438" s="18" t="s">
        <v>2473</v>
      </c>
      <c r="K438" s="18" t="s">
        <v>2473</v>
      </c>
      <c r="AU438" s="6"/>
      <c r="AV438" s="6" t="str">
        <f t="shared" si="8"/>
        <v/>
      </c>
    </row>
    <row r="439" spans="1:48" x14ac:dyDescent="0.45">
      <c r="A439" s="34" t="s">
        <v>414</v>
      </c>
      <c r="I439" s="18" t="s">
        <v>2473</v>
      </c>
      <c r="J439" s="18" t="s">
        <v>2473</v>
      </c>
      <c r="K439" s="18" t="s">
        <v>2473</v>
      </c>
      <c r="AU439" s="6"/>
      <c r="AV439" s="6" t="str">
        <f t="shared" si="8"/>
        <v/>
      </c>
    </row>
    <row r="440" spans="1:48" s="79" customFormat="1" x14ac:dyDescent="0.45">
      <c r="A440" s="75"/>
      <c r="B440" s="76"/>
      <c r="C440" s="77"/>
      <c r="D440" s="77"/>
      <c r="E440" s="77"/>
      <c r="F440" s="77"/>
      <c r="G440" s="77"/>
      <c r="H440" s="77"/>
      <c r="I440" s="77"/>
      <c r="J440" s="77"/>
      <c r="K440" s="77"/>
      <c r="L440" s="77"/>
      <c r="M440" s="148"/>
      <c r="N440" s="78"/>
      <c r="O440" s="78"/>
      <c r="P440" s="78"/>
      <c r="Q440" s="78"/>
      <c r="R440" s="78"/>
      <c r="S440" s="78"/>
      <c r="T440" s="78"/>
      <c r="U440" s="78"/>
      <c r="V440" s="78"/>
      <c r="W440" s="78"/>
      <c r="X440" s="78"/>
      <c r="Y440" s="148"/>
      <c r="Z440" s="78"/>
      <c r="AA440" s="78"/>
      <c r="AB440" s="78"/>
      <c r="AC440" s="78"/>
      <c r="AD440" s="78"/>
      <c r="AE440" s="156"/>
      <c r="AF440" s="156"/>
      <c r="AG440" s="78"/>
      <c r="AH440" s="78"/>
      <c r="AI440" s="78"/>
      <c r="AJ440" s="78"/>
      <c r="AK440" s="78"/>
      <c r="AL440" s="78"/>
      <c r="AM440" s="78"/>
      <c r="AN440" s="78"/>
      <c r="AO440" s="78"/>
      <c r="AP440" s="78"/>
      <c r="AQ440" s="78"/>
      <c r="AR440" s="286"/>
      <c r="AS440" s="78"/>
      <c r="AT440" s="78"/>
      <c r="AU440" s="8"/>
      <c r="AV440" s="6" t="str">
        <f t="shared" si="8"/>
        <v/>
      </c>
    </row>
    <row r="441" spans="1:48" x14ac:dyDescent="0.45">
      <c r="A441" s="27" t="s">
        <v>3238</v>
      </c>
      <c r="J441" s="18" t="s">
        <v>2473</v>
      </c>
      <c r="K441" s="18" t="s">
        <v>2473</v>
      </c>
      <c r="AU441" s="6"/>
      <c r="AV441" s="6" t="str">
        <f t="shared" si="8"/>
        <v/>
      </c>
    </row>
    <row r="442" spans="1:48" x14ac:dyDescent="0.45">
      <c r="A442" s="323" t="s">
        <v>3239</v>
      </c>
      <c r="B442" s="324"/>
      <c r="C442" s="324"/>
      <c r="D442" s="324"/>
      <c r="E442" s="324"/>
      <c r="F442" s="324"/>
      <c r="G442" s="101"/>
      <c r="H442" s="101"/>
      <c r="J442" s="18" t="s">
        <v>2473</v>
      </c>
      <c r="K442" s="18" t="s">
        <v>2473</v>
      </c>
      <c r="AU442" s="6"/>
      <c r="AV442" s="6" t="str">
        <f t="shared" si="8"/>
        <v/>
      </c>
    </row>
    <row r="443" spans="1:48" ht="14.65" thickBot="1" x14ac:dyDescent="0.5">
      <c r="A443" s="28" t="s">
        <v>3240</v>
      </c>
      <c r="J443" s="18" t="s">
        <v>2473</v>
      </c>
      <c r="K443" s="18" t="s">
        <v>2473</v>
      </c>
      <c r="AA443" s="183" t="s">
        <v>2322</v>
      </c>
      <c r="AB443" s="183" t="s">
        <v>1697</v>
      </c>
      <c r="AC443" s="183" t="s">
        <v>5</v>
      </c>
      <c r="AU443" s="6"/>
      <c r="AV443" s="6" t="str">
        <f t="shared" si="8"/>
        <v/>
      </c>
    </row>
    <row r="444" spans="1:48" ht="93.4" thickBot="1" x14ac:dyDescent="0.5">
      <c r="A444" s="309" t="s">
        <v>3244</v>
      </c>
      <c r="B444" s="310"/>
      <c r="C444" s="301" t="s">
        <v>1</v>
      </c>
      <c r="D444" s="319"/>
      <c r="E444" s="319"/>
      <c r="F444" s="302"/>
      <c r="G444" s="102"/>
      <c r="H444" s="102"/>
      <c r="J444" s="18" t="s">
        <v>2473</v>
      </c>
      <c r="K444" s="18" t="s">
        <v>2473</v>
      </c>
      <c r="AA444" s="183" t="str">
        <f>LEFT($A444,FIND(" ",$A444)-1)</f>
        <v>ProcessorMetrics</v>
      </c>
      <c r="AB444" s="183" t="str">
        <f>MID($A444,FIND("(",$A444)+1,LEN($A444)-FIND("(",$A444)-1)</f>
        <v>1.0.0</v>
      </c>
      <c r="AC444" s="101" t="str">
        <f>A442</f>
        <v>A ProcessorMetrics resource represents the properties of a ProcessorMetrics attached to a system.</v>
      </c>
      <c r="AU444" s="6"/>
      <c r="AV444" s="6" t="str">
        <f t="shared" si="8"/>
        <v/>
      </c>
    </row>
    <row r="445" spans="1:48" ht="14.65" thickBot="1" x14ac:dyDescent="0.5">
      <c r="A445" s="311"/>
      <c r="B445" s="312"/>
      <c r="C445" s="301" t="s">
        <v>2</v>
      </c>
      <c r="D445" s="302"/>
      <c r="E445" s="301" t="s">
        <v>3</v>
      </c>
      <c r="F445" s="302"/>
      <c r="G445" s="301" t="s">
        <v>2896</v>
      </c>
      <c r="H445" s="302"/>
      <c r="J445" s="18" t="s">
        <v>2473</v>
      </c>
      <c r="K445" s="18" t="s">
        <v>2473</v>
      </c>
      <c r="AA445" s="183"/>
      <c r="AB445" s="183"/>
      <c r="AC445" s="183"/>
      <c r="AM445" s="8" t="str">
        <f>C445</f>
        <v>OSM-Redfish</v>
      </c>
      <c r="AN445" s="8" t="str">
        <f>E445</f>
        <v>OSM-RedfishBMC</v>
      </c>
      <c r="AO445" s="8" t="str">
        <f>G445</f>
        <v>OSM-RedfishDCN</v>
      </c>
      <c r="AU445" s="6"/>
      <c r="AV445" s="6" t="str">
        <f t="shared" si="8"/>
        <v/>
      </c>
    </row>
    <row r="446" spans="1:48" ht="14.65" thickBot="1" x14ac:dyDescent="0.5">
      <c r="A446" s="46" t="s">
        <v>2377</v>
      </c>
      <c r="B446" s="47"/>
      <c r="C446" s="303" t="s">
        <v>13</v>
      </c>
      <c r="D446" s="304"/>
      <c r="E446" s="303" t="s">
        <v>13</v>
      </c>
      <c r="F446" s="304"/>
      <c r="G446" s="303" t="s">
        <v>13</v>
      </c>
      <c r="H446" s="304"/>
      <c r="J446" s="18" t="s">
        <v>2473</v>
      </c>
      <c r="K446" s="18" t="s">
        <v>2473</v>
      </c>
      <c r="AA446" s="183"/>
      <c r="AB446" s="183"/>
      <c r="AC446" s="101"/>
      <c r="AM446" s="8" t="str">
        <f>IF(C446&lt;&gt;"","CRQ-P5-"&amp;(AM$2+$AP446*$AP$3),"")</f>
        <v>CRQ-P5-1192</v>
      </c>
      <c r="AN446" s="8" t="str">
        <f>IF(E446&lt;&gt;"","CRQ-P5-"&amp;(AN$2+$AP446*$AP$3),"")</f>
        <v>CRQ-P5-1492</v>
      </c>
      <c r="AO446" s="8" t="str">
        <f>IF(G446&lt;&gt;"","CRQ-P5-"&amp;(AO$2+$AP446*$AP$3),"")</f>
        <v>CRQ-P5-1792</v>
      </c>
      <c r="AP446" s="8">
        <v>48</v>
      </c>
      <c r="AU446" s="6"/>
      <c r="AV446" s="6" t="str">
        <f t="shared" si="8"/>
        <v/>
      </c>
    </row>
    <row r="447" spans="1:48" ht="14.65" thickBot="1" x14ac:dyDescent="0.5">
      <c r="A447" s="29" t="s">
        <v>3394</v>
      </c>
      <c r="B447" s="9"/>
      <c r="C447" s="305" t="str">
        <f>MID($A444,FIND("(",$A444)+1,5)</f>
        <v>1.0.0</v>
      </c>
      <c r="D447" s="306"/>
      <c r="E447" s="305" t="str">
        <f>MID($A444,FIND("(",$A444)+1,5)</f>
        <v>1.0.0</v>
      </c>
      <c r="F447" s="306"/>
      <c r="G447" s="305" t="str">
        <f>MID($A444,FIND("(",$A444)+1,5)</f>
        <v>1.0.0</v>
      </c>
      <c r="H447" s="306"/>
      <c r="J447" s="18" t="s">
        <v>2473</v>
      </c>
      <c r="K447" s="18" t="s">
        <v>2473</v>
      </c>
      <c r="AU447" s="6"/>
      <c r="AV447" s="6" t="str">
        <f t="shared" si="8"/>
        <v/>
      </c>
    </row>
    <row r="448" spans="1:48" ht="14.65" thickBot="1" x14ac:dyDescent="0.5">
      <c r="A448" s="30" t="s">
        <v>4</v>
      </c>
      <c r="B448" s="59" t="s">
        <v>5</v>
      </c>
      <c r="C448" s="7" t="s">
        <v>6</v>
      </c>
      <c r="D448" s="7" t="s">
        <v>7</v>
      </c>
      <c r="E448" s="7" t="s">
        <v>6</v>
      </c>
      <c r="F448" s="7" t="s">
        <v>7</v>
      </c>
      <c r="G448" s="7" t="s">
        <v>6</v>
      </c>
      <c r="H448" s="7" t="s">
        <v>7</v>
      </c>
      <c r="J448" s="18" t="s">
        <v>2473</v>
      </c>
      <c r="K448" s="18" t="s">
        <v>2473</v>
      </c>
      <c r="AU448" s="6"/>
      <c r="AV448" s="6" t="str">
        <f t="shared" si="8"/>
        <v/>
      </c>
    </row>
    <row r="449" spans="1:48" ht="14.65" thickBot="1" x14ac:dyDescent="0.5">
      <c r="A449" s="36" t="s">
        <v>3245</v>
      </c>
      <c r="B449" s="3" t="s">
        <v>3246</v>
      </c>
      <c r="C449" s="4"/>
      <c r="D449" s="4"/>
      <c r="E449" s="4"/>
      <c r="F449" s="4"/>
      <c r="G449" s="4"/>
      <c r="H449" s="4"/>
      <c r="J449" s="18" t="s">
        <v>2473</v>
      </c>
      <c r="K449" s="18" t="s">
        <v>2473</v>
      </c>
      <c r="AU449" s="6"/>
      <c r="AV449" s="6" t="str">
        <f t="shared" si="8"/>
        <v/>
      </c>
    </row>
    <row r="450" spans="1:48" ht="14.65" thickBot="1" x14ac:dyDescent="0.5">
      <c r="A450" s="36" t="s">
        <v>3247</v>
      </c>
      <c r="B450" s="3" t="s">
        <v>3248</v>
      </c>
      <c r="C450" s="4" t="s">
        <v>10</v>
      </c>
      <c r="D450" s="4"/>
      <c r="E450" s="4" t="s">
        <v>10</v>
      </c>
      <c r="F450" s="4"/>
      <c r="G450" s="4" t="s">
        <v>10</v>
      </c>
      <c r="H450" s="4"/>
      <c r="J450" s="18" t="s">
        <v>2473</v>
      </c>
      <c r="K450" s="18" t="s">
        <v>2473</v>
      </c>
      <c r="AU450" s="6"/>
      <c r="AV450" s="6" t="str">
        <f t="shared" si="8"/>
        <v/>
      </c>
    </row>
    <row r="451" spans="1:48" ht="14.65" thickBot="1" x14ac:dyDescent="0.5">
      <c r="A451" s="36" t="s">
        <v>3249</v>
      </c>
      <c r="B451" s="3" t="s">
        <v>3250</v>
      </c>
      <c r="C451" s="4"/>
      <c r="D451" s="4"/>
      <c r="E451" s="4" t="s">
        <v>13</v>
      </c>
      <c r="F451" s="4"/>
      <c r="G451" s="4"/>
      <c r="H451" s="4"/>
      <c r="J451" s="18" t="s">
        <v>2473</v>
      </c>
      <c r="K451" s="18" t="s">
        <v>2473</v>
      </c>
      <c r="AU451" s="6"/>
      <c r="AV451" s="6" t="str">
        <f t="shared" si="8"/>
        <v/>
      </c>
    </row>
    <row r="452" spans="1:48" ht="14.65" thickBot="1" x14ac:dyDescent="0.5">
      <c r="A452" s="35" t="s">
        <v>3283</v>
      </c>
      <c r="B452" s="3" t="s">
        <v>3251</v>
      </c>
      <c r="C452" s="4"/>
      <c r="D452" s="4"/>
      <c r="E452" s="4"/>
      <c r="F452" s="4"/>
      <c r="G452" s="4"/>
      <c r="H452" s="4"/>
      <c r="J452" s="18" t="s">
        <v>2473</v>
      </c>
      <c r="K452" s="18" t="s">
        <v>2473</v>
      </c>
      <c r="AU452" s="6"/>
      <c r="AV452" s="6" t="str">
        <f t="shared" si="8"/>
        <v/>
      </c>
    </row>
    <row r="453" spans="1:48" ht="14.65" thickBot="1" x14ac:dyDescent="0.5">
      <c r="A453" s="35" t="s">
        <v>3284</v>
      </c>
      <c r="B453" s="3" t="s">
        <v>3252</v>
      </c>
      <c r="C453" s="4"/>
      <c r="D453" s="4"/>
      <c r="E453" s="4"/>
      <c r="F453" s="4"/>
      <c r="G453" s="4"/>
      <c r="H453" s="4"/>
      <c r="J453" s="18" t="s">
        <v>2473</v>
      </c>
      <c r="K453" s="18" t="s">
        <v>2473</v>
      </c>
      <c r="AU453" s="6"/>
      <c r="AV453" s="6" t="str">
        <f t="shared" si="8"/>
        <v/>
      </c>
    </row>
    <row r="454" spans="1:48" ht="14.65" thickBot="1" x14ac:dyDescent="0.5">
      <c r="A454" s="35" t="s">
        <v>3285</v>
      </c>
      <c r="B454" s="3" t="s">
        <v>3253</v>
      </c>
      <c r="C454" s="4"/>
      <c r="D454" s="4"/>
      <c r="E454" s="4"/>
      <c r="F454" s="4"/>
      <c r="G454" s="4"/>
      <c r="H454" s="4"/>
      <c r="J454" s="18" t="s">
        <v>2473</v>
      </c>
      <c r="K454" s="18" t="s">
        <v>2473</v>
      </c>
      <c r="AU454" s="6"/>
      <c r="AV454" s="6" t="str">
        <f t="shared" si="8"/>
        <v/>
      </c>
    </row>
    <row r="455" spans="1:48" ht="14.65" thickBot="1" x14ac:dyDescent="0.5">
      <c r="A455" s="35" t="s">
        <v>3286</v>
      </c>
      <c r="B455" s="3" t="s">
        <v>3254</v>
      </c>
      <c r="C455" s="4"/>
      <c r="D455" s="4"/>
      <c r="E455" s="4"/>
      <c r="F455" s="4"/>
      <c r="G455" s="4"/>
      <c r="H455" s="4"/>
      <c r="J455" s="18" t="s">
        <v>2473</v>
      </c>
      <c r="K455" s="18" t="s">
        <v>2473</v>
      </c>
      <c r="AU455" s="6"/>
      <c r="AV455" s="6" t="str">
        <f t="shared" si="8"/>
        <v/>
      </c>
    </row>
    <row r="456" spans="1:48" ht="14.65" thickBot="1" x14ac:dyDescent="0.5">
      <c r="A456" s="35" t="s">
        <v>3287</v>
      </c>
      <c r="B456" s="3" t="s">
        <v>3255</v>
      </c>
      <c r="C456" s="4"/>
      <c r="D456" s="4"/>
      <c r="E456" s="4"/>
      <c r="F456" s="4"/>
      <c r="G456" s="4"/>
      <c r="H456" s="4"/>
      <c r="J456" s="18" t="s">
        <v>2473</v>
      </c>
      <c r="K456" s="18" t="s">
        <v>2473</v>
      </c>
      <c r="AU456" s="6"/>
      <c r="AV456" s="6" t="str">
        <f t="shared" si="8"/>
        <v/>
      </c>
    </row>
    <row r="457" spans="1:48" ht="14.65" thickBot="1" x14ac:dyDescent="0.5">
      <c r="A457" s="35" t="s">
        <v>3288</v>
      </c>
      <c r="B457" s="3" t="s">
        <v>3256</v>
      </c>
      <c r="C457" s="4"/>
      <c r="D457" s="4"/>
      <c r="E457" s="4"/>
      <c r="F457" s="4"/>
      <c r="G457" s="4"/>
      <c r="H457" s="4"/>
      <c r="J457" s="18" t="s">
        <v>2473</v>
      </c>
      <c r="K457" s="18" t="s">
        <v>2473</v>
      </c>
      <c r="AU457" s="6"/>
      <c r="AV457" s="6" t="str">
        <f t="shared" si="8"/>
        <v/>
      </c>
    </row>
    <row r="458" spans="1:48" ht="14.65" thickBot="1" x14ac:dyDescent="0.5">
      <c r="A458" s="36" t="s">
        <v>3257</v>
      </c>
      <c r="B458" s="3" t="s">
        <v>3258</v>
      </c>
      <c r="C458" s="4"/>
      <c r="D458" s="4"/>
      <c r="E458" s="4" t="s">
        <v>13</v>
      </c>
      <c r="F458" s="4"/>
      <c r="G458" s="4"/>
      <c r="H458" s="4"/>
      <c r="J458" s="18" t="s">
        <v>2473</v>
      </c>
      <c r="K458" s="18" t="s">
        <v>2473</v>
      </c>
      <c r="AU458" s="6"/>
      <c r="AV458" s="6" t="str">
        <f t="shared" si="8"/>
        <v/>
      </c>
    </row>
    <row r="459" spans="1:48" ht="14.65" thickBot="1" x14ac:dyDescent="0.5">
      <c r="A459" s="36" t="s">
        <v>3259</v>
      </c>
      <c r="B459" s="3" t="s">
        <v>3260</v>
      </c>
      <c r="C459" s="4"/>
      <c r="D459" s="4"/>
      <c r="E459" s="4" t="s">
        <v>13</v>
      </c>
      <c r="F459" s="4"/>
      <c r="G459" s="4"/>
      <c r="H459" s="4"/>
      <c r="J459" s="18" t="s">
        <v>2473</v>
      </c>
      <c r="K459" s="18" t="s">
        <v>2473</v>
      </c>
      <c r="AU459" s="6"/>
      <c r="AV459" s="6" t="str">
        <f t="shared" si="8"/>
        <v/>
      </c>
    </row>
    <row r="460" spans="1:48" ht="14.65" thickBot="1" x14ac:dyDescent="0.5">
      <c r="A460" s="35" t="s">
        <v>3289</v>
      </c>
      <c r="B460" s="3" t="s">
        <v>3261</v>
      </c>
      <c r="C460" s="4"/>
      <c r="D460" s="4"/>
      <c r="E460" s="4"/>
      <c r="F460" s="4"/>
      <c r="G460" s="4"/>
      <c r="H460" s="4"/>
      <c r="J460" s="18" t="s">
        <v>2473</v>
      </c>
      <c r="K460" s="18" t="s">
        <v>2473</v>
      </c>
      <c r="AU460" s="6"/>
      <c r="AV460" s="6" t="str">
        <f t="shared" si="8"/>
        <v/>
      </c>
    </row>
    <row r="461" spans="1:48" ht="14.65" thickBot="1" x14ac:dyDescent="0.5">
      <c r="A461" s="35" t="s">
        <v>3290</v>
      </c>
      <c r="B461" s="3" t="s">
        <v>3251</v>
      </c>
      <c r="C461" s="4"/>
      <c r="D461" s="4"/>
      <c r="E461" s="4"/>
      <c r="F461" s="4"/>
      <c r="G461" s="4"/>
      <c r="H461" s="4"/>
      <c r="J461" s="18" t="s">
        <v>2473</v>
      </c>
      <c r="K461" s="18" t="s">
        <v>2473</v>
      </c>
      <c r="AU461" s="6"/>
      <c r="AV461" s="6" t="str">
        <f t="shared" si="8"/>
        <v/>
      </c>
    </row>
    <row r="462" spans="1:48" ht="14.65" thickBot="1" x14ac:dyDescent="0.5">
      <c r="A462" s="35" t="s">
        <v>3291</v>
      </c>
      <c r="B462" s="3" t="s">
        <v>3252</v>
      </c>
      <c r="C462" s="4"/>
      <c r="D462" s="4"/>
      <c r="E462" s="4"/>
      <c r="F462" s="4"/>
      <c r="G462" s="4"/>
      <c r="H462" s="4"/>
      <c r="J462" s="18" t="s">
        <v>2473</v>
      </c>
      <c r="K462" s="18" t="s">
        <v>2473</v>
      </c>
      <c r="AU462" s="6"/>
      <c r="AV462" s="6" t="str">
        <f t="shared" si="8"/>
        <v/>
      </c>
    </row>
    <row r="463" spans="1:48" ht="14.65" thickBot="1" x14ac:dyDescent="0.5">
      <c r="A463" s="35" t="s">
        <v>3292</v>
      </c>
      <c r="B463" s="3" t="s">
        <v>3253</v>
      </c>
      <c r="C463" s="4"/>
      <c r="D463" s="4"/>
      <c r="E463" s="4"/>
      <c r="F463" s="4"/>
      <c r="G463" s="4"/>
      <c r="H463" s="4"/>
      <c r="J463" s="18" t="s">
        <v>2473</v>
      </c>
      <c r="K463" s="18" t="s">
        <v>2473</v>
      </c>
      <c r="AU463" s="6"/>
      <c r="AV463" s="6" t="str">
        <f t="shared" si="8"/>
        <v/>
      </c>
    </row>
    <row r="464" spans="1:48" ht="14.65" thickBot="1" x14ac:dyDescent="0.5">
      <c r="A464" s="35" t="s">
        <v>3293</v>
      </c>
      <c r="B464" s="3" t="s">
        <v>3254</v>
      </c>
      <c r="C464" s="4"/>
      <c r="D464" s="4"/>
      <c r="E464" s="4"/>
      <c r="F464" s="4"/>
      <c r="G464" s="4"/>
      <c r="H464" s="4"/>
      <c r="J464" s="18" t="s">
        <v>2473</v>
      </c>
      <c r="K464" s="18" t="s">
        <v>2473</v>
      </c>
      <c r="AU464" s="6"/>
      <c r="AV464" s="6" t="str">
        <f t="shared" si="8"/>
        <v/>
      </c>
    </row>
    <row r="465" spans="1:48" ht="14.65" thickBot="1" x14ac:dyDescent="0.5">
      <c r="A465" s="35" t="s">
        <v>3294</v>
      </c>
      <c r="B465" s="3" t="s">
        <v>3255</v>
      </c>
      <c r="C465" s="4"/>
      <c r="D465" s="4"/>
      <c r="E465" s="4"/>
      <c r="F465" s="4"/>
      <c r="G465" s="4"/>
      <c r="H465" s="4"/>
      <c r="J465" s="18" t="s">
        <v>2473</v>
      </c>
      <c r="K465" s="18" t="s">
        <v>2473</v>
      </c>
      <c r="AU465" s="6"/>
      <c r="AV465" s="6" t="str">
        <f t="shared" si="8"/>
        <v/>
      </c>
    </row>
    <row r="466" spans="1:48" ht="14.65" thickBot="1" x14ac:dyDescent="0.5">
      <c r="A466" s="35" t="s">
        <v>3295</v>
      </c>
      <c r="B466" s="3" t="s">
        <v>3256</v>
      </c>
      <c r="C466" s="4"/>
      <c r="D466" s="4"/>
      <c r="E466" s="4"/>
      <c r="F466" s="4"/>
      <c r="G466" s="4"/>
      <c r="H466" s="4"/>
      <c r="J466" s="18" t="s">
        <v>2473</v>
      </c>
      <c r="K466" s="18" t="s">
        <v>2473</v>
      </c>
      <c r="AU466" s="6"/>
      <c r="AV466" s="6" t="str">
        <f t="shared" si="8"/>
        <v/>
      </c>
    </row>
    <row r="467" spans="1:48" ht="14.65" thickBot="1" x14ac:dyDescent="0.5">
      <c r="A467" s="35" t="s">
        <v>3296</v>
      </c>
      <c r="B467" s="3" t="s">
        <v>3262</v>
      </c>
      <c r="C467" s="4"/>
      <c r="D467" s="4"/>
      <c r="E467" s="4"/>
      <c r="F467" s="4"/>
      <c r="G467" s="4"/>
      <c r="H467" s="4"/>
      <c r="J467" s="18" t="s">
        <v>2473</v>
      </c>
      <c r="K467" s="18" t="s">
        <v>2473</v>
      </c>
      <c r="AU467" s="6"/>
      <c r="AV467" s="6" t="str">
        <f t="shared" si="8"/>
        <v/>
      </c>
    </row>
    <row r="468" spans="1:48" ht="14.65" thickBot="1" x14ac:dyDescent="0.5">
      <c r="A468" s="35" t="s">
        <v>3297</v>
      </c>
      <c r="B468" s="3" t="s">
        <v>3263</v>
      </c>
      <c r="C468" s="4"/>
      <c r="D468" s="4"/>
      <c r="E468" s="4"/>
      <c r="F468" s="4"/>
      <c r="G468" s="4"/>
      <c r="H468" s="4"/>
      <c r="J468" s="18" t="s">
        <v>2473</v>
      </c>
      <c r="K468" s="18" t="s">
        <v>2473</v>
      </c>
      <c r="AU468" s="6"/>
      <c r="AV468" s="6" t="str">
        <f t="shared" si="8"/>
        <v/>
      </c>
    </row>
    <row r="469" spans="1:48" ht="14.65" thickBot="1" x14ac:dyDescent="0.5">
      <c r="A469" s="35" t="s">
        <v>3293</v>
      </c>
      <c r="B469" s="3" t="s">
        <v>3977</v>
      </c>
      <c r="C469" s="4"/>
      <c r="D469" s="4"/>
      <c r="E469" s="4"/>
      <c r="F469" s="4"/>
      <c r="G469" s="4"/>
      <c r="H469" s="4"/>
      <c r="J469" s="18" t="s">
        <v>2473</v>
      </c>
      <c r="K469" s="18" t="s">
        <v>2473</v>
      </c>
      <c r="AU469" s="6"/>
      <c r="AV469" s="6" t="str">
        <f t="shared" si="8"/>
        <v/>
      </c>
    </row>
    <row r="470" spans="1:48" ht="23.65" thickBot="1" x14ac:dyDescent="0.5">
      <c r="A470" s="35" t="s">
        <v>3298</v>
      </c>
      <c r="B470" s="3" t="s">
        <v>3264</v>
      </c>
      <c r="C470" s="4"/>
      <c r="D470" s="4"/>
      <c r="E470" s="4"/>
      <c r="F470" s="4"/>
      <c r="G470" s="4"/>
      <c r="H470" s="4"/>
      <c r="J470" s="18" t="s">
        <v>2473</v>
      </c>
      <c r="K470" s="18" t="s">
        <v>2473</v>
      </c>
      <c r="AU470" s="6"/>
      <c r="AV470" s="6" t="str">
        <f t="shared" si="8"/>
        <v/>
      </c>
    </row>
    <row r="471" spans="1:48" ht="14.65" thickBot="1" x14ac:dyDescent="0.5">
      <c r="A471" s="35" t="s">
        <v>3299</v>
      </c>
      <c r="B471" s="3" t="s">
        <v>3265</v>
      </c>
      <c r="C471" s="4"/>
      <c r="D471" s="4"/>
      <c r="E471" s="4"/>
      <c r="F471" s="4"/>
      <c r="G471" s="4"/>
      <c r="H471" s="4"/>
      <c r="J471" s="18" t="s">
        <v>2473</v>
      </c>
      <c r="K471" s="18" t="s">
        <v>2473</v>
      </c>
      <c r="AU471" s="6"/>
      <c r="AV471" s="6" t="str">
        <f t="shared" ref="AV471:AV536" si="9">IF(A471&lt;&gt;"",IF(T471&lt;&gt;"",IF(LEFT(R471,3)="Has",IF(TRIM(A471)&lt;&gt;T471,"ERROR","OK"),""),""),"")</f>
        <v/>
      </c>
    </row>
    <row r="472" spans="1:48" ht="14.65" thickBot="1" x14ac:dyDescent="0.5">
      <c r="A472" s="35" t="s">
        <v>3300</v>
      </c>
      <c r="B472" s="3" t="s">
        <v>3266</v>
      </c>
      <c r="C472" s="4"/>
      <c r="D472" s="4"/>
      <c r="E472" s="4"/>
      <c r="F472" s="4"/>
      <c r="G472" s="4"/>
      <c r="H472" s="4"/>
      <c r="J472" s="18" t="s">
        <v>2473</v>
      </c>
      <c r="K472" s="18" t="s">
        <v>2473</v>
      </c>
      <c r="AU472" s="6"/>
      <c r="AV472" s="6" t="str">
        <f t="shared" si="9"/>
        <v/>
      </c>
    </row>
    <row r="473" spans="1:48" ht="14.65" thickBot="1" x14ac:dyDescent="0.5">
      <c r="A473" s="35" t="s">
        <v>3301</v>
      </c>
      <c r="B473" s="3" t="s">
        <v>3267</v>
      </c>
      <c r="C473" s="4"/>
      <c r="D473" s="4"/>
      <c r="E473" s="4"/>
      <c r="F473" s="4"/>
      <c r="G473" s="4"/>
      <c r="H473" s="4"/>
      <c r="J473" s="18" t="s">
        <v>2473</v>
      </c>
      <c r="K473" s="18" t="s">
        <v>2473</v>
      </c>
      <c r="AU473" s="6"/>
      <c r="AV473" s="6" t="str">
        <f t="shared" si="9"/>
        <v/>
      </c>
    </row>
    <row r="474" spans="1:48" ht="14.65" thickBot="1" x14ac:dyDescent="0.5">
      <c r="A474" s="35" t="s">
        <v>3302</v>
      </c>
      <c r="B474" s="3" t="s">
        <v>3268</v>
      </c>
      <c r="C474" s="4"/>
      <c r="D474" s="4"/>
      <c r="E474" s="4"/>
      <c r="F474" s="4"/>
      <c r="G474" s="4"/>
      <c r="H474" s="4"/>
      <c r="J474" s="18" t="s">
        <v>2473</v>
      </c>
      <c r="K474" s="18" t="s">
        <v>2473</v>
      </c>
      <c r="AU474" s="6"/>
      <c r="AV474" s="6" t="str">
        <f t="shared" si="9"/>
        <v/>
      </c>
    </row>
    <row r="475" spans="1:48" ht="14.65" thickBot="1" x14ac:dyDescent="0.5">
      <c r="A475" s="36" t="s">
        <v>3269</v>
      </c>
      <c r="B475" s="3" t="s">
        <v>3270</v>
      </c>
      <c r="C475" s="4"/>
      <c r="D475" s="4"/>
      <c r="E475" s="4" t="s">
        <v>13</v>
      </c>
      <c r="F475" s="4"/>
      <c r="G475" s="4"/>
      <c r="H475" s="4"/>
      <c r="J475" s="18" t="s">
        <v>2473</v>
      </c>
      <c r="K475" s="18" t="s">
        <v>2473</v>
      </c>
      <c r="AU475" s="6"/>
      <c r="AV475" s="6" t="str">
        <f t="shared" si="9"/>
        <v/>
      </c>
    </row>
    <row r="476" spans="1:48" ht="14.65" thickBot="1" x14ac:dyDescent="0.5">
      <c r="A476" s="36" t="s">
        <v>3271</v>
      </c>
      <c r="B476" s="3" t="s">
        <v>3272</v>
      </c>
      <c r="C476" s="4" t="s">
        <v>13</v>
      </c>
      <c r="D476" s="4"/>
      <c r="E476" s="4" t="s">
        <v>10</v>
      </c>
      <c r="F476" s="4"/>
      <c r="G476" s="4" t="s">
        <v>13</v>
      </c>
      <c r="H476" s="4"/>
      <c r="J476" s="18" t="s">
        <v>2473</v>
      </c>
      <c r="K476" s="18" t="s">
        <v>2473</v>
      </c>
      <c r="AU476" s="6"/>
      <c r="AV476" s="6" t="str">
        <f t="shared" si="9"/>
        <v/>
      </c>
    </row>
    <row r="477" spans="1:48" ht="14.65" thickBot="1" x14ac:dyDescent="0.5">
      <c r="A477" s="36" t="s">
        <v>3273</v>
      </c>
      <c r="B477" s="3" t="s">
        <v>3274</v>
      </c>
      <c r="C477" s="4"/>
      <c r="D477" s="4"/>
      <c r="E477" s="4" t="s">
        <v>13</v>
      </c>
      <c r="F477" s="4"/>
      <c r="G477" s="4"/>
      <c r="H477" s="4"/>
      <c r="J477" s="18" t="s">
        <v>2473</v>
      </c>
      <c r="K477" s="18" t="s">
        <v>2473</v>
      </c>
      <c r="AU477" s="6"/>
      <c r="AV477" s="6" t="str">
        <f t="shared" si="9"/>
        <v/>
      </c>
    </row>
    <row r="478" spans="1:48" ht="14.65" thickBot="1" x14ac:dyDescent="0.5">
      <c r="A478" s="36" t="s">
        <v>3275</v>
      </c>
      <c r="B478" s="3" t="s">
        <v>3276</v>
      </c>
      <c r="C478" s="4"/>
      <c r="D478" s="4"/>
      <c r="E478" s="4" t="s">
        <v>13</v>
      </c>
      <c r="F478" s="4"/>
      <c r="G478" s="4"/>
      <c r="H478" s="4"/>
      <c r="J478" s="18" t="s">
        <v>2473</v>
      </c>
      <c r="K478" s="18" t="s">
        <v>2473</v>
      </c>
      <c r="AU478" s="6"/>
      <c r="AV478" s="6" t="str">
        <f t="shared" si="9"/>
        <v/>
      </c>
    </row>
    <row r="479" spans="1:48" ht="14.65" thickBot="1" x14ac:dyDescent="0.5">
      <c r="A479" s="36" t="s">
        <v>3277</v>
      </c>
      <c r="B479" s="3" t="s">
        <v>3278</v>
      </c>
      <c r="C479" s="4"/>
      <c r="D479" s="4"/>
      <c r="E479" s="4" t="s">
        <v>37</v>
      </c>
      <c r="F479" s="4"/>
      <c r="G479" s="4"/>
      <c r="H479" s="4"/>
      <c r="J479" s="18" t="s">
        <v>2473</v>
      </c>
      <c r="K479" s="18" t="s">
        <v>2473</v>
      </c>
      <c r="AU479" s="6"/>
      <c r="AV479" s="6" t="str">
        <f t="shared" si="9"/>
        <v/>
      </c>
    </row>
    <row r="480" spans="1:48" ht="14.65" thickBot="1" x14ac:dyDescent="0.5">
      <c r="A480" s="36" t="s">
        <v>3279</v>
      </c>
      <c r="B480" s="3" t="s">
        <v>3280</v>
      </c>
      <c r="C480" s="4"/>
      <c r="D480" s="4"/>
      <c r="E480" s="4" t="s">
        <v>13</v>
      </c>
      <c r="F480" s="4"/>
      <c r="G480" s="4"/>
      <c r="H480" s="4"/>
      <c r="J480" s="18" t="s">
        <v>2473</v>
      </c>
      <c r="K480" s="18" t="s">
        <v>2473</v>
      </c>
      <c r="AU480" s="6"/>
      <c r="AV480" s="6" t="str">
        <f t="shared" si="9"/>
        <v/>
      </c>
    </row>
    <row r="481" spans="1:48" ht="14.65" thickBot="1" x14ac:dyDescent="0.5">
      <c r="A481" s="36" t="s">
        <v>3281</v>
      </c>
      <c r="B481" s="3" t="s">
        <v>3282</v>
      </c>
      <c r="C481" s="4" t="s">
        <v>13</v>
      </c>
      <c r="D481" s="4"/>
      <c r="E481" s="4" t="s">
        <v>10</v>
      </c>
      <c r="F481" s="4"/>
      <c r="G481" s="4" t="s">
        <v>13</v>
      </c>
      <c r="H481" s="4"/>
      <c r="J481" s="18" t="s">
        <v>2473</v>
      </c>
      <c r="K481" s="18" t="s">
        <v>2473</v>
      </c>
      <c r="AU481" s="6"/>
      <c r="AV481" s="6" t="str">
        <f t="shared" si="9"/>
        <v/>
      </c>
    </row>
    <row r="482" spans="1:48" x14ac:dyDescent="0.45">
      <c r="A482" s="33" t="s">
        <v>3241</v>
      </c>
      <c r="J482" s="18" t="s">
        <v>2473</v>
      </c>
      <c r="K482" s="18" t="s">
        <v>2473</v>
      </c>
      <c r="AU482" s="6"/>
      <c r="AV482" s="6" t="str">
        <f t="shared" si="9"/>
        <v/>
      </c>
    </row>
    <row r="483" spans="1:48" x14ac:dyDescent="0.45">
      <c r="A483" s="34" t="s">
        <v>3242</v>
      </c>
      <c r="J483" s="18" t="s">
        <v>2473</v>
      </c>
      <c r="K483" s="18" t="s">
        <v>2473</v>
      </c>
      <c r="AU483" s="6"/>
      <c r="AV483" s="6" t="str">
        <f t="shared" si="9"/>
        <v/>
      </c>
    </row>
    <row r="484" spans="1:48" x14ac:dyDescent="0.45">
      <c r="A484" s="34" t="s">
        <v>3243</v>
      </c>
      <c r="J484" s="18" t="s">
        <v>2473</v>
      </c>
      <c r="K484" s="18" t="s">
        <v>2473</v>
      </c>
      <c r="AU484" s="6"/>
      <c r="AV484" s="6" t="str">
        <f t="shared" si="9"/>
        <v/>
      </c>
    </row>
    <row r="485" spans="1:48" s="79" customFormat="1" x14ac:dyDescent="0.45">
      <c r="A485" s="75"/>
      <c r="B485" s="76"/>
      <c r="C485" s="77"/>
      <c r="D485" s="77"/>
      <c r="E485" s="77"/>
      <c r="F485" s="77"/>
      <c r="G485" s="77"/>
      <c r="H485" s="77"/>
      <c r="I485" s="77"/>
      <c r="J485" s="77"/>
      <c r="K485" s="77"/>
      <c r="L485" s="77"/>
      <c r="M485" s="148"/>
      <c r="N485" s="78"/>
      <c r="O485" s="78"/>
      <c r="P485" s="78"/>
      <c r="Q485" s="78"/>
      <c r="R485" s="78"/>
      <c r="S485" s="78"/>
      <c r="T485" s="78"/>
      <c r="U485" s="78"/>
      <c r="V485" s="78"/>
      <c r="W485" s="78"/>
      <c r="X485" s="78"/>
      <c r="Y485" s="148"/>
      <c r="Z485" s="78"/>
      <c r="AA485" s="78"/>
      <c r="AB485" s="78"/>
      <c r="AC485" s="78"/>
      <c r="AD485" s="78"/>
      <c r="AE485" s="156"/>
      <c r="AF485" s="156"/>
      <c r="AG485" s="78"/>
      <c r="AH485" s="78"/>
      <c r="AI485" s="78"/>
      <c r="AJ485" s="78"/>
      <c r="AK485" s="78"/>
      <c r="AL485" s="78"/>
      <c r="AM485" s="78"/>
      <c r="AN485" s="78"/>
      <c r="AO485" s="78"/>
      <c r="AP485" s="78"/>
      <c r="AQ485" s="78"/>
      <c r="AR485" s="286"/>
      <c r="AS485" s="78"/>
      <c r="AT485" s="78"/>
      <c r="AU485" s="8"/>
      <c r="AV485" s="6" t="str">
        <f t="shared" si="9"/>
        <v/>
      </c>
    </row>
    <row r="486" spans="1:48" x14ac:dyDescent="0.45">
      <c r="A486" s="27" t="s">
        <v>2400</v>
      </c>
      <c r="I486" s="18" t="s">
        <v>2473</v>
      </c>
      <c r="J486" s="18" t="s">
        <v>2473</v>
      </c>
      <c r="K486" s="18" t="s">
        <v>2473</v>
      </c>
      <c r="AU486" s="6"/>
      <c r="AV486" s="6" t="str">
        <f t="shared" si="9"/>
        <v/>
      </c>
    </row>
    <row r="487" spans="1:48" x14ac:dyDescent="0.45">
      <c r="A487" s="323" t="s">
        <v>2494</v>
      </c>
      <c r="B487" s="324"/>
      <c r="C487" s="324"/>
      <c r="D487" s="324"/>
      <c r="E487" s="324"/>
      <c r="F487" s="324"/>
      <c r="G487" s="101"/>
      <c r="H487" s="101"/>
      <c r="I487" s="18" t="s">
        <v>2473</v>
      </c>
      <c r="J487" s="18" t="s">
        <v>2473</v>
      </c>
      <c r="K487" s="18" t="s">
        <v>2473</v>
      </c>
      <c r="AU487" s="6"/>
      <c r="AV487" s="6" t="str">
        <f t="shared" si="9"/>
        <v/>
      </c>
    </row>
    <row r="488" spans="1:48" ht="14.65" thickBot="1" x14ac:dyDescent="0.5">
      <c r="A488" s="28" t="s">
        <v>415</v>
      </c>
      <c r="I488" s="18" t="s">
        <v>2473</v>
      </c>
      <c r="J488" s="18" t="s">
        <v>2473</v>
      </c>
      <c r="K488" s="18" t="s">
        <v>2473</v>
      </c>
      <c r="AA488" s="183" t="s">
        <v>2322</v>
      </c>
      <c r="AB488" s="183" t="s">
        <v>1697</v>
      </c>
      <c r="AC488" s="183" t="s">
        <v>5</v>
      </c>
      <c r="AU488" s="6"/>
      <c r="AV488" s="6" t="str">
        <f t="shared" si="9"/>
        <v/>
      </c>
    </row>
    <row r="489" spans="1:48" ht="116.65" thickBot="1" x14ac:dyDescent="0.5">
      <c r="A489" s="309" t="s">
        <v>416</v>
      </c>
      <c r="B489" s="310"/>
      <c r="C489" s="301" t="s">
        <v>1</v>
      </c>
      <c r="D489" s="319"/>
      <c r="E489" s="319"/>
      <c r="F489" s="302"/>
      <c r="G489" s="102"/>
      <c r="H489" s="102"/>
      <c r="I489" s="18" t="s">
        <v>2473</v>
      </c>
      <c r="AA489" s="183" t="str">
        <f>LEFT($A489,FIND(" ",$A489)-1)</f>
        <v>SimpleStorage</v>
      </c>
      <c r="AB489" s="183" t="str">
        <f>MID($A489,FIND("(",$A489)+1,LEN($A489)-FIND("(",$A489)-1)</f>
        <v>1.2.1</v>
      </c>
      <c r="AC489" s="101" t="str">
        <f>A487</f>
        <v>A SimpleStorage resource represents the properties of a StorageController and its directly-attached devices.</v>
      </c>
      <c r="AU489" s="6"/>
      <c r="AV489" s="6" t="str">
        <f t="shared" si="9"/>
        <v/>
      </c>
    </row>
    <row r="490" spans="1:48" ht="14.65" thickBot="1" x14ac:dyDescent="0.5">
      <c r="A490" s="311"/>
      <c r="B490" s="312"/>
      <c r="C490" s="301" t="s">
        <v>2</v>
      </c>
      <c r="D490" s="302"/>
      <c r="E490" s="301" t="s">
        <v>3</v>
      </c>
      <c r="F490" s="302"/>
      <c r="G490" s="301" t="s">
        <v>2896</v>
      </c>
      <c r="H490" s="302"/>
      <c r="I490" s="18" t="s">
        <v>2473</v>
      </c>
      <c r="AA490" s="183" t="s">
        <v>2322</v>
      </c>
      <c r="AB490" s="183" t="s">
        <v>1697</v>
      </c>
      <c r="AC490" s="183" t="s">
        <v>5</v>
      </c>
      <c r="AU490" s="8"/>
      <c r="AV490" s="6" t="str">
        <f t="shared" si="9"/>
        <v/>
      </c>
    </row>
    <row r="491" spans="1:48" ht="116.65" thickBot="1" x14ac:dyDescent="0.5">
      <c r="A491" s="309" t="s">
        <v>3184</v>
      </c>
      <c r="B491" s="310"/>
      <c r="C491" s="301" t="s">
        <v>1</v>
      </c>
      <c r="D491" s="319"/>
      <c r="E491" s="319"/>
      <c r="F491" s="302"/>
      <c r="G491" s="102"/>
      <c r="H491" s="102"/>
      <c r="J491" s="18" t="s">
        <v>2473</v>
      </c>
      <c r="K491" s="18" t="s">
        <v>2473</v>
      </c>
      <c r="AA491" s="183" t="str">
        <f>LEFT($A491,FIND(" ",$A491)-1)</f>
        <v>SimpleStorage</v>
      </c>
      <c r="AB491" s="183" t="str">
        <f>MID($A491,FIND("(",$A491)+1,LEN($A491)-FIND("(",$A491)-1)</f>
        <v>1.2.2</v>
      </c>
      <c r="AC491" s="101" t="str">
        <f>AC489</f>
        <v>A SimpleStorage resource represents the properties of a StorageController and its directly-attached devices.</v>
      </c>
      <c r="AU491" s="6"/>
      <c r="AV491" s="6" t="str">
        <f t="shared" si="9"/>
        <v/>
      </c>
    </row>
    <row r="492" spans="1:48" ht="14.65" thickBot="1" x14ac:dyDescent="0.5">
      <c r="A492" s="311"/>
      <c r="B492" s="312"/>
      <c r="C492" s="301" t="s">
        <v>2</v>
      </c>
      <c r="D492" s="302"/>
      <c r="E492" s="301" t="s">
        <v>3</v>
      </c>
      <c r="F492" s="302"/>
      <c r="G492" s="301" t="s">
        <v>2896</v>
      </c>
      <c r="H492" s="302"/>
      <c r="J492" s="18" t="s">
        <v>2473</v>
      </c>
      <c r="K492" s="18" t="s">
        <v>2473</v>
      </c>
      <c r="AM492" s="8" t="str">
        <f>C492</f>
        <v>OSM-Redfish</v>
      </c>
      <c r="AN492" s="8" t="str">
        <f>E492</f>
        <v>OSM-RedfishBMC</v>
      </c>
      <c r="AO492" s="8" t="str">
        <f>G492</f>
        <v>OSM-RedfishDCN</v>
      </c>
      <c r="AU492" s="8"/>
      <c r="AV492" s="6" t="str">
        <f t="shared" si="9"/>
        <v/>
      </c>
    </row>
    <row r="493" spans="1:48" ht="81.75" thickBot="1" x14ac:dyDescent="0.5">
      <c r="A493" s="46" t="s">
        <v>2377</v>
      </c>
      <c r="B493" s="47"/>
      <c r="C493" s="303" t="s">
        <v>37</v>
      </c>
      <c r="D493" s="304"/>
      <c r="E493" s="303" t="s">
        <v>37</v>
      </c>
      <c r="F493" s="304"/>
      <c r="G493" s="303" t="s">
        <v>37</v>
      </c>
      <c r="H493" s="304"/>
      <c r="I493" s="18" t="s">
        <v>2473</v>
      </c>
      <c r="J493" s="18" t="s">
        <v>2473</v>
      </c>
      <c r="K493" s="18" t="s">
        <v>2473</v>
      </c>
      <c r="AM493" s="8" t="str">
        <f>IF(C493&lt;&gt;"","CRQ-P5-"&amp;(AM$2+$AP493*$AP$3),"")</f>
        <v>CRQ-P5-1224</v>
      </c>
      <c r="AN493" s="8" t="str">
        <f>IF(E493&lt;&gt;"","CRQ-P5-"&amp;(AN$2+$AP493*$AP$3),"")</f>
        <v>CRQ-P5-1524</v>
      </c>
      <c r="AO493" s="8" t="str">
        <f>IF(G493&lt;&gt;"","CRQ-P5-"&amp;(AO$2+$AP493*$AP$3),"")</f>
        <v>CRQ-P5-1824</v>
      </c>
      <c r="AP493" s="8">
        <v>56</v>
      </c>
      <c r="AU493" s="140" t="s">
        <v>5062</v>
      </c>
      <c r="AV493" s="6" t="str">
        <f t="shared" si="9"/>
        <v/>
      </c>
    </row>
    <row r="494" spans="1:48" ht="14.65" thickBot="1" x14ac:dyDescent="0.5">
      <c r="A494" s="29" t="s">
        <v>3394</v>
      </c>
      <c r="B494" s="9"/>
      <c r="C494" s="305" t="str">
        <f>MID($A489,FIND("(",$A489)+1,5)</f>
        <v>1.2.1</v>
      </c>
      <c r="D494" s="306"/>
      <c r="E494" s="305" t="s">
        <v>3405</v>
      </c>
      <c r="F494" s="306"/>
      <c r="G494" s="305" t="str">
        <f>MID($A489,FIND("(",$A489)+1,5)</f>
        <v>1.2.1</v>
      </c>
      <c r="H494" s="306"/>
      <c r="I494" s="18" t="s">
        <v>2473</v>
      </c>
      <c r="J494" s="18" t="s">
        <v>2473</v>
      </c>
      <c r="K494" s="18" t="s">
        <v>2473</v>
      </c>
      <c r="AU494" s="6"/>
      <c r="AV494" s="6" t="str">
        <f t="shared" si="9"/>
        <v/>
      </c>
    </row>
    <row r="495" spans="1:48" ht="14.65" thickBot="1" x14ac:dyDescent="0.5">
      <c r="A495" s="30" t="s">
        <v>4</v>
      </c>
      <c r="B495" s="59" t="s">
        <v>5</v>
      </c>
      <c r="C495" s="7" t="s">
        <v>6</v>
      </c>
      <c r="D495" s="7" t="s">
        <v>7</v>
      </c>
      <c r="E495" s="7" t="s">
        <v>6</v>
      </c>
      <c r="F495" s="7" t="s">
        <v>7</v>
      </c>
      <c r="G495" s="7" t="s">
        <v>6</v>
      </c>
      <c r="H495" s="7" t="s">
        <v>7</v>
      </c>
      <c r="I495" s="18" t="s">
        <v>2473</v>
      </c>
      <c r="J495" s="18" t="s">
        <v>2473</v>
      </c>
      <c r="K495" s="18" t="s">
        <v>2473</v>
      </c>
      <c r="AU495" s="8"/>
      <c r="AV495" s="6" t="str">
        <f t="shared" si="9"/>
        <v/>
      </c>
    </row>
    <row r="496" spans="1:48" ht="14.65" thickBot="1" x14ac:dyDescent="0.5">
      <c r="A496" s="36" t="s">
        <v>8</v>
      </c>
      <c r="B496" s="3" t="s">
        <v>9</v>
      </c>
      <c r="C496" s="4"/>
      <c r="D496" s="4"/>
      <c r="E496" s="4"/>
      <c r="F496" s="4"/>
      <c r="G496" s="4"/>
      <c r="H496" s="4"/>
      <c r="I496" s="18" t="s">
        <v>2473</v>
      </c>
      <c r="J496" s="18" t="s">
        <v>2473</v>
      </c>
      <c r="K496" s="18" t="s">
        <v>2473</v>
      </c>
      <c r="AU496" s="8"/>
      <c r="AV496" s="6" t="str">
        <f t="shared" si="9"/>
        <v/>
      </c>
    </row>
    <row r="497" spans="1:48" ht="23.65" thickBot="1" x14ac:dyDescent="0.5">
      <c r="A497" s="36" t="s">
        <v>5</v>
      </c>
      <c r="B497" s="3" t="s">
        <v>417</v>
      </c>
      <c r="C497" s="4"/>
      <c r="D497" s="4"/>
      <c r="E497" s="4"/>
      <c r="F497" s="4"/>
      <c r="G497" s="4"/>
      <c r="H497" s="4"/>
      <c r="I497" s="18" t="s">
        <v>2473</v>
      </c>
      <c r="J497" s="18" t="s">
        <v>2473</v>
      </c>
      <c r="K497" s="18" t="s">
        <v>2473</v>
      </c>
      <c r="AU497" s="8"/>
      <c r="AV497" s="6" t="str">
        <f t="shared" si="9"/>
        <v/>
      </c>
    </row>
    <row r="498" spans="1:48" ht="47.65" thickBot="1" x14ac:dyDescent="0.5">
      <c r="A498" s="36" t="s">
        <v>418</v>
      </c>
      <c r="B498" s="3" t="s">
        <v>419</v>
      </c>
      <c r="C498" s="4" t="s">
        <v>10</v>
      </c>
      <c r="D498" s="4"/>
      <c r="E498" s="4" t="s">
        <v>10</v>
      </c>
      <c r="F498" s="4"/>
      <c r="G498" s="4" t="s">
        <v>10</v>
      </c>
      <c r="H498" s="4"/>
      <c r="I498" s="18" t="s">
        <v>2473</v>
      </c>
      <c r="J498" s="18" t="s">
        <v>2473</v>
      </c>
      <c r="K498" s="18" t="s">
        <v>2473</v>
      </c>
      <c r="AS498" s="206" t="s">
        <v>5860</v>
      </c>
      <c r="AU498" s="6"/>
      <c r="AV498" s="6" t="str">
        <f t="shared" si="9"/>
        <v/>
      </c>
    </row>
    <row r="499" spans="1:48" ht="14.65" thickBot="1" x14ac:dyDescent="0.5">
      <c r="A499" s="35" t="s">
        <v>420</v>
      </c>
      <c r="B499" s="3" t="s">
        <v>421</v>
      </c>
      <c r="C499" s="4" t="s">
        <v>10</v>
      </c>
      <c r="D499" s="4"/>
      <c r="E499" s="4" t="s">
        <v>10</v>
      </c>
      <c r="F499" s="4"/>
      <c r="G499" s="4" t="s">
        <v>10</v>
      </c>
      <c r="H499" s="4"/>
      <c r="I499" s="18" t="s">
        <v>2473</v>
      </c>
      <c r="J499" s="18" t="s">
        <v>2473</v>
      </c>
      <c r="K499" s="18" t="s">
        <v>2473</v>
      </c>
      <c r="AU499" s="6"/>
      <c r="AV499" s="6" t="str">
        <f t="shared" si="9"/>
        <v/>
      </c>
    </row>
    <row r="500" spans="1:48" ht="14.65" thickBot="1" x14ac:dyDescent="0.5">
      <c r="A500" s="35" t="s">
        <v>422</v>
      </c>
      <c r="B500" s="3" t="s">
        <v>423</v>
      </c>
      <c r="C500" s="4" t="s">
        <v>10</v>
      </c>
      <c r="D500" s="4"/>
      <c r="E500" s="4" t="s">
        <v>10</v>
      </c>
      <c r="F500" s="4"/>
      <c r="G500" s="4" t="s">
        <v>10</v>
      </c>
      <c r="H500" s="4"/>
      <c r="I500" s="18" t="s">
        <v>2473</v>
      </c>
      <c r="J500" s="18" t="s">
        <v>2473</v>
      </c>
      <c r="K500" s="18" t="s">
        <v>2473</v>
      </c>
      <c r="AU500" s="6"/>
      <c r="AV500" s="6" t="str">
        <f t="shared" si="9"/>
        <v/>
      </c>
    </row>
    <row r="501" spans="1:48" ht="14.65" thickBot="1" x14ac:dyDescent="0.5">
      <c r="A501" s="35" t="s">
        <v>130</v>
      </c>
      <c r="B501" s="3" t="s">
        <v>386</v>
      </c>
      <c r="C501" s="4" t="s">
        <v>10</v>
      </c>
      <c r="D501" s="4"/>
      <c r="E501" s="4" t="s">
        <v>10</v>
      </c>
      <c r="F501" s="4"/>
      <c r="G501" s="4" t="s">
        <v>10</v>
      </c>
      <c r="H501" s="4"/>
      <c r="I501" s="18" t="s">
        <v>2473</v>
      </c>
      <c r="J501" s="18" t="s">
        <v>2473</v>
      </c>
      <c r="K501" s="18" t="s">
        <v>2473</v>
      </c>
      <c r="AU501" s="6"/>
      <c r="AV501" s="6" t="str">
        <f t="shared" si="9"/>
        <v/>
      </c>
    </row>
    <row r="502" spans="1:48" ht="14.65" thickBot="1" x14ac:dyDescent="0.5">
      <c r="A502" s="35" t="s">
        <v>424</v>
      </c>
      <c r="B502" s="3" t="s">
        <v>425</v>
      </c>
      <c r="C502" s="4" t="s">
        <v>10</v>
      </c>
      <c r="D502" s="4"/>
      <c r="E502" s="4" t="s">
        <v>10</v>
      </c>
      <c r="F502" s="4"/>
      <c r="G502" s="4" t="s">
        <v>10</v>
      </c>
      <c r="H502" s="4"/>
      <c r="I502" s="18" t="s">
        <v>2473</v>
      </c>
      <c r="J502" s="18" t="s">
        <v>2473</v>
      </c>
      <c r="K502" s="18" t="s">
        <v>2473</v>
      </c>
      <c r="AU502" s="6"/>
      <c r="AV502" s="6" t="str">
        <f t="shared" si="9"/>
        <v/>
      </c>
    </row>
    <row r="503" spans="1:48" ht="14.65" thickBot="1" x14ac:dyDescent="0.5">
      <c r="A503" s="35" t="s">
        <v>59</v>
      </c>
      <c r="B503" s="3" t="s">
        <v>60</v>
      </c>
      <c r="C503" s="4"/>
      <c r="D503" s="4"/>
      <c r="E503" s="4"/>
      <c r="F503" s="4"/>
      <c r="G503" s="4"/>
      <c r="H503" s="4"/>
      <c r="I503" s="18" t="s">
        <v>2473</v>
      </c>
      <c r="J503" s="18" t="s">
        <v>2473</v>
      </c>
      <c r="K503" s="18" t="s">
        <v>2473</v>
      </c>
      <c r="AU503" s="6"/>
      <c r="AV503" s="6" t="str">
        <f t="shared" si="9"/>
        <v/>
      </c>
    </row>
    <row r="504" spans="1:48" ht="14.65" thickBot="1" x14ac:dyDescent="0.5">
      <c r="A504" s="35" t="s">
        <v>69</v>
      </c>
      <c r="B504" s="3" t="s">
        <v>3604</v>
      </c>
      <c r="C504" s="4" t="s">
        <v>10</v>
      </c>
      <c r="D504" s="4"/>
      <c r="E504" s="4" t="s">
        <v>10</v>
      </c>
      <c r="F504" s="4"/>
      <c r="G504" s="4" t="s">
        <v>10</v>
      </c>
      <c r="H504" s="4"/>
      <c r="I504" s="18" t="s">
        <v>2473</v>
      </c>
      <c r="J504" s="18" t="s">
        <v>2473</v>
      </c>
      <c r="K504" s="18" t="s">
        <v>2473</v>
      </c>
      <c r="AU504" s="6"/>
      <c r="AV504" s="6" t="str">
        <f t="shared" si="9"/>
        <v/>
      </c>
    </row>
    <row r="505" spans="1:48" ht="14.65" thickBot="1" x14ac:dyDescent="0.5">
      <c r="A505" s="36" t="s">
        <v>75</v>
      </c>
      <c r="B505" s="3" t="s">
        <v>76</v>
      </c>
      <c r="C505" s="4"/>
      <c r="D505" s="4"/>
      <c r="E505" s="4"/>
      <c r="F505" s="4"/>
      <c r="G505" s="4"/>
      <c r="H505" s="4"/>
      <c r="I505" s="18" t="s">
        <v>2473</v>
      </c>
      <c r="J505" s="18" t="s">
        <v>2473</v>
      </c>
      <c r="K505" s="18" t="s">
        <v>2473</v>
      </c>
      <c r="AU505" s="6"/>
      <c r="AV505" s="6" t="str">
        <f t="shared" si="9"/>
        <v/>
      </c>
    </row>
    <row r="506" spans="1:48" ht="14.65" thickBot="1" x14ac:dyDescent="0.5">
      <c r="A506" s="35" t="s">
        <v>77</v>
      </c>
      <c r="B506" s="3" t="s">
        <v>426</v>
      </c>
      <c r="C506" s="4"/>
      <c r="D506" s="4"/>
      <c r="E506" s="4"/>
      <c r="F506" s="4"/>
      <c r="G506" s="4"/>
      <c r="H506" s="4"/>
      <c r="I506" s="18" t="s">
        <v>2473</v>
      </c>
      <c r="J506" s="18" t="s">
        <v>2473</v>
      </c>
      <c r="K506" s="18" t="s">
        <v>2473</v>
      </c>
      <c r="AU506" s="6"/>
      <c r="AV506" s="6" t="str">
        <f t="shared" si="9"/>
        <v/>
      </c>
    </row>
    <row r="507" spans="1:48" ht="14.65" thickBot="1" x14ac:dyDescent="0.5">
      <c r="A507" s="35" t="s">
        <v>43</v>
      </c>
      <c r="B507" s="3" t="s">
        <v>79</v>
      </c>
      <c r="C507" s="4"/>
      <c r="D507" s="4"/>
      <c r="E507" s="4"/>
      <c r="F507" s="4"/>
      <c r="G507" s="4"/>
      <c r="H507" s="4"/>
      <c r="I507" s="18" t="s">
        <v>2473</v>
      </c>
      <c r="J507" s="18" t="s">
        <v>2473</v>
      </c>
      <c r="K507" s="18" t="s">
        <v>2473</v>
      </c>
      <c r="AU507" s="6"/>
      <c r="AV507" s="6" t="str">
        <f t="shared" si="9"/>
        <v/>
      </c>
    </row>
    <row r="508" spans="1:48" ht="14.65" thickBot="1" x14ac:dyDescent="0.5">
      <c r="A508" s="35" t="s">
        <v>59</v>
      </c>
      <c r="B508" s="3" t="s">
        <v>60</v>
      </c>
      <c r="C508" s="4"/>
      <c r="D508" s="4"/>
      <c r="E508" s="4"/>
      <c r="F508" s="4"/>
      <c r="G508" s="4"/>
      <c r="H508" s="4"/>
      <c r="I508" s="18" t="s">
        <v>2473</v>
      </c>
      <c r="J508" s="18" t="s">
        <v>2473</v>
      </c>
      <c r="K508" s="18" t="s">
        <v>2473</v>
      </c>
      <c r="AU508" s="6"/>
      <c r="AV508" s="6" t="str">
        <f t="shared" si="9"/>
        <v/>
      </c>
    </row>
    <row r="509" spans="1:48" ht="105.75" thickBot="1" x14ac:dyDescent="0.5">
      <c r="A509" s="36" t="s">
        <v>145</v>
      </c>
      <c r="B509" s="3" t="s">
        <v>3968</v>
      </c>
      <c r="C509" s="4" t="s">
        <v>10</v>
      </c>
      <c r="D509" s="4"/>
      <c r="E509" s="4" t="s">
        <v>10</v>
      </c>
      <c r="F509" s="4"/>
      <c r="G509" s="4" t="s">
        <v>10</v>
      </c>
      <c r="H509" s="4"/>
      <c r="I509" s="18" t="s">
        <v>2473</v>
      </c>
      <c r="J509" s="18" t="s">
        <v>2473</v>
      </c>
      <c r="K509" s="18" t="s">
        <v>2473</v>
      </c>
      <c r="AS509" s="206" t="s">
        <v>5861</v>
      </c>
      <c r="AU509" s="6"/>
      <c r="AV509" s="6" t="str">
        <f t="shared" si="9"/>
        <v/>
      </c>
    </row>
    <row r="510" spans="1:48" ht="47.65" thickBot="1" x14ac:dyDescent="0.5">
      <c r="A510" s="35" t="s">
        <v>5361</v>
      </c>
      <c r="B510" s="3" t="s">
        <v>5352</v>
      </c>
      <c r="C510" s="4" t="s">
        <v>10</v>
      </c>
      <c r="D510" s="4"/>
      <c r="E510" s="4" t="s">
        <v>10</v>
      </c>
      <c r="F510" s="4"/>
      <c r="G510" s="4" t="s">
        <v>10</v>
      </c>
      <c r="H510" s="4"/>
      <c r="I510" s="18" t="s">
        <v>2473</v>
      </c>
      <c r="J510" s="18" t="s">
        <v>2473</v>
      </c>
      <c r="K510" s="18" t="s">
        <v>2473</v>
      </c>
      <c r="Q510" s="131"/>
      <c r="R510" s="131"/>
      <c r="S510" s="131"/>
      <c r="T510" s="131"/>
      <c r="U510" s="131"/>
      <c r="V510" s="131"/>
      <c r="W510" s="131"/>
      <c r="X510" s="131"/>
      <c r="AS510" s="139" t="s">
        <v>5355</v>
      </c>
      <c r="AU510" s="6"/>
      <c r="AV510" s="6"/>
    </row>
    <row r="511" spans="1:48" ht="82.5" thickBot="1" x14ac:dyDescent="0.5">
      <c r="A511" s="35" t="s">
        <v>5360</v>
      </c>
      <c r="B511" s="3" t="s">
        <v>5353</v>
      </c>
      <c r="C511" s="4"/>
      <c r="D511" s="4"/>
      <c r="E511" s="4"/>
      <c r="F511" s="4"/>
      <c r="G511" s="4"/>
      <c r="H511" s="4"/>
      <c r="I511" s="18" t="s">
        <v>2473</v>
      </c>
      <c r="J511" s="18" t="s">
        <v>2473</v>
      </c>
      <c r="K511" s="18" t="s">
        <v>2473</v>
      </c>
      <c r="Q511" s="131"/>
      <c r="R511" s="131"/>
      <c r="S511" s="131"/>
      <c r="T511" s="131"/>
      <c r="U511" s="131"/>
      <c r="V511" s="131"/>
      <c r="W511" s="131"/>
      <c r="X511" s="131"/>
      <c r="AS511" s="139" t="s">
        <v>5356</v>
      </c>
      <c r="AU511" s="6"/>
      <c r="AV511" s="6"/>
    </row>
    <row r="512" spans="1:48" ht="14.65" thickBot="1" x14ac:dyDescent="0.5">
      <c r="A512" s="36" t="s">
        <v>427</v>
      </c>
      <c r="B512" s="3" t="s">
        <v>428</v>
      </c>
      <c r="C512" s="4" t="s">
        <v>10</v>
      </c>
      <c r="D512" s="4" t="s">
        <v>13</v>
      </c>
      <c r="E512" s="4" t="s">
        <v>10</v>
      </c>
      <c r="F512" s="4" t="s">
        <v>13</v>
      </c>
      <c r="G512" s="4" t="s">
        <v>10</v>
      </c>
      <c r="H512" s="4" t="s">
        <v>13</v>
      </c>
      <c r="I512" s="18" t="s">
        <v>2473</v>
      </c>
      <c r="J512" s="18" t="s">
        <v>2473</v>
      </c>
      <c r="K512" s="18" t="s">
        <v>2473</v>
      </c>
      <c r="AU512" s="6"/>
      <c r="AV512" s="6" t="str">
        <f t="shared" si="9"/>
        <v/>
      </c>
    </row>
    <row r="513" spans="1:48" x14ac:dyDescent="0.45">
      <c r="A513" s="33" t="s">
        <v>429</v>
      </c>
      <c r="I513" s="18" t="s">
        <v>2473</v>
      </c>
      <c r="J513" s="18" t="s">
        <v>2473</v>
      </c>
      <c r="K513" s="18" t="s">
        <v>2473</v>
      </c>
      <c r="AU513" s="6"/>
      <c r="AV513" s="6" t="str">
        <f t="shared" si="9"/>
        <v/>
      </c>
    </row>
    <row r="514" spans="1:48" x14ac:dyDescent="0.45">
      <c r="A514" s="34" t="s">
        <v>430</v>
      </c>
      <c r="I514" s="18" t="s">
        <v>2473</v>
      </c>
      <c r="J514" s="18" t="s">
        <v>2473</v>
      </c>
      <c r="K514" s="18" t="s">
        <v>2473</v>
      </c>
      <c r="AU514" s="6"/>
      <c r="AV514" s="6" t="str">
        <f t="shared" si="9"/>
        <v/>
      </c>
    </row>
    <row r="515" spans="1:48" s="79" customFormat="1" x14ac:dyDescent="0.45">
      <c r="A515" s="75"/>
      <c r="B515" s="76"/>
      <c r="C515" s="77"/>
      <c r="D515" s="77"/>
      <c r="E515" s="77"/>
      <c r="F515" s="77"/>
      <c r="G515" s="77"/>
      <c r="H515" s="77"/>
      <c r="I515" s="77"/>
      <c r="J515" s="77"/>
      <c r="K515" s="77"/>
      <c r="L515" s="77"/>
      <c r="M515" s="148"/>
      <c r="N515" s="78"/>
      <c r="O515" s="78"/>
      <c r="P515" s="78"/>
      <c r="Q515" s="78"/>
      <c r="R515" s="78"/>
      <c r="S515" s="78"/>
      <c r="T515" s="78"/>
      <c r="U515" s="78"/>
      <c r="V515" s="78"/>
      <c r="W515" s="78"/>
      <c r="X515" s="78"/>
      <c r="Y515" s="148"/>
      <c r="Z515" s="78"/>
      <c r="AA515" s="78"/>
      <c r="AB515" s="78"/>
      <c r="AC515" s="78"/>
      <c r="AD515" s="78"/>
      <c r="AE515" s="156"/>
      <c r="AF515" s="156"/>
      <c r="AG515" s="78"/>
      <c r="AH515" s="78"/>
      <c r="AI515" s="78"/>
      <c r="AJ515" s="78"/>
      <c r="AK515" s="78"/>
      <c r="AL515" s="78"/>
      <c r="AM515" s="78"/>
      <c r="AN515" s="78"/>
      <c r="AO515" s="78"/>
      <c r="AP515" s="78"/>
      <c r="AQ515" s="78"/>
      <c r="AR515" s="286"/>
      <c r="AS515" s="78"/>
      <c r="AT515" s="78"/>
      <c r="AU515" s="8"/>
      <c r="AV515" s="6" t="str">
        <f t="shared" si="9"/>
        <v/>
      </c>
    </row>
    <row r="516" spans="1:48" x14ac:dyDescent="0.45">
      <c r="A516" s="27" t="s">
        <v>2401</v>
      </c>
      <c r="I516" s="18" t="s">
        <v>2473</v>
      </c>
      <c r="J516" s="18" t="s">
        <v>2473</v>
      </c>
      <c r="K516" s="18" t="s">
        <v>2473</v>
      </c>
      <c r="AU516" s="6"/>
      <c r="AV516" s="6" t="str">
        <f t="shared" si="9"/>
        <v/>
      </c>
    </row>
    <row r="517" spans="1:48" x14ac:dyDescent="0.45">
      <c r="A517" s="323" t="s">
        <v>2495</v>
      </c>
      <c r="B517" s="324"/>
      <c r="C517" s="324"/>
      <c r="D517" s="324"/>
      <c r="E517" s="324"/>
      <c r="F517" s="324"/>
      <c r="G517" s="101"/>
      <c r="H517" s="101"/>
      <c r="I517" s="18" t="s">
        <v>2473</v>
      </c>
      <c r="J517" s="18" t="s">
        <v>2473</v>
      </c>
      <c r="K517" s="18" t="s">
        <v>2473</v>
      </c>
      <c r="AU517" s="6"/>
      <c r="AV517" s="6" t="str">
        <f t="shared" si="9"/>
        <v/>
      </c>
    </row>
    <row r="518" spans="1:48" ht="14.65" thickBot="1" x14ac:dyDescent="0.5">
      <c r="A518" s="28" t="s">
        <v>431</v>
      </c>
      <c r="I518" s="18" t="s">
        <v>2473</v>
      </c>
      <c r="J518" s="18" t="s">
        <v>2473</v>
      </c>
      <c r="K518" s="18" t="s">
        <v>2473</v>
      </c>
      <c r="AA518" s="183" t="s">
        <v>2322</v>
      </c>
      <c r="AB518" s="183" t="s">
        <v>1697</v>
      </c>
      <c r="AC518" s="183" t="s">
        <v>5</v>
      </c>
      <c r="AU518" s="6"/>
      <c r="AV518" s="6" t="str">
        <f t="shared" si="9"/>
        <v/>
      </c>
    </row>
    <row r="519" spans="1:48" ht="139.9" thickBot="1" x14ac:dyDescent="0.5">
      <c r="A519" s="309" t="s">
        <v>432</v>
      </c>
      <c r="B519" s="310"/>
      <c r="C519" s="301" t="s">
        <v>1</v>
      </c>
      <c r="D519" s="319"/>
      <c r="E519" s="319"/>
      <c r="F519" s="302"/>
      <c r="G519" s="102"/>
      <c r="H519" s="102"/>
      <c r="I519" s="18" t="s">
        <v>2473</v>
      </c>
      <c r="AA519" s="183" t="str">
        <f>LEFT($A519,FIND(" ",$A519)-1)</f>
        <v>Storage</v>
      </c>
      <c r="AB519" s="183" t="str">
        <f>MID($A519,FIND("(",$A519)+1,LEN($A519)-FIND("(",$A519)-1)</f>
        <v>1.5.0</v>
      </c>
      <c r="AC519" s="101" t="str">
        <f>A517</f>
        <v>A Storage resource represents a set of StorageControllers (physical or virtual) and the resources such as volumes that can be accessed from that subsystem.</v>
      </c>
      <c r="AU519" s="6"/>
      <c r="AV519" s="6" t="str">
        <f t="shared" si="9"/>
        <v/>
      </c>
    </row>
    <row r="520" spans="1:48" ht="14.65" thickBot="1" x14ac:dyDescent="0.5">
      <c r="A520" s="311"/>
      <c r="B520" s="312"/>
      <c r="C520" s="301" t="s">
        <v>2</v>
      </c>
      <c r="D520" s="302"/>
      <c r="E520" s="301" t="s">
        <v>3</v>
      </c>
      <c r="F520" s="302"/>
      <c r="G520" s="301" t="s">
        <v>2896</v>
      </c>
      <c r="H520" s="302"/>
      <c r="I520" s="18" t="s">
        <v>2473</v>
      </c>
      <c r="AA520" s="183" t="s">
        <v>2322</v>
      </c>
      <c r="AB520" s="183" t="s">
        <v>1697</v>
      </c>
      <c r="AC520" s="183" t="s">
        <v>5</v>
      </c>
      <c r="AU520" s="6"/>
      <c r="AV520" s="6" t="str">
        <f t="shared" si="9"/>
        <v/>
      </c>
    </row>
    <row r="521" spans="1:48" ht="139.9" thickBot="1" x14ac:dyDescent="0.5">
      <c r="A521" s="309" t="s">
        <v>3185</v>
      </c>
      <c r="B521" s="310"/>
      <c r="C521" s="301" t="s">
        <v>1</v>
      </c>
      <c r="D521" s="319"/>
      <c r="E521" s="319"/>
      <c r="F521" s="302"/>
      <c r="G521" s="102"/>
      <c r="H521" s="102"/>
      <c r="J521" s="18" t="s">
        <v>2473</v>
      </c>
      <c r="K521" s="18" t="s">
        <v>2473</v>
      </c>
      <c r="AA521" s="183" t="str">
        <f>LEFT($A521,FIND(" ",$A521)-1)</f>
        <v>Storage</v>
      </c>
      <c r="AB521" s="183" t="str">
        <f>MID($A521,FIND("(",$A521)+1,LEN($A521)-FIND("(",$A521)-1)</f>
        <v>1.7.0</v>
      </c>
      <c r="AC521" s="101" t="str">
        <f>AC519</f>
        <v>A Storage resource represents a set of StorageControllers (physical or virtual) and the resources such as volumes that can be accessed from that subsystem.</v>
      </c>
      <c r="AU521" s="6"/>
      <c r="AV521" s="6" t="str">
        <f t="shared" si="9"/>
        <v/>
      </c>
    </row>
    <row r="522" spans="1:48" ht="14.65" thickBot="1" x14ac:dyDescent="0.5">
      <c r="A522" s="311"/>
      <c r="B522" s="312"/>
      <c r="C522" s="301" t="s">
        <v>2</v>
      </c>
      <c r="D522" s="302"/>
      <c r="E522" s="301" t="s">
        <v>3</v>
      </c>
      <c r="F522" s="302"/>
      <c r="G522" s="301" t="s">
        <v>2896</v>
      </c>
      <c r="H522" s="302"/>
      <c r="J522" s="18" t="s">
        <v>2473</v>
      </c>
      <c r="K522" s="18" t="s">
        <v>2473</v>
      </c>
      <c r="AM522" s="8" t="str">
        <f>C522</f>
        <v>OSM-Redfish</v>
      </c>
      <c r="AN522" s="8" t="str">
        <f>E522</f>
        <v>OSM-RedfishBMC</v>
      </c>
      <c r="AO522" s="8" t="str">
        <f>G522</f>
        <v>OSM-RedfishDCN</v>
      </c>
      <c r="AU522" s="6"/>
      <c r="AV522" s="6" t="str">
        <f t="shared" si="9"/>
        <v/>
      </c>
    </row>
    <row r="523" spans="1:48" ht="81.75" thickBot="1" x14ac:dyDescent="0.5">
      <c r="A523" s="46" t="s">
        <v>2377</v>
      </c>
      <c r="B523" s="47"/>
      <c r="C523" s="303" t="s">
        <v>37</v>
      </c>
      <c r="D523" s="304"/>
      <c r="E523" s="303" t="s">
        <v>37</v>
      </c>
      <c r="F523" s="304"/>
      <c r="G523" s="303" t="s">
        <v>37</v>
      </c>
      <c r="H523" s="304"/>
      <c r="I523" s="18" t="s">
        <v>2473</v>
      </c>
      <c r="J523" s="18" t="s">
        <v>2473</v>
      </c>
      <c r="K523" s="18" t="s">
        <v>2473</v>
      </c>
      <c r="AM523" s="8" t="str">
        <f>IF(C523&lt;&gt;"","CRQ-P5-"&amp;(AM$2+$AP523*$AP$3),"")</f>
        <v>CRQ-P5-1232</v>
      </c>
      <c r="AN523" s="8" t="str">
        <f>IF(E523&lt;&gt;"","CRQ-P5-"&amp;(AN$2+$AP523*$AP$3),"")</f>
        <v>CRQ-P5-1532</v>
      </c>
      <c r="AO523" s="8" t="str">
        <f>IF(G523&lt;&gt;"","CRQ-P5-"&amp;(AO$2+$AP523*$AP$3),"")</f>
        <v>CRQ-P5-1832</v>
      </c>
      <c r="AP523" s="8">
        <v>58</v>
      </c>
      <c r="AU523" s="140" t="s">
        <v>5062</v>
      </c>
      <c r="AV523" s="6" t="str">
        <f t="shared" si="9"/>
        <v/>
      </c>
    </row>
    <row r="524" spans="1:48" ht="14.65" thickBot="1" x14ac:dyDescent="0.5">
      <c r="A524" s="29" t="s">
        <v>3394</v>
      </c>
      <c r="B524" s="9"/>
      <c r="C524" s="305" t="str">
        <f>MID($A519,FIND("(",$A519)+1,5)</f>
        <v>1.5.0</v>
      </c>
      <c r="D524" s="306"/>
      <c r="E524" s="305" t="s">
        <v>3405</v>
      </c>
      <c r="F524" s="306"/>
      <c r="G524" s="305" t="str">
        <f>MID($A519,FIND("(",$A519)+1,5)</f>
        <v>1.5.0</v>
      </c>
      <c r="H524" s="306"/>
      <c r="I524" s="18" t="s">
        <v>2473</v>
      </c>
      <c r="J524" s="18" t="s">
        <v>2473</v>
      </c>
      <c r="K524" s="18" t="s">
        <v>2473</v>
      </c>
      <c r="AU524" s="6"/>
      <c r="AV524" s="6" t="str">
        <f t="shared" si="9"/>
        <v/>
      </c>
    </row>
    <row r="525" spans="1:48" ht="14.65" thickBot="1" x14ac:dyDescent="0.5">
      <c r="A525" s="30" t="s">
        <v>4</v>
      </c>
      <c r="B525" s="59" t="s">
        <v>5</v>
      </c>
      <c r="C525" s="7" t="s">
        <v>6</v>
      </c>
      <c r="D525" s="7" t="s">
        <v>7</v>
      </c>
      <c r="E525" s="7" t="s">
        <v>6</v>
      </c>
      <c r="F525" s="7" t="s">
        <v>7</v>
      </c>
      <c r="G525" s="7" t="s">
        <v>6</v>
      </c>
      <c r="H525" s="7" t="s">
        <v>7</v>
      </c>
      <c r="I525" s="18" t="s">
        <v>2473</v>
      </c>
      <c r="J525" s="18" t="s">
        <v>2473</v>
      </c>
      <c r="K525" s="18" t="s">
        <v>2473</v>
      </c>
      <c r="AU525" s="6"/>
      <c r="AV525" s="6" t="str">
        <f t="shared" si="9"/>
        <v/>
      </c>
    </row>
    <row r="526" spans="1:48" ht="14.65" thickBot="1" x14ac:dyDescent="0.5">
      <c r="A526" s="36" t="s">
        <v>8</v>
      </c>
      <c r="B526" s="3" t="s">
        <v>9</v>
      </c>
      <c r="C526" s="4"/>
      <c r="D526" s="4"/>
      <c r="E526" s="4"/>
      <c r="F526" s="4"/>
      <c r="G526" s="4"/>
      <c r="H526" s="4"/>
      <c r="I526" s="18" t="s">
        <v>2473</v>
      </c>
      <c r="J526" s="18" t="s">
        <v>2473</v>
      </c>
      <c r="K526" s="18" t="s">
        <v>2473</v>
      </c>
      <c r="AU526" s="6"/>
      <c r="AV526" s="6" t="str">
        <f t="shared" si="9"/>
        <v/>
      </c>
    </row>
    <row r="527" spans="1:48" ht="14.65" thickBot="1" x14ac:dyDescent="0.5">
      <c r="A527" s="35" t="s">
        <v>433</v>
      </c>
      <c r="B527" s="3" t="s">
        <v>434</v>
      </c>
      <c r="C527" s="4"/>
      <c r="D527" s="4"/>
      <c r="E527" s="4"/>
      <c r="F527" s="4"/>
      <c r="G527" s="4"/>
      <c r="H527" s="4"/>
      <c r="I527" s="18" t="s">
        <v>2473</v>
      </c>
      <c r="J527" s="18" t="s">
        <v>2473</v>
      </c>
      <c r="K527" s="18" t="s">
        <v>2473</v>
      </c>
      <c r="AU527" s="6"/>
      <c r="AV527" s="6" t="str">
        <f t="shared" si="9"/>
        <v/>
      </c>
    </row>
    <row r="528" spans="1:48" ht="23.65" thickBot="1" x14ac:dyDescent="0.5">
      <c r="A528" s="36" t="s">
        <v>435</v>
      </c>
      <c r="B528" s="3" t="s">
        <v>436</v>
      </c>
      <c r="C528" s="4" t="s">
        <v>10</v>
      </c>
      <c r="D528" s="4"/>
      <c r="E528" s="4" t="s">
        <v>10</v>
      </c>
      <c r="F528" s="4"/>
      <c r="G528" s="4" t="s">
        <v>10</v>
      </c>
      <c r="H528" s="4"/>
      <c r="I528" s="18" t="s">
        <v>2473</v>
      </c>
      <c r="J528" s="18" t="s">
        <v>2473</v>
      </c>
      <c r="K528" s="18" t="s">
        <v>2473</v>
      </c>
      <c r="AU528" s="6"/>
      <c r="AV528" s="6" t="str">
        <f t="shared" si="9"/>
        <v/>
      </c>
    </row>
    <row r="529" spans="1:48" ht="14.65" thickBot="1" x14ac:dyDescent="0.5">
      <c r="A529" s="35" t="s">
        <v>33</v>
      </c>
      <c r="B529" s="3" t="s">
        <v>355</v>
      </c>
      <c r="C529" s="4"/>
      <c r="D529" s="4"/>
      <c r="E529" s="4"/>
      <c r="F529" s="4"/>
      <c r="G529" s="4"/>
      <c r="H529" s="4"/>
      <c r="I529" s="18" t="s">
        <v>2473</v>
      </c>
      <c r="J529" s="18" t="s">
        <v>2473</v>
      </c>
      <c r="K529" s="18" t="s">
        <v>2473</v>
      </c>
      <c r="AU529" s="6"/>
      <c r="AV529" s="6" t="str">
        <f t="shared" si="9"/>
        <v/>
      </c>
    </row>
    <row r="530" spans="1:48" ht="14.65" thickBot="1" x14ac:dyDescent="0.5">
      <c r="A530" s="36" t="s">
        <v>75</v>
      </c>
      <c r="B530" s="3" t="s">
        <v>76</v>
      </c>
      <c r="C530" s="4"/>
      <c r="D530" s="4"/>
      <c r="E530" s="4"/>
      <c r="F530" s="4"/>
      <c r="G530" s="4"/>
      <c r="H530" s="4"/>
      <c r="I530" s="18" t="s">
        <v>2473</v>
      </c>
      <c r="J530" s="18" t="s">
        <v>2473</v>
      </c>
      <c r="K530" s="18" t="s">
        <v>2473</v>
      </c>
      <c r="AU530" s="6"/>
      <c r="AV530" s="6" t="str">
        <f t="shared" si="9"/>
        <v/>
      </c>
    </row>
    <row r="531" spans="1:48" ht="23.65" thickBot="1" x14ac:dyDescent="0.5">
      <c r="A531" s="35" t="s">
        <v>437</v>
      </c>
      <c r="B531" s="3" t="s">
        <v>438</v>
      </c>
      <c r="C531" s="4"/>
      <c r="D531" s="4"/>
      <c r="E531" s="4"/>
      <c r="F531" s="4"/>
      <c r="G531" s="4"/>
      <c r="H531" s="4"/>
      <c r="I531" s="18" t="s">
        <v>2473</v>
      </c>
      <c r="J531" s="18" t="s">
        <v>2473</v>
      </c>
      <c r="K531" s="18" t="s">
        <v>2473</v>
      </c>
      <c r="AU531" s="6"/>
      <c r="AV531" s="6" t="str">
        <f t="shared" si="9"/>
        <v/>
      </c>
    </row>
    <row r="532" spans="1:48" ht="14.65" thickBot="1" x14ac:dyDescent="0.5">
      <c r="A532" s="35" t="s">
        <v>43</v>
      </c>
      <c r="B532" s="3" t="s">
        <v>79</v>
      </c>
      <c r="C532" s="4"/>
      <c r="D532" s="4"/>
      <c r="E532" s="4"/>
      <c r="F532" s="4"/>
      <c r="G532" s="4"/>
      <c r="H532" s="4"/>
      <c r="I532" s="18" t="s">
        <v>2473</v>
      </c>
      <c r="J532" s="18" t="s">
        <v>2473</v>
      </c>
      <c r="K532" s="18" t="s">
        <v>2473</v>
      </c>
      <c r="AU532" s="6"/>
      <c r="AV532" s="6" t="str">
        <f t="shared" si="9"/>
        <v/>
      </c>
    </row>
    <row r="533" spans="1:48" ht="14.65" thickBot="1" x14ac:dyDescent="0.5">
      <c r="A533" s="35" t="s">
        <v>59</v>
      </c>
      <c r="B533" s="3" t="s">
        <v>60</v>
      </c>
      <c r="C533" s="4"/>
      <c r="D533" s="4"/>
      <c r="E533" s="4"/>
      <c r="F533" s="4"/>
      <c r="G533" s="4"/>
      <c r="H533" s="4"/>
      <c r="I533" s="18" t="s">
        <v>2473</v>
      </c>
      <c r="J533" s="18" t="s">
        <v>2473</v>
      </c>
      <c r="K533" s="18" t="s">
        <v>2473</v>
      </c>
      <c r="AU533" s="6"/>
      <c r="AV533" s="6" t="str">
        <f t="shared" si="9"/>
        <v/>
      </c>
    </row>
    <row r="534" spans="1:48" ht="14.65" thickBot="1" x14ac:dyDescent="0.5">
      <c r="A534" s="36" t="s">
        <v>135</v>
      </c>
      <c r="B534" s="3" t="s">
        <v>439</v>
      </c>
      <c r="C534" s="4"/>
      <c r="D534" s="4"/>
      <c r="E534" s="4" t="s">
        <v>37</v>
      </c>
      <c r="F534" s="4"/>
      <c r="G534" s="4"/>
      <c r="H534" s="4"/>
      <c r="I534" s="18" t="s">
        <v>2473</v>
      </c>
      <c r="J534" s="18" t="s">
        <v>2473</v>
      </c>
      <c r="K534" s="18" t="s">
        <v>2473</v>
      </c>
      <c r="AU534" s="6"/>
      <c r="AV534" s="6" t="str">
        <f t="shared" si="9"/>
        <v/>
      </c>
    </row>
    <row r="535" spans="1:48" ht="14.65" thickBot="1" x14ac:dyDescent="0.5">
      <c r="A535" s="35" t="s">
        <v>33</v>
      </c>
      <c r="B535" s="3" t="s">
        <v>84</v>
      </c>
      <c r="C535" s="4"/>
      <c r="D535" s="4"/>
      <c r="E535" s="4"/>
      <c r="F535" s="4"/>
      <c r="G535" s="4"/>
      <c r="H535" s="4"/>
      <c r="I535" s="18" t="s">
        <v>2473</v>
      </c>
      <c r="J535" s="18" t="s">
        <v>2473</v>
      </c>
      <c r="K535" s="18" t="s">
        <v>2473</v>
      </c>
      <c r="AU535" s="6"/>
      <c r="AV535" s="6" t="str">
        <f t="shared" si="9"/>
        <v/>
      </c>
    </row>
    <row r="536" spans="1:48" ht="105.75" thickBot="1" x14ac:dyDescent="0.5">
      <c r="A536" s="36" t="s">
        <v>145</v>
      </c>
      <c r="B536" s="3" t="s">
        <v>3968</v>
      </c>
      <c r="C536" s="4" t="s">
        <v>10</v>
      </c>
      <c r="D536" s="4"/>
      <c r="E536" s="4" t="s">
        <v>10</v>
      </c>
      <c r="F536" s="4"/>
      <c r="G536" s="4" t="s">
        <v>10</v>
      </c>
      <c r="H536" s="4"/>
      <c r="I536" s="18" t="s">
        <v>2473</v>
      </c>
      <c r="J536" s="18" t="s">
        <v>2473</v>
      </c>
      <c r="K536" s="18" t="s">
        <v>2473</v>
      </c>
      <c r="AS536" s="206" t="s">
        <v>5861</v>
      </c>
      <c r="AU536" s="6"/>
      <c r="AV536" s="6" t="str">
        <f t="shared" si="9"/>
        <v/>
      </c>
    </row>
    <row r="537" spans="1:48" ht="47.65" thickBot="1" x14ac:dyDescent="0.5">
      <c r="A537" s="35" t="s">
        <v>5361</v>
      </c>
      <c r="B537" s="3" t="s">
        <v>5352</v>
      </c>
      <c r="C537" s="4" t="s">
        <v>10</v>
      </c>
      <c r="D537" s="4"/>
      <c r="E537" s="4" t="s">
        <v>10</v>
      </c>
      <c r="F537" s="4"/>
      <c r="G537" s="4" t="s">
        <v>10</v>
      </c>
      <c r="H537" s="4"/>
      <c r="I537" s="18" t="s">
        <v>2473</v>
      </c>
      <c r="J537" s="18" t="s">
        <v>2473</v>
      </c>
      <c r="K537" s="18" t="s">
        <v>2473</v>
      </c>
      <c r="Q537" s="131"/>
      <c r="R537" s="131"/>
      <c r="S537" s="131"/>
      <c r="T537" s="131"/>
      <c r="U537" s="131"/>
      <c r="V537" s="131"/>
      <c r="W537" s="131"/>
      <c r="X537" s="131"/>
      <c r="AS537" s="139" t="s">
        <v>5355</v>
      </c>
      <c r="AU537" s="6"/>
      <c r="AV537" s="6"/>
    </row>
    <row r="538" spans="1:48" ht="82.5" thickBot="1" x14ac:dyDescent="0.5">
      <c r="A538" s="35" t="s">
        <v>5360</v>
      </c>
      <c r="B538" s="3" t="s">
        <v>5353</v>
      </c>
      <c r="C538" s="4" t="s">
        <v>13</v>
      </c>
      <c r="D538" s="4"/>
      <c r="E538" s="4" t="s">
        <v>13</v>
      </c>
      <c r="F538" s="4"/>
      <c r="G538" s="4" t="s">
        <v>13</v>
      </c>
      <c r="H538" s="4"/>
      <c r="I538" s="18" t="s">
        <v>2473</v>
      </c>
      <c r="J538" s="18" t="s">
        <v>2473</v>
      </c>
      <c r="K538" s="18" t="s">
        <v>2473</v>
      </c>
      <c r="Q538" s="131"/>
      <c r="R538" s="131"/>
      <c r="S538" s="131"/>
      <c r="T538" s="131"/>
      <c r="U538" s="131"/>
      <c r="V538" s="131"/>
      <c r="W538" s="131"/>
      <c r="X538" s="131"/>
      <c r="AS538" s="139" t="s">
        <v>5356</v>
      </c>
      <c r="AU538" s="6"/>
      <c r="AV538" s="6"/>
    </row>
    <row r="539" spans="1:48" ht="47.65" thickBot="1" x14ac:dyDescent="0.5">
      <c r="A539" s="36" t="s">
        <v>440</v>
      </c>
      <c r="B539" s="3" t="s">
        <v>441</v>
      </c>
      <c r="C539" s="4" t="s">
        <v>10</v>
      </c>
      <c r="D539" s="4"/>
      <c r="E539" s="4" t="s">
        <v>10</v>
      </c>
      <c r="F539" s="4"/>
      <c r="G539" s="4" t="s">
        <v>10</v>
      </c>
      <c r="H539" s="4"/>
      <c r="I539" s="18" t="s">
        <v>2473</v>
      </c>
      <c r="J539" s="18" t="s">
        <v>2473</v>
      </c>
      <c r="K539" s="18" t="s">
        <v>2473</v>
      </c>
      <c r="AS539" s="206" t="s">
        <v>5860</v>
      </c>
      <c r="AU539" s="6"/>
      <c r="AV539" s="6" t="str">
        <f t="shared" ref="AV539:AV606" si="10">IF(A539&lt;&gt;"",IF(T539&lt;&gt;"",IF(LEFT(R539,3)="Has",IF(TRIM(A539)&lt;&gt;T539,"ERROR","OK"),""),""),"")</f>
        <v/>
      </c>
    </row>
    <row r="540" spans="1:48" ht="14.65" thickBot="1" x14ac:dyDescent="0.5">
      <c r="A540" s="35" t="s">
        <v>442</v>
      </c>
      <c r="B540" s="3" t="s">
        <v>9</v>
      </c>
      <c r="C540" s="4"/>
      <c r="D540" s="4"/>
      <c r="E540" s="4"/>
      <c r="F540" s="4"/>
      <c r="G540" s="4"/>
      <c r="H540" s="4"/>
      <c r="I540" s="18" t="s">
        <v>2473</v>
      </c>
      <c r="J540" s="18" t="s">
        <v>2473</v>
      </c>
      <c r="K540" s="18" t="s">
        <v>2473</v>
      </c>
      <c r="AU540" s="6"/>
      <c r="AV540" s="6" t="str">
        <f t="shared" si="10"/>
        <v/>
      </c>
    </row>
    <row r="541" spans="1:48" ht="23.65" thickBot="1" x14ac:dyDescent="0.5">
      <c r="A541" s="35" t="s">
        <v>443</v>
      </c>
      <c r="B541" s="3" t="s">
        <v>444</v>
      </c>
      <c r="C541" s="4"/>
      <c r="D541" s="4"/>
      <c r="E541" s="4"/>
      <c r="F541" s="4"/>
      <c r="G541" s="4"/>
      <c r="H541" s="4"/>
      <c r="I541" s="18" t="s">
        <v>2473</v>
      </c>
      <c r="J541" s="18" t="s">
        <v>2473</v>
      </c>
      <c r="K541" s="18" t="s">
        <v>2473</v>
      </c>
      <c r="AU541" s="6"/>
      <c r="AV541" s="6" t="str">
        <f t="shared" si="10"/>
        <v/>
      </c>
    </row>
    <row r="542" spans="1:48" ht="14.65" thickBot="1" x14ac:dyDescent="0.5">
      <c r="A542" s="35" t="s">
        <v>43</v>
      </c>
      <c r="B542" s="3" t="s">
        <v>183</v>
      </c>
      <c r="C542" s="4"/>
      <c r="D542" s="4"/>
      <c r="E542" s="4"/>
      <c r="F542" s="4"/>
      <c r="G542" s="4"/>
      <c r="H542" s="4"/>
      <c r="I542" s="18" t="s">
        <v>2473</v>
      </c>
      <c r="J542" s="18" t="s">
        <v>2473</v>
      </c>
      <c r="K542" s="18" t="s">
        <v>2473</v>
      </c>
      <c r="AU542" s="6"/>
      <c r="AV542" s="6" t="str">
        <f t="shared" si="10"/>
        <v/>
      </c>
    </row>
    <row r="543" spans="1:48" ht="14.65" thickBot="1" x14ac:dyDescent="0.5">
      <c r="A543" s="35" t="s">
        <v>445</v>
      </c>
      <c r="B543" s="3" t="s">
        <v>446</v>
      </c>
      <c r="C543" s="4" t="s">
        <v>13</v>
      </c>
      <c r="D543" s="4"/>
      <c r="E543" s="4" t="s">
        <v>13</v>
      </c>
      <c r="F543" s="4"/>
      <c r="G543" s="4" t="s">
        <v>13</v>
      </c>
      <c r="H543" s="4"/>
      <c r="I543" s="18" t="s">
        <v>2473</v>
      </c>
      <c r="J543" s="18" t="s">
        <v>2473</v>
      </c>
      <c r="K543" s="18" t="s">
        <v>2473</v>
      </c>
      <c r="AU543" s="6"/>
      <c r="AV543" s="6" t="str">
        <f t="shared" si="10"/>
        <v/>
      </c>
    </row>
    <row r="544" spans="1:48" ht="23.65" thickBot="1" x14ac:dyDescent="0.5">
      <c r="A544" s="35" t="s">
        <v>447</v>
      </c>
      <c r="B544" s="3" t="s">
        <v>448</v>
      </c>
      <c r="C544" s="4"/>
      <c r="D544" s="4"/>
      <c r="E544" s="4"/>
      <c r="F544" s="4"/>
      <c r="G544" s="4"/>
      <c r="H544" s="4"/>
      <c r="I544" s="18" t="s">
        <v>2473</v>
      </c>
      <c r="J544" s="18" t="s">
        <v>2473</v>
      </c>
      <c r="K544" s="18" t="s">
        <v>2473</v>
      </c>
      <c r="AU544" s="6"/>
      <c r="AV544" s="6" t="str">
        <f t="shared" si="10"/>
        <v/>
      </c>
    </row>
    <row r="545" spans="1:48" ht="14.65" thickBot="1" x14ac:dyDescent="0.5">
      <c r="A545" s="35" t="s">
        <v>3186</v>
      </c>
      <c r="B545" s="3" t="s">
        <v>449</v>
      </c>
      <c r="C545" s="4"/>
      <c r="D545" s="4"/>
      <c r="E545" s="4"/>
      <c r="F545" s="4"/>
      <c r="G545" s="4"/>
      <c r="H545" s="4"/>
      <c r="I545" s="18" t="s">
        <v>2473</v>
      </c>
      <c r="J545" s="18" t="s">
        <v>2473</v>
      </c>
      <c r="K545" s="18" t="s">
        <v>2473</v>
      </c>
      <c r="AU545" s="6"/>
      <c r="AV545" s="6" t="str">
        <f t="shared" si="10"/>
        <v/>
      </c>
    </row>
    <row r="546" spans="1:48" ht="47.65" thickBot="1" x14ac:dyDescent="0.5">
      <c r="A546" s="35" t="s">
        <v>3187</v>
      </c>
      <c r="B546" s="3" t="s">
        <v>450</v>
      </c>
      <c r="C546" s="4"/>
      <c r="D546" s="4"/>
      <c r="E546" s="4"/>
      <c r="F546" s="4"/>
      <c r="G546" s="4"/>
      <c r="H546" s="4"/>
      <c r="I546" s="18" t="s">
        <v>2473</v>
      </c>
      <c r="J546" s="18" t="s">
        <v>2473</v>
      </c>
      <c r="K546" s="18" t="s">
        <v>2473</v>
      </c>
      <c r="AS546" s="139" t="s">
        <v>5363</v>
      </c>
      <c r="AU546" s="6"/>
      <c r="AV546" s="6" t="str">
        <f t="shared" si="10"/>
        <v/>
      </c>
    </row>
    <row r="547" spans="1:48" ht="70.900000000000006" thickBot="1" x14ac:dyDescent="0.5">
      <c r="A547" s="35" t="s">
        <v>5375</v>
      </c>
      <c r="B547" s="3" t="s">
        <v>5352</v>
      </c>
      <c r="C547" s="4"/>
      <c r="D547" s="4"/>
      <c r="E547" s="4"/>
      <c r="F547" s="4"/>
      <c r="G547" s="4"/>
      <c r="H547" s="4"/>
      <c r="I547" s="18" t="s">
        <v>2473</v>
      </c>
      <c r="J547" s="18" t="s">
        <v>2473</v>
      </c>
      <c r="K547" s="18" t="s">
        <v>2473</v>
      </c>
      <c r="Q547" s="131"/>
      <c r="R547" s="131"/>
      <c r="S547" s="131"/>
      <c r="T547" s="131"/>
      <c r="U547" s="131"/>
      <c r="V547" s="131"/>
      <c r="W547" s="131"/>
      <c r="X547" s="131"/>
      <c r="AS547" s="139" t="s">
        <v>5367</v>
      </c>
      <c r="AU547" s="6"/>
      <c r="AV547" s="6"/>
    </row>
    <row r="548" spans="1:48" ht="82.5" thickBot="1" x14ac:dyDescent="0.5">
      <c r="A548" s="35" t="s">
        <v>5376</v>
      </c>
      <c r="B548" s="3" t="s">
        <v>5353</v>
      </c>
      <c r="C548" s="4"/>
      <c r="D548" s="4"/>
      <c r="E548" s="4"/>
      <c r="F548" s="4"/>
      <c r="G548" s="4"/>
      <c r="H548" s="4"/>
      <c r="I548" s="18" t="s">
        <v>2473</v>
      </c>
      <c r="J548" s="18" t="s">
        <v>2473</v>
      </c>
      <c r="K548" s="18" t="s">
        <v>2473</v>
      </c>
      <c r="Q548" s="131"/>
      <c r="R548" s="131"/>
      <c r="S548" s="131"/>
      <c r="T548" s="131"/>
      <c r="U548" s="131"/>
      <c r="V548" s="131"/>
      <c r="W548" s="131"/>
      <c r="X548" s="131"/>
      <c r="AS548" s="139" t="s">
        <v>5356</v>
      </c>
      <c r="AU548" s="6"/>
      <c r="AV548" s="6"/>
    </row>
    <row r="549" spans="1:48" ht="14.65" thickBot="1" x14ac:dyDescent="0.5">
      <c r="A549" s="35" t="s">
        <v>3188</v>
      </c>
      <c r="B549" s="3" t="s">
        <v>451</v>
      </c>
      <c r="C549" s="4"/>
      <c r="D549" s="4"/>
      <c r="E549" s="4"/>
      <c r="F549" s="4"/>
      <c r="G549" s="4"/>
      <c r="H549" s="4"/>
      <c r="I549" s="18" t="s">
        <v>2473</v>
      </c>
      <c r="J549" s="18" t="s">
        <v>2473</v>
      </c>
      <c r="K549" s="18" t="s">
        <v>2473</v>
      </c>
      <c r="AU549" s="6"/>
      <c r="AV549" s="6" t="str">
        <f t="shared" si="10"/>
        <v/>
      </c>
    </row>
    <row r="550" spans="1:48" ht="23.65" thickBot="1" x14ac:dyDescent="0.5">
      <c r="A550" s="36" t="s">
        <v>3193</v>
      </c>
      <c r="B550" s="3" t="s">
        <v>3189</v>
      </c>
      <c r="C550" s="4"/>
      <c r="D550" s="4"/>
      <c r="E550" s="4"/>
      <c r="F550" s="4"/>
      <c r="G550" s="4"/>
      <c r="H550" s="4"/>
      <c r="J550" s="18" t="s">
        <v>2473</v>
      </c>
      <c r="K550" s="18" t="s">
        <v>2473</v>
      </c>
      <c r="AU550" s="6"/>
      <c r="AV550" s="6" t="str">
        <f t="shared" si="10"/>
        <v/>
      </c>
    </row>
    <row r="551" spans="1:48" ht="23.65" thickBot="1" x14ac:dyDescent="0.5">
      <c r="A551" s="35" t="s">
        <v>3194</v>
      </c>
      <c r="B551" s="3" t="s">
        <v>3190</v>
      </c>
      <c r="C551" s="4"/>
      <c r="D551" s="4"/>
      <c r="E551" s="4"/>
      <c r="F551" s="4"/>
      <c r="G551" s="4"/>
      <c r="H551" s="4"/>
      <c r="J551" s="18" t="s">
        <v>2473</v>
      </c>
      <c r="K551" s="18" t="s">
        <v>2473</v>
      </c>
      <c r="AU551" s="6"/>
      <c r="AV551" s="6" t="str">
        <f t="shared" si="10"/>
        <v/>
      </c>
    </row>
    <row r="552" spans="1:48" ht="23.65" thickBot="1" x14ac:dyDescent="0.5">
      <c r="A552" s="35" t="s">
        <v>3195</v>
      </c>
      <c r="B552" s="3" t="s">
        <v>3191</v>
      </c>
      <c r="C552" s="4"/>
      <c r="D552" s="4"/>
      <c r="E552" s="4"/>
      <c r="F552" s="4"/>
      <c r="G552" s="4"/>
      <c r="H552" s="4"/>
      <c r="J552" s="18" t="s">
        <v>2473</v>
      </c>
      <c r="K552" s="18" t="s">
        <v>2473</v>
      </c>
      <c r="AU552" s="6"/>
      <c r="AV552" s="6" t="str">
        <f t="shared" si="10"/>
        <v/>
      </c>
    </row>
    <row r="553" spans="1:48" ht="23.65" thickBot="1" x14ac:dyDescent="0.5">
      <c r="A553" s="35" t="s">
        <v>3196</v>
      </c>
      <c r="B553" s="3" t="s">
        <v>3192</v>
      </c>
      <c r="C553" s="4"/>
      <c r="D553" s="4"/>
      <c r="E553" s="4"/>
      <c r="F553" s="4"/>
      <c r="G553" s="4"/>
      <c r="H553" s="4"/>
      <c r="J553" s="18" t="s">
        <v>2473</v>
      </c>
      <c r="K553" s="18" t="s">
        <v>2473</v>
      </c>
      <c r="AU553" s="6"/>
      <c r="AV553" s="6" t="str">
        <f t="shared" si="10"/>
        <v/>
      </c>
    </row>
    <row r="554" spans="1:48" ht="14.65" thickBot="1" x14ac:dyDescent="0.5">
      <c r="A554" s="35" t="s">
        <v>153</v>
      </c>
      <c r="B554" s="3" t="s">
        <v>452</v>
      </c>
      <c r="C554" s="4"/>
      <c r="D554" s="4"/>
      <c r="E554" s="4"/>
      <c r="F554" s="4"/>
      <c r="G554" s="4"/>
      <c r="H554" s="4"/>
      <c r="I554" s="18" t="s">
        <v>2473</v>
      </c>
      <c r="J554" s="18" t="s">
        <v>2473</v>
      </c>
      <c r="K554" s="18" t="s">
        <v>2473</v>
      </c>
      <c r="AU554" s="6"/>
      <c r="AV554" s="6" t="str">
        <f t="shared" si="10"/>
        <v/>
      </c>
    </row>
    <row r="555" spans="1:48" ht="14.65" thickBot="1" x14ac:dyDescent="0.5">
      <c r="A555" s="35" t="s">
        <v>453</v>
      </c>
      <c r="B555" s="3" t="s">
        <v>454</v>
      </c>
      <c r="C555" s="4"/>
      <c r="D555" s="4"/>
      <c r="E555" s="4"/>
      <c r="F555" s="4"/>
      <c r="G555" s="4"/>
      <c r="H555" s="4"/>
      <c r="I555" s="18" t="s">
        <v>2473</v>
      </c>
      <c r="J555" s="18" t="s">
        <v>2473</v>
      </c>
      <c r="K555" s="18" t="s">
        <v>2473</v>
      </c>
      <c r="AU555" s="6"/>
      <c r="AV555" s="6" t="str">
        <f t="shared" si="10"/>
        <v/>
      </c>
    </row>
    <row r="556" spans="1:48" ht="14.65" thickBot="1" x14ac:dyDescent="0.5">
      <c r="A556" s="35" t="s">
        <v>455</v>
      </c>
      <c r="B556" s="3" t="s">
        <v>76</v>
      </c>
      <c r="C556" s="4"/>
      <c r="D556" s="4"/>
      <c r="E556" s="4"/>
      <c r="F556" s="4"/>
      <c r="G556" s="4"/>
      <c r="H556" s="4"/>
      <c r="I556" s="18" t="s">
        <v>2473</v>
      </c>
      <c r="J556" s="18" t="s">
        <v>2473</v>
      </c>
      <c r="K556" s="18" t="s">
        <v>2473</v>
      </c>
      <c r="AU556" s="6"/>
      <c r="AV556" s="6" t="str">
        <f t="shared" si="10"/>
        <v/>
      </c>
    </row>
    <row r="557" spans="1:48" ht="14.65" thickBot="1" x14ac:dyDescent="0.5">
      <c r="A557" s="35" t="s">
        <v>3197</v>
      </c>
      <c r="B557" s="3" t="s">
        <v>456</v>
      </c>
      <c r="C557" s="4"/>
      <c r="D557" s="4"/>
      <c r="E557" s="4"/>
      <c r="F557" s="4"/>
      <c r="G557" s="4"/>
      <c r="H557" s="4"/>
      <c r="I557" s="18" t="s">
        <v>2473</v>
      </c>
      <c r="J557" s="18" t="s">
        <v>2473</v>
      </c>
      <c r="K557" s="18" t="s">
        <v>2473</v>
      </c>
      <c r="AU557" s="6"/>
      <c r="AV557" s="6" t="str">
        <f t="shared" si="10"/>
        <v/>
      </c>
    </row>
    <row r="558" spans="1:48" ht="14.65" thickBot="1" x14ac:dyDescent="0.5">
      <c r="A558" s="35" t="s">
        <v>1994</v>
      </c>
      <c r="B558" s="3" t="s">
        <v>457</v>
      </c>
      <c r="C558" s="4"/>
      <c r="D558" s="4"/>
      <c r="E558" s="4"/>
      <c r="F558" s="4"/>
      <c r="G558" s="4"/>
      <c r="H558" s="4"/>
      <c r="I558" s="18" t="s">
        <v>2473</v>
      </c>
      <c r="J558" s="18" t="s">
        <v>2473</v>
      </c>
      <c r="K558" s="18" t="s">
        <v>2473</v>
      </c>
      <c r="AU558" s="6"/>
      <c r="AV558" s="6" t="str">
        <f t="shared" si="10"/>
        <v/>
      </c>
    </row>
    <row r="559" spans="1:48" ht="14.65" thickBot="1" x14ac:dyDescent="0.5">
      <c r="A559" s="35" t="s">
        <v>2037</v>
      </c>
      <c r="B559" s="3" t="s">
        <v>60</v>
      </c>
      <c r="C559" s="4"/>
      <c r="D559" s="4"/>
      <c r="E559" s="4"/>
      <c r="F559" s="4"/>
      <c r="G559" s="4"/>
      <c r="H559" s="4"/>
      <c r="I559" s="18" t="s">
        <v>2473</v>
      </c>
      <c r="J559" s="18" t="s">
        <v>2473</v>
      </c>
      <c r="K559" s="18" t="s">
        <v>2473</v>
      </c>
      <c r="AU559" s="6"/>
      <c r="AV559" s="6" t="str">
        <f t="shared" si="10"/>
        <v/>
      </c>
    </row>
    <row r="560" spans="1:48" ht="23.65" thickBot="1" x14ac:dyDescent="0.5">
      <c r="A560" s="35" t="s">
        <v>3200</v>
      </c>
      <c r="B560" s="3" t="s">
        <v>3199</v>
      </c>
      <c r="C560" s="4"/>
      <c r="D560" s="4"/>
      <c r="E560" s="4"/>
      <c r="F560" s="4"/>
      <c r="G560" s="4"/>
      <c r="H560" s="4"/>
      <c r="J560" s="18" t="s">
        <v>2473</v>
      </c>
      <c r="K560" s="18" t="s">
        <v>2473</v>
      </c>
      <c r="AU560" s="6"/>
      <c r="AV560" s="6" t="str">
        <f t="shared" si="10"/>
        <v/>
      </c>
    </row>
    <row r="561" spans="1:48" ht="14.65" thickBot="1" x14ac:dyDescent="0.5">
      <c r="A561" s="35" t="s">
        <v>1994</v>
      </c>
      <c r="B561" s="3" t="s">
        <v>457</v>
      </c>
      <c r="C561" s="4"/>
      <c r="D561" s="4"/>
      <c r="E561" s="4"/>
      <c r="F561" s="4"/>
      <c r="G561" s="4"/>
      <c r="H561" s="4"/>
      <c r="J561" s="18" t="s">
        <v>2473</v>
      </c>
      <c r="K561" s="18" t="s">
        <v>2473</v>
      </c>
      <c r="AU561" s="6"/>
      <c r="AV561" s="6" t="str">
        <f t="shared" si="10"/>
        <v/>
      </c>
    </row>
    <row r="562" spans="1:48" ht="23.65" thickBot="1" x14ac:dyDescent="0.5">
      <c r="A562" s="35" t="s">
        <v>3198</v>
      </c>
      <c r="B562" s="3" t="s">
        <v>458</v>
      </c>
      <c r="C562" s="4"/>
      <c r="D562" s="4"/>
      <c r="E562" s="4"/>
      <c r="F562" s="4"/>
      <c r="G562" s="4"/>
      <c r="H562" s="4"/>
      <c r="I562" s="18" t="s">
        <v>2473</v>
      </c>
      <c r="J562" s="18" t="s">
        <v>2473</v>
      </c>
      <c r="K562" s="18" t="s">
        <v>2473</v>
      </c>
      <c r="AU562" s="8"/>
      <c r="AV562" s="6" t="str">
        <f t="shared" si="10"/>
        <v/>
      </c>
    </row>
    <row r="563" spans="1:48" ht="14.65" thickBot="1" x14ac:dyDescent="0.5">
      <c r="A563" s="35" t="s">
        <v>1994</v>
      </c>
      <c r="B563" s="3" t="s">
        <v>457</v>
      </c>
      <c r="C563" s="4"/>
      <c r="D563" s="4"/>
      <c r="E563" s="4"/>
      <c r="F563" s="4"/>
      <c r="G563" s="4"/>
      <c r="H563" s="4"/>
      <c r="I563" s="18" t="s">
        <v>2473</v>
      </c>
      <c r="J563" s="18" t="s">
        <v>2473</v>
      </c>
      <c r="K563" s="18" t="s">
        <v>2473</v>
      </c>
      <c r="AU563" s="6"/>
      <c r="AV563" s="6" t="str">
        <f t="shared" si="10"/>
        <v/>
      </c>
    </row>
    <row r="564" spans="1:48" ht="36" thickBot="1" x14ac:dyDescent="0.5">
      <c r="A564" s="35" t="s">
        <v>459</v>
      </c>
      <c r="B564" s="3" t="s">
        <v>3967</v>
      </c>
      <c r="C564" s="4"/>
      <c r="D564" s="4"/>
      <c r="E564" s="4"/>
      <c r="F564" s="4"/>
      <c r="G564" s="4"/>
      <c r="H564" s="4"/>
      <c r="I564" s="18" t="s">
        <v>2473</v>
      </c>
      <c r="J564" s="18" t="s">
        <v>2473</v>
      </c>
      <c r="K564" s="18" t="s">
        <v>2473</v>
      </c>
      <c r="AU564" s="139" t="s">
        <v>4337</v>
      </c>
      <c r="AV564" s="6" t="str">
        <f t="shared" si="10"/>
        <v/>
      </c>
    </row>
    <row r="565" spans="1:48" ht="14.65" thickBot="1" x14ac:dyDescent="0.5">
      <c r="A565" s="35" t="s">
        <v>422</v>
      </c>
      <c r="B565" s="3" t="s">
        <v>460</v>
      </c>
      <c r="C565" s="4" t="s">
        <v>10</v>
      </c>
      <c r="D565" s="4"/>
      <c r="E565" s="4" t="s">
        <v>10</v>
      </c>
      <c r="F565" s="4"/>
      <c r="G565" s="4" t="s">
        <v>10</v>
      </c>
      <c r="H565" s="4"/>
      <c r="I565" s="18" t="s">
        <v>2473</v>
      </c>
      <c r="J565" s="18" t="s">
        <v>2473</v>
      </c>
      <c r="K565" s="18" t="s">
        <v>2473</v>
      </c>
      <c r="AU565" s="8"/>
      <c r="AV565" s="6" t="str">
        <f t="shared" si="10"/>
        <v/>
      </c>
    </row>
    <row r="566" spans="1:48" ht="14.65" thickBot="1" x14ac:dyDescent="0.5">
      <c r="A566" s="35" t="s">
        <v>461</v>
      </c>
      <c r="B566" s="3" t="s">
        <v>462</v>
      </c>
      <c r="C566" s="4" t="s">
        <v>10</v>
      </c>
      <c r="D566" s="4"/>
      <c r="E566" s="4" t="s">
        <v>10</v>
      </c>
      <c r="F566" s="4"/>
      <c r="G566" s="4" t="s">
        <v>10</v>
      </c>
      <c r="H566" s="4"/>
      <c r="I566" s="18" t="s">
        <v>2473</v>
      </c>
      <c r="J566" s="18" t="s">
        <v>2473</v>
      </c>
      <c r="K566" s="18" t="s">
        <v>2473</v>
      </c>
      <c r="AU566" s="8"/>
      <c r="AV566" s="6" t="str">
        <f t="shared" si="10"/>
        <v/>
      </c>
    </row>
    <row r="567" spans="1:48" ht="14.65" thickBot="1" x14ac:dyDescent="0.5">
      <c r="A567" s="35" t="s">
        <v>130</v>
      </c>
      <c r="B567" s="3" t="s">
        <v>463</v>
      </c>
      <c r="C567" s="4" t="s">
        <v>10</v>
      </c>
      <c r="D567" s="4"/>
      <c r="E567" s="4" t="s">
        <v>10</v>
      </c>
      <c r="F567" s="4"/>
      <c r="G567" s="4" t="s">
        <v>10</v>
      </c>
      <c r="H567" s="4"/>
      <c r="I567" s="18" t="s">
        <v>2473</v>
      </c>
      <c r="J567" s="18" t="s">
        <v>2473</v>
      </c>
      <c r="K567" s="18" t="s">
        <v>2473</v>
      </c>
      <c r="AU567" s="6"/>
      <c r="AV567" s="6" t="str">
        <f t="shared" si="10"/>
        <v/>
      </c>
    </row>
    <row r="568" spans="1:48" ht="14.65" thickBot="1" x14ac:dyDescent="0.5">
      <c r="A568" s="35" t="s">
        <v>424</v>
      </c>
      <c r="B568" s="3" t="s">
        <v>464</v>
      </c>
      <c r="C568" s="4" t="s">
        <v>10</v>
      </c>
      <c r="D568" s="4"/>
      <c r="E568" s="4" t="s">
        <v>10</v>
      </c>
      <c r="F568" s="4"/>
      <c r="G568" s="4" t="s">
        <v>10</v>
      </c>
      <c r="H568" s="4"/>
      <c r="I568" s="18" t="s">
        <v>2473</v>
      </c>
      <c r="J568" s="18" t="s">
        <v>2473</v>
      </c>
      <c r="K568" s="18" t="s">
        <v>2473</v>
      </c>
      <c r="AU568" s="6"/>
      <c r="AV568" s="6" t="str">
        <f t="shared" si="10"/>
        <v/>
      </c>
    </row>
    <row r="569" spans="1:48" ht="14.65" thickBot="1" x14ac:dyDescent="0.5">
      <c r="A569" s="35" t="s">
        <v>59</v>
      </c>
      <c r="B569" s="3" t="s">
        <v>60</v>
      </c>
      <c r="C569" s="4"/>
      <c r="D569" s="4"/>
      <c r="E569" s="4"/>
      <c r="F569" s="4"/>
      <c r="G569" s="4"/>
      <c r="H569" s="4"/>
      <c r="I569" s="18" t="s">
        <v>2473</v>
      </c>
      <c r="J569" s="18" t="s">
        <v>2473</v>
      </c>
      <c r="K569" s="18" t="s">
        <v>2473</v>
      </c>
      <c r="AU569" s="6"/>
      <c r="AV569" s="6" t="str">
        <f t="shared" si="10"/>
        <v/>
      </c>
    </row>
    <row r="570" spans="1:48" ht="14.65" thickBot="1" x14ac:dyDescent="0.5">
      <c r="A570" s="35" t="s">
        <v>465</v>
      </c>
      <c r="B570" s="3" t="s">
        <v>466</v>
      </c>
      <c r="C570" s="4"/>
      <c r="D570" s="4"/>
      <c r="E570" s="4"/>
      <c r="F570" s="4"/>
      <c r="G570" s="4"/>
      <c r="H570" s="4"/>
      <c r="I570" s="18" t="s">
        <v>2473</v>
      </c>
      <c r="J570" s="18" t="s">
        <v>2473</v>
      </c>
      <c r="K570" s="18" t="s">
        <v>2473</v>
      </c>
      <c r="AU570" s="6"/>
      <c r="AV570" s="6" t="str">
        <f t="shared" si="10"/>
        <v/>
      </c>
    </row>
    <row r="571" spans="1:48" ht="23.65" thickBot="1" x14ac:dyDescent="0.5">
      <c r="A571" s="35" t="s">
        <v>467</v>
      </c>
      <c r="B571" s="3" t="s">
        <v>468</v>
      </c>
      <c r="C571" s="4"/>
      <c r="D571" s="4"/>
      <c r="E571" s="4"/>
      <c r="F571" s="4"/>
      <c r="G571" s="4"/>
      <c r="H571" s="4"/>
      <c r="I571" s="18" t="s">
        <v>2473</v>
      </c>
      <c r="J571" s="18" t="s">
        <v>2473</v>
      </c>
      <c r="K571" s="18" t="s">
        <v>2473</v>
      </c>
      <c r="AU571" s="6"/>
      <c r="AV571" s="6" t="str">
        <f t="shared" si="10"/>
        <v/>
      </c>
    </row>
    <row r="572" spans="1:48" ht="14.65" thickBot="1" x14ac:dyDescent="0.5">
      <c r="A572" s="35" t="s">
        <v>43</v>
      </c>
      <c r="B572" s="3" t="s">
        <v>469</v>
      </c>
      <c r="C572" s="4"/>
      <c r="D572" s="4"/>
      <c r="E572" s="4"/>
      <c r="F572" s="4"/>
      <c r="G572" s="4"/>
      <c r="H572" s="4"/>
      <c r="J572" s="18" t="s">
        <v>2473</v>
      </c>
      <c r="K572" s="18" t="s">
        <v>2473</v>
      </c>
      <c r="AU572" s="6"/>
      <c r="AV572" s="6" t="str">
        <f t="shared" si="10"/>
        <v/>
      </c>
    </row>
    <row r="573" spans="1:48" ht="14.65" thickBot="1" x14ac:dyDescent="0.5">
      <c r="A573" s="35" t="s">
        <v>3201</v>
      </c>
      <c r="B573" s="3" t="s">
        <v>3202</v>
      </c>
      <c r="C573" s="4"/>
      <c r="D573" s="4"/>
      <c r="E573" s="4"/>
      <c r="F573" s="4"/>
      <c r="G573" s="4"/>
      <c r="H573" s="4"/>
      <c r="J573" s="18" t="s">
        <v>2473</v>
      </c>
      <c r="K573" s="18" t="s">
        <v>2473</v>
      </c>
      <c r="AU573" s="6"/>
      <c r="AV573" s="6" t="str">
        <f t="shared" si="10"/>
        <v/>
      </c>
    </row>
    <row r="574" spans="1:48" ht="14.65" thickBot="1" x14ac:dyDescent="0.5">
      <c r="A574" s="35" t="s">
        <v>43</v>
      </c>
      <c r="B574" s="3" t="s">
        <v>3203</v>
      </c>
      <c r="C574" s="4"/>
      <c r="D574" s="4"/>
      <c r="E574" s="4"/>
      <c r="F574" s="4"/>
      <c r="G574" s="4"/>
      <c r="H574" s="4"/>
      <c r="I574" s="18" t="s">
        <v>2473</v>
      </c>
      <c r="J574" s="18" t="s">
        <v>2473</v>
      </c>
      <c r="K574" s="18" t="s">
        <v>2473</v>
      </c>
      <c r="AU574" s="6"/>
      <c r="AV574" s="6" t="str">
        <f t="shared" si="10"/>
        <v/>
      </c>
    </row>
    <row r="575" spans="1:48" ht="14.65" thickBot="1" x14ac:dyDescent="0.5">
      <c r="A575" s="35" t="s">
        <v>470</v>
      </c>
      <c r="B575" s="3" t="s">
        <v>471</v>
      </c>
      <c r="C575" s="4"/>
      <c r="D575" s="4"/>
      <c r="E575" s="4"/>
      <c r="F575" s="4"/>
      <c r="G575" s="4"/>
      <c r="H575" s="4"/>
      <c r="I575" s="18" t="s">
        <v>2473</v>
      </c>
      <c r="J575" s="18" t="s">
        <v>2473</v>
      </c>
      <c r="K575" s="18" t="s">
        <v>2473</v>
      </c>
      <c r="AU575" s="6"/>
      <c r="AV575" s="6" t="str">
        <f t="shared" si="10"/>
        <v/>
      </c>
    </row>
    <row r="576" spans="1:48" ht="14.65" thickBot="1" x14ac:dyDescent="0.5">
      <c r="A576" s="35" t="s">
        <v>472</v>
      </c>
      <c r="B576" s="3" t="s">
        <v>473</v>
      </c>
      <c r="C576" s="4" t="s">
        <v>10</v>
      </c>
      <c r="D576" s="4"/>
      <c r="E576" s="4" t="s">
        <v>10</v>
      </c>
      <c r="F576" s="4"/>
      <c r="G576" s="4" t="s">
        <v>10</v>
      </c>
      <c r="H576" s="4"/>
      <c r="I576" s="18" t="s">
        <v>2473</v>
      </c>
      <c r="J576" s="18" t="s">
        <v>2473</v>
      </c>
      <c r="K576" s="18" t="s">
        <v>2473</v>
      </c>
      <c r="AU576" s="6"/>
      <c r="AV576" s="6" t="str">
        <f t="shared" si="10"/>
        <v/>
      </c>
    </row>
    <row r="577" spans="1:48" ht="14.65" thickBot="1" x14ac:dyDescent="0.5">
      <c r="A577" s="35" t="s">
        <v>474</v>
      </c>
      <c r="B577" s="3" t="s">
        <v>475</v>
      </c>
      <c r="C577" s="4" t="s">
        <v>13</v>
      </c>
      <c r="D577" s="4"/>
      <c r="E577" s="4" t="s">
        <v>13</v>
      </c>
      <c r="F577" s="4"/>
      <c r="G577" s="4" t="s">
        <v>13</v>
      </c>
      <c r="H577" s="4"/>
      <c r="I577" s="18" t="s">
        <v>2473</v>
      </c>
      <c r="J577" s="18" t="s">
        <v>2473</v>
      </c>
      <c r="K577" s="18" t="s">
        <v>2473</v>
      </c>
      <c r="AU577" s="6"/>
      <c r="AV577" s="6" t="str">
        <f t="shared" si="10"/>
        <v/>
      </c>
    </row>
    <row r="578" spans="1:48" ht="105.75" thickBot="1" x14ac:dyDescent="0.5">
      <c r="A578" s="35" t="s">
        <v>69</v>
      </c>
      <c r="B578" s="3" t="s">
        <v>3968</v>
      </c>
      <c r="C578" s="4" t="s">
        <v>10</v>
      </c>
      <c r="D578" s="4"/>
      <c r="E578" s="4" t="s">
        <v>10</v>
      </c>
      <c r="F578" s="4"/>
      <c r="G578" s="4" t="s">
        <v>10</v>
      </c>
      <c r="H578" s="4"/>
      <c r="I578" s="18" t="s">
        <v>2473</v>
      </c>
      <c r="J578" s="18" t="s">
        <v>2473</v>
      </c>
      <c r="K578" s="18" t="s">
        <v>2473</v>
      </c>
      <c r="AS578" s="206" t="s">
        <v>5861</v>
      </c>
      <c r="AU578" s="6"/>
      <c r="AV578" s="6" t="str">
        <f t="shared" si="10"/>
        <v/>
      </c>
    </row>
    <row r="579" spans="1:48" ht="47.65" thickBot="1" x14ac:dyDescent="0.5">
      <c r="A579" s="35" t="s">
        <v>5358</v>
      </c>
      <c r="B579" s="3" t="s">
        <v>5352</v>
      </c>
      <c r="C579" s="4" t="s">
        <v>10</v>
      </c>
      <c r="D579" s="4"/>
      <c r="E579" s="4" t="s">
        <v>10</v>
      </c>
      <c r="F579" s="4"/>
      <c r="G579" s="4" t="s">
        <v>10</v>
      </c>
      <c r="H579" s="4"/>
      <c r="I579" s="18" t="s">
        <v>2473</v>
      </c>
      <c r="J579" s="18" t="s">
        <v>2473</v>
      </c>
      <c r="K579" s="18" t="s">
        <v>2473</v>
      </c>
      <c r="Q579" s="131"/>
      <c r="R579" s="131"/>
      <c r="S579" s="131"/>
      <c r="T579" s="131"/>
      <c r="U579" s="131"/>
      <c r="V579" s="131"/>
      <c r="W579" s="131"/>
      <c r="X579" s="131"/>
      <c r="AS579" s="139" t="s">
        <v>5355</v>
      </c>
      <c r="AU579" s="6"/>
      <c r="AV579" s="6"/>
    </row>
    <row r="580" spans="1:48" ht="82.5" thickBot="1" x14ac:dyDescent="0.5">
      <c r="A580" s="35" t="s">
        <v>5359</v>
      </c>
      <c r="B580" s="3" t="s">
        <v>5353</v>
      </c>
      <c r="C580" s="4"/>
      <c r="D580" s="4"/>
      <c r="E580" s="4"/>
      <c r="F580" s="4"/>
      <c r="G580" s="4"/>
      <c r="H580" s="4"/>
      <c r="I580" s="18" t="s">
        <v>2473</v>
      </c>
      <c r="J580" s="18" t="s">
        <v>2473</v>
      </c>
      <c r="K580" s="18" t="s">
        <v>2473</v>
      </c>
      <c r="Q580" s="131"/>
      <c r="R580" s="131"/>
      <c r="S580" s="131"/>
      <c r="T580" s="131"/>
      <c r="U580" s="131"/>
      <c r="V580" s="131"/>
      <c r="W580" s="131"/>
      <c r="X580" s="131"/>
      <c r="AS580" s="139" t="s">
        <v>5356</v>
      </c>
      <c r="AU580" s="6"/>
      <c r="AV580" s="6"/>
    </row>
    <row r="581" spans="1:48" ht="23.65" thickBot="1" x14ac:dyDescent="0.5">
      <c r="A581" s="35" t="s">
        <v>476</v>
      </c>
      <c r="B581" s="3" t="s">
        <v>477</v>
      </c>
      <c r="C581" s="4" t="s">
        <v>13</v>
      </c>
      <c r="D581" s="4"/>
      <c r="E581" s="4" t="s">
        <v>13</v>
      </c>
      <c r="F581" s="4"/>
      <c r="G581" s="4" t="s">
        <v>13</v>
      </c>
      <c r="H581" s="4"/>
      <c r="I581" s="18" t="s">
        <v>2473</v>
      </c>
      <c r="J581" s="18" t="s">
        <v>2473</v>
      </c>
      <c r="K581" s="18" t="s">
        <v>2473</v>
      </c>
      <c r="AU581" s="6"/>
      <c r="AV581" s="6" t="str">
        <f t="shared" si="10"/>
        <v/>
      </c>
    </row>
    <row r="582" spans="1:48" ht="23.65" thickBot="1" x14ac:dyDescent="0.5">
      <c r="A582" s="35" t="s">
        <v>478</v>
      </c>
      <c r="B582" s="3" t="s">
        <v>479</v>
      </c>
      <c r="C582" s="4" t="s">
        <v>13</v>
      </c>
      <c r="D582" s="4"/>
      <c r="E582" s="4" t="s">
        <v>13</v>
      </c>
      <c r="F582" s="4"/>
      <c r="G582" s="4" t="s">
        <v>13</v>
      </c>
      <c r="H582" s="4"/>
      <c r="I582" s="18" t="s">
        <v>2473</v>
      </c>
      <c r="J582" s="18" t="s">
        <v>2473</v>
      </c>
      <c r="K582" s="18" t="s">
        <v>2473</v>
      </c>
      <c r="AU582" s="6"/>
      <c r="AV582" s="6" t="str">
        <f t="shared" si="10"/>
        <v/>
      </c>
    </row>
    <row r="583" spans="1:48" ht="23.65" thickBot="1" x14ac:dyDescent="0.5">
      <c r="A583" s="36" t="s">
        <v>480</v>
      </c>
      <c r="B583" s="3" t="s">
        <v>481</v>
      </c>
      <c r="C583" s="4" t="s">
        <v>13</v>
      </c>
      <c r="D583" s="4"/>
      <c r="E583" s="4" t="s">
        <v>13</v>
      </c>
      <c r="F583" s="4"/>
      <c r="G583" s="4" t="s">
        <v>13</v>
      </c>
      <c r="H583" s="4"/>
      <c r="I583" s="18" t="s">
        <v>2473</v>
      </c>
      <c r="J583" s="18" t="s">
        <v>2473</v>
      </c>
      <c r="K583" s="18" t="s">
        <v>2473</v>
      </c>
      <c r="AU583" s="6"/>
      <c r="AV583" s="6" t="str">
        <f t="shared" si="10"/>
        <v/>
      </c>
    </row>
    <row r="584" spans="1:48" ht="14.65" thickBot="1" x14ac:dyDescent="0.5">
      <c r="A584" s="35" t="s">
        <v>33</v>
      </c>
      <c r="B584" s="3" t="s">
        <v>482</v>
      </c>
      <c r="C584" s="4"/>
      <c r="D584" s="4"/>
      <c r="E584" s="4"/>
      <c r="F584" s="4"/>
      <c r="G584" s="4"/>
      <c r="H584" s="4"/>
      <c r="I584" s="18" t="s">
        <v>2473</v>
      </c>
      <c r="J584" s="18" t="s">
        <v>2473</v>
      </c>
      <c r="K584" s="18" t="s">
        <v>2473</v>
      </c>
      <c r="AU584" s="6"/>
      <c r="AV584" s="6" t="str">
        <f t="shared" si="10"/>
        <v/>
      </c>
    </row>
    <row r="585" spans="1:48" x14ac:dyDescent="0.45">
      <c r="A585" s="33" t="s">
        <v>483</v>
      </c>
      <c r="I585" s="18" t="s">
        <v>2473</v>
      </c>
      <c r="J585" s="18" t="s">
        <v>2473</v>
      </c>
      <c r="K585" s="18" t="s">
        <v>2473</v>
      </c>
      <c r="AU585" s="6"/>
      <c r="AV585" s="6" t="str">
        <f t="shared" si="10"/>
        <v/>
      </c>
    </row>
    <row r="586" spans="1:48" x14ac:dyDescent="0.45">
      <c r="A586" s="34" t="s">
        <v>484</v>
      </c>
      <c r="I586" s="18" t="s">
        <v>2473</v>
      </c>
      <c r="J586" s="18" t="s">
        <v>2473</v>
      </c>
      <c r="K586" s="18" t="s">
        <v>2473</v>
      </c>
      <c r="AU586" s="6"/>
      <c r="AV586" s="6" t="str">
        <f t="shared" si="10"/>
        <v/>
      </c>
    </row>
    <row r="587" spans="1:48" s="79" customFormat="1" x14ac:dyDescent="0.45">
      <c r="A587" s="75"/>
      <c r="B587" s="76"/>
      <c r="C587" s="77"/>
      <c r="D587" s="77"/>
      <c r="E587" s="77"/>
      <c r="F587" s="77"/>
      <c r="G587" s="77"/>
      <c r="H587" s="77"/>
      <c r="I587" s="77"/>
      <c r="J587" s="77"/>
      <c r="K587" s="77"/>
      <c r="L587" s="77"/>
      <c r="M587" s="148"/>
      <c r="N587" s="78"/>
      <c r="O587" s="78"/>
      <c r="P587" s="78"/>
      <c r="Q587" s="78"/>
      <c r="R587" s="78"/>
      <c r="S587" s="78"/>
      <c r="T587" s="78"/>
      <c r="U587" s="78"/>
      <c r="V587" s="78"/>
      <c r="W587" s="78"/>
      <c r="X587" s="78"/>
      <c r="Y587" s="148"/>
      <c r="Z587" s="78"/>
      <c r="AA587" s="78"/>
      <c r="AB587" s="78"/>
      <c r="AC587" s="78"/>
      <c r="AD587" s="78"/>
      <c r="AE587" s="156"/>
      <c r="AF587" s="156"/>
      <c r="AG587" s="78"/>
      <c r="AH587" s="78"/>
      <c r="AI587" s="78"/>
      <c r="AJ587" s="78"/>
      <c r="AK587" s="78"/>
      <c r="AL587" s="78"/>
      <c r="AM587" s="78"/>
      <c r="AN587" s="78"/>
      <c r="AO587" s="78"/>
      <c r="AP587" s="78"/>
      <c r="AQ587" s="78"/>
      <c r="AR587" s="286"/>
      <c r="AS587" s="78"/>
      <c r="AT587" s="78"/>
      <c r="AU587" s="8"/>
      <c r="AV587" s="6" t="str">
        <f t="shared" si="10"/>
        <v/>
      </c>
    </row>
    <row r="588" spans="1:48" x14ac:dyDescent="0.45">
      <c r="A588" s="27" t="s">
        <v>2402</v>
      </c>
      <c r="I588" s="18" t="s">
        <v>2473</v>
      </c>
      <c r="J588" s="18" t="s">
        <v>2473</v>
      </c>
      <c r="K588" s="18" t="s">
        <v>2473</v>
      </c>
      <c r="AU588" s="6"/>
      <c r="AV588" s="6" t="str">
        <f t="shared" si="10"/>
        <v/>
      </c>
    </row>
    <row r="589" spans="1:48" x14ac:dyDescent="0.45">
      <c r="A589" s="323" t="s">
        <v>2496</v>
      </c>
      <c r="B589" s="324"/>
      <c r="C589" s="324"/>
      <c r="D589" s="324"/>
      <c r="E589" s="324"/>
      <c r="F589" s="324"/>
      <c r="G589" s="101"/>
      <c r="H589" s="101"/>
      <c r="I589" s="18" t="s">
        <v>2473</v>
      </c>
      <c r="J589" s="18" t="s">
        <v>2473</v>
      </c>
      <c r="K589" s="18" t="s">
        <v>2473</v>
      </c>
      <c r="AU589" s="6"/>
      <c r="AV589" s="6" t="str">
        <f t="shared" si="10"/>
        <v/>
      </c>
    </row>
    <row r="590" spans="1:48" ht="14.65" thickBot="1" x14ac:dyDescent="0.5">
      <c r="A590" s="28" t="s">
        <v>485</v>
      </c>
      <c r="I590" s="18" t="s">
        <v>2473</v>
      </c>
      <c r="J590" s="18" t="s">
        <v>2473</v>
      </c>
      <c r="K590" s="18" t="s">
        <v>2473</v>
      </c>
      <c r="AA590" s="183" t="s">
        <v>2322</v>
      </c>
      <c r="AB590" s="183" t="s">
        <v>1697</v>
      </c>
      <c r="AC590" s="183" t="s">
        <v>5</v>
      </c>
      <c r="AU590" s="6"/>
      <c r="AV590" s="6" t="str">
        <f t="shared" si="10"/>
        <v/>
      </c>
    </row>
    <row r="591" spans="1:48" ht="81.75" thickBot="1" x14ac:dyDescent="0.5">
      <c r="A591" s="309" t="s">
        <v>486</v>
      </c>
      <c r="B591" s="310"/>
      <c r="C591" s="301" t="s">
        <v>1</v>
      </c>
      <c r="D591" s="319"/>
      <c r="E591" s="319"/>
      <c r="F591" s="302"/>
      <c r="G591" s="102"/>
      <c r="H591" s="102"/>
      <c r="I591" s="18" t="s">
        <v>2473</v>
      </c>
      <c r="AA591" s="183" t="str">
        <f>LEFT($A591,FIND(" ",$A591)-1)</f>
        <v>Volume</v>
      </c>
      <c r="AB591" s="183" t="str">
        <f>MID($A591,FIND("(",$A591)+1,LEN($A591)-FIND("(",$A591)-1)</f>
        <v>1.0.3</v>
      </c>
      <c r="AC591" s="101" t="str">
        <f>A589</f>
        <v>A Volume resource represents a file system storage system and its respective properties.</v>
      </c>
      <c r="AU591" s="6"/>
      <c r="AV591" s="6" t="str">
        <f t="shared" si="10"/>
        <v/>
      </c>
    </row>
    <row r="592" spans="1:48" ht="14.65" thickBot="1" x14ac:dyDescent="0.5">
      <c r="A592" s="311"/>
      <c r="B592" s="312"/>
      <c r="C592" s="301" t="s">
        <v>2</v>
      </c>
      <c r="D592" s="302"/>
      <c r="E592" s="301" t="s">
        <v>3</v>
      </c>
      <c r="F592" s="302"/>
      <c r="G592" s="301" t="s">
        <v>2896</v>
      </c>
      <c r="H592" s="302"/>
      <c r="I592" s="18" t="s">
        <v>2473</v>
      </c>
      <c r="AA592" s="183" t="s">
        <v>2322</v>
      </c>
      <c r="AB592" s="183" t="s">
        <v>1697</v>
      </c>
      <c r="AC592" s="183" t="s">
        <v>5</v>
      </c>
      <c r="AU592" s="6"/>
      <c r="AV592" s="6" t="str">
        <f t="shared" si="10"/>
        <v/>
      </c>
    </row>
    <row r="593" spans="1:48" ht="81.75" thickBot="1" x14ac:dyDescent="0.5">
      <c r="A593" s="309" t="s">
        <v>486</v>
      </c>
      <c r="B593" s="310"/>
      <c r="C593" s="301" t="s">
        <v>1</v>
      </c>
      <c r="D593" s="319"/>
      <c r="E593" s="319"/>
      <c r="F593" s="302"/>
      <c r="G593" s="102"/>
      <c r="H593" s="102"/>
      <c r="J593" s="18" t="s">
        <v>2473</v>
      </c>
      <c r="K593" s="18" t="s">
        <v>2473</v>
      </c>
      <c r="AA593" s="183" t="str">
        <f>LEFT($A593,FIND(" ",$A593)-1)</f>
        <v>Volume</v>
      </c>
      <c r="AB593" s="183" t="str">
        <f>MID($A593,FIND("(",$A593)+1,LEN($A593)-FIND("(",$A593)-1)</f>
        <v>1.0.3</v>
      </c>
      <c r="AC593" s="101" t="str">
        <f>AC591</f>
        <v>A Volume resource represents a file system storage system and its respective properties.</v>
      </c>
      <c r="AU593" s="6"/>
      <c r="AV593" s="6" t="str">
        <f t="shared" si="10"/>
        <v/>
      </c>
    </row>
    <row r="594" spans="1:48" ht="14.65" thickBot="1" x14ac:dyDescent="0.5">
      <c r="A594" s="311"/>
      <c r="B594" s="312"/>
      <c r="C594" s="301" t="s">
        <v>2</v>
      </c>
      <c r="D594" s="302"/>
      <c r="E594" s="301" t="s">
        <v>3</v>
      </c>
      <c r="F594" s="302"/>
      <c r="G594" s="301" t="s">
        <v>2896</v>
      </c>
      <c r="H594" s="302"/>
      <c r="J594" s="18" t="s">
        <v>2473</v>
      </c>
      <c r="K594" s="18" t="s">
        <v>2473</v>
      </c>
      <c r="AM594" s="8" t="str">
        <f>C594</f>
        <v>OSM-Redfish</v>
      </c>
      <c r="AN594" s="8" t="str">
        <f>E594</f>
        <v>OSM-RedfishBMC</v>
      </c>
      <c r="AO594" s="8" t="str">
        <f>G594</f>
        <v>OSM-RedfishDCN</v>
      </c>
      <c r="AU594" s="6"/>
      <c r="AV594" s="6" t="str">
        <f t="shared" si="10"/>
        <v/>
      </c>
    </row>
    <row r="595" spans="1:48" ht="14.65" thickBot="1" x14ac:dyDescent="0.5">
      <c r="A595" s="46" t="s">
        <v>2377</v>
      </c>
      <c r="B595" s="47"/>
      <c r="C595" s="303" t="s">
        <v>13</v>
      </c>
      <c r="D595" s="304"/>
      <c r="E595" s="303" t="s">
        <v>37</v>
      </c>
      <c r="F595" s="304"/>
      <c r="G595" s="303" t="s">
        <v>13</v>
      </c>
      <c r="H595" s="304"/>
      <c r="I595" s="18" t="s">
        <v>2473</v>
      </c>
      <c r="J595" s="18" t="s">
        <v>2473</v>
      </c>
      <c r="K595" s="18" t="s">
        <v>2473</v>
      </c>
      <c r="AM595" s="8" t="str">
        <f>IF(C595&lt;&gt;"","CRQ-P5-"&amp;(AM$2+$AP595*$AP$3),"")</f>
        <v>CRQ-P5-1268</v>
      </c>
      <c r="AN595" s="8" t="str">
        <f>IF(E595&lt;&gt;"","CRQ-P5-"&amp;(AN$2+$AP595*$AP$3),"")</f>
        <v>CRQ-P5-1568</v>
      </c>
      <c r="AO595" s="8" t="str">
        <f>IF(G595&lt;&gt;"","CRQ-P5-"&amp;(AO$2+$AP595*$AP$3),"")</f>
        <v>CRQ-P5-1868</v>
      </c>
      <c r="AP595" s="8">
        <v>67</v>
      </c>
      <c r="AU595" s="6"/>
      <c r="AV595" s="6" t="str">
        <f t="shared" si="10"/>
        <v/>
      </c>
    </row>
    <row r="596" spans="1:48" ht="14.65" thickBot="1" x14ac:dyDescent="0.5">
      <c r="A596" s="29" t="s">
        <v>3394</v>
      </c>
      <c r="B596" s="9"/>
      <c r="C596" s="305" t="str">
        <f>MID($A591,FIND("(",$A591)+1,5)</f>
        <v>1.0.3</v>
      </c>
      <c r="D596" s="306"/>
      <c r="E596" s="305" t="str">
        <f>MID($A591,FIND("(",$A591)+1,5)</f>
        <v>1.0.3</v>
      </c>
      <c r="F596" s="306"/>
      <c r="G596" s="305" t="str">
        <f>MID($A591,FIND("(",$A591)+1,5)</f>
        <v>1.0.3</v>
      </c>
      <c r="H596" s="306"/>
      <c r="I596" s="18" t="s">
        <v>2473</v>
      </c>
      <c r="J596" s="18" t="s">
        <v>2473</v>
      </c>
      <c r="K596" s="18" t="s">
        <v>2473</v>
      </c>
      <c r="AU596" s="6"/>
      <c r="AV596" s="6" t="str">
        <f t="shared" si="10"/>
        <v/>
      </c>
    </row>
    <row r="597" spans="1:48" ht="14.65" thickBot="1" x14ac:dyDescent="0.5">
      <c r="A597" s="30" t="s">
        <v>4</v>
      </c>
      <c r="B597" s="59" t="s">
        <v>5</v>
      </c>
      <c r="C597" s="7" t="s">
        <v>6</v>
      </c>
      <c r="D597" s="7" t="s">
        <v>7</v>
      </c>
      <c r="E597" s="7" t="s">
        <v>6</v>
      </c>
      <c r="F597" s="7" t="s">
        <v>7</v>
      </c>
      <c r="G597" s="7" t="s">
        <v>6</v>
      </c>
      <c r="H597" s="7" t="s">
        <v>7</v>
      </c>
      <c r="I597" s="18" t="s">
        <v>2473</v>
      </c>
      <c r="J597" s="18" t="s">
        <v>2473</v>
      </c>
      <c r="K597" s="18" t="s">
        <v>2473</v>
      </c>
      <c r="AU597" s="6"/>
      <c r="AV597" s="6" t="str">
        <f t="shared" si="10"/>
        <v/>
      </c>
    </row>
    <row r="598" spans="1:48" ht="14.65" thickBot="1" x14ac:dyDescent="0.5">
      <c r="A598" s="36" t="s">
        <v>8</v>
      </c>
      <c r="B598" s="3" t="s">
        <v>9</v>
      </c>
      <c r="C598" s="4"/>
      <c r="D598" s="4"/>
      <c r="E598" s="4"/>
      <c r="F598" s="4"/>
      <c r="G598" s="4"/>
      <c r="H598" s="4"/>
      <c r="I598" s="18" t="s">
        <v>2473</v>
      </c>
      <c r="J598" s="18" t="s">
        <v>2473</v>
      </c>
      <c r="K598" s="18" t="s">
        <v>2473</v>
      </c>
      <c r="AU598" s="8"/>
      <c r="AV598" s="6" t="str">
        <f t="shared" si="10"/>
        <v/>
      </c>
    </row>
    <row r="599" spans="1:48" ht="14.65" thickBot="1" x14ac:dyDescent="0.5">
      <c r="A599" s="35" t="s">
        <v>487</v>
      </c>
      <c r="B599" s="3" t="s">
        <v>488</v>
      </c>
      <c r="C599" s="4"/>
      <c r="D599" s="4"/>
      <c r="E599" s="4"/>
      <c r="F599" s="4"/>
      <c r="G599" s="4"/>
      <c r="H599" s="4"/>
      <c r="I599" s="18" t="s">
        <v>2473</v>
      </c>
      <c r="J599" s="18" t="s">
        <v>2473</v>
      </c>
      <c r="K599" s="18" t="s">
        <v>2473</v>
      </c>
      <c r="AU599" s="8"/>
      <c r="AV599" s="6" t="str">
        <f t="shared" si="10"/>
        <v/>
      </c>
    </row>
    <row r="600" spans="1:48" ht="14.65" thickBot="1" x14ac:dyDescent="0.5">
      <c r="A600" s="36" t="s">
        <v>307</v>
      </c>
      <c r="B600" s="3" t="s">
        <v>489</v>
      </c>
      <c r="C600" s="4"/>
      <c r="D600" s="4"/>
      <c r="E600" s="4"/>
      <c r="F600" s="4"/>
      <c r="G600" s="4"/>
      <c r="H600" s="4"/>
      <c r="I600" s="18" t="s">
        <v>2473</v>
      </c>
      <c r="J600" s="18" t="s">
        <v>2473</v>
      </c>
      <c r="K600" s="18" t="s">
        <v>2473</v>
      </c>
      <c r="AU600" s="8"/>
      <c r="AV600" s="6" t="str">
        <f t="shared" si="10"/>
        <v/>
      </c>
    </row>
    <row r="601" spans="1:48" ht="14.65" thickBot="1" x14ac:dyDescent="0.5">
      <c r="A601" s="36" t="s">
        <v>490</v>
      </c>
      <c r="B601" s="3" t="s">
        <v>491</v>
      </c>
      <c r="C601" s="4" t="s">
        <v>10</v>
      </c>
      <c r="D601" s="4"/>
      <c r="E601" s="4" t="s">
        <v>10</v>
      </c>
      <c r="F601" s="4"/>
      <c r="G601" s="4" t="s">
        <v>10</v>
      </c>
      <c r="H601" s="4"/>
      <c r="I601" s="18" t="s">
        <v>2473</v>
      </c>
      <c r="J601" s="18" t="s">
        <v>2473</v>
      </c>
      <c r="K601" s="18" t="s">
        <v>2473</v>
      </c>
      <c r="AU601" s="8"/>
      <c r="AV601" s="6" t="str">
        <f t="shared" si="10"/>
        <v/>
      </c>
    </row>
    <row r="602" spans="1:48" ht="14.65" thickBot="1" x14ac:dyDescent="0.5">
      <c r="A602" s="36" t="s">
        <v>492</v>
      </c>
      <c r="B602" s="3" t="s">
        <v>493</v>
      </c>
      <c r="C602" s="4"/>
      <c r="D602" s="4"/>
      <c r="E602" s="4"/>
      <c r="F602" s="4"/>
      <c r="G602" s="4"/>
      <c r="H602" s="4"/>
      <c r="I602" s="18" t="s">
        <v>2473</v>
      </c>
      <c r="J602" s="18" t="s">
        <v>2473</v>
      </c>
      <c r="K602" s="18" t="s">
        <v>2473</v>
      </c>
      <c r="AU602" s="8"/>
      <c r="AV602" s="6" t="str">
        <f t="shared" si="10"/>
        <v/>
      </c>
    </row>
    <row r="603" spans="1:48" ht="14.65" thickBot="1" x14ac:dyDescent="0.5">
      <c r="A603" s="36" t="s">
        <v>494</v>
      </c>
      <c r="B603" s="3" t="s">
        <v>495</v>
      </c>
      <c r="C603" s="4"/>
      <c r="D603" s="4"/>
      <c r="E603" s="4"/>
      <c r="F603" s="4"/>
      <c r="G603" s="4"/>
      <c r="H603" s="4"/>
      <c r="I603" s="18" t="s">
        <v>2473</v>
      </c>
      <c r="J603" s="18" t="s">
        <v>2473</v>
      </c>
      <c r="K603" s="18" t="s">
        <v>2473</v>
      </c>
      <c r="AU603" s="6"/>
      <c r="AV603" s="6" t="str">
        <f t="shared" si="10"/>
        <v/>
      </c>
    </row>
    <row r="604" spans="1:48" ht="14.65" thickBot="1" x14ac:dyDescent="0.5">
      <c r="A604" s="36" t="s">
        <v>496</v>
      </c>
      <c r="B604" s="3" t="s">
        <v>497</v>
      </c>
      <c r="C604" s="4"/>
      <c r="D604" s="4"/>
      <c r="E604" s="4"/>
      <c r="F604" s="4"/>
      <c r="G604" s="4"/>
      <c r="H604" s="4"/>
      <c r="I604" s="18" t="s">
        <v>2473</v>
      </c>
      <c r="J604" s="18" t="s">
        <v>2473</v>
      </c>
      <c r="K604" s="18" t="s">
        <v>2473</v>
      </c>
      <c r="AU604" s="6"/>
      <c r="AV604" s="6" t="str">
        <f t="shared" si="10"/>
        <v/>
      </c>
    </row>
    <row r="605" spans="1:48" ht="47.65" thickBot="1" x14ac:dyDescent="0.5">
      <c r="A605" s="36" t="s">
        <v>75</v>
      </c>
      <c r="B605" s="3" t="s">
        <v>76</v>
      </c>
      <c r="C605" s="4" t="s">
        <v>10</v>
      </c>
      <c r="D605" s="4"/>
      <c r="E605" s="4" t="s">
        <v>10</v>
      </c>
      <c r="F605" s="4"/>
      <c r="G605" s="4" t="s">
        <v>10</v>
      </c>
      <c r="H605" s="4"/>
      <c r="I605" s="18" t="s">
        <v>2473</v>
      </c>
      <c r="J605" s="18" t="s">
        <v>2473</v>
      </c>
      <c r="K605" s="18" t="s">
        <v>2473</v>
      </c>
      <c r="AS605" s="206" t="s">
        <v>5860</v>
      </c>
      <c r="AU605" s="6"/>
      <c r="AV605" s="6" t="str">
        <f t="shared" si="10"/>
        <v/>
      </c>
    </row>
    <row r="606" spans="1:48" ht="23.65" thickBot="1" x14ac:dyDescent="0.5">
      <c r="A606" s="35" t="s">
        <v>353</v>
      </c>
      <c r="B606" s="3" t="s">
        <v>498</v>
      </c>
      <c r="C606" s="4" t="s">
        <v>10</v>
      </c>
      <c r="D606" s="4"/>
      <c r="E606" s="4" t="s">
        <v>10</v>
      </c>
      <c r="F606" s="4"/>
      <c r="G606" s="4" t="s">
        <v>10</v>
      </c>
      <c r="H606" s="4"/>
      <c r="I606" s="18" t="s">
        <v>2473</v>
      </c>
      <c r="J606" s="18" t="s">
        <v>2473</v>
      </c>
      <c r="K606" s="18" t="s">
        <v>2473</v>
      </c>
      <c r="AU606" s="6"/>
      <c r="AV606" s="6" t="str">
        <f t="shared" si="10"/>
        <v/>
      </c>
    </row>
    <row r="607" spans="1:48" ht="14.65" thickBot="1" x14ac:dyDescent="0.5">
      <c r="A607" s="35" t="s">
        <v>43</v>
      </c>
      <c r="B607" s="3" t="s">
        <v>355</v>
      </c>
      <c r="C607" s="4"/>
      <c r="D607" s="4"/>
      <c r="E607" s="4"/>
      <c r="F607" s="4"/>
      <c r="G607" s="4"/>
      <c r="H607" s="4"/>
      <c r="I607" s="18" t="s">
        <v>2473</v>
      </c>
      <c r="J607" s="18" t="s">
        <v>2473</v>
      </c>
      <c r="K607" s="18" t="s">
        <v>2473</v>
      </c>
      <c r="AU607" s="6"/>
      <c r="AV607" s="6" t="str">
        <f t="shared" ref="AV607:AV672" si="11">IF(A607&lt;&gt;"",IF(T607&lt;&gt;"",IF(LEFT(R607,3)="Has",IF(TRIM(A607)&lt;&gt;T607,"ERROR","OK"),""),""),"")</f>
        <v/>
      </c>
    </row>
    <row r="608" spans="1:48" ht="14.65" thickBot="1" x14ac:dyDescent="0.5">
      <c r="A608" s="35" t="s">
        <v>59</v>
      </c>
      <c r="B608" s="3" t="s">
        <v>60</v>
      </c>
      <c r="C608" s="4"/>
      <c r="D608" s="4"/>
      <c r="E608" s="4"/>
      <c r="F608" s="4"/>
      <c r="G608" s="4"/>
      <c r="H608" s="4"/>
      <c r="I608" s="18" t="s">
        <v>2473</v>
      </c>
      <c r="J608" s="18" t="s">
        <v>2473</v>
      </c>
      <c r="K608" s="18" t="s">
        <v>2473</v>
      </c>
      <c r="AU608" s="6"/>
      <c r="AV608" s="6" t="str">
        <f t="shared" si="11"/>
        <v/>
      </c>
    </row>
    <row r="609" spans="1:48" ht="14.65" thickBot="1" x14ac:dyDescent="0.5">
      <c r="A609" s="36" t="s">
        <v>499</v>
      </c>
      <c r="B609" s="3" t="s">
        <v>500</v>
      </c>
      <c r="C609" s="4"/>
      <c r="D609" s="4"/>
      <c r="E609" s="4"/>
      <c r="F609" s="4"/>
      <c r="G609" s="4"/>
      <c r="H609" s="4"/>
      <c r="I609" s="18" t="s">
        <v>2473</v>
      </c>
      <c r="J609" s="18" t="s">
        <v>2473</v>
      </c>
      <c r="K609" s="18" t="s">
        <v>2473</v>
      </c>
      <c r="AU609" s="6"/>
      <c r="AV609" s="6" t="str">
        <f t="shared" si="11"/>
        <v/>
      </c>
    </row>
    <row r="610" spans="1:48" ht="14.65" thickBot="1" x14ac:dyDescent="0.5">
      <c r="A610" s="35" t="s">
        <v>501</v>
      </c>
      <c r="B610" s="3" t="s">
        <v>502</v>
      </c>
      <c r="C610" s="4"/>
      <c r="D610" s="4"/>
      <c r="E610" s="4"/>
      <c r="F610" s="4"/>
      <c r="G610" s="4"/>
      <c r="H610" s="4"/>
      <c r="I610" s="18" t="s">
        <v>2473</v>
      </c>
      <c r="J610" s="18" t="s">
        <v>2473</v>
      </c>
      <c r="K610" s="18" t="s">
        <v>2473</v>
      </c>
      <c r="AU610" s="6"/>
      <c r="AV610" s="6" t="str">
        <f t="shared" si="11"/>
        <v/>
      </c>
    </row>
    <row r="611" spans="1:48" ht="14.65" thickBot="1" x14ac:dyDescent="0.5">
      <c r="A611" s="35" t="s">
        <v>43</v>
      </c>
      <c r="B611" s="3" t="s">
        <v>503</v>
      </c>
      <c r="C611" s="4"/>
      <c r="D611" s="4"/>
      <c r="E611" s="4"/>
      <c r="F611" s="4"/>
      <c r="G611" s="4"/>
      <c r="H611" s="4"/>
      <c r="I611" s="18" t="s">
        <v>2473</v>
      </c>
      <c r="J611" s="18" t="s">
        <v>2473</v>
      </c>
      <c r="K611" s="18" t="s">
        <v>2473</v>
      </c>
      <c r="AU611" s="6"/>
      <c r="AV611" s="6" t="str">
        <f t="shared" si="11"/>
        <v/>
      </c>
    </row>
    <row r="612" spans="1:48" ht="14.65" thickBot="1" x14ac:dyDescent="0.5">
      <c r="A612" s="35" t="s">
        <v>504</v>
      </c>
      <c r="B612" s="3" t="s">
        <v>505</v>
      </c>
      <c r="C612" s="4"/>
      <c r="D612" s="4"/>
      <c r="E612" s="4"/>
      <c r="F612" s="4"/>
      <c r="G612" s="4"/>
      <c r="H612" s="4"/>
      <c r="I612" s="18" t="s">
        <v>2473</v>
      </c>
      <c r="J612" s="18" t="s">
        <v>2473</v>
      </c>
      <c r="K612" s="18" t="s">
        <v>2473</v>
      </c>
      <c r="AU612" s="6"/>
      <c r="AV612" s="6" t="str">
        <f t="shared" si="11"/>
        <v/>
      </c>
    </row>
    <row r="613" spans="1:48" ht="14.65" thickBot="1" x14ac:dyDescent="0.5">
      <c r="A613" s="35" t="s">
        <v>506</v>
      </c>
      <c r="B613" s="3" t="s">
        <v>507</v>
      </c>
      <c r="C613" s="4"/>
      <c r="D613" s="4"/>
      <c r="E613" s="4"/>
      <c r="F613" s="4"/>
      <c r="G613" s="4"/>
      <c r="H613" s="4"/>
      <c r="I613" s="18" t="s">
        <v>2473</v>
      </c>
      <c r="J613" s="18" t="s">
        <v>2473</v>
      </c>
      <c r="K613" s="18" t="s">
        <v>2473</v>
      </c>
      <c r="AU613" s="6"/>
      <c r="AV613" s="6" t="str">
        <f t="shared" si="11"/>
        <v/>
      </c>
    </row>
    <row r="614" spans="1:48" ht="14.65" thickBot="1" x14ac:dyDescent="0.5">
      <c r="A614" s="36" t="s">
        <v>508</v>
      </c>
      <c r="B614" s="3" t="s">
        <v>509</v>
      </c>
      <c r="C614" s="4"/>
      <c r="D614" s="4"/>
      <c r="E614" s="4"/>
      <c r="F614" s="4"/>
      <c r="G614" s="4"/>
      <c r="H614" s="4"/>
      <c r="I614" s="18" t="s">
        <v>2473</v>
      </c>
      <c r="J614" s="18" t="s">
        <v>2473</v>
      </c>
      <c r="K614" s="18" t="s">
        <v>2473</v>
      </c>
      <c r="AU614" s="6"/>
      <c r="AV614" s="6" t="str">
        <f t="shared" si="11"/>
        <v/>
      </c>
    </row>
    <row r="615" spans="1:48" ht="105.75" thickBot="1" x14ac:dyDescent="0.5">
      <c r="A615" s="36" t="s">
        <v>145</v>
      </c>
      <c r="B615" s="3" t="s">
        <v>3968</v>
      </c>
      <c r="C615" s="4" t="s">
        <v>10</v>
      </c>
      <c r="D615" s="4"/>
      <c r="E615" s="4" t="s">
        <v>10</v>
      </c>
      <c r="F615" s="4"/>
      <c r="G615" s="4" t="s">
        <v>10</v>
      </c>
      <c r="H615" s="4"/>
      <c r="I615" s="18" t="s">
        <v>2473</v>
      </c>
      <c r="J615" s="18" t="s">
        <v>2473</v>
      </c>
      <c r="K615" s="18" t="s">
        <v>2473</v>
      </c>
      <c r="AS615" s="206" t="s">
        <v>5861</v>
      </c>
      <c r="AU615" s="6"/>
      <c r="AV615" s="6" t="str">
        <f t="shared" si="11"/>
        <v/>
      </c>
    </row>
    <row r="616" spans="1:48" ht="47.65" thickBot="1" x14ac:dyDescent="0.5">
      <c r="A616" s="35" t="s">
        <v>5361</v>
      </c>
      <c r="B616" s="3" t="s">
        <v>5352</v>
      </c>
      <c r="C616" s="4" t="s">
        <v>10</v>
      </c>
      <c r="D616" s="4"/>
      <c r="E616" s="4" t="s">
        <v>10</v>
      </c>
      <c r="F616" s="4"/>
      <c r="G616" s="4" t="s">
        <v>10</v>
      </c>
      <c r="H616" s="4"/>
      <c r="I616" s="18" t="s">
        <v>2473</v>
      </c>
      <c r="J616" s="18" t="s">
        <v>2473</v>
      </c>
      <c r="K616" s="18" t="s">
        <v>2473</v>
      </c>
      <c r="Q616" s="131"/>
      <c r="R616" s="131"/>
      <c r="S616" s="131"/>
      <c r="T616" s="131"/>
      <c r="U616" s="131"/>
      <c r="V616" s="131"/>
      <c r="W616" s="131"/>
      <c r="X616" s="131"/>
      <c r="AS616" s="139" t="s">
        <v>5355</v>
      </c>
      <c r="AU616" s="6"/>
      <c r="AV616" s="6"/>
    </row>
    <row r="617" spans="1:48" ht="94.15" thickBot="1" x14ac:dyDescent="0.5">
      <c r="A617" s="35" t="s">
        <v>5360</v>
      </c>
      <c r="B617" s="3" t="s">
        <v>5353</v>
      </c>
      <c r="C617" s="4" t="s">
        <v>13</v>
      </c>
      <c r="D617" s="4"/>
      <c r="E617" s="4" t="s">
        <v>13</v>
      </c>
      <c r="F617" s="4"/>
      <c r="G617" s="4" t="s">
        <v>13</v>
      </c>
      <c r="H617" s="4"/>
      <c r="I617" s="18" t="s">
        <v>2473</v>
      </c>
      <c r="J617" s="18" t="s">
        <v>2473</v>
      </c>
      <c r="K617" s="18" t="s">
        <v>2473</v>
      </c>
      <c r="Q617" s="131"/>
      <c r="R617" s="131"/>
      <c r="S617" s="131"/>
      <c r="T617" s="131"/>
      <c r="U617" s="131"/>
      <c r="V617" s="131"/>
      <c r="W617" s="131"/>
      <c r="X617" s="131"/>
      <c r="AS617" s="139" t="s">
        <v>5368</v>
      </c>
      <c r="AU617" s="6"/>
      <c r="AV617" s="6"/>
    </row>
    <row r="618" spans="1:48" ht="14.65" thickBot="1" x14ac:dyDescent="0.5">
      <c r="A618" s="36" t="s">
        <v>488</v>
      </c>
      <c r="B618" s="3" t="s">
        <v>510</v>
      </c>
      <c r="C618" s="4" t="s">
        <v>10</v>
      </c>
      <c r="D618" s="4"/>
      <c r="E618" s="4" t="s">
        <v>10</v>
      </c>
      <c r="F618" s="4"/>
      <c r="G618" s="4" t="s">
        <v>10</v>
      </c>
      <c r="H618" s="4"/>
      <c r="I618" s="18" t="s">
        <v>2473</v>
      </c>
      <c r="J618" s="18" t="s">
        <v>2473</v>
      </c>
      <c r="K618" s="18" t="s">
        <v>2473</v>
      </c>
      <c r="AU618" s="6"/>
      <c r="AV618" s="6" t="str">
        <f t="shared" si="11"/>
        <v/>
      </c>
    </row>
    <row r="619" spans="1:48" x14ac:dyDescent="0.45">
      <c r="A619" s="33" t="s">
        <v>511</v>
      </c>
      <c r="I619" s="18" t="s">
        <v>2473</v>
      </c>
      <c r="J619" s="18" t="s">
        <v>2473</v>
      </c>
      <c r="K619" s="18" t="s">
        <v>2473</v>
      </c>
      <c r="AU619" s="6"/>
      <c r="AV619" s="6" t="str">
        <f t="shared" si="11"/>
        <v/>
      </c>
    </row>
    <row r="620" spans="1:48" x14ac:dyDescent="0.45">
      <c r="A620" s="34" t="s">
        <v>512</v>
      </c>
      <c r="I620" s="18" t="s">
        <v>2473</v>
      </c>
      <c r="J620" s="18" t="s">
        <v>2473</v>
      </c>
      <c r="K620" s="18" t="s">
        <v>2473</v>
      </c>
      <c r="AU620" s="6"/>
      <c r="AV620" s="6" t="str">
        <f t="shared" si="11"/>
        <v/>
      </c>
    </row>
    <row r="621" spans="1:48" s="79" customFormat="1" x14ac:dyDescent="0.45">
      <c r="A621" s="75"/>
      <c r="B621" s="76"/>
      <c r="C621" s="77"/>
      <c r="D621" s="77"/>
      <c r="E621" s="77"/>
      <c r="F621" s="77"/>
      <c r="G621" s="77"/>
      <c r="H621" s="77"/>
      <c r="I621" s="77"/>
      <c r="J621" s="77"/>
      <c r="K621" s="77"/>
      <c r="L621" s="77"/>
      <c r="M621" s="148"/>
      <c r="N621" s="78"/>
      <c r="O621" s="78"/>
      <c r="P621" s="78"/>
      <c r="Q621" s="78"/>
      <c r="R621" s="78"/>
      <c r="S621" s="78"/>
      <c r="T621" s="78"/>
      <c r="U621" s="78"/>
      <c r="V621" s="78"/>
      <c r="W621" s="78"/>
      <c r="X621" s="78"/>
      <c r="Y621" s="148"/>
      <c r="Z621" s="78"/>
      <c r="AA621" s="78"/>
      <c r="AB621" s="78"/>
      <c r="AC621" s="78"/>
      <c r="AD621" s="78"/>
      <c r="AE621" s="156"/>
      <c r="AF621" s="156"/>
      <c r="AG621" s="78"/>
      <c r="AH621" s="78"/>
      <c r="AI621" s="78"/>
      <c r="AJ621" s="78"/>
      <c r="AK621" s="78"/>
      <c r="AL621" s="78"/>
      <c r="AM621" s="78"/>
      <c r="AN621" s="78"/>
      <c r="AO621" s="78"/>
      <c r="AP621" s="78"/>
      <c r="AQ621" s="78"/>
      <c r="AR621" s="286"/>
      <c r="AS621" s="78"/>
      <c r="AT621" s="78"/>
      <c r="AU621" s="8"/>
      <c r="AV621" s="6" t="str">
        <f t="shared" si="11"/>
        <v/>
      </c>
    </row>
    <row r="622" spans="1:48" x14ac:dyDescent="0.45">
      <c r="A622" s="28" t="s">
        <v>3408</v>
      </c>
      <c r="I622" s="18" t="s">
        <v>2473</v>
      </c>
      <c r="J622" s="18" t="s">
        <v>2473</v>
      </c>
      <c r="K622" s="18" t="s">
        <v>2473</v>
      </c>
      <c r="AU622" s="6"/>
      <c r="AV622" s="6" t="str">
        <f t="shared" si="11"/>
        <v/>
      </c>
    </row>
    <row r="623" spans="1:48" x14ac:dyDescent="0.45">
      <c r="A623" s="27" t="s">
        <v>2403</v>
      </c>
      <c r="I623" s="18" t="s">
        <v>2473</v>
      </c>
      <c r="J623" s="18" t="s">
        <v>2473</v>
      </c>
      <c r="K623" s="18" t="s">
        <v>2473</v>
      </c>
      <c r="AU623" s="6"/>
      <c r="AV623" s="6" t="str">
        <f t="shared" si="11"/>
        <v/>
      </c>
    </row>
    <row r="624" spans="1:48" x14ac:dyDescent="0.45">
      <c r="A624" s="323" t="s">
        <v>2497</v>
      </c>
      <c r="B624" s="324"/>
      <c r="C624" s="324"/>
      <c r="D624" s="324"/>
      <c r="E624" s="324"/>
      <c r="F624" s="324"/>
      <c r="G624" s="101"/>
      <c r="H624" s="101"/>
      <c r="I624" s="18" t="s">
        <v>2473</v>
      </c>
      <c r="J624" s="18" t="s">
        <v>2473</v>
      </c>
      <c r="K624" s="18" t="s">
        <v>2473</v>
      </c>
      <c r="AU624" s="6"/>
      <c r="AV624" s="6" t="str">
        <f t="shared" si="11"/>
        <v/>
      </c>
    </row>
    <row r="625" spans="1:48" ht="14.65" thickBot="1" x14ac:dyDescent="0.5">
      <c r="A625" s="28" t="s">
        <v>513</v>
      </c>
      <c r="I625" s="18" t="s">
        <v>2473</v>
      </c>
      <c r="J625" s="18" t="s">
        <v>2473</v>
      </c>
      <c r="K625" s="18" t="s">
        <v>2473</v>
      </c>
      <c r="AA625" s="183" t="s">
        <v>2322</v>
      </c>
      <c r="AB625" s="183" t="s">
        <v>1697</v>
      </c>
      <c r="AC625" s="183" t="s">
        <v>5</v>
      </c>
      <c r="AU625" s="6"/>
      <c r="AV625" s="6" t="str">
        <f t="shared" si="11"/>
        <v/>
      </c>
    </row>
    <row r="626" spans="1:48" ht="279.39999999999998" thickBot="1" x14ac:dyDescent="0.5">
      <c r="A626" s="309" t="s">
        <v>514</v>
      </c>
      <c r="B626" s="310"/>
      <c r="C626" s="301" t="s">
        <v>1</v>
      </c>
      <c r="D626" s="319"/>
      <c r="E626" s="319"/>
      <c r="F626" s="302"/>
      <c r="G626" s="102"/>
      <c r="H626" s="102"/>
      <c r="I626" s="18" t="s">
        <v>2473</v>
      </c>
      <c r="AA626" s="183" t="str">
        <f>LEFT($A626,FIND(" ",$A626)-1)</f>
        <v>Event</v>
      </c>
      <c r="AB626" s="183" t="str">
        <f>MID($A626,FIND("(",$A626)+1,LEN($A626)-FIND("(",$A626)-1)</f>
        <v>1.3.0</v>
      </c>
      <c r="AC626" s="101" t="str">
        <f>A624</f>
        <v>The Event object is a JSON payload received by an EventDestination (which has subscribed to event notification) when Events occur. This resource contains data about Event(s), including descriptions, severity, and a MessageId reference to a MessageRegistry that can be accessed for further information.</v>
      </c>
      <c r="AU626" s="6"/>
      <c r="AV626" s="6" t="str">
        <f t="shared" si="11"/>
        <v/>
      </c>
    </row>
    <row r="627" spans="1:48" ht="14.65" thickBot="1" x14ac:dyDescent="0.5">
      <c r="A627" s="311"/>
      <c r="B627" s="312"/>
      <c r="C627" s="301" t="s">
        <v>2</v>
      </c>
      <c r="D627" s="302"/>
      <c r="E627" s="301" t="s">
        <v>3</v>
      </c>
      <c r="F627" s="302"/>
      <c r="G627" s="301" t="s">
        <v>2896</v>
      </c>
      <c r="H627" s="302"/>
      <c r="I627" s="18" t="s">
        <v>2473</v>
      </c>
      <c r="AA627" s="183" t="s">
        <v>2322</v>
      </c>
      <c r="AB627" s="183" t="s">
        <v>1697</v>
      </c>
      <c r="AC627" s="183" t="s">
        <v>5</v>
      </c>
      <c r="AU627" s="8"/>
      <c r="AV627" s="6" t="str">
        <f t="shared" si="11"/>
        <v/>
      </c>
    </row>
    <row r="628" spans="1:48" ht="279.39999999999998" thickBot="1" x14ac:dyDescent="0.5">
      <c r="A628" s="309" t="s">
        <v>3218</v>
      </c>
      <c r="B628" s="310"/>
      <c r="C628" s="301" t="s">
        <v>1</v>
      </c>
      <c r="D628" s="319"/>
      <c r="E628" s="319"/>
      <c r="F628" s="302"/>
      <c r="G628" s="102"/>
      <c r="H628" s="102"/>
      <c r="J628" s="18" t="s">
        <v>2473</v>
      </c>
      <c r="K628" s="18" t="s">
        <v>2473</v>
      </c>
      <c r="AA628" s="183" t="str">
        <f>LEFT($A628,FIND(" ",$A628)-1)</f>
        <v>Event</v>
      </c>
      <c r="AB628" s="183" t="str">
        <f>MID($A628,FIND("(",$A628)+1,LEN($A628)-FIND("(",$A628)-1)</f>
        <v>1.4.0</v>
      </c>
      <c r="AC628" s="101" t="str">
        <f>AC626</f>
        <v>The Event object is a JSON payload received by an EventDestination (which has subscribed to event notification) when Events occur. This resource contains data about Event(s), including descriptions, severity, and a MessageId reference to a MessageRegistry that can be accessed for further information.</v>
      </c>
      <c r="AU628" s="6"/>
      <c r="AV628" s="6" t="str">
        <f t="shared" si="11"/>
        <v/>
      </c>
    </row>
    <row r="629" spans="1:48" ht="14.65" thickBot="1" x14ac:dyDescent="0.5">
      <c r="A629" s="311"/>
      <c r="B629" s="312"/>
      <c r="C629" s="301" t="s">
        <v>2</v>
      </c>
      <c r="D629" s="302"/>
      <c r="E629" s="301" t="s">
        <v>3</v>
      </c>
      <c r="F629" s="302"/>
      <c r="G629" s="301" t="s">
        <v>2896</v>
      </c>
      <c r="H629" s="302"/>
      <c r="J629" s="18" t="s">
        <v>2473</v>
      </c>
      <c r="K629" s="18" t="s">
        <v>2473</v>
      </c>
      <c r="AU629" s="8"/>
      <c r="AV629" s="6" t="str">
        <f t="shared" si="11"/>
        <v/>
      </c>
    </row>
    <row r="630" spans="1:48" ht="14.65" thickBot="1" x14ac:dyDescent="0.5">
      <c r="A630" s="46" t="s">
        <v>2377</v>
      </c>
      <c r="B630" s="47"/>
      <c r="C630" s="303" t="s">
        <v>10</v>
      </c>
      <c r="D630" s="304"/>
      <c r="E630" s="303" t="s">
        <v>10</v>
      </c>
      <c r="F630" s="304"/>
      <c r="G630" s="303" t="s">
        <v>10</v>
      </c>
      <c r="H630" s="304"/>
      <c r="I630" s="18" t="s">
        <v>2473</v>
      </c>
      <c r="J630" s="18" t="s">
        <v>2473</v>
      </c>
      <c r="K630" s="18" t="s">
        <v>2473</v>
      </c>
      <c r="AU630" s="6"/>
      <c r="AV630" s="6" t="str">
        <f t="shared" si="11"/>
        <v/>
      </c>
    </row>
    <row r="631" spans="1:48" ht="14.65" thickBot="1" x14ac:dyDescent="0.5">
      <c r="A631" s="29" t="s">
        <v>3394</v>
      </c>
      <c r="B631" s="9"/>
      <c r="C631" s="305" t="str">
        <f>MID($A626,FIND("(",$A626)+1,5)</f>
        <v>1.3.0</v>
      </c>
      <c r="D631" s="306"/>
      <c r="E631" s="305" t="s">
        <v>3405</v>
      </c>
      <c r="F631" s="306"/>
      <c r="G631" s="305" t="str">
        <f>MID($A626,FIND("(",$A626)+1,5)</f>
        <v>1.3.0</v>
      </c>
      <c r="H631" s="306"/>
      <c r="I631" s="18" t="s">
        <v>2473</v>
      </c>
      <c r="J631" s="18" t="s">
        <v>2473</v>
      </c>
      <c r="K631" s="18" t="s">
        <v>2473</v>
      </c>
      <c r="AU631" s="6"/>
      <c r="AV631" s="6" t="str">
        <f t="shared" si="11"/>
        <v/>
      </c>
    </row>
    <row r="632" spans="1:48" ht="14.65" thickBot="1" x14ac:dyDescent="0.5">
      <c r="A632" s="30" t="s">
        <v>4</v>
      </c>
      <c r="B632" s="59" t="s">
        <v>5</v>
      </c>
      <c r="C632" s="7" t="s">
        <v>6</v>
      </c>
      <c r="D632" s="7" t="s">
        <v>7</v>
      </c>
      <c r="E632" s="7" t="s">
        <v>6</v>
      </c>
      <c r="F632" s="7" t="s">
        <v>7</v>
      </c>
      <c r="G632" s="7" t="s">
        <v>6</v>
      </c>
      <c r="H632" s="7" t="s">
        <v>7</v>
      </c>
      <c r="I632" s="18" t="s">
        <v>2473</v>
      </c>
      <c r="J632" s="18" t="s">
        <v>2473</v>
      </c>
      <c r="K632" s="18" t="s">
        <v>2473</v>
      </c>
      <c r="AU632" s="8"/>
      <c r="AV632" s="6" t="str">
        <f t="shared" si="11"/>
        <v/>
      </c>
    </row>
    <row r="633" spans="1:48" ht="14.65" thickBot="1" x14ac:dyDescent="0.5">
      <c r="A633" s="36" t="s">
        <v>8</v>
      </c>
      <c r="B633" s="3" t="s">
        <v>9</v>
      </c>
      <c r="C633" s="4"/>
      <c r="D633" s="4"/>
      <c r="E633" s="4"/>
      <c r="F633" s="4"/>
      <c r="G633" s="4"/>
      <c r="H633" s="4"/>
      <c r="I633" s="18" t="s">
        <v>2473</v>
      </c>
      <c r="J633" s="18" t="s">
        <v>2473</v>
      </c>
      <c r="K633" s="18" t="s">
        <v>2473</v>
      </c>
      <c r="AU633" s="6"/>
      <c r="AV633" s="6" t="str">
        <f t="shared" si="11"/>
        <v/>
      </c>
    </row>
    <row r="634" spans="1:48" ht="23.65" thickBot="1" x14ac:dyDescent="0.5">
      <c r="A634" s="36" t="s">
        <v>515</v>
      </c>
      <c r="B634" s="3" t="s">
        <v>516</v>
      </c>
      <c r="C634" s="4" t="s">
        <v>13</v>
      </c>
      <c r="D634" s="4"/>
      <c r="E634" s="4" t="s">
        <v>13</v>
      </c>
      <c r="F634" s="4"/>
      <c r="G634" s="4" t="s">
        <v>13</v>
      </c>
      <c r="H634" s="4"/>
      <c r="I634" s="18" t="s">
        <v>2473</v>
      </c>
      <c r="J634" s="18" t="s">
        <v>2473</v>
      </c>
      <c r="K634" s="18" t="s">
        <v>2473</v>
      </c>
      <c r="AU634" s="6"/>
      <c r="AV634" s="6" t="str">
        <f t="shared" si="11"/>
        <v/>
      </c>
    </row>
    <row r="635" spans="1:48" ht="23.65" thickBot="1" x14ac:dyDescent="0.5">
      <c r="A635" s="36" t="s">
        <v>517</v>
      </c>
      <c r="B635" s="3" t="s">
        <v>518</v>
      </c>
      <c r="C635" s="4" t="s">
        <v>10</v>
      </c>
      <c r="D635" s="4"/>
      <c r="E635" s="4" t="s">
        <v>10</v>
      </c>
      <c r="F635" s="4"/>
      <c r="G635" s="4" t="s">
        <v>10</v>
      </c>
      <c r="H635" s="4"/>
      <c r="I635" s="18" t="s">
        <v>2473</v>
      </c>
      <c r="J635" s="18" t="s">
        <v>2473</v>
      </c>
      <c r="K635" s="18" t="s">
        <v>2473</v>
      </c>
      <c r="AU635" s="6"/>
      <c r="AV635" s="6" t="str">
        <f t="shared" si="11"/>
        <v/>
      </c>
    </row>
    <row r="636" spans="1:48" ht="14.65" thickBot="1" x14ac:dyDescent="0.5">
      <c r="A636" s="35" t="s">
        <v>33</v>
      </c>
      <c r="B636" s="3" t="s">
        <v>84</v>
      </c>
      <c r="C636" s="4"/>
      <c r="D636" s="4"/>
      <c r="E636" s="4"/>
      <c r="F636" s="4"/>
      <c r="G636" s="4"/>
      <c r="H636" s="4"/>
      <c r="I636" s="18" t="s">
        <v>2473</v>
      </c>
      <c r="J636" s="18" t="s">
        <v>2473</v>
      </c>
      <c r="K636" s="18" t="s">
        <v>2473</v>
      </c>
      <c r="AU636" s="6"/>
      <c r="AV636" s="6" t="str">
        <f t="shared" si="11"/>
        <v/>
      </c>
    </row>
    <row r="637" spans="1:48" ht="14.65" thickBot="1" x14ac:dyDescent="0.5">
      <c r="A637" s="35" t="s">
        <v>442</v>
      </c>
      <c r="B637" s="5" t="s">
        <v>9</v>
      </c>
      <c r="C637" s="4"/>
      <c r="D637" s="4"/>
      <c r="E637" s="4"/>
      <c r="F637" s="4"/>
      <c r="G637" s="4"/>
      <c r="H637" s="4"/>
      <c r="I637" s="18" t="s">
        <v>2473</v>
      </c>
      <c r="J637" s="18" t="s">
        <v>2473</v>
      </c>
      <c r="K637" s="18" t="s">
        <v>2473</v>
      </c>
      <c r="AU637" s="6"/>
      <c r="AV637" s="6" t="str">
        <f t="shared" si="11"/>
        <v/>
      </c>
    </row>
    <row r="638" spans="1:48" ht="23.65" thickBot="1" x14ac:dyDescent="0.5">
      <c r="A638" s="35" t="s">
        <v>519</v>
      </c>
      <c r="B638" s="3" t="s">
        <v>516</v>
      </c>
      <c r="C638" s="4" t="s">
        <v>13</v>
      </c>
      <c r="D638" s="4"/>
      <c r="E638" s="4" t="s">
        <v>13</v>
      </c>
      <c r="F638" s="4"/>
      <c r="G638" s="4" t="s">
        <v>13</v>
      </c>
      <c r="H638" s="4"/>
      <c r="I638" s="18" t="s">
        <v>2473</v>
      </c>
      <c r="J638" s="18" t="s">
        <v>2473</v>
      </c>
      <c r="K638" s="18" t="s">
        <v>2473</v>
      </c>
      <c r="AU638" s="6"/>
      <c r="AV638" s="6" t="str">
        <f t="shared" si="11"/>
        <v/>
      </c>
    </row>
    <row r="639" spans="1:48" ht="23.65" thickBot="1" x14ac:dyDescent="0.5">
      <c r="A639" s="35" t="s">
        <v>520</v>
      </c>
      <c r="B639" s="3" t="s">
        <v>521</v>
      </c>
      <c r="C639" s="4" t="s">
        <v>13</v>
      </c>
      <c r="D639" s="4"/>
      <c r="E639" s="4" t="s">
        <v>13</v>
      </c>
      <c r="F639" s="4"/>
      <c r="G639" s="4" t="s">
        <v>13</v>
      </c>
      <c r="H639" s="4"/>
      <c r="I639" s="18" t="s">
        <v>2473</v>
      </c>
      <c r="J639" s="18" t="s">
        <v>2473</v>
      </c>
      <c r="K639" s="18" t="s">
        <v>2473</v>
      </c>
      <c r="AU639" s="6"/>
      <c r="AV639" s="6" t="str">
        <f t="shared" si="11"/>
        <v/>
      </c>
    </row>
    <row r="640" spans="1:48" ht="14.65" thickBot="1" x14ac:dyDescent="0.5">
      <c r="A640" s="35" t="s">
        <v>522</v>
      </c>
      <c r="B640" s="3" t="s">
        <v>523</v>
      </c>
      <c r="C640" s="4" t="s">
        <v>10</v>
      </c>
      <c r="D640" s="4"/>
      <c r="E640" s="4" t="s">
        <v>10</v>
      </c>
      <c r="F640" s="4"/>
      <c r="G640" s="4" t="s">
        <v>10</v>
      </c>
      <c r="H640" s="4"/>
      <c r="I640" s="18" t="s">
        <v>2473</v>
      </c>
      <c r="J640" s="18" t="s">
        <v>2473</v>
      </c>
      <c r="K640" s="18" t="s">
        <v>2473</v>
      </c>
      <c r="AU640" s="6"/>
      <c r="AV640" s="6" t="str">
        <f t="shared" si="11"/>
        <v/>
      </c>
    </row>
    <row r="641" spans="1:48" ht="14.65" thickBot="1" x14ac:dyDescent="0.5">
      <c r="A641" s="35" t="s">
        <v>524</v>
      </c>
      <c r="B641" s="3" t="s">
        <v>525</v>
      </c>
      <c r="C641" s="4" t="s">
        <v>10</v>
      </c>
      <c r="D641" s="4"/>
      <c r="E641" s="4" t="s">
        <v>10</v>
      </c>
      <c r="F641" s="4"/>
      <c r="G641" s="4" t="s">
        <v>10</v>
      </c>
      <c r="H641" s="4"/>
      <c r="I641" s="18" t="s">
        <v>2473</v>
      </c>
      <c r="J641" s="18" t="s">
        <v>2473</v>
      </c>
      <c r="K641" s="18" t="s">
        <v>2473</v>
      </c>
      <c r="AU641" s="6"/>
      <c r="AV641" s="6" t="str">
        <f t="shared" si="11"/>
        <v/>
      </c>
    </row>
    <row r="642" spans="1:48" ht="23.65" thickBot="1" x14ac:dyDescent="0.5">
      <c r="A642" s="35" t="s">
        <v>526</v>
      </c>
      <c r="B642" s="3" t="s">
        <v>527</v>
      </c>
      <c r="C642" s="4" t="s">
        <v>10</v>
      </c>
      <c r="D642" s="4"/>
      <c r="E642" s="4" t="s">
        <v>10</v>
      </c>
      <c r="F642" s="4"/>
      <c r="G642" s="4" t="s">
        <v>10</v>
      </c>
      <c r="H642" s="4"/>
      <c r="I642" s="18" t="s">
        <v>2473</v>
      </c>
      <c r="AU642" s="6"/>
      <c r="AV642" s="6" t="str">
        <f t="shared" si="11"/>
        <v/>
      </c>
    </row>
    <row r="643" spans="1:48" ht="14.65" thickBot="1" x14ac:dyDescent="0.5">
      <c r="A643" s="35" t="s">
        <v>461</v>
      </c>
      <c r="B643" s="3" t="s">
        <v>462</v>
      </c>
      <c r="C643" s="4" t="s">
        <v>10</v>
      </c>
      <c r="D643" s="4"/>
      <c r="E643" s="4" t="s">
        <v>10</v>
      </c>
      <c r="F643" s="4"/>
      <c r="G643" s="4" t="s">
        <v>10</v>
      </c>
      <c r="H643" s="4"/>
      <c r="I643" s="18" t="s">
        <v>2473</v>
      </c>
      <c r="J643" s="18" t="s">
        <v>2473</v>
      </c>
      <c r="K643" s="18" t="s">
        <v>2473</v>
      </c>
      <c r="AU643" s="6"/>
      <c r="AV643" s="6" t="str">
        <f t="shared" si="11"/>
        <v/>
      </c>
    </row>
    <row r="644" spans="1:48" ht="14.65" thickBot="1" x14ac:dyDescent="0.5">
      <c r="A644" s="35" t="s">
        <v>528</v>
      </c>
      <c r="B644" s="3" t="s">
        <v>529</v>
      </c>
      <c r="C644" s="4" t="s">
        <v>13</v>
      </c>
      <c r="D644" s="4"/>
      <c r="E644" s="4" t="s">
        <v>13</v>
      </c>
      <c r="F644" s="4"/>
      <c r="G644" s="4" t="s">
        <v>13</v>
      </c>
      <c r="H644" s="4"/>
      <c r="I644" s="18" t="s">
        <v>2473</v>
      </c>
      <c r="J644" s="18" t="s">
        <v>2473</v>
      </c>
      <c r="K644" s="18" t="s">
        <v>2473</v>
      </c>
      <c r="AU644" s="6"/>
      <c r="AV644" s="6" t="str">
        <f t="shared" si="11"/>
        <v/>
      </c>
    </row>
    <row r="645" spans="1:48" ht="23.65" thickBot="1" x14ac:dyDescent="0.5">
      <c r="A645" s="35" t="s">
        <v>530</v>
      </c>
      <c r="B645" s="3" t="s">
        <v>531</v>
      </c>
      <c r="C645" s="4" t="s">
        <v>13</v>
      </c>
      <c r="D645" s="4"/>
      <c r="E645" s="4" t="s">
        <v>13</v>
      </c>
      <c r="F645" s="4"/>
      <c r="G645" s="4" t="s">
        <v>13</v>
      </c>
      <c r="H645" s="4"/>
      <c r="I645" s="18" t="s">
        <v>2473</v>
      </c>
      <c r="J645" s="18" t="s">
        <v>2473</v>
      </c>
      <c r="K645" s="18" t="s">
        <v>2473</v>
      </c>
      <c r="AU645" s="6"/>
      <c r="AV645" s="6" t="str">
        <f t="shared" si="11"/>
        <v/>
      </c>
    </row>
    <row r="646" spans="1:48" ht="23.65" thickBot="1" x14ac:dyDescent="0.5">
      <c r="A646" s="35" t="s">
        <v>532</v>
      </c>
      <c r="B646" s="3" t="s">
        <v>533</v>
      </c>
      <c r="C646" s="4" t="s">
        <v>13</v>
      </c>
      <c r="D646" s="4"/>
      <c r="E646" s="4" t="s">
        <v>13</v>
      </c>
      <c r="F646" s="4"/>
      <c r="G646" s="4" t="s">
        <v>13</v>
      </c>
      <c r="H646" s="4"/>
      <c r="I646" s="18" t="s">
        <v>2473</v>
      </c>
      <c r="J646" s="18" t="s">
        <v>2473</v>
      </c>
      <c r="K646" s="18" t="s">
        <v>2473</v>
      </c>
      <c r="AU646" s="6"/>
      <c r="AV646" s="6" t="str">
        <f t="shared" si="11"/>
        <v/>
      </c>
    </row>
    <row r="647" spans="1:48" ht="14.65" thickBot="1" x14ac:dyDescent="0.5">
      <c r="A647" s="35" t="s">
        <v>59</v>
      </c>
      <c r="B647" s="3" t="s">
        <v>60</v>
      </c>
      <c r="C647" s="4"/>
      <c r="D647" s="4"/>
      <c r="E647" s="4"/>
      <c r="F647" s="4"/>
      <c r="G647" s="4"/>
      <c r="H647" s="4"/>
      <c r="I647" s="18" t="s">
        <v>2473</v>
      </c>
      <c r="J647" s="18" t="s">
        <v>2473</v>
      </c>
      <c r="K647" s="18" t="s">
        <v>2473</v>
      </c>
      <c r="AU647" s="6"/>
      <c r="AV647" s="6" t="str">
        <f t="shared" si="11"/>
        <v/>
      </c>
    </row>
    <row r="648" spans="1:48" ht="23.65" thickBot="1" x14ac:dyDescent="0.5">
      <c r="A648" s="35" t="s">
        <v>534</v>
      </c>
      <c r="B648" s="3" t="s">
        <v>535</v>
      </c>
      <c r="C648" s="4" t="s">
        <v>13</v>
      </c>
      <c r="D648" s="4"/>
      <c r="E648" s="4" t="s">
        <v>13</v>
      </c>
      <c r="F648" s="4"/>
      <c r="G648" s="4" t="s">
        <v>13</v>
      </c>
      <c r="H648" s="4"/>
      <c r="I648" s="18" t="s">
        <v>2473</v>
      </c>
      <c r="J648" s="18" t="s">
        <v>2473</v>
      </c>
      <c r="K648" s="18" t="s">
        <v>2473</v>
      </c>
      <c r="AU648" s="6"/>
      <c r="AV648" s="6" t="str">
        <f t="shared" si="11"/>
        <v/>
      </c>
    </row>
    <row r="649" spans="1:48" ht="14.65" thickBot="1" x14ac:dyDescent="0.5">
      <c r="A649" s="35" t="s">
        <v>43</v>
      </c>
      <c r="B649" s="3" t="s">
        <v>84</v>
      </c>
      <c r="C649" s="4"/>
      <c r="D649" s="4"/>
      <c r="E649" s="4"/>
      <c r="F649" s="4"/>
      <c r="G649" s="4"/>
      <c r="H649" s="4"/>
      <c r="I649" s="18" t="s">
        <v>2473</v>
      </c>
      <c r="J649" s="18" t="s">
        <v>2473</v>
      </c>
      <c r="K649" s="18" t="s">
        <v>2473</v>
      </c>
      <c r="AU649" s="6"/>
      <c r="AV649" s="6" t="str">
        <f t="shared" si="11"/>
        <v/>
      </c>
    </row>
    <row r="650" spans="1:48" ht="14.65" thickBot="1" x14ac:dyDescent="0.5">
      <c r="A650" s="36" t="s">
        <v>536</v>
      </c>
      <c r="B650" s="3" t="s">
        <v>537</v>
      </c>
      <c r="C650" s="4" t="s">
        <v>10</v>
      </c>
      <c r="D650" s="4"/>
      <c r="E650" s="4" t="s">
        <v>10</v>
      </c>
      <c r="F650" s="4"/>
      <c r="G650" s="4" t="s">
        <v>10</v>
      </c>
      <c r="H650" s="4"/>
      <c r="I650" s="18" t="s">
        <v>2473</v>
      </c>
      <c r="J650" s="18" t="s">
        <v>2473</v>
      </c>
      <c r="K650" s="18" t="s">
        <v>2473</v>
      </c>
      <c r="AU650" s="8"/>
      <c r="AV650" s="6" t="str">
        <f t="shared" si="11"/>
        <v/>
      </c>
    </row>
    <row r="651" spans="1:48" s="79" customFormat="1" x14ac:dyDescent="0.45">
      <c r="A651" s="75"/>
      <c r="B651" s="76"/>
      <c r="C651" s="77"/>
      <c r="D651" s="77"/>
      <c r="E651" s="77"/>
      <c r="F651" s="77"/>
      <c r="G651" s="77"/>
      <c r="H651" s="77"/>
      <c r="I651" s="77"/>
      <c r="J651" s="77"/>
      <c r="K651" s="77"/>
      <c r="L651" s="77"/>
      <c r="M651" s="148"/>
      <c r="N651" s="78"/>
      <c r="O651" s="78"/>
      <c r="P651" s="78"/>
      <c r="Q651" s="78"/>
      <c r="R651" s="78"/>
      <c r="S651" s="78"/>
      <c r="T651" s="78"/>
      <c r="U651" s="78"/>
      <c r="V651" s="78"/>
      <c r="W651" s="78"/>
      <c r="X651" s="78"/>
      <c r="Y651" s="148"/>
      <c r="Z651" s="78"/>
      <c r="AA651" s="78"/>
      <c r="AB651" s="78"/>
      <c r="AC651" s="78"/>
      <c r="AD651" s="78"/>
      <c r="AE651" s="156"/>
      <c r="AF651" s="156"/>
      <c r="AG651" s="78"/>
      <c r="AH651" s="78"/>
      <c r="AI651" s="78"/>
      <c r="AJ651" s="78"/>
      <c r="AK651" s="78"/>
      <c r="AL651" s="78"/>
      <c r="AM651" s="78"/>
      <c r="AN651" s="78"/>
      <c r="AO651" s="78"/>
      <c r="AP651" s="78"/>
      <c r="AQ651" s="78"/>
      <c r="AR651" s="286"/>
      <c r="AS651" s="78"/>
      <c r="AT651" s="78"/>
      <c r="AU651" s="8"/>
      <c r="AV651" s="6" t="str">
        <f t="shared" si="11"/>
        <v/>
      </c>
    </row>
    <row r="652" spans="1:48" x14ac:dyDescent="0.45">
      <c r="A652" s="27" t="s">
        <v>2404</v>
      </c>
      <c r="I652" s="18" t="s">
        <v>2473</v>
      </c>
      <c r="J652" s="18" t="s">
        <v>2473</v>
      </c>
      <c r="K652" s="18" t="s">
        <v>2473</v>
      </c>
      <c r="AU652" s="8"/>
      <c r="AV652" s="6" t="str">
        <f t="shared" si="11"/>
        <v/>
      </c>
    </row>
    <row r="653" spans="1:48" x14ac:dyDescent="0.45">
      <c r="A653" s="323" t="s">
        <v>2498</v>
      </c>
      <c r="B653" s="324"/>
      <c r="C653" s="324"/>
      <c r="D653" s="324"/>
      <c r="E653" s="324"/>
      <c r="F653" s="324"/>
      <c r="G653" s="101"/>
      <c r="H653" s="101"/>
      <c r="I653" s="18" t="s">
        <v>2473</v>
      </c>
      <c r="J653" s="18" t="s">
        <v>2473</v>
      </c>
      <c r="K653" s="18" t="s">
        <v>2473</v>
      </c>
      <c r="AU653" s="8"/>
      <c r="AV653" s="6" t="str">
        <f t="shared" si="11"/>
        <v/>
      </c>
    </row>
    <row r="654" spans="1:48" ht="14.65" thickBot="1" x14ac:dyDescent="0.5">
      <c r="A654" s="28" t="s">
        <v>538</v>
      </c>
      <c r="I654" s="18" t="s">
        <v>2473</v>
      </c>
      <c r="J654" s="18" t="s">
        <v>2473</v>
      </c>
      <c r="K654" s="18" t="s">
        <v>2473</v>
      </c>
      <c r="AA654" s="183" t="s">
        <v>2322</v>
      </c>
      <c r="AB654" s="183" t="s">
        <v>1697</v>
      </c>
      <c r="AC654" s="183" t="s">
        <v>5</v>
      </c>
      <c r="AU654" s="8"/>
      <c r="AV654" s="6" t="str">
        <f t="shared" si="11"/>
        <v/>
      </c>
    </row>
    <row r="655" spans="1:48" ht="163.15" thickBot="1" x14ac:dyDescent="0.5">
      <c r="A655" s="309" t="s">
        <v>539</v>
      </c>
      <c r="B655" s="310"/>
      <c r="C655" s="301" t="s">
        <v>1</v>
      </c>
      <c r="D655" s="319"/>
      <c r="E655" s="319"/>
      <c r="F655" s="302"/>
      <c r="G655" s="102"/>
      <c r="H655" s="102"/>
      <c r="I655" s="18" t="s">
        <v>2473</v>
      </c>
      <c r="AA655" s="183" t="str">
        <f>LEFT($A655,FIND(" ",$A655)-1)</f>
        <v>EventDestination</v>
      </c>
      <c r="AB655" s="183" t="str">
        <f>MID($A655,FIND("(",$A655)+1,LEN($A655)-FIND("(",$A655)-1)</f>
        <v>1.4.0</v>
      </c>
      <c r="AC655" s="101" t="str">
        <f>A653</f>
        <v>The EventDestination resource describes the target of an Event subscription, including the types of Events subscribed and context to provide to the target in the Event payload.</v>
      </c>
      <c r="AU655" s="6"/>
      <c r="AV655" s="6" t="str">
        <f t="shared" si="11"/>
        <v/>
      </c>
    </row>
    <row r="656" spans="1:48" ht="14.65" thickBot="1" x14ac:dyDescent="0.5">
      <c r="A656" s="311"/>
      <c r="B656" s="312"/>
      <c r="C656" s="301" t="s">
        <v>2</v>
      </c>
      <c r="D656" s="302"/>
      <c r="E656" s="301" t="s">
        <v>3</v>
      </c>
      <c r="F656" s="302"/>
      <c r="G656" s="301" t="s">
        <v>2896</v>
      </c>
      <c r="H656" s="302"/>
      <c r="I656" s="18" t="s">
        <v>2473</v>
      </c>
      <c r="AA656" s="183" t="s">
        <v>2322</v>
      </c>
      <c r="AB656" s="183" t="s">
        <v>1697</v>
      </c>
      <c r="AC656" s="183" t="s">
        <v>5</v>
      </c>
      <c r="AU656" s="6"/>
      <c r="AV656" s="6" t="str">
        <f t="shared" si="11"/>
        <v/>
      </c>
    </row>
    <row r="657" spans="1:48" ht="163.15" thickBot="1" x14ac:dyDescent="0.5">
      <c r="A657" s="309" t="s">
        <v>3219</v>
      </c>
      <c r="B657" s="310"/>
      <c r="C657" s="301" t="s">
        <v>1</v>
      </c>
      <c r="D657" s="319"/>
      <c r="E657" s="319"/>
      <c r="F657" s="302"/>
      <c r="G657" s="102"/>
      <c r="H657" s="102"/>
      <c r="J657" s="18" t="s">
        <v>2473</v>
      </c>
      <c r="K657" s="18" t="s">
        <v>2473</v>
      </c>
      <c r="AA657" s="183" t="str">
        <f>LEFT($A657,FIND(" ",$A657)-1)</f>
        <v>EventDestination</v>
      </c>
      <c r="AB657" s="183" t="str">
        <f>MID($A657,FIND("(",$A657)+1,LEN($A657)-FIND("(",$A657)-1)</f>
        <v>1.5.0</v>
      </c>
      <c r="AC657" s="101" t="str">
        <f>AC655</f>
        <v>The EventDestination resource describes the target of an Event subscription, including the types of Events subscribed and context to provide to the target in the Event payload.</v>
      </c>
      <c r="AU657" s="6"/>
      <c r="AV657" s="6" t="str">
        <f t="shared" si="11"/>
        <v/>
      </c>
    </row>
    <row r="658" spans="1:48" ht="14.65" thickBot="1" x14ac:dyDescent="0.5">
      <c r="A658" s="311"/>
      <c r="B658" s="312"/>
      <c r="C658" s="301" t="s">
        <v>2</v>
      </c>
      <c r="D658" s="302"/>
      <c r="E658" s="301" t="s">
        <v>3</v>
      </c>
      <c r="F658" s="302"/>
      <c r="G658" s="301" t="s">
        <v>2896</v>
      </c>
      <c r="H658" s="302"/>
      <c r="J658" s="18" t="s">
        <v>2473</v>
      </c>
      <c r="K658" s="18" t="s">
        <v>2473</v>
      </c>
      <c r="AM658" s="8" t="str">
        <f>C658</f>
        <v>OSM-Redfish</v>
      </c>
      <c r="AN658" s="8" t="str">
        <f>E658</f>
        <v>OSM-RedfishBMC</v>
      </c>
      <c r="AO658" s="8" t="str">
        <f>G658</f>
        <v>OSM-RedfishDCN</v>
      </c>
      <c r="AU658" s="6"/>
      <c r="AV658" s="6" t="str">
        <f t="shared" si="11"/>
        <v/>
      </c>
    </row>
    <row r="659" spans="1:48" ht="14.65" thickBot="1" x14ac:dyDescent="0.5">
      <c r="A659" s="46" t="s">
        <v>2377</v>
      </c>
      <c r="B659" s="47"/>
      <c r="C659" s="303" t="s">
        <v>10</v>
      </c>
      <c r="D659" s="304"/>
      <c r="E659" s="303" t="s">
        <v>10</v>
      </c>
      <c r="F659" s="304"/>
      <c r="G659" s="303" t="s">
        <v>10</v>
      </c>
      <c r="H659" s="304"/>
      <c r="I659" s="18" t="s">
        <v>2473</v>
      </c>
      <c r="J659" s="18" t="s">
        <v>2473</v>
      </c>
      <c r="K659" s="18" t="s">
        <v>2473</v>
      </c>
      <c r="AM659" s="8" t="str">
        <f>IF(C659&lt;&gt;"","CRQ-P5-"&amp;(AM$2+$AP659*$AP$3),"")</f>
        <v>CRQ-P5-1072</v>
      </c>
      <c r="AN659" s="8" t="str">
        <f>IF(E659&lt;&gt;"","CRQ-P5-"&amp;(AN$2+$AP659*$AP$3),"")</f>
        <v>CRQ-P5-1372</v>
      </c>
      <c r="AO659" s="8" t="str">
        <f>IF(G659&lt;&gt;"","CRQ-P5-"&amp;(AO$2+$AP659*$AP$3),"")</f>
        <v>CRQ-P5-1672</v>
      </c>
      <c r="AP659" s="8">
        <v>18</v>
      </c>
      <c r="AU659" s="6"/>
      <c r="AV659" s="6" t="str">
        <f t="shared" si="11"/>
        <v/>
      </c>
    </row>
    <row r="660" spans="1:48" ht="14.65" thickBot="1" x14ac:dyDescent="0.5">
      <c r="A660" s="29" t="s">
        <v>3394</v>
      </c>
      <c r="B660" s="9"/>
      <c r="C660" s="305" t="str">
        <f>MID($A655,FIND("(",$A655)+1,5)</f>
        <v>1.4.0</v>
      </c>
      <c r="D660" s="306"/>
      <c r="E660" s="305" t="s">
        <v>3405</v>
      </c>
      <c r="F660" s="306"/>
      <c r="G660" s="305" t="str">
        <f>MID($A655,FIND("(",$A655)+1,5)</f>
        <v>1.4.0</v>
      </c>
      <c r="H660" s="306"/>
      <c r="I660" s="18" t="s">
        <v>2473</v>
      </c>
      <c r="J660" s="18" t="s">
        <v>2473</v>
      </c>
      <c r="K660" s="18" t="s">
        <v>2473</v>
      </c>
      <c r="AU660" s="6"/>
      <c r="AV660" s="6" t="str">
        <f t="shared" si="11"/>
        <v/>
      </c>
    </row>
    <row r="661" spans="1:48" ht="14.65" thickBot="1" x14ac:dyDescent="0.5">
      <c r="A661" s="30" t="s">
        <v>4</v>
      </c>
      <c r="B661" s="59" t="s">
        <v>5</v>
      </c>
      <c r="C661" s="7" t="s">
        <v>6</v>
      </c>
      <c r="D661" s="7" t="s">
        <v>7</v>
      </c>
      <c r="E661" s="7" t="s">
        <v>6</v>
      </c>
      <c r="F661" s="7" t="s">
        <v>7</v>
      </c>
      <c r="G661" s="7" t="s">
        <v>6</v>
      </c>
      <c r="H661" s="7" t="s">
        <v>7</v>
      </c>
      <c r="I661" s="18" t="s">
        <v>2473</v>
      </c>
      <c r="J661" s="18" t="s">
        <v>2473</v>
      </c>
      <c r="K661" s="18" t="s">
        <v>2473</v>
      </c>
      <c r="AU661" s="6"/>
      <c r="AV661" s="6" t="str">
        <f t="shared" si="11"/>
        <v/>
      </c>
    </row>
    <row r="662" spans="1:48" ht="14.65" thickBot="1" x14ac:dyDescent="0.5">
      <c r="A662" s="36" t="s">
        <v>8</v>
      </c>
      <c r="B662" s="3" t="s">
        <v>9</v>
      </c>
      <c r="C662" s="4"/>
      <c r="D662" s="4"/>
      <c r="E662" s="4"/>
      <c r="F662" s="4"/>
      <c r="G662" s="4"/>
      <c r="H662" s="4"/>
      <c r="I662" s="18" t="s">
        <v>2473</v>
      </c>
      <c r="J662" s="18" t="s">
        <v>2473</v>
      </c>
      <c r="K662" s="18" t="s">
        <v>2473</v>
      </c>
      <c r="AU662" s="6"/>
      <c r="AV662" s="6" t="str">
        <f t="shared" si="11"/>
        <v/>
      </c>
    </row>
    <row r="663" spans="1:48" ht="23.65" thickBot="1" x14ac:dyDescent="0.5">
      <c r="A663" s="36" t="s">
        <v>515</v>
      </c>
      <c r="B663" s="3" t="s">
        <v>540</v>
      </c>
      <c r="C663" s="4" t="s">
        <v>10</v>
      </c>
      <c r="D663" s="4" t="s">
        <v>10</v>
      </c>
      <c r="E663" s="4" t="s">
        <v>10</v>
      </c>
      <c r="F663" s="4" t="s">
        <v>10</v>
      </c>
      <c r="G663" s="4" t="s">
        <v>10</v>
      </c>
      <c r="H663" s="4" t="s">
        <v>10</v>
      </c>
      <c r="I663" s="18" t="s">
        <v>2473</v>
      </c>
      <c r="J663" s="18" t="s">
        <v>2473</v>
      </c>
      <c r="K663" s="18" t="s">
        <v>2473</v>
      </c>
      <c r="AU663" s="6"/>
      <c r="AV663" s="6" t="str">
        <f t="shared" si="11"/>
        <v/>
      </c>
    </row>
    <row r="664" spans="1:48" ht="58.5" thickBot="1" x14ac:dyDescent="0.5">
      <c r="A664" s="36" t="s">
        <v>4103</v>
      </c>
      <c r="B664" s="3" t="s">
        <v>4104</v>
      </c>
      <c r="C664" s="4" t="s">
        <v>13</v>
      </c>
      <c r="D664" s="4" t="s">
        <v>13</v>
      </c>
      <c r="E664" s="4" t="s">
        <v>13</v>
      </c>
      <c r="F664" s="4" t="s">
        <v>13</v>
      </c>
      <c r="G664" s="4" t="s">
        <v>13</v>
      </c>
      <c r="H664" s="4" t="s">
        <v>13</v>
      </c>
      <c r="J664" s="18" t="s">
        <v>2473</v>
      </c>
      <c r="K664" s="18" t="s">
        <v>2473</v>
      </c>
      <c r="AU664" s="140" t="s">
        <v>4105</v>
      </c>
      <c r="AV664" s="6" t="str">
        <f t="shared" si="11"/>
        <v/>
      </c>
    </row>
    <row r="665" spans="1:48" ht="14.65" thickBot="1" x14ac:dyDescent="0.5">
      <c r="A665" s="36" t="s">
        <v>541</v>
      </c>
      <c r="B665" s="3" t="s">
        <v>542</v>
      </c>
      <c r="C665" s="4" t="s">
        <v>10</v>
      </c>
      <c r="D665" s="4"/>
      <c r="E665" s="4" t="s">
        <v>10</v>
      </c>
      <c r="F665" s="4"/>
      <c r="G665" s="4" t="s">
        <v>10</v>
      </c>
      <c r="H665" s="4"/>
      <c r="I665" s="18" t="s">
        <v>2473</v>
      </c>
      <c r="J665" s="18" t="s">
        <v>2473</v>
      </c>
      <c r="K665" s="18" t="s">
        <v>2473</v>
      </c>
      <c r="AU665" s="6"/>
      <c r="AV665" s="6" t="str">
        <f t="shared" si="11"/>
        <v/>
      </c>
    </row>
    <row r="666" spans="1:48" ht="23.65" thickBot="1" x14ac:dyDescent="0.5">
      <c r="A666" s="36" t="s">
        <v>543</v>
      </c>
      <c r="B666" s="3" t="s">
        <v>544</v>
      </c>
      <c r="C666" s="4" t="s">
        <v>37</v>
      </c>
      <c r="D666" s="4"/>
      <c r="E666" s="4" t="s">
        <v>37</v>
      </c>
      <c r="F666" s="4"/>
      <c r="G666" s="4" t="s">
        <v>37</v>
      </c>
      <c r="H666" s="4"/>
      <c r="I666" s="18" t="s">
        <v>2473</v>
      </c>
      <c r="J666" s="18" t="s">
        <v>2473</v>
      </c>
      <c r="K666" s="18" t="s">
        <v>2473</v>
      </c>
      <c r="AU666" s="6"/>
      <c r="AV666" s="6" t="str">
        <f t="shared" si="11"/>
        <v/>
      </c>
    </row>
    <row r="667" spans="1:48" ht="23.65" thickBot="1" x14ac:dyDescent="0.5">
      <c r="A667" s="36" t="s">
        <v>545</v>
      </c>
      <c r="B667" s="5" t="s">
        <v>546</v>
      </c>
      <c r="C667" s="4" t="s">
        <v>10</v>
      </c>
      <c r="D667" s="4"/>
      <c r="E667" s="4" t="s">
        <v>10</v>
      </c>
      <c r="F667" s="4"/>
      <c r="G667" s="4" t="s">
        <v>10</v>
      </c>
      <c r="H667" s="4"/>
      <c r="I667" s="18" t="s">
        <v>2473</v>
      </c>
      <c r="J667" s="18" t="s">
        <v>2473</v>
      </c>
      <c r="K667" s="18" t="s">
        <v>2473</v>
      </c>
      <c r="AU667" s="6"/>
      <c r="AV667" s="6" t="str">
        <f t="shared" si="11"/>
        <v/>
      </c>
    </row>
    <row r="668" spans="1:48" ht="23.65" thickBot="1" x14ac:dyDescent="0.5">
      <c r="A668" s="36" t="s">
        <v>547</v>
      </c>
      <c r="B668" s="3" t="s">
        <v>548</v>
      </c>
      <c r="C668" s="4" t="s">
        <v>37</v>
      </c>
      <c r="D668" s="4"/>
      <c r="E668" s="4" t="s">
        <v>37</v>
      </c>
      <c r="F668" s="4"/>
      <c r="G668" s="4" t="s">
        <v>37</v>
      </c>
      <c r="H668" s="4"/>
      <c r="I668" s="18" t="s">
        <v>2473</v>
      </c>
      <c r="J668" s="18" t="s">
        <v>2473</v>
      </c>
      <c r="K668" s="18" t="s">
        <v>2473</v>
      </c>
      <c r="AU668" s="6"/>
      <c r="AV668" s="6" t="str">
        <f t="shared" si="11"/>
        <v/>
      </c>
    </row>
    <row r="669" spans="1:48" ht="35.25" thickBot="1" x14ac:dyDescent="0.5">
      <c r="A669" s="36" t="s">
        <v>549</v>
      </c>
      <c r="B669" s="3" t="s">
        <v>550</v>
      </c>
      <c r="C669" s="4" t="s">
        <v>13</v>
      </c>
      <c r="D669" s="4"/>
      <c r="E669" s="4" t="s">
        <v>13</v>
      </c>
      <c r="F669" s="4"/>
      <c r="G669" s="4" t="s">
        <v>13</v>
      </c>
      <c r="H669" s="4"/>
      <c r="I669" s="18" t="s">
        <v>2473</v>
      </c>
      <c r="J669" s="18" t="s">
        <v>2473</v>
      </c>
      <c r="K669" s="18" t="s">
        <v>2473</v>
      </c>
      <c r="AU669" s="6"/>
      <c r="AV669" s="6" t="str">
        <f t="shared" si="11"/>
        <v/>
      </c>
    </row>
    <row r="670" spans="1:48" ht="35.25" thickBot="1" x14ac:dyDescent="0.5">
      <c r="A670" s="36" t="s">
        <v>551</v>
      </c>
      <c r="B670" s="3" t="s">
        <v>552</v>
      </c>
      <c r="C670" s="4" t="s">
        <v>13</v>
      </c>
      <c r="D670" s="4"/>
      <c r="E670" s="4" t="s">
        <v>13</v>
      </c>
      <c r="F670" s="4"/>
      <c r="G670" s="4" t="s">
        <v>13</v>
      </c>
      <c r="H670" s="4"/>
      <c r="I670" s="18" t="s">
        <v>2473</v>
      </c>
      <c r="J670" s="18" t="s">
        <v>2473</v>
      </c>
      <c r="K670" s="18" t="s">
        <v>2473</v>
      </c>
      <c r="AU670" s="6"/>
      <c r="AV670" s="6" t="str">
        <f t="shared" si="11"/>
        <v/>
      </c>
    </row>
    <row r="671" spans="1:48" ht="14.65" thickBot="1" x14ac:dyDescent="0.5">
      <c r="A671" s="35" t="s">
        <v>33</v>
      </c>
      <c r="B671" s="3" t="s">
        <v>84</v>
      </c>
      <c r="C671" s="4"/>
      <c r="D671" s="4"/>
      <c r="E671" s="4"/>
      <c r="F671" s="4"/>
      <c r="G671" s="4"/>
      <c r="H671" s="4"/>
      <c r="I671" s="18" t="s">
        <v>2473</v>
      </c>
      <c r="J671" s="18" t="s">
        <v>2473</v>
      </c>
      <c r="K671" s="18" t="s">
        <v>2473</v>
      </c>
      <c r="AU671" s="6"/>
      <c r="AV671" s="6" t="str">
        <f t="shared" si="11"/>
        <v/>
      </c>
    </row>
    <row r="672" spans="1:48" ht="14.65" thickBot="1" x14ac:dyDescent="0.5">
      <c r="A672" s="36" t="s">
        <v>553</v>
      </c>
      <c r="B672" s="3" t="s">
        <v>554</v>
      </c>
      <c r="C672" s="4" t="s">
        <v>10</v>
      </c>
      <c r="D672" s="4"/>
      <c r="E672" s="4" t="s">
        <v>10</v>
      </c>
      <c r="F672" s="4"/>
      <c r="G672" s="4" t="s">
        <v>10</v>
      </c>
      <c r="H672" s="4"/>
      <c r="I672" s="18" t="s">
        <v>2473</v>
      </c>
      <c r="J672" s="18" t="s">
        <v>2473</v>
      </c>
      <c r="K672" s="18" t="s">
        <v>2473</v>
      </c>
      <c r="AU672" s="6"/>
      <c r="AV672" s="6" t="str">
        <f t="shared" si="11"/>
        <v/>
      </c>
    </row>
    <row r="673" spans="1:48" ht="23.65" thickBot="1" x14ac:dyDescent="0.5">
      <c r="A673" s="36" t="s">
        <v>555</v>
      </c>
      <c r="B673" s="3" t="s">
        <v>556</v>
      </c>
      <c r="C673" s="4" t="s">
        <v>13</v>
      </c>
      <c r="D673" s="4"/>
      <c r="E673" s="4" t="s">
        <v>13</v>
      </c>
      <c r="F673" s="4"/>
      <c r="G673" s="4" t="s">
        <v>13</v>
      </c>
      <c r="H673" s="4"/>
      <c r="I673" s="18" t="s">
        <v>2473</v>
      </c>
      <c r="J673" s="18" t="s">
        <v>2473</v>
      </c>
      <c r="K673" s="18" t="s">
        <v>2473</v>
      </c>
      <c r="AU673" s="6"/>
      <c r="AV673" s="6" t="str">
        <f t="shared" ref="AV673:AV740" si="12">IF(A673&lt;&gt;"",IF(T673&lt;&gt;"",IF(LEFT(R673,3)="Has",IF(TRIM(A673)&lt;&gt;T673,"ERROR","OK"),""),""),"")</f>
        <v/>
      </c>
    </row>
    <row r="674" spans="1:48" ht="23.65" thickBot="1" x14ac:dyDescent="0.5">
      <c r="A674" s="36" t="s">
        <v>557</v>
      </c>
      <c r="B674" s="3" t="s">
        <v>556</v>
      </c>
      <c r="C674" s="4" t="s">
        <v>13</v>
      </c>
      <c r="D674" s="4"/>
      <c r="E674" s="4" t="s">
        <v>13</v>
      </c>
      <c r="F674" s="4"/>
      <c r="G674" s="4" t="s">
        <v>13</v>
      </c>
      <c r="H674" s="4"/>
      <c r="I674" s="18" t="s">
        <v>2473</v>
      </c>
      <c r="J674" s="18" t="s">
        <v>2473</v>
      </c>
      <c r="K674" s="18" t="s">
        <v>2473</v>
      </c>
      <c r="AU674" s="6"/>
      <c r="AV674" s="6" t="str">
        <f t="shared" si="12"/>
        <v/>
      </c>
    </row>
    <row r="675" spans="1:48" ht="35.25" thickBot="1" x14ac:dyDescent="0.5">
      <c r="A675" s="36" t="s">
        <v>145</v>
      </c>
      <c r="B675" s="3" t="s">
        <v>4998</v>
      </c>
      <c r="C675" s="4" t="s">
        <v>13</v>
      </c>
      <c r="D675" s="4"/>
      <c r="E675" s="4" t="s">
        <v>13</v>
      </c>
      <c r="F675" s="4"/>
      <c r="G675" s="4" t="s">
        <v>13</v>
      </c>
      <c r="H675" s="4"/>
      <c r="J675" s="18" t="s">
        <v>2473</v>
      </c>
      <c r="K675" s="18" t="s">
        <v>2473</v>
      </c>
      <c r="AS675" s="139" t="s">
        <v>5369</v>
      </c>
      <c r="AU675" s="140" t="s">
        <v>4106</v>
      </c>
      <c r="AV675" s="6" t="str">
        <f t="shared" si="12"/>
        <v/>
      </c>
    </row>
    <row r="676" spans="1:48" ht="47.65" thickBot="1" x14ac:dyDescent="0.5">
      <c r="A676" s="35" t="s">
        <v>5361</v>
      </c>
      <c r="B676" s="3" t="s">
        <v>5352</v>
      </c>
      <c r="C676" s="4" t="s">
        <v>10</v>
      </c>
      <c r="D676" s="4"/>
      <c r="E676" s="4" t="s">
        <v>10</v>
      </c>
      <c r="F676" s="4"/>
      <c r="G676" s="4" t="s">
        <v>10</v>
      </c>
      <c r="H676" s="4"/>
      <c r="J676" s="18" t="s">
        <v>2473</v>
      </c>
      <c r="K676" s="18" t="s">
        <v>2473</v>
      </c>
      <c r="Q676" s="131"/>
      <c r="R676" s="131"/>
      <c r="S676" s="131"/>
      <c r="T676" s="131"/>
      <c r="U676" s="131"/>
      <c r="V676" s="131"/>
      <c r="W676" s="131"/>
      <c r="X676" s="131"/>
      <c r="AS676" s="139" t="s">
        <v>5355</v>
      </c>
      <c r="AU676" s="6"/>
      <c r="AV676" s="6"/>
    </row>
    <row r="677" spans="1:48" ht="82.5" thickBot="1" x14ac:dyDescent="0.5">
      <c r="A677" s="35" t="s">
        <v>5360</v>
      </c>
      <c r="B677" s="3" t="s">
        <v>5353</v>
      </c>
      <c r="C677" s="4"/>
      <c r="D677" s="4"/>
      <c r="E677" s="4"/>
      <c r="F677" s="4"/>
      <c r="G677" s="4"/>
      <c r="H677" s="4"/>
      <c r="J677" s="18" t="s">
        <v>2473</v>
      </c>
      <c r="K677" s="18" t="s">
        <v>2473</v>
      </c>
      <c r="Q677" s="131"/>
      <c r="R677" s="131"/>
      <c r="S677" s="131"/>
      <c r="T677" s="131"/>
      <c r="U677" s="131"/>
      <c r="V677" s="131"/>
      <c r="W677" s="131"/>
      <c r="X677" s="131"/>
      <c r="AS677" s="139" t="s">
        <v>5356</v>
      </c>
      <c r="AU677" s="6"/>
      <c r="AV677" s="6"/>
    </row>
    <row r="678" spans="1:48" ht="46.9" thickBot="1" x14ac:dyDescent="0.5">
      <c r="A678" s="36" t="s">
        <v>558</v>
      </c>
      <c r="B678" s="3" t="s">
        <v>559</v>
      </c>
      <c r="C678" s="4" t="s">
        <v>13</v>
      </c>
      <c r="D678" s="4"/>
      <c r="E678" s="4" t="s">
        <v>13</v>
      </c>
      <c r="F678" s="4"/>
      <c r="G678" s="4" t="s">
        <v>13</v>
      </c>
      <c r="H678" s="4"/>
      <c r="I678" s="18" t="s">
        <v>2473</v>
      </c>
      <c r="J678" s="18" t="s">
        <v>2473</v>
      </c>
      <c r="K678" s="18" t="s">
        <v>2473</v>
      </c>
      <c r="AU678" s="6"/>
      <c r="AV678" s="6" t="str">
        <f t="shared" si="12"/>
        <v/>
      </c>
    </row>
    <row r="679" spans="1:48" ht="14.65" thickBot="1" x14ac:dyDescent="0.5">
      <c r="A679" s="36" t="s">
        <v>560</v>
      </c>
      <c r="B679" s="3" t="s">
        <v>561</v>
      </c>
      <c r="C679" s="4" t="s">
        <v>10</v>
      </c>
      <c r="D679" s="4"/>
      <c r="E679" s="4" t="s">
        <v>10</v>
      </c>
      <c r="F679" s="4"/>
      <c r="G679" s="4" t="s">
        <v>10</v>
      </c>
      <c r="H679" s="4"/>
      <c r="I679" s="18" t="s">
        <v>2473</v>
      </c>
      <c r="J679" s="18" t="s">
        <v>2473</v>
      </c>
      <c r="K679" s="18" t="s">
        <v>2473</v>
      </c>
      <c r="AU679" s="6"/>
      <c r="AV679" s="6" t="str">
        <f t="shared" si="12"/>
        <v/>
      </c>
    </row>
    <row r="680" spans="1:48" x14ac:dyDescent="0.45">
      <c r="A680" s="33" t="s">
        <v>562</v>
      </c>
      <c r="I680" s="18" t="s">
        <v>2473</v>
      </c>
      <c r="J680" s="18" t="s">
        <v>2473</v>
      </c>
      <c r="K680" s="18" t="s">
        <v>2473</v>
      </c>
      <c r="AU680" s="6"/>
      <c r="AV680" s="6" t="str">
        <f t="shared" si="12"/>
        <v/>
      </c>
    </row>
    <row r="681" spans="1:48" x14ac:dyDescent="0.45">
      <c r="A681" s="34" t="s">
        <v>563</v>
      </c>
      <c r="I681" s="18" t="s">
        <v>2473</v>
      </c>
      <c r="J681" s="18" t="s">
        <v>2473</v>
      </c>
      <c r="K681" s="18" t="s">
        <v>2473</v>
      </c>
      <c r="AU681" s="6"/>
      <c r="AV681" s="6" t="str">
        <f t="shared" si="12"/>
        <v/>
      </c>
    </row>
    <row r="682" spans="1:48" s="79" customFormat="1" x14ac:dyDescent="0.45">
      <c r="A682" s="75"/>
      <c r="B682" s="76"/>
      <c r="C682" s="77"/>
      <c r="D682" s="77"/>
      <c r="E682" s="77"/>
      <c r="F682" s="77"/>
      <c r="G682" s="77"/>
      <c r="H682" s="77"/>
      <c r="I682" s="77"/>
      <c r="J682" s="77"/>
      <c r="K682" s="77"/>
      <c r="L682" s="77"/>
      <c r="M682" s="148"/>
      <c r="N682" s="78"/>
      <c r="O682" s="78"/>
      <c r="P682" s="78"/>
      <c r="Q682" s="78"/>
      <c r="R682" s="78"/>
      <c r="S682" s="78"/>
      <c r="T682" s="78"/>
      <c r="U682" s="78"/>
      <c r="V682" s="78"/>
      <c r="W682" s="78"/>
      <c r="X682" s="78"/>
      <c r="Y682" s="148"/>
      <c r="Z682" s="78"/>
      <c r="AA682" s="78"/>
      <c r="AB682" s="78"/>
      <c r="AC682" s="78"/>
      <c r="AD682" s="78"/>
      <c r="AE682" s="156"/>
      <c r="AF682" s="156"/>
      <c r="AG682" s="78"/>
      <c r="AH682" s="78"/>
      <c r="AI682" s="78"/>
      <c r="AJ682" s="78"/>
      <c r="AK682" s="78"/>
      <c r="AL682" s="78"/>
      <c r="AM682" s="78"/>
      <c r="AN682" s="78"/>
      <c r="AO682" s="78"/>
      <c r="AP682" s="78"/>
      <c r="AQ682" s="78"/>
      <c r="AR682" s="286"/>
      <c r="AS682" s="78"/>
      <c r="AT682" s="78"/>
      <c r="AU682" s="8"/>
      <c r="AV682" s="6" t="str">
        <f t="shared" si="12"/>
        <v/>
      </c>
    </row>
    <row r="683" spans="1:48" x14ac:dyDescent="0.45">
      <c r="A683" s="27" t="s">
        <v>2405</v>
      </c>
      <c r="I683" s="18" t="s">
        <v>2473</v>
      </c>
      <c r="J683" s="18" t="s">
        <v>2473</v>
      </c>
      <c r="K683" s="18" t="s">
        <v>2473</v>
      </c>
      <c r="AU683" s="6"/>
      <c r="AV683" s="6" t="str">
        <f t="shared" si="12"/>
        <v/>
      </c>
    </row>
    <row r="684" spans="1:48" x14ac:dyDescent="0.45">
      <c r="A684" s="323" t="s">
        <v>2499</v>
      </c>
      <c r="B684" s="324"/>
      <c r="C684" s="324"/>
      <c r="D684" s="324"/>
      <c r="E684" s="324"/>
      <c r="F684" s="324"/>
      <c r="G684" s="101"/>
      <c r="H684" s="101"/>
      <c r="I684" s="18" t="s">
        <v>2473</v>
      </c>
      <c r="J684" s="18" t="s">
        <v>2473</v>
      </c>
      <c r="K684" s="18" t="s">
        <v>2473</v>
      </c>
      <c r="AU684" s="6"/>
      <c r="AV684" s="6" t="str">
        <f t="shared" si="12"/>
        <v/>
      </c>
    </row>
    <row r="685" spans="1:48" ht="14.65" thickBot="1" x14ac:dyDescent="0.5">
      <c r="A685" s="28" t="s">
        <v>564</v>
      </c>
      <c r="I685" s="18" t="s">
        <v>2473</v>
      </c>
      <c r="J685" s="18" t="s">
        <v>2473</v>
      </c>
      <c r="K685" s="18" t="s">
        <v>2473</v>
      </c>
      <c r="AA685" s="183" t="s">
        <v>2322</v>
      </c>
      <c r="AB685" s="183" t="s">
        <v>1697</v>
      </c>
      <c r="AC685" s="183" t="s">
        <v>5</v>
      </c>
      <c r="AU685" s="6"/>
      <c r="AV685" s="6" t="str">
        <f t="shared" si="12"/>
        <v/>
      </c>
    </row>
    <row r="686" spans="1:48" ht="198" thickBot="1" x14ac:dyDescent="0.5">
      <c r="A686" s="309" t="s">
        <v>565</v>
      </c>
      <c r="B686" s="310"/>
      <c r="C686" s="301" t="s">
        <v>1</v>
      </c>
      <c r="D686" s="319"/>
      <c r="E686" s="319"/>
      <c r="F686" s="302"/>
      <c r="G686" s="102"/>
      <c r="H686" s="102"/>
      <c r="I686" s="18" t="s">
        <v>2473</v>
      </c>
      <c r="AA686" s="183" t="str">
        <f>LEFT($A686,FIND(" ",$A686)-1)</f>
        <v>EventService</v>
      </c>
      <c r="AB686" s="183" t="str">
        <f>MID($A686,FIND("(",$A686)+1,LEN($A686)-FIND("(",$A686)-1)</f>
        <v>1.2.0</v>
      </c>
      <c r="AC686" s="101" t="str">
        <f>A684</f>
        <v>The EventService resource contains properties for managing Event subscriptions and generates the Events sent to subscribers. The resource has links to the actual collection of subscriptions (called EventDestinations).</v>
      </c>
      <c r="AU686" s="6"/>
      <c r="AV686" s="6" t="str">
        <f t="shared" si="12"/>
        <v/>
      </c>
    </row>
    <row r="687" spans="1:48" ht="14.65" thickBot="1" x14ac:dyDescent="0.5">
      <c r="A687" s="311"/>
      <c r="B687" s="312"/>
      <c r="C687" s="301" t="s">
        <v>2</v>
      </c>
      <c r="D687" s="302"/>
      <c r="E687" s="301" t="s">
        <v>3</v>
      </c>
      <c r="F687" s="302"/>
      <c r="G687" s="301" t="s">
        <v>2896</v>
      </c>
      <c r="H687" s="302"/>
      <c r="I687" s="18" t="s">
        <v>2473</v>
      </c>
      <c r="AA687" s="183" t="s">
        <v>2322</v>
      </c>
      <c r="AB687" s="183" t="s">
        <v>1697</v>
      </c>
      <c r="AC687" s="183" t="s">
        <v>5</v>
      </c>
      <c r="AU687" s="6"/>
      <c r="AV687" s="6" t="str">
        <f t="shared" si="12"/>
        <v/>
      </c>
    </row>
    <row r="688" spans="1:48" ht="198" thickBot="1" x14ac:dyDescent="0.5">
      <c r="A688" s="309" t="s">
        <v>3220</v>
      </c>
      <c r="B688" s="310"/>
      <c r="C688" s="301" t="s">
        <v>1</v>
      </c>
      <c r="D688" s="319"/>
      <c r="E688" s="319"/>
      <c r="F688" s="302"/>
      <c r="G688" s="102"/>
      <c r="H688" s="102"/>
      <c r="J688" s="18" t="s">
        <v>2473</v>
      </c>
      <c r="K688" s="18" t="s">
        <v>2473</v>
      </c>
      <c r="AA688" s="183" t="str">
        <f>LEFT($A688,FIND(" ",$A688)-1)</f>
        <v>EventService</v>
      </c>
      <c r="AB688" s="183" t="str">
        <f>MID($A688,FIND("(",$A688)+1,LEN($A688)-FIND("(",$A688)-1)</f>
        <v>1.3.0</v>
      </c>
      <c r="AC688" s="101" t="str">
        <f>AC686</f>
        <v>The EventService resource contains properties for managing Event subscriptions and generates the Events sent to subscribers. The resource has links to the actual collection of subscriptions (called EventDestinations).</v>
      </c>
      <c r="AU688" s="6"/>
      <c r="AV688" s="6" t="str">
        <f t="shared" si="12"/>
        <v/>
      </c>
    </row>
    <row r="689" spans="1:48" ht="14.65" thickBot="1" x14ac:dyDescent="0.5">
      <c r="A689" s="311"/>
      <c r="B689" s="312"/>
      <c r="C689" s="301" t="s">
        <v>2</v>
      </c>
      <c r="D689" s="302"/>
      <c r="E689" s="301" t="s">
        <v>3</v>
      </c>
      <c r="F689" s="302"/>
      <c r="G689" s="301" t="s">
        <v>2896</v>
      </c>
      <c r="H689" s="302"/>
      <c r="J689" s="18" t="s">
        <v>2473</v>
      </c>
      <c r="K689" s="18" t="s">
        <v>2473</v>
      </c>
      <c r="AM689" s="8" t="str">
        <f>C689</f>
        <v>OSM-Redfish</v>
      </c>
      <c r="AN689" s="8" t="str">
        <f>E689</f>
        <v>OSM-RedfishBMC</v>
      </c>
      <c r="AO689" s="8" t="str">
        <f>G689</f>
        <v>OSM-RedfishDCN</v>
      </c>
      <c r="AU689" s="6"/>
      <c r="AV689" s="6" t="str">
        <f t="shared" si="12"/>
        <v/>
      </c>
    </row>
    <row r="690" spans="1:48" ht="14.65" thickBot="1" x14ac:dyDescent="0.5">
      <c r="A690" s="46" t="s">
        <v>2377</v>
      </c>
      <c r="B690" s="47"/>
      <c r="C690" s="303" t="s">
        <v>10</v>
      </c>
      <c r="D690" s="304"/>
      <c r="E690" s="303" t="s">
        <v>10</v>
      </c>
      <c r="F690" s="304"/>
      <c r="G690" s="303" t="s">
        <v>10</v>
      </c>
      <c r="H690" s="304"/>
      <c r="I690" s="18" t="s">
        <v>2473</v>
      </c>
      <c r="J690" s="18" t="s">
        <v>2473</v>
      </c>
      <c r="K690" s="18" t="s">
        <v>2473</v>
      </c>
      <c r="AM690" s="8" t="str">
        <f>IF(C690&lt;&gt;"","CRQ-P5-"&amp;(AM$2+$AP690*$AP$3),"")</f>
        <v>CRQ-P5-1076</v>
      </c>
      <c r="AN690" s="8" t="str">
        <f>IF(E690&lt;&gt;"","CRQ-P5-"&amp;(AN$2+$AP690*$AP$3),"")</f>
        <v>CRQ-P5-1376</v>
      </c>
      <c r="AO690" s="8" t="str">
        <f>IF(G690&lt;&gt;"","CRQ-P5-"&amp;(AO$2+$AP690*$AP$3),"")</f>
        <v>CRQ-P5-1676</v>
      </c>
      <c r="AP690" s="8">
        <v>19</v>
      </c>
      <c r="AU690" s="6"/>
      <c r="AV690" s="6" t="str">
        <f t="shared" si="12"/>
        <v/>
      </c>
    </row>
    <row r="691" spans="1:48" ht="14.65" thickBot="1" x14ac:dyDescent="0.5">
      <c r="A691" s="29" t="s">
        <v>3394</v>
      </c>
      <c r="B691" s="9"/>
      <c r="C691" s="305" t="str">
        <f>MID($A686,FIND("(",$A686)+1,5)</f>
        <v>1.2.0</v>
      </c>
      <c r="D691" s="306"/>
      <c r="E691" s="305" t="s">
        <v>3409</v>
      </c>
      <c r="F691" s="306"/>
      <c r="G691" s="305" t="str">
        <f>MID($A686,FIND("(",$A686)+1,5)</f>
        <v>1.2.0</v>
      </c>
      <c r="H691" s="306"/>
      <c r="I691" s="18" t="s">
        <v>2473</v>
      </c>
      <c r="J691" s="18" t="s">
        <v>2473</v>
      </c>
      <c r="K691" s="18" t="s">
        <v>2473</v>
      </c>
      <c r="AU691" s="6"/>
      <c r="AV691" s="6" t="str">
        <f t="shared" si="12"/>
        <v/>
      </c>
    </row>
    <row r="692" spans="1:48" ht="14.65" thickBot="1" x14ac:dyDescent="0.5">
      <c r="A692" s="30" t="s">
        <v>4</v>
      </c>
      <c r="B692" s="59" t="s">
        <v>5</v>
      </c>
      <c r="C692" s="7" t="s">
        <v>6</v>
      </c>
      <c r="D692" s="7" t="s">
        <v>7</v>
      </c>
      <c r="E692" s="7" t="s">
        <v>6</v>
      </c>
      <c r="F692" s="7" t="s">
        <v>7</v>
      </c>
      <c r="G692" s="7" t="s">
        <v>6</v>
      </c>
      <c r="H692" s="7" t="s">
        <v>7</v>
      </c>
      <c r="I692" s="18" t="s">
        <v>2473</v>
      </c>
      <c r="J692" s="18" t="s">
        <v>2473</v>
      </c>
      <c r="K692" s="18" t="s">
        <v>2473</v>
      </c>
      <c r="AU692" s="6"/>
      <c r="AV692" s="6" t="str">
        <f t="shared" si="12"/>
        <v/>
      </c>
    </row>
    <row r="693" spans="1:48" ht="47.65" thickBot="1" x14ac:dyDescent="0.5">
      <c r="A693" s="36" t="s">
        <v>8</v>
      </c>
      <c r="B693" s="3" t="s">
        <v>9</v>
      </c>
      <c r="C693" s="250" t="s">
        <v>10</v>
      </c>
      <c r="D693" s="4"/>
      <c r="E693" s="250" t="s">
        <v>10</v>
      </c>
      <c r="F693" s="4"/>
      <c r="G693" s="250" t="s">
        <v>10</v>
      </c>
      <c r="H693" s="4"/>
      <c r="I693" s="18" t="s">
        <v>2473</v>
      </c>
      <c r="J693" s="18" t="s">
        <v>2473</v>
      </c>
      <c r="K693" s="18" t="s">
        <v>2473</v>
      </c>
      <c r="AS693" s="206" t="s">
        <v>5885</v>
      </c>
      <c r="AU693" s="8"/>
      <c r="AV693" s="6" t="str">
        <f t="shared" si="12"/>
        <v/>
      </c>
    </row>
    <row r="694" spans="1:48" ht="14.65" thickBot="1" x14ac:dyDescent="0.5">
      <c r="A694" s="35" t="s">
        <v>566</v>
      </c>
      <c r="B694" s="3" t="s">
        <v>567</v>
      </c>
      <c r="C694" s="4" t="s">
        <v>10</v>
      </c>
      <c r="D694" s="4"/>
      <c r="E694" s="4" t="s">
        <v>10</v>
      </c>
      <c r="F694" s="4"/>
      <c r="G694" s="4" t="s">
        <v>10</v>
      </c>
      <c r="H694" s="4"/>
      <c r="I694" s="18" t="s">
        <v>2473</v>
      </c>
      <c r="J694" s="18" t="s">
        <v>2473</v>
      </c>
      <c r="K694" s="18" t="s">
        <v>2473</v>
      </c>
      <c r="AU694" s="8"/>
      <c r="AV694" s="6" t="str">
        <f t="shared" si="12"/>
        <v/>
      </c>
    </row>
    <row r="695" spans="1:48" ht="23.65" thickBot="1" x14ac:dyDescent="0.5">
      <c r="A695" s="36" t="s">
        <v>568</v>
      </c>
      <c r="B695" s="3" t="s">
        <v>569</v>
      </c>
      <c r="C695" s="4" t="s">
        <v>10</v>
      </c>
      <c r="D695" s="4" t="s">
        <v>10</v>
      </c>
      <c r="E695" s="4" t="s">
        <v>10</v>
      </c>
      <c r="F695" s="4" t="s">
        <v>10</v>
      </c>
      <c r="G695" s="4" t="s">
        <v>10</v>
      </c>
      <c r="H695" s="4" t="s">
        <v>10</v>
      </c>
      <c r="I695" s="18" t="s">
        <v>2473</v>
      </c>
      <c r="J695" s="18" t="s">
        <v>2473</v>
      </c>
      <c r="K695" s="18" t="s">
        <v>2473</v>
      </c>
      <c r="AU695" s="8"/>
      <c r="AV695" s="6" t="str">
        <f t="shared" si="12"/>
        <v/>
      </c>
    </row>
    <row r="696" spans="1:48" ht="23.65" thickBot="1" x14ac:dyDescent="0.5">
      <c r="A696" s="36" t="s">
        <v>570</v>
      </c>
      <c r="B696" s="5" t="s">
        <v>571</v>
      </c>
      <c r="C696" s="4" t="s">
        <v>10</v>
      </c>
      <c r="D696" s="4" t="s">
        <v>10</v>
      </c>
      <c r="E696" s="4" t="s">
        <v>10</v>
      </c>
      <c r="F696" s="4" t="s">
        <v>10</v>
      </c>
      <c r="G696" s="4" t="s">
        <v>10</v>
      </c>
      <c r="H696" s="4" t="s">
        <v>10</v>
      </c>
      <c r="I696" s="18" t="s">
        <v>2473</v>
      </c>
      <c r="J696" s="18" t="s">
        <v>2473</v>
      </c>
      <c r="K696" s="18" t="s">
        <v>2473</v>
      </c>
      <c r="AU696" s="8"/>
      <c r="AV696" s="6" t="str">
        <f t="shared" si="12"/>
        <v/>
      </c>
    </row>
    <row r="697" spans="1:48" ht="23.65" thickBot="1" x14ac:dyDescent="0.5">
      <c r="A697" s="36" t="s">
        <v>572</v>
      </c>
      <c r="B697" s="3" t="s">
        <v>573</v>
      </c>
      <c r="C697" s="4" t="s">
        <v>37</v>
      </c>
      <c r="D697" s="4"/>
      <c r="E697" s="4" t="s">
        <v>37</v>
      </c>
      <c r="F697" s="4"/>
      <c r="G697" s="4" t="s">
        <v>37</v>
      </c>
      <c r="H697" s="4"/>
      <c r="I697" s="18" t="s">
        <v>2473</v>
      </c>
      <c r="J697" s="18" t="s">
        <v>2473</v>
      </c>
      <c r="K697" s="18" t="s">
        <v>2473</v>
      </c>
      <c r="AU697" s="6"/>
      <c r="AV697" s="6" t="str">
        <f t="shared" si="12"/>
        <v/>
      </c>
    </row>
    <row r="698" spans="1:48" ht="70.150000000000006" thickBot="1" x14ac:dyDescent="0.5">
      <c r="A698" s="36" t="s">
        <v>574</v>
      </c>
      <c r="B698" s="3" t="s">
        <v>5769</v>
      </c>
      <c r="C698" s="4" t="s">
        <v>10</v>
      </c>
      <c r="D698" s="4"/>
      <c r="E698" s="4" t="s">
        <v>10</v>
      </c>
      <c r="F698" s="4"/>
      <c r="G698" s="4" t="s">
        <v>10</v>
      </c>
      <c r="H698" s="4"/>
      <c r="I698" s="18" t="s">
        <v>2473</v>
      </c>
      <c r="J698" s="18" t="s">
        <v>2473</v>
      </c>
      <c r="K698" s="18" t="s">
        <v>2473</v>
      </c>
      <c r="M698" s="244" t="s">
        <v>5772</v>
      </c>
      <c r="AS698" s="240" t="s">
        <v>5837</v>
      </c>
      <c r="AU698" s="6"/>
      <c r="AV698" s="6" t="str">
        <f t="shared" si="12"/>
        <v/>
      </c>
    </row>
    <row r="699" spans="1:48" ht="47.65" thickBot="1" x14ac:dyDescent="0.5">
      <c r="A699" s="36" t="s">
        <v>555</v>
      </c>
      <c r="B699" s="3" t="s">
        <v>5770</v>
      </c>
      <c r="C699" s="4" t="s">
        <v>13</v>
      </c>
      <c r="D699" s="4"/>
      <c r="E699" s="4" t="s">
        <v>13</v>
      </c>
      <c r="F699" s="4"/>
      <c r="G699" s="4" t="s">
        <v>13</v>
      </c>
      <c r="H699" s="4"/>
      <c r="J699" s="18" t="s">
        <v>2473</v>
      </c>
      <c r="K699" s="18" t="s">
        <v>2473</v>
      </c>
      <c r="M699" s="244" t="s">
        <v>5773</v>
      </c>
      <c r="AS699" s="240" t="s">
        <v>5838</v>
      </c>
      <c r="AU699" s="6"/>
      <c r="AV699" s="6" t="str">
        <f t="shared" si="12"/>
        <v/>
      </c>
    </row>
    <row r="700" spans="1:48" ht="46.9" thickBot="1" x14ac:dyDescent="0.5">
      <c r="A700" s="36" t="s">
        <v>557</v>
      </c>
      <c r="B700" s="3" t="s">
        <v>5771</v>
      </c>
      <c r="C700" s="4" t="s">
        <v>13</v>
      </c>
      <c r="D700" s="4"/>
      <c r="E700" s="4" t="s">
        <v>13</v>
      </c>
      <c r="F700" s="4"/>
      <c r="G700" s="4" t="s">
        <v>13</v>
      </c>
      <c r="H700" s="4"/>
      <c r="I700" s="18" t="s">
        <v>2473</v>
      </c>
      <c r="J700" s="18" t="s">
        <v>2473</v>
      </c>
      <c r="K700" s="18" t="s">
        <v>2473</v>
      </c>
      <c r="AS700" s="240" t="s">
        <v>5774</v>
      </c>
      <c r="AU700" s="6"/>
      <c r="AV700" s="6" t="str">
        <f t="shared" si="12"/>
        <v/>
      </c>
    </row>
    <row r="701" spans="1:48" ht="23.65" thickBot="1" x14ac:dyDescent="0.5">
      <c r="A701" s="36" t="s">
        <v>575</v>
      </c>
      <c r="B701" s="3" t="s">
        <v>576</v>
      </c>
      <c r="C701" s="4" t="s">
        <v>13</v>
      </c>
      <c r="D701" s="4"/>
      <c r="E701" s="4" t="s">
        <v>13</v>
      </c>
      <c r="F701" s="4"/>
      <c r="G701" s="4" t="s">
        <v>13</v>
      </c>
      <c r="H701" s="4"/>
      <c r="I701" s="18" t="s">
        <v>2473</v>
      </c>
      <c r="J701" s="18" t="s">
        <v>2473</v>
      </c>
      <c r="K701" s="18" t="s">
        <v>2473</v>
      </c>
      <c r="AU701" s="6"/>
      <c r="AV701" s="6" t="str">
        <f t="shared" si="12"/>
        <v/>
      </c>
    </row>
    <row r="702" spans="1:48" ht="14.65" thickBot="1" x14ac:dyDescent="0.5">
      <c r="A702" s="36" t="s">
        <v>577</v>
      </c>
      <c r="B702" s="3" t="s">
        <v>578</v>
      </c>
      <c r="C702" s="4" t="s">
        <v>10</v>
      </c>
      <c r="D702" s="4" t="s">
        <v>10</v>
      </c>
      <c r="E702" s="4" t="s">
        <v>10</v>
      </c>
      <c r="F702" s="4" t="s">
        <v>10</v>
      </c>
      <c r="G702" s="4" t="s">
        <v>10</v>
      </c>
      <c r="H702" s="4" t="s">
        <v>10</v>
      </c>
      <c r="I702" s="18" t="s">
        <v>2473</v>
      </c>
      <c r="J702" s="18" t="s">
        <v>2473</v>
      </c>
      <c r="K702" s="18" t="s">
        <v>2473</v>
      </c>
      <c r="AU702" s="6"/>
      <c r="AV702" s="6" t="str">
        <f t="shared" si="12"/>
        <v/>
      </c>
    </row>
    <row r="703" spans="1:48" ht="23.65" thickBot="1" x14ac:dyDescent="0.5">
      <c r="A703" s="36" t="s">
        <v>579</v>
      </c>
      <c r="B703" s="3" t="s">
        <v>580</v>
      </c>
      <c r="C703" s="4"/>
      <c r="D703" s="4"/>
      <c r="E703" s="4"/>
      <c r="F703" s="4"/>
      <c r="G703" s="4"/>
      <c r="H703" s="4"/>
      <c r="I703" s="18" t="s">
        <v>2473</v>
      </c>
      <c r="J703" s="18" t="s">
        <v>2473</v>
      </c>
      <c r="K703" s="18" t="s">
        <v>2473</v>
      </c>
      <c r="AU703" s="6"/>
      <c r="AV703" s="6" t="str">
        <f t="shared" si="12"/>
        <v/>
      </c>
    </row>
    <row r="704" spans="1:48" ht="14.65" thickBot="1" x14ac:dyDescent="0.5">
      <c r="A704" s="35" t="s">
        <v>581</v>
      </c>
      <c r="B704" s="3" t="s">
        <v>582</v>
      </c>
      <c r="C704" s="4"/>
      <c r="D704" s="4"/>
      <c r="E704" s="4"/>
      <c r="F704" s="4"/>
      <c r="G704" s="4"/>
      <c r="H704" s="4"/>
      <c r="I704" s="18" t="s">
        <v>2473</v>
      </c>
      <c r="J704" s="18" t="s">
        <v>2473</v>
      </c>
      <c r="K704" s="18" t="s">
        <v>2473</v>
      </c>
      <c r="AU704" s="6"/>
      <c r="AV704" s="6" t="str">
        <f t="shared" si="12"/>
        <v/>
      </c>
    </row>
    <row r="705" spans="1:48" ht="14.65" thickBot="1" x14ac:dyDescent="0.5">
      <c r="A705" s="35" t="s">
        <v>526</v>
      </c>
      <c r="B705" s="3" t="s">
        <v>583</v>
      </c>
      <c r="C705" s="4"/>
      <c r="D705" s="4"/>
      <c r="E705" s="4"/>
      <c r="F705" s="4"/>
      <c r="G705" s="4"/>
      <c r="H705" s="4"/>
      <c r="I705" s="18" t="s">
        <v>2473</v>
      </c>
      <c r="AU705" s="6"/>
      <c r="AV705" s="6" t="str">
        <f t="shared" si="12"/>
        <v/>
      </c>
    </row>
    <row r="706" spans="1:48" ht="14.65" thickBot="1" x14ac:dyDescent="0.5">
      <c r="A706" s="35" t="s">
        <v>532</v>
      </c>
      <c r="B706" s="3" t="s">
        <v>584</v>
      </c>
      <c r="C706" s="4"/>
      <c r="D706" s="4"/>
      <c r="E706" s="4"/>
      <c r="F706" s="4"/>
      <c r="G706" s="4"/>
      <c r="H706" s="4"/>
      <c r="I706" s="18" t="s">
        <v>2473</v>
      </c>
      <c r="J706" s="18" t="s">
        <v>2473</v>
      </c>
      <c r="K706" s="18" t="s">
        <v>2473</v>
      </c>
      <c r="AU706" s="6"/>
      <c r="AV706" s="6" t="str">
        <f t="shared" si="12"/>
        <v/>
      </c>
    </row>
    <row r="707" spans="1:48" ht="14.65" thickBot="1" x14ac:dyDescent="0.5">
      <c r="A707" s="35" t="s">
        <v>585</v>
      </c>
      <c r="B707" s="3" t="s">
        <v>586</v>
      </c>
      <c r="C707" s="4"/>
      <c r="D707" s="4"/>
      <c r="E707" s="4"/>
      <c r="F707" s="4"/>
      <c r="G707" s="4"/>
      <c r="H707" s="4"/>
      <c r="I707" s="18" t="s">
        <v>2473</v>
      </c>
      <c r="J707" s="18" t="s">
        <v>2473</v>
      </c>
      <c r="K707" s="18" t="s">
        <v>2473</v>
      </c>
      <c r="AU707" s="6"/>
      <c r="AV707" s="6" t="str">
        <f t="shared" si="12"/>
        <v/>
      </c>
    </row>
    <row r="708" spans="1:48" ht="14.65" thickBot="1" x14ac:dyDescent="0.5">
      <c r="A708" s="35" t="s">
        <v>587</v>
      </c>
      <c r="B708" s="3" t="s">
        <v>588</v>
      </c>
      <c r="C708" s="4"/>
      <c r="D708" s="4"/>
      <c r="E708" s="4"/>
      <c r="F708" s="4"/>
      <c r="G708" s="4"/>
      <c r="H708" s="4"/>
      <c r="I708" s="18" t="s">
        <v>2473</v>
      </c>
      <c r="J708" s="18" t="s">
        <v>2473</v>
      </c>
      <c r="K708" s="18" t="s">
        <v>2473</v>
      </c>
      <c r="AU708" s="6"/>
      <c r="AV708" s="6" t="str">
        <f t="shared" si="12"/>
        <v/>
      </c>
    </row>
    <row r="709" spans="1:48" ht="14.65" thickBot="1" x14ac:dyDescent="0.5">
      <c r="A709" s="35" t="s">
        <v>589</v>
      </c>
      <c r="B709" s="3" t="s">
        <v>590</v>
      </c>
      <c r="C709" s="4"/>
      <c r="D709" s="4"/>
      <c r="E709" s="4"/>
      <c r="F709" s="4"/>
      <c r="G709" s="4"/>
      <c r="H709" s="4"/>
      <c r="I709" s="18" t="s">
        <v>2473</v>
      </c>
      <c r="J709" s="18" t="s">
        <v>2473</v>
      </c>
      <c r="K709" s="18" t="s">
        <v>2473</v>
      </c>
      <c r="AU709" s="6"/>
      <c r="AV709" s="6" t="str">
        <f t="shared" si="12"/>
        <v/>
      </c>
    </row>
    <row r="710" spans="1:48" ht="14.65" thickBot="1" x14ac:dyDescent="0.5">
      <c r="A710" s="35" t="s">
        <v>591</v>
      </c>
      <c r="B710" s="3" t="s">
        <v>592</v>
      </c>
      <c r="C710" s="4"/>
      <c r="D710" s="4"/>
      <c r="E710" s="4"/>
      <c r="F710" s="4"/>
      <c r="G710" s="4"/>
      <c r="H710" s="4"/>
      <c r="I710" s="18" t="s">
        <v>2473</v>
      </c>
      <c r="J710" s="18" t="s">
        <v>2473</v>
      </c>
      <c r="K710" s="18" t="s">
        <v>2473</v>
      </c>
      <c r="AU710" s="6"/>
      <c r="AV710" s="6" t="str">
        <f t="shared" si="12"/>
        <v/>
      </c>
    </row>
    <row r="711" spans="1:48" ht="105.75" thickBot="1" x14ac:dyDescent="0.5">
      <c r="A711" s="36" t="s">
        <v>145</v>
      </c>
      <c r="B711" s="3" t="s">
        <v>450</v>
      </c>
      <c r="C711" s="4" t="s">
        <v>10</v>
      </c>
      <c r="D711" s="4"/>
      <c r="E711" s="4" t="s">
        <v>10</v>
      </c>
      <c r="F711" s="4"/>
      <c r="G711" s="4" t="s">
        <v>10</v>
      </c>
      <c r="H711" s="4"/>
      <c r="I711" s="18" t="s">
        <v>2473</v>
      </c>
      <c r="J711" s="18" t="s">
        <v>2473</v>
      </c>
      <c r="K711" s="18" t="s">
        <v>2473</v>
      </c>
      <c r="AS711" s="206" t="s">
        <v>5861</v>
      </c>
      <c r="AU711" s="6"/>
      <c r="AV711" s="6" t="str">
        <f t="shared" si="12"/>
        <v/>
      </c>
    </row>
    <row r="712" spans="1:48" ht="47.65" thickBot="1" x14ac:dyDescent="0.5">
      <c r="A712" s="35" t="s">
        <v>5361</v>
      </c>
      <c r="B712" s="3" t="s">
        <v>5352</v>
      </c>
      <c r="C712" s="4" t="s">
        <v>10</v>
      </c>
      <c r="D712" s="4"/>
      <c r="E712" s="4" t="s">
        <v>10</v>
      </c>
      <c r="F712" s="4"/>
      <c r="G712" s="4" t="s">
        <v>10</v>
      </c>
      <c r="H712" s="4"/>
      <c r="I712" s="18" t="s">
        <v>2473</v>
      </c>
      <c r="J712" s="18" t="s">
        <v>2473</v>
      </c>
      <c r="K712" s="18" t="s">
        <v>2473</v>
      </c>
      <c r="Q712" s="131"/>
      <c r="R712" s="131"/>
      <c r="S712" s="131"/>
      <c r="T712" s="131"/>
      <c r="U712" s="131"/>
      <c r="V712" s="131"/>
      <c r="W712" s="131"/>
      <c r="X712" s="131"/>
      <c r="AS712" s="139" t="s">
        <v>5355</v>
      </c>
      <c r="AU712" s="6"/>
      <c r="AV712" s="6"/>
    </row>
    <row r="713" spans="1:48" ht="82.5" thickBot="1" x14ac:dyDescent="0.5">
      <c r="A713" s="35" t="s">
        <v>5360</v>
      </c>
      <c r="B713" s="3" t="s">
        <v>5353</v>
      </c>
      <c r="C713" s="4"/>
      <c r="D713" s="4"/>
      <c r="E713" s="4"/>
      <c r="F713" s="4"/>
      <c r="G713" s="4"/>
      <c r="H713" s="4"/>
      <c r="I713" s="18" t="s">
        <v>2473</v>
      </c>
      <c r="J713" s="18" t="s">
        <v>2473</v>
      </c>
      <c r="K713" s="18" t="s">
        <v>2473</v>
      </c>
      <c r="Q713" s="131"/>
      <c r="R713" s="131"/>
      <c r="S713" s="131"/>
      <c r="T713" s="131"/>
      <c r="U713" s="131"/>
      <c r="V713" s="131"/>
      <c r="W713" s="131"/>
      <c r="X713" s="131"/>
      <c r="AS713" s="139" t="s">
        <v>5356</v>
      </c>
      <c r="AU713" s="6"/>
      <c r="AV713" s="6"/>
    </row>
    <row r="714" spans="1:48" ht="23.65" thickBot="1" x14ac:dyDescent="0.5">
      <c r="A714" s="36" t="s">
        <v>593</v>
      </c>
      <c r="B714" s="3" t="s">
        <v>594</v>
      </c>
      <c r="C714" s="4" t="s">
        <v>13</v>
      </c>
      <c r="D714" s="4"/>
      <c r="E714" s="4" t="s">
        <v>13</v>
      </c>
      <c r="F714" s="4"/>
      <c r="G714" s="4" t="s">
        <v>13</v>
      </c>
      <c r="H714" s="4"/>
      <c r="I714" s="18" t="s">
        <v>2473</v>
      </c>
      <c r="J714" s="18" t="s">
        <v>2473</v>
      </c>
      <c r="K714" s="18" t="s">
        <v>2473</v>
      </c>
      <c r="AU714" s="6"/>
      <c r="AV714" s="6" t="str">
        <f t="shared" si="12"/>
        <v/>
      </c>
    </row>
    <row r="715" spans="1:48" ht="14.65" thickBot="1" x14ac:dyDescent="0.5">
      <c r="A715" s="36" t="s">
        <v>595</v>
      </c>
      <c r="B715" s="3" t="s">
        <v>3601</v>
      </c>
      <c r="C715" s="4" t="s">
        <v>10</v>
      </c>
      <c r="D715" s="4"/>
      <c r="E715" s="4" t="s">
        <v>10</v>
      </c>
      <c r="F715" s="4"/>
      <c r="G715" s="4" t="s">
        <v>10</v>
      </c>
      <c r="H715" s="4"/>
      <c r="I715" s="18" t="s">
        <v>2473</v>
      </c>
      <c r="J715" s="18" t="s">
        <v>2473</v>
      </c>
      <c r="K715" s="18" t="s">
        <v>2473</v>
      </c>
      <c r="AU715" s="6"/>
      <c r="AV715" s="6" t="str">
        <f t="shared" si="12"/>
        <v/>
      </c>
    </row>
    <row r="716" spans="1:48" ht="14.65" thickBot="1" x14ac:dyDescent="0.5">
      <c r="A716" s="35" t="s">
        <v>33</v>
      </c>
      <c r="B716" s="3" t="s">
        <v>596</v>
      </c>
      <c r="C716" s="4"/>
      <c r="D716" s="4"/>
      <c r="E716" s="4"/>
      <c r="F716" s="4"/>
      <c r="G716" s="4"/>
      <c r="H716" s="4"/>
      <c r="I716" s="18" t="s">
        <v>2473</v>
      </c>
      <c r="J716" s="18" t="s">
        <v>2473</v>
      </c>
      <c r="K716" s="18" t="s">
        <v>2473</v>
      </c>
      <c r="AU716" s="6"/>
      <c r="AV716" s="6" t="str">
        <f t="shared" si="12"/>
        <v/>
      </c>
    </row>
    <row r="717" spans="1:48" x14ac:dyDescent="0.45">
      <c r="A717" s="33" t="s">
        <v>597</v>
      </c>
      <c r="I717" s="18" t="s">
        <v>2473</v>
      </c>
      <c r="J717" s="18" t="s">
        <v>2473</v>
      </c>
      <c r="K717" s="18" t="s">
        <v>2473</v>
      </c>
      <c r="AU717" s="6"/>
      <c r="AV717" s="6" t="str">
        <f t="shared" si="12"/>
        <v/>
      </c>
    </row>
    <row r="718" spans="1:48" x14ac:dyDescent="0.45">
      <c r="A718" s="34" t="s">
        <v>598</v>
      </c>
      <c r="I718" s="18" t="s">
        <v>2473</v>
      </c>
      <c r="J718" s="18" t="s">
        <v>2473</v>
      </c>
      <c r="K718" s="18" t="s">
        <v>2473</v>
      </c>
      <c r="AU718" s="6"/>
      <c r="AV718" s="6" t="str">
        <f t="shared" si="12"/>
        <v/>
      </c>
    </row>
    <row r="719" spans="1:48" s="79" customFormat="1" x14ac:dyDescent="0.45">
      <c r="A719" s="75"/>
      <c r="B719" s="76"/>
      <c r="C719" s="77"/>
      <c r="D719" s="77"/>
      <c r="E719" s="77"/>
      <c r="F719" s="77"/>
      <c r="G719" s="77"/>
      <c r="H719" s="77"/>
      <c r="I719" s="77"/>
      <c r="J719" s="77"/>
      <c r="K719" s="77"/>
      <c r="L719" s="77"/>
      <c r="M719" s="148"/>
      <c r="N719" s="78"/>
      <c r="O719" s="78"/>
      <c r="P719" s="78"/>
      <c r="Q719" s="78"/>
      <c r="R719" s="78"/>
      <c r="S719" s="78"/>
      <c r="T719" s="78"/>
      <c r="U719" s="78"/>
      <c r="V719" s="78"/>
      <c r="W719" s="78"/>
      <c r="X719" s="78"/>
      <c r="Y719" s="148"/>
      <c r="Z719" s="78"/>
      <c r="AA719" s="78"/>
      <c r="AB719" s="78"/>
      <c r="AC719" s="78"/>
      <c r="AD719" s="78"/>
      <c r="AE719" s="156"/>
      <c r="AF719" s="156"/>
      <c r="AG719" s="78"/>
      <c r="AH719" s="78"/>
      <c r="AI719" s="78"/>
      <c r="AJ719" s="78"/>
      <c r="AK719" s="78"/>
      <c r="AL719" s="78"/>
      <c r="AM719" s="78"/>
      <c r="AN719" s="78"/>
      <c r="AO719" s="78"/>
      <c r="AP719" s="78"/>
      <c r="AQ719" s="78"/>
      <c r="AR719" s="286"/>
      <c r="AS719" s="78"/>
      <c r="AT719" s="78"/>
      <c r="AU719" s="8"/>
      <c r="AV719" s="6" t="str">
        <f t="shared" si="12"/>
        <v/>
      </c>
    </row>
    <row r="720" spans="1:48" x14ac:dyDescent="0.45">
      <c r="A720" s="27" t="s">
        <v>2406</v>
      </c>
      <c r="I720" s="18" t="s">
        <v>2473</v>
      </c>
      <c r="J720" s="18" t="s">
        <v>2473</v>
      </c>
      <c r="K720" s="18" t="s">
        <v>2473</v>
      </c>
      <c r="AU720" s="6"/>
      <c r="AV720" s="6" t="str">
        <f t="shared" si="12"/>
        <v/>
      </c>
    </row>
    <row r="721" spans="1:48" x14ac:dyDescent="0.45">
      <c r="A721" s="323" t="s">
        <v>2500</v>
      </c>
      <c r="B721" s="324"/>
      <c r="C721" s="324"/>
      <c r="D721" s="324"/>
      <c r="E721" s="324"/>
      <c r="F721" s="324"/>
      <c r="G721" s="101"/>
      <c r="H721" s="101"/>
      <c r="I721" s="18" t="s">
        <v>2473</v>
      </c>
      <c r="J721" s="18" t="s">
        <v>2473</v>
      </c>
      <c r="K721" s="18" t="s">
        <v>2473</v>
      </c>
      <c r="AU721" s="6"/>
      <c r="AV721" s="6" t="str">
        <f t="shared" si="12"/>
        <v/>
      </c>
    </row>
    <row r="722" spans="1:48" ht="14.65" thickBot="1" x14ac:dyDescent="0.5">
      <c r="A722" s="28" t="s">
        <v>599</v>
      </c>
      <c r="I722" s="18" t="s">
        <v>2473</v>
      </c>
      <c r="J722" s="18" t="s">
        <v>2473</v>
      </c>
      <c r="K722" s="18" t="s">
        <v>2473</v>
      </c>
      <c r="AA722" s="183" t="s">
        <v>2322</v>
      </c>
      <c r="AB722" s="183" t="s">
        <v>1697</v>
      </c>
      <c r="AC722" s="183" t="s">
        <v>5</v>
      </c>
      <c r="AU722" s="6"/>
      <c r="AV722" s="6" t="str">
        <f t="shared" si="12"/>
        <v/>
      </c>
    </row>
    <row r="723" spans="1:48" ht="232.9" thickBot="1" x14ac:dyDescent="0.5">
      <c r="A723" s="309" t="s">
        <v>600</v>
      </c>
      <c r="B723" s="310"/>
      <c r="C723" s="301" t="s">
        <v>1</v>
      </c>
      <c r="D723" s="319"/>
      <c r="E723" s="319"/>
      <c r="F723" s="302"/>
      <c r="G723" s="102"/>
      <c r="H723" s="102"/>
      <c r="I723" s="18" t="s">
        <v>2473</v>
      </c>
      <c r="AA723" s="183" t="str">
        <f>LEFT($A723,FIND(" ",$A723)-1)</f>
        <v>LogEntry</v>
      </c>
      <c r="AB723" s="183" t="str">
        <f>MID($A723,FIND("(",$A723)+1,LEN($A723)-FIND("(",$A723)-1)</f>
        <v>1.4.0</v>
      </c>
      <c r="AC723" s="101" t="str">
        <f>A721</f>
        <v>The LogEntry resource defines the record format for a log. It is designed to be used for SEL logs (from IPMI) as well as event logs and OEM-specific log formats. The EntryType field indicates the type of log and the resource includes several additional properties dependent on the EntryType.</v>
      </c>
      <c r="AU723" s="8"/>
      <c r="AV723" s="6" t="str">
        <f t="shared" si="12"/>
        <v/>
      </c>
    </row>
    <row r="724" spans="1:48" ht="14.65" thickBot="1" x14ac:dyDescent="0.5">
      <c r="A724" s="311"/>
      <c r="B724" s="312"/>
      <c r="C724" s="301" t="s">
        <v>2</v>
      </c>
      <c r="D724" s="302"/>
      <c r="E724" s="301" t="s">
        <v>3</v>
      </c>
      <c r="F724" s="302"/>
      <c r="G724" s="301" t="s">
        <v>2896</v>
      </c>
      <c r="H724" s="302"/>
      <c r="I724" s="18" t="s">
        <v>2473</v>
      </c>
      <c r="AA724" s="183" t="s">
        <v>2322</v>
      </c>
      <c r="AB724" s="183" t="s">
        <v>1697</v>
      </c>
      <c r="AC724" s="183" t="s">
        <v>5</v>
      </c>
      <c r="AU724" s="8"/>
      <c r="AV724" s="6" t="str">
        <f t="shared" si="12"/>
        <v/>
      </c>
    </row>
    <row r="725" spans="1:48" ht="232.9" thickBot="1" x14ac:dyDescent="0.5">
      <c r="A725" s="309" t="s">
        <v>600</v>
      </c>
      <c r="B725" s="310"/>
      <c r="C725" s="301" t="s">
        <v>1</v>
      </c>
      <c r="D725" s="319"/>
      <c r="E725" s="319"/>
      <c r="F725" s="302"/>
      <c r="G725" s="102"/>
      <c r="H725" s="102"/>
      <c r="J725" s="18" t="s">
        <v>2473</v>
      </c>
      <c r="K725" s="18" t="s">
        <v>2473</v>
      </c>
      <c r="AA725" s="183" t="str">
        <f>LEFT($A725,FIND(" ",$A725)-1)</f>
        <v>LogEntry</v>
      </c>
      <c r="AB725" s="183" t="str">
        <f>MID($A725,FIND("(",$A725)+1,LEN($A725)-FIND("(",$A725)-1)</f>
        <v>1.4.0</v>
      </c>
      <c r="AC725" s="101" t="str">
        <f>AC723</f>
        <v>The LogEntry resource defines the record format for a log. It is designed to be used for SEL logs (from IPMI) as well as event logs and OEM-specific log formats. The EntryType field indicates the type of log and the resource includes several additional properties dependent on the EntryType.</v>
      </c>
      <c r="AU725" s="8"/>
      <c r="AV725" s="6" t="str">
        <f t="shared" si="12"/>
        <v/>
      </c>
    </row>
    <row r="726" spans="1:48" ht="14.65" thickBot="1" x14ac:dyDescent="0.5">
      <c r="A726" s="311"/>
      <c r="B726" s="312"/>
      <c r="C726" s="301" t="s">
        <v>2</v>
      </c>
      <c r="D726" s="302"/>
      <c r="E726" s="301" t="s">
        <v>3</v>
      </c>
      <c r="F726" s="302"/>
      <c r="G726" s="301" t="s">
        <v>2896</v>
      </c>
      <c r="H726" s="302"/>
      <c r="J726" s="18" t="s">
        <v>2473</v>
      </c>
      <c r="K726" s="18" t="s">
        <v>2473</v>
      </c>
      <c r="AM726" s="8" t="str">
        <f>C726</f>
        <v>OSM-Redfish</v>
      </c>
      <c r="AN726" s="8" t="str">
        <f>E726</f>
        <v>OSM-RedfishBMC</v>
      </c>
      <c r="AO726" s="8" t="str">
        <f>G726</f>
        <v>OSM-RedfishDCN</v>
      </c>
      <c r="AU726" s="8"/>
      <c r="AV726" s="6" t="str">
        <f t="shared" si="12"/>
        <v/>
      </c>
    </row>
    <row r="727" spans="1:48" ht="14.65" thickBot="1" x14ac:dyDescent="0.5">
      <c r="A727" s="46" t="s">
        <v>2377</v>
      </c>
      <c r="B727" s="47"/>
      <c r="C727" s="303" t="s">
        <v>10</v>
      </c>
      <c r="D727" s="304"/>
      <c r="E727" s="303" t="s">
        <v>10</v>
      </c>
      <c r="F727" s="304"/>
      <c r="G727" s="303" t="s">
        <v>10</v>
      </c>
      <c r="H727" s="304"/>
      <c r="I727" s="18" t="s">
        <v>2473</v>
      </c>
      <c r="J727" s="18" t="s">
        <v>2473</v>
      </c>
      <c r="K727" s="18" t="s">
        <v>2473</v>
      </c>
      <c r="AM727" s="8" t="str">
        <f>IF(C727&lt;&gt;"","CRQ-P5-"&amp;(AM$2+$AP727*$AP$3),"")</f>
        <v>CRQ-P5-1096</v>
      </c>
      <c r="AN727" s="8" t="str">
        <f>IF(E727&lt;&gt;"","CRQ-P5-"&amp;(AN$2+$AP727*$AP$3),"")</f>
        <v>CRQ-P5-1396</v>
      </c>
      <c r="AO727" s="8" t="str">
        <f>IF(G727&lt;&gt;"","CRQ-P5-"&amp;(AO$2+$AP727*$AP$3),"")</f>
        <v>CRQ-P5-1696</v>
      </c>
      <c r="AP727" s="8">
        <v>24</v>
      </c>
      <c r="AU727" s="6"/>
      <c r="AV727" s="6" t="str">
        <f t="shared" si="12"/>
        <v/>
      </c>
    </row>
    <row r="728" spans="1:48" ht="14.65" thickBot="1" x14ac:dyDescent="0.5">
      <c r="A728" s="29" t="s">
        <v>3394</v>
      </c>
      <c r="B728" s="9"/>
      <c r="C728" s="305" t="str">
        <f>MID($A723,FIND("(",$A723)+1,5)</f>
        <v>1.4.0</v>
      </c>
      <c r="D728" s="306"/>
      <c r="E728" s="305" t="s">
        <v>3405</v>
      </c>
      <c r="F728" s="306"/>
      <c r="G728" s="305" t="str">
        <f>MID($A723,FIND("(",$A723)+1,5)</f>
        <v>1.4.0</v>
      </c>
      <c r="H728" s="306"/>
      <c r="I728" s="18" t="s">
        <v>2473</v>
      </c>
      <c r="J728" s="18" t="s">
        <v>2473</v>
      </c>
      <c r="K728" s="18" t="s">
        <v>2473</v>
      </c>
      <c r="AU728" s="6"/>
      <c r="AV728" s="6" t="str">
        <f t="shared" si="12"/>
        <v/>
      </c>
    </row>
    <row r="729" spans="1:48" ht="14.65" thickBot="1" x14ac:dyDescent="0.5">
      <c r="A729" s="30" t="s">
        <v>4</v>
      </c>
      <c r="B729" s="59" t="s">
        <v>5</v>
      </c>
      <c r="C729" s="7" t="s">
        <v>6</v>
      </c>
      <c r="D729" s="7" t="s">
        <v>7</v>
      </c>
      <c r="E729" s="7" t="s">
        <v>6</v>
      </c>
      <c r="F729" s="7" t="s">
        <v>7</v>
      </c>
      <c r="G729" s="7" t="s">
        <v>6</v>
      </c>
      <c r="H729" s="7" t="s">
        <v>7</v>
      </c>
      <c r="I729" s="18" t="s">
        <v>2473</v>
      </c>
      <c r="J729" s="18" t="s">
        <v>2473</v>
      </c>
      <c r="K729" s="18" t="s">
        <v>2473</v>
      </c>
      <c r="AU729" s="8"/>
      <c r="AV729" s="6" t="str">
        <f t="shared" si="12"/>
        <v/>
      </c>
    </row>
    <row r="730" spans="1:48" ht="14.65" thickBot="1" x14ac:dyDescent="0.5">
      <c r="A730" s="36" t="s">
        <v>8</v>
      </c>
      <c r="B730" s="3" t="s">
        <v>9</v>
      </c>
      <c r="C730" s="4"/>
      <c r="D730" s="4"/>
      <c r="E730" s="4"/>
      <c r="F730" s="4"/>
      <c r="G730" s="4"/>
      <c r="H730" s="4"/>
      <c r="I730" s="18" t="s">
        <v>2473</v>
      </c>
      <c r="J730" s="18" t="s">
        <v>2473</v>
      </c>
      <c r="K730" s="18" t="s">
        <v>2473</v>
      </c>
      <c r="AU730" s="8"/>
      <c r="AV730" s="6" t="str">
        <f t="shared" si="12"/>
        <v/>
      </c>
    </row>
    <row r="731" spans="1:48" ht="14.65" thickBot="1" x14ac:dyDescent="0.5">
      <c r="A731" s="36" t="s">
        <v>601</v>
      </c>
      <c r="B731" s="3" t="s">
        <v>602</v>
      </c>
      <c r="C731" s="4" t="s">
        <v>10</v>
      </c>
      <c r="D731" s="4"/>
      <c r="E731" s="4" t="s">
        <v>10</v>
      </c>
      <c r="F731" s="4"/>
      <c r="G731" s="4" t="s">
        <v>10</v>
      </c>
      <c r="H731" s="4"/>
      <c r="I731" s="18" t="s">
        <v>2473</v>
      </c>
      <c r="J731" s="18" t="s">
        <v>2473</v>
      </c>
      <c r="K731" s="18" t="s">
        <v>2473</v>
      </c>
      <c r="AU731" s="8"/>
      <c r="AV731" s="6" t="str">
        <f t="shared" si="12"/>
        <v/>
      </c>
    </row>
    <row r="732" spans="1:48" ht="14.65" thickBot="1" x14ac:dyDescent="0.5">
      <c r="A732" s="36" t="s">
        <v>603</v>
      </c>
      <c r="B732" s="3" t="s">
        <v>604</v>
      </c>
      <c r="C732" s="4" t="s">
        <v>13</v>
      </c>
      <c r="D732" s="4"/>
      <c r="E732" s="4" t="s">
        <v>13</v>
      </c>
      <c r="F732" s="4"/>
      <c r="G732" s="4" t="s">
        <v>13</v>
      </c>
      <c r="H732" s="4"/>
      <c r="I732" s="18" t="s">
        <v>2473</v>
      </c>
      <c r="J732" s="18" t="s">
        <v>2473</v>
      </c>
      <c r="K732" s="18" t="s">
        <v>2473</v>
      </c>
      <c r="AU732" s="6"/>
      <c r="AV732" s="6" t="str">
        <f t="shared" si="12"/>
        <v/>
      </c>
    </row>
    <row r="733" spans="1:48" ht="14.65" thickBot="1" x14ac:dyDescent="0.5">
      <c r="A733" s="36" t="s">
        <v>605</v>
      </c>
      <c r="B733" s="5" t="s">
        <v>606</v>
      </c>
      <c r="C733" s="4" t="s">
        <v>10</v>
      </c>
      <c r="D733" s="4"/>
      <c r="E733" s="4" t="s">
        <v>10</v>
      </c>
      <c r="F733" s="4"/>
      <c r="G733" s="4" t="s">
        <v>10</v>
      </c>
      <c r="H733" s="4"/>
      <c r="I733" s="18" t="s">
        <v>2473</v>
      </c>
      <c r="J733" s="18" t="s">
        <v>2473</v>
      </c>
      <c r="K733" s="18" t="s">
        <v>2473</v>
      </c>
      <c r="AU733" s="6"/>
      <c r="AV733" s="6" t="str">
        <f t="shared" si="12"/>
        <v/>
      </c>
    </row>
    <row r="734" spans="1:48" ht="14.65" thickBot="1" x14ac:dyDescent="0.5">
      <c r="A734" s="36" t="s">
        <v>607</v>
      </c>
      <c r="B734" s="3" t="s">
        <v>523</v>
      </c>
      <c r="C734" s="4" t="s">
        <v>13</v>
      </c>
      <c r="D734" s="4"/>
      <c r="E734" s="4" t="s">
        <v>13</v>
      </c>
      <c r="F734" s="4"/>
      <c r="G734" s="4" t="s">
        <v>13</v>
      </c>
      <c r="H734" s="4"/>
      <c r="I734" s="18" t="s">
        <v>2473</v>
      </c>
      <c r="J734" s="18" t="s">
        <v>2473</v>
      </c>
      <c r="K734" s="18" t="s">
        <v>2473</v>
      </c>
      <c r="AU734" s="6"/>
      <c r="AV734" s="6" t="str">
        <f t="shared" si="12"/>
        <v/>
      </c>
    </row>
    <row r="735" spans="1:48" ht="14.65" thickBot="1" x14ac:dyDescent="0.5">
      <c r="A735" s="36" t="s">
        <v>608</v>
      </c>
      <c r="B735" s="3" t="s">
        <v>609</v>
      </c>
      <c r="C735" s="4" t="s">
        <v>13</v>
      </c>
      <c r="D735" s="4"/>
      <c r="E735" s="4" t="s">
        <v>13</v>
      </c>
      <c r="F735" s="4"/>
      <c r="G735" s="4" t="s">
        <v>13</v>
      </c>
      <c r="H735" s="4"/>
      <c r="I735" s="18" t="s">
        <v>2473</v>
      </c>
      <c r="J735" s="18" t="s">
        <v>2473</v>
      </c>
      <c r="K735" s="18" t="s">
        <v>2473</v>
      </c>
      <c r="AU735" s="6"/>
      <c r="AV735" s="6" t="str">
        <f t="shared" si="12"/>
        <v/>
      </c>
    </row>
    <row r="736" spans="1:48" ht="14.65" thickBot="1" x14ac:dyDescent="0.5">
      <c r="A736" s="36" t="s">
        <v>610</v>
      </c>
      <c r="B736" s="3" t="s">
        <v>611</v>
      </c>
      <c r="C736" s="4" t="s">
        <v>13</v>
      </c>
      <c r="D736" s="4"/>
      <c r="E736" s="4" t="s">
        <v>13</v>
      </c>
      <c r="F736" s="4"/>
      <c r="G736" s="4" t="s">
        <v>13</v>
      </c>
      <c r="H736" s="4"/>
      <c r="I736" s="18" t="s">
        <v>2473</v>
      </c>
      <c r="AU736" s="6"/>
      <c r="AV736" s="6" t="str">
        <f t="shared" si="12"/>
        <v/>
      </c>
    </row>
    <row r="737" spans="1:48" ht="14.65" thickBot="1" x14ac:dyDescent="0.5">
      <c r="A737" s="36" t="s">
        <v>75</v>
      </c>
      <c r="B737" s="3" t="s">
        <v>76</v>
      </c>
      <c r="C737" s="4"/>
      <c r="D737" s="4"/>
      <c r="E737" s="4"/>
      <c r="F737" s="4"/>
      <c r="G737" s="4"/>
      <c r="H737" s="4"/>
      <c r="I737" s="18" t="s">
        <v>2473</v>
      </c>
      <c r="J737" s="18" t="s">
        <v>2473</v>
      </c>
      <c r="K737" s="18" t="s">
        <v>2473</v>
      </c>
      <c r="AU737" s="6"/>
      <c r="AV737" s="6" t="str">
        <f t="shared" si="12"/>
        <v/>
      </c>
    </row>
    <row r="738" spans="1:48" ht="14.65" thickBot="1" x14ac:dyDescent="0.5">
      <c r="A738" s="35" t="s">
        <v>59</v>
      </c>
      <c r="B738" s="3" t="s">
        <v>60</v>
      </c>
      <c r="C738" s="4"/>
      <c r="D738" s="4"/>
      <c r="E738" s="4"/>
      <c r="F738" s="4"/>
      <c r="G738" s="4"/>
      <c r="H738" s="4"/>
      <c r="I738" s="18" t="s">
        <v>2473</v>
      </c>
      <c r="J738" s="18" t="s">
        <v>2473</v>
      </c>
      <c r="K738" s="18" t="s">
        <v>2473</v>
      </c>
      <c r="AU738" s="6"/>
      <c r="AV738" s="6" t="str">
        <f t="shared" si="12"/>
        <v/>
      </c>
    </row>
    <row r="739" spans="1:48" ht="14.65" thickBot="1" x14ac:dyDescent="0.5">
      <c r="A739" s="35" t="s">
        <v>534</v>
      </c>
      <c r="B739" s="3" t="s">
        <v>612</v>
      </c>
      <c r="C739" s="4"/>
      <c r="D739" s="4"/>
      <c r="E739" s="4"/>
      <c r="F739" s="4"/>
      <c r="G739" s="4"/>
      <c r="H739" s="4"/>
      <c r="I739" s="18" t="s">
        <v>2473</v>
      </c>
      <c r="J739" s="18" t="s">
        <v>2473</v>
      </c>
      <c r="K739" s="18" t="s">
        <v>2473</v>
      </c>
      <c r="AU739" s="6"/>
      <c r="AV739" s="6" t="str">
        <f t="shared" si="12"/>
        <v/>
      </c>
    </row>
    <row r="740" spans="1:48" ht="14.65" thickBot="1" x14ac:dyDescent="0.5">
      <c r="A740" s="35" t="s">
        <v>43</v>
      </c>
      <c r="B740" s="3" t="s">
        <v>84</v>
      </c>
      <c r="C740" s="4"/>
      <c r="D740" s="4"/>
      <c r="E740" s="4"/>
      <c r="F740" s="4"/>
      <c r="G740" s="4"/>
      <c r="H740" s="4"/>
      <c r="I740" s="18" t="s">
        <v>2473</v>
      </c>
      <c r="J740" s="18" t="s">
        <v>2473</v>
      </c>
      <c r="K740" s="18" t="s">
        <v>2473</v>
      </c>
      <c r="AU740" s="6"/>
      <c r="AV740" s="6" t="str">
        <f t="shared" si="12"/>
        <v/>
      </c>
    </row>
    <row r="741" spans="1:48" ht="35.25" thickBot="1" x14ac:dyDescent="0.5">
      <c r="A741" s="36" t="s">
        <v>613</v>
      </c>
      <c r="B741" s="3" t="s">
        <v>614</v>
      </c>
      <c r="C741" s="4" t="s">
        <v>37</v>
      </c>
      <c r="D741" s="4"/>
      <c r="E741" s="4" t="s">
        <v>37</v>
      </c>
      <c r="F741" s="4"/>
      <c r="G741" s="4" t="s">
        <v>37</v>
      </c>
      <c r="H741" s="4"/>
      <c r="I741" s="18" t="s">
        <v>2473</v>
      </c>
      <c r="J741" s="18" t="s">
        <v>2473</v>
      </c>
      <c r="K741" s="18" t="s">
        <v>2473</v>
      </c>
      <c r="AU741" s="6"/>
      <c r="AV741" s="6" t="str">
        <f t="shared" ref="AV741:AV806" si="13">IF(A741&lt;&gt;"",IF(T741&lt;&gt;"",IF(LEFT(R741,3)="Has",IF(TRIM(A741)&lt;&gt;T741,"ERROR","OK"),""),""),"")</f>
        <v/>
      </c>
    </row>
    <row r="742" spans="1:48" ht="14.65" thickBot="1" x14ac:dyDescent="0.5">
      <c r="A742" s="36" t="s">
        <v>615</v>
      </c>
      <c r="B742" s="3" t="s">
        <v>616</v>
      </c>
      <c r="C742" s="4"/>
      <c r="D742" s="4"/>
      <c r="E742" s="4"/>
      <c r="F742" s="4"/>
      <c r="G742" s="4"/>
      <c r="H742" s="4"/>
      <c r="I742" s="18" t="s">
        <v>2473</v>
      </c>
      <c r="J742" s="18" t="s">
        <v>2473</v>
      </c>
      <c r="K742" s="18" t="s">
        <v>2473</v>
      </c>
      <c r="AU742" s="6"/>
      <c r="AV742" s="6" t="str">
        <f t="shared" si="13"/>
        <v/>
      </c>
    </row>
    <row r="743" spans="1:48" ht="35.25" thickBot="1" x14ac:dyDescent="0.5">
      <c r="A743" s="36" t="s">
        <v>617</v>
      </c>
      <c r="B743" s="3" t="s">
        <v>618</v>
      </c>
      <c r="C743" s="4" t="s">
        <v>13</v>
      </c>
      <c r="D743" s="4"/>
      <c r="E743" s="4" t="s">
        <v>13</v>
      </c>
      <c r="F743" s="4"/>
      <c r="G743" s="4" t="s">
        <v>13</v>
      </c>
      <c r="H743" s="4"/>
      <c r="I743" s="18" t="s">
        <v>2473</v>
      </c>
      <c r="J743" s="18" t="s">
        <v>2473</v>
      </c>
      <c r="K743" s="18" t="s">
        <v>2473</v>
      </c>
      <c r="AU743" s="6"/>
      <c r="AV743" s="6" t="str">
        <f t="shared" si="13"/>
        <v/>
      </c>
    </row>
    <row r="744" spans="1:48" ht="23.65" thickBot="1" x14ac:dyDescent="0.5">
      <c r="A744" s="36" t="s">
        <v>619</v>
      </c>
      <c r="B744" s="3" t="s">
        <v>620</v>
      </c>
      <c r="C744" s="4"/>
      <c r="D744" s="4"/>
      <c r="E744" s="4"/>
      <c r="F744" s="4"/>
      <c r="G744" s="4"/>
      <c r="H744" s="4"/>
      <c r="I744" s="18" t="s">
        <v>2473</v>
      </c>
      <c r="J744" s="18" t="s">
        <v>2473</v>
      </c>
      <c r="K744" s="18" t="s">
        <v>2473</v>
      </c>
      <c r="AU744" s="6"/>
      <c r="AV744" s="6" t="str">
        <f t="shared" si="13"/>
        <v/>
      </c>
    </row>
    <row r="745" spans="1:48" ht="23.65" thickBot="1" x14ac:dyDescent="0.5">
      <c r="A745" s="36" t="s">
        <v>621</v>
      </c>
      <c r="B745" s="3" t="s">
        <v>622</v>
      </c>
      <c r="C745" s="4"/>
      <c r="D745" s="4"/>
      <c r="E745" s="4"/>
      <c r="F745" s="4"/>
      <c r="G745" s="4"/>
      <c r="H745" s="4"/>
      <c r="I745" s="18" t="s">
        <v>2473</v>
      </c>
      <c r="J745" s="18" t="s">
        <v>2473</v>
      </c>
      <c r="K745" s="18" t="s">
        <v>2473</v>
      </c>
      <c r="AU745" s="6"/>
      <c r="AV745" s="6" t="str">
        <f t="shared" si="13"/>
        <v/>
      </c>
    </row>
    <row r="746" spans="1:48" ht="23.65" thickBot="1" x14ac:dyDescent="0.5">
      <c r="A746" s="36" t="s">
        <v>623</v>
      </c>
      <c r="B746" s="3" t="s">
        <v>624</v>
      </c>
      <c r="C746" s="4"/>
      <c r="D746" s="4"/>
      <c r="E746" s="4"/>
      <c r="F746" s="4"/>
      <c r="G746" s="4"/>
      <c r="H746" s="4"/>
      <c r="I746" s="18" t="s">
        <v>2473</v>
      </c>
      <c r="J746" s="18" t="s">
        <v>2473</v>
      </c>
      <c r="K746" s="18" t="s">
        <v>2473</v>
      </c>
      <c r="AU746" s="8"/>
      <c r="AV746" s="6" t="str">
        <f t="shared" si="13"/>
        <v/>
      </c>
    </row>
    <row r="747" spans="1:48" ht="35.25" thickBot="1" x14ac:dyDescent="0.5">
      <c r="A747" s="36" t="s">
        <v>625</v>
      </c>
      <c r="B747" s="3" t="s">
        <v>626</v>
      </c>
      <c r="C747" s="4"/>
      <c r="D747" s="4"/>
      <c r="E747" s="4"/>
      <c r="F747" s="4"/>
      <c r="G747" s="4"/>
      <c r="H747" s="4"/>
      <c r="I747" s="18" t="s">
        <v>2473</v>
      </c>
      <c r="J747" s="18" t="s">
        <v>2473</v>
      </c>
      <c r="K747" s="18" t="s">
        <v>2473</v>
      </c>
      <c r="AU747" s="8"/>
      <c r="AV747" s="6" t="str">
        <f t="shared" si="13"/>
        <v/>
      </c>
    </row>
    <row r="748" spans="1:48" ht="23.65" thickBot="1" x14ac:dyDescent="0.5">
      <c r="A748" s="36" t="s">
        <v>627</v>
      </c>
      <c r="B748" s="3" t="s">
        <v>628</v>
      </c>
      <c r="C748" s="4"/>
      <c r="D748" s="4"/>
      <c r="E748" s="4"/>
      <c r="F748" s="4"/>
      <c r="G748" s="4"/>
      <c r="H748" s="4"/>
      <c r="I748" s="18" t="s">
        <v>2473</v>
      </c>
      <c r="J748" s="18" t="s">
        <v>2473</v>
      </c>
      <c r="K748" s="18" t="s">
        <v>2473</v>
      </c>
      <c r="AU748" s="8"/>
      <c r="AV748" s="6" t="str">
        <f t="shared" si="13"/>
        <v/>
      </c>
    </row>
    <row r="749" spans="1:48" ht="14.65" thickBot="1" x14ac:dyDescent="0.5">
      <c r="A749" s="36" t="s">
        <v>536</v>
      </c>
      <c r="B749" s="3" t="s">
        <v>629</v>
      </c>
      <c r="C749" s="4" t="s">
        <v>10</v>
      </c>
      <c r="D749" s="4"/>
      <c r="E749" s="4" t="s">
        <v>10</v>
      </c>
      <c r="F749" s="4"/>
      <c r="G749" s="4" t="s">
        <v>10</v>
      </c>
      <c r="H749" s="4"/>
      <c r="I749" s="18" t="s">
        <v>2473</v>
      </c>
      <c r="J749" s="18" t="s">
        <v>2473</v>
      </c>
      <c r="K749" s="18" t="s">
        <v>2473</v>
      </c>
      <c r="AU749" s="8"/>
      <c r="AV749" s="6" t="str">
        <f t="shared" si="13"/>
        <v/>
      </c>
    </row>
    <row r="750" spans="1:48" x14ac:dyDescent="0.45">
      <c r="A750" s="33" t="s">
        <v>630</v>
      </c>
      <c r="I750" s="18" t="s">
        <v>2473</v>
      </c>
      <c r="J750" s="18" t="s">
        <v>2473</v>
      </c>
      <c r="K750" s="18" t="s">
        <v>2473</v>
      </c>
      <c r="AU750" s="8"/>
      <c r="AV750" s="6" t="str">
        <f t="shared" si="13"/>
        <v/>
      </c>
    </row>
    <row r="751" spans="1:48" x14ac:dyDescent="0.45">
      <c r="A751" s="34" t="s">
        <v>631</v>
      </c>
      <c r="I751" s="18" t="s">
        <v>2473</v>
      </c>
      <c r="J751" s="18" t="s">
        <v>2473</v>
      </c>
      <c r="K751" s="18" t="s">
        <v>2473</v>
      </c>
      <c r="AU751" s="6"/>
      <c r="AV751" s="6" t="str">
        <f t="shared" si="13"/>
        <v/>
      </c>
    </row>
    <row r="752" spans="1:48" x14ac:dyDescent="0.45">
      <c r="A752" s="34" t="s">
        <v>632</v>
      </c>
      <c r="I752" s="18" t="s">
        <v>2473</v>
      </c>
      <c r="J752" s="18" t="s">
        <v>2473</v>
      </c>
      <c r="K752" s="18" t="s">
        <v>2473</v>
      </c>
      <c r="AU752" s="6"/>
      <c r="AV752" s="6" t="str">
        <f t="shared" si="13"/>
        <v/>
      </c>
    </row>
    <row r="753" spans="1:48" s="79" customFormat="1" x14ac:dyDescent="0.45">
      <c r="A753" s="75"/>
      <c r="B753" s="76"/>
      <c r="C753" s="77"/>
      <c r="D753" s="77"/>
      <c r="E753" s="77"/>
      <c r="F753" s="77"/>
      <c r="G753" s="77"/>
      <c r="H753" s="77"/>
      <c r="I753" s="77"/>
      <c r="J753" s="77"/>
      <c r="K753" s="77"/>
      <c r="L753" s="77"/>
      <c r="M753" s="148"/>
      <c r="N753" s="78"/>
      <c r="O753" s="78"/>
      <c r="P753" s="78"/>
      <c r="Q753" s="78"/>
      <c r="R753" s="78"/>
      <c r="S753" s="78"/>
      <c r="T753" s="78"/>
      <c r="U753" s="78"/>
      <c r="V753" s="78"/>
      <c r="W753" s="78"/>
      <c r="X753" s="78"/>
      <c r="Y753" s="148"/>
      <c r="Z753" s="78"/>
      <c r="AA753" s="78"/>
      <c r="AB753" s="78"/>
      <c r="AC753" s="78"/>
      <c r="AD753" s="78"/>
      <c r="AE753" s="156"/>
      <c r="AF753" s="156"/>
      <c r="AG753" s="78"/>
      <c r="AH753" s="78"/>
      <c r="AI753" s="78"/>
      <c r="AJ753" s="78"/>
      <c r="AK753" s="78"/>
      <c r="AL753" s="78"/>
      <c r="AM753" s="78"/>
      <c r="AN753" s="78"/>
      <c r="AO753" s="78"/>
      <c r="AP753" s="78"/>
      <c r="AQ753" s="78"/>
      <c r="AR753" s="286"/>
      <c r="AS753" s="78"/>
      <c r="AT753" s="78"/>
      <c r="AU753" s="8"/>
      <c r="AV753" s="6" t="str">
        <f t="shared" si="13"/>
        <v/>
      </c>
    </row>
    <row r="754" spans="1:48" x14ac:dyDescent="0.45">
      <c r="A754" s="27" t="s">
        <v>2407</v>
      </c>
      <c r="I754" s="18" t="s">
        <v>2473</v>
      </c>
      <c r="J754" s="18" t="s">
        <v>2473</v>
      </c>
      <c r="K754" s="18" t="s">
        <v>2473</v>
      </c>
      <c r="AU754" s="6"/>
      <c r="AV754" s="6" t="str">
        <f t="shared" si="13"/>
        <v/>
      </c>
    </row>
    <row r="755" spans="1:48" x14ac:dyDescent="0.45">
      <c r="A755" s="323" t="s">
        <v>2501</v>
      </c>
      <c r="B755" s="324"/>
      <c r="C755" s="324"/>
      <c r="D755" s="324"/>
      <c r="E755" s="324"/>
      <c r="F755" s="324"/>
      <c r="G755" s="101"/>
      <c r="H755" s="101"/>
      <c r="I755" s="18" t="s">
        <v>2473</v>
      </c>
      <c r="J755" s="18" t="s">
        <v>2473</v>
      </c>
      <c r="K755" s="18" t="s">
        <v>2473</v>
      </c>
      <c r="AU755" s="6"/>
      <c r="AV755" s="6" t="str">
        <f t="shared" si="13"/>
        <v/>
      </c>
    </row>
    <row r="756" spans="1:48" ht="14.65" thickBot="1" x14ac:dyDescent="0.5">
      <c r="A756" s="28" t="s">
        <v>633</v>
      </c>
      <c r="I756" s="18" t="s">
        <v>2473</v>
      </c>
      <c r="J756" s="18" t="s">
        <v>2473</v>
      </c>
      <c r="K756" s="18" t="s">
        <v>2473</v>
      </c>
      <c r="AA756" s="183" t="s">
        <v>2322</v>
      </c>
      <c r="AB756" s="183" t="s">
        <v>1697</v>
      </c>
      <c r="AC756" s="183" t="s">
        <v>5</v>
      </c>
      <c r="AU756" s="6"/>
      <c r="AV756" s="6" t="str">
        <f t="shared" si="13"/>
        <v/>
      </c>
    </row>
    <row r="757" spans="1:48" ht="70.150000000000006" thickBot="1" x14ac:dyDescent="0.5">
      <c r="A757" s="309" t="s">
        <v>634</v>
      </c>
      <c r="B757" s="310"/>
      <c r="C757" s="301" t="s">
        <v>1</v>
      </c>
      <c r="D757" s="319"/>
      <c r="E757" s="319"/>
      <c r="F757" s="302"/>
      <c r="G757" s="102"/>
      <c r="H757" s="102"/>
      <c r="I757" s="18" t="s">
        <v>2473</v>
      </c>
      <c r="AA757" s="183" t="str">
        <f>LEFT($A757,FIND(" ",$A757)-1)</f>
        <v>LogService</v>
      </c>
      <c r="AB757" s="183" t="str">
        <f>MID($A757,FIND("(",$A757)+1,LEN($A757)-FIND("(",$A757)-1)</f>
        <v>1.1.1</v>
      </c>
      <c r="AC757" s="101" t="str">
        <f>A755</f>
        <v>This resource represents the log service for the resource or service to which it is associated.</v>
      </c>
      <c r="AU757" s="6"/>
      <c r="AV757" s="6" t="str">
        <f t="shared" si="13"/>
        <v/>
      </c>
    </row>
    <row r="758" spans="1:48" ht="14.65" thickBot="1" x14ac:dyDescent="0.5">
      <c r="A758" s="311"/>
      <c r="B758" s="312"/>
      <c r="C758" s="301" t="s">
        <v>2</v>
      </c>
      <c r="D758" s="302"/>
      <c r="E758" s="301" t="s">
        <v>3</v>
      </c>
      <c r="F758" s="302"/>
      <c r="G758" s="301" t="s">
        <v>2896</v>
      </c>
      <c r="H758" s="302"/>
      <c r="I758" s="18" t="s">
        <v>2473</v>
      </c>
      <c r="AA758" s="183" t="s">
        <v>2322</v>
      </c>
      <c r="AB758" s="183" t="s">
        <v>1697</v>
      </c>
      <c r="AC758" s="183" t="s">
        <v>5</v>
      </c>
      <c r="AU758" s="6"/>
      <c r="AV758" s="6" t="str">
        <f t="shared" si="13"/>
        <v/>
      </c>
    </row>
    <row r="759" spans="1:48" ht="70.150000000000006" thickBot="1" x14ac:dyDescent="0.5">
      <c r="A759" s="309" t="s">
        <v>3221</v>
      </c>
      <c r="B759" s="310"/>
      <c r="C759" s="301" t="s">
        <v>1</v>
      </c>
      <c r="D759" s="319"/>
      <c r="E759" s="319"/>
      <c r="F759" s="302"/>
      <c r="G759" s="102"/>
      <c r="H759" s="102"/>
      <c r="J759" s="18" t="s">
        <v>2473</v>
      </c>
      <c r="K759" s="18" t="s">
        <v>2473</v>
      </c>
      <c r="AA759" s="183" t="str">
        <f>LEFT($A759,FIND(" ",$A759)-1)</f>
        <v>LogService</v>
      </c>
      <c r="AB759" s="183" t="str">
        <f>MID($A759,FIND("(",$A759)+1,LEN($A759)-FIND("(",$A759)-1)</f>
        <v>1.1.2</v>
      </c>
      <c r="AC759" s="101" t="str">
        <f>AC757</f>
        <v>This resource represents the log service for the resource or service to which it is associated.</v>
      </c>
      <c r="AU759" s="6"/>
      <c r="AV759" s="6" t="str">
        <f t="shared" si="13"/>
        <v/>
      </c>
    </row>
    <row r="760" spans="1:48" ht="14.65" thickBot="1" x14ac:dyDescent="0.5">
      <c r="A760" s="311"/>
      <c r="B760" s="312"/>
      <c r="C760" s="301" t="s">
        <v>2</v>
      </c>
      <c r="D760" s="302"/>
      <c r="E760" s="301" t="s">
        <v>3</v>
      </c>
      <c r="F760" s="302"/>
      <c r="G760" s="301" t="s">
        <v>2896</v>
      </c>
      <c r="H760" s="302"/>
      <c r="J760" s="18" t="s">
        <v>2473</v>
      </c>
      <c r="K760" s="18" t="s">
        <v>2473</v>
      </c>
      <c r="AM760" s="8" t="str">
        <f>C760</f>
        <v>OSM-Redfish</v>
      </c>
      <c r="AN760" s="8" t="str">
        <f>E760</f>
        <v>OSM-RedfishBMC</v>
      </c>
      <c r="AO760" s="8" t="str">
        <f>G760</f>
        <v>OSM-RedfishDCN</v>
      </c>
      <c r="AU760" s="6"/>
      <c r="AV760" s="6" t="str">
        <f t="shared" si="13"/>
        <v/>
      </c>
    </row>
    <row r="761" spans="1:48" ht="14.65" thickBot="1" x14ac:dyDescent="0.5">
      <c r="A761" s="46" t="s">
        <v>2377</v>
      </c>
      <c r="B761" s="47"/>
      <c r="C761" s="303" t="s">
        <v>10</v>
      </c>
      <c r="D761" s="304"/>
      <c r="E761" s="303" t="s">
        <v>10</v>
      </c>
      <c r="F761" s="304"/>
      <c r="G761" s="303" t="s">
        <v>10</v>
      </c>
      <c r="H761" s="304"/>
      <c r="I761" s="18" t="s">
        <v>2473</v>
      </c>
      <c r="J761" s="18" t="s">
        <v>2473</v>
      </c>
      <c r="K761" s="18" t="s">
        <v>2473</v>
      </c>
      <c r="AM761" s="8" t="str">
        <f>IF(C761&lt;&gt;"","CRQ-P5-"&amp;(AM$2+$AP761*$AP$3),"")</f>
        <v>CRQ-P5-1100</v>
      </c>
      <c r="AN761" s="8" t="str">
        <f>IF(E761&lt;&gt;"","CRQ-P5-"&amp;(AN$2+$AP761*$AP$3),"")</f>
        <v>CRQ-P5-1400</v>
      </c>
      <c r="AO761" s="8" t="str">
        <f>IF(G761&lt;&gt;"","CRQ-P5-"&amp;(AO$2+$AP761*$AP$3),"")</f>
        <v>CRQ-P5-1700</v>
      </c>
      <c r="AP761" s="8">
        <v>25</v>
      </c>
      <c r="AU761" s="6"/>
      <c r="AV761" s="6" t="str">
        <f t="shared" si="13"/>
        <v/>
      </c>
    </row>
    <row r="762" spans="1:48" ht="14.65" thickBot="1" x14ac:dyDescent="0.5">
      <c r="A762" s="29" t="s">
        <v>3394</v>
      </c>
      <c r="B762" s="9"/>
      <c r="C762" s="305" t="str">
        <f>MID($A757,FIND("(",$A757)+1,5)</f>
        <v>1.1.1</v>
      </c>
      <c r="D762" s="306"/>
      <c r="E762" s="305" t="s">
        <v>3409</v>
      </c>
      <c r="F762" s="306"/>
      <c r="G762" s="305" t="str">
        <f>MID($A757,FIND("(",$A757)+1,5)</f>
        <v>1.1.1</v>
      </c>
      <c r="H762" s="306"/>
      <c r="I762" s="18" t="s">
        <v>2473</v>
      </c>
      <c r="J762" s="18" t="s">
        <v>2473</v>
      </c>
      <c r="K762" s="18" t="s">
        <v>2473</v>
      </c>
      <c r="AU762" s="6"/>
      <c r="AV762" s="6" t="str">
        <f t="shared" si="13"/>
        <v/>
      </c>
    </row>
    <row r="763" spans="1:48" ht="14.65" thickBot="1" x14ac:dyDescent="0.5">
      <c r="A763" s="30" t="s">
        <v>4</v>
      </c>
      <c r="B763" s="59" t="s">
        <v>5</v>
      </c>
      <c r="C763" s="7" t="s">
        <v>6</v>
      </c>
      <c r="D763" s="7" t="s">
        <v>7</v>
      </c>
      <c r="E763" s="7" t="s">
        <v>6</v>
      </c>
      <c r="F763" s="7" t="s">
        <v>7</v>
      </c>
      <c r="G763" s="7" t="s">
        <v>6</v>
      </c>
      <c r="H763" s="7" t="s">
        <v>7</v>
      </c>
      <c r="I763" s="18" t="s">
        <v>2473</v>
      </c>
      <c r="J763" s="18" t="s">
        <v>2473</v>
      </c>
      <c r="K763" s="18" t="s">
        <v>2473</v>
      </c>
      <c r="AU763" s="6"/>
      <c r="AV763" s="6" t="str">
        <f t="shared" si="13"/>
        <v/>
      </c>
    </row>
    <row r="764" spans="1:48" ht="14.65" thickBot="1" x14ac:dyDescent="0.5">
      <c r="A764" s="36" t="s">
        <v>8</v>
      </c>
      <c r="B764" s="3" t="s">
        <v>9</v>
      </c>
      <c r="C764" s="4" t="s">
        <v>13</v>
      </c>
      <c r="D764" s="4"/>
      <c r="E764" s="4" t="s">
        <v>13</v>
      </c>
      <c r="F764" s="4"/>
      <c r="G764" s="4" t="s">
        <v>13</v>
      </c>
      <c r="H764" s="4"/>
      <c r="I764" s="18" t="s">
        <v>2473</v>
      </c>
      <c r="J764" s="18" t="s">
        <v>2473</v>
      </c>
      <c r="K764" s="18" t="s">
        <v>2473</v>
      </c>
      <c r="AU764" s="6"/>
      <c r="AV764" s="6" t="str">
        <f t="shared" si="13"/>
        <v/>
      </c>
    </row>
    <row r="765" spans="1:48" ht="14.65" thickBot="1" x14ac:dyDescent="0.5">
      <c r="A765" s="35" t="s">
        <v>2889</v>
      </c>
      <c r="B765" s="3" t="s">
        <v>635</v>
      </c>
      <c r="C765" s="4" t="s">
        <v>13</v>
      </c>
      <c r="D765" s="4"/>
      <c r="E765" s="4" t="s">
        <v>13</v>
      </c>
      <c r="F765" s="4"/>
      <c r="G765" s="4" t="s">
        <v>13</v>
      </c>
      <c r="H765" s="4"/>
      <c r="I765" s="18" t="s">
        <v>2473</v>
      </c>
      <c r="J765" s="18" t="s">
        <v>2473</v>
      </c>
      <c r="K765" s="18" t="s">
        <v>2473</v>
      </c>
      <c r="AU765" s="6"/>
      <c r="AV765" s="6" t="str">
        <f t="shared" si="13"/>
        <v/>
      </c>
    </row>
    <row r="766" spans="1:48" ht="23.65" thickBot="1" x14ac:dyDescent="0.5">
      <c r="A766" s="36" t="s">
        <v>636</v>
      </c>
      <c r="B766" s="3" t="s">
        <v>637</v>
      </c>
      <c r="C766" s="4"/>
      <c r="D766" s="4"/>
      <c r="E766" s="4"/>
      <c r="F766" s="4"/>
      <c r="G766" s="4"/>
      <c r="H766" s="4"/>
      <c r="I766" s="18" t="s">
        <v>2473</v>
      </c>
      <c r="J766" s="18" t="s">
        <v>2473</v>
      </c>
      <c r="K766" s="18" t="s">
        <v>2473</v>
      </c>
      <c r="AU766" s="6"/>
      <c r="AV766" s="6" t="str">
        <f t="shared" si="13"/>
        <v/>
      </c>
    </row>
    <row r="767" spans="1:48" ht="23.65" thickBot="1" x14ac:dyDescent="0.5">
      <c r="A767" s="36" t="s">
        <v>638</v>
      </c>
      <c r="B767" s="5" t="s">
        <v>639</v>
      </c>
      <c r="C767" s="4"/>
      <c r="D767" s="4"/>
      <c r="E767" s="4"/>
      <c r="F767" s="4"/>
      <c r="G767" s="4"/>
      <c r="H767" s="4"/>
      <c r="I767" s="18" t="s">
        <v>2473</v>
      </c>
      <c r="J767" s="18" t="s">
        <v>2473</v>
      </c>
      <c r="K767" s="18" t="s">
        <v>2473</v>
      </c>
      <c r="AU767" s="6"/>
      <c r="AV767" s="6" t="str">
        <f t="shared" si="13"/>
        <v/>
      </c>
    </row>
    <row r="768" spans="1:48" ht="14.65" thickBot="1" x14ac:dyDescent="0.5">
      <c r="A768" s="36" t="s">
        <v>640</v>
      </c>
      <c r="B768" s="3" t="s">
        <v>641</v>
      </c>
      <c r="C768" s="4" t="s">
        <v>10</v>
      </c>
      <c r="D768" s="4"/>
      <c r="E768" s="4" t="s">
        <v>10</v>
      </c>
      <c r="F768" s="4"/>
      <c r="G768" s="4" t="s">
        <v>10</v>
      </c>
      <c r="H768" s="4"/>
      <c r="I768" s="18" t="s">
        <v>2473</v>
      </c>
      <c r="J768" s="18" t="s">
        <v>2473</v>
      </c>
      <c r="K768" s="18" t="s">
        <v>2473</v>
      </c>
      <c r="AU768" s="6"/>
      <c r="AV768" s="6" t="str">
        <f t="shared" si="13"/>
        <v/>
      </c>
    </row>
    <row r="769" spans="1:48" ht="14.65" thickBot="1" x14ac:dyDescent="0.5">
      <c r="A769" s="35" t="s">
        <v>33</v>
      </c>
      <c r="B769" s="3" t="s">
        <v>642</v>
      </c>
      <c r="C769" s="4"/>
      <c r="D769" s="4"/>
      <c r="E769" s="4"/>
      <c r="F769" s="4"/>
      <c r="G769" s="4"/>
      <c r="H769" s="4"/>
      <c r="I769" s="18" t="s">
        <v>2473</v>
      </c>
      <c r="J769" s="18" t="s">
        <v>2473</v>
      </c>
      <c r="K769" s="18" t="s">
        <v>2473</v>
      </c>
      <c r="AU769" s="6"/>
      <c r="AV769" s="6" t="str">
        <f t="shared" si="13"/>
        <v/>
      </c>
    </row>
    <row r="770" spans="1:48" ht="14.65" thickBot="1" x14ac:dyDescent="0.5">
      <c r="A770" s="36" t="s">
        <v>643</v>
      </c>
      <c r="B770" s="3" t="s">
        <v>644</v>
      </c>
      <c r="C770" s="4"/>
      <c r="D770" s="4"/>
      <c r="E770" s="4"/>
      <c r="F770" s="4"/>
      <c r="G770" s="4"/>
      <c r="H770" s="4"/>
      <c r="I770" s="18" t="s">
        <v>2473</v>
      </c>
      <c r="J770" s="18" t="s">
        <v>2473</v>
      </c>
      <c r="K770" s="18" t="s">
        <v>2473</v>
      </c>
      <c r="AU770" s="6"/>
      <c r="AV770" s="6" t="str">
        <f t="shared" si="13"/>
        <v/>
      </c>
    </row>
    <row r="771" spans="1:48" ht="14.65" thickBot="1" x14ac:dyDescent="0.5">
      <c r="A771" s="36" t="s">
        <v>645</v>
      </c>
      <c r="B771" s="3" t="s">
        <v>646</v>
      </c>
      <c r="C771" s="4" t="s">
        <v>13</v>
      </c>
      <c r="D771" s="4"/>
      <c r="E771" s="4" t="s">
        <v>13</v>
      </c>
      <c r="F771" s="4"/>
      <c r="G771" s="4" t="s">
        <v>13</v>
      </c>
      <c r="H771" s="4"/>
      <c r="I771" s="18" t="s">
        <v>2473</v>
      </c>
      <c r="J771" s="18" t="s">
        <v>2473</v>
      </c>
      <c r="K771" s="18" t="s">
        <v>2473</v>
      </c>
      <c r="AU771" s="6"/>
      <c r="AV771" s="6" t="str">
        <f t="shared" si="13"/>
        <v/>
      </c>
    </row>
    <row r="772" spans="1:48" ht="14.65" thickBot="1" x14ac:dyDescent="0.5">
      <c r="A772" s="36" t="s">
        <v>647</v>
      </c>
      <c r="B772" s="3" t="s">
        <v>648</v>
      </c>
      <c r="C772" s="4" t="s">
        <v>13</v>
      </c>
      <c r="D772" s="4"/>
      <c r="E772" s="4" t="s">
        <v>13</v>
      </c>
      <c r="F772" s="4"/>
      <c r="G772" s="4" t="s">
        <v>13</v>
      </c>
      <c r="H772" s="4"/>
      <c r="I772" s="18" t="s">
        <v>2473</v>
      </c>
      <c r="J772" s="18" t="s">
        <v>2473</v>
      </c>
      <c r="K772" s="18" t="s">
        <v>2473</v>
      </c>
      <c r="AU772" s="6"/>
      <c r="AV772" s="6" t="str">
        <f t="shared" si="13"/>
        <v/>
      </c>
    </row>
    <row r="773" spans="1:48" ht="14.65" thickBot="1" x14ac:dyDescent="0.5">
      <c r="A773" s="36" t="s">
        <v>577</v>
      </c>
      <c r="B773" s="3" t="s">
        <v>578</v>
      </c>
      <c r="C773" s="4"/>
      <c r="D773" s="4"/>
      <c r="E773" s="4"/>
      <c r="F773" s="4"/>
      <c r="G773" s="4"/>
      <c r="H773" s="4"/>
      <c r="I773" s="18" t="s">
        <v>2473</v>
      </c>
      <c r="J773" s="18" t="s">
        <v>2473</v>
      </c>
      <c r="K773" s="18" t="s">
        <v>2473</v>
      </c>
      <c r="AU773" s="6"/>
      <c r="AV773" s="6" t="str">
        <f t="shared" si="13"/>
        <v/>
      </c>
    </row>
    <row r="774" spans="1:48" ht="47.65" thickBot="1" x14ac:dyDescent="0.5">
      <c r="A774" s="36" t="s">
        <v>145</v>
      </c>
      <c r="B774" s="3" t="s">
        <v>3968</v>
      </c>
      <c r="C774" s="4"/>
      <c r="D774" s="4"/>
      <c r="E774" s="4"/>
      <c r="F774" s="4"/>
      <c r="G774" s="4"/>
      <c r="H774" s="4"/>
      <c r="I774" s="18" t="s">
        <v>2473</v>
      </c>
      <c r="J774" s="18" t="s">
        <v>2473</v>
      </c>
      <c r="K774" s="18" t="s">
        <v>2473</v>
      </c>
      <c r="AS774" s="139" t="s">
        <v>5370</v>
      </c>
      <c r="AU774" s="6"/>
      <c r="AV774" s="6" t="str">
        <f t="shared" si="13"/>
        <v/>
      </c>
    </row>
    <row r="775" spans="1:48" ht="47.65" thickBot="1" x14ac:dyDescent="0.5">
      <c r="A775" s="35" t="s">
        <v>5361</v>
      </c>
      <c r="B775" s="3" t="s">
        <v>5352</v>
      </c>
      <c r="C775" s="4"/>
      <c r="D775" s="4"/>
      <c r="E775" s="4"/>
      <c r="F775" s="4"/>
      <c r="G775" s="4"/>
      <c r="H775" s="4"/>
      <c r="I775" s="18" t="s">
        <v>2473</v>
      </c>
      <c r="J775" s="18" t="s">
        <v>2473</v>
      </c>
      <c r="K775" s="18" t="s">
        <v>2473</v>
      </c>
      <c r="Q775" s="131"/>
      <c r="R775" s="131"/>
      <c r="S775" s="131"/>
      <c r="T775" s="131"/>
      <c r="U775" s="131"/>
      <c r="V775" s="131"/>
      <c r="W775" s="131"/>
      <c r="X775" s="131"/>
      <c r="AS775" s="139" t="s">
        <v>5370</v>
      </c>
      <c r="AU775" s="6"/>
      <c r="AV775" s="6"/>
    </row>
    <row r="776" spans="1:48" ht="47.65" thickBot="1" x14ac:dyDescent="0.5">
      <c r="A776" s="35" t="s">
        <v>5360</v>
      </c>
      <c r="B776" s="3" t="s">
        <v>5353</v>
      </c>
      <c r="C776" s="4"/>
      <c r="D776" s="4"/>
      <c r="E776" s="4"/>
      <c r="F776" s="4"/>
      <c r="G776" s="4"/>
      <c r="H776" s="4"/>
      <c r="I776" s="18" t="s">
        <v>2473</v>
      </c>
      <c r="J776" s="18" t="s">
        <v>2473</v>
      </c>
      <c r="K776" s="18" t="s">
        <v>2473</v>
      </c>
      <c r="Q776" s="131"/>
      <c r="R776" s="131"/>
      <c r="S776" s="131"/>
      <c r="T776" s="131"/>
      <c r="U776" s="131"/>
      <c r="V776" s="131"/>
      <c r="W776" s="131"/>
      <c r="X776" s="131"/>
      <c r="AS776" s="139" t="s">
        <v>5370</v>
      </c>
      <c r="AU776" s="6"/>
      <c r="AV776" s="6"/>
    </row>
    <row r="777" spans="1:48" x14ac:dyDescent="0.45">
      <c r="A777" s="33" t="s">
        <v>649</v>
      </c>
      <c r="I777" s="18" t="s">
        <v>2473</v>
      </c>
      <c r="J777" s="18" t="s">
        <v>2473</v>
      </c>
      <c r="K777" s="18" t="s">
        <v>2473</v>
      </c>
      <c r="AU777" s="6"/>
      <c r="AV777" s="6" t="str">
        <f t="shared" si="13"/>
        <v/>
      </c>
    </row>
    <row r="778" spans="1:48" x14ac:dyDescent="0.45">
      <c r="A778" s="34" t="s">
        <v>650</v>
      </c>
      <c r="I778" s="18" t="s">
        <v>2473</v>
      </c>
      <c r="J778" s="18" t="s">
        <v>2473</v>
      </c>
      <c r="K778" s="18" t="s">
        <v>2473</v>
      </c>
      <c r="AU778" s="6"/>
      <c r="AV778" s="6" t="str">
        <f t="shared" si="13"/>
        <v/>
      </c>
    </row>
    <row r="779" spans="1:48" x14ac:dyDescent="0.45">
      <c r="A779" s="34" t="s">
        <v>651</v>
      </c>
      <c r="I779" s="18" t="s">
        <v>2473</v>
      </c>
      <c r="J779" s="18" t="s">
        <v>2473</v>
      </c>
      <c r="K779" s="18" t="s">
        <v>2473</v>
      </c>
      <c r="AU779" s="6"/>
      <c r="AV779" s="6" t="str">
        <f t="shared" si="13"/>
        <v/>
      </c>
    </row>
    <row r="780" spans="1:48" s="79" customFormat="1" x14ac:dyDescent="0.45">
      <c r="A780" s="75"/>
      <c r="B780" s="76"/>
      <c r="C780" s="77"/>
      <c r="D780" s="77"/>
      <c r="E780" s="77"/>
      <c r="F780" s="77"/>
      <c r="G780" s="77"/>
      <c r="H780" s="77"/>
      <c r="I780" s="77"/>
      <c r="J780" s="77"/>
      <c r="K780" s="77"/>
      <c r="L780" s="77"/>
      <c r="M780" s="148"/>
      <c r="N780" s="78"/>
      <c r="O780" s="78"/>
      <c r="P780" s="78"/>
      <c r="Q780" s="78"/>
      <c r="R780" s="78"/>
      <c r="S780" s="78"/>
      <c r="T780" s="78"/>
      <c r="U780" s="78"/>
      <c r="V780" s="78"/>
      <c r="W780" s="78"/>
      <c r="X780" s="78"/>
      <c r="Y780" s="148"/>
      <c r="Z780" s="78"/>
      <c r="AA780" s="78"/>
      <c r="AB780" s="78"/>
      <c r="AC780" s="78"/>
      <c r="AD780" s="78"/>
      <c r="AE780" s="156"/>
      <c r="AF780" s="156"/>
      <c r="AG780" s="78"/>
      <c r="AH780" s="78"/>
      <c r="AI780" s="78"/>
      <c r="AJ780" s="78"/>
      <c r="AK780" s="78"/>
      <c r="AL780" s="78"/>
      <c r="AM780" s="78"/>
      <c r="AN780" s="78"/>
      <c r="AO780" s="78"/>
      <c r="AP780" s="78"/>
      <c r="AQ780" s="78"/>
      <c r="AR780" s="286"/>
      <c r="AS780" s="78"/>
      <c r="AT780" s="78"/>
      <c r="AU780" s="8"/>
      <c r="AV780" s="6" t="str">
        <f t="shared" si="13"/>
        <v/>
      </c>
    </row>
    <row r="781" spans="1:48" x14ac:dyDescent="0.45">
      <c r="A781" s="27" t="s">
        <v>2408</v>
      </c>
      <c r="I781" s="18" t="s">
        <v>2473</v>
      </c>
      <c r="J781" s="18" t="s">
        <v>2473</v>
      </c>
      <c r="K781" s="18" t="s">
        <v>2473</v>
      </c>
      <c r="AU781" s="6"/>
      <c r="AV781" s="6" t="str">
        <f t="shared" si="13"/>
        <v/>
      </c>
    </row>
    <row r="782" spans="1:48" x14ac:dyDescent="0.45">
      <c r="A782" s="323" t="s">
        <v>2502</v>
      </c>
      <c r="B782" s="324"/>
      <c r="C782" s="324"/>
      <c r="D782" s="324"/>
      <c r="E782" s="324"/>
      <c r="F782" s="324"/>
      <c r="G782" s="101"/>
      <c r="H782" s="101"/>
      <c r="I782" s="18" t="s">
        <v>2473</v>
      </c>
      <c r="J782" s="18" t="s">
        <v>2473</v>
      </c>
      <c r="K782" s="18" t="s">
        <v>2473</v>
      </c>
      <c r="AU782" s="6"/>
      <c r="AV782" s="6" t="str">
        <f t="shared" si="13"/>
        <v/>
      </c>
    </row>
    <row r="783" spans="1:48" ht="14.65" thickBot="1" x14ac:dyDescent="0.5">
      <c r="A783" s="28" t="s">
        <v>652</v>
      </c>
      <c r="I783" s="18" t="s">
        <v>2473</v>
      </c>
      <c r="J783" s="18" t="s">
        <v>2473</v>
      </c>
      <c r="K783" s="18" t="s">
        <v>2473</v>
      </c>
      <c r="AA783" s="183" t="s">
        <v>2322</v>
      </c>
      <c r="AB783" s="183" t="s">
        <v>1697</v>
      </c>
      <c r="AC783" s="183" t="s">
        <v>5</v>
      </c>
      <c r="AU783" s="6"/>
      <c r="AV783" s="6" t="str">
        <f t="shared" si="13"/>
        <v/>
      </c>
    </row>
    <row r="784" spans="1:48" ht="81.75" thickBot="1" x14ac:dyDescent="0.5">
      <c r="A784" s="309" t="s">
        <v>653</v>
      </c>
      <c r="B784" s="310"/>
      <c r="C784" s="301" t="s">
        <v>1</v>
      </c>
      <c r="D784" s="319"/>
      <c r="E784" s="319"/>
      <c r="F784" s="302"/>
      <c r="G784" s="102"/>
      <c r="H784" s="102"/>
      <c r="I784" s="18" t="s">
        <v>2473</v>
      </c>
      <c r="AA784" s="183" t="str">
        <f>LEFT($A784,FIND(" ",$A784)-1)</f>
        <v>MetricDefinition</v>
      </c>
      <c r="AB784" s="183" t="str">
        <f>MID($A784,FIND("(",$A784)+1,LEN($A784)-FIND("(",$A784)-1)</f>
        <v>1.0.0</v>
      </c>
      <c r="AC784" s="101" t="str">
        <f>A782</f>
        <v>The MetricDefinition resource contains metadata information about a metric.</v>
      </c>
      <c r="AU784" s="6"/>
      <c r="AV784" s="6" t="str">
        <f t="shared" si="13"/>
        <v/>
      </c>
    </row>
    <row r="785" spans="1:48" ht="14.65" thickBot="1" x14ac:dyDescent="0.5">
      <c r="A785" s="311"/>
      <c r="B785" s="312"/>
      <c r="C785" s="301" t="s">
        <v>2</v>
      </c>
      <c r="D785" s="302"/>
      <c r="E785" s="301" t="s">
        <v>3</v>
      </c>
      <c r="F785" s="302"/>
      <c r="G785" s="301" t="s">
        <v>2896</v>
      </c>
      <c r="H785" s="302"/>
      <c r="I785" s="18" t="s">
        <v>2473</v>
      </c>
      <c r="AA785" s="183" t="s">
        <v>2322</v>
      </c>
      <c r="AB785" s="183" t="s">
        <v>1697</v>
      </c>
      <c r="AC785" s="183" t="s">
        <v>5</v>
      </c>
      <c r="AU785" s="6"/>
      <c r="AV785" s="6" t="str">
        <f t="shared" si="13"/>
        <v/>
      </c>
    </row>
    <row r="786" spans="1:48" ht="81.75" thickBot="1" x14ac:dyDescent="0.5">
      <c r="A786" s="309" t="s">
        <v>3229</v>
      </c>
      <c r="B786" s="310"/>
      <c r="C786" s="301" t="s">
        <v>1</v>
      </c>
      <c r="D786" s="319"/>
      <c r="E786" s="319"/>
      <c r="F786" s="302"/>
      <c r="G786" s="102"/>
      <c r="H786" s="102"/>
      <c r="J786" s="18" t="s">
        <v>2473</v>
      </c>
      <c r="K786" s="18" t="s">
        <v>2473</v>
      </c>
      <c r="AA786" s="183" t="str">
        <f>LEFT($A786,FIND(" ",$A786)-1)</f>
        <v>MetricDefinition</v>
      </c>
      <c r="AB786" s="183" t="str">
        <f>MID($A786,FIND("(",$A786)+1,LEN($A786)-FIND("(",$A786)-1)</f>
        <v>1.0.2</v>
      </c>
      <c r="AC786" s="101" t="str">
        <f>AC784</f>
        <v>The MetricDefinition resource contains metadata information about a metric.</v>
      </c>
      <c r="AU786" s="6"/>
      <c r="AV786" s="6" t="str">
        <f t="shared" si="13"/>
        <v/>
      </c>
    </row>
    <row r="787" spans="1:48" ht="14.65" thickBot="1" x14ac:dyDescent="0.5">
      <c r="A787" s="311"/>
      <c r="B787" s="312"/>
      <c r="C787" s="301" t="s">
        <v>2</v>
      </c>
      <c r="D787" s="302"/>
      <c r="E787" s="301" t="s">
        <v>3</v>
      </c>
      <c r="F787" s="302"/>
      <c r="G787" s="301" t="s">
        <v>2896</v>
      </c>
      <c r="H787" s="302"/>
      <c r="J787" s="18" t="s">
        <v>2473</v>
      </c>
      <c r="K787" s="18" t="s">
        <v>2473</v>
      </c>
      <c r="AM787" s="8" t="str">
        <f>C787</f>
        <v>OSM-Redfish</v>
      </c>
      <c r="AN787" s="8" t="str">
        <f>E787</f>
        <v>OSM-RedfishBMC</v>
      </c>
      <c r="AO787" s="8" t="str">
        <f>G787</f>
        <v>OSM-RedfishDCN</v>
      </c>
      <c r="AU787" s="6"/>
      <c r="AV787" s="6" t="str">
        <f t="shared" si="13"/>
        <v/>
      </c>
    </row>
    <row r="788" spans="1:48" ht="36" thickBot="1" x14ac:dyDescent="0.5">
      <c r="A788" s="46" t="s">
        <v>2377</v>
      </c>
      <c r="B788" s="47"/>
      <c r="C788" s="303" t="s">
        <v>13</v>
      </c>
      <c r="D788" s="304"/>
      <c r="E788" s="303" t="s">
        <v>13</v>
      </c>
      <c r="F788" s="304"/>
      <c r="G788" s="303" t="s">
        <v>13</v>
      </c>
      <c r="H788" s="304"/>
      <c r="I788" s="18" t="s">
        <v>2473</v>
      </c>
      <c r="J788" s="18" t="s">
        <v>2473</v>
      </c>
      <c r="K788" s="18" t="s">
        <v>2473</v>
      </c>
      <c r="AM788" s="8" t="str">
        <f>IF(C788&lt;&gt;"","CRQ-P5-"&amp;(AM$2+$AP788*$AP$3),"")</f>
        <v>CRQ-P5-1132</v>
      </c>
      <c r="AN788" s="8" t="str">
        <f>IF(E788&lt;&gt;"","CRQ-P5-"&amp;(AN$2+$AP788*$AP$3),"")</f>
        <v>CRQ-P5-1432</v>
      </c>
      <c r="AO788" s="8" t="str">
        <f>IF(G788&lt;&gt;"","CRQ-P5-"&amp;(AO$2+$AP788*$AP$3),"")</f>
        <v>CRQ-P5-1732</v>
      </c>
      <c r="AP788" s="8">
        <v>33</v>
      </c>
      <c r="AT788" s="233" t="s">
        <v>5313</v>
      </c>
      <c r="AU788" s="6"/>
      <c r="AV788" s="6" t="str">
        <f t="shared" si="13"/>
        <v/>
      </c>
    </row>
    <row r="789" spans="1:48" ht="14.65" thickBot="1" x14ac:dyDescent="0.5">
      <c r="A789" s="29" t="s">
        <v>3394</v>
      </c>
      <c r="B789" s="9"/>
      <c r="C789" s="305" t="str">
        <f>MID($A784,FIND("(",$A784)+1,5)</f>
        <v>1.0.0</v>
      </c>
      <c r="D789" s="306"/>
      <c r="E789" s="305" t="str">
        <f>MID($A784,FIND("(",$A784)+1,5)</f>
        <v>1.0.0</v>
      </c>
      <c r="F789" s="306"/>
      <c r="G789" s="305" t="str">
        <f>MID($A784,FIND("(",$A784)+1,5)</f>
        <v>1.0.0</v>
      </c>
      <c r="H789" s="306"/>
      <c r="I789" s="18" t="s">
        <v>2473</v>
      </c>
      <c r="J789" s="18" t="s">
        <v>2473</v>
      </c>
      <c r="K789" s="18" t="s">
        <v>2473</v>
      </c>
      <c r="AU789" s="6"/>
      <c r="AV789" s="6" t="str">
        <f t="shared" si="13"/>
        <v/>
      </c>
    </row>
    <row r="790" spans="1:48" ht="14.65" thickBot="1" x14ac:dyDescent="0.5">
      <c r="A790" s="30" t="s">
        <v>4</v>
      </c>
      <c r="B790" s="59" t="s">
        <v>5</v>
      </c>
      <c r="C790" s="7" t="s">
        <v>6</v>
      </c>
      <c r="D790" s="7" t="s">
        <v>7</v>
      </c>
      <c r="E790" s="7" t="s">
        <v>6</v>
      </c>
      <c r="F790" s="7" t="s">
        <v>7</v>
      </c>
      <c r="G790" s="7" t="s">
        <v>6</v>
      </c>
      <c r="H790" s="7" t="s">
        <v>7</v>
      </c>
      <c r="I790" s="18" t="s">
        <v>2473</v>
      </c>
      <c r="J790" s="18" t="s">
        <v>2473</v>
      </c>
      <c r="K790" s="18" t="s">
        <v>2473</v>
      </c>
      <c r="AU790" s="6"/>
      <c r="AV790" s="6" t="str">
        <f t="shared" si="13"/>
        <v/>
      </c>
    </row>
    <row r="791" spans="1:48" ht="14.65" thickBot="1" x14ac:dyDescent="0.5">
      <c r="A791" s="36" t="s">
        <v>654</v>
      </c>
      <c r="B791" s="3" t="s">
        <v>655</v>
      </c>
      <c r="C791" s="4"/>
      <c r="D791" s="4"/>
      <c r="E791" s="4"/>
      <c r="F791" s="4"/>
      <c r="G791" s="4"/>
      <c r="H791" s="4"/>
      <c r="I791" s="18" t="s">
        <v>2473</v>
      </c>
      <c r="J791" s="18" t="s">
        <v>2473</v>
      </c>
      <c r="K791" s="18" t="s">
        <v>2473</v>
      </c>
      <c r="AU791" s="8"/>
      <c r="AV791" s="6" t="str">
        <f t="shared" si="13"/>
        <v/>
      </c>
    </row>
    <row r="792" spans="1:48" ht="14.65" thickBot="1" x14ac:dyDescent="0.5">
      <c r="A792" s="36" t="s">
        <v>8</v>
      </c>
      <c r="B792" s="3" t="s">
        <v>9</v>
      </c>
      <c r="C792" s="4"/>
      <c r="D792" s="4"/>
      <c r="E792" s="4"/>
      <c r="F792" s="4"/>
      <c r="G792" s="4"/>
      <c r="H792" s="4"/>
      <c r="I792" s="18" t="s">
        <v>2473</v>
      </c>
      <c r="J792" s="18" t="s">
        <v>2473</v>
      </c>
      <c r="K792" s="18" t="s">
        <v>2473</v>
      </c>
      <c r="AU792" s="8"/>
      <c r="AV792" s="6" t="str">
        <f t="shared" si="13"/>
        <v/>
      </c>
    </row>
    <row r="793" spans="1:48" ht="14.65" thickBot="1" x14ac:dyDescent="0.5">
      <c r="A793" s="36" t="s">
        <v>656</v>
      </c>
      <c r="B793" s="3" t="s">
        <v>657</v>
      </c>
      <c r="C793" s="4" t="s">
        <v>13</v>
      </c>
      <c r="D793" s="4" t="s">
        <v>13</v>
      </c>
      <c r="E793" s="4" t="s">
        <v>13</v>
      </c>
      <c r="F793" s="4" t="s">
        <v>13</v>
      </c>
      <c r="G793" s="4" t="s">
        <v>13</v>
      </c>
      <c r="H793" s="4" t="s">
        <v>13</v>
      </c>
      <c r="I793" s="18" t="s">
        <v>2473</v>
      </c>
      <c r="J793" s="18" t="s">
        <v>2473</v>
      </c>
      <c r="K793" s="18" t="s">
        <v>2473</v>
      </c>
      <c r="AU793" s="8"/>
      <c r="AV793" s="6" t="str">
        <f t="shared" si="13"/>
        <v/>
      </c>
    </row>
    <row r="794" spans="1:48" ht="23.65" thickBot="1" x14ac:dyDescent="0.5">
      <c r="A794" s="36" t="s">
        <v>658</v>
      </c>
      <c r="B794" s="3" t="s">
        <v>659</v>
      </c>
      <c r="C794" s="4" t="s">
        <v>13</v>
      </c>
      <c r="D794" s="4"/>
      <c r="E794" s="4" t="s">
        <v>13</v>
      </c>
      <c r="F794" s="4"/>
      <c r="G794" s="4" t="s">
        <v>13</v>
      </c>
      <c r="H794" s="4"/>
      <c r="I794" s="18" t="s">
        <v>2473</v>
      </c>
      <c r="J794" s="18" t="s">
        <v>2473</v>
      </c>
      <c r="K794" s="18" t="s">
        <v>2473</v>
      </c>
      <c r="AU794" s="8"/>
      <c r="AV794" s="6" t="str">
        <f t="shared" si="13"/>
        <v/>
      </c>
    </row>
    <row r="795" spans="1:48" ht="35.25" thickBot="1" x14ac:dyDescent="0.5">
      <c r="A795" s="36" t="s">
        <v>660</v>
      </c>
      <c r="B795" s="3" t="s">
        <v>661</v>
      </c>
      <c r="C795" s="4" t="s">
        <v>37</v>
      </c>
      <c r="D795" s="4"/>
      <c r="E795" s="4" t="s">
        <v>37</v>
      </c>
      <c r="F795" s="4"/>
      <c r="G795" s="4" t="s">
        <v>37</v>
      </c>
      <c r="H795" s="4"/>
      <c r="I795" s="18" t="s">
        <v>2473</v>
      </c>
      <c r="J795" s="18" t="s">
        <v>2473</v>
      </c>
      <c r="K795" s="18" t="s">
        <v>2473</v>
      </c>
      <c r="AU795" s="6"/>
      <c r="AV795" s="6" t="str">
        <f t="shared" si="13"/>
        <v/>
      </c>
    </row>
    <row r="796" spans="1:48" ht="14.65" thickBot="1" x14ac:dyDescent="0.5">
      <c r="A796" s="35" t="s">
        <v>662</v>
      </c>
      <c r="B796" s="3" t="s">
        <v>663</v>
      </c>
      <c r="C796" s="4" t="s">
        <v>10</v>
      </c>
      <c r="D796" s="4"/>
      <c r="E796" s="4" t="s">
        <v>10</v>
      </c>
      <c r="F796" s="4"/>
      <c r="G796" s="4" t="s">
        <v>10</v>
      </c>
      <c r="H796" s="4"/>
      <c r="I796" s="18" t="s">
        <v>2473</v>
      </c>
      <c r="J796" s="18" t="s">
        <v>2473</v>
      </c>
      <c r="K796" s="18" t="s">
        <v>2473</v>
      </c>
      <c r="AU796" s="6"/>
      <c r="AV796" s="6" t="str">
        <f t="shared" si="13"/>
        <v/>
      </c>
    </row>
    <row r="797" spans="1:48" ht="14.65" thickBot="1" x14ac:dyDescent="0.5">
      <c r="A797" s="35" t="s">
        <v>664</v>
      </c>
      <c r="B797" s="3" t="s">
        <v>665</v>
      </c>
      <c r="C797" s="4" t="s">
        <v>10</v>
      </c>
      <c r="D797" s="4"/>
      <c r="E797" s="4" t="s">
        <v>10</v>
      </c>
      <c r="F797" s="4"/>
      <c r="G797" s="4" t="s">
        <v>10</v>
      </c>
      <c r="H797" s="4"/>
      <c r="I797" s="18" t="s">
        <v>2473</v>
      </c>
      <c r="J797" s="18" t="s">
        <v>2473</v>
      </c>
      <c r="K797" s="18" t="s">
        <v>2473</v>
      </c>
      <c r="AU797" s="6"/>
      <c r="AV797" s="6" t="str">
        <f t="shared" si="13"/>
        <v/>
      </c>
    </row>
    <row r="798" spans="1:48" ht="23.65" thickBot="1" x14ac:dyDescent="0.5">
      <c r="A798" s="36" t="s">
        <v>666</v>
      </c>
      <c r="B798" s="3" t="s">
        <v>667</v>
      </c>
      <c r="C798" s="4" t="s">
        <v>13</v>
      </c>
      <c r="D798" s="4" t="s">
        <v>13</v>
      </c>
      <c r="E798" s="4" t="s">
        <v>13</v>
      </c>
      <c r="F798" s="4" t="s">
        <v>13</v>
      </c>
      <c r="G798" s="4" t="s">
        <v>13</v>
      </c>
      <c r="H798" s="4" t="s">
        <v>13</v>
      </c>
      <c r="I798" s="18" t="s">
        <v>2473</v>
      </c>
      <c r="J798" s="18" t="s">
        <v>2473</v>
      </c>
      <c r="K798" s="18" t="s">
        <v>2473</v>
      </c>
      <c r="AU798" s="140" t="s">
        <v>4125</v>
      </c>
      <c r="AV798" s="6" t="str">
        <f t="shared" si="13"/>
        <v/>
      </c>
    </row>
    <row r="799" spans="1:48" ht="14.65" thickBot="1" x14ac:dyDescent="0.5">
      <c r="A799" s="36" t="s">
        <v>668</v>
      </c>
      <c r="B799" s="3" t="s">
        <v>669</v>
      </c>
      <c r="C799" s="4" t="s">
        <v>13</v>
      </c>
      <c r="D799" s="4"/>
      <c r="E799" s="4" t="s">
        <v>13</v>
      </c>
      <c r="F799" s="4"/>
      <c r="G799" s="4" t="s">
        <v>13</v>
      </c>
      <c r="H799" s="4"/>
      <c r="I799" s="18" t="s">
        <v>2473</v>
      </c>
      <c r="J799" s="18" t="s">
        <v>2473</v>
      </c>
      <c r="K799" s="18" t="s">
        <v>2473</v>
      </c>
      <c r="AU799" s="6"/>
      <c r="AV799" s="6" t="str">
        <f t="shared" si="13"/>
        <v/>
      </c>
    </row>
    <row r="800" spans="1:48" ht="14.65" thickBot="1" x14ac:dyDescent="0.5">
      <c r="A800" s="36" t="s">
        <v>670</v>
      </c>
      <c r="B800" s="3" t="s">
        <v>671</v>
      </c>
      <c r="C800" s="4" t="s">
        <v>37</v>
      </c>
      <c r="D800" s="4" t="s">
        <v>13</v>
      </c>
      <c r="E800" s="4" t="s">
        <v>37</v>
      </c>
      <c r="F800" s="4" t="s">
        <v>13</v>
      </c>
      <c r="G800" s="4" t="s">
        <v>37</v>
      </c>
      <c r="H800" s="4" t="s">
        <v>13</v>
      </c>
      <c r="I800" s="18" t="s">
        <v>2473</v>
      </c>
      <c r="J800" s="18" t="s">
        <v>2473</v>
      </c>
      <c r="K800" s="18" t="s">
        <v>2473</v>
      </c>
      <c r="AU800" s="6"/>
      <c r="AV800" s="6" t="str">
        <f t="shared" si="13"/>
        <v/>
      </c>
    </row>
    <row r="801" spans="1:48" ht="14.65" thickBot="1" x14ac:dyDescent="0.5">
      <c r="A801" s="36" t="s">
        <v>672</v>
      </c>
      <c r="B801" s="3" t="s">
        <v>673</v>
      </c>
      <c r="C801" s="4" t="s">
        <v>10</v>
      </c>
      <c r="D801" s="4"/>
      <c r="E801" s="4" t="s">
        <v>10</v>
      </c>
      <c r="F801" s="4"/>
      <c r="G801" s="4" t="s">
        <v>10</v>
      </c>
      <c r="H801" s="4"/>
      <c r="I801" s="18" t="s">
        <v>2473</v>
      </c>
      <c r="J801" s="18" t="s">
        <v>2473</v>
      </c>
      <c r="K801" s="18" t="s">
        <v>2473</v>
      </c>
      <c r="AU801" s="6"/>
      <c r="AV801" s="6" t="str">
        <f t="shared" si="13"/>
        <v/>
      </c>
    </row>
    <row r="802" spans="1:48" ht="14.65" thickBot="1" x14ac:dyDescent="0.5">
      <c r="A802" s="36" t="s">
        <v>674</v>
      </c>
      <c r="B802" s="3" t="s">
        <v>675</v>
      </c>
      <c r="C802" s="4" t="s">
        <v>13</v>
      </c>
      <c r="D802" s="4" t="s">
        <v>13</v>
      </c>
      <c r="E802" s="4" t="s">
        <v>13</v>
      </c>
      <c r="F802" s="4" t="s">
        <v>13</v>
      </c>
      <c r="G802" s="4" t="s">
        <v>13</v>
      </c>
      <c r="H802" s="4" t="s">
        <v>13</v>
      </c>
      <c r="I802" s="18" t="s">
        <v>2473</v>
      </c>
      <c r="J802" s="18" t="s">
        <v>2473</v>
      </c>
      <c r="K802" s="18" t="s">
        <v>2473</v>
      </c>
      <c r="AU802" s="6"/>
      <c r="AV802" s="6" t="str">
        <f t="shared" si="13"/>
        <v/>
      </c>
    </row>
    <row r="803" spans="1:48" ht="58.5" thickBot="1" x14ac:dyDescent="0.5">
      <c r="A803" s="36" t="s">
        <v>676</v>
      </c>
      <c r="B803" s="3" t="s">
        <v>677</v>
      </c>
      <c r="C803" s="4" t="s">
        <v>13</v>
      </c>
      <c r="D803" s="4"/>
      <c r="E803" s="4" t="s">
        <v>13</v>
      </c>
      <c r="F803" s="4"/>
      <c r="G803" s="4" t="s">
        <v>13</v>
      </c>
      <c r="H803" s="4"/>
      <c r="I803" s="18" t="s">
        <v>2473</v>
      </c>
      <c r="J803" s="18" t="s">
        <v>2473</v>
      </c>
      <c r="K803" s="18" t="s">
        <v>2473</v>
      </c>
      <c r="AU803" s="153" t="s">
        <v>5295</v>
      </c>
      <c r="AV803" s="6" t="str">
        <f t="shared" si="13"/>
        <v/>
      </c>
    </row>
    <row r="804" spans="1:48" ht="14.65" thickBot="1" x14ac:dyDescent="0.5">
      <c r="A804" s="36" t="s">
        <v>678</v>
      </c>
      <c r="B804" s="3" t="s">
        <v>679</v>
      </c>
      <c r="C804" s="4" t="s">
        <v>10</v>
      </c>
      <c r="D804" s="4" t="s">
        <v>13</v>
      </c>
      <c r="E804" s="4" t="s">
        <v>10</v>
      </c>
      <c r="F804" s="4" t="s">
        <v>13</v>
      </c>
      <c r="G804" s="4" t="s">
        <v>10</v>
      </c>
      <c r="H804" s="4" t="s">
        <v>13</v>
      </c>
      <c r="I804" s="18" t="s">
        <v>2473</v>
      </c>
      <c r="J804" s="18" t="s">
        <v>2473</v>
      </c>
      <c r="K804" s="18" t="s">
        <v>2473</v>
      </c>
      <c r="AU804" s="6"/>
      <c r="AV804" s="6" t="str">
        <f t="shared" si="13"/>
        <v/>
      </c>
    </row>
    <row r="805" spans="1:48" ht="58.5" thickBot="1" x14ac:dyDescent="0.5">
      <c r="A805" s="36" t="s">
        <v>680</v>
      </c>
      <c r="B805" s="3" t="s">
        <v>681</v>
      </c>
      <c r="C805" s="4" t="s">
        <v>13</v>
      </c>
      <c r="D805" s="4" t="s">
        <v>13</v>
      </c>
      <c r="E805" s="4" t="s">
        <v>13</v>
      </c>
      <c r="F805" s="4" t="s">
        <v>13</v>
      </c>
      <c r="G805" s="4" t="s">
        <v>13</v>
      </c>
      <c r="H805" s="4" t="s">
        <v>13</v>
      </c>
      <c r="I805" s="18" t="s">
        <v>2473</v>
      </c>
      <c r="J805" s="18" t="s">
        <v>2473</v>
      </c>
      <c r="K805" s="18" t="s">
        <v>2473</v>
      </c>
      <c r="AU805" s="153" t="s">
        <v>5297</v>
      </c>
      <c r="AV805" s="6" t="str">
        <f t="shared" si="13"/>
        <v/>
      </c>
    </row>
    <row r="806" spans="1:48" ht="14.65" thickBot="1" x14ac:dyDescent="0.5">
      <c r="A806" s="36" t="s">
        <v>682</v>
      </c>
      <c r="B806" s="3" t="s">
        <v>683</v>
      </c>
      <c r="C806" s="4" t="s">
        <v>10</v>
      </c>
      <c r="D806" s="4" t="s">
        <v>13</v>
      </c>
      <c r="E806" s="4" t="s">
        <v>10</v>
      </c>
      <c r="F806" s="4" t="s">
        <v>13</v>
      </c>
      <c r="G806" s="4" t="s">
        <v>10</v>
      </c>
      <c r="H806" s="4" t="s">
        <v>13</v>
      </c>
      <c r="I806" s="18" t="s">
        <v>2473</v>
      </c>
      <c r="J806" s="18" t="s">
        <v>2473</v>
      </c>
      <c r="K806" s="18" t="s">
        <v>2473</v>
      </c>
      <c r="AU806" s="6"/>
      <c r="AV806" s="6" t="str">
        <f t="shared" si="13"/>
        <v/>
      </c>
    </row>
    <row r="807" spans="1:48" ht="58.5" thickBot="1" x14ac:dyDescent="0.5">
      <c r="A807" s="36" t="s">
        <v>684</v>
      </c>
      <c r="B807" s="3" t="s">
        <v>685</v>
      </c>
      <c r="C807" s="4" t="s">
        <v>13</v>
      </c>
      <c r="D807" s="4"/>
      <c r="E807" s="4" t="s">
        <v>13</v>
      </c>
      <c r="F807" s="4"/>
      <c r="G807" s="4" t="s">
        <v>13</v>
      </c>
      <c r="H807" s="4"/>
      <c r="I807" s="18" t="s">
        <v>2473</v>
      </c>
      <c r="J807" s="18" t="s">
        <v>2473</v>
      </c>
      <c r="K807" s="18" t="s">
        <v>2473</v>
      </c>
      <c r="AU807" s="153" t="s">
        <v>5295</v>
      </c>
      <c r="AV807" s="6" t="str">
        <f t="shared" ref="AV807:AV870" si="14">IF(A807&lt;&gt;"",IF(T807&lt;&gt;"",IF(LEFT(R807,3)="Has",IF(TRIM(A807)&lt;&gt;T807,"ERROR","OK"),""),""),"")</f>
        <v/>
      </c>
    </row>
    <row r="808" spans="1:48" ht="14.65" thickBot="1" x14ac:dyDescent="0.5">
      <c r="A808" s="36" t="s">
        <v>686</v>
      </c>
      <c r="B808" s="3" t="s">
        <v>687</v>
      </c>
      <c r="C808" s="4" t="s">
        <v>13</v>
      </c>
      <c r="D808" s="4"/>
      <c r="E808" s="4" t="s">
        <v>13</v>
      </c>
      <c r="F808" s="4"/>
      <c r="G808" s="4" t="s">
        <v>13</v>
      </c>
      <c r="H808" s="4"/>
      <c r="I808" s="18" t="s">
        <v>2473</v>
      </c>
      <c r="J808" s="18" t="s">
        <v>2473</v>
      </c>
      <c r="K808" s="18" t="s">
        <v>2473</v>
      </c>
      <c r="AU808" s="6"/>
      <c r="AV808" s="6" t="str">
        <f t="shared" si="14"/>
        <v/>
      </c>
    </row>
    <row r="809" spans="1:48" ht="14.65" thickBot="1" x14ac:dyDescent="0.5">
      <c r="A809" s="36" t="s">
        <v>688</v>
      </c>
      <c r="B809" s="3" t="s">
        <v>689</v>
      </c>
      <c r="C809" s="4" t="s">
        <v>13</v>
      </c>
      <c r="D809" s="4"/>
      <c r="E809" s="4" t="s">
        <v>13</v>
      </c>
      <c r="F809" s="4"/>
      <c r="G809" s="4" t="s">
        <v>13</v>
      </c>
      <c r="H809" s="4"/>
      <c r="I809" s="18" t="s">
        <v>2473</v>
      </c>
      <c r="J809" s="18" t="s">
        <v>2473</v>
      </c>
      <c r="K809" s="18" t="s">
        <v>2473</v>
      </c>
      <c r="AU809" s="8"/>
      <c r="AV809" s="6" t="str">
        <f t="shared" si="14"/>
        <v/>
      </c>
    </row>
    <row r="810" spans="1:48" ht="14.65" thickBot="1" x14ac:dyDescent="0.5">
      <c r="A810" s="36" t="s">
        <v>690</v>
      </c>
      <c r="B810" s="3" t="s">
        <v>691</v>
      </c>
      <c r="C810" s="4" t="s">
        <v>13</v>
      </c>
      <c r="D810" s="4" t="s">
        <v>13</v>
      </c>
      <c r="E810" s="4" t="s">
        <v>13</v>
      </c>
      <c r="F810" s="4" t="s">
        <v>13</v>
      </c>
      <c r="G810" s="4" t="s">
        <v>13</v>
      </c>
      <c r="H810" s="4" t="s">
        <v>13</v>
      </c>
      <c r="I810" s="18" t="s">
        <v>2473</v>
      </c>
      <c r="J810" s="18" t="s">
        <v>2473</v>
      </c>
      <c r="K810" s="18" t="s">
        <v>2473</v>
      </c>
      <c r="AU810" s="8"/>
      <c r="AV810" s="6" t="str">
        <f t="shared" si="14"/>
        <v/>
      </c>
    </row>
    <row r="811" spans="1:48" ht="14.65" thickBot="1" x14ac:dyDescent="0.5">
      <c r="A811" s="36" t="s">
        <v>692</v>
      </c>
      <c r="B811" s="3" t="s">
        <v>693</v>
      </c>
      <c r="C811" s="4" t="s">
        <v>13</v>
      </c>
      <c r="D811" s="4"/>
      <c r="E811" s="4" t="s">
        <v>13</v>
      </c>
      <c r="F811" s="4"/>
      <c r="G811" s="4" t="s">
        <v>13</v>
      </c>
      <c r="H811" s="4"/>
      <c r="I811" s="18" t="s">
        <v>2473</v>
      </c>
      <c r="J811" s="18" t="s">
        <v>2473</v>
      </c>
      <c r="K811" s="18" t="s">
        <v>2473</v>
      </c>
      <c r="AU811" s="8"/>
      <c r="AV811" s="6" t="str">
        <f t="shared" si="14"/>
        <v/>
      </c>
    </row>
    <row r="812" spans="1:48" ht="14.65" thickBot="1" x14ac:dyDescent="0.5">
      <c r="A812" s="36" t="s">
        <v>694</v>
      </c>
      <c r="B812" s="3" t="s">
        <v>695</v>
      </c>
      <c r="C812" s="4" t="s">
        <v>10</v>
      </c>
      <c r="D812" s="4" t="s">
        <v>13</v>
      </c>
      <c r="E812" s="4" t="s">
        <v>10</v>
      </c>
      <c r="F812" s="4" t="s">
        <v>13</v>
      </c>
      <c r="G812" s="4" t="s">
        <v>10</v>
      </c>
      <c r="H812" s="4" t="s">
        <v>13</v>
      </c>
      <c r="I812" s="18" t="s">
        <v>2473</v>
      </c>
      <c r="J812" s="18" t="s">
        <v>2473</v>
      </c>
      <c r="K812" s="18" t="s">
        <v>2473</v>
      </c>
      <c r="AU812" s="8"/>
      <c r="AV812" s="6" t="str">
        <f t="shared" si="14"/>
        <v/>
      </c>
    </row>
    <row r="813" spans="1:48" ht="23.65" thickBot="1" x14ac:dyDescent="0.5">
      <c r="A813" s="36" t="s">
        <v>696</v>
      </c>
      <c r="B813" s="3" t="s">
        <v>5299</v>
      </c>
      <c r="C813" s="4" t="s">
        <v>37</v>
      </c>
      <c r="D813" s="4"/>
      <c r="E813" s="4" t="s">
        <v>37</v>
      </c>
      <c r="F813" s="4"/>
      <c r="G813" s="4" t="s">
        <v>37</v>
      </c>
      <c r="H813" s="4"/>
      <c r="I813" s="18" t="s">
        <v>2473</v>
      </c>
      <c r="J813" s="18" t="s">
        <v>2473</v>
      </c>
      <c r="K813" s="18" t="s">
        <v>2473</v>
      </c>
      <c r="AU813" s="6"/>
      <c r="AV813" s="6" t="str">
        <f t="shared" si="14"/>
        <v/>
      </c>
    </row>
    <row r="814" spans="1:48" ht="14.65" thickBot="1" x14ac:dyDescent="0.5">
      <c r="A814" s="35" t="s">
        <v>424</v>
      </c>
      <c r="B814" s="3" t="s">
        <v>697</v>
      </c>
      <c r="C814" s="4" t="s">
        <v>10</v>
      </c>
      <c r="D814" s="4"/>
      <c r="E814" s="4" t="s">
        <v>10</v>
      </c>
      <c r="F814" s="4"/>
      <c r="G814" s="4" t="s">
        <v>10</v>
      </c>
      <c r="H814" s="4"/>
      <c r="I814" s="18" t="s">
        <v>2473</v>
      </c>
      <c r="J814" s="18" t="s">
        <v>2473</v>
      </c>
      <c r="K814" s="18" t="s">
        <v>2473</v>
      </c>
      <c r="AU814" s="6"/>
      <c r="AV814" s="6" t="str">
        <f t="shared" si="14"/>
        <v/>
      </c>
    </row>
    <row r="815" spans="1:48" ht="14.65" thickBot="1" x14ac:dyDescent="0.5">
      <c r="A815" s="35" t="s">
        <v>698</v>
      </c>
      <c r="B815" s="3" t="s">
        <v>699</v>
      </c>
      <c r="C815" s="4" t="s">
        <v>10</v>
      </c>
      <c r="D815" s="4"/>
      <c r="E815" s="4" t="s">
        <v>10</v>
      </c>
      <c r="F815" s="4"/>
      <c r="G815" s="4" t="s">
        <v>10</v>
      </c>
      <c r="H815" s="4"/>
      <c r="I815" s="18" t="s">
        <v>2473</v>
      </c>
      <c r="J815" s="18" t="s">
        <v>2473</v>
      </c>
      <c r="K815" s="18" t="s">
        <v>2473</v>
      </c>
      <c r="AU815" s="6"/>
      <c r="AV815" s="6" t="str">
        <f t="shared" si="14"/>
        <v/>
      </c>
    </row>
    <row r="816" spans="1:48" x14ac:dyDescent="0.45">
      <c r="A816" s="33" t="s">
        <v>700</v>
      </c>
      <c r="I816" s="18" t="s">
        <v>2473</v>
      </c>
      <c r="J816" s="18" t="s">
        <v>2473</v>
      </c>
      <c r="K816" s="18" t="s">
        <v>2473</v>
      </c>
      <c r="AU816" s="6"/>
      <c r="AV816" s="6" t="str">
        <f t="shared" si="14"/>
        <v/>
      </c>
    </row>
    <row r="817" spans="1:48" x14ac:dyDescent="0.45">
      <c r="A817" s="34" t="s">
        <v>701</v>
      </c>
      <c r="I817" s="18" t="s">
        <v>2473</v>
      </c>
      <c r="J817" s="18" t="s">
        <v>2473</v>
      </c>
      <c r="K817" s="18" t="s">
        <v>2473</v>
      </c>
      <c r="AU817" s="6"/>
      <c r="AV817" s="6" t="str">
        <f t="shared" si="14"/>
        <v/>
      </c>
    </row>
    <row r="818" spans="1:48" s="79" customFormat="1" x14ac:dyDescent="0.45">
      <c r="A818" s="75"/>
      <c r="B818" s="76"/>
      <c r="C818" s="77"/>
      <c r="D818" s="77"/>
      <c r="E818" s="77"/>
      <c r="F818" s="77"/>
      <c r="G818" s="77"/>
      <c r="H818" s="77"/>
      <c r="I818" s="77"/>
      <c r="J818" s="77"/>
      <c r="K818" s="77"/>
      <c r="L818" s="77"/>
      <c r="M818" s="148"/>
      <c r="N818" s="78"/>
      <c r="O818" s="78"/>
      <c r="P818" s="78"/>
      <c r="Q818" s="78"/>
      <c r="R818" s="78"/>
      <c r="S818" s="78"/>
      <c r="T818" s="78"/>
      <c r="U818" s="78"/>
      <c r="V818" s="78"/>
      <c r="W818" s="78"/>
      <c r="X818" s="78"/>
      <c r="Y818" s="148"/>
      <c r="Z818" s="78"/>
      <c r="AA818" s="78"/>
      <c r="AB818" s="78"/>
      <c r="AC818" s="78"/>
      <c r="AD818" s="78"/>
      <c r="AE818" s="156"/>
      <c r="AF818" s="156"/>
      <c r="AG818" s="78"/>
      <c r="AH818" s="78"/>
      <c r="AI818" s="78"/>
      <c r="AJ818" s="78"/>
      <c r="AK818" s="78"/>
      <c r="AL818" s="78"/>
      <c r="AM818" s="78"/>
      <c r="AN818" s="78"/>
      <c r="AO818" s="78"/>
      <c r="AP818" s="78"/>
      <c r="AQ818" s="78"/>
      <c r="AR818" s="286"/>
      <c r="AS818" s="78"/>
      <c r="AT818" s="78"/>
      <c r="AU818" s="8"/>
      <c r="AV818" s="6" t="str">
        <f t="shared" si="14"/>
        <v/>
      </c>
    </row>
    <row r="819" spans="1:48" x14ac:dyDescent="0.45">
      <c r="A819" s="27" t="s">
        <v>2409</v>
      </c>
      <c r="I819" s="18" t="s">
        <v>2473</v>
      </c>
      <c r="J819" s="18" t="s">
        <v>2473</v>
      </c>
      <c r="K819" s="18" t="s">
        <v>2473</v>
      </c>
      <c r="AU819" s="6"/>
      <c r="AV819" s="6" t="str">
        <f t="shared" si="14"/>
        <v/>
      </c>
    </row>
    <row r="820" spans="1:48" x14ac:dyDescent="0.45">
      <c r="A820" s="323" t="s">
        <v>2503</v>
      </c>
      <c r="B820" s="324"/>
      <c r="C820" s="324"/>
      <c r="D820" s="324"/>
      <c r="E820" s="324"/>
      <c r="F820" s="324"/>
      <c r="G820" s="101"/>
      <c r="H820" s="101"/>
      <c r="I820" s="18" t="s">
        <v>2473</v>
      </c>
      <c r="J820" s="18" t="s">
        <v>2473</v>
      </c>
      <c r="K820" s="18" t="s">
        <v>2473</v>
      </c>
      <c r="AU820" s="6"/>
      <c r="AV820" s="6" t="str">
        <f t="shared" si="14"/>
        <v/>
      </c>
    </row>
    <row r="821" spans="1:48" ht="14.65" thickBot="1" x14ac:dyDescent="0.5">
      <c r="A821" s="28" t="s">
        <v>702</v>
      </c>
      <c r="I821" s="18" t="s">
        <v>2473</v>
      </c>
      <c r="J821" s="18" t="s">
        <v>2473</v>
      </c>
      <c r="K821" s="18" t="s">
        <v>2473</v>
      </c>
      <c r="AA821" s="183" t="s">
        <v>2322</v>
      </c>
      <c r="AB821" s="183" t="s">
        <v>1697</v>
      </c>
      <c r="AC821" s="183" t="s">
        <v>5</v>
      </c>
      <c r="AU821" s="6"/>
      <c r="AV821" s="6" t="str">
        <f t="shared" si="14"/>
        <v/>
      </c>
    </row>
    <row r="822" spans="1:48" ht="46.9" thickBot="1" x14ac:dyDescent="0.5">
      <c r="A822" s="309" t="s">
        <v>703</v>
      </c>
      <c r="B822" s="310"/>
      <c r="C822" s="301" t="s">
        <v>1</v>
      </c>
      <c r="D822" s="319"/>
      <c r="E822" s="319"/>
      <c r="F822" s="302"/>
      <c r="G822" s="102"/>
      <c r="H822" s="102"/>
      <c r="I822" s="18" t="s">
        <v>2473</v>
      </c>
      <c r="AA822" s="183" t="str">
        <f>LEFT($A822,FIND(" ",$A822)-1)</f>
        <v>MetricReport</v>
      </c>
      <c r="AB822" s="183" t="str">
        <f>MID($A822,FIND("(",$A822)+1,LEN($A822)-FIND("(",$A822)-1)</f>
        <v>1.0.0</v>
      </c>
      <c r="AC822" s="101" t="str">
        <f>A820</f>
        <v>The metric definitions used to create a metric report.</v>
      </c>
      <c r="AU822" s="6"/>
      <c r="AV822" s="6" t="str">
        <f t="shared" si="14"/>
        <v/>
      </c>
    </row>
    <row r="823" spans="1:48" ht="14.65" thickBot="1" x14ac:dyDescent="0.5">
      <c r="A823" s="311"/>
      <c r="B823" s="312"/>
      <c r="C823" s="301" t="s">
        <v>2</v>
      </c>
      <c r="D823" s="302"/>
      <c r="E823" s="301" t="s">
        <v>3</v>
      </c>
      <c r="F823" s="302"/>
      <c r="G823" s="301" t="s">
        <v>2896</v>
      </c>
      <c r="H823" s="302"/>
      <c r="I823" s="18" t="s">
        <v>2473</v>
      </c>
      <c r="AA823" s="183" t="s">
        <v>2322</v>
      </c>
      <c r="AB823" s="183" t="s">
        <v>1697</v>
      </c>
      <c r="AC823" s="183" t="s">
        <v>5</v>
      </c>
      <c r="AU823" s="6"/>
      <c r="AV823" s="6" t="str">
        <f t="shared" si="14"/>
        <v/>
      </c>
    </row>
    <row r="824" spans="1:48" ht="46.9" thickBot="1" x14ac:dyDescent="0.5">
      <c r="A824" s="309" t="s">
        <v>3230</v>
      </c>
      <c r="B824" s="310"/>
      <c r="C824" s="301" t="s">
        <v>1</v>
      </c>
      <c r="D824" s="319"/>
      <c r="E824" s="319"/>
      <c r="F824" s="302"/>
      <c r="G824" s="102"/>
      <c r="H824" s="102"/>
      <c r="J824" s="18" t="s">
        <v>2473</v>
      </c>
      <c r="K824" s="18" t="s">
        <v>2473</v>
      </c>
      <c r="AA824" s="183" t="str">
        <f>LEFT($A824,FIND(" ",$A824)-1)</f>
        <v>MetricReport</v>
      </c>
      <c r="AB824" s="183" t="str">
        <f>MID($A824,FIND("(",$A824)+1,LEN($A824)-FIND("(",$A824)-1)</f>
        <v>1.1.1</v>
      </c>
      <c r="AC824" s="101" t="str">
        <f>AC822</f>
        <v>The metric definitions used to create a metric report.</v>
      </c>
      <c r="AU824" s="6"/>
      <c r="AV824" s="6" t="str">
        <f t="shared" si="14"/>
        <v/>
      </c>
    </row>
    <row r="825" spans="1:48" ht="14.65" thickBot="1" x14ac:dyDescent="0.5">
      <c r="A825" s="311"/>
      <c r="B825" s="312"/>
      <c r="C825" s="301" t="s">
        <v>2</v>
      </c>
      <c r="D825" s="302"/>
      <c r="E825" s="301" t="s">
        <v>3</v>
      </c>
      <c r="F825" s="302"/>
      <c r="G825" s="301" t="s">
        <v>2896</v>
      </c>
      <c r="H825" s="302"/>
      <c r="J825" s="18" t="s">
        <v>2473</v>
      </c>
      <c r="K825" s="18" t="s">
        <v>2473</v>
      </c>
      <c r="AM825" s="8" t="str">
        <f>C825</f>
        <v>OSM-Redfish</v>
      </c>
      <c r="AN825" s="8" t="str">
        <f>E825</f>
        <v>OSM-RedfishBMC</v>
      </c>
      <c r="AO825" s="8" t="str">
        <f>G825</f>
        <v>OSM-RedfishDCN</v>
      </c>
      <c r="AU825" s="6"/>
      <c r="AV825" s="6" t="str">
        <f t="shared" si="14"/>
        <v/>
      </c>
    </row>
    <row r="826" spans="1:48" ht="36" thickBot="1" x14ac:dyDescent="0.5">
      <c r="A826" s="46" t="s">
        <v>2377</v>
      </c>
      <c r="B826" s="47"/>
      <c r="C826" s="303" t="s">
        <v>13</v>
      </c>
      <c r="D826" s="304"/>
      <c r="E826" s="303" t="s">
        <v>13</v>
      </c>
      <c r="F826" s="304"/>
      <c r="G826" s="303" t="s">
        <v>13</v>
      </c>
      <c r="H826" s="304"/>
      <c r="I826" s="18" t="s">
        <v>2473</v>
      </c>
      <c r="J826" s="18" t="s">
        <v>2473</v>
      </c>
      <c r="K826" s="18" t="s">
        <v>2473</v>
      </c>
      <c r="AM826" s="8" t="str">
        <f>IF(C826&lt;&gt;"","CRQ-P5-"&amp;(AM$2+$AP826*$AP$3),"")</f>
        <v>CRQ-P5-1136</v>
      </c>
      <c r="AN826" s="8" t="str">
        <f>IF(E826&lt;&gt;"","CRQ-P5-"&amp;(AN$2+$AP826*$AP$3),"")</f>
        <v>CRQ-P5-1436</v>
      </c>
      <c r="AO826" s="8" t="str">
        <f>IF(G826&lt;&gt;"","CRQ-P5-"&amp;(AO$2+$AP826*$AP$3),"")</f>
        <v>CRQ-P5-1736</v>
      </c>
      <c r="AP826" s="8">
        <v>34</v>
      </c>
      <c r="AT826" s="233" t="s">
        <v>5313</v>
      </c>
      <c r="AU826" s="6"/>
      <c r="AV826" s="6" t="str">
        <f t="shared" si="14"/>
        <v/>
      </c>
    </row>
    <row r="827" spans="1:48" ht="14.65" thickBot="1" x14ac:dyDescent="0.5">
      <c r="A827" s="29" t="s">
        <v>3394</v>
      </c>
      <c r="B827" s="9"/>
      <c r="C827" s="305" t="str">
        <f>MID($A822,FIND("(",$A822)+1,5)</f>
        <v>1.0.0</v>
      </c>
      <c r="D827" s="306"/>
      <c r="E827" s="305" t="str">
        <f>MID($A822,FIND("(",$A822)+1,5)</f>
        <v>1.0.0</v>
      </c>
      <c r="F827" s="306"/>
      <c r="G827" s="305" t="str">
        <f>MID($A822,FIND("(",$A822)+1,5)</f>
        <v>1.0.0</v>
      </c>
      <c r="H827" s="306"/>
      <c r="I827" s="18" t="s">
        <v>2473</v>
      </c>
      <c r="J827" s="18" t="s">
        <v>2473</v>
      </c>
      <c r="K827" s="18" t="s">
        <v>2473</v>
      </c>
      <c r="AU827" s="6"/>
      <c r="AV827" s="6" t="str">
        <f t="shared" si="14"/>
        <v/>
      </c>
    </row>
    <row r="828" spans="1:48" ht="14.65" thickBot="1" x14ac:dyDescent="0.5">
      <c r="A828" s="30" t="s">
        <v>4</v>
      </c>
      <c r="B828" s="59" t="s">
        <v>5</v>
      </c>
      <c r="C828" s="7" t="s">
        <v>6</v>
      </c>
      <c r="D828" s="7" t="s">
        <v>7</v>
      </c>
      <c r="E828" s="7" t="s">
        <v>6</v>
      </c>
      <c r="F828" s="7" t="s">
        <v>7</v>
      </c>
      <c r="G828" s="7" t="s">
        <v>6</v>
      </c>
      <c r="H828" s="7" t="s">
        <v>7</v>
      </c>
      <c r="I828" s="18" t="s">
        <v>2473</v>
      </c>
      <c r="J828" s="18" t="s">
        <v>2473</v>
      </c>
      <c r="K828" s="18" t="s">
        <v>2473</v>
      </c>
      <c r="AU828" s="6"/>
      <c r="AV828" s="6" t="str">
        <f t="shared" si="14"/>
        <v/>
      </c>
    </row>
    <row r="829" spans="1:48" ht="14.65" thickBot="1" x14ac:dyDescent="0.5">
      <c r="A829" s="36" t="s">
        <v>8</v>
      </c>
      <c r="B829" s="3" t="s">
        <v>9</v>
      </c>
      <c r="C829" s="4"/>
      <c r="D829" s="4"/>
      <c r="E829" s="4"/>
      <c r="F829" s="4"/>
      <c r="G829" s="4"/>
      <c r="H829" s="4"/>
      <c r="I829" s="18" t="s">
        <v>2473</v>
      </c>
      <c r="J829" s="18" t="s">
        <v>2473</v>
      </c>
      <c r="K829" s="18" t="s">
        <v>2473</v>
      </c>
      <c r="AU829" s="6"/>
      <c r="AV829" s="6" t="str">
        <f t="shared" si="14"/>
        <v/>
      </c>
    </row>
    <row r="830" spans="1:48" ht="14.65" thickBot="1" x14ac:dyDescent="0.5">
      <c r="A830" s="36" t="s">
        <v>2888</v>
      </c>
      <c r="B830" s="3" t="s">
        <v>704</v>
      </c>
      <c r="C830" s="4" t="s">
        <v>10</v>
      </c>
      <c r="D830" s="4"/>
      <c r="E830" s="4" t="s">
        <v>10</v>
      </c>
      <c r="F830" s="4"/>
      <c r="G830" s="4" t="s">
        <v>10</v>
      </c>
      <c r="H830" s="4"/>
      <c r="I830" s="18" t="s">
        <v>2473</v>
      </c>
      <c r="J830" s="18" t="s">
        <v>2473</v>
      </c>
      <c r="K830" s="18" t="s">
        <v>2473</v>
      </c>
      <c r="AU830" s="6"/>
      <c r="AV830" s="6" t="str">
        <f t="shared" si="14"/>
        <v/>
      </c>
    </row>
    <row r="831" spans="1:48" ht="14.65" thickBot="1" x14ac:dyDescent="0.5">
      <c r="A831" s="35" t="s">
        <v>33</v>
      </c>
      <c r="B831" s="3" t="s">
        <v>705</v>
      </c>
      <c r="C831" s="4"/>
      <c r="D831" s="4"/>
      <c r="E831" s="4"/>
      <c r="F831" s="4"/>
      <c r="G831" s="4"/>
      <c r="H831" s="4"/>
      <c r="I831" s="18" t="s">
        <v>2473</v>
      </c>
      <c r="J831" s="18" t="s">
        <v>2473</v>
      </c>
      <c r="K831" s="18" t="s">
        <v>2473</v>
      </c>
      <c r="AU831" s="6"/>
      <c r="AV831" s="6" t="str">
        <f t="shared" si="14"/>
        <v/>
      </c>
    </row>
    <row r="832" spans="1:48" ht="47.65" thickBot="1" x14ac:dyDescent="0.5">
      <c r="A832" s="36" t="s">
        <v>706</v>
      </c>
      <c r="B832" s="5" t="s">
        <v>707</v>
      </c>
      <c r="C832" s="4" t="s">
        <v>10</v>
      </c>
      <c r="D832" s="4"/>
      <c r="E832" s="4" t="s">
        <v>10</v>
      </c>
      <c r="F832" s="4"/>
      <c r="G832" s="4" t="s">
        <v>10</v>
      </c>
      <c r="H832" s="4"/>
      <c r="I832" s="18" t="s">
        <v>2473</v>
      </c>
      <c r="J832" s="18" t="s">
        <v>2473</v>
      </c>
      <c r="K832" s="18" t="s">
        <v>2473</v>
      </c>
      <c r="AS832" s="206" t="s">
        <v>5860</v>
      </c>
      <c r="AU832" s="6"/>
      <c r="AV832" s="6" t="str">
        <f t="shared" si="14"/>
        <v/>
      </c>
    </row>
    <row r="833" spans="1:48" ht="58.5" thickBot="1" x14ac:dyDescent="0.5">
      <c r="A833" s="35" t="s">
        <v>708</v>
      </c>
      <c r="B833" s="3" t="s">
        <v>5791</v>
      </c>
      <c r="C833" s="4" t="s">
        <v>13</v>
      </c>
      <c r="D833" s="4"/>
      <c r="E833" s="4" t="s">
        <v>13</v>
      </c>
      <c r="F833" s="4"/>
      <c r="G833" s="4" t="s">
        <v>13</v>
      </c>
      <c r="H833" s="4"/>
      <c r="I833" s="18" t="s">
        <v>2473</v>
      </c>
      <c r="J833" s="18" t="s">
        <v>2473</v>
      </c>
      <c r="K833" s="18" t="s">
        <v>2473</v>
      </c>
      <c r="M833" s="244" t="s">
        <v>5792</v>
      </c>
      <c r="AS833" s="240" t="s">
        <v>5795</v>
      </c>
      <c r="AU833" s="153" t="s">
        <v>5296</v>
      </c>
      <c r="AV833" s="6" t="str">
        <f t="shared" si="14"/>
        <v/>
      </c>
    </row>
    <row r="834" spans="1:48" ht="14.65" thickBot="1" x14ac:dyDescent="0.5">
      <c r="A834" s="35" t="s">
        <v>43</v>
      </c>
      <c r="B834" s="3" t="s">
        <v>709</v>
      </c>
      <c r="C834" s="4"/>
      <c r="D834" s="4"/>
      <c r="E834" s="4"/>
      <c r="F834" s="4"/>
      <c r="G834" s="4"/>
      <c r="H834" s="4"/>
      <c r="I834" s="18" t="s">
        <v>2473</v>
      </c>
      <c r="J834" s="18" t="s">
        <v>2473</v>
      </c>
      <c r="K834" s="18" t="s">
        <v>2473</v>
      </c>
      <c r="AU834" s="6"/>
      <c r="AV834" s="6" t="str">
        <f t="shared" si="14"/>
        <v/>
      </c>
    </row>
    <row r="835" spans="1:48" ht="24.4" thickBot="1" x14ac:dyDescent="0.5">
      <c r="A835" s="35" t="s">
        <v>710</v>
      </c>
      <c r="B835" s="3" t="s">
        <v>5796</v>
      </c>
      <c r="C835" s="4" t="s">
        <v>10</v>
      </c>
      <c r="D835" s="4"/>
      <c r="E835" s="4" t="s">
        <v>10</v>
      </c>
      <c r="F835" s="4"/>
      <c r="G835" s="4" t="s">
        <v>10</v>
      </c>
      <c r="H835" s="4"/>
      <c r="I835" s="18" t="s">
        <v>2473</v>
      </c>
      <c r="J835" s="18" t="s">
        <v>2473</v>
      </c>
      <c r="K835" s="18" t="s">
        <v>2473</v>
      </c>
      <c r="M835" s="244" t="s">
        <v>5793</v>
      </c>
      <c r="AS835" s="240" t="s">
        <v>5794</v>
      </c>
      <c r="AU835" s="6"/>
      <c r="AV835" s="6" t="str">
        <f t="shared" si="14"/>
        <v/>
      </c>
    </row>
    <row r="836" spans="1:48" ht="23.65" thickBot="1" x14ac:dyDescent="0.5">
      <c r="A836" s="35" t="s">
        <v>711</v>
      </c>
      <c r="B836" s="3" t="s">
        <v>712</v>
      </c>
      <c r="C836" s="4" t="s">
        <v>13</v>
      </c>
      <c r="D836" s="4"/>
      <c r="E836" s="4" t="s">
        <v>13</v>
      </c>
      <c r="F836" s="4"/>
      <c r="G836" s="4" t="s">
        <v>13</v>
      </c>
      <c r="H836" s="4"/>
      <c r="I836" s="18" t="s">
        <v>2473</v>
      </c>
      <c r="J836" s="18" t="s">
        <v>2473</v>
      </c>
      <c r="K836" s="18" t="s">
        <v>2473</v>
      </c>
      <c r="AU836" s="140" t="s">
        <v>4131</v>
      </c>
      <c r="AV836" s="6" t="str">
        <f t="shared" si="14"/>
        <v/>
      </c>
    </row>
    <row r="837" spans="1:48" ht="14.65" thickBot="1" x14ac:dyDescent="0.5">
      <c r="A837" s="35" t="s">
        <v>713</v>
      </c>
      <c r="B837" s="3" t="s">
        <v>714</v>
      </c>
      <c r="C837" s="4" t="s">
        <v>10</v>
      </c>
      <c r="D837" s="4"/>
      <c r="E837" s="4" t="s">
        <v>10</v>
      </c>
      <c r="F837" s="4"/>
      <c r="G837" s="4" t="s">
        <v>10</v>
      </c>
      <c r="H837" s="4"/>
      <c r="I837" s="18" t="s">
        <v>2473</v>
      </c>
      <c r="J837" s="18" t="s">
        <v>2473</v>
      </c>
      <c r="K837" s="18" t="s">
        <v>2473</v>
      </c>
      <c r="AU837" s="6"/>
      <c r="AV837" s="6" t="str">
        <f t="shared" si="14"/>
        <v/>
      </c>
    </row>
    <row r="838" spans="1:48" ht="14.65" thickBot="1" x14ac:dyDescent="0.5">
      <c r="A838" s="35" t="s">
        <v>715</v>
      </c>
      <c r="B838" s="3" t="s">
        <v>716</v>
      </c>
      <c r="C838" s="4" t="s">
        <v>10</v>
      </c>
      <c r="D838" s="4"/>
      <c r="E838" s="4" t="s">
        <v>10</v>
      </c>
      <c r="F838" s="4"/>
      <c r="G838" s="4" t="s">
        <v>10</v>
      </c>
      <c r="H838" s="4"/>
      <c r="I838" s="18" t="s">
        <v>2473</v>
      </c>
      <c r="J838" s="18" t="s">
        <v>2473</v>
      </c>
      <c r="K838" s="18" t="s">
        <v>2473</v>
      </c>
      <c r="AU838" s="6"/>
      <c r="AV838" s="6" t="str">
        <f t="shared" si="14"/>
        <v/>
      </c>
    </row>
    <row r="839" spans="1:48" ht="58.5" thickBot="1" x14ac:dyDescent="0.5">
      <c r="A839" s="36" t="s">
        <v>717</v>
      </c>
      <c r="B839" s="3" t="s">
        <v>718</v>
      </c>
      <c r="C839" s="4" t="s">
        <v>13</v>
      </c>
      <c r="D839" s="4"/>
      <c r="E839" s="4" t="s">
        <v>13</v>
      </c>
      <c r="F839" s="4"/>
      <c r="G839" s="4" t="s">
        <v>13</v>
      </c>
      <c r="H839" s="4"/>
      <c r="I839" s="18" t="s">
        <v>2473</v>
      </c>
      <c r="J839" s="18" t="s">
        <v>2473</v>
      </c>
      <c r="K839" s="18" t="s">
        <v>2473</v>
      </c>
      <c r="AU839" s="153" t="s">
        <v>5296</v>
      </c>
      <c r="AV839" s="6" t="str">
        <f t="shared" si="14"/>
        <v/>
      </c>
    </row>
    <row r="840" spans="1:48" ht="35.25" thickBot="1" x14ac:dyDescent="0.5">
      <c r="A840" s="36" t="s">
        <v>3232</v>
      </c>
      <c r="B840" s="3" t="s">
        <v>3231</v>
      </c>
      <c r="C840" s="4" t="s">
        <v>13</v>
      </c>
      <c r="D840" s="4"/>
      <c r="E840" s="4" t="s">
        <v>13</v>
      </c>
      <c r="F840" s="4"/>
      <c r="G840" s="4" t="s">
        <v>13</v>
      </c>
      <c r="H840" s="4"/>
      <c r="J840" s="18" t="s">
        <v>2473</v>
      </c>
      <c r="K840" s="18" t="s">
        <v>2473</v>
      </c>
      <c r="AU840" s="8"/>
      <c r="AV840" s="6" t="str">
        <f t="shared" si="14"/>
        <v/>
      </c>
    </row>
    <row r="841" spans="1:48" x14ac:dyDescent="0.45">
      <c r="A841" s="33" t="s">
        <v>719</v>
      </c>
      <c r="I841" s="18" t="s">
        <v>2473</v>
      </c>
      <c r="J841" s="18" t="s">
        <v>2473</v>
      </c>
      <c r="K841" s="18" t="s">
        <v>2473</v>
      </c>
      <c r="AU841" s="8"/>
      <c r="AV841" s="6" t="str">
        <f t="shared" si="14"/>
        <v/>
      </c>
    </row>
    <row r="842" spans="1:48" x14ac:dyDescent="0.45">
      <c r="A842" s="34" t="s">
        <v>720</v>
      </c>
      <c r="I842" s="18" t="s">
        <v>2473</v>
      </c>
      <c r="J842" s="18" t="s">
        <v>2473</v>
      </c>
      <c r="K842" s="18" t="s">
        <v>2473</v>
      </c>
      <c r="AU842" s="8"/>
      <c r="AV842" s="6" t="str">
        <f t="shared" si="14"/>
        <v/>
      </c>
    </row>
    <row r="843" spans="1:48" s="79" customFormat="1" x14ac:dyDescent="0.45">
      <c r="A843" s="75"/>
      <c r="B843" s="76"/>
      <c r="C843" s="77"/>
      <c r="D843" s="77"/>
      <c r="E843" s="77"/>
      <c r="F843" s="77"/>
      <c r="G843" s="77"/>
      <c r="H843" s="77"/>
      <c r="I843" s="77"/>
      <c r="J843" s="77"/>
      <c r="K843" s="77"/>
      <c r="L843" s="77"/>
      <c r="M843" s="148"/>
      <c r="N843" s="78"/>
      <c r="O843" s="78"/>
      <c r="P843" s="78"/>
      <c r="Q843" s="78"/>
      <c r="R843" s="78"/>
      <c r="S843" s="78"/>
      <c r="T843" s="78"/>
      <c r="U843" s="78"/>
      <c r="V843" s="78"/>
      <c r="W843" s="78"/>
      <c r="X843" s="78"/>
      <c r="Y843" s="148"/>
      <c r="Z843" s="78"/>
      <c r="AA843" s="78"/>
      <c r="AB843" s="78"/>
      <c r="AC843" s="78"/>
      <c r="AD843" s="78"/>
      <c r="AE843" s="156"/>
      <c r="AF843" s="156"/>
      <c r="AG843" s="78"/>
      <c r="AH843" s="78"/>
      <c r="AI843" s="78"/>
      <c r="AJ843" s="78"/>
      <c r="AK843" s="78"/>
      <c r="AL843" s="78"/>
      <c r="AM843" s="78"/>
      <c r="AN843" s="78"/>
      <c r="AO843" s="78"/>
      <c r="AP843" s="78"/>
      <c r="AQ843" s="78"/>
      <c r="AR843" s="286"/>
      <c r="AS843" s="78"/>
      <c r="AT843" s="78"/>
      <c r="AU843" s="8"/>
      <c r="AV843" s="6" t="str">
        <f t="shared" si="14"/>
        <v/>
      </c>
    </row>
    <row r="844" spans="1:48" x14ac:dyDescent="0.45">
      <c r="A844" s="27" t="s">
        <v>2410</v>
      </c>
      <c r="I844" s="18" t="s">
        <v>2473</v>
      </c>
      <c r="J844" s="18" t="s">
        <v>2473</v>
      </c>
      <c r="K844" s="18" t="s">
        <v>2473</v>
      </c>
      <c r="AU844" s="8"/>
      <c r="AV844" s="6" t="str">
        <f t="shared" si="14"/>
        <v/>
      </c>
    </row>
    <row r="845" spans="1:48" x14ac:dyDescent="0.45">
      <c r="A845" s="323" t="s">
        <v>2504</v>
      </c>
      <c r="B845" s="324"/>
      <c r="C845" s="324"/>
      <c r="D845" s="324"/>
      <c r="E845" s="324"/>
      <c r="F845" s="324"/>
      <c r="G845" s="101"/>
      <c r="H845" s="101"/>
      <c r="I845" s="18" t="s">
        <v>2473</v>
      </c>
      <c r="J845" s="18" t="s">
        <v>2473</v>
      </c>
      <c r="K845" s="18" t="s">
        <v>2473</v>
      </c>
      <c r="AU845" s="6"/>
      <c r="AV845" s="6" t="str">
        <f t="shared" si="14"/>
        <v/>
      </c>
    </row>
    <row r="846" spans="1:48" ht="14.65" thickBot="1" x14ac:dyDescent="0.5">
      <c r="A846" s="28" t="s">
        <v>721</v>
      </c>
      <c r="I846" s="18" t="s">
        <v>2473</v>
      </c>
      <c r="J846" s="18" t="s">
        <v>2473</v>
      </c>
      <c r="K846" s="18" t="s">
        <v>2473</v>
      </c>
      <c r="AA846" s="183" t="s">
        <v>2322</v>
      </c>
      <c r="AB846" s="183" t="s">
        <v>1697</v>
      </c>
      <c r="AC846" s="183" t="s">
        <v>5</v>
      </c>
      <c r="AU846" s="6"/>
      <c r="AV846" s="6" t="str">
        <f t="shared" si="14"/>
        <v/>
      </c>
    </row>
    <row r="847" spans="1:48" ht="70.150000000000006" thickBot="1" x14ac:dyDescent="0.5">
      <c r="A847" s="315" t="s">
        <v>2332</v>
      </c>
      <c r="B847" s="316"/>
      <c r="C847" s="329" t="s">
        <v>1</v>
      </c>
      <c r="D847" s="331"/>
      <c r="E847" s="331"/>
      <c r="F847" s="330"/>
      <c r="G847" s="211"/>
      <c r="H847" s="211"/>
      <c r="I847" s="18" t="s">
        <v>2473</v>
      </c>
      <c r="AA847" s="183" t="str">
        <f>LEFT($A847,FIND(" ",$A847)-1)</f>
        <v>MetricReportDefinition</v>
      </c>
      <c r="AB847" s="183" t="str">
        <f>MID($A847,FIND("(",$A847)+1,LEN($A847)-FIND("(",$A847)-1)</f>
        <v>1.0.0</v>
      </c>
      <c r="AC847" s="101" t="str">
        <f>A845</f>
        <v>MetricReportDefinitions are a set of metrics that are collected into a MetricReport.</v>
      </c>
      <c r="AU847" s="6"/>
      <c r="AV847" s="6" t="str">
        <f t="shared" si="14"/>
        <v/>
      </c>
    </row>
    <row r="848" spans="1:48" ht="14.65" thickBot="1" x14ac:dyDescent="0.5">
      <c r="A848" s="317"/>
      <c r="B848" s="318"/>
      <c r="C848" s="329" t="s">
        <v>2</v>
      </c>
      <c r="D848" s="330"/>
      <c r="E848" s="329" t="s">
        <v>3</v>
      </c>
      <c r="F848" s="330"/>
      <c r="G848" s="329" t="s">
        <v>2896</v>
      </c>
      <c r="H848" s="330"/>
      <c r="I848" s="18" t="s">
        <v>2473</v>
      </c>
      <c r="AA848" s="183" t="s">
        <v>2322</v>
      </c>
      <c r="AB848" s="183" t="s">
        <v>1697</v>
      </c>
      <c r="AC848" s="183" t="s">
        <v>5</v>
      </c>
      <c r="AU848" s="6"/>
      <c r="AV848" s="6" t="str">
        <f t="shared" si="14"/>
        <v/>
      </c>
    </row>
    <row r="849" spans="1:48" ht="70.150000000000006" thickBot="1" x14ac:dyDescent="0.5">
      <c r="A849" s="315" t="s">
        <v>3237</v>
      </c>
      <c r="B849" s="316"/>
      <c r="C849" s="329" t="s">
        <v>1</v>
      </c>
      <c r="D849" s="331"/>
      <c r="E849" s="331"/>
      <c r="F849" s="330"/>
      <c r="G849" s="211"/>
      <c r="H849" s="211"/>
      <c r="J849" s="18" t="s">
        <v>2473</v>
      </c>
      <c r="K849" s="18" t="s">
        <v>2473</v>
      </c>
      <c r="AA849" s="183" t="str">
        <f>LEFT($A849,FIND(" ",$A849)-1)</f>
        <v>MetricReportDefinition</v>
      </c>
      <c r="AB849" s="183" t="str">
        <f>MID($A849,FIND("(",$A849)+1,LEN($A849)-FIND("(",$A849)-1)</f>
        <v>1.2.0</v>
      </c>
      <c r="AC849" s="101" t="str">
        <f>AC847</f>
        <v>MetricReportDefinitions are a set of metrics that are collected into a MetricReport.</v>
      </c>
      <c r="AU849" s="6"/>
      <c r="AV849" s="6" t="str">
        <f t="shared" si="14"/>
        <v/>
      </c>
    </row>
    <row r="850" spans="1:48" ht="14.65" thickBot="1" x14ac:dyDescent="0.5">
      <c r="A850" s="317"/>
      <c r="B850" s="318"/>
      <c r="C850" s="329" t="s">
        <v>2</v>
      </c>
      <c r="D850" s="330"/>
      <c r="E850" s="329" t="s">
        <v>3</v>
      </c>
      <c r="F850" s="330"/>
      <c r="G850" s="329" t="s">
        <v>2896</v>
      </c>
      <c r="H850" s="330"/>
      <c r="J850" s="18" t="s">
        <v>2473</v>
      </c>
      <c r="K850" s="18" t="s">
        <v>2473</v>
      </c>
      <c r="AM850" s="8" t="str">
        <f>C850</f>
        <v>OSM-Redfish</v>
      </c>
      <c r="AN850" s="8" t="str">
        <f>E850</f>
        <v>OSM-RedfishBMC</v>
      </c>
      <c r="AO850" s="8" t="str">
        <f>G850</f>
        <v>OSM-RedfishDCN</v>
      </c>
      <c r="AU850" s="6"/>
      <c r="AV850" s="6" t="str">
        <f t="shared" si="14"/>
        <v/>
      </c>
    </row>
    <row r="851" spans="1:48" ht="36" thickBot="1" x14ac:dyDescent="0.5">
      <c r="A851" s="46" t="s">
        <v>2377</v>
      </c>
      <c r="B851" s="47"/>
      <c r="C851" s="303" t="s">
        <v>13</v>
      </c>
      <c r="D851" s="304"/>
      <c r="E851" s="303" t="s">
        <v>13</v>
      </c>
      <c r="F851" s="304"/>
      <c r="G851" s="303" t="s">
        <v>13</v>
      </c>
      <c r="H851" s="304"/>
      <c r="I851" s="18" t="s">
        <v>2473</v>
      </c>
      <c r="J851" s="18" t="s">
        <v>2473</v>
      </c>
      <c r="K851" s="18" t="s">
        <v>2473</v>
      </c>
      <c r="AM851" s="8" t="str">
        <f>IF(C851&lt;&gt;"","CRQ-P5-"&amp;(AM$2+$AP851*$AP$3),"")</f>
        <v>CRQ-P5-1140</v>
      </c>
      <c r="AN851" s="8" t="str">
        <f>IF(E851&lt;&gt;"","CRQ-P5-"&amp;(AN$2+$AP851*$AP$3),"")</f>
        <v>CRQ-P5-1440</v>
      </c>
      <c r="AO851" s="8" t="str">
        <f>IF(G851&lt;&gt;"","CRQ-P5-"&amp;(AO$2+$AP851*$AP$3),"")</f>
        <v>CRQ-P5-1740</v>
      </c>
      <c r="AP851" s="8">
        <v>35</v>
      </c>
      <c r="AT851" s="233" t="s">
        <v>5313</v>
      </c>
      <c r="AU851" s="6"/>
      <c r="AV851" s="6" t="str">
        <f t="shared" si="14"/>
        <v/>
      </c>
    </row>
    <row r="852" spans="1:48" ht="14.65" thickBot="1" x14ac:dyDescent="0.5">
      <c r="A852" s="29" t="s">
        <v>3394</v>
      </c>
      <c r="B852" s="9"/>
      <c r="C852" s="305" t="str">
        <f>MID($A847,FIND("(",$A847)+1,5)</f>
        <v>1.0.0</v>
      </c>
      <c r="D852" s="306"/>
      <c r="E852" s="305" t="str">
        <f>MID($A847,FIND("(",$A847)+1,5)</f>
        <v>1.0.0</v>
      </c>
      <c r="F852" s="306"/>
      <c r="G852" s="305" t="str">
        <f>MID($A847,FIND("(",$A847)+1,5)</f>
        <v>1.0.0</v>
      </c>
      <c r="H852" s="306"/>
      <c r="I852" s="18" t="s">
        <v>2473</v>
      </c>
      <c r="J852" s="18" t="s">
        <v>2473</v>
      </c>
      <c r="K852" s="18" t="s">
        <v>2473</v>
      </c>
      <c r="AU852" s="6"/>
      <c r="AV852" s="6" t="str">
        <f t="shared" si="14"/>
        <v/>
      </c>
    </row>
    <row r="853" spans="1:48" ht="14.65" thickBot="1" x14ac:dyDescent="0.5">
      <c r="A853" s="30" t="s">
        <v>4</v>
      </c>
      <c r="B853" s="59" t="s">
        <v>5</v>
      </c>
      <c r="C853" s="7" t="s">
        <v>6</v>
      </c>
      <c r="D853" s="7" t="s">
        <v>7</v>
      </c>
      <c r="E853" s="7" t="s">
        <v>6</v>
      </c>
      <c r="F853" s="7" t="s">
        <v>7</v>
      </c>
      <c r="G853" s="7" t="s">
        <v>6</v>
      </c>
      <c r="H853" s="7" t="s">
        <v>7</v>
      </c>
      <c r="I853" s="18" t="s">
        <v>2473</v>
      </c>
      <c r="J853" s="18" t="s">
        <v>2473</v>
      </c>
      <c r="K853" s="18" t="s">
        <v>2473</v>
      </c>
      <c r="AU853" s="6"/>
      <c r="AV853" s="6" t="str">
        <f t="shared" si="14"/>
        <v/>
      </c>
    </row>
    <row r="854" spans="1:48" ht="14.65" thickBot="1" x14ac:dyDescent="0.5">
      <c r="A854" s="36" t="s">
        <v>8</v>
      </c>
      <c r="B854" s="3" t="s">
        <v>9</v>
      </c>
      <c r="C854" s="4"/>
      <c r="D854" s="4"/>
      <c r="E854" s="4"/>
      <c r="F854" s="4"/>
      <c r="G854" s="4"/>
      <c r="H854" s="4"/>
      <c r="I854" s="18" t="s">
        <v>2473</v>
      </c>
      <c r="J854" s="18" t="s">
        <v>2473</v>
      </c>
      <c r="K854" s="18" t="s">
        <v>2473</v>
      </c>
      <c r="AU854" s="6"/>
      <c r="AV854" s="6" t="str">
        <f t="shared" si="14"/>
        <v/>
      </c>
    </row>
    <row r="855" spans="1:48" ht="35.25" thickBot="1" x14ac:dyDescent="0.5">
      <c r="A855" s="36" t="s">
        <v>722</v>
      </c>
      <c r="B855" s="3" t="s">
        <v>723</v>
      </c>
      <c r="C855" s="4" t="s">
        <v>13</v>
      </c>
      <c r="D855" s="4"/>
      <c r="E855" s="4" t="s">
        <v>13</v>
      </c>
      <c r="F855" s="4"/>
      <c r="G855" s="4" t="s">
        <v>13</v>
      </c>
      <c r="H855" s="4"/>
      <c r="I855" s="18" t="s">
        <v>2473</v>
      </c>
      <c r="J855" s="18" t="s">
        <v>2473</v>
      </c>
      <c r="K855" s="18" t="s">
        <v>2473</v>
      </c>
      <c r="AU855" s="6"/>
      <c r="AV855" s="6" t="str">
        <f t="shared" si="14"/>
        <v/>
      </c>
    </row>
    <row r="856" spans="1:48" ht="24.4" thickBot="1" x14ac:dyDescent="0.5">
      <c r="A856" s="36" t="s">
        <v>680</v>
      </c>
      <c r="B856" s="3" t="s">
        <v>724</v>
      </c>
      <c r="C856" s="4" t="s">
        <v>13</v>
      </c>
      <c r="D856" s="4" t="s">
        <v>13</v>
      </c>
      <c r="E856" s="4" t="s">
        <v>13</v>
      </c>
      <c r="F856" s="4" t="s">
        <v>13</v>
      </c>
      <c r="G856" s="4" t="s">
        <v>13</v>
      </c>
      <c r="H856" s="4" t="s">
        <v>13</v>
      </c>
      <c r="I856" s="18" t="s">
        <v>2473</v>
      </c>
      <c r="J856" s="18" t="s">
        <v>2473</v>
      </c>
      <c r="K856" s="18" t="s">
        <v>2473</v>
      </c>
      <c r="AU856" s="139" t="s">
        <v>4126</v>
      </c>
      <c r="AV856" s="6" t="str">
        <f t="shared" si="14"/>
        <v/>
      </c>
    </row>
    <row r="857" spans="1:48" ht="14.65" thickBot="1" x14ac:dyDescent="0.5">
      <c r="A857" s="36" t="s">
        <v>725</v>
      </c>
      <c r="B857" s="5" t="s">
        <v>726</v>
      </c>
      <c r="C857" s="4" t="s">
        <v>10</v>
      </c>
      <c r="D857" s="4"/>
      <c r="E857" s="4" t="s">
        <v>10</v>
      </c>
      <c r="F857" s="4"/>
      <c r="G857" s="4" t="s">
        <v>10</v>
      </c>
      <c r="H857" s="4"/>
      <c r="I857" s="18" t="s">
        <v>2473</v>
      </c>
      <c r="J857" s="18" t="s">
        <v>2473</v>
      </c>
      <c r="K857" s="18" t="s">
        <v>2473</v>
      </c>
      <c r="AU857" s="8"/>
      <c r="AV857" s="6" t="str">
        <f t="shared" si="14"/>
        <v/>
      </c>
    </row>
    <row r="858" spans="1:48" ht="14.65" thickBot="1" x14ac:dyDescent="0.5">
      <c r="A858" s="35" t="s">
        <v>33</v>
      </c>
      <c r="B858" s="3" t="s">
        <v>727</v>
      </c>
      <c r="C858" s="4"/>
      <c r="D858" s="4"/>
      <c r="E858" s="4"/>
      <c r="F858" s="4"/>
      <c r="G858" s="4"/>
      <c r="H858" s="4"/>
      <c r="I858" s="18" t="s">
        <v>2473</v>
      </c>
      <c r="J858" s="18" t="s">
        <v>2473</v>
      </c>
      <c r="K858" s="18" t="s">
        <v>2473</v>
      </c>
      <c r="AU858" s="6"/>
      <c r="AV858" s="6" t="str">
        <f t="shared" si="14"/>
        <v/>
      </c>
    </row>
    <row r="859" spans="1:48" ht="14.65" thickBot="1" x14ac:dyDescent="0.5">
      <c r="A859" s="36" t="s">
        <v>3233</v>
      </c>
      <c r="B859" s="3" t="s">
        <v>3234</v>
      </c>
      <c r="C859" s="4" t="s">
        <v>13</v>
      </c>
      <c r="D859" s="4" t="s">
        <v>13</v>
      </c>
      <c r="E859" s="4" t="s">
        <v>13</v>
      </c>
      <c r="F859" s="4" t="s">
        <v>13</v>
      </c>
      <c r="G859" s="4" t="s">
        <v>13</v>
      </c>
      <c r="H859" s="4" t="s">
        <v>13</v>
      </c>
      <c r="J859" s="18" t="s">
        <v>2473</v>
      </c>
      <c r="K859" s="18" t="s">
        <v>2473</v>
      </c>
      <c r="AU859" s="8"/>
      <c r="AV859" s="6" t="str">
        <f t="shared" si="14"/>
        <v/>
      </c>
    </row>
    <row r="860" spans="1:48" ht="14.65" thickBot="1" x14ac:dyDescent="0.5">
      <c r="A860" s="36" t="s">
        <v>728</v>
      </c>
      <c r="B860" s="3" t="s">
        <v>729</v>
      </c>
      <c r="C860" s="4" t="s">
        <v>10</v>
      </c>
      <c r="D860" s="4" t="s">
        <v>13</v>
      </c>
      <c r="E860" s="4" t="s">
        <v>10</v>
      </c>
      <c r="F860" s="4" t="s">
        <v>13</v>
      </c>
      <c r="G860" s="4" t="s">
        <v>10</v>
      </c>
      <c r="H860" s="4" t="s">
        <v>13</v>
      </c>
      <c r="I860" s="18" t="s">
        <v>2473</v>
      </c>
      <c r="J860" s="18" t="s">
        <v>2473</v>
      </c>
      <c r="K860" s="18" t="s">
        <v>2473</v>
      </c>
      <c r="AU860" s="8"/>
      <c r="AV860" s="6" t="str">
        <f t="shared" si="14"/>
        <v/>
      </c>
    </row>
    <row r="861" spans="1:48" ht="58.5" thickBot="1" x14ac:dyDescent="0.5">
      <c r="A861" s="36" t="s">
        <v>3235</v>
      </c>
      <c r="B861" s="3" t="s">
        <v>3787</v>
      </c>
      <c r="C861" s="4" t="s">
        <v>13</v>
      </c>
      <c r="D861" s="4" t="s">
        <v>13</v>
      </c>
      <c r="E861" s="4" t="s">
        <v>13</v>
      </c>
      <c r="F861" s="4" t="s">
        <v>13</v>
      </c>
      <c r="G861" s="4" t="s">
        <v>13</v>
      </c>
      <c r="H861" s="4" t="s">
        <v>13</v>
      </c>
      <c r="J861" s="18" t="s">
        <v>2473</v>
      </c>
      <c r="K861" s="18" t="s">
        <v>2473</v>
      </c>
      <c r="AU861" s="8"/>
      <c r="AV861" s="6" t="str">
        <f t="shared" si="14"/>
        <v/>
      </c>
    </row>
    <row r="862" spans="1:48" ht="47.65" thickBot="1" x14ac:dyDescent="0.5">
      <c r="A862" s="36" t="s">
        <v>231</v>
      </c>
      <c r="B862" s="3" t="s">
        <v>730</v>
      </c>
      <c r="C862" s="4" t="s">
        <v>10</v>
      </c>
      <c r="D862" s="4"/>
      <c r="E862" s="4" t="s">
        <v>10</v>
      </c>
      <c r="F862" s="4"/>
      <c r="G862" s="4" t="s">
        <v>10</v>
      </c>
      <c r="H862" s="4"/>
      <c r="I862" s="18" t="s">
        <v>2473</v>
      </c>
      <c r="J862" s="18" t="s">
        <v>2473</v>
      </c>
      <c r="K862" s="18" t="s">
        <v>2473</v>
      </c>
      <c r="AO862" s="206"/>
      <c r="AS862" s="206" t="s">
        <v>5860</v>
      </c>
      <c r="AU862" s="8"/>
      <c r="AV862" s="6" t="str">
        <f t="shared" si="14"/>
        <v/>
      </c>
    </row>
    <row r="863" spans="1:48" ht="23.65" thickBot="1" x14ac:dyDescent="0.5">
      <c r="A863" s="35" t="s">
        <v>731</v>
      </c>
      <c r="B863" s="3" t="s">
        <v>732</v>
      </c>
      <c r="C863" s="4" t="s">
        <v>10</v>
      </c>
      <c r="D863" s="4" t="s">
        <v>13</v>
      </c>
      <c r="E863" s="4" t="s">
        <v>10</v>
      </c>
      <c r="F863" s="4" t="s">
        <v>13</v>
      </c>
      <c r="G863" s="4" t="s">
        <v>10</v>
      </c>
      <c r="H863" s="4" t="s">
        <v>13</v>
      </c>
      <c r="I863" s="18" t="s">
        <v>2473</v>
      </c>
      <c r="J863" s="18" t="s">
        <v>2473</v>
      </c>
      <c r="K863" s="18" t="s">
        <v>2473</v>
      </c>
      <c r="AU863" s="8"/>
      <c r="AV863" s="6" t="str">
        <f t="shared" si="14"/>
        <v/>
      </c>
    </row>
    <row r="864" spans="1:48" ht="14.65" thickBot="1" x14ac:dyDescent="0.5">
      <c r="A864" s="35" t="s">
        <v>733</v>
      </c>
      <c r="B864" s="3" t="s">
        <v>734</v>
      </c>
      <c r="C864" s="4" t="s">
        <v>10</v>
      </c>
      <c r="D864" s="4" t="s">
        <v>13</v>
      </c>
      <c r="E864" s="4" t="s">
        <v>10</v>
      </c>
      <c r="F864" s="4" t="s">
        <v>13</v>
      </c>
      <c r="G864" s="4" t="s">
        <v>10</v>
      </c>
      <c r="H864" s="4" t="s">
        <v>13</v>
      </c>
      <c r="I864" s="18" t="s">
        <v>2473</v>
      </c>
      <c r="J864" s="18" t="s">
        <v>2473</v>
      </c>
      <c r="K864" s="18" t="s">
        <v>2473</v>
      </c>
      <c r="AU864" s="8"/>
      <c r="AV864" s="6" t="str">
        <f t="shared" si="14"/>
        <v/>
      </c>
    </row>
    <row r="865" spans="1:48" ht="23.65" thickBot="1" x14ac:dyDescent="0.5">
      <c r="A865" s="35" t="s">
        <v>710</v>
      </c>
      <c r="B865" s="3" t="s">
        <v>735</v>
      </c>
      <c r="C865" s="4" t="s">
        <v>10</v>
      </c>
      <c r="D865" s="4"/>
      <c r="E865" s="4" t="s">
        <v>10</v>
      </c>
      <c r="F865" s="4"/>
      <c r="G865" s="4" t="s">
        <v>10</v>
      </c>
      <c r="H865" s="4"/>
      <c r="I865" s="18" t="s">
        <v>2473</v>
      </c>
      <c r="J865" s="18" t="s">
        <v>2473</v>
      </c>
      <c r="K865" s="18" t="s">
        <v>2473</v>
      </c>
      <c r="AU865" s="8"/>
      <c r="AV865" s="6" t="str">
        <f t="shared" si="14"/>
        <v/>
      </c>
    </row>
    <row r="866" spans="1:48" ht="14.65" thickBot="1" x14ac:dyDescent="0.5">
      <c r="A866" s="35" t="s">
        <v>736</v>
      </c>
      <c r="B866" s="3" t="s">
        <v>737</v>
      </c>
      <c r="C866" s="4" t="s">
        <v>10</v>
      </c>
      <c r="D866" s="4" t="s">
        <v>13</v>
      </c>
      <c r="E866" s="4" t="s">
        <v>10</v>
      </c>
      <c r="F866" s="4" t="s">
        <v>13</v>
      </c>
      <c r="G866" s="4" t="s">
        <v>10</v>
      </c>
      <c r="H866" s="4" t="s">
        <v>13</v>
      </c>
      <c r="I866" s="18" t="s">
        <v>2473</v>
      </c>
      <c r="J866" s="18" t="s">
        <v>2473</v>
      </c>
      <c r="K866" s="18" t="s">
        <v>2473</v>
      </c>
      <c r="AU866" s="8"/>
      <c r="AV866" s="6" t="str">
        <f t="shared" si="14"/>
        <v/>
      </c>
    </row>
    <row r="867" spans="1:48" ht="14.65" thickBot="1" x14ac:dyDescent="0.5">
      <c r="A867" s="36" t="s">
        <v>738</v>
      </c>
      <c r="B867" s="3" t="s">
        <v>739</v>
      </c>
      <c r="C867" s="4" t="s">
        <v>13</v>
      </c>
      <c r="D867" s="4"/>
      <c r="E867" s="4" t="s">
        <v>13</v>
      </c>
      <c r="F867" s="4"/>
      <c r="G867" s="4" t="s">
        <v>13</v>
      </c>
      <c r="H867" s="4"/>
      <c r="I867" s="18" t="s">
        <v>2473</v>
      </c>
      <c r="J867" s="18" t="s">
        <v>2473</v>
      </c>
      <c r="K867" s="18" t="s">
        <v>2473</v>
      </c>
      <c r="AU867" s="8"/>
      <c r="AV867" s="6" t="str">
        <f t="shared" si="14"/>
        <v/>
      </c>
    </row>
    <row r="868" spans="1:48" ht="46.9" thickBot="1" x14ac:dyDescent="0.5">
      <c r="A868" s="36" t="s">
        <v>4127</v>
      </c>
      <c r="B868" s="3" t="s">
        <v>741</v>
      </c>
      <c r="C868" s="4" t="s">
        <v>13</v>
      </c>
      <c r="D868" s="4"/>
      <c r="E868" s="4" t="s">
        <v>13</v>
      </c>
      <c r="F868" s="4"/>
      <c r="G868" s="4" t="s">
        <v>13</v>
      </c>
      <c r="H868" s="4"/>
      <c r="I868" s="18" t="s">
        <v>2473</v>
      </c>
      <c r="J868" s="18" t="s">
        <v>2473</v>
      </c>
      <c r="K868" s="18" t="s">
        <v>2473</v>
      </c>
      <c r="AU868" s="139" t="s">
        <v>4128</v>
      </c>
      <c r="AV868" s="6" t="str">
        <f t="shared" si="14"/>
        <v/>
      </c>
    </row>
    <row r="869" spans="1:48" ht="46.9" thickBot="1" x14ac:dyDescent="0.5">
      <c r="A869" s="36" t="s">
        <v>740</v>
      </c>
      <c r="B869" s="3" t="s">
        <v>741</v>
      </c>
      <c r="C869" s="4" t="s">
        <v>13</v>
      </c>
      <c r="D869" s="4"/>
      <c r="E869" s="4" t="s">
        <v>13</v>
      </c>
      <c r="F869" s="4"/>
      <c r="G869" s="4" t="s">
        <v>13</v>
      </c>
      <c r="H869" s="4"/>
      <c r="I869" s="18" t="s">
        <v>2473</v>
      </c>
      <c r="J869" s="18" t="s">
        <v>2473</v>
      </c>
      <c r="K869" s="18" t="s">
        <v>2473</v>
      </c>
      <c r="AU869" s="8"/>
      <c r="AV869" s="6" t="str">
        <f t="shared" si="14"/>
        <v/>
      </c>
    </row>
    <row r="870" spans="1:48" ht="24.4" thickBot="1" x14ac:dyDescent="0.5">
      <c r="A870" s="36" t="s">
        <v>742</v>
      </c>
      <c r="B870" s="3" t="s">
        <v>743</v>
      </c>
      <c r="C870" s="4" t="s">
        <v>13</v>
      </c>
      <c r="D870" s="4"/>
      <c r="E870" s="4" t="s">
        <v>13</v>
      </c>
      <c r="F870" s="4"/>
      <c r="G870" s="4" t="s">
        <v>13</v>
      </c>
      <c r="H870" s="4"/>
      <c r="I870" s="18" t="s">
        <v>2473</v>
      </c>
      <c r="J870" s="18" t="s">
        <v>2473</v>
      </c>
      <c r="K870" s="18" t="s">
        <v>2473</v>
      </c>
      <c r="AU870" s="139" t="s">
        <v>4129</v>
      </c>
      <c r="AV870" s="6" t="str">
        <f t="shared" si="14"/>
        <v/>
      </c>
    </row>
    <row r="871" spans="1:48" ht="24.4" thickBot="1" x14ac:dyDescent="0.5">
      <c r="A871" s="36" t="s">
        <v>145</v>
      </c>
      <c r="B871" s="3" t="s">
        <v>450</v>
      </c>
      <c r="C871" s="4" t="s">
        <v>13</v>
      </c>
      <c r="D871" s="4"/>
      <c r="E871" s="4" t="s">
        <v>13</v>
      </c>
      <c r="F871" s="4"/>
      <c r="G871" s="4" t="s">
        <v>13</v>
      </c>
      <c r="H871" s="4"/>
      <c r="I871" s="18" t="s">
        <v>2473</v>
      </c>
      <c r="J871" s="18" t="s">
        <v>2473</v>
      </c>
      <c r="K871" s="18" t="s">
        <v>2473</v>
      </c>
      <c r="AS871" s="139" t="s">
        <v>5371</v>
      </c>
      <c r="AU871" s="8"/>
      <c r="AV871" s="6" t="str">
        <f t="shared" ref="AV871:AV936" si="15">IF(A871&lt;&gt;"",IF(T871&lt;&gt;"",IF(LEFT(R871,3)="Has",IF(TRIM(A871)&lt;&gt;T871,"ERROR","OK"),""),""),"")</f>
        <v/>
      </c>
    </row>
    <row r="872" spans="1:48" ht="47.65" thickBot="1" x14ac:dyDescent="0.5">
      <c r="A872" s="35" t="s">
        <v>5361</v>
      </c>
      <c r="B872" s="3" t="s">
        <v>5352</v>
      </c>
      <c r="C872" s="4" t="s">
        <v>10</v>
      </c>
      <c r="D872" s="4"/>
      <c r="E872" s="4" t="s">
        <v>10</v>
      </c>
      <c r="F872" s="4"/>
      <c r="G872" s="4" t="s">
        <v>10</v>
      </c>
      <c r="H872" s="4"/>
      <c r="I872" s="18" t="s">
        <v>2473</v>
      </c>
      <c r="J872" s="18" t="s">
        <v>2473</v>
      </c>
      <c r="K872" s="18" t="s">
        <v>2473</v>
      </c>
      <c r="Q872" s="131"/>
      <c r="R872" s="131"/>
      <c r="S872" s="131"/>
      <c r="T872" s="131"/>
      <c r="U872" s="131"/>
      <c r="V872" s="131"/>
      <c r="W872" s="131"/>
      <c r="X872" s="131"/>
      <c r="AS872" s="139" t="s">
        <v>5355</v>
      </c>
      <c r="AU872" s="6"/>
      <c r="AV872" s="6"/>
    </row>
    <row r="873" spans="1:48" ht="82.5" thickBot="1" x14ac:dyDescent="0.5">
      <c r="A873" s="35" t="s">
        <v>5360</v>
      </c>
      <c r="B873" s="3" t="s">
        <v>5353</v>
      </c>
      <c r="C873" s="4"/>
      <c r="D873" s="4"/>
      <c r="E873" s="4"/>
      <c r="F873" s="4"/>
      <c r="G873" s="4"/>
      <c r="H873" s="4"/>
      <c r="I873" s="18" t="s">
        <v>2473</v>
      </c>
      <c r="J873" s="18" t="s">
        <v>2473</v>
      </c>
      <c r="K873" s="18" t="s">
        <v>2473</v>
      </c>
      <c r="Q873" s="131"/>
      <c r="R873" s="131"/>
      <c r="S873" s="131"/>
      <c r="T873" s="131"/>
      <c r="U873" s="131"/>
      <c r="V873" s="131"/>
      <c r="W873" s="131"/>
      <c r="X873" s="131"/>
      <c r="AS873" s="139" t="s">
        <v>5356</v>
      </c>
      <c r="AU873" s="6"/>
      <c r="AV873" s="6"/>
    </row>
    <row r="874" spans="1:48" ht="58.5" thickBot="1" x14ac:dyDescent="0.5">
      <c r="A874" s="36" t="s">
        <v>3236</v>
      </c>
      <c r="B874" s="3" t="s">
        <v>3787</v>
      </c>
      <c r="C874" s="4" t="s">
        <v>13</v>
      </c>
      <c r="D874" s="4" t="s">
        <v>13</v>
      </c>
      <c r="E874" s="4" t="s">
        <v>13</v>
      </c>
      <c r="F874" s="4" t="s">
        <v>13</v>
      </c>
      <c r="G874" s="4" t="s">
        <v>13</v>
      </c>
      <c r="H874" s="4" t="s">
        <v>13</v>
      </c>
      <c r="J874" s="18" t="s">
        <v>2473</v>
      </c>
      <c r="K874" s="18" t="s">
        <v>2473</v>
      </c>
      <c r="AU874" s="8"/>
      <c r="AV874" s="6" t="str">
        <f t="shared" si="15"/>
        <v/>
      </c>
    </row>
    <row r="875" spans="1:48" ht="23.65" thickBot="1" x14ac:dyDescent="0.5">
      <c r="A875" s="36" t="s">
        <v>696</v>
      </c>
      <c r="B875" s="3" t="s">
        <v>744</v>
      </c>
      <c r="C875" s="4" t="s">
        <v>37</v>
      </c>
      <c r="D875" s="4"/>
      <c r="E875" s="4" t="s">
        <v>37</v>
      </c>
      <c r="F875" s="4"/>
      <c r="G875" s="4" t="s">
        <v>37</v>
      </c>
      <c r="H875" s="4"/>
      <c r="I875" s="18" t="s">
        <v>2473</v>
      </c>
      <c r="J875" s="18" t="s">
        <v>2473</v>
      </c>
      <c r="K875" s="18" t="s">
        <v>2473</v>
      </c>
      <c r="AU875" s="8"/>
      <c r="AV875" s="6" t="str">
        <f t="shared" si="15"/>
        <v/>
      </c>
    </row>
    <row r="876" spans="1:48" ht="36" thickBot="1" x14ac:dyDescent="0.5">
      <c r="A876" s="35" t="s">
        <v>745</v>
      </c>
      <c r="B876" s="3" t="s">
        <v>5855</v>
      </c>
      <c r="C876" s="4" t="s">
        <v>10</v>
      </c>
      <c r="D876" s="4"/>
      <c r="E876" s="4" t="s">
        <v>10</v>
      </c>
      <c r="F876" s="4"/>
      <c r="G876" s="4" t="s">
        <v>10</v>
      </c>
      <c r="H876" s="4"/>
      <c r="I876" s="18" t="s">
        <v>2473</v>
      </c>
      <c r="J876" s="18" t="s">
        <v>2473</v>
      </c>
      <c r="K876" s="18" t="s">
        <v>2473</v>
      </c>
      <c r="M876" s="244" t="s">
        <v>5853</v>
      </c>
      <c r="AS876" s="240" t="s">
        <v>5858</v>
      </c>
      <c r="AU876" s="8"/>
      <c r="AV876" s="6" t="str">
        <f t="shared" si="15"/>
        <v/>
      </c>
    </row>
    <row r="877" spans="1:48" ht="14.65" thickBot="1" x14ac:dyDescent="0.5">
      <c r="A877" s="35" t="s">
        <v>424</v>
      </c>
      <c r="B877" s="3" t="s">
        <v>697</v>
      </c>
      <c r="C877" s="4" t="s">
        <v>10</v>
      </c>
      <c r="D877" s="4"/>
      <c r="E877" s="4" t="s">
        <v>10</v>
      </c>
      <c r="F877" s="4"/>
      <c r="G877" s="4" t="s">
        <v>10</v>
      </c>
      <c r="H877" s="4"/>
      <c r="I877" s="18" t="s">
        <v>2473</v>
      </c>
      <c r="J877" s="18" t="s">
        <v>2473</v>
      </c>
      <c r="K877" s="18" t="s">
        <v>2473</v>
      </c>
      <c r="AU877" s="8"/>
      <c r="AV877" s="6" t="str">
        <f t="shared" si="15"/>
        <v/>
      </c>
    </row>
    <row r="878" spans="1:48" ht="36" thickBot="1" x14ac:dyDescent="0.5">
      <c r="A878" s="35" t="s">
        <v>698</v>
      </c>
      <c r="B878" s="3" t="s">
        <v>5856</v>
      </c>
      <c r="C878" s="4" t="s">
        <v>10</v>
      </c>
      <c r="D878" s="4"/>
      <c r="E878" s="4" t="s">
        <v>10</v>
      </c>
      <c r="F878" s="4"/>
      <c r="G878" s="4" t="s">
        <v>10</v>
      </c>
      <c r="H878" s="4"/>
      <c r="J878" s="18" t="s">
        <v>2473</v>
      </c>
      <c r="K878" s="18" t="s">
        <v>2473</v>
      </c>
      <c r="M878" s="244" t="s">
        <v>5854</v>
      </c>
      <c r="AS878" s="240" t="s">
        <v>5857</v>
      </c>
      <c r="AU878" s="8"/>
      <c r="AV878" s="6" t="str">
        <f t="shared" si="15"/>
        <v/>
      </c>
    </row>
    <row r="879" spans="1:48" x14ac:dyDescent="0.45">
      <c r="A879" s="33" t="s">
        <v>746</v>
      </c>
      <c r="I879" s="18" t="s">
        <v>2473</v>
      </c>
      <c r="J879" s="18" t="s">
        <v>2473</v>
      </c>
      <c r="K879" s="18" t="s">
        <v>2473</v>
      </c>
      <c r="AU879" s="8"/>
      <c r="AV879" s="6" t="str">
        <f t="shared" si="15"/>
        <v/>
      </c>
    </row>
    <row r="880" spans="1:48" x14ac:dyDescent="0.45">
      <c r="A880" s="34" t="s">
        <v>747</v>
      </c>
      <c r="I880" s="18" t="s">
        <v>2473</v>
      </c>
      <c r="J880" s="18" t="s">
        <v>2473</v>
      </c>
      <c r="K880" s="18" t="s">
        <v>2473</v>
      </c>
      <c r="AU880" s="8"/>
      <c r="AV880" s="6" t="str">
        <f t="shared" si="15"/>
        <v/>
      </c>
    </row>
    <row r="881" spans="1:48" s="79" customFormat="1" x14ac:dyDescent="0.45">
      <c r="A881" s="75"/>
      <c r="B881" s="76"/>
      <c r="C881" s="77"/>
      <c r="D881" s="77"/>
      <c r="E881" s="77"/>
      <c r="F881" s="77"/>
      <c r="G881" s="77"/>
      <c r="H881" s="77"/>
      <c r="I881" s="77"/>
      <c r="J881" s="77"/>
      <c r="K881" s="77"/>
      <c r="L881" s="77"/>
      <c r="M881" s="145"/>
      <c r="N881" s="8"/>
      <c r="O881" s="8"/>
      <c r="P881" s="8"/>
      <c r="Q881" s="8"/>
      <c r="R881" s="8"/>
      <c r="S881" s="8"/>
      <c r="T881" s="8"/>
      <c r="U881" s="8"/>
      <c r="V881" s="8"/>
      <c r="W881" s="8"/>
      <c r="X881" s="8"/>
      <c r="Y881" s="145"/>
      <c r="Z881" s="8"/>
      <c r="AA881" s="8"/>
      <c r="AB881" s="8"/>
      <c r="AC881" s="8"/>
      <c r="AD881" s="8"/>
      <c r="AE881" s="154"/>
      <c r="AF881" s="154"/>
      <c r="AG881" s="8"/>
      <c r="AH881" s="8"/>
      <c r="AI881" s="8"/>
      <c r="AJ881" s="8"/>
      <c r="AK881" s="8"/>
      <c r="AL881" s="8"/>
      <c r="AM881" s="8"/>
      <c r="AN881" s="8"/>
      <c r="AO881" s="8"/>
      <c r="AP881" s="8"/>
      <c r="AQ881" s="8"/>
      <c r="AR881" s="284"/>
      <c r="AS881" s="8"/>
      <c r="AT881" s="8"/>
      <c r="AU881" s="8"/>
      <c r="AV881" s="6" t="str">
        <f t="shared" si="15"/>
        <v/>
      </c>
    </row>
    <row r="882" spans="1:48" x14ac:dyDescent="0.45">
      <c r="A882" s="27" t="s">
        <v>2411</v>
      </c>
      <c r="I882" s="18" t="s">
        <v>2473</v>
      </c>
      <c r="J882" s="18" t="s">
        <v>2473</v>
      </c>
      <c r="K882" s="18" t="s">
        <v>2473</v>
      </c>
      <c r="AU882" s="8"/>
      <c r="AV882" s="6" t="str">
        <f t="shared" si="15"/>
        <v/>
      </c>
    </row>
    <row r="883" spans="1:48" x14ac:dyDescent="0.45">
      <c r="A883" s="323" t="s">
        <v>2505</v>
      </c>
      <c r="B883" s="324"/>
      <c r="C883" s="324"/>
      <c r="D883" s="324"/>
      <c r="E883" s="324"/>
      <c r="F883" s="324"/>
      <c r="G883" s="101"/>
      <c r="H883" s="101"/>
      <c r="I883" s="18" t="s">
        <v>2473</v>
      </c>
      <c r="J883" s="18" t="s">
        <v>2473</v>
      </c>
      <c r="K883" s="18" t="s">
        <v>2473</v>
      </c>
      <c r="AU883" s="8"/>
      <c r="AV883" s="6" t="str">
        <f t="shared" si="15"/>
        <v/>
      </c>
    </row>
    <row r="884" spans="1:48" ht="14.65" thickBot="1" x14ac:dyDescent="0.5">
      <c r="A884" s="28" t="s">
        <v>748</v>
      </c>
      <c r="I884" s="18" t="s">
        <v>2473</v>
      </c>
      <c r="J884" s="18" t="s">
        <v>2473</v>
      </c>
      <c r="K884" s="18" t="s">
        <v>2473</v>
      </c>
      <c r="AU884" s="8"/>
      <c r="AV884" s="6" t="str">
        <f t="shared" si="15"/>
        <v/>
      </c>
    </row>
    <row r="885" spans="1:48" ht="14.65" thickBot="1" x14ac:dyDescent="0.5">
      <c r="A885" s="309" t="s">
        <v>145</v>
      </c>
      <c r="B885" s="310"/>
      <c r="C885" s="301" t="s">
        <v>1</v>
      </c>
      <c r="D885" s="319"/>
      <c r="E885" s="319"/>
      <c r="F885" s="302"/>
      <c r="G885" s="102"/>
      <c r="H885" s="102"/>
      <c r="I885" s="18" t="s">
        <v>2473</v>
      </c>
      <c r="J885" s="18" t="s">
        <v>2473</v>
      </c>
      <c r="K885" s="18" t="s">
        <v>2473</v>
      </c>
      <c r="AU885" s="8"/>
      <c r="AV885" s="6" t="str">
        <f t="shared" si="15"/>
        <v/>
      </c>
    </row>
    <row r="886" spans="1:48" ht="14.65" thickBot="1" x14ac:dyDescent="0.5">
      <c r="A886" s="311"/>
      <c r="B886" s="312"/>
      <c r="C886" s="301" t="s">
        <v>2</v>
      </c>
      <c r="D886" s="302"/>
      <c r="E886" s="301" t="s">
        <v>3</v>
      </c>
      <c r="F886" s="302"/>
      <c r="G886" s="301" t="s">
        <v>2896</v>
      </c>
      <c r="H886" s="302"/>
      <c r="I886" s="18" t="s">
        <v>2473</v>
      </c>
      <c r="J886" s="18" t="s">
        <v>2473</v>
      </c>
      <c r="K886" s="18" t="s">
        <v>2473</v>
      </c>
      <c r="AU886" s="8"/>
      <c r="AV886" s="6" t="str">
        <f t="shared" si="15"/>
        <v/>
      </c>
    </row>
    <row r="887" spans="1:48" ht="14.65" thickBot="1" x14ac:dyDescent="0.5">
      <c r="A887" s="46" t="s">
        <v>2377</v>
      </c>
      <c r="B887" s="47"/>
      <c r="C887" s="303"/>
      <c r="D887" s="304"/>
      <c r="E887" s="303"/>
      <c r="F887" s="304"/>
      <c r="G887" s="303"/>
      <c r="H887" s="304"/>
      <c r="I887" s="18" t="s">
        <v>2473</v>
      </c>
      <c r="J887" s="18" t="s">
        <v>2473</v>
      </c>
      <c r="K887" s="18" t="s">
        <v>2473</v>
      </c>
      <c r="AU887" s="6"/>
      <c r="AV887" s="6" t="str">
        <f t="shared" si="15"/>
        <v/>
      </c>
    </row>
    <row r="888" spans="1:48" ht="14.65" thickBot="1" x14ac:dyDescent="0.5">
      <c r="A888" s="30" t="s">
        <v>4</v>
      </c>
      <c r="B888" s="59" t="s">
        <v>5</v>
      </c>
      <c r="C888" s="7" t="s">
        <v>6</v>
      </c>
      <c r="D888" s="7" t="s">
        <v>7</v>
      </c>
      <c r="E888" s="7" t="s">
        <v>6</v>
      </c>
      <c r="F888" s="7" t="s">
        <v>7</v>
      </c>
      <c r="G888" s="7" t="s">
        <v>6</v>
      </c>
      <c r="H888" s="7" t="s">
        <v>7</v>
      </c>
      <c r="I888" s="18" t="s">
        <v>2473</v>
      </c>
      <c r="J888" s="18" t="s">
        <v>2473</v>
      </c>
      <c r="K888" s="18" t="s">
        <v>2473</v>
      </c>
      <c r="AU888" s="8"/>
      <c r="AV888" s="6" t="str">
        <f t="shared" si="15"/>
        <v/>
      </c>
    </row>
    <row r="889" spans="1:48" ht="23.65" thickBot="1" x14ac:dyDescent="0.5">
      <c r="A889" s="36" t="s">
        <v>749</v>
      </c>
      <c r="B889" s="3" t="s">
        <v>750</v>
      </c>
      <c r="C889" s="4"/>
      <c r="D889" s="4"/>
      <c r="E889" s="4"/>
      <c r="F889" s="4"/>
      <c r="G889" s="4"/>
      <c r="H889" s="4"/>
      <c r="I889" s="18" t="s">
        <v>2473</v>
      </c>
      <c r="J889" s="18" t="s">
        <v>2473</v>
      </c>
      <c r="K889" s="18" t="s">
        <v>2473</v>
      </c>
      <c r="AU889" s="8"/>
      <c r="AV889" s="6" t="str">
        <f t="shared" si="15"/>
        <v/>
      </c>
    </row>
    <row r="890" spans="1:48" ht="14.65" thickBot="1" x14ac:dyDescent="0.5">
      <c r="A890" s="36" t="s">
        <v>751</v>
      </c>
      <c r="B890" s="3" t="s">
        <v>752</v>
      </c>
      <c r="C890" s="4"/>
      <c r="D890" s="4"/>
      <c r="E890" s="4"/>
      <c r="F890" s="4"/>
      <c r="G890" s="4"/>
      <c r="H890" s="4"/>
      <c r="I890" s="18" t="s">
        <v>2473</v>
      </c>
      <c r="J890" s="18" t="s">
        <v>2473</v>
      </c>
      <c r="K890" s="18" t="s">
        <v>2473</v>
      </c>
      <c r="AU890" s="8"/>
      <c r="AV890" s="6" t="str">
        <f t="shared" si="15"/>
        <v/>
      </c>
    </row>
    <row r="891" spans="1:48" ht="14.65" thickBot="1" x14ac:dyDescent="0.5">
      <c r="A891" s="36" t="s">
        <v>753</v>
      </c>
      <c r="B891" s="3" t="s">
        <v>60</v>
      </c>
      <c r="C891" s="4"/>
      <c r="D891" s="4"/>
      <c r="E891" s="4"/>
      <c r="F891" s="4"/>
      <c r="G891" s="4"/>
      <c r="H891" s="4"/>
      <c r="I891" s="18" t="s">
        <v>2473</v>
      </c>
      <c r="J891" s="18" t="s">
        <v>2473</v>
      </c>
      <c r="K891" s="18" t="s">
        <v>2473</v>
      </c>
      <c r="AU891" s="8"/>
      <c r="AV891" s="6" t="str">
        <f t="shared" si="15"/>
        <v/>
      </c>
    </row>
    <row r="892" spans="1:48" ht="14.65" thickBot="1" x14ac:dyDescent="0.5">
      <c r="A892" s="36" t="s">
        <v>754</v>
      </c>
      <c r="B892" s="5" t="s">
        <v>755</v>
      </c>
      <c r="C892" s="4"/>
      <c r="D892" s="4"/>
      <c r="E892" s="4"/>
      <c r="F892" s="4"/>
      <c r="G892" s="4"/>
      <c r="H892" s="4"/>
      <c r="I892" s="18" t="s">
        <v>2473</v>
      </c>
      <c r="J892" s="18" t="s">
        <v>2473</v>
      </c>
      <c r="K892" s="18" t="s">
        <v>2473</v>
      </c>
      <c r="AU892" s="8"/>
      <c r="AV892" s="6" t="str">
        <f t="shared" si="15"/>
        <v/>
      </c>
    </row>
    <row r="893" spans="1:48" x14ac:dyDescent="0.45">
      <c r="A893" s="325" t="s">
        <v>756</v>
      </c>
      <c r="B893" s="326"/>
      <c r="C893" s="326"/>
      <c r="D893" s="326"/>
      <c r="E893" s="326"/>
      <c r="F893" s="326"/>
      <c r="G893" s="101"/>
      <c r="H893" s="101"/>
      <c r="I893" s="18" t="s">
        <v>2473</v>
      </c>
      <c r="J893" s="18" t="s">
        <v>2473</v>
      </c>
      <c r="K893" s="18" t="s">
        <v>2473</v>
      </c>
      <c r="AU893" s="8"/>
      <c r="AV893" s="6" t="str">
        <f t="shared" si="15"/>
        <v/>
      </c>
    </row>
    <row r="894" spans="1:48" s="79" customFormat="1" x14ac:dyDescent="0.45">
      <c r="A894" s="75"/>
      <c r="B894" s="76"/>
      <c r="C894" s="77"/>
      <c r="D894" s="77"/>
      <c r="E894" s="77"/>
      <c r="F894" s="77"/>
      <c r="G894" s="77"/>
      <c r="H894" s="77"/>
      <c r="I894" s="77"/>
      <c r="J894" s="77"/>
      <c r="K894" s="77"/>
      <c r="L894" s="77"/>
      <c r="M894" s="148"/>
      <c r="N894" s="78"/>
      <c r="O894" s="78"/>
      <c r="P894" s="78"/>
      <c r="Q894" s="78"/>
      <c r="R894" s="78"/>
      <c r="S894" s="78"/>
      <c r="T894" s="78"/>
      <c r="U894" s="78"/>
      <c r="V894" s="78"/>
      <c r="W894" s="78"/>
      <c r="X894" s="78"/>
      <c r="Y894" s="148"/>
      <c r="Z894" s="78"/>
      <c r="AA894" s="78"/>
      <c r="AB894" s="78"/>
      <c r="AC894" s="78"/>
      <c r="AD894" s="78"/>
      <c r="AE894" s="156"/>
      <c r="AF894" s="156"/>
      <c r="AG894" s="78"/>
      <c r="AH894" s="78"/>
      <c r="AI894" s="78"/>
      <c r="AJ894" s="78"/>
      <c r="AK894" s="78"/>
      <c r="AL894" s="78"/>
      <c r="AM894" s="78"/>
      <c r="AN894" s="78"/>
      <c r="AO894" s="78"/>
      <c r="AP894" s="78"/>
      <c r="AQ894" s="78"/>
      <c r="AR894" s="286"/>
      <c r="AS894" s="78"/>
      <c r="AT894" s="78"/>
      <c r="AU894" s="8"/>
      <c r="AV894" s="6" t="str">
        <f t="shared" si="15"/>
        <v/>
      </c>
    </row>
    <row r="895" spans="1:48" x14ac:dyDescent="0.45">
      <c r="A895" s="33" t="s">
        <v>749</v>
      </c>
      <c r="I895" s="18" t="s">
        <v>2473</v>
      </c>
      <c r="J895" s="18" t="s">
        <v>2473</v>
      </c>
      <c r="K895" s="18" t="s">
        <v>2473</v>
      </c>
      <c r="AU895" s="6"/>
      <c r="AV895" s="6" t="str">
        <f t="shared" si="15"/>
        <v/>
      </c>
    </row>
    <row r="896" spans="1:48" x14ac:dyDescent="0.45">
      <c r="A896" s="323" t="s">
        <v>2506</v>
      </c>
      <c r="B896" s="324"/>
      <c r="C896" s="324"/>
      <c r="D896" s="324"/>
      <c r="E896" s="324"/>
      <c r="F896" s="324"/>
      <c r="G896" s="101"/>
      <c r="H896" s="101"/>
      <c r="I896" s="18" t="s">
        <v>2473</v>
      </c>
      <c r="J896" s="18" t="s">
        <v>2473</v>
      </c>
      <c r="K896" s="18" t="s">
        <v>2473</v>
      </c>
      <c r="AU896" s="6"/>
      <c r="AV896" s="6" t="str">
        <f t="shared" si="15"/>
        <v/>
      </c>
    </row>
    <row r="897" spans="1:48" ht="14.65" thickBot="1" x14ac:dyDescent="0.5">
      <c r="A897" s="28" t="s">
        <v>757</v>
      </c>
      <c r="I897" s="18" t="s">
        <v>2473</v>
      </c>
      <c r="J897" s="18" t="s">
        <v>2473</v>
      </c>
      <c r="K897" s="18" t="s">
        <v>2473</v>
      </c>
      <c r="AU897" s="6"/>
      <c r="AV897" s="6" t="str">
        <f t="shared" si="15"/>
        <v/>
      </c>
    </row>
    <row r="898" spans="1:48" ht="14.65" thickBot="1" x14ac:dyDescent="0.5">
      <c r="A898" s="60" t="s">
        <v>758</v>
      </c>
      <c r="B898" s="11" t="s">
        <v>5</v>
      </c>
      <c r="I898" s="18" t="s">
        <v>2473</v>
      </c>
      <c r="J898" s="18" t="s">
        <v>2473</v>
      </c>
      <c r="K898" s="18" t="s">
        <v>2473</v>
      </c>
      <c r="AU898" s="6"/>
      <c r="AV898" s="6" t="str">
        <f t="shared" si="15"/>
        <v/>
      </c>
    </row>
    <row r="899" spans="1:48" ht="14.65" thickBot="1" x14ac:dyDescent="0.5">
      <c r="A899" s="35" t="s">
        <v>759</v>
      </c>
      <c r="B899" s="3" t="s">
        <v>760</v>
      </c>
      <c r="I899" s="18" t="s">
        <v>2473</v>
      </c>
      <c r="J899" s="18" t="s">
        <v>2473</v>
      </c>
      <c r="K899" s="18" t="s">
        <v>2473</v>
      </c>
      <c r="AU899" s="6"/>
      <c r="AV899" s="6" t="str">
        <f t="shared" si="15"/>
        <v/>
      </c>
    </row>
    <row r="900" spans="1:48" ht="14.65" thickBot="1" x14ac:dyDescent="0.5">
      <c r="A900" s="35" t="s">
        <v>761</v>
      </c>
      <c r="B900" s="3" t="s">
        <v>762</v>
      </c>
      <c r="I900" s="18" t="s">
        <v>2473</v>
      </c>
      <c r="J900" s="18" t="s">
        <v>2473</v>
      </c>
      <c r="K900" s="18" t="s">
        <v>2473</v>
      </c>
      <c r="AU900" s="6"/>
      <c r="AV900" s="6" t="str">
        <f t="shared" si="15"/>
        <v/>
      </c>
    </row>
    <row r="901" spans="1:48" ht="14.65" thickBot="1" x14ac:dyDescent="0.5">
      <c r="A901" s="35" t="s">
        <v>763</v>
      </c>
      <c r="B901" s="3" t="s">
        <v>764</v>
      </c>
      <c r="I901" s="18" t="s">
        <v>2473</v>
      </c>
      <c r="J901" s="18" t="s">
        <v>2473</v>
      </c>
      <c r="K901" s="18" t="s">
        <v>2473</v>
      </c>
      <c r="AU901" s="6"/>
      <c r="AV901" s="6" t="str">
        <f t="shared" si="15"/>
        <v/>
      </c>
    </row>
    <row r="902" spans="1:48" s="79" customFormat="1" x14ac:dyDescent="0.45">
      <c r="A902" s="75"/>
      <c r="B902" s="76"/>
      <c r="C902" s="77"/>
      <c r="D902" s="77"/>
      <c r="E902" s="77"/>
      <c r="F902" s="77"/>
      <c r="G902" s="77"/>
      <c r="H902" s="77"/>
      <c r="I902" s="77"/>
      <c r="J902" s="77"/>
      <c r="K902" s="77"/>
      <c r="L902" s="77"/>
      <c r="M902" s="148"/>
      <c r="N902" s="78"/>
      <c r="O902" s="78"/>
      <c r="P902" s="78"/>
      <c r="Q902" s="78"/>
      <c r="R902" s="78"/>
      <c r="S902" s="78"/>
      <c r="T902" s="78"/>
      <c r="U902" s="78"/>
      <c r="V902" s="78"/>
      <c r="W902" s="78"/>
      <c r="X902" s="78"/>
      <c r="Y902" s="148"/>
      <c r="Z902" s="78"/>
      <c r="AA902" s="78"/>
      <c r="AB902" s="78"/>
      <c r="AC902" s="78"/>
      <c r="AD902" s="78"/>
      <c r="AE902" s="156"/>
      <c r="AF902" s="156"/>
      <c r="AG902" s="78"/>
      <c r="AH902" s="78"/>
      <c r="AI902" s="78"/>
      <c r="AJ902" s="78"/>
      <c r="AK902" s="78"/>
      <c r="AL902" s="78"/>
      <c r="AM902" s="78"/>
      <c r="AN902" s="78"/>
      <c r="AO902" s="78"/>
      <c r="AP902" s="78"/>
      <c r="AQ902" s="78"/>
      <c r="AR902" s="286"/>
      <c r="AS902" s="78"/>
      <c r="AT902" s="78"/>
      <c r="AU902" s="8"/>
      <c r="AV902" s="6" t="str">
        <f t="shared" si="15"/>
        <v/>
      </c>
    </row>
    <row r="903" spans="1:48" x14ac:dyDescent="0.45">
      <c r="A903" s="33" t="s">
        <v>751</v>
      </c>
      <c r="I903" s="18" t="s">
        <v>2473</v>
      </c>
      <c r="J903" s="18" t="s">
        <v>2473</v>
      </c>
      <c r="K903" s="18" t="s">
        <v>2473</v>
      </c>
      <c r="AU903" s="6"/>
      <c r="AV903" s="6" t="str">
        <f t="shared" si="15"/>
        <v/>
      </c>
    </row>
    <row r="904" spans="1:48" x14ac:dyDescent="0.45">
      <c r="A904" s="323" t="s">
        <v>3788</v>
      </c>
      <c r="B904" s="324"/>
      <c r="C904" s="324"/>
      <c r="D904" s="324"/>
      <c r="E904" s="324"/>
      <c r="F904" s="324"/>
      <c r="G904" s="101"/>
      <c r="H904" s="101"/>
      <c r="I904" s="18" t="s">
        <v>2473</v>
      </c>
      <c r="J904" s="18" t="s">
        <v>2473</v>
      </c>
      <c r="K904" s="18" t="s">
        <v>2473</v>
      </c>
      <c r="AU904" s="6"/>
      <c r="AV904" s="6" t="str">
        <f t="shared" si="15"/>
        <v/>
      </c>
    </row>
    <row r="905" spans="1:48" ht="14.65" thickBot="1" x14ac:dyDescent="0.5">
      <c r="A905" s="28" t="s">
        <v>765</v>
      </c>
      <c r="I905" s="18" t="s">
        <v>2473</v>
      </c>
      <c r="J905" s="18" t="s">
        <v>2473</v>
      </c>
      <c r="K905" s="18" t="s">
        <v>2473</v>
      </c>
      <c r="AU905" s="6"/>
      <c r="AV905" s="6" t="str">
        <f t="shared" si="15"/>
        <v/>
      </c>
    </row>
    <row r="906" spans="1:48" ht="14.65" thickBot="1" x14ac:dyDescent="0.5">
      <c r="A906" s="60" t="s">
        <v>758</v>
      </c>
      <c r="B906" s="11" t="s">
        <v>5</v>
      </c>
      <c r="I906" s="18" t="s">
        <v>2473</v>
      </c>
      <c r="J906" s="18" t="s">
        <v>2473</v>
      </c>
      <c r="K906" s="18" t="s">
        <v>2473</v>
      </c>
      <c r="AU906" s="6"/>
      <c r="AV906" s="6" t="str">
        <f t="shared" si="15"/>
        <v/>
      </c>
    </row>
    <row r="907" spans="1:48" ht="14.65" thickBot="1" x14ac:dyDescent="0.5">
      <c r="A907" s="35" t="s">
        <v>759</v>
      </c>
      <c r="B907" s="3" t="s">
        <v>760</v>
      </c>
      <c r="I907" s="18" t="s">
        <v>2473</v>
      </c>
      <c r="J907" s="18" t="s">
        <v>2473</v>
      </c>
      <c r="K907" s="18" t="s">
        <v>2473</v>
      </c>
      <c r="AU907" s="6"/>
      <c r="AV907" s="6" t="str">
        <f t="shared" si="15"/>
        <v/>
      </c>
    </row>
    <row r="908" spans="1:48" ht="14.65" thickBot="1" x14ac:dyDescent="0.5">
      <c r="A908" s="35" t="s">
        <v>761</v>
      </c>
      <c r="B908" s="3" t="s">
        <v>762</v>
      </c>
      <c r="I908" s="18" t="s">
        <v>2473</v>
      </c>
      <c r="J908" s="18" t="s">
        <v>2473</v>
      </c>
      <c r="K908" s="18" t="s">
        <v>2473</v>
      </c>
      <c r="AU908" s="6"/>
      <c r="AV908" s="6" t="str">
        <f t="shared" si="15"/>
        <v/>
      </c>
    </row>
    <row r="909" spans="1:48" ht="14.65" thickBot="1" x14ac:dyDescent="0.5">
      <c r="A909" s="35" t="s">
        <v>763</v>
      </c>
      <c r="B909" s="3" t="s">
        <v>764</v>
      </c>
      <c r="I909" s="18" t="s">
        <v>2473</v>
      </c>
      <c r="J909" s="18" t="s">
        <v>2473</v>
      </c>
      <c r="K909" s="18" t="s">
        <v>2473</v>
      </c>
      <c r="AU909" s="6"/>
      <c r="AV909" s="6" t="str">
        <f t="shared" si="15"/>
        <v/>
      </c>
    </row>
    <row r="910" spans="1:48" s="79" customFormat="1" x14ac:dyDescent="0.45">
      <c r="A910" s="75"/>
      <c r="B910" s="76"/>
      <c r="C910" s="77"/>
      <c r="D910" s="77"/>
      <c r="E910" s="77"/>
      <c r="F910" s="77"/>
      <c r="G910" s="77"/>
      <c r="H910" s="77"/>
      <c r="I910" s="77"/>
      <c r="J910" s="77"/>
      <c r="K910" s="77"/>
      <c r="L910" s="77"/>
      <c r="M910" s="148"/>
      <c r="N910" s="78"/>
      <c r="O910" s="78"/>
      <c r="P910" s="78"/>
      <c r="Q910" s="78"/>
      <c r="R910" s="78"/>
      <c r="S910" s="78"/>
      <c r="T910" s="78"/>
      <c r="U910" s="78"/>
      <c r="V910" s="78"/>
      <c r="W910" s="78"/>
      <c r="X910" s="78"/>
      <c r="Y910" s="148"/>
      <c r="Z910" s="78"/>
      <c r="AA910" s="78"/>
      <c r="AB910" s="78"/>
      <c r="AC910" s="78"/>
      <c r="AD910" s="78"/>
      <c r="AE910" s="156"/>
      <c r="AF910" s="156"/>
      <c r="AG910" s="78"/>
      <c r="AH910" s="78"/>
      <c r="AI910" s="78"/>
      <c r="AJ910" s="78"/>
      <c r="AK910" s="78"/>
      <c r="AL910" s="78"/>
      <c r="AM910" s="78"/>
      <c r="AN910" s="78"/>
      <c r="AO910" s="78"/>
      <c r="AP910" s="78"/>
      <c r="AQ910" s="78"/>
      <c r="AR910" s="286"/>
      <c r="AS910" s="78"/>
      <c r="AT910" s="78"/>
      <c r="AU910" s="8"/>
      <c r="AV910" s="6" t="str">
        <f t="shared" si="15"/>
        <v/>
      </c>
    </row>
    <row r="911" spans="1:48" x14ac:dyDescent="0.45">
      <c r="A911" s="33" t="s">
        <v>754</v>
      </c>
      <c r="I911" s="18" t="s">
        <v>2473</v>
      </c>
      <c r="J911" s="18" t="s">
        <v>2473</v>
      </c>
      <c r="K911" s="18" t="s">
        <v>2473</v>
      </c>
      <c r="AU911" s="6"/>
      <c r="AV911" s="6" t="str">
        <f t="shared" si="15"/>
        <v/>
      </c>
    </row>
    <row r="912" spans="1:48" x14ac:dyDescent="0.45">
      <c r="A912" s="323" t="s">
        <v>3789</v>
      </c>
      <c r="B912" s="324"/>
      <c r="C912" s="324"/>
      <c r="D912" s="324"/>
      <c r="E912" s="324"/>
      <c r="F912" s="324"/>
      <c r="G912" s="101"/>
      <c r="H912" s="101"/>
      <c r="I912" s="18" t="s">
        <v>2473</v>
      </c>
      <c r="J912" s="18" t="s">
        <v>2473</v>
      </c>
      <c r="K912" s="18" t="s">
        <v>2473</v>
      </c>
      <c r="AU912" s="6"/>
      <c r="AV912" s="6" t="str">
        <f t="shared" si="15"/>
        <v/>
      </c>
    </row>
    <row r="913" spans="1:48" ht="14.65" thickBot="1" x14ac:dyDescent="0.5">
      <c r="A913" s="28" t="s">
        <v>766</v>
      </c>
      <c r="I913" s="18" t="s">
        <v>2473</v>
      </c>
      <c r="J913" s="18" t="s">
        <v>2473</v>
      </c>
      <c r="K913" s="18" t="s">
        <v>2473</v>
      </c>
      <c r="AU913" s="6"/>
      <c r="AV913" s="6" t="str">
        <f t="shared" si="15"/>
        <v/>
      </c>
    </row>
    <row r="914" spans="1:48" ht="14.65" thickBot="1" x14ac:dyDescent="0.5">
      <c r="A914" s="60" t="s">
        <v>758</v>
      </c>
      <c r="B914" s="11" t="s">
        <v>5</v>
      </c>
      <c r="I914" s="18" t="s">
        <v>2473</v>
      </c>
      <c r="J914" s="18" t="s">
        <v>2473</v>
      </c>
      <c r="K914" s="18" t="s">
        <v>2473</v>
      </c>
      <c r="AU914" s="6"/>
      <c r="AV914" s="6" t="str">
        <f t="shared" si="15"/>
        <v/>
      </c>
    </row>
    <row r="915" spans="1:48" ht="14.65" thickBot="1" x14ac:dyDescent="0.5">
      <c r="A915" s="35" t="s">
        <v>767</v>
      </c>
      <c r="B915" s="3" t="s">
        <v>768</v>
      </c>
      <c r="I915" s="18" t="s">
        <v>2473</v>
      </c>
      <c r="J915" s="18" t="s">
        <v>2473</v>
      </c>
      <c r="K915" s="18" t="s">
        <v>2473</v>
      </c>
      <c r="AU915" s="6"/>
      <c r="AV915" s="6" t="str">
        <f t="shared" si="15"/>
        <v/>
      </c>
    </row>
    <row r="916" spans="1:48" ht="14.65" thickBot="1" x14ac:dyDescent="0.5">
      <c r="A916" s="35" t="s">
        <v>769</v>
      </c>
      <c r="B916" s="3" t="s">
        <v>770</v>
      </c>
      <c r="I916" s="18" t="s">
        <v>2473</v>
      </c>
      <c r="J916" s="18" t="s">
        <v>2473</v>
      </c>
      <c r="K916" s="18" t="s">
        <v>2473</v>
      </c>
      <c r="AU916" s="8"/>
      <c r="AV916" s="6" t="str">
        <f t="shared" si="15"/>
        <v/>
      </c>
    </row>
    <row r="917" spans="1:48" ht="14.65" thickBot="1" x14ac:dyDescent="0.5">
      <c r="A917" s="35" t="s">
        <v>771</v>
      </c>
      <c r="B917" s="3" t="s">
        <v>772</v>
      </c>
      <c r="I917" s="18" t="s">
        <v>2473</v>
      </c>
      <c r="J917" s="18" t="s">
        <v>2473</v>
      </c>
      <c r="K917" s="18" t="s">
        <v>2473</v>
      </c>
      <c r="AU917" s="8"/>
      <c r="AV917" s="6" t="str">
        <f t="shared" si="15"/>
        <v/>
      </c>
    </row>
    <row r="918" spans="1:48" ht="14.65" thickBot="1" x14ac:dyDescent="0.5">
      <c r="A918" s="35" t="s">
        <v>773</v>
      </c>
      <c r="B918" s="3" t="s">
        <v>774</v>
      </c>
      <c r="I918" s="18" t="s">
        <v>2473</v>
      </c>
      <c r="J918" s="18" t="s">
        <v>2473</v>
      </c>
      <c r="K918" s="18" t="s">
        <v>2473</v>
      </c>
      <c r="AU918" s="8"/>
      <c r="AV918" s="6" t="str">
        <f t="shared" si="15"/>
        <v/>
      </c>
    </row>
    <row r="919" spans="1:48" ht="14.65" thickBot="1" x14ac:dyDescent="0.5">
      <c r="A919" s="35" t="s">
        <v>775</v>
      </c>
      <c r="B919" s="3" t="s">
        <v>776</v>
      </c>
      <c r="I919" s="18" t="s">
        <v>2473</v>
      </c>
      <c r="J919" s="18" t="s">
        <v>2473</v>
      </c>
      <c r="K919" s="18" t="s">
        <v>2473</v>
      </c>
      <c r="AU919" s="8"/>
      <c r="AV919" s="6" t="str">
        <f t="shared" si="15"/>
        <v/>
      </c>
    </row>
    <row r="920" spans="1:48" ht="14.65" thickBot="1" x14ac:dyDescent="0.5">
      <c r="A920" s="35" t="s">
        <v>777</v>
      </c>
      <c r="B920" s="3" t="s">
        <v>778</v>
      </c>
      <c r="I920" s="18" t="s">
        <v>2473</v>
      </c>
      <c r="J920" s="18" t="s">
        <v>2473</v>
      </c>
      <c r="K920" s="18" t="s">
        <v>2473</v>
      </c>
      <c r="AU920" s="6"/>
      <c r="AV920" s="6" t="str">
        <f t="shared" si="15"/>
        <v/>
      </c>
    </row>
    <row r="921" spans="1:48" ht="23.65" thickBot="1" x14ac:dyDescent="0.5">
      <c r="A921" s="35" t="s">
        <v>779</v>
      </c>
      <c r="B921" s="3" t="s">
        <v>780</v>
      </c>
      <c r="I921" s="18" t="s">
        <v>2473</v>
      </c>
      <c r="J921" s="18" t="s">
        <v>2473</v>
      </c>
      <c r="K921" s="18" t="s">
        <v>2473</v>
      </c>
      <c r="AU921" s="6"/>
      <c r="AV921" s="6" t="str">
        <f t="shared" si="15"/>
        <v/>
      </c>
    </row>
    <row r="922" spans="1:48" ht="23.65" thickBot="1" x14ac:dyDescent="0.5">
      <c r="A922" s="35" t="s">
        <v>781</v>
      </c>
      <c r="B922" s="3" t="s">
        <v>782</v>
      </c>
      <c r="I922" s="18" t="s">
        <v>2473</v>
      </c>
      <c r="J922" s="18" t="s">
        <v>2473</v>
      </c>
      <c r="K922" s="18" t="s">
        <v>2473</v>
      </c>
      <c r="AU922" s="6"/>
      <c r="AV922" s="6" t="str">
        <f t="shared" si="15"/>
        <v/>
      </c>
    </row>
    <row r="923" spans="1:48" ht="14.65" thickBot="1" x14ac:dyDescent="0.5">
      <c r="A923" s="35" t="s">
        <v>783</v>
      </c>
      <c r="B923" s="3" t="s">
        <v>784</v>
      </c>
      <c r="I923" s="18" t="s">
        <v>2473</v>
      </c>
      <c r="J923" s="18" t="s">
        <v>2473</v>
      </c>
      <c r="K923" s="18" t="s">
        <v>2473</v>
      </c>
      <c r="AU923" s="6"/>
      <c r="AV923" s="6" t="str">
        <f t="shared" si="15"/>
        <v/>
      </c>
    </row>
    <row r="924" spans="1:48" ht="14.65" thickBot="1" x14ac:dyDescent="0.5">
      <c r="A924" s="35" t="s">
        <v>785</v>
      </c>
      <c r="B924" s="3" t="s">
        <v>786</v>
      </c>
      <c r="I924" s="18" t="s">
        <v>2473</v>
      </c>
      <c r="J924" s="18" t="s">
        <v>2473</v>
      </c>
      <c r="K924" s="18" t="s">
        <v>2473</v>
      </c>
      <c r="AU924" s="6"/>
      <c r="AV924" s="6" t="str">
        <f t="shared" si="15"/>
        <v/>
      </c>
    </row>
    <row r="925" spans="1:48" ht="14.65" thickBot="1" x14ac:dyDescent="0.5">
      <c r="A925" s="35" t="s">
        <v>787</v>
      </c>
      <c r="B925" s="3" t="s">
        <v>788</v>
      </c>
      <c r="I925" s="18" t="s">
        <v>2473</v>
      </c>
      <c r="J925" s="18" t="s">
        <v>2473</v>
      </c>
      <c r="K925" s="18" t="s">
        <v>2473</v>
      </c>
      <c r="AU925" s="6"/>
      <c r="AV925" s="6" t="str">
        <f t="shared" si="15"/>
        <v/>
      </c>
    </row>
    <row r="926" spans="1:48" s="79" customFormat="1" x14ac:dyDescent="0.45">
      <c r="A926" s="75"/>
      <c r="B926" s="76"/>
      <c r="C926" s="77"/>
      <c r="D926" s="77"/>
      <c r="E926" s="77"/>
      <c r="F926" s="77"/>
      <c r="G926" s="77"/>
      <c r="H926" s="77"/>
      <c r="I926" s="77"/>
      <c r="J926" s="77"/>
      <c r="K926" s="77"/>
      <c r="L926" s="77"/>
      <c r="M926" s="148"/>
      <c r="N926" s="78"/>
      <c r="O926" s="78"/>
      <c r="P926" s="78"/>
      <c r="Q926" s="78"/>
      <c r="R926" s="78"/>
      <c r="S926" s="78"/>
      <c r="T926" s="78"/>
      <c r="U926" s="78"/>
      <c r="V926" s="78"/>
      <c r="W926" s="78"/>
      <c r="X926" s="78"/>
      <c r="Y926" s="148"/>
      <c r="Z926" s="78"/>
      <c r="AA926" s="78"/>
      <c r="AB926" s="78"/>
      <c r="AC926" s="78"/>
      <c r="AD926" s="78"/>
      <c r="AE926" s="156"/>
      <c r="AF926" s="156"/>
      <c r="AG926" s="78"/>
      <c r="AH926" s="78"/>
      <c r="AI926" s="78"/>
      <c r="AJ926" s="78"/>
      <c r="AK926" s="78"/>
      <c r="AL926" s="78"/>
      <c r="AM926" s="78"/>
      <c r="AN926" s="78"/>
      <c r="AO926" s="78"/>
      <c r="AP926" s="78"/>
      <c r="AQ926" s="78"/>
      <c r="AR926" s="286"/>
      <c r="AS926" s="78"/>
      <c r="AT926" s="78"/>
      <c r="AU926" s="8"/>
      <c r="AV926" s="6" t="str">
        <f t="shared" si="15"/>
        <v/>
      </c>
    </row>
    <row r="927" spans="1:48" x14ac:dyDescent="0.45">
      <c r="A927" s="27" t="s">
        <v>2412</v>
      </c>
      <c r="I927" s="18" t="s">
        <v>2473</v>
      </c>
      <c r="J927" s="18" t="s">
        <v>2473</v>
      </c>
      <c r="K927" s="18" t="s">
        <v>2473</v>
      </c>
      <c r="AU927" s="6"/>
      <c r="AV927" s="6" t="str">
        <f t="shared" si="15"/>
        <v/>
      </c>
    </row>
    <row r="928" spans="1:48" x14ac:dyDescent="0.45">
      <c r="A928" s="323" t="s">
        <v>2507</v>
      </c>
      <c r="B928" s="324"/>
      <c r="C928" s="324"/>
      <c r="D928" s="324"/>
      <c r="E928" s="324"/>
      <c r="F928" s="324"/>
      <c r="G928" s="101"/>
      <c r="H928" s="101"/>
      <c r="I928" s="18" t="s">
        <v>2473</v>
      </c>
      <c r="J928" s="18" t="s">
        <v>2473</v>
      </c>
      <c r="K928" s="18" t="s">
        <v>2473</v>
      </c>
      <c r="AU928" s="6"/>
      <c r="AV928" s="6" t="str">
        <f t="shared" si="15"/>
        <v/>
      </c>
    </row>
    <row r="929" spans="1:48" ht="14.65" thickBot="1" x14ac:dyDescent="0.5">
      <c r="A929" s="28" t="s">
        <v>789</v>
      </c>
      <c r="I929" s="18" t="s">
        <v>2473</v>
      </c>
      <c r="J929" s="18" t="s">
        <v>2473</v>
      </c>
      <c r="K929" s="18" t="s">
        <v>2473</v>
      </c>
      <c r="AA929" s="183" t="s">
        <v>2322</v>
      </c>
      <c r="AB929" s="183" t="s">
        <v>1697</v>
      </c>
      <c r="AC929" s="183" t="s">
        <v>5</v>
      </c>
      <c r="AU929" s="6"/>
      <c r="AV929" s="6" t="str">
        <f t="shared" si="15"/>
        <v/>
      </c>
    </row>
    <row r="930" spans="1:48" ht="174.75" thickBot="1" x14ac:dyDescent="0.5">
      <c r="A930" s="309" t="s">
        <v>790</v>
      </c>
      <c r="B930" s="310"/>
      <c r="C930" s="301" t="s">
        <v>1</v>
      </c>
      <c r="D930" s="319"/>
      <c r="E930" s="319"/>
      <c r="F930" s="302"/>
      <c r="G930" s="102"/>
      <c r="H930" s="102"/>
      <c r="I930" s="18" t="s">
        <v>2473</v>
      </c>
      <c r="AA930" s="183" t="str">
        <f>LEFT($A930,FIND(" ",$A930)-1)</f>
        <v>TelemetryService</v>
      </c>
      <c r="AB930" s="183" t="str">
        <f>MID($A930,FIND("(",$A930)+1,LEN($A930)-FIND("(",$A930)-1)</f>
        <v>1.0.0</v>
      </c>
      <c r="AC930" s="101" t="str">
        <f>A928</f>
        <v>The TelemetryService resource is the definition for the metrics service. It represents the properties for the service itself and has links to collections of MetricDefinitions and MetricReportDefinitions.</v>
      </c>
      <c r="AU930" s="6"/>
      <c r="AV930" s="6" t="str">
        <f t="shared" si="15"/>
        <v/>
      </c>
    </row>
    <row r="931" spans="1:48" ht="14.65" thickBot="1" x14ac:dyDescent="0.5">
      <c r="A931" s="311"/>
      <c r="B931" s="312"/>
      <c r="C931" s="301" t="s">
        <v>2</v>
      </c>
      <c r="D931" s="302"/>
      <c r="E931" s="301" t="s">
        <v>3</v>
      </c>
      <c r="F931" s="302"/>
      <c r="G931" s="301" t="s">
        <v>2896</v>
      </c>
      <c r="H931" s="302"/>
      <c r="I931" s="18" t="s">
        <v>2473</v>
      </c>
      <c r="AA931" s="183" t="s">
        <v>2322</v>
      </c>
      <c r="AB931" s="183" t="s">
        <v>1697</v>
      </c>
      <c r="AC931" s="183" t="s">
        <v>5</v>
      </c>
      <c r="AU931" s="6"/>
      <c r="AV931" s="6" t="str">
        <f t="shared" si="15"/>
        <v/>
      </c>
    </row>
    <row r="932" spans="1:48" ht="174.75" thickBot="1" x14ac:dyDescent="0.5">
      <c r="A932" s="309" t="s">
        <v>3304</v>
      </c>
      <c r="B932" s="310"/>
      <c r="C932" s="301" t="s">
        <v>1</v>
      </c>
      <c r="D932" s="319"/>
      <c r="E932" s="319"/>
      <c r="F932" s="302"/>
      <c r="G932" s="102"/>
      <c r="H932" s="102"/>
      <c r="J932" s="18" t="s">
        <v>2473</v>
      </c>
      <c r="K932" s="18" t="s">
        <v>2473</v>
      </c>
      <c r="AA932" s="183" t="str">
        <f>LEFT($A932,FIND(" ",$A932)-1)</f>
        <v>TelemetryService</v>
      </c>
      <c r="AB932" s="183" t="str">
        <f>MID($A932,FIND("(",$A932)+1,LEN($A932)-FIND("(",$A932)-1)</f>
        <v>1.1.1</v>
      </c>
      <c r="AC932" s="101" t="str">
        <f>AC930</f>
        <v>The TelemetryService resource is the definition for the metrics service. It represents the properties for the service itself and has links to collections of MetricDefinitions and MetricReportDefinitions.</v>
      </c>
      <c r="AU932" s="6"/>
      <c r="AV932" s="6" t="str">
        <f t="shared" si="15"/>
        <v/>
      </c>
    </row>
    <row r="933" spans="1:48" ht="14.65" thickBot="1" x14ac:dyDescent="0.5">
      <c r="A933" s="311"/>
      <c r="B933" s="312"/>
      <c r="C933" s="301" t="s">
        <v>2</v>
      </c>
      <c r="D933" s="302"/>
      <c r="E933" s="301" t="s">
        <v>3</v>
      </c>
      <c r="F933" s="302"/>
      <c r="G933" s="301" t="s">
        <v>2896</v>
      </c>
      <c r="H933" s="302"/>
      <c r="J933" s="18" t="s">
        <v>2473</v>
      </c>
      <c r="K933" s="18" t="s">
        <v>2473</v>
      </c>
      <c r="AM933" s="8" t="str">
        <f>C933</f>
        <v>OSM-Redfish</v>
      </c>
      <c r="AN933" s="8" t="str">
        <f>E933</f>
        <v>OSM-RedfishBMC</v>
      </c>
      <c r="AO933" s="8" t="str">
        <f>G933</f>
        <v>OSM-RedfishDCN</v>
      </c>
      <c r="AU933" s="6"/>
      <c r="AV933" s="6" t="str">
        <f t="shared" si="15"/>
        <v/>
      </c>
    </row>
    <row r="934" spans="1:48" ht="36" thickBot="1" x14ac:dyDescent="0.5">
      <c r="A934" s="46" t="s">
        <v>2377</v>
      </c>
      <c r="B934" s="47"/>
      <c r="C934" s="303" t="s">
        <v>13</v>
      </c>
      <c r="D934" s="304"/>
      <c r="E934" s="303" t="s">
        <v>13</v>
      </c>
      <c r="F934" s="304"/>
      <c r="G934" s="303" t="s">
        <v>13</v>
      </c>
      <c r="H934" s="304"/>
      <c r="I934" s="18" t="s">
        <v>2473</v>
      </c>
      <c r="J934" s="18" t="s">
        <v>2473</v>
      </c>
      <c r="K934" s="18" t="s">
        <v>2473</v>
      </c>
      <c r="AM934" s="8" t="str">
        <f>IF(C934&lt;&gt;"","CRQ-P5-"&amp;(AM$2+$AP934*$AP$3),"")</f>
        <v>CRQ-P5-1244</v>
      </c>
      <c r="AN934" s="8" t="str">
        <f>IF(E934&lt;&gt;"","CRQ-P5-"&amp;(AN$2+$AP934*$AP$3),"")</f>
        <v>CRQ-P5-1544</v>
      </c>
      <c r="AO934" s="8" t="str">
        <f>IF(G934&lt;&gt;"","CRQ-P5-"&amp;(AO$2+$AP934*$AP$3),"")</f>
        <v>CRQ-P5-1844</v>
      </c>
      <c r="AP934" s="8">
        <v>61</v>
      </c>
      <c r="AT934" s="233" t="s">
        <v>5316</v>
      </c>
      <c r="AU934" s="6"/>
      <c r="AV934" s="6" t="str">
        <f t="shared" si="15"/>
        <v/>
      </c>
    </row>
    <row r="935" spans="1:48" ht="14.65" thickBot="1" x14ac:dyDescent="0.5">
      <c r="A935" s="29" t="s">
        <v>3394</v>
      </c>
      <c r="B935" s="9"/>
      <c r="C935" s="305" t="str">
        <f>MID($A930,FIND("(",$A930)+1,5)</f>
        <v>1.0.0</v>
      </c>
      <c r="D935" s="306"/>
      <c r="E935" s="305" t="str">
        <f>MID($A930,FIND("(",$A930)+1,5)</f>
        <v>1.0.0</v>
      </c>
      <c r="F935" s="306"/>
      <c r="G935" s="305" t="str">
        <f>MID($A930,FIND("(",$A930)+1,5)</f>
        <v>1.0.0</v>
      </c>
      <c r="H935" s="306"/>
      <c r="I935" s="18" t="s">
        <v>2473</v>
      </c>
      <c r="J935" s="18" t="s">
        <v>2473</v>
      </c>
      <c r="K935" s="18" t="s">
        <v>2473</v>
      </c>
      <c r="AU935" s="6"/>
      <c r="AV935" s="6" t="str">
        <f t="shared" si="15"/>
        <v/>
      </c>
    </row>
    <row r="936" spans="1:48" ht="14.65" thickBot="1" x14ac:dyDescent="0.5">
      <c r="A936" s="30" t="s">
        <v>4</v>
      </c>
      <c r="B936" s="59" t="s">
        <v>5</v>
      </c>
      <c r="C936" s="7" t="s">
        <v>6</v>
      </c>
      <c r="D936" s="7" t="s">
        <v>7</v>
      </c>
      <c r="E936" s="7" t="s">
        <v>6</v>
      </c>
      <c r="F936" s="7" t="s">
        <v>7</v>
      </c>
      <c r="G936" s="7" t="s">
        <v>6</v>
      </c>
      <c r="H936" s="7" t="s">
        <v>7</v>
      </c>
      <c r="I936" s="18" t="s">
        <v>2473</v>
      </c>
      <c r="J936" s="18" t="s">
        <v>2473</v>
      </c>
      <c r="K936" s="18" t="s">
        <v>2473</v>
      </c>
      <c r="AU936" s="6"/>
      <c r="AV936" s="6" t="str">
        <f t="shared" si="15"/>
        <v/>
      </c>
    </row>
    <row r="937" spans="1:48" ht="47.65" thickBot="1" x14ac:dyDescent="0.5">
      <c r="A937" s="36" t="s">
        <v>8</v>
      </c>
      <c r="B937" s="3" t="s">
        <v>9</v>
      </c>
      <c r="C937" s="4" t="s">
        <v>13</v>
      </c>
      <c r="D937" s="4"/>
      <c r="E937" s="4" t="s">
        <v>13</v>
      </c>
      <c r="F937" s="4"/>
      <c r="G937" s="4" t="s">
        <v>13</v>
      </c>
      <c r="H937" s="4"/>
      <c r="I937" s="18" t="s">
        <v>2473</v>
      </c>
      <c r="J937" s="18" t="s">
        <v>2473</v>
      </c>
      <c r="K937" s="18" t="s">
        <v>2473</v>
      </c>
      <c r="AS937" s="206" t="s">
        <v>5885</v>
      </c>
      <c r="AU937" s="6"/>
      <c r="AV937" s="6" t="str">
        <f t="shared" ref="AV937:AV1004" si="16">IF(A937&lt;&gt;"",IF(T937&lt;&gt;"",IF(LEFT(R937,3)="Has",IF(TRIM(A937)&lt;&gt;T937,"ERROR","OK"),""),""),"")</f>
        <v/>
      </c>
    </row>
    <row r="938" spans="1:48" ht="35.25" thickBot="1" x14ac:dyDescent="0.5">
      <c r="A938" s="35" t="s">
        <v>791</v>
      </c>
      <c r="B938" s="3" t="s">
        <v>792</v>
      </c>
      <c r="C938" s="4" t="s">
        <v>13</v>
      </c>
      <c r="D938" s="4"/>
      <c r="E938" s="4" t="s">
        <v>13</v>
      </c>
      <c r="F938" s="4"/>
      <c r="G938" s="4" t="s">
        <v>13</v>
      </c>
      <c r="H938" s="4"/>
      <c r="I938" s="18" t="s">
        <v>2473</v>
      </c>
      <c r="J938" s="18" t="s">
        <v>2473</v>
      </c>
      <c r="K938" s="18" t="s">
        <v>2473</v>
      </c>
      <c r="AU938" s="140" t="s">
        <v>4152</v>
      </c>
      <c r="AV938" s="6" t="str">
        <f t="shared" si="16"/>
        <v/>
      </c>
    </row>
    <row r="939" spans="1:48" ht="23.65" thickBot="1" x14ac:dyDescent="0.5">
      <c r="A939" s="36" t="s">
        <v>793</v>
      </c>
      <c r="B939" s="3" t="s">
        <v>794</v>
      </c>
      <c r="C939" s="4" t="s">
        <v>13</v>
      </c>
      <c r="D939" s="4"/>
      <c r="E939" s="4" t="s">
        <v>13</v>
      </c>
      <c r="F939" s="4"/>
      <c r="G939" s="4" t="s">
        <v>13</v>
      </c>
      <c r="H939" s="4"/>
      <c r="I939" s="18" t="s">
        <v>2473</v>
      </c>
      <c r="J939" s="18" t="s">
        <v>2473</v>
      </c>
      <c r="K939" s="18" t="s">
        <v>2473</v>
      </c>
      <c r="AU939" s="140" t="s">
        <v>4153</v>
      </c>
      <c r="AV939" s="6" t="str">
        <f t="shared" si="16"/>
        <v/>
      </c>
    </row>
    <row r="940" spans="1:48" ht="14.65" thickBot="1" x14ac:dyDescent="0.5">
      <c r="A940" s="37" t="s">
        <v>33</v>
      </c>
      <c r="B940" s="3" t="s">
        <v>795</v>
      </c>
      <c r="C940" s="4"/>
      <c r="D940" s="4"/>
      <c r="E940" s="4"/>
      <c r="F940" s="4"/>
      <c r="G940" s="4"/>
      <c r="H940" s="4"/>
      <c r="I940" s="18" t="s">
        <v>2473</v>
      </c>
      <c r="J940" s="18" t="s">
        <v>2473</v>
      </c>
      <c r="K940" s="18" t="s">
        <v>2473</v>
      </c>
      <c r="AU940" s="6"/>
      <c r="AV940" s="6" t="str">
        <f t="shared" si="16"/>
        <v/>
      </c>
    </row>
    <row r="941" spans="1:48" ht="14.65" thickBot="1" x14ac:dyDescent="0.5">
      <c r="A941" s="36" t="s">
        <v>796</v>
      </c>
      <c r="B941" s="3" t="s">
        <v>797</v>
      </c>
      <c r="C941" s="4" t="s">
        <v>10</v>
      </c>
      <c r="D941" s="4"/>
      <c r="E941" s="4" t="s">
        <v>10</v>
      </c>
      <c r="F941" s="4"/>
      <c r="G941" s="4" t="s">
        <v>10</v>
      </c>
      <c r="H941" s="4"/>
      <c r="I941" s="18" t="s">
        <v>2473</v>
      </c>
      <c r="J941" s="18" t="s">
        <v>2473</v>
      </c>
      <c r="K941" s="18" t="s">
        <v>2473</v>
      </c>
      <c r="AU941" s="6"/>
      <c r="AV941" s="6" t="str">
        <f t="shared" si="16"/>
        <v/>
      </c>
    </row>
    <row r="942" spans="1:48" ht="14.65" thickBot="1" x14ac:dyDescent="0.5">
      <c r="A942" s="36" t="s">
        <v>798</v>
      </c>
      <c r="B942" s="3" t="s">
        <v>799</v>
      </c>
      <c r="C942" s="4" t="s">
        <v>10</v>
      </c>
      <c r="D942" s="4"/>
      <c r="E942" s="4" t="s">
        <v>10</v>
      </c>
      <c r="F942" s="4"/>
      <c r="G942" s="4" t="s">
        <v>10</v>
      </c>
      <c r="H942" s="4"/>
      <c r="I942" s="18" t="s">
        <v>2473</v>
      </c>
      <c r="J942" s="18" t="s">
        <v>2473</v>
      </c>
      <c r="K942" s="18" t="s">
        <v>2473</v>
      </c>
      <c r="AU942" s="6"/>
      <c r="AV942" s="6" t="str">
        <f t="shared" si="16"/>
        <v/>
      </c>
    </row>
    <row r="943" spans="1:48" ht="14.65" thickBot="1" x14ac:dyDescent="0.5">
      <c r="A943" s="37" t="s">
        <v>33</v>
      </c>
      <c r="B943" s="3" t="s">
        <v>800</v>
      </c>
      <c r="C943" s="4"/>
      <c r="D943" s="4"/>
      <c r="E943" s="4"/>
      <c r="F943" s="4"/>
      <c r="G943" s="4"/>
      <c r="H943" s="4"/>
      <c r="I943" s="18" t="s">
        <v>2473</v>
      </c>
      <c r="J943" s="18" t="s">
        <v>2473</v>
      </c>
      <c r="K943" s="18" t="s">
        <v>2473</v>
      </c>
      <c r="AU943" s="6"/>
      <c r="AV943" s="6" t="str">
        <f t="shared" si="16"/>
        <v/>
      </c>
    </row>
    <row r="944" spans="1:48" ht="14.65" thickBot="1" x14ac:dyDescent="0.5">
      <c r="A944" s="38" t="s">
        <v>801</v>
      </c>
      <c r="B944" s="3" t="s">
        <v>802</v>
      </c>
      <c r="C944" s="4" t="s">
        <v>10</v>
      </c>
      <c r="D944" s="4"/>
      <c r="E944" s="4" t="s">
        <v>10</v>
      </c>
      <c r="F944" s="4"/>
      <c r="G944" s="4" t="s">
        <v>10</v>
      </c>
      <c r="H944" s="4"/>
      <c r="I944" s="18" t="s">
        <v>2473</v>
      </c>
      <c r="J944" s="18" t="s">
        <v>2473</v>
      </c>
      <c r="K944" s="18" t="s">
        <v>2473</v>
      </c>
      <c r="AU944" s="6"/>
      <c r="AV944" s="6" t="str">
        <f t="shared" si="16"/>
        <v/>
      </c>
    </row>
    <row r="945" spans="1:48" ht="14.65" thickBot="1" x14ac:dyDescent="0.5">
      <c r="A945" s="37" t="s">
        <v>33</v>
      </c>
      <c r="B945" s="3" t="s">
        <v>802</v>
      </c>
      <c r="C945" s="4"/>
      <c r="D945" s="4"/>
      <c r="E945" s="4"/>
      <c r="F945" s="4"/>
      <c r="G945" s="4"/>
      <c r="H945" s="4"/>
      <c r="I945" s="18" t="s">
        <v>2473</v>
      </c>
      <c r="J945" s="18" t="s">
        <v>2473</v>
      </c>
      <c r="K945" s="18" t="s">
        <v>2473</v>
      </c>
      <c r="AU945" s="6"/>
      <c r="AV945" s="6" t="str">
        <f t="shared" si="16"/>
        <v/>
      </c>
    </row>
    <row r="946" spans="1:48" ht="14.65" thickBot="1" x14ac:dyDescent="0.5">
      <c r="A946" s="38" t="s">
        <v>803</v>
      </c>
      <c r="B946" s="3" t="s">
        <v>804</v>
      </c>
      <c r="C946" s="4" t="s">
        <v>10</v>
      </c>
      <c r="D946" s="4"/>
      <c r="E946" s="4" t="s">
        <v>10</v>
      </c>
      <c r="F946" s="4"/>
      <c r="G946" s="4" t="s">
        <v>10</v>
      </c>
      <c r="H946" s="4"/>
      <c r="I946" s="18" t="s">
        <v>2473</v>
      </c>
      <c r="J946" s="18" t="s">
        <v>2473</v>
      </c>
      <c r="K946" s="18" t="s">
        <v>2473</v>
      </c>
      <c r="AU946" s="6"/>
      <c r="AV946" s="6" t="str">
        <f t="shared" si="16"/>
        <v/>
      </c>
    </row>
    <row r="947" spans="1:48" ht="14.65" thickBot="1" x14ac:dyDescent="0.5">
      <c r="A947" s="37" t="s">
        <v>33</v>
      </c>
      <c r="B947" s="3" t="s">
        <v>804</v>
      </c>
      <c r="C947" s="4"/>
      <c r="D947" s="4"/>
      <c r="E947" s="4"/>
      <c r="F947" s="4"/>
      <c r="G947" s="4"/>
      <c r="H947" s="4"/>
      <c r="I947" s="18" t="s">
        <v>2473</v>
      </c>
      <c r="J947" s="18" t="s">
        <v>2473</v>
      </c>
      <c r="K947" s="18" t="s">
        <v>2473</v>
      </c>
      <c r="AU947" s="6"/>
      <c r="AV947" s="6" t="str">
        <f t="shared" si="16"/>
        <v/>
      </c>
    </row>
    <row r="948" spans="1:48" ht="14.65" thickBot="1" x14ac:dyDescent="0.5">
      <c r="A948" s="38" t="s">
        <v>805</v>
      </c>
      <c r="B948" s="3" t="s">
        <v>806</v>
      </c>
      <c r="C948" s="4" t="s">
        <v>10</v>
      </c>
      <c r="D948" s="4"/>
      <c r="E948" s="4" t="s">
        <v>10</v>
      </c>
      <c r="F948" s="4"/>
      <c r="G948" s="4" t="s">
        <v>10</v>
      </c>
      <c r="H948" s="4"/>
      <c r="I948" s="18" t="s">
        <v>2473</v>
      </c>
      <c r="J948" s="18" t="s">
        <v>2473</v>
      </c>
      <c r="K948" s="18" t="s">
        <v>2473</v>
      </c>
      <c r="AU948" s="6"/>
      <c r="AV948" s="6" t="str">
        <f t="shared" si="16"/>
        <v/>
      </c>
    </row>
    <row r="949" spans="1:48" ht="105.75" thickBot="1" x14ac:dyDescent="0.5">
      <c r="A949" s="38" t="s">
        <v>145</v>
      </c>
      <c r="B949" s="3" t="s">
        <v>450</v>
      </c>
      <c r="C949" s="4" t="s">
        <v>10</v>
      </c>
      <c r="D949" s="4"/>
      <c r="E949" s="4" t="s">
        <v>10</v>
      </c>
      <c r="F949" s="4"/>
      <c r="G949" s="4" t="s">
        <v>10</v>
      </c>
      <c r="H949" s="4"/>
      <c r="I949" s="18" t="s">
        <v>2473</v>
      </c>
      <c r="J949" s="18" t="s">
        <v>2473</v>
      </c>
      <c r="K949" s="18" t="s">
        <v>2473</v>
      </c>
      <c r="AS949" s="206" t="s">
        <v>5870</v>
      </c>
      <c r="AU949" s="6"/>
      <c r="AV949" s="6" t="str">
        <f t="shared" si="16"/>
        <v/>
      </c>
    </row>
    <row r="950" spans="1:48" ht="47.65" thickBot="1" x14ac:dyDescent="0.5">
      <c r="A950" s="35" t="s">
        <v>5361</v>
      </c>
      <c r="B950" s="3" t="s">
        <v>5352</v>
      </c>
      <c r="C950" s="4" t="s">
        <v>10</v>
      </c>
      <c r="D950" s="4"/>
      <c r="E950" s="4" t="s">
        <v>10</v>
      </c>
      <c r="F950" s="4"/>
      <c r="G950" s="4" t="s">
        <v>10</v>
      </c>
      <c r="H950" s="4"/>
      <c r="I950" s="18" t="s">
        <v>2473</v>
      </c>
      <c r="J950" s="18" t="s">
        <v>2473</v>
      </c>
      <c r="K950" s="18" t="s">
        <v>2473</v>
      </c>
      <c r="Q950" s="131"/>
      <c r="R950" s="131"/>
      <c r="S950" s="131"/>
      <c r="T950" s="131"/>
      <c r="U950" s="131"/>
      <c r="V950" s="131"/>
      <c r="W950" s="131"/>
      <c r="X950" s="131"/>
      <c r="AS950" s="139" t="s">
        <v>5355</v>
      </c>
      <c r="AU950" s="6"/>
      <c r="AV950" s="6"/>
    </row>
    <row r="951" spans="1:48" ht="82.5" thickBot="1" x14ac:dyDescent="0.5">
      <c r="A951" s="35" t="s">
        <v>5360</v>
      </c>
      <c r="B951" s="3" t="s">
        <v>5353</v>
      </c>
      <c r="C951" s="4"/>
      <c r="D951" s="4"/>
      <c r="E951" s="4"/>
      <c r="F951" s="4"/>
      <c r="G951" s="4"/>
      <c r="H951" s="4"/>
      <c r="I951" s="18" t="s">
        <v>2473</v>
      </c>
      <c r="J951" s="18" t="s">
        <v>2473</v>
      </c>
      <c r="K951" s="18" t="s">
        <v>2473</v>
      </c>
      <c r="Q951" s="131"/>
      <c r="R951" s="131"/>
      <c r="S951" s="131"/>
      <c r="T951" s="131"/>
      <c r="U951" s="131"/>
      <c r="V951" s="131"/>
      <c r="W951" s="131"/>
      <c r="X951" s="131"/>
      <c r="AS951" s="139" t="s">
        <v>5356</v>
      </c>
      <c r="AU951" s="6"/>
      <c r="AV951" s="6"/>
    </row>
    <row r="952" spans="1:48" ht="23.65" thickBot="1" x14ac:dyDescent="0.5">
      <c r="A952" s="38" t="s">
        <v>807</v>
      </c>
      <c r="B952" s="3" t="s">
        <v>808</v>
      </c>
      <c r="C952" s="4" t="s">
        <v>10</v>
      </c>
      <c r="D952" s="4" t="s">
        <v>13</v>
      </c>
      <c r="E952" s="4" t="s">
        <v>10</v>
      </c>
      <c r="F952" s="4" t="s">
        <v>13</v>
      </c>
      <c r="G952" s="4" t="s">
        <v>10</v>
      </c>
      <c r="H952" s="4" t="s">
        <v>13</v>
      </c>
      <c r="I952" s="18" t="s">
        <v>2473</v>
      </c>
      <c r="J952" s="18" t="s">
        <v>2473</v>
      </c>
      <c r="K952" s="18" t="s">
        <v>2473</v>
      </c>
      <c r="AU952" s="6"/>
      <c r="AV952" s="6" t="str">
        <f t="shared" si="16"/>
        <v/>
      </c>
    </row>
    <row r="953" spans="1:48" ht="36" thickBot="1" x14ac:dyDescent="0.5">
      <c r="A953" s="38" t="s">
        <v>809</v>
      </c>
      <c r="B953" s="3" t="s">
        <v>810</v>
      </c>
      <c r="C953" s="4" t="s">
        <v>13</v>
      </c>
      <c r="D953" s="4"/>
      <c r="E953" s="4" t="s">
        <v>13</v>
      </c>
      <c r="F953" s="4"/>
      <c r="G953" s="4" t="s">
        <v>13</v>
      </c>
      <c r="H953" s="4"/>
      <c r="I953" s="18" t="s">
        <v>2473</v>
      </c>
      <c r="J953" s="18" t="s">
        <v>2473</v>
      </c>
      <c r="K953" s="18" t="s">
        <v>2473</v>
      </c>
      <c r="AT953" s="233" t="s">
        <v>5316</v>
      </c>
      <c r="AU953" s="6"/>
      <c r="AV953" s="6" t="str">
        <f t="shared" si="16"/>
        <v/>
      </c>
    </row>
    <row r="954" spans="1:48" ht="14.65" thickBot="1" x14ac:dyDescent="0.5">
      <c r="A954" s="37" t="s">
        <v>33</v>
      </c>
      <c r="B954" s="3" t="s">
        <v>811</v>
      </c>
      <c r="C954" s="4"/>
      <c r="D954" s="4"/>
      <c r="E954" s="4"/>
      <c r="F954" s="4"/>
      <c r="G954" s="4"/>
      <c r="H954" s="4"/>
      <c r="I954" s="18" t="s">
        <v>2473</v>
      </c>
      <c r="J954" s="18" t="s">
        <v>2473</v>
      </c>
      <c r="K954" s="18" t="s">
        <v>2473</v>
      </c>
      <c r="AU954" s="6"/>
      <c r="AV954" s="6" t="str">
        <f t="shared" si="16"/>
        <v/>
      </c>
    </row>
    <row r="955" spans="1:48" x14ac:dyDescent="0.45">
      <c r="A955" s="33" t="s">
        <v>812</v>
      </c>
      <c r="I955" s="18" t="s">
        <v>2473</v>
      </c>
      <c r="J955" s="18" t="s">
        <v>2473</v>
      </c>
      <c r="K955" s="18" t="s">
        <v>2473</v>
      </c>
      <c r="AU955" s="6"/>
      <c r="AV955" s="6" t="str">
        <f t="shared" si="16"/>
        <v/>
      </c>
    </row>
    <row r="956" spans="1:48" x14ac:dyDescent="0.45">
      <c r="A956" s="34" t="s">
        <v>813</v>
      </c>
      <c r="I956" s="18" t="s">
        <v>2473</v>
      </c>
      <c r="J956" s="18" t="s">
        <v>2473</v>
      </c>
      <c r="K956" s="18" t="s">
        <v>2473</v>
      </c>
      <c r="AU956" s="6"/>
      <c r="AV956" s="6" t="str">
        <f t="shared" si="16"/>
        <v/>
      </c>
    </row>
    <row r="957" spans="1:48" s="79" customFormat="1" x14ac:dyDescent="0.45">
      <c r="A957" s="75"/>
      <c r="B957" s="76"/>
      <c r="C957" s="77"/>
      <c r="D957" s="77"/>
      <c r="E957" s="77"/>
      <c r="F957" s="77"/>
      <c r="G957" s="77"/>
      <c r="H957" s="77"/>
      <c r="I957" s="77"/>
      <c r="J957" s="77"/>
      <c r="K957" s="77"/>
      <c r="L957" s="77"/>
      <c r="M957" s="148"/>
      <c r="N957" s="78"/>
      <c r="O957" s="78"/>
      <c r="P957" s="78"/>
      <c r="Q957" s="78"/>
      <c r="R957" s="78"/>
      <c r="S957" s="78"/>
      <c r="T957" s="78"/>
      <c r="U957" s="78"/>
      <c r="V957" s="78"/>
      <c r="W957" s="78"/>
      <c r="X957" s="78"/>
      <c r="Y957" s="148"/>
      <c r="Z957" s="78"/>
      <c r="AA957" s="78"/>
      <c r="AB957" s="78"/>
      <c r="AC957" s="78"/>
      <c r="AD957" s="78"/>
      <c r="AE957" s="156"/>
      <c r="AF957" s="156"/>
      <c r="AG957" s="78"/>
      <c r="AH957" s="78"/>
      <c r="AI957" s="78"/>
      <c r="AJ957" s="78"/>
      <c r="AK957" s="78"/>
      <c r="AL957" s="78"/>
      <c r="AM957" s="78"/>
      <c r="AN957" s="78"/>
      <c r="AO957" s="78"/>
      <c r="AP957" s="78"/>
      <c r="AQ957" s="78"/>
      <c r="AR957" s="286"/>
      <c r="AS957" s="78"/>
      <c r="AT957" s="78"/>
      <c r="AU957" s="8"/>
      <c r="AV957" s="6" t="str">
        <f t="shared" si="16"/>
        <v/>
      </c>
    </row>
    <row r="958" spans="1:48" x14ac:dyDescent="0.45">
      <c r="A958" s="27" t="s">
        <v>2413</v>
      </c>
      <c r="I958" s="18" t="s">
        <v>2473</v>
      </c>
      <c r="J958" s="18" t="s">
        <v>2473</v>
      </c>
      <c r="K958" s="18" t="s">
        <v>2473</v>
      </c>
      <c r="AU958" s="6"/>
      <c r="AV958" s="6" t="str">
        <f t="shared" si="16"/>
        <v/>
      </c>
    </row>
    <row r="959" spans="1:48" x14ac:dyDescent="0.45">
      <c r="A959" s="323" t="s">
        <v>2508</v>
      </c>
      <c r="B959" s="324"/>
      <c r="C959" s="324"/>
      <c r="D959" s="324"/>
      <c r="E959" s="324"/>
      <c r="F959" s="324"/>
      <c r="G959" s="101"/>
      <c r="H959" s="101"/>
      <c r="I959" s="18" t="s">
        <v>2473</v>
      </c>
      <c r="J959" s="18" t="s">
        <v>2473</v>
      </c>
      <c r="K959" s="18" t="s">
        <v>2473</v>
      </c>
      <c r="AU959" s="6"/>
      <c r="AV959" s="6" t="str">
        <f t="shared" si="16"/>
        <v/>
      </c>
    </row>
    <row r="960" spans="1:48" ht="14.65" thickBot="1" x14ac:dyDescent="0.5">
      <c r="A960" s="28" t="s">
        <v>814</v>
      </c>
      <c r="I960" s="18" t="s">
        <v>2473</v>
      </c>
      <c r="J960" s="18" t="s">
        <v>2473</v>
      </c>
      <c r="K960" s="18" t="s">
        <v>2473</v>
      </c>
      <c r="AA960" s="183" t="s">
        <v>2322</v>
      </c>
      <c r="AB960" s="183" t="s">
        <v>1697</v>
      </c>
      <c r="AC960" s="183" t="s">
        <v>5</v>
      </c>
      <c r="AU960" s="6"/>
      <c r="AV960" s="6" t="str">
        <f t="shared" si="16"/>
        <v/>
      </c>
    </row>
    <row r="961" spans="1:48" ht="58.5" thickBot="1" x14ac:dyDescent="0.5">
      <c r="A961" s="309" t="s">
        <v>815</v>
      </c>
      <c r="B961" s="310"/>
      <c r="C961" s="301" t="s">
        <v>1</v>
      </c>
      <c r="D961" s="319"/>
      <c r="E961" s="319"/>
      <c r="F961" s="302"/>
      <c r="G961" s="102"/>
      <c r="H961" s="102"/>
      <c r="I961" s="18" t="s">
        <v>2473</v>
      </c>
      <c r="AA961" s="183" t="str">
        <f>LEFT($A961,FIND(" ",$A961)-1)</f>
        <v>Triggers</v>
      </c>
      <c r="AB961" s="183" t="str">
        <f>MID($A961,FIND("(",$A961)+1,LEN($A961)-FIND("(",$A961)-1)</f>
        <v>1.0.0</v>
      </c>
      <c r="AC961" s="101" t="str">
        <f>A959</f>
        <v>The Triggers resource specifies triggers and conditions.</v>
      </c>
      <c r="AU961" s="6"/>
      <c r="AV961" s="6" t="str">
        <f t="shared" si="16"/>
        <v/>
      </c>
    </row>
    <row r="962" spans="1:48" ht="14.65" thickBot="1" x14ac:dyDescent="0.5">
      <c r="A962" s="311"/>
      <c r="B962" s="312"/>
      <c r="C962" s="301" t="s">
        <v>2</v>
      </c>
      <c r="D962" s="302"/>
      <c r="E962" s="301" t="s">
        <v>3</v>
      </c>
      <c r="F962" s="302"/>
      <c r="G962" s="301" t="s">
        <v>2896</v>
      </c>
      <c r="H962" s="302"/>
      <c r="I962" s="18" t="s">
        <v>2473</v>
      </c>
      <c r="AA962" s="183" t="s">
        <v>2322</v>
      </c>
      <c r="AB962" s="183" t="s">
        <v>1697</v>
      </c>
      <c r="AC962" s="183" t="s">
        <v>5</v>
      </c>
      <c r="AU962" s="8"/>
      <c r="AV962" s="6" t="str">
        <f t="shared" si="16"/>
        <v/>
      </c>
    </row>
    <row r="963" spans="1:48" ht="58.5" thickBot="1" x14ac:dyDescent="0.5">
      <c r="A963" s="309" t="s">
        <v>3305</v>
      </c>
      <c r="B963" s="310"/>
      <c r="C963" s="301" t="s">
        <v>1</v>
      </c>
      <c r="D963" s="319"/>
      <c r="E963" s="319"/>
      <c r="F963" s="302"/>
      <c r="G963" s="102"/>
      <c r="H963" s="102"/>
      <c r="J963" s="18" t="s">
        <v>2473</v>
      </c>
      <c r="K963" s="18" t="s">
        <v>2473</v>
      </c>
      <c r="AA963" s="183" t="str">
        <f>LEFT($A963,FIND(" ",$A963)-1)</f>
        <v>Triggers</v>
      </c>
      <c r="AB963" s="183" t="str">
        <f>MID($A963,FIND("(",$A963)+1,LEN($A963)-FIND("(",$A963)-1)</f>
        <v>1.1.0</v>
      </c>
      <c r="AC963" s="101" t="str">
        <f>AC961</f>
        <v>The Triggers resource specifies triggers and conditions.</v>
      </c>
      <c r="AU963" s="6"/>
      <c r="AV963" s="6" t="str">
        <f t="shared" si="16"/>
        <v/>
      </c>
    </row>
    <row r="964" spans="1:48" ht="14.65" thickBot="1" x14ac:dyDescent="0.5">
      <c r="A964" s="311"/>
      <c r="B964" s="312"/>
      <c r="C964" s="301" t="s">
        <v>2</v>
      </c>
      <c r="D964" s="302"/>
      <c r="E964" s="301" t="s">
        <v>3</v>
      </c>
      <c r="F964" s="302"/>
      <c r="G964" s="301" t="s">
        <v>2896</v>
      </c>
      <c r="H964" s="302"/>
      <c r="J964" s="18" t="s">
        <v>2473</v>
      </c>
      <c r="K964" s="18" t="s">
        <v>2473</v>
      </c>
      <c r="AM964" s="8" t="str">
        <f>C964</f>
        <v>OSM-Redfish</v>
      </c>
      <c r="AN964" s="8" t="str">
        <f>E964</f>
        <v>OSM-RedfishBMC</v>
      </c>
      <c r="AO964" s="8" t="str">
        <f>G964</f>
        <v>OSM-RedfishDCN</v>
      </c>
      <c r="AU964" s="8"/>
      <c r="AV964" s="6" t="str">
        <f t="shared" si="16"/>
        <v/>
      </c>
    </row>
    <row r="965" spans="1:48" ht="36" thickBot="1" x14ac:dyDescent="0.5">
      <c r="A965" s="46" t="s">
        <v>2377</v>
      </c>
      <c r="B965" s="47"/>
      <c r="C965" s="303" t="s">
        <v>13</v>
      </c>
      <c r="D965" s="304"/>
      <c r="E965" s="303" t="s">
        <v>13</v>
      </c>
      <c r="F965" s="304"/>
      <c r="G965" s="303" t="s">
        <v>13</v>
      </c>
      <c r="H965" s="304"/>
      <c r="I965" s="18" t="s">
        <v>2473</v>
      </c>
      <c r="J965" s="18" t="s">
        <v>2473</v>
      </c>
      <c r="K965" s="18" t="s">
        <v>2473</v>
      </c>
      <c r="AM965" s="8" t="str">
        <f>IF(C965&lt;&gt;"","CRQ-P5-"&amp;(AM$2+$AP965*$AP$3),"")</f>
        <v>CRQ-P5-1252</v>
      </c>
      <c r="AN965" s="8" t="str">
        <f>IF(E965&lt;&gt;"","CRQ-P5-"&amp;(AN$2+$AP965*$AP$3),"")</f>
        <v>CRQ-P5-1552</v>
      </c>
      <c r="AO965" s="8" t="str">
        <f>IF(G965&lt;&gt;"","CRQ-P5-"&amp;(AO$2+$AP965*$AP$3),"")</f>
        <v>CRQ-P5-1852</v>
      </c>
      <c r="AP965" s="8">
        <v>63</v>
      </c>
      <c r="AT965" s="233" t="s">
        <v>5321</v>
      </c>
      <c r="AU965" s="6"/>
      <c r="AV965" s="6" t="str">
        <f t="shared" si="16"/>
        <v/>
      </c>
    </row>
    <row r="966" spans="1:48" ht="14.65" thickBot="1" x14ac:dyDescent="0.5">
      <c r="A966" s="29" t="s">
        <v>3394</v>
      </c>
      <c r="B966" s="9"/>
      <c r="C966" s="305" t="str">
        <f>MID($A961,FIND("(",$A961)+1,5)</f>
        <v>1.0.0</v>
      </c>
      <c r="D966" s="306"/>
      <c r="E966" s="305" t="str">
        <f>MID($A961,FIND("(",$A961)+1,5)</f>
        <v>1.0.0</v>
      </c>
      <c r="F966" s="306"/>
      <c r="G966" s="305" t="str">
        <f>MID($A961,FIND("(",$A961)+1,5)</f>
        <v>1.0.0</v>
      </c>
      <c r="H966" s="306"/>
      <c r="I966" s="18" t="s">
        <v>2473</v>
      </c>
      <c r="J966" s="18" t="s">
        <v>2473</v>
      </c>
      <c r="K966" s="18" t="s">
        <v>2473</v>
      </c>
      <c r="AU966" s="6"/>
      <c r="AV966" s="6" t="str">
        <f t="shared" si="16"/>
        <v/>
      </c>
    </row>
    <row r="967" spans="1:48" ht="14.65" thickBot="1" x14ac:dyDescent="0.5">
      <c r="A967" s="30" t="s">
        <v>4</v>
      </c>
      <c r="B967" s="59" t="s">
        <v>5</v>
      </c>
      <c r="C967" s="7" t="s">
        <v>6</v>
      </c>
      <c r="D967" s="7" t="s">
        <v>7</v>
      </c>
      <c r="E967" s="7" t="s">
        <v>6</v>
      </c>
      <c r="F967" s="7" t="s">
        <v>7</v>
      </c>
      <c r="G967" s="7" t="s">
        <v>6</v>
      </c>
      <c r="H967" s="7" t="s">
        <v>7</v>
      </c>
      <c r="I967" s="18" t="s">
        <v>2473</v>
      </c>
      <c r="J967" s="18" t="s">
        <v>2473</v>
      </c>
      <c r="K967" s="18" t="s">
        <v>2473</v>
      </c>
      <c r="AU967" s="8"/>
      <c r="AV967" s="6" t="str">
        <f t="shared" si="16"/>
        <v/>
      </c>
    </row>
    <row r="968" spans="1:48" ht="14.65" thickBot="1" x14ac:dyDescent="0.5">
      <c r="A968" s="36" t="s">
        <v>8</v>
      </c>
      <c r="B968" s="3" t="s">
        <v>9</v>
      </c>
      <c r="C968" s="4"/>
      <c r="D968" s="4"/>
      <c r="E968" s="4"/>
      <c r="F968" s="4"/>
      <c r="G968" s="4"/>
      <c r="H968" s="4"/>
      <c r="I968" s="18" t="s">
        <v>2473</v>
      </c>
      <c r="J968" s="18" t="s">
        <v>2473</v>
      </c>
      <c r="K968" s="18" t="s">
        <v>2473</v>
      </c>
      <c r="AU968" s="8"/>
      <c r="AV968" s="6" t="str">
        <f t="shared" si="16"/>
        <v/>
      </c>
    </row>
    <row r="969" spans="1:48" ht="14.65" thickBot="1" x14ac:dyDescent="0.5">
      <c r="A969" s="36" t="s">
        <v>816</v>
      </c>
      <c r="B969" s="3" t="s">
        <v>817</v>
      </c>
      <c r="C969" s="4" t="s">
        <v>37</v>
      </c>
      <c r="D969" s="4" t="s">
        <v>13</v>
      </c>
      <c r="E969" s="4" t="s">
        <v>37</v>
      </c>
      <c r="F969" s="4" t="s">
        <v>13</v>
      </c>
      <c r="G969" s="4" t="s">
        <v>37</v>
      </c>
      <c r="H969" s="4" t="s">
        <v>13</v>
      </c>
      <c r="I969" s="18" t="s">
        <v>2473</v>
      </c>
      <c r="J969" s="18" t="s">
        <v>2473</v>
      </c>
      <c r="K969" s="18" t="s">
        <v>2473</v>
      </c>
      <c r="AU969" s="8"/>
      <c r="AV969" s="6" t="str">
        <f t="shared" si="16"/>
        <v/>
      </c>
    </row>
    <row r="970" spans="1:48" ht="14.65" thickBot="1" x14ac:dyDescent="0.5">
      <c r="A970" s="36" t="s">
        <v>818</v>
      </c>
      <c r="B970" s="3" t="s">
        <v>819</v>
      </c>
      <c r="C970" s="4" t="s">
        <v>37</v>
      </c>
      <c r="D970" s="4" t="s">
        <v>37</v>
      </c>
      <c r="E970" s="4" t="s">
        <v>37</v>
      </c>
      <c r="F970" s="4" t="s">
        <v>37</v>
      </c>
      <c r="G970" s="4" t="s">
        <v>37</v>
      </c>
      <c r="H970" s="4" t="s">
        <v>37</v>
      </c>
      <c r="I970" s="18" t="s">
        <v>2473</v>
      </c>
      <c r="J970" s="18" t="s">
        <v>2473</v>
      </c>
      <c r="K970" s="18" t="s">
        <v>2473</v>
      </c>
      <c r="AU970" s="8"/>
      <c r="AV970" s="6" t="str">
        <f t="shared" si="16"/>
        <v/>
      </c>
    </row>
    <row r="971" spans="1:48" ht="23.65" thickBot="1" x14ac:dyDescent="0.5">
      <c r="A971" s="35" t="s">
        <v>3306</v>
      </c>
      <c r="B971" s="5" t="s">
        <v>3790</v>
      </c>
      <c r="C971" s="4" t="s">
        <v>13</v>
      </c>
      <c r="D971" s="4" t="s">
        <v>13</v>
      </c>
      <c r="E971" s="4" t="s">
        <v>13</v>
      </c>
      <c r="F971" s="4" t="s">
        <v>13</v>
      </c>
      <c r="G971" s="4" t="s">
        <v>13</v>
      </c>
      <c r="H971" s="4" t="s">
        <v>13</v>
      </c>
      <c r="I971" s="18" t="s">
        <v>2473</v>
      </c>
      <c r="J971" s="18" t="s">
        <v>2473</v>
      </c>
      <c r="K971" s="18" t="s">
        <v>2473</v>
      </c>
      <c r="AU971" s="6"/>
      <c r="AV971" s="6" t="str">
        <f t="shared" si="16"/>
        <v/>
      </c>
    </row>
    <row r="972" spans="1:48" ht="14.65" thickBot="1" x14ac:dyDescent="0.5">
      <c r="A972" s="35" t="s">
        <v>424</v>
      </c>
      <c r="B972" s="3" t="s">
        <v>821</v>
      </c>
      <c r="C972" s="4" t="s">
        <v>10</v>
      </c>
      <c r="D972" s="4"/>
      <c r="E972" s="4" t="s">
        <v>10</v>
      </c>
      <c r="F972" s="4"/>
      <c r="G972" s="4" t="s">
        <v>10</v>
      </c>
      <c r="H972" s="4"/>
      <c r="I972" s="18" t="s">
        <v>2473</v>
      </c>
      <c r="J972" s="18" t="s">
        <v>2473</v>
      </c>
      <c r="K972" s="18" t="s">
        <v>2473</v>
      </c>
      <c r="AU972" s="6"/>
      <c r="AV972" s="6" t="str">
        <f t="shared" si="16"/>
        <v/>
      </c>
    </row>
    <row r="973" spans="1:48" ht="23.65" thickBot="1" x14ac:dyDescent="0.5">
      <c r="A973" s="35" t="s">
        <v>3307</v>
      </c>
      <c r="B973" s="3" t="s">
        <v>822</v>
      </c>
      <c r="C973" s="4" t="s">
        <v>10</v>
      </c>
      <c r="D973" s="4" t="s">
        <v>13</v>
      </c>
      <c r="E973" s="4" t="s">
        <v>10</v>
      </c>
      <c r="F973" s="4" t="s">
        <v>13</v>
      </c>
      <c r="G973" s="4" t="s">
        <v>10</v>
      </c>
      <c r="H973" s="4" t="s">
        <v>13</v>
      </c>
      <c r="I973" s="18" t="s">
        <v>2473</v>
      </c>
      <c r="J973" s="18" t="s">
        <v>2473</v>
      </c>
      <c r="K973" s="18" t="s">
        <v>2473</v>
      </c>
      <c r="AU973" s="6"/>
      <c r="AV973" s="6" t="str">
        <f t="shared" si="16"/>
        <v/>
      </c>
    </row>
    <row r="974" spans="1:48" ht="14.65" thickBot="1" x14ac:dyDescent="0.5">
      <c r="A974" s="35" t="s">
        <v>3308</v>
      </c>
      <c r="B974" s="3" t="s">
        <v>3791</v>
      </c>
      <c r="C974" s="4" t="s">
        <v>10</v>
      </c>
      <c r="D974" s="4" t="s">
        <v>13</v>
      </c>
      <c r="E974" s="4" t="s">
        <v>10</v>
      </c>
      <c r="F974" s="4" t="s">
        <v>13</v>
      </c>
      <c r="G974" s="4" t="s">
        <v>10</v>
      </c>
      <c r="H974" s="4" t="s">
        <v>13</v>
      </c>
      <c r="I974" s="18" t="s">
        <v>2473</v>
      </c>
      <c r="J974" s="18" t="s">
        <v>2473</v>
      </c>
      <c r="K974" s="18" t="s">
        <v>2473</v>
      </c>
      <c r="AU974" s="6"/>
      <c r="AV974" s="6" t="str">
        <f t="shared" si="16"/>
        <v/>
      </c>
    </row>
    <row r="975" spans="1:48" ht="23.65" thickBot="1" x14ac:dyDescent="0.5">
      <c r="A975" s="36" t="s">
        <v>3312</v>
      </c>
      <c r="B975" s="3" t="s">
        <v>3313</v>
      </c>
      <c r="C975" s="4"/>
      <c r="D975" s="4"/>
      <c r="E975" s="4"/>
      <c r="F975" s="4"/>
      <c r="G975" s="4"/>
      <c r="H975" s="4"/>
      <c r="J975" s="18" t="s">
        <v>2473</v>
      </c>
      <c r="K975" s="18" t="s">
        <v>2473</v>
      </c>
      <c r="AU975" s="6"/>
      <c r="AV975" s="6" t="str">
        <f t="shared" si="16"/>
        <v/>
      </c>
    </row>
    <row r="976" spans="1:48" ht="14.65" thickBot="1" x14ac:dyDescent="0.5">
      <c r="A976" s="36" t="s">
        <v>75</v>
      </c>
      <c r="B976" s="3" t="s">
        <v>76</v>
      </c>
      <c r="C976" s="4"/>
      <c r="D976" s="4"/>
      <c r="E976" s="4"/>
      <c r="F976" s="4"/>
      <c r="G976" s="4"/>
      <c r="H976" s="4"/>
      <c r="J976" s="18" t="s">
        <v>2473</v>
      </c>
      <c r="K976" s="18" t="s">
        <v>2473</v>
      </c>
      <c r="AU976" s="6"/>
      <c r="AV976" s="6" t="str">
        <f t="shared" si="16"/>
        <v/>
      </c>
    </row>
    <row r="977" spans="1:48" ht="35.25" thickBot="1" x14ac:dyDescent="0.5">
      <c r="A977" s="35" t="s">
        <v>3317</v>
      </c>
      <c r="B977" s="3" t="s">
        <v>3314</v>
      </c>
      <c r="C977" s="4"/>
      <c r="D977" s="4"/>
      <c r="E977" s="4"/>
      <c r="F977" s="4"/>
      <c r="G977" s="4"/>
      <c r="H977" s="4"/>
      <c r="J977" s="18" t="s">
        <v>2473</v>
      </c>
      <c r="K977" s="18" t="s">
        <v>2473</v>
      </c>
      <c r="AU977" s="6"/>
      <c r="AV977" s="6" t="str">
        <f t="shared" si="16"/>
        <v/>
      </c>
    </row>
    <row r="978" spans="1:48" ht="14.65" thickBot="1" x14ac:dyDescent="0.5">
      <c r="A978" s="35" t="s">
        <v>43</v>
      </c>
      <c r="B978" s="3" t="s">
        <v>3315</v>
      </c>
      <c r="C978" s="4"/>
      <c r="D978" s="4"/>
      <c r="E978" s="4"/>
      <c r="F978" s="4"/>
      <c r="G978" s="4"/>
      <c r="H978" s="4"/>
      <c r="J978" s="18" t="s">
        <v>2473</v>
      </c>
      <c r="K978" s="18" t="s">
        <v>2473</v>
      </c>
      <c r="AU978" s="6"/>
      <c r="AV978" s="6" t="str">
        <f t="shared" si="16"/>
        <v/>
      </c>
    </row>
    <row r="979" spans="1:48" ht="14.65" thickBot="1" x14ac:dyDescent="0.5">
      <c r="A979" s="35" t="s">
        <v>59</v>
      </c>
      <c r="B979" s="3" t="s">
        <v>3316</v>
      </c>
      <c r="C979" s="4"/>
      <c r="D979" s="4"/>
      <c r="E979" s="4"/>
      <c r="F979" s="4"/>
      <c r="G979" s="4"/>
      <c r="H979" s="4"/>
      <c r="J979" s="18" t="s">
        <v>2473</v>
      </c>
      <c r="K979" s="18" t="s">
        <v>2473</v>
      </c>
      <c r="AU979" s="6"/>
      <c r="AV979" s="6" t="str">
        <f t="shared" si="16"/>
        <v/>
      </c>
    </row>
    <row r="980" spans="1:48" ht="23.65" thickBot="1" x14ac:dyDescent="0.5">
      <c r="A980" s="36" t="s">
        <v>680</v>
      </c>
      <c r="B980" s="3" t="s">
        <v>681</v>
      </c>
      <c r="C980" s="4" t="s">
        <v>10</v>
      </c>
      <c r="D980" s="4" t="s">
        <v>13</v>
      </c>
      <c r="E980" s="4" t="s">
        <v>10</v>
      </c>
      <c r="F980" s="4" t="s">
        <v>13</v>
      </c>
      <c r="G980" s="4" t="s">
        <v>10</v>
      </c>
      <c r="H980" s="4" t="s">
        <v>13</v>
      </c>
      <c r="I980" s="18" t="s">
        <v>2473</v>
      </c>
      <c r="J980" s="18" t="s">
        <v>2473</v>
      </c>
      <c r="K980" s="18" t="s">
        <v>2473</v>
      </c>
      <c r="AU980" s="6"/>
      <c r="AV980" s="6" t="str">
        <f t="shared" si="16"/>
        <v/>
      </c>
    </row>
    <row r="981" spans="1:48" ht="14.65" thickBot="1" x14ac:dyDescent="0.5">
      <c r="A981" s="36" t="s">
        <v>682</v>
      </c>
      <c r="B981" s="3" t="s">
        <v>824</v>
      </c>
      <c r="C981" s="4" t="s">
        <v>10</v>
      </c>
      <c r="D981" s="4"/>
      <c r="E981" s="4" t="s">
        <v>10</v>
      </c>
      <c r="F981" s="4"/>
      <c r="G981" s="4" t="s">
        <v>10</v>
      </c>
      <c r="H981" s="4"/>
      <c r="I981" s="18" t="s">
        <v>2473</v>
      </c>
      <c r="J981" s="18" t="s">
        <v>2473</v>
      </c>
      <c r="K981" s="18" t="s">
        <v>2473</v>
      </c>
      <c r="AU981" s="6"/>
      <c r="AV981" s="6" t="str">
        <f t="shared" si="16"/>
        <v/>
      </c>
    </row>
    <row r="982" spans="1:48" ht="14.65" thickBot="1" x14ac:dyDescent="0.5">
      <c r="A982" s="36" t="s">
        <v>825</v>
      </c>
      <c r="B982" s="3" t="s">
        <v>826</v>
      </c>
      <c r="C982" s="4" t="s">
        <v>37</v>
      </c>
      <c r="D982" s="4" t="s">
        <v>37</v>
      </c>
      <c r="E982" s="4" t="s">
        <v>37</v>
      </c>
      <c r="F982" s="4" t="s">
        <v>37</v>
      </c>
      <c r="G982" s="4" t="s">
        <v>37</v>
      </c>
      <c r="H982" s="4" t="s">
        <v>37</v>
      </c>
      <c r="I982" s="18" t="s">
        <v>2473</v>
      </c>
      <c r="J982" s="18" t="s">
        <v>2473</v>
      </c>
      <c r="K982" s="18" t="s">
        <v>2473</v>
      </c>
      <c r="AU982" s="6"/>
      <c r="AV982" s="6" t="str">
        <f t="shared" si="16"/>
        <v/>
      </c>
    </row>
    <row r="983" spans="1:48" ht="14.65" thickBot="1" x14ac:dyDescent="0.5">
      <c r="A983" s="35" t="s">
        <v>3309</v>
      </c>
      <c r="B983" s="3" t="s">
        <v>827</v>
      </c>
      <c r="C983" s="4" t="s">
        <v>37</v>
      </c>
      <c r="D983" s="4"/>
      <c r="E983" s="4" t="s">
        <v>37</v>
      </c>
      <c r="F983" s="4"/>
      <c r="G983" s="4" t="s">
        <v>37</v>
      </c>
      <c r="H983" s="4"/>
      <c r="I983" s="18" t="s">
        <v>2473</v>
      </c>
      <c r="J983" s="18" t="s">
        <v>2473</v>
      </c>
      <c r="K983" s="18" t="s">
        <v>2473</v>
      </c>
      <c r="AU983" s="6"/>
      <c r="AV983" s="6" t="str">
        <f t="shared" si="16"/>
        <v/>
      </c>
    </row>
    <row r="984" spans="1:48" ht="14.65" thickBot="1" x14ac:dyDescent="0.5">
      <c r="A984" s="35" t="s">
        <v>3024</v>
      </c>
      <c r="B984" s="3" t="s">
        <v>828</v>
      </c>
      <c r="C984" s="4" t="s">
        <v>10</v>
      </c>
      <c r="D984" s="4" t="s">
        <v>13</v>
      </c>
      <c r="E984" s="4" t="s">
        <v>10</v>
      </c>
      <c r="F984" s="4" t="s">
        <v>13</v>
      </c>
      <c r="G984" s="4" t="s">
        <v>10</v>
      </c>
      <c r="H984" s="4" t="s">
        <v>13</v>
      </c>
      <c r="I984" s="18" t="s">
        <v>2473</v>
      </c>
      <c r="J984" s="18" t="s">
        <v>2473</v>
      </c>
      <c r="K984" s="18" t="s">
        <v>2473</v>
      </c>
      <c r="AU984" s="6"/>
      <c r="AV984" s="6" t="str">
        <f t="shared" si="16"/>
        <v/>
      </c>
    </row>
    <row r="985" spans="1:48" ht="35.25" thickBot="1" x14ac:dyDescent="0.5">
      <c r="A985" s="35" t="s">
        <v>3023</v>
      </c>
      <c r="B985" s="3" t="s">
        <v>829</v>
      </c>
      <c r="C985" s="4" t="s">
        <v>10</v>
      </c>
      <c r="D985" s="4" t="s">
        <v>13</v>
      </c>
      <c r="E985" s="4" t="s">
        <v>10</v>
      </c>
      <c r="F985" s="4" t="s">
        <v>13</v>
      </c>
      <c r="G985" s="4" t="s">
        <v>10</v>
      </c>
      <c r="H985" s="4" t="s">
        <v>13</v>
      </c>
      <c r="I985" s="18" t="s">
        <v>2473</v>
      </c>
      <c r="J985" s="18" t="s">
        <v>2473</v>
      </c>
      <c r="K985" s="18" t="s">
        <v>2473</v>
      </c>
      <c r="AU985" s="6"/>
      <c r="AV985" s="6" t="str">
        <f t="shared" si="16"/>
        <v/>
      </c>
    </row>
    <row r="986" spans="1:48" ht="14.65" thickBot="1" x14ac:dyDescent="0.5">
      <c r="A986" s="35" t="s">
        <v>3022</v>
      </c>
      <c r="B986" s="3" t="s">
        <v>831</v>
      </c>
      <c r="C986" s="4" t="s">
        <v>10</v>
      </c>
      <c r="D986" s="4" t="s">
        <v>13</v>
      </c>
      <c r="E986" s="4" t="s">
        <v>10</v>
      </c>
      <c r="F986" s="4" t="s">
        <v>13</v>
      </c>
      <c r="G986" s="4" t="s">
        <v>10</v>
      </c>
      <c r="H986" s="4" t="s">
        <v>13</v>
      </c>
      <c r="I986" s="18" t="s">
        <v>2473</v>
      </c>
      <c r="J986" s="18" t="s">
        <v>2473</v>
      </c>
      <c r="K986" s="18" t="s">
        <v>2473</v>
      </c>
      <c r="AU986" s="6"/>
      <c r="AV986" s="6" t="str">
        <f t="shared" si="16"/>
        <v/>
      </c>
    </row>
    <row r="987" spans="1:48" ht="14.65" thickBot="1" x14ac:dyDescent="0.5">
      <c r="A987" s="35" t="s">
        <v>3310</v>
      </c>
      <c r="B987" s="3" t="s">
        <v>832</v>
      </c>
      <c r="C987" s="4" t="s">
        <v>37</v>
      </c>
      <c r="D987" s="4"/>
      <c r="E987" s="4" t="s">
        <v>37</v>
      </c>
      <c r="F987" s="4"/>
      <c r="G987" s="4" t="s">
        <v>37</v>
      </c>
      <c r="H987" s="4"/>
      <c r="I987" s="18" t="s">
        <v>2473</v>
      </c>
      <c r="J987" s="18" t="s">
        <v>2473</v>
      </c>
      <c r="K987" s="18" t="s">
        <v>2473</v>
      </c>
      <c r="AU987" s="6"/>
      <c r="AV987" s="6" t="str">
        <f t="shared" si="16"/>
        <v/>
      </c>
    </row>
    <row r="988" spans="1:48" ht="14.65" thickBot="1" x14ac:dyDescent="0.5">
      <c r="A988" s="35" t="s">
        <v>3024</v>
      </c>
      <c r="B988" s="3" t="s">
        <v>828</v>
      </c>
      <c r="C988" s="4" t="s">
        <v>10</v>
      </c>
      <c r="D988" s="4" t="s">
        <v>13</v>
      </c>
      <c r="E988" s="4" t="s">
        <v>10</v>
      </c>
      <c r="F988" s="4" t="s">
        <v>13</v>
      </c>
      <c r="G988" s="4" t="s">
        <v>10</v>
      </c>
      <c r="H988" s="4" t="s">
        <v>13</v>
      </c>
      <c r="I988" s="18" t="s">
        <v>2473</v>
      </c>
      <c r="J988" s="18" t="s">
        <v>2473</v>
      </c>
      <c r="K988" s="18" t="s">
        <v>2473</v>
      </c>
      <c r="AU988" s="6"/>
      <c r="AV988" s="6" t="str">
        <f t="shared" si="16"/>
        <v/>
      </c>
    </row>
    <row r="989" spans="1:48" ht="35.25" thickBot="1" x14ac:dyDescent="0.5">
      <c r="A989" s="35" t="s">
        <v>3023</v>
      </c>
      <c r="B989" s="3" t="s">
        <v>829</v>
      </c>
      <c r="C989" s="4" t="s">
        <v>10</v>
      </c>
      <c r="D989" s="4" t="s">
        <v>13</v>
      </c>
      <c r="E989" s="4" t="s">
        <v>10</v>
      </c>
      <c r="F989" s="4" t="s">
        <v>13</v>
      </c>
      <c r="G989" s="4" t="s">
        <v>10</v>
      </c>
      <c r="H989" s="4" t="s">
        <v>13</v>
      </c>
      <c r="I989" s="18" t="s">
        <v>2473</v>
      </c>
      <c r="J989" s="18" t="s">
        <v>2473</v>
      </c>
      <c r="K989" s="18" t="s">
        <v>2473</v>
      </c>
      <c r="AU989" s="6"/>
      <c r="AV989" s="6" t="str">
        <f t="shared" si="16"/>
        <v/>
      </c>
    </row>
    <row r="990" spans="1:48" ht="14.65" thickBot="1" x14ac:dyDescent="0.5">
      <c r="A990" s="35" t="s">
        <v>3022</v>
      </c>
      <c r="B990" s="3" t="s">
        <v>831</v>
      </c>
      <c r="C990" s="4" t="s">
        <v>10</v>
      </c>
      <c r="D990" s="4" t="s">
        <v>13</v>
      </c>
      <c r="E990" s="4" t="s">
        <v>10</v>
      </c>
      <c r="F990" s="4" t="s">
        <v>13</v>
      </c>
      <c r="G990" s="4" t="s">
        <v>10</v>
      </c>
      <c r="H990" s="4" t="s">
        <v>13</v>
      </c>
      <c r="I990" s="18" t="s">
        <v>2473</v>
      </c>
      <c r="J990" s="18" t="s">
        <v>2473</v>
      </c>
      <c r="K990" s="18" t="s">
        <v>2473</v>
      </c>
      <c r="AU990" s="6"/>
      <c r="AV990" s="6" t="str">
        <f t="shared" si="16"/>
        <v/>
      </c>
    </row>
    <row r="991" spans="1:48" ht="14.65" thickBot="1" x14ac:dyDescent="0.5">
      <c r="A991" s="35" t="s">
        <v>3026</v>
      </c>
      <c r="B991" s="3" t="s">
        <v>833</v>
      </c>
      <c r="C991" s="4" t="s">
        <v>37</v>
      </c>
      <c r="D991" s="4"/>
      <c r="E991" s="4" t="s">
        <v>37</v>
      </c>
      <c r="F991" s="4"/>
      <c r="G991" s="4" t="s">
        <v>37</v>
      </c>
      <c r="H991" s="4"/>
      <c r="I991" s="18" t="s">
        <v>2473</v>
      </c>
      <c r="J991" s="18" t="s">
        <v>2473</v>
      </c>
      <c r="K991" s="18" t="s">
        <v>2473</v>
      </c>
      <c r="AU991" s="6"/>
      <c r="AV991" s="6" t="str">
        <f t="shared" si="16"/>
        <v/>
      </c>
    </row>
    <row r="992" spans="1:48" ht="14.65" thickBot="1" x14ac:dyDescent="0.5">
      <c r="A992" s="35" t="s">
        <v>3024</v>
      </c>
      <c r="B992" s="3" t="s">
        <v>828</v>
      </c>
      <c r="C992" s="4" t="s">
        <v>10</v>
      </c>
      <c r="D992" s="4" t="s">
        <v>13</v>
      </c>
      <c r="E992" s="4" t="s">
        <v>10</v>
      </c>
      <c r="F992" s="4" t="s">
        <v>13</v>
      </c>
      <c r="G992" s="4" t="s">
        <v>10</v>
      </c>
      <c r="H992" s="4" t="s">
        <v>13</v>
      </c>
      <c r="I992" s="18" t="s">
        <v>2473</v>
      </c>
      <c r="J992" s="18" t="s">
        <v>2473</v>
      </c>
      <c r="K992" s="18" t="s">
        <v>2473</v>
      </c>
      <c r="AU992" s="6"/>
      <c r="AV992" s="6" t="str">
        <f t="shared" si="16"/>
        <v/>
      </c>
    </row>
    <row r="993" spans="1:48" ht="35.25" thickBot="1" x14ac:dyDescent="0.5">
      <c r="A993" s="35" t="s">
        <v>3023</v>
      </c>
      <c r="B993" s="3" t="s">
        <v>829</v>
      </c>
      <c r="C993" s="4" t="s">
        <v>10</v>
      </c>
      <c r="D993" s="4" t="s">
        <v>13</v>
      </c>
      <c r="E993" s="4" t="s">
        <v>10</v>
      </c>
      <c r="F993" s="4" t="s">
        <v>13</v>
      </c>
      <c r="G993" s="4" t="s">
        <v>10</v>
      </c>
      <c r="H993" s="4" t="s">
        <v>13</v>
      </c>
      <c r="I993" s="18" t="s">
        <v>2473</v>
      </c>
      <c r="J993" s="18" t="s">
        <v>2473</v>
      </c>
      <c r="K993" s="18" t="s">
        <v>2473</v>
      </c>
      <c r="AU993" s="6"/>
      <c r="AV993" s="6" t="str">
        <f t="shared" si="16"/>
        <v/>
      </c>
    </row>
    <row r="994" spans="1:48" ht="14.65" thickBot="1" x14ac:dyDescent="0.5">
      <c r="A994" s="35" t="s">
        <v>3022</v>
      </c>
      <c r="B994" s="3" t="s">
        <v>831</v>
      </c>
      <c r="C994" s="4" t="s">
        <v>10</v>
      </c>
      <c r="D994" s="4" t="s">
        <v>13</v>
      </c>
      <c r="E994" s="4" t="s">
        <v>10</v>
      </c>
      <c r="F994" s="4" t="s">
        <v>13</v>
      </c>
      <c r="G994" s="4" t="s">
        <v>10</v>
      </c>
      <c r="H994" s="4" t="s">
        <v>13</v>
      </c>
      <c r="I994" s="18" t="s">
        <v>2473</v>
      </c>
      <c r="J994" s="18" t="s">
        <v>2473</v>
      </c>
      <c r="K994" s="18" t="s">
        <v>2473</v>
      </c>
      <c r="AU994" s="6"/>
      <c r="AV994" s="6" t="str">
        <f t="shared" si="16"/>
        <v/>
      </c>
    </row>
    <row r="995" spans="1:48" ht="14.65" thickBot="1" x14ac:dyDescent="0.5">
      <c r="A995" s="35" t="s">
        <v>3311</v>
      </c>
      <c r="B995" s="3" t="s">
        <v>834</v>
      </c>
      <c r="C995" s="4" t="s">
        <v>37</v>
      </c>
      <c r="D995" s="4"/>
      <c r="E995" s="4" t="s">
        <v>37</v>
      </c>
      <c r="F995" s="4"/>
      <c r="G995" s="4" t="s">
        <v>37</v>
      </c>
      <c r="H995" s="4"/>
      <c r="I995" s="18" t="s">
        <v>2473</v>
      </c>
      <c r="J995" s="18" t="s">
        <v>2473</v>
      </c>
      <c r="K995" s="18" t="s">
        <v>2473</v>
      </c>
      <c r="AU995" s="6"/>
      <c r="AV995" s="6" t="str">
        <f t="shared" si="16"/>
        <v/>
      </c>
    </row>
    <row r="996" spans="1:48" ht="14.65" thickBot="1" x14ac:dyDescent="0.5">
      <c r="A996" s="35" t="s">
        <v>3024</v>
      </c>
      <c r="B996" s="3" t="s">
        <v>828</v>
      </c>
      <c r="C996" s="4" t="s">
        <v>10</v>
      </c>
      <c r="D996" s="4" t="s">
        <v>13</v>
      </c>
      <c r="E996" s="4" t="s">
        <v>10</v>
      </c>
      <c r="F996" s="4" t="s">
        <v>13</v>
      </c>
      <c r="G996" s="4" t="s">
        <v>10</v>
      </c>
      <c r="H996" s="4" t="s">
        <v>13</v>
      </c>
      <c r="I996" s="18" t="s">
        <v>2473</v>
      </c>
      <c r="J996" s="18" t="s">
        <v>2473</v>
      </c>
      <c r="K996" s="18" t="s">
        <v>2473</v>
      </c>
      <c r="AU996" s="6"/>
      <c r="AV996" s="6" t="str">
        <f t="shared" si="16"/>
        <v/>
      </c>
    </row>
    <row r="997" spans="1:48" ht="35.25" thickBot="1" x14ac:dyDescent="0.5">
      <c r="A997" s="35" t="s">
        <v>3023</v>
      </c>
      <c r="B997" s="3" t="s">
        <v>829</v>
      </c>
      <c r="C997" s="4" t="s">
        <v>10</v>
      </c>
      <c r="D997" s="4" t="s">
        <v>13</v>
      </c>
      <c r="E997" s="4" t="s">
        <v>10</v>
      </c>
      <c r="F997" s="4" t="s">
        <v>13</v>
      </c>
      <c r="G997" s="4" t="s">
        <v>10</v>
      </c>
      <c r="H997" s="4" t="s">
        <v>13</v>
      </c>
      <c r="I997" s="18" t="s">
        <v>2473</v>
      </c>
      <c r="J997" s="18" t="s">
        <v>2473</v>
      </c>
      <c r="K997" s="18" t="s">
        <v>2473</v>
      </c>
      <c r="AU997" s="6"/>
      <c r="AV997" s="6" t="str">
        <f t="shared" si="16"/>
        <v/>
      </c>
    </row>
    <row r="998" spans="1:48" ht="14.65" thickBot="1" x14ac:dyDescent="0.5">
      <c r="A998" s="35" t="s">
        <v>3022</v>
      </c>
      <c r="B998" s="3" t="s">
        <v>831</v>
      </c>
      <c r="C998" s="4" t="s">
        <v>10</v>
      </c>
      <c r="D998" s="4" t="s">
        <v>13</v>
      </c>
      <c r="E998" s="4" t="s">
        <v>10</v>
      </c>
      <c r="F998" s="4" t="s">
        <v>13</v>
      </c>
      <c r="G998" s="4" t="s">
        <v>10</v>
      </c>
      <c r="H998" s="4" t="s">
        <v>13</v>
      </c>
      <c r="I998" s="18" t="s">
        <v>2473</v>
      </c>
      <c r="J998" s="18" t="s">
        <v>2473</v>
      </c>
      <c r="K998" s="18" t="s">
        <v>2473</v>
      </c>
      <c r="AU998" s="6"/>
      <c r="AV998" s="6" t="str">
        <f t="shared" si="16"/>
        <v/>
      </c>
    </row>
    <row r="999" spans="1:48" ht="24.4" thickBot="1" x14ac:dyDescent="0.5">
      <c r="A999" s="36" t="s">
        <v>145</v>
      </c>
      <c r="B999" s="3" t="s">
        <v>450</v>
      </c>
      <c r="C999" s="4" t="s">
        <v>13</v>
      </c>
      <c r="D999" s="4"/>
      <c r="E999" s="4" t="s">
        <v>13</v>
      </c>
      <c r="F999" s="4"/>
      <c r="G999" s="4" t="s">
        <v>13</v>
      </c>
      <c r="H999" s="4"/>
      <c r="I999" s="18" t="s">
        <v>2473</v>
      </c>
      <c r="J999" s="18" t="s">
        <v>2473</v>
      </c>
      <c r="K999" s="18" t="s">
        <v>2473</v>
      </c>
      <c r="AS999" s="139" t="s">
        <v>5372</v>
      </c>
      <c r="AU999" s="6"/>
      <c r="AV999" s="6" t="str">
        <f t="shared" si="16"/>
        <v/>
      </c>
    </row>
    <row r="1000" spans="1:48" ht="47.65" thickBot="1" x14ac:dyDescent="0.5">
      <c r="A1000" s="35" t="s">
        <v>5361</v>
      </c>
      <c r="B1000" s="3" t="s">
        <v>5352</v>
      </c>
      <c r="C1000" s="4" t="s">
        <v>10</v>
      </c>
      <c r="D1000" s="4"/>
      <c r="E1000" s="4" t="s">
        <v>10</v>
      </c>
      <c r="F1000" s="4"/>
      <c r="G1000" s="4" t="s">
        <v>10</v>
      </c>
      <c r="H1000" s="4"/>
      <c r="I1000" s="18" t="s">
        <v>2473</v>
      </c>
      <c r="J1000" s="18" t="s">
        <v>2473</v>
      </c>
      <c r="K1000" s="18" t="s">
        <v>2473</v>
      </c>
      <c r="Q1000" s="131"/>
      <c r="R1000" s="131"/>
      <c r="S1000" s="131"/>
      <c r="T1000" s="131"/>
      <c r="U1000" s="131"/>
      <c r="V1000" s="131"/>
      <c r="W1000" s="131"/>
      <c r="X1000" s="131"/>
      <c r="AS1000" s="139" t="s">
        <v>5355</v>
      </c>
      <c r="AU1000" s="6"/>
      <c r="AV1000" s="6"/>
    </row>
    <row r="1001" spans="1:48" ht="82.5" thickBot="1" x14ac:dyDescent="0.5">
      <c r="A1001" s="35" t="s">
        <v>5360</v>
      </c>
      <c r="B1001" s="3" t="s">
        <v>5353</v>
      </c>
      <c r="C1001" s="4"/>
      <c r="D1001" s="4"/>
      <c r="E1001" s="4"/>
      <c r="F1001" s="4"/>
      <c r="G1001" s="4"/>
      <c r="H1001" s="4"/>
      <c r="I1001" s="18" t="s">
        <v>2473</v>
      </c>
      <c r="J1001" s="18" t="s">
        <v>2473</v>
      </c>
      <c r="K1001" s="18" t="s">
        <v>2473</v>
      </c>
      <c r="Q1001" s="131"/>
      <c r="R1001" s="131"/>
      <c r="S1001" s="131"/>
      <c r="T1001" s="131"/>
      <c r="U1001" s="131"/>
      <c r="V1001" s="131"/>
      <c r="W1001" s="131"/>
      <c r="X1001" s="131"/>
      <c r="AS1001" s="139" t="s">
        <v>5356</v>
      </c>
      <c r="AU1001" s="6"/>
      <c r="AV1001" s="6"/>
    </row>
    <row r="1002" spans="1:48" ht="23.65" thickBot="1" x14ac:dyDescent="0.5">
      <c r="A1002" s="36" t="s">
        <v>835</v>
      </c>
      <c r="B1002" s="3" t="s">
        <v>836</v>
      </c>
      <c r="C1002" s="4" t="s">
        <v>37</v>
      </c>
      <c r="D1002" s="4"/>
      <c r="E1002" s="4" t="s">
        <v>37</v>
      </c>
      <c r="F1002" s="4"/>
      <c r="G1002" s="4" t="s">
        <v>37</v>
      </c>
      <c r="H1002" s="4"/>
      <c r="I1002" s="18" t="s">
        <v>2473</v>
      </c>
      <c r="J1002" s="18" t="s">
        <v>2473</v>
      </c>
      <c r="K1002" s="18" t="s">
        <v>2473</v>
      </c>
      <c r="AU1002" s="6"/>
      <c r="AV1002" s="6" t="str">
        <f t="shared" si="16"/>
        <v/>
      </c>
    </row>
    <row r="1003" spans="1:48" ht="14.65" thickBot="1" x14ac:dyDescent="0.5">
      <c r="A1003" s="36" t="s">
        <v>696</v>
      </c>
      <c r="B1003" s="3" t="s">
        <v>837</v>
      </c>
      <c r="C1003" s="4" t="s">
        <v>37</v>
      </c>
      <c r="D1003" s="4"/>
      <c r="E1003" s="4" t="s">
        <v>37</v>
      </c>
      <c r="F1003" s="4"/>
      <c r="G1003" s="4" t="s">
        <v>37</v>
      </c>
      <c r="H1003" s="4"/>
      <c r="I1003" s="18" t="s">
        <v>2473</v>
      </c>
      <c r="J1003" s="18" t="s">
        <v>2473</v>
      </c>
      <c r="K1003" s="18" t="s">
        <v>2473</v>
      </c>
      <c r="AU1003" s="6"/>
      <c r="AV1003" s="6" t="str">
        <f t="shared" si="16"/>
        <v/>
      </c>
    </row>
    <row r="1004" spans="1:48" ht="14.65" thickBot="1" x14ac:dyDescent="0.5">
      <c r="A1004" s="35" t="s">
        <v>424</v>
      </c>
      <c r="B1004" s="3" t="s">
        <v>697</v>
      </c>
      <c r="C1004" s="4" t="s">
        <v>10</v>
      </c>
      <c r="D1004" s="4"/>
      <c r="E1004" s="4" t="s">
        <v>10</v>
      </c>
      <c r="F1004" s="4"/>
      <c r="G1004" s="4" t="s">
        <v>10</v>
      </c>
      <c r="H1004" s="4"/>
      <c r="I1004" s="18" t="s">
        <v>2473</v>
      </c>
      <c r="J1004" s="18" t="s">
        <v>2473</v>
      </c>
      <c r="K1004" s="18" t="s">
        <v>2473</v>
      </c>
      <c r="AU1004" s="6"/>
      <c r="AV1004" s="6" t="str">
        <f t="shared" si="16"/>
        <v/>
      </c>
    </row>
    <row r="1005" spans="1:48" ht="14.65" thickBot="1" x14ac:dyDescent="0.5">
      <c r="A1005" s="35" t="s">
        <v>698</v>
      </c>
      <c r="B1005" s="3" t="s">
        <v>699</v>
      </c>
      <c r="C1005" s="4" t="s">
        <v>10</v>
      </c>
      <c r="D1005" s="4"/>
      <c r="E1005" s="4" t="s">
        <v>10</v>
      </c>
      <c r="F1005" s="4"/>
      <c r="G1005" s="4" t="s">
        <v>10</v>
      </c>
      <c r="H1005" s="4"/>
      <c r="I1005" s="18" t="s">
        <v>2473</v>
      </c>
      <c r="J1005" s="18" t="s">
        <v>2473</v>
      </c>
      <c r="K1005" s="18" t="s">
        <v>2473</v>
      </c>
      <c r="AU1005" s="6"/>
      <c r="AV1005" s="6" t="str">
        <f t="shared" ref="AV1005:AV1070" si="17">IF(A1005&lt;&gt;"",IF(T1005&lt;&gt;"",IF(LEFT(R1005,3)="Has",IF(TRIM(A1005)&lt;&gt;T1005,"ERROR","OK"),""),""),"")</f>
        <v/>
      </c>
    </row>
    <row r="1006" spans="1:48" x14ac:dyDescent="0.45">
      <c r="A1006" s="33" t="s">
        <v>838</v>
      </c>
      <c r="I1006" s="18" t="s">
        <v>2473</v>
      </c>
      <c r="J1006" s="18" t="s">
        <v>2473</v>
      </c>
      <c r="K1006" s="18" t="s">
        <v>2473</v>
      </c>
      <c r="AU1006" s="6"/>
      <c r="AV1006" s="6" t="str">
        <f t="shared" si="17"/>
        <v/>
      </c>
    </row>
    <row r="1007" spans="1:48" x14ac:dyDescent="0.45">
      <c r="A1007" s="34" t="s">
        <v>839</v>
      </c>
      <c r="I1007" s="18" t="s">
        <v>2473</v>
      </c>
      <c r="J1007" s="18" t="s">
        <v>2473</v>
      </c>
      <c r="K1007" s="18" t="s">
        <v>2473</v>
      </c>
      <c r="AU1007" s="6"/>
      <c r="AV1007" s="6" t="str">
        <f t="shared" si="17"/>
        <v/>
      </c>
    </row>
    <row r="1008" spans="1:48" s="79" customFormat="1" x14ac:dyDescent="0.45">
      <c r="A1008" s="75"/>
      <c r="B1008" s="76"/>
      <c r="C1008" s="77"/>
      <c r="D1008" s="77"/>
      <c r="E1008" s="77"/>
      <c r="F1008" s="77"/>
      <c r="G1008" s="77"/>
      <c r="H1008" s="77"/>
      <c r="I1008" s="77"/>
      <c r="J1008" s="77"/>
      <c r="K1008" s="77"/>
      <c r="L1008" s="77"/>
      <c r="M1008" s="148"/>
      <c r="N1008" s="78"/>
      <c r="O1008" s="78"/>
      <c r="P1008" s="78"/>
      <c r="Q1008" s="78"/>
      <c r="R1008" s="78"/>
      <c r="S1008" s="78"/>
      <c r="T1008" s="78"/>
      <c r="U1008" s="78"/>
      <c r="V1008" s="78"/>
      <c r="W1008" s="78"/>
      <c r="X1008" s="78"/>
      <c r="Y1008" s="148"/>
      <c r="Z1008" s="78"/>
      <c r="AA1008" s="78"/>
      <c r="AB1008" s="78"/>
      <c r="AC1008" s="78"/>
      <c r="AD1008" s="78"/>
      <c r="AE1008" s="156"/>
      <c r="AF1008" s="156"/>
      <c r="AG1008" s="78"/>
      <c r="AH1008" s="78"/>
      <c r="AI1008" s="78"/>
      <c r="AJ1008" s="78"/>
      <c r="AK1008" s="78"/>
      <c r="AL1008" s="78"/>
      <c r="AM1008" s="78"/>
      <c r="AN1008" s="78"/>
      <c r="AO1008" s="78"/>
      <c r="AP1008" s="78"/>
      <c r="AQ1008" s="78"/>
      <c r="AR1008" s="286"/>
      <c r="AS1008" s="78"/>
      <c r="AT1008" s="78"/>
      <c r="AU1008" s="8"/>
      <c r="AV1008" s="6" t="str">
        <f t="shared" si="17"/>
        <v/>
      </c>
    </row>
    <row r="1009" spans="1:48" x14ac:dyDescent="0.45">
      <c r="A1009" s="28" t="s">
        <v>2414</v>
      </c>
      <c r="I1009" s="18" t="s">
        <v>2473</v>
      </c>
      <c r="J1009" s="18" t="s">
        <v>2473</v>
      </c>
      <c r="K1009" s="18" t="s">
        <v>2473</v>
      </c>
      <c r="AU1009" s="8"/>
      <c r="AV1009" s="6" t="str">
        <f t="shared" si="17"/>
        <v/>
      </c>
    </row>
    <row r="1010" spans="1:48" x14ac:dyDescent="0.45">
      <c r="A1010" s="27" t="s">
        <v>2415</v>
      </c>
      <c r="I1010" s="18" t="s">
        <v>2473</v>
      </c>
      <c r="J1010" s="18" t="s">
        <v>2473</v>
      </c>
      <c r="K1010" s="18" t="s">
        <v>2473</v>
      </c>
      <c r="AU1010" s="8"/>
      <c r="AV1010" s="6" t="str">
        <f t="shared" si="17"/>
        <v/>
      </c>
    </row>
    <row r="1011" spans="1:48" x14ac:dyDescent="0.45">
      <c r="A1011" s="323" t="s">
        <v>2509</v>
      </c>
      <c r="B1011" s="324"/>
      <c r="C1011" s="324"/>
      <c r="D1011" s="324"/>
      <c r="E1011" s="324"/>
      <c r="F1011" s="324"/>
      <c r="G1011" s="101"/>
      <c r="H1011" s="101"/>
      <c r="I1011" s="18" t="s">
        <v>2473</v>
      </c>
      <c r="J1011" s="18" t="s">
        <v>2473</v>
      </c>
      <c r="K1011" s="18" t="s">
        <v>2473</v>
      </c>
      <c r="AU1011" s="8"/>
      <c r="AV1011" s="6" t="str">
        <f t="shared" si="17"/>
        <v/>
      </c>
    </row>
    <row r="1012" spans="1:48" ht="14.65" thickBot="1" x14ac:dyDescent="0.5">
      <c r="A1012" s="28" t="s">
        <v>840</v>
      </c>
      <c r="I1012" s="18" t="s">
        <v>2473</v>
      </c>
      <c r="J1012" s="18" t="s">
        <v>2473</v>
      </c>
      <c r="K1012" s="18" t="s">
        <v>2473</v>
      </c>
      <c r="AA1012" s="183" t="s">
        <v>2322</v>
      </c>
      <c r="AB1012" s="183" t="s">
        <v>1697</v>
      </c>
      <c r="AC1012" s="183" t="s">
        <v>5</v>
      </c>
      <c r="AU1012" s="8"/>
      <c r="AV1012" s="6" t="str">
        <f t="shared" si="17"/>
        <v/>
      </c>
    </row>
    <row r="1013" spans="1:48" ht="128.25" thickBot="1" x14ac:dyDescent="0.5">
      <c r="A1013" s="309" t="s">
        <v>841</v>
      </c>
      <c r="B1013" s="310"/>
      <c r="C1013" s="301" t="s">
        <v>1</v>
      </c>
      <c r="D1013" s="319"/>
      <c r="E1013" s="319"/>
      <c r="F1013" s="302"/>
      <c r="G1013" s="102"/>
      <c r="H1013" s="102"/>
      <c r="I1013" s="18" t="s">
        <v>2473</v>
      </c>
      <c r="AA1013" s="183" t="str">
        <f>LEFT($A1013,FIND(" ",$A1013)-1)</f>
        <v>HostInterface</v>
      </c>
      <c r="AB1013" s="183" t="str">
        <f>MID($A1013,FIND("(",$A1013)+1,LEN($A1013)-FIND("(",$A1013)-1)</f>
        <v>1.2.0</v>
      </c>
      <c r="AC1013" s="101" t="str">
        <f>A1011</f>
        <v>A HostInterface provides Redfish resource access to the main compute OS of the device. There is only one HostInterface resource.</v>
      </c>
      <c r="AU1013" s="6"/>
      <c r="AV1013" s="6" t="str">
        <f t="shared" si="17"/>
        <v/>
      </c>
    </row>
    <row r="1014" spans="1:48" ht="14.65" thickBot="1" x14ac:dyDescent="0.5">
      <c r="A1014" s="311"/>
      <c r="B1014" s="312"/>
      <c r="C1014" s="301" t="s">
        <v>2</v>
      </c>
      <c r="D1014" s="302"/>
      <c r="E1014" s="301" t="s">
        <v>3</v>
      </c>
      <c r="F1014" s="302"/>
      <c r="G1014" s="301" t="s">
        <v>2896</v>
      </c>
      <c r="H1014" s="302"/>
      <c r="I1014" s="18" t="s">
        <v>2473</v>
      </c>
      <c r="AA1014" s="183" t="s">
        <v>2322</v>
      </c>
      <c r="AB1014" s="183" t="s">
        <v>1697</v>
      </c>
      <c r="AC1014" s="183" t="s">
        <v>5</v>
      </c>
      <c r="AU1014" s="6"/>
      <c r="AV1014" s="6" t="str">
        <f t="shared" si="17"/>
        <v/>
      </c>
    </row>
    <row r="1015" spans="1:48" ht="128.25" thickBot="1" x14ac:dyDescent="0.5">
      <c r="A1015" s="309" t="s">
        <v>3204</v>
      </c>
      <c r="B1015" s="310"/>
      <c r="C1015" s="301" t="s">
        <v>1</v>
      </c>
      <c r="D1015" s="319"/>
      <c r="E1015" s="319"/>
      <c r="F1015" s="302"/>
      <c r="G1015" s="102"/>
      <c r="H1015" s="102"/>
      <c r="J1015" s="18" t="s">
        <v>2473</v>
      </c>
      <c r="K1015" s="18" t="s">
        <v>2473</v>
      </c>
      <c r="AA1015" s="183" t="str">
        <f>LEFT($A1015,FIND(" ",$A1015)-1)</f>
        <v>HostInterface</v>
      </c>
      <c r="AB1015" s="183" t="str">
        <f>MID($A1015,FIND("(",$A1015)+1,LEN($A1015)-FIND("(",$A1015)-1)</f>
        <v>1.2.1</v>
      </c>
      <c r="AC1015" s="101" t="str">
        <f>AC1013</f>
        <v>A HostInterface provides Redfish resource access to the main compute OS of the device. There is only one HostInterface resource.</v>
      </c>
      <c r="AU1015" s="6"/>
      <c r="AV1015" s="6" t="str">
        <f t="shared" si="17"/>
        <v/>
      </c>
    </row>
    <row r="1016" spans="1:48" ht="14.65" thickBot="1" x14ac:dyDescent="0.5">
      <c r="A1016" s="311"/>
      <c r="B1016" s="312"/>
      <c r="C1016" s="301" t="s">
        <v>2</v>
      </c>
      <c r="D1016" s="302"/>
      <c r="E1016" s="301" t="s">
        <v>3</v>
      </c>
      <c r="F1016" s="302"/>
      <c r="G1016" s="301" t="s">
        <v>2896</v>
      </c>
      <c r="H1016" s="302"/>
      <c r="J1016" s="18" t="s">
        <v>2473</v>
      </c>
      <c r="K1016" s="18" t="s">
        <v>2473</v>
      </c>
      <c r="AM1016" s="8" t="str">
        <f>C1016</f>
        <v>OSM-Redfish</v>
      </c>
      <c r="AN1016" s="8" t="str">
        <f>E1016</f>
        <v>OSM-RedfishBMC</v>
      </c>
      <c r="AO1016" s="8" t="str">
        <f>G1016</f>
        <v>OSM-RedfishDCN</v>
      </c>
      <c r="AU1016" s="6"/>
      <c r="AV1016" s="6" t="str">
        <f t="shared" si="17"/>
        <v/>
      </c>
    </row>
    <row r="1017" spans="1:48" ht="14.65" thickBot="1" x14ac:dyDescent="0.5">
      <c r="A1017" s="46" t="s">
        <v>2377</v>
      </c>
      <c r="B1017" s="47"/>
      <c r="C1017" s="303"/>
      <c r="D1017" s="304"/>
      <c r="E1017" s="303" t="s">
        <v>37</v>
      </c>
      <c r="F1017" s="304"/>
      <c r="G1017" s="303"/>
      <c r="H1017" s="304"/>
      <c r="I1017" s="18" t="s">
        <v>2473</v>
      </c>
      <c r="J1017" s="18" t="s">
        <v>2473</v>
      </c>
      <c r="K1017" s="18" t="s">
        <v>2473</v>
      </c>
      <c r="AM1017" s="8" t="str">
        <f>IF(C1017&lt;&gt;"","CRQ-P5-"&amp;(AM$2+$AP1017*$AP$3),"")</f>
        <v/>
      </c>
      <c r="AN1017" s="8" t="str">
        <f>IF(E1017&lt;&gt;"","CRQ-P5-"&amp;(AN$2+$AP1017*$AP$3),"")</f>
        <v>CRQ-P5-1380</v>
      </c>
      <c r="AO1017" s="8" t="str">
        <f>IF(G1017&lt;&gt;"","CRQ-P5-"&amp;(AO$2+$AP1017*$AP$3),"")</f>
        <v/>
      </c>
      <c r="AP1017" s="8">
        <v>20</v>
      </c>
      <c r="AU1017" s="6"/>
      <c r="AV1017" s="6" t="str">
        <f t="shared" si="17"/>
        <v/>
      </c>
    </row>
    <row r="1018" spans="1:48" ht="14.65" thickBot="1" x14ac:dyDescent="0.5">
      <c r="A1018" s="29" t="s">
        <v>3394</v>
      </c>
      <c r="B1018" s="9"/>
      <c r="C1018" s="305" t="str">
        <f>MID($A1013,FIND("(",$A1013)+1,5)</f>
        <v>1.2.0</v>
      </c>
      <c r="D1018" s="306"/>
      <c r="E1018" s="305" t="s">
        <v>3407</v>
      </c>
      <c r="F1018" s="306"/>
      <c r="G1018" s="305" t="str">
        <f>MID($A1013,FIND("(",$A1013)+1,5)</f>
        <v>1.2.0</v>
      </c>
      <c r="H1018" s="306"/>
      <c r="I1018" s="18" t="s">
        <v>2473</v>
      </c>
      <c r="J1018" s="18" t="s">
        <v>2473</v>
      </c>
      <c r="K1018" s="18" t="s">
        <v>2473</v>
      </c>
      <c r="AU1018" s="6"/>
      <c r="AV1018" s="6" t="str">
        <f t="shared" si="17"/>
        <v/>
      </c>
    </row>
    <row r="1019" spans="1:48" ht="14.65" thickBot="1" x14ac:dyDescent="0.5">
      <c r="A1019" s="30" t="s">
        <v>4</v>
      </c>
      <c r="B1019" s="59" t="s">
        <v>5</v>
      </c>
      <c r="C1019" s="7" t="s">
        <v>6</v>
      </c>
      <c r="D1019" s="7" t="s">
        <v>7</v>
      </c>
      <c r="E1019" s="7" t="s">
        <v>6</v>
      </c>
      <c r="F1019" s="7" t="s">
        <v>7</v>
      </c>
      <c r="G1019" s="7" t="s">
        <v>6</v>
      </c>
      <c r="H1019" s="7" t="s">
        <v>7</v>
      </c>
      <c r="I1019" s="18" t="s">
        <v>2473</v>
      </c>
      <c r="J1019" s="18" t="s">
        <v>2473</v>
      </c>
      <c r="K1019" s="18" t="s">
        <v>2473</v>
      </c>
      <c r="AU1019" s="6"/>
      <c r="AV1019" s="6" t="str">
        <f t="shared" si="17"/>
        <v/>
      </c>
    </row>
    <row r="1020" spans="1:48" ht="14.65" thickBot="1" x14ac:dyDescent="0.5">
      <c r="A1020" s="36" t="s">
        <v>8</v>
      </c>
      <c r="B1020" s="3" t="s">
        <v>9</v>
      </c>
      <c r="C1020" s="4"/>
      <c r="D1020" s="4"/>
      <c r="E1020" s="4"/>
      <c r="F1020" s="4"/>
      <c r="G1020" s="4"/>
      <c r="H1020" s="4"/>
      <c r="I1020" s="18" t="s">
        <v>2473</v>
      </c>
      <c r="J1020" s="18" t="s">
        <v>2473</v>
      </c>
      <c r="K1020" s="18" t="s">
        <v>2473</v>
      </c>
      <c r="AU1020" s="6"/>
      <c r="AV1020" s="6" t="str">
        <f t="shared" si="17"/>
        <v/>
      </c>
    </row>
    <row r="1021" spans="1:48" ht="14.65" thickBot="1" x14ac:dyDescent="0.5">
      <c r="A1021" s="36" t="s">
        <v>842</v>
      </c>
      <c r="B1021" s="3" t="s">
        <v>843</v>
      </c>
      <c r="C1021" s="4"/>
      <c r="D1021" s="4"/>
      <c r="E1021" s="4" t="s">
        <v>13</v>
      </c>
      <c r="F1021" s="4" t="s">
        <v>13</v>
      </c>
      <c r="G1021" s="4"/>
      <c r="H1021" s="4"/>
      <c r="I1021" s="18" t="s">
        <v>2473</v>
      </c>
      <c r="J1021" s="18" t="s">
        <v>2473</v>
      </c>
      <c r="K1021" s="18" t="s">
        <v>2473</v>
      </c>
      <c r="AU1021" s="6"/>
      <c r="AV1021" s="6" t="str">
        <f t="shared" si="17"/>
        <v/>
      </c>
    </row>
    <row r="1022" spans="1:48" ht="14.65" thickBot="1" x14ac:dyDescent="0.5">
      <c r="A1022" s="36" t="s">
        <v>844</v>
      </c>
      <c r="B1022" s="3" t="s">
        <v>845</v>
      </c>
      <c r="C1022" s="4"/>
      <c r="D1022" s="4"/>
      <c r="E1022" s="4" t="s">
        <v>13</v>
      </c>
      <c r="F1022" s="4" t="s">
        <v>13</v>
      </c>
      <c r="G1022" s="4"/>
      <c r="H1022" s="4"/>
      <c r="I1022" s="18" t="s">
        <v>2473</v>
      </c>
      <c r="J1022" s="18" t="s">
        <v>2473</v>
      </c>
      <c r="K1022" s="18" t="s">
        <v>2473</v>
      </c>
      <c r="AU1022" s="6"/>
      <c r="AV1022" s="6" t="str">
        <f t="shared" si="17"/>
        <v/>
      </c>
    </row>
    <row r="1023" spans="1:48" ht="14.65" thickBot="1" x14ac:dyDescent="0.5">
      <c r="A1023" s="36" t="s">
        <v>846</v>
      </c>
      <c r="B1023" s="3" t="s">
        <v>847</v>
      </c>
      <c r="C1023" s="4"/>
      <c r="D1023" s="4"/>
      <c r="E1023" s="4" t="s">
        <v>10</v>
      </c>
      <c r="F1023" s="4"/>
      <c r="G1023" s="4"/>
      <c r="H1023" s="4"/>
      <c r="I1023" s="18" t="s">
        <v>2473</v>
      </c>
      <c r="J1023" s="18" t="s">
        <v>2473</v>
      </c>
      <c r="K1023" s="18" t="s">
        <v>2473</v>
      </c>
      <c r="AU1023" s="6"/>
      <c r="AV1023" s="6" t="str">
        <f t="shared" si="17"/>
        <v/>
      </c>
    </row>
    <row r="1024" spans="1:48" ht="23.65" thickBot="1" x14ac:dyDescent="0.5">
      <c r="A1024" s="36" t="s">
        <v>848</v>
      </c>
      <c r="B1024" s="5" t="s">
        <v>849</v>
      </c>
      <c r="C1024" s="4"/>
      <c r="D1024" s="4"/>
      <c r="E1024" s="4" t="s">
        <v>13</v>
      </c>
      <c r="F1024" s="4" t="s">
        <v>13</v>
      </c>
      <c r="G1024" s="4"/>
      <c r="H1024" s="4"/>
      <c r="I1024" s="18" t="s">
        <v>2473</v>
      </c>
      <c r="J1024" s="18" t="s">
        <v>2473</v>
      </c>
      <c r="K1024" s="18" t="s">
        <v>2473</v>
      </c>
      <c r="AU1024" s="6"/>
      <c r="AV1024" s="6" t="str">
        <f t="shared" si="17"/>
        <v/>
      </c>
    </row>
    <row r="1025" spans="1:48" ht="14.65" thickBot="1" x14ac:dyDescent="0.5">
      <c r="A1025" s="36" t="s">
        <v>850</v>
      </c>
      <c r="B1025" s="3" t="s">
        <v>851</v>
      </c>
      <c r="C1025" s="4"/>
      <c r="D1025" s="4"/>
      <c r="E1025" s="4" t="s">
        <v>13</v>
      </c>
      <c r="F1025" s="4" t="s">
        <v>13</v>
      </c>
      <c r="G1025" s="4"/>
      <c r="H1025" s="4"/>
      <c r="I1025" s="18" t="s">
        <v>2473</v>
      </c>
      <c r="J1025" s="18" t="s">
        <v>2473</v>
      </c>
      <c r="K1025" s="18" t="s">
        <v>2473</v>
      </c>
      <c r="AU1025" s="6"/>
      <c r="AV1025" s="6" t="str">
        <f t="shared" si="17"/>
        <v/>
      </c>
    </row>
    <row r="1026" spans="1:48" ht="23.65" thickBot="1" x14ac:dyDescent="0.5">
      <c r="A1026" s="36" t="s">
        <v>852</v>
      </c>
      <c r="B1026" s="3" t="s">
        <v>853</v>
      </c>
      <c r="C1026" s="4"/>
      <c r="D1026" s="4"/>
      <c r="E1026" s="4"/>
      <c r="F1026" s="4"/>
      <c r="G1026" s="4"/>
      <c r="H1026" s="4"/>
      <c r="I1026" s="18" t="s">
        <v>2473</v>
      </c>
      <c r="J1026" s="18" t="s">
        <v>2473</v>
      </c>
      <c r="K1026" s="18" t="s">
        <v>2473</v>
      </c>
      <c r="AU1026" s="6"/>
      <c r="AV1026" s="6" t="str">
        <f t="shared" si="17"/>
        <v/>
      </c>
    </row>
    <row r="1027" spans="1:48" ht="14.65" thickBot="1" x14ac:dyDescent="0.5">
      <c r="A1027" s="35" t="s">
        <v>33</v>
      </c>
      <c r="B1027" s="3" t="s">
        <v>84</v>
      </c>
      <c r="C1027" s="4"/>
      <c r="D1027" s="4"/>
      <c r="E1027" s="4"/>
      <c r="F1027" s="4"/>
      <c r="G1027" s="4"/>
      <c r="H1027" s="4"/>
      <c r="I1027" s="18" t="s">
        <v>2473</v>
      </c>
      <c r="J1027" s="18" t="s">
        <v>2473</v>
      </c>
      <c r="K1027" s="18" t="s">
        <v>2473</v>
      </c>
      <c r="AU1027" s="6"/>
      <c r="AV1027" s="6" t="str">
        <f t="shared" si="17"/>
        <v/>
      </c>
    </row>
    <row r="1028" spans="1:48" ht="14.65" thickBot="1" x14ac:dyDescent="0.5">
      <c r="A1028" s="36" t="s">
        <v>854</v>
      </c>
      <c r="B1028" s="3" t="s">
        <v>855</v>
      </c>
      <c r="C1028" s="4"/>
      <c r="D1028" s="4"/>
      <c r="E1028" s="4" t="s">
        <v>10</v>
      </c>
      <c r="F1028" s="4"/>
      <c r="G1028" s="4"/>
      <c r="H1028" s="4"/>
      <c r="I1028" s="18" t="s">
        <v>2473</v>
      </c>
      <c r="J1028" s="18" t="s">
        <v>2473</v>
      </c>
      <c r="K1028" s="18" t="s">
        <v>2473</v>
      </c>
      <c r="AU1028" s="6"/>
      <c r="AV1028" s="6" t="str">
        <f t="shared" si="17"/>
        <v/>
      </c>
    </row>
    <row r="1029" spans="1:48" ht="14.65" thickBot="1" x14ac:dyDescent="0.5">
      <c r="A1029" s="36" t="s">
        <v>856</v>
      </c>
      <c r="B1029" s="3" t="s">
        <v>857</v>
      </c>
      <c r="C1029" s="4"/>
      <c r="D1029" s="4"/>
      <c r="E1029" s="4" t="s">
        <v>10</v>
      </c>
      <c r="F1029" s="4" t="s">
        <v>10</v>
      </c>
      <c r="G1029" s="4"/>
      <c r="H1029" s="4"/>
      <c r="I1029" s="18" t="s">
        <v>2473</v>
      </c>
      <c r="J1029" s="18" t="s">
        <v>2473</v>
      </c>
      <c r="K1029" s="18" t="s">
        <v>2473</v>
      </c>
      <c r="AU1029" s="6"/>
      <c r="AV1029" s="6" t="str">
        <f t="shared" si="17"/>
        <v/>
      </c>
    </row>
    <row r="1030" spans="1:48" ht="14.65" thickBot="1" x14ac:dyDescent="0.5">
      <c r="A1030" s="36" t="s">
        <v>858</v>
      </c>
      <c r="B1030" s="3" t="s">
        <v>859</v>
      </c>
      <c r="C1030" s="4"/>
      <c r="D1030" s="4"/>
      <c r="E1030" s="4" t="s">
        <v>13</v>
      </c>
      <c r="F1030" s="4" t="s">
        <v>13</v>
      </c>
      <c r="G1030" s="4"/>
      <c r="H1030" s="4"/>
      <c r="I1030" s="18" t="s">
        <v>2473</v>
      </c>
      <c r="J1030" s="18" t="s">
        <v>2473</v>
      </c>
      <c r="K1030" s="18" t="s">
        <v>2473</v>
      </c>
      <c r="AU1030" s="6"/>
      <c r="AV1030" s="6" t="str">
        <f t="shared" si="17"/>
        <v/>
      </c>
    </row>
    <row r="1031" spans="1:48" ht="14.65" thickBot="1" x14ac:dyDescent="0.5">
      <c r="A1031" s="36" t="s">
        <v>860</v>
      </c>
      <c r="B1031" s="3" t="s">
        <v>861</v>
      </c>
      <c r="C1031" s="4"/>
      <c r="D1031" s="4"/>
      <c r="E1031" s="4" t="s">
        <v>13</v>
      </c>
      <c r="F1031" s="4" t="s">
        <v>13</v>
      </c>
      <c r="G1031" s="4"/>
      <c r="H1031" s="4"/>
      <c r="I1031" s="18" t="s">
        <v>2473</v>
      </c>
      <c r="J1031" s="18" t="s">
        <v>2473</v>
      </c>
      <c r="K1031" s="18" t="s">
        <v>2473</v>
      </c>
      <c r="AU1031" s="6"/>
      <c r="AV1031" s="6" t="str">
        <f t="shared" si="17"/>
        <v/>
      </c>
    </row>
    <row r="1032" spans="1:48" ht="35.25" thickBot="1" x14ac:dyDescent="0.5">
      <c r="A1032" s="36" t="s">
        <v>75</v>
      </c>
      <c r="B1032" s="3" t="s">
        <v>76</v>
      </c>
      <c r="C1032" s="4"/>
      <c r="D1032" s="4"/>
      <c r="E1032" s="4" t="s">
        <v>13</v>
      </c>
      <c r="F1032" s="4"/>
      <c r="G1032" s="4"/>
      <c r="H1032" s="4"/>
      <c r="I1032" s="18" t="s">
        <v>2473</v>
      </c>
      <c r="J1032" s="18" t="s">
        <v>2473</v>
      </c>
      <c r="K1032" s="18" t="s">
        <v>2473</v>
      </c>
      <c r="AU1032" s="201" t="s">
        <v>4081</v>
      </c>
      <c r="AV1032" s="6" t="str">
        <f t="shared" si="17"/>
        <v/>
      </c>
    </row>
    <row r="1033" spans="1:48" ht="23.65" thickBot="1" x14ac:dyDescent="0.5">
      <c r="A1033" s="35" t="s">
        <v>862</v>
      </c>
      <c r="B1033" s="3" t="s">
        <v>863</v>
      </c>
      <c r="C1033" s="4"/>
      <c r="D1033" s="4"/>
      <c r="E1033" s="4"/>
      <c r="F1033" s="4"/>
      <c r="G1033" s="4"/>
      <c r="H1033" s="4"/>
      <c r="I1033" s="18" t="s">
        <v>2473</v>
      </c>
      <c r="J1033" s="18" t="s">
        <v>2473</v>
      </c>
      <c r="K1033" s="18" t="s">
        <v>2473</v>
      </c>
      <c r="AU1033" s="6"/>
      <c r="AV1033" s="6" t="str">
        <f t="shared" si="17"/>
        <v/>
      </c>
    </row>
    <row r="1034" spans="1:48" ht="14.65" thickBot="1" x14ac:dyDescent="0.5">
      <c r="A1034" s="35" t="s">
        <v>43</v>
      </c>
      <c r="B1034" s="3" t="s">
        <v>864</v>
      </c>
      <c r="C1034" s="4"/>
      <c r="D1034" s="4"/>
      <c r="E1034" s="4"/>
      <c r="F1034" s="4"/>
      <c r="G1034" s="4"/>
      <c r="H1034" s="4"/>
      <c r="I1034" s="18" t="s">
        <v>2473</v>
      </c>
      <c r="J1034" s="18" t="s">
        <v>2473</v>
      </c>
      <c r="K1034" s="18" t="s">
        <v>2473</v>
      </c>
      <c r="AU1034" s="6"/>
      <c r="AV1034" s="6" t="str">
        <f t="shared" si="17"/>
        <v/>
      </c>
    </row>
    <row r="1035" spans="1:48" ht="23.65" thickBot="1" x14ac:dyDescent="0.5">
      <c r="A1035" s="35" t="s">
        <v>865</v>
      </c>
      <c r="B1035" s="3" t="s">
        <v>866</v>
      </c>
      <c r="C1035" s="4"/>
      <c r="D1035" s="4"/>
      <c r="E1035" s="4"/>
      <c r="F1035" s="4"/>
      <c r="G1035" s="4"/>
      <c r="H1035" s="4"/>
      <c r="I1035" s="18" t="s">
        <v>2473</v>
      </c>
      <c r="J1035" s="18" t="s">
        <v>2473</v>
      </c>
      <c r="K1035" s="18" t="s">
        <v>2473</v>
      </c>
      <c r="AU1035" s="6"/>
      <c r="AV1035" s="6" t="str">
        <f t="shared" si="17"/>
        <v/>
      </c>
    </row>
    <row r="1036" spans="1:48" ht="14.65" thickBot="1" x14ac:dyDescent="0.5">
      <c r="A1036" s="35" t="s">
        <v>43</v>
      </c>
      <c r="B1036" s="3" t="s">
        <v>867</v>
      </c>
      <c r="C1036" s="4"/>
      <c r="D1036" s="4"/>
      <c r="E1036" s="4"/>
      <c r="F1036" s="4"/>
      <c r="G1036" s="4"/>
      <c r="H1036" s="4"/>
      <c r="I1036" s="18" t="s">
        <v>2473</v>
      </c>
      <c r="J1036" s="18" t="s">
        <v>2473</v>
      </c>
      <c r="K1036" s="18" t="s">
        <v>2473</v>
      </c>
      <c r="AU1036" s="6"/>
      <c r="AV1036" s="6" t="str">
        <f t="shared" si="17"/>
        <v/>
      </c>
    </row>
    <row r="1037" spans="1:48" ht="23.65" thickBot="1" x14ac:dyDescent="0.5">
      <c r="A1037" s="35" t="s">
        <v>868</v>
      </c>
      <c r="B1037" s="3" t="s">
        <v>869</v>
      </c>
      <c r="C1037" s="4"/>
      <c r="D1037" s="4"/>
      <c r="E1037" s="4"/>
      <c r="F1037" s="4"/>
      <c r="G1037" s="4"/>
      <c r="H1037" s="4"/>
      <c r="I1037" s="18" t="s">
        <v>2473</v>
      </c>
      <c r="J1037" s="18" t="s">
        <v>2473</v>
      </c>
      <c r="K1037" s="18" t="s">
        <v>2473</v>
      </c>
      <c r="AU1037" s="6"/>
      <c r="AV1037" s="6" t="str">
        <f t="shared" si="17"/>
        <v/>
      </c>
    </row>
    <row r="1038" spans="1:48" ht="14.65" thickBot="1" x14ac:dyDescent="0.5">
      <c r="A1038" s="35" t="s">
        <v>43</v>
      </c>
      <c r="B1038" s="3" t="s">
        <v>864</v>
      </c>
      <c r="C1038" s="4"/>
      <c r="D1038" s="4"/>
      <c r="E1038" s="4"/>
      <c r="F1038" s="4"/>
      <c r="G1038" s="4"/>
      <c r="H1038" s="4"/>
      <c r="I1038" s="18" t="s">
        <v>2473</v>
      </c>
      <c r="J1038" s="18" t="s">
        <v>2473</v>
      </c>
      <c r="K1038" s="18" t="s">
        <v>2473</v>
      </c>
      <c r="AU1038" s="6"/>
      <c r="AV1038" s="6" t="str">
        <f t="shared" si="17"/>
        <v/>
      </c>
    </row>
    <row r="1039" spans="1:48" ht="23.65" thickBot="1" x14ac:dyDescent="0.5">
      <c r="A1039" s="35" t="s">
        <v>870</v>
      </c>
      <c r="B1039" s="3" t="s">
        <v>871</v>
      </c>
      <c r="C1039" s="4"/>
      <c r="D1039" s="4"/>
      <c r="E1039" s="4" t="s">
        <v>13</v>
      </c>
      <c r="F1039" s="4"/>
      <c r="G1039" s="4"/>
      <c r="H1039" s="4"/>
      <c r="I1039" s="18" t="s">
        <v>2473</v>
      </c>
      <c r="J1039" s="18" t="s">
        <v>2473</v>
      </c>
      <c r="K1039" s="18" t="s">
        <v>2473</v>
      </c>
      <c r="AU1039" s="6"/>
      <c r="AV1039" s="6" t="str">
        <f t="shared" si="17"/>
        <v/>
      </c>
    </row>
    <row r="1040" spans="1:48" ht="14.65" thickBot="1" x14ac:dyDescent="0.5">
      <c r="A1040" s="35" t="s">
        <v>43</v>
      </c>
      <c r="B1040" s="3" t="s">
        <v>872</v>
      </c>
      <c r="C1040" s="4"/>
      <c r="D1040" s="4"/>
      <c r="E1040" s="4"/>
      <c r="F1040" s="4"/>
      <c r="G1040" s="4"/>
      <c r="H1040" s="2"/>
      <c r="I1040" s="18" t="s">
        <v>2473</v>
      </c>
      <c r="J1040" s="18" t="s">
        <v>2473</v>
      </c>
      <c r="K1040" s="18" t="s">
        <v>2473</v>
      </c>
      <c r="AU1040" s="6"/>
      <c r="AV1040" s="6" t="str">
        <f t="shared" si="17"/>
        <v/>
      </c>
    </row>
    <row r="1041" spans="1:48" ht="14.65" thickBot="1" x14ac:dyDescent="0.5">
      <c r="A1041" s="35" t="s">
        <v>59</v>
      </c>
      <c r="B1041" s="3" t="s">
        <v>60</v>
      </c>
      <c r="C1041" s="4"/>
      <c r="D1041" s="4"/>
      <c r="E1041" s="4"/>
      <c r="F1041" s="4"/>
      <c r="G1041" s="4"/>
      <c r="H1041" s="4"/>
      <c r="I1041" s="18" t="s">
        <v>2473</v>
      </c>
      <c r="J1041" s="18" t="s">
        <v>2473</v>
      </c>
      <c r="K1041" s="18" t="s">
        <v>2473</v>
      </c>
      <c r="AU1041" s="6"/>
      <c r="AV1041" s="6" t="str">
        <f t="shared" si="17"/>
        <v/>
      </c>
    </row>
    <row r="1042" spans="1:48" ht="23.65" thickBot="1" x14ac:dyDescent="0.5">
      <c r="A1042" s="36" t="s">
        <v>873</v>
      </c>
      <c r="B1042" s="3" t="s">
        <v>874</v>
      </c>
      <c r="C1042" s="4"/>
      <c r="D1042" s="4"/>
      <c r="E1042" s="4" t="s">
        <v>37</v>
      </c>
      <c r="F1042" s="4"/>
      <c r="G1042" s="4"/>
      <c r="H1042" s="4"/>
      <c r="I1042" s="18" t="s">
        <v>2473</v>
      </c>
      <c r="J1042" s="18" t="s">
        <v>2473</v>
      </c>
      <c r="K1042" s="18" t="s">
        <v>2473</v>
      </c>
      <c r="AU1042" s="6"/>
      <c r="AV1042" s="6" t="str">
        <f t="shared" si="17"/>
        <v/>
      </c>
    </row>
    <row r="1043" spans="1:48" ht="14.65" thickBot="1" x14ac:dyDescent="0.5">
      <c r="A1043" s="35" t="s">
        <v>33</v>
      </c>
      <c r="B1043" s="3" t="s">
        <v>358</v>
      </c>
      <c r="C1043" s="4"/>
      <c r="D1043" s="4"/>
      <c r="E1043" s="4"/>
      <c r="F1043" s="4"/>
      <c r="G1043" s="4"/>
      <c r="H1043" s="2"/>
      <c r="I1043" s="18" t="s">
        <v>2473</v>
      </c>
      <c r="J1043" s="18" t="s">
        <v>2473</v>
      </c>
      <c r="K1043" s="18" t="s">
        <v>2473</v>
      </c>
      <c r="AU1043" s="6"/>
      <c r="AV1043" s="6" t="str">
        <f t="shared" si="17"/>
        <v/>
      </c>
    </row>
    <row r="1044" spans="1:48" ht="35.25" thickBot="1" x14ac:dyDescent="0.5">
      <c r="A1044" s="36" t="s">
        <v>875</v>
      </c>
      <c r="B1044" s="3" t="s">
        <v>876</v>
      </c>
      <c r="C1044" s="4"/>
      <c r="D1044" s="4"/>
      <c r="E1044" s="4" t="s">
        <v>10</v>
      </c>
      <c r="F1044" s="4"/>
      <c r="G1044" s="4"/>
      <c r="H1044" s="4"/>
      <c r="I1044" s="18" t="s">
        <v>2473</v>
      </c>
      <c r="J1044" s="18" t="s">
        <v>2473</v>
      </c>
      <c r="K1044" s="18" t="s">
        <v>2473</v>
      </c>
      <c r="AU1044" s="6"/>
      <c r="AV1044" s="6" t="str">
        <f t="shared" si="17"/>
        <v/>
      </c>
    </row>
    <row r="1045" spans="1:48" ht="14.65" thickBot="1" x14ac:dyDescent="0.5">
      <c r="A1045" s="35" t="s">
        <v>33</v>
      </c>
      <c r="B1045" s="3" t="s">
        <v>877</v>
      </c>
      <c r="C1045" s="4"/>
      <c r="D1045" s="4"/>
      <c r="E1045" s="4"/>
      <c r="F1045" s="4"/>
      <c r="G1045" s="4"/>
      <c r="H1045" s="2"/>
      <c r="I1045" s="18" t="s">
        <v>2473</v>
      </c>
      <c r="J1045" s="18" t="s">
        <v>2473</v>
      </c>
      <c r="K1045" s="18" t="s">
        <v>2473</v>
      </c>
      <c r="AU1045" s="6"/>
      <c r="AV1045" s="6" t="str">
        <f t="shared" si="17"/>
        <v/>
      </c>
    </row>
    <row r="1046" spans="1:48" ht="47.65" thickBot="1" x14ac:dyDescent="0.5">
      <c r="A1046" s="36" t="s">
        <v>145</v>
      </c>
      <c r="B1046" s="3" t="s">
        <v>3968</v>
      </c>
      <c r="C1046" s="4"/>
      <c r="D1046" s="4"/>
      <c r="E1046" s="4"/>
      <c r="F1046" s="4"/>
      <c r="G1046" s="4"/>
      <c r="H1046" s="4"/>
      <c r="I1046" s="18" t="s">
        <v>2473</v>
      </c>
      <c r="J1046" s="18" t="s">
        <v>2473</v>
      </c>
      <c r="K1046" s="18" t="s">
        <v>2473</v>
      </c>
      <c r="AS1046" s="139" t="s">
        <v>5365</v>
      </c>
      <c r="AU1046" s="6"/>
      <c r="AV1046" s="6" t="str">
        <f t="shared" si="17"/>
        <v/>
      </c>
    </row>
    <row r="1047" spans="1:48" ht="47.65" thickBot="1" x14ac:dyDescent="0.5">
      <c r="A1047" s="35" t="s">
        <v>5361</v>
      </c>
      <c r="B1047" s="3" t="s">
        <v>5352</v>
      </c>
      <c r="C1047" s="4"/>
      <c r="D1047" s="4"/>
      <c r="E1047" s="4"/>
      <c r="F1047" s="4"/>
      <c r="G1047" s="4"/>
      <c r="H1047" s="4"/>
      <c r="I1047" s="18" t="s">
        <v>2473</v>
      </c>
      <c r="J1047" s="18" t="s">
        <v>2473</v>
      </c>
      <c r="K1047" s="18" t="s">
        <v>2473</v>
      </c>
      <c r="Q1047" s="131"/>
      <c r="R1047" s="131"/>
      <c r="S1047" s="131"/>
      <c r="T1047" s="131"/>
      <c r="U1047" s="131"/>
      <c r="V1047" s="131"/>
      <c r="W1047" s="131"/>
      <c r="X1047" s="131"/>
      <c r="AS1047" s="139" t="s">
        <v>5373</v>
      </c>
      <c r="AU1047" s="6"/>
      <c r="AV1047" s="6"/>
    </row>
    <row r="1048" spans="1:48" ht="47.65" thickBot="1" x14ac:dyDescent="0.5">
      <c r="A1048" s="35" t="s">
        <v>5360</v>
      </c>
      <c r="B1048" s="3" t="s">
        <v>5353</v>
      </c>
      <c r="C1048" s="4"/>
      <c r="D1048" s="4"/>
      <c r="E1048" s="4"/>
      <c r="F1048" s="4"/>
      <c r="G1048" s="4"/>
      <c r="H1048" s="4"/>
      <c r="I1048" s="18" t="s">
        <v>2473</v>
      </c>
      <c r="J1048" s="18" t="s">
        <v>2473</v>
      </c>
      <c r="K1048" s="18" t="s">
        <v>2473</v>
      </c>
      <c r="Q1048" s="131"/>
      <c r="R1048" s="131"/>
      <c r="S1048" s="131"/>
      <c r="T1048" s="131"/>
      <c r="U1048" s="131"/>
      <c r="V1048" s="131"/>
      <c r="W1048" s="131"/>
      <c r="X1048" s="131"/>
      <c r="AS1048" s="139" t="s">
        <v>5373</v>
      </c>
      <c r="AU1048" s="6"/>
      <c r="AV1048" s="6"/>
    </row>
    <row r="1049" spans="1:48" s="79" customFormat="1" x14ac:dyDescent="0.45">
      <c r="A1049" s="75"/>
      <c r="B1049" s="76"/>
      <c r="C1049" s="77"/>
      <c r="D1049" s="77"/>
      <c r="E1049" s="77"/>
      <c r="F1049" s="77"/>
      <c r="G1049" s="77"/>
      <c r="H1049" s="77"/>
      <c r="I1049" s="77"/>
      <c r="J1049" s="77"/>
      <c r="K1049" s="77"/>
      <c r="L1049" s="77"/>
      <c r="M1049" s="148"/>
      <c r="N1049" s="78"/>
      <c r="O1049" s="78"/>
      <c r="P1049" s="78"/>
      <c r="Q1049" s="78"/>
      <c r="R1049" s="78"/>
      <c r="S1049" s="78"/>
      <c r="T1049" s="78"/>
      <c r="U1049" s="78"/>
      <c r="V1049" s="78"/>
      <c r="W1049" s="78"/>
      <c r="X1049" s="78"/>
      <c r="Y1049" s="148"/>
      <c r="Z1049" s="78"/>
      <c r="AA1049" s="78"/>
      <c r="AB1049" s="78"/>
      <c r="AC1049" s="78"/>
      <c r="AD1049" s="78"/>
      <c r="AE1049" s="156"/>
      <c r="AF1049" s="156"/>
      <c r="AG1049" s="78"/>
      <c r="AH1049" s="78"/>
      <c r="AI1049" s="78"/>
      <c r="AJ1049" s="78"/>
      <c r="AK1049" s="78"/>
      <c r="AL1049" s="78"/>
      <c r="AM1049" s="78"/>
      <c r="AN1049" s="78"/>
      <c r="AO1049" s="78"/>
      <c r="AP1049" s="78"/>
      <c r="AQ1049" s="78"/>
      <c r="AR1049" s="286"/>
      <c r="AS1049" s="78"/>
      <c r="AT1049" s="78"/>
      <c r="AU1049" s="8"/>
      <c r="AV1049" s="6" t="str">
        <f t="shared" si="17"/>
        <v/>
      </c>
    </row>
    <row r="1050" spans="1:48" x14ac:dyDescent="0.45">
      <c r="A1050" s="27" t="s">
        <v>2869</v>
      </c>
      <c r="I1050" s="18" t="s">
        <v>2473</v>
      </c>
      <c r="J1050" s="18" t="s">
        <v>2473</v>
      </c>
      <c r="K1050" s="18" t="s">
        <v>2473</v>
      </c>
      <c r="AU1050" s="6"/>
      <c r="AV1050" s="6" t="str">
        <f t="shared" si="17"/>
        <v/>
      </c>
    </row>
    <row r="1051" spans="1:48" x14ac:dyDescent="0.45">
      <c r="A1051" s="323" t="s">
        <v>2807</v>
      </c>
      <c r="B1051" s="324"/>
      <c r="C1051" s="324"/>
      <c r="D1051" s="324"/>
      <c r="E1051" s="324"/>
      <c r="F1051" s="324"/>
      <c r="G1051" s="101"/>
      <c r="H1051" s="101"/>
      <c r="I1051" s="18" t="s">
        <v>2473</v>
      </c>
      <c r="J1051" s="18" t="s">
        <v>2473</v>
      </c>
      <c r="K1051" s="18" t="s">
        <v>2473</v>
      </c>
      <c r="AU1051" s="6"/>
      <c r="AV1051" s="6" t="str">
        <f t="shared" si="17"/>
        <v/>
      </c>
    </row>
    <row r="1052" spans="1:48" ht="14.65" thickBot="1" x14ac:dyDescent="0.5">
      <c r="A1052" s="28" t="s">
        <v>2808</v>
      </c>
      <c r="I1052" s="18" t="s">
        <v>2473</v>
      </c>
      <c r="J1052" s="18" t="s">
        <v>2473</v>
      </c>
      <c r="K1052" s="18" t="s">
        <v>2473</v>
      </c>
      <c r="AA1052" s="183" t="s">
        <v>2322</v>
      </c>
      <c r="AB1052" s="183" t="s">
        <v>1697</v>
      </c>
      <c r="AC1052" s="183" t="s">
        <v>5</v>
      </c>
      <c r="AU1052" s="6"/>
      <c r="AV1052" s="6" t="str">
        <f t="shared" si="17"/>
        <v/>
      </c>
    </row>
    <row r="1053" spans="1:48" ht="70.150000000000006" thickBot="1" x14ac:dyDescent="0.5">
      <c r="A1053" s="309" t="s">
        <v>2809</v>
      </c>
      <c r="B1053" s="310"/>
      <c r="C1053" s="301" t="s">
        <v>1</v>
      </c>
      <c r="D1053" s="319"/>
      <c r="E1053" s="319"/>
      <c r="F1053" s="302"/>
      <c r="G1053" s="102"/>
      <c r="H1053" s="102"/>
      <c r="I1053" s="18" t="s">
        <v>2473</v>
      </c>
      <c r="J1053" s="18" t="s">
        <v>2473</v>
      </c>
      <c r="K1053" s="18" t="s">
        <v>2473</v>
      </c>
      <c r="AA1053" s="183" t="str">
        <f>LEFT($A1053,FIND(" ",$A1053)-1)</f>
        <v>ManagerCollection</v>
      </c>
      <c r="AB1053" s="183" t="str">
        <f>MID($A1053,FIND("(",$A1053)+1,LEN($A1053)-FIND("(",$A1053)-1)</f>
        <v/>
      </c>
      <c r="AC1053" s="101" t="str">
        <f>A1051</f>
        <v>A ManagerCollection is a collection of Manager Resources</v>
      </c>
      <c r="AU1053" s="6"/>
      <c r="AV1053" s="6" t="str">
        <f t="shared" si="17"/>
        <v/>
      </c>
    </row>
    <row r="1054" spans="1:48" ht="14.65" thickBot="1" x14ac:dyDescent="0.5">
      <c r="A1054" s="311"/>
      <c r="B1054" s="312"/>
      <c r="C1054" s="301" t="s">
        <v>2</v>
      </c>
      <c r="D1054" s="302"/>
      <c r="E1054" s="301" t="s">
        <v>3</v>
      </c>
      <c r="F1054" s="302"/>
      <c r="G1054" s="301" t="s">
        <v>2896</v>
      </c>
      <c r="H1054" s="302"/>
      <c r="I1054" s="18" t="s">
        <v>2473</v>
      </c>
      <c r="J1054" s="18" t="s">
        <v>2473</v>
      </c>
      <c r="K1054" s="18" t="s">
        <v>2473</v>
      </c>
      <c r="AA1054" s="183"/>
      <c r="AB1054" s="183"/>
      <c r="AC1054" s="183"/>
      <c r="AU1054" s="6"/>
      <c r="AV1054" s="6" t="str">
        <f t="shared" si="17"/>
        <v/>
      </c>
    </row>
    <row r="1055" spans="1:48" ht="14.65" thickBot="1" x14ac:dyDescent="0.5">
      <c r="A1055" s="46" t="s">
        <v>2377</v>
      </c>
      <c r="B1055" s="47"/>
      <c r="C1055" s="303" t="s">
        <v>10</v>
      </c>
      <c r="D1055" s="304"/>
      <c r="E1055" s="303" t="s">
        <v>10</v>
      </c>
      <c r="F1055" s="304"/>
      <c r="G1055" s="303" t="s">
        <v>10</v>
      </c>
      <c r="H1055" s="304"/>
      <c r="I1055" s="18" t="s">
        <v>2473</v>
      </c>
      <c r="J1055" s="18" t="s">
        <v>2473</v>
      </c>
      <c r="K1055" s="18" t="s">
        <v>2473</v>
      </c>
      <c r="M1055" s="145" t="s">
        <v>2797</v>
      </c>
      <c r="AA1055" s="183"/>
      <c r="AB1055" s="183"/>
      <c r="AC1055" s="101"/>
      <c r="AU1055" s="6"/>
      <c r="AV1055" s="6" t="str">
        <f t="shared" si="17"/>
        <v/>
      </c>
    </row>
    <row r="1056" spans="1:48" ht="14.65" thickBot="1" x14ac:dyDescent="0.5">
      <c r="A1056" s="30" t="s">
        <v>4</v>
      </c>
      <c r="B1056" s="59" t="s">
        <v>5</v>
      </c>
      <c r="C1056" s="7" t="s">
        <v>6</v>
      </c>
      <c r="D1056" s="7" t="s">
        <v>7</v>
      </c>
      <c r="E1056" s="7" t="s">
        <v>6</v>
      </c>
      <c r="F1056" s="7" t="s">
        <v>7</v>
      </c>
      <c r="G1056" s="7" t="s">
        <v>6</v>
      </c>
      <c r="H1056" s="7" t="s">
        <v>7</v>
      </c>
      <c r="I1056" s="18" t="s">
        <v>2473</v>
      </c>
      <c r="J1056" s="18" t="s">
        <v>2473</v>
      </c>
      <c r="K1056" s="18" t="s">
        <v>2473</v>
      </c>
      <c r="AU1056" s="6"/>
      <c r="AV1056" s="6" t="str">
        <f t="shared" si="17"/>
        <v/>
      </c>
    </row>
    <row r="1057" spans="1:48" ht="23.65" thickBot="1" x14ac:dyDescent="0.5">
      <c r="A1057" s="36" t="s">
        <v>2792</v>
      </c>
      <c r="B1057" s="3" t="s">
        <v>3593</v>
      </c>
      <c r="C1057" s="4"/>
      <c r="D1057" s="4"/>
      <c r="E1057" s="4"/>
      <c r="F1057" s="4"/>
      <c r="G1057" s="4"/>
      <c r="H1057" s="4"/>
      <c r="I1057" s="18" t="s">
        <v>2473</v>
      </c>
      <c r="J1057" s="18" t="s">
        <v>2473</v>
      </c>
      <c r="K1057" s="18" t="s">
        <v>2473</v>
      </c>
      <c r="AU1057" s="6"/>
      <c r="AV1057" s="6" t="str">
        <f t="shared" si="17"/>
        <v/>
      </c>
    </row>
    <row r="1058" spans="1:48" ht="14.65" thickBot="1" x14ac:dyDescent="0.5">
      <c r="A1058" s="35" t="s">
        <v>33</v>
      </c>
      <c r="B1058" s="3" t="s">
        <v>2810</v>
      </c>
      <c r="C1058" s="2"/>
      <c r="D1058" s="2"/>
      <c r="E1058" s="2"/>
      <c r="F1058" s="2"/>
      <c r="G1058" s="2"/>
      <c r="H1058" s="2"/>
      <c r="I1058" s="18" t="s">
        <v>2473</v>
      </c>
      <c r="J1058" s="18" t="s">
        <v>2473</v>
      </c>
      <c r="K1058" s="18" t="s">
        <v>2473</v>
      </c>
      <c r="AU1058" s="6"/>
      <c r="AV1058" s="6" t="str">
        <f t="shared" si="17"/>
        <v/>
      </c>
    </row>
    <row r="1059" spans="1:48" x14ac:dyDescent="0.45">
      <c r="A1059" s="33" t="s">
        <v>2811</v>
      </c>
      <c r="I1059" s="18" t="s">
        <v>2473</v>
      </c>
      <c r="J1059" s="18" t="s">
        <v>2473</v>
      </c>
      <c r="K1059" s="18" t="s">
        <v>2473</v>
      </c>
      <c r="AU1059" s="6"/>
      <c r="AV1059" s="6" t="str">
        <f t="shared" si="17"/>
        <v/>
      </c>
    </row>
    <row r="1060" spans="1:48" x14ac:dyDescent="0.45">
      <c r="A1060" s="34" t="s">
        <v>2871</v>
      </c>
      <c r="I1060" s="18" t="s">
        <v>2473</v>
      </c>
      <c r="J1060" s="18" t="s">
        <v>2473</v>
      </c>
      <c r="K1060" s="18" t="s">
        <v>2473</v>
      </c>
      <c r="AU1060" s="6"/>
      <c r="AV1060" s="6" t="str">
        <f t="shared" si="17"/>
        <v/>
      </c>
    </row>
    <row r="1061" spans="1:48" s="79" customFormat="1" x14ac:dyDescent="0.45">
      <c r="A1061" s="75"/>
      <c r="B1061" s="76"/>
      <c r="C1061" s="77"/>
      <c r="D1061" s="77"/>
      <c r="E1061" s="77"/>
      <c r="F1061" s="77"/>
      <c r="G1061" s="77"/>
      <c r="H1061" s="77"/>
      <c r="I1061" s="77"/>
      <c r="J1061" s="77"/>
      <c r="K1061" s="77"/>
      <c r="L1061" s="77"/>
      <c r="M1061" s="148"/>
      <c r="N1061" s="78"/>
      <c r="O1061" s="78"/>
      <c r="P1061" s="78"/>
      <c r="Q1061" s="78"/>
      <c r="R1061" s="78"/>
      <c r="S1061" s="78"/>
      <c r="T1061" s="78"/>
      <c r="U1061" s="78"/>
      <c r="V1061" s="78"/>
      <c r="W1061" s="78"/>
      <c r="X1061" s="78"/>
      <c r="Y1061" s="148"/>
      <c r="Z1061" s="78"/>
      <c r="AA1061" s="78"/>
      <c r="AB1061" s="78"/>
      <c r="AC1061" s="78"/>
      <c r="AD1061" s="78"/>
      <c r="AE1061" s="156"/>
      <c r="AF1061" s="156"/>
      <c r="AG1061" s="78"/>
      <c r="AH1061" s="78"/>
      <c r="AI1061" s="78"/>
      <c r="AJ1061" s="78"/>
      <c r="AK1061" s="78"/>
      <c r="AL1061" s="78"/>
      <c r="AM1061" s="78"/>
      <c r="AN1061" s="78"/>
      <c r="AO1061" s="78"/>
      <c r="AP1061" s="78"/>
      <c r="AQ1061" s="78"/>
      <c r="AR1061" s="286"/>
      <c r="AS1061" s="78"/>
      <c r="AT1061" s="78"/>
      <c r="AU1061" s="8"/>
      <c r="AV1061" s="6" t="str">
        <f t="shared" si="17"/>
        <v/>
      </c>
    </row>
    <row r="1062" spans="1:48" x14ac:dyDescent="0.45">
      <c r="A1062" s="27" t="s">
        <v>2416</v>
      </c>
      <c r="I1062" s="18" t="s">
        <v>2473</v>
      </c>
      <c r="J1062" s="18" t="s">
        <v>2473</v>
      </c>
      <c r="K1062" s="18" t="s">
        <v>2473</v>
      </c>
      <c r="AU1062" s="6"/>
      <c r="AV1062" s="6" t="str">
        <f t="shared" si="17"/>
        <v/>
      </c>
    </row>
    <row r="1063" spans="1:48" x14ac:dyDescent="0.45">
      <c r="A1063" s="323" t="s">
        <v>2510</v>
      </c>
      <c r="B1063" s="324"/>
      <c r="C1063" s="324"/>
      <c r="D1063" s="324"/>
      <c r="E1063" s="324"/>
      <c r="F1063" s="324"/>
      <c r="G1063" s="101"/>
      <c r="H1063" s="101"/>
      <c r="I1063" s="18" t="s">
        <v>2473</v>
      </c>
      <c r="J1063" s="18" t="s">
        <v>2473</v>
      </c>
      <c r="K1063" s="18" t="s">
        <v>2473</v>
      </c>
      <c r="AU1063" s="6"/>
      <c r="AV1063" s="6" t="str">
        <f t="shared" si="17"/>
        <v/>
      </c>
    </row>
    <row r="1064" spans="1:48" ht="14.65" thickBot="1" x14ac:dyDescent="0.5">
      <c r="A1064" s="28" t="s">
        <v>878</v>
      </c>
      <c r="I1064" s="18" t="s">
        <v>2473</v>
      </c>
      <c r="J1064" s="18" t="s">
        <v>2473</v>
      </c>
      <c r="K1064" s="18" t="s">
        <v>2473</v>
      </c>
      <c r="AA1064" s="183" t="s">
        <v>2322</v>
      </c>
      <c r="AB1064" s="183" t="s">
        <v>1697</v>
      </c>
      <c r="AC1064" s="183" t="s">
        <v>5</v>
      </c>
      <c r="AU1064" s="6"/>
      <c r="AV1064" s="6" t="str">
        <f t="shared" si="17"/>
        <v/>
      </c>
    </row>
    <row r="1065" spans="1:48" ht="139.9" thickBot="1" x14ac:dyDescent="0.5">
      <c r="A1065" s="309" t="s">
        <v>879</v>
      </c>
      <c r="B1065" s="310"/>
      <c r="C1065" s="301" t="s">
        <v>1</v>
      </c>
      <c r="D1065" s="319"/>
      <c r="E1065" s="319"/>
      <c r="F1065" s="302"/>
      <c r="G1065" s="102"/>
      <c r="H1065" s="102"/>
      <c r="I1065" s="18" t="s">
        <v>2473</v>
      </c>
      <c r="AA1065" s="183" t="str">
        <f>LEFT($A1065,FIND(" ",$A1065)-1)</f>
        <v>Manager</v>
      </c>
      <c r="AB1065" s="183" t="str">
        <f>MID($A1065,FIND("(",$A1065)+1,LEN($A1065)-FIND("(",$A1065)-1)</f>
        <v>1.5.0</v>
      </c>
      <c r="AC1065" s="101" t="str">
        <f>A1063</f>
        <v>Examples of Managers are BMCs, Enclosure Managers, Management Controllers, and other subsystems assigned manageability functions.</v>
      </c>
      <c r="AU1065" s="6"/>
      <c r="AV1065" s="6" t="str">
        <f t="shared" si="17"/>
        <v/>
      </c>
    </row>
    <row r="1066" spans="1:48" ht="14.65" thickBot="1" x14ac:dyDescent="0.5">
      <c r="A1066" s="311"/>
      <c r="B1066" s="312"/>
      <c r="C1066" s="301" t="s">
        <v>2</v>
      </c>
      <c r="D1066" s="302"/>
      <c r="E1066" s="301" t="s">
        <v>3</v>
      </c>
      <c r="F1066" s="302"/>
      <c r="G1066" s="301" t="s">
        <v>2896</v>
      </c>
      <c r="H1066" s="302"/>
      <c r="I1066" s="18" t="s">
        <v>2473</v>
      </c>
      <c r="AA1066" s="183" t="s">
        <v>2322</v>
      </c>
      <c r="AB1066" s="183" t="s">
        <v>1697</v>
      </c>
      <c r="AC1066" s="183" t="s">
        <v>5</v>
      </c>
      <c r="AU1066" s="6"/>
      <c r="AV1066" s="6" t="str">
        <f t="shared" si="17"/>
        <v/>
      </c>
    </row>
    <row r="1067" spans="1:48" ht="139.9" thickBot="1" x14ac:dyDescent="0.5">
      <c r="A1067" s="309" t="s">
        <v>3205</v>
      </c>
      <c r="B1067" s="310"/>
      <c r="C1067" s="301" t="s">
        <v>1</v>
      </c>
      <c r="D1067" s="319"/>
      <c r="E1067" s="319"/>
      <c r="F1067" s="302"/>
      <c r="G1067" s="102"/>
      <c r="H1067" s="102"/>
      <c r="J1067" s="18" t="s">
        <v>2473</v>
      </c>
      <c r="K1067" s="18" t="s">
        <v>2473</v>
      </c>
      <c r="AA1067" s="183" t="str">
        <f>LEFT($A1067,FIND(" ",$A1067)-1)</f>
        <v>Manager</v>
      </c>
      <c r="AB1067" s="183" t="str">
        <f>MID($A1067,FIND("(",$A1067)+1,LEN($A1067)-FIND("(",$A1067)-1)</f>
        <v>1.5.2</v>
      </c>
      <c r="AC1067" s="101" t="str">
        <f>AC1065</f>
        <v>Examples of Managers are BMCs, Enclosure Managers, Management Controllers, and other subsystems assigned manageability functions.</v>
      </c>
      <c r="AU1067" s="6"/>
      <c r="AV1067" s="6" t="str">
        <f t="shared" si="17"/>
        <v/>
      </c>
    </row>
    <row r="1068" spans="1:48" ht="14.65" thickBot="1" x14ac:dyDescent="0.5">
      <c r="A1068" s="311"/>
      <c r="B1068" s="312"/>
      <c r="C1068" s="301" t="s">
        <v>2</v>
      </c>
      <c r="D1068" s="302"/>
      <c r="E1068" s="301" t="s">
        <v>3</v>
      </c>
      <c r="F1068" s="302"/>
      <c r="G1068" s="301" t="s">
        <v>2896</v>
      </c>
      <c r="H1068" s="302"/>
      <c r="J1068" s="18" t="s">
        <v>2473</v>
      </c>
      <c r="K1068" s="18" t="s">
        <v>2473</v>
      </c>
      <c r="AM1068" s="8" t="str">
        <f>C1068</f>
        <v>OSM-Redfish</v>
      </c>
      <c r="AN1068" s="8" t="str">
        <f>E1068</f>
        <v>OSM-RedfishBMC</v>
      </c>
      <c r="AO1068" s="8" t="str">
        <f>G1068</f>
        <v>OSM-RedfishDCN</v>
      </c>
      <c r="AU1068" s="6"/>
      <c r="AV1068" s="6" t="str">
        <f t="shared" si="17"/>
        <v/>
      </c>
    </row>
    <row r="1069" spans="1:48" ht="14.65" thickBot="1" x14ac:dyDescent="0.5">
      <c r="A1069" s="46" t="s">
        <v>2377</v>
      </c>
      <c r="B1069" s="47"/>
      <c r="C1069" s="303" t="s">
        <v>10</v>
      </c>
      <c r="D1069" s="304"/>
      <c r="E1069" s="303" t="s">
        <v>10</v>
      </c>
      <c r="F1069" s="304"/>
      <c r="G1069" s="303" t="s">
        <v>10</v>
      </c>
      <c r="H1069" s="304"/>
      <c r="I1069" s="18" t="s">
        <v>2473</v>
      </c>
      <c r="J1069" s="18" t="s">
        <v>2473</v>
      </c>
      <c r="K1069" s="18" t="s">
        <v>2473</v>
      </c>
      <c r="AM1069" s="8" t="str">
        <f>IF(C1069&lt;&gt;"","CRQ-P5-"&amp;(AM$2+$AP1069*$AP$3),"")</f>
        <v>CRQ-P5-1104</v>
      </c>
      <c r="AN1069" s="8" t="str">
        <f>IF(E1069&lt;&gt;"","CRQ-P5-"&amp;(AN$2+$AP1069*$AP$3),"")</f>
        <v>CRQ-P5-1404</v>
      </c>
      <c r="AO1069" s="8" t="str">
        <f>IF(G1069&lt;&gt;"","CRQ-P5-"&amp;(AO$2+$AP1069*$AP$3),"")</f>
        <v>CRQ-P5-1704</v>
      </c>
      <c r="AP1069" s="8">
        <v>26</v>
      </c>
      <c r="AU1069" s="6"/>
      <c r="AV1069" s="6" t="str">
        <f t="shared" si="17"/>
        <v/>
      </c>
    </row>
    <row r="1070" spans="1:48" ht="14.65" thickBot="1" x14ac:dyDescent="0.5">
      <c r="A1070" s="29" t="s">
        <v>3394</v>
      </c>
      <c r="B1070" s="9"/>
      <c r="C1070" s="305" t="str">
        <f>MID($A1065,FIND("(",$A1065)+1,5)</f>
        <v>1.5.0</v>
      </c>
      <c r="D1070" s="306"/>
      <c r="E1070" s="305" t="s">
        <v>3410</v>
      </c>
      <c r="F1070" s="306"/>
      <c r="G1070" s="305" t="str">
        <f>MID($A1065,FIND("(",$A1065)+1,5)</f>
        <v>1.5.0</v>
      </c>
      <c r="H1070" s="306"/>
      <c r="I1070" s="18" t="s">
        <v>2473</v>
      </c>
      <c r="J1070" s="18" t="s">
        <v>2473</v>
      </c>
      <c r="K1070" s="18" t="s">
        <v>2473</v>
      </c>
      <c r="AU1070" s="6"/>
      <c r="AV1070" s="6" t="str">
        <f t="shared" si="17"/>
        <v/>
      </c>
    </row>
    <row r="1071" spans="1:48" ht="14.65" thickBot="1" x14ac:dyDescent="0.5">
      <c r="A1071" s="30" t="s">
        <v>4</v>
      </c>
      <c r="B1071" s="59" t="s">
        <v>5</v>
      </c>
      <c r="C1071" s="7" t="s">
        <v>6</v>
      </c>
      <c r="D1071" s="7" t="s">
        <v>7</v>
      </c>
      <c r="E1071" s="7" t="s">
        <v>6</v>
      </c>
      <c r="F1071" s="7" t="s">
        <v>7</v>
      </c>
      <c r="G1071" s="7" t="s">
        <v>6</v>
      </c>
      <c r="H1071" s="7" t="s">
        <v>7</v>
      </c>
      <c r="I1071" s="18" t="s">
        <v>2473</v>
      </c>
      <c r="J1071" s="18" t="s">
        <v>2473</v>
      </c>
      <c r="K1071" s="18" t="s">
        <v>2473</v>
      </c>
      <c r="AU1071" s="6"/>
      <c r="AV1071" s="6" t="str">
        <f t="shared" ref="AV1071:AV1136" si="18">IF(A1071&lt;&gt;"",IF(T1071&lt;&gt;"",IF(LEFT(R1071,3)="Has",IF(TRIM(A1071)&lt;&gt;T1071,"ERROR","OK"),""),""),"")</f>
        <v/>
      </c>
    </row>
    <row r="1072" spans="1:48" ht="14.65" thickBot="1" x14ac:dyDescent="0.5">
      <c r="A1072" s="36" t="s">
        <v>8</v>
      </c>
      <c r="B1072" s="3" t="s">
        <v>9</v>
      </c>
      <c r="C1072" s="4"/>
      <c r="D1072" s="4"/>
      <c r="E1072" s="4" t="s">
        <v>37</v>
      </c>
      <c r="F1072" s="4"/>
      <c r="G1072" s="4"/>
      <c r="H1072" s="4"/>
      <c r="I1072" s="18" t="s">
        <v>2473</v>
      </c>
      <c r="J1072" s="18" t="s">
        <v>2473</v>
      </c>
      <c r="K1072" s="18" t="s">
        <v>2473</v>
      </c>
      <c r="AU1072" s="6"/>
      <c r="AV1072" s="6" t="str">
        <f t="shared" si="18"/>
        <v/>
      </c>
    </row>
    <row r="1073" spans="1:48" ht="23.65" thickBot="1" x14ac:dyDescent="0.5">
      <c r="A1073" s="35" t="s">
        <v>880</v>
      </c>
      <c r="B1073" s="3" t="s">
        <v>881</v>
      </c>
      <c r="C1073" s="4"/>
      <c r="D1073" s="4"/>
      <c r="E1073" s="4"/>
      <c r="F1073" s="4"/>
      <c r="G1073" s="4"/>
      <c r="H1073" s="4"/>
      <c r="I1073" s="18" t="s">
        <v>2473</v>
      </c>
      <c r="J1073" s="18" t="s">
        <v>2473</v>
      </c>
      <c r="K1073" s="18" t="s">
        <v>2473</v>
      </c>
      <c r="AU1073" s="6"/>
      <c r="AV1073" s="6" t="str">
        <f t="shared" si="18"/>
        <v/>
      </c>
    </row>
    <row r="1074" spans="1:48" ht="23.65" thickBot="1" x14ac:dyDescent="0.5">
      <c r="A1074" s="35" t="s">
        <v>882</v>
      </c>
      <c r="B1074" s="3" t="s">
        <v>883</v>
      </c>
      <c r="C1074" s="4"/>
      <c r="D1074" s="4"/>
      <c r="E1074" s="4"/>
      <c r="F1074" s="4"/>
      <c r="G1074" s="4"/>
      <c r="H1074" s="4"/>
      <c r="I1074" s="18" t="s">
        <v>2473</v>
      </c>
      <c r="J1074" s="18" t="s">
        <v>2473</v>
      </c>
      <c r="K1074" s="18" t="s">
        <v>2473</v>
      </c>
      <c r="AU1074" s="6"/>
      <c r="AV1074" s="6" t="str">
        <f t="shared" si="18"/>
        <v/>
      </c>
    </row>
    <row r="1075" spans="1:48" ht="14.65" thickBot="1" x14ac:dyDescent="0.5">
      <c r="A1075" s="35" t="s">
        <v>884</v>
      </c>
      <c r="B1075" s="5" t="s">
        <v>885</v>
      </c>
      <c r="C1075" s="4"/>
      <c r="D1075" s="4"/>
      <c r="E1075" s="4" t="s">
        <v>37</v>
      </c>
      <c r="F1075" s="4"/>
      <c r="G1075" s="4"/>
      <c r="H1075" s="4"/>
      <c r="I1075" s="18" t="s">
        <v>2473</v>
      </c>
      <c r="J1075" s="18" t="s">
        <v>2473</v>
      </c>
      <c r="K1075" s="18" t="s">
        <v>2473</v>
      </c>
      <c r="AU1075" s="6"/>
      <c r="AV1075" s="6" t="str">
        <f t="shared" si="18"/>
        <v/>
      </c>
    </row>
    <row r="1076" spans="1:48" ht="23.65" thickBot="1" x14ac:dyDescent="0.5">
      <c r="A1076" s="36" t="s">
        <v>886</v>
      </c>
      <c r="B1076" s="3" t="s">
        <v>887</v>
      </c>
      <c r="C1076" s="4"/>
      <c r="D1076" s="4"/>
      <c r="E1076" s="4"/>
      <c r="F1076" s="4"/>
      <c r="G1076" s="4"/>
      <c r="H1076" s="4"/>
      <c r="I1076" s="18" t="s">
        <v>2473</v>
      </c>
      <c r="J1076" s="18" t="s">
        <v>2473</v>
      </c>
      <c r="K1076" s="18" t="s">
        <v>2473</v>
      </c>
      <c r="AU1076" s="6"/>
      <c r="AV1076" s="6" t="str">
        <f t="shared" si="18"/>
        <v/>
      </c>
    </row>
    <row r="1077" spans="1:48" ht="14.65" thickBot="1" x14ac:dyDescent="0.5">
      <c r="A1077" s="36" t="s">
        <v>888</v>
      </c>
      <c r="B1077" s="3" t="s">
        <v>889</v>
      </c>
      <c r="C1077" s="4" t="s">
        <v>37</v>
      </c>
      <c r="D1077" s="4" t="s">
        <v>37</v>
      </c>
      <c r="E1077" s="4" t="s">
        <v>37</v>
      </c>
      <c r="F1077" s="4" t="s">
        <v>37</v>
      </c>
      <c r="G1077" s="4" t="s">
        <v>37</v>
      </c>
      <c r="H1077" s="4" t="s">
        <v>37</v>
      </c>
      <c r="I1077" s="18" t="s">
        <v>2473</v>
      </c>
      <c r="J1077" s="18" t="s">
        <v>2473</v>
      </c>
      <c r="K1077" s="18" t="s">
        <v>2473</v>
      </c>
      <c r="AU1077" s="6"/>
      <c r="AV1077" s="6" t="str">
        <f t="shared" si="18"/>
        <v/>
      </c>
    </row>
    <row r="1078" spans="1:48" ht="23.65" thickBot="1" x14ac:dyDescent="0.5">
      <c r="A1078" s="35" t="s">
        <v>890</v>
      </c>
      <c r="B1078" s="3" t="s">
        <v>891</v>
      </c>
      <c r="C1078" s="4" t="s">
        <v>10</v>
      </c>
      <c r="D1078" s="4"/>
      <c r="E1078" s="4" t="s">
        <v>10</v>
      </c>
      <c r="F1078" s="4"/>
      <c r="G1078" s="4" t="s">
        <v>10</v>
      </c>
      <c r="H1078" s="4"/>
      <c r="I1078" s="18" t="s">
        <v>2473</v>
      </c>
      <c r="J1078" s="18" t="s">
        <v>2473</v>
      </c>
      <c r="K1078" s="18" t="s">
        <v>2473</v>
      </c>
      <c r="AU1078" s="6"/>
      <c r="AV1078" s="6" t="str">
        <f t="shared" si="18"/>
        <v/>
      </c>
    </row>
    <row r="1079" spans="1:48" ht="23.65" thickBot="1" x14ac:dyDescent="0.5">
      <c r="A1079" s="35" t="s">
        <v>892</v>
      </c>
      <c r="B1079" s="3" t="s">
        <v>893</v>
      </c>
      <c r="C1079" s="4" t="s">
        <v>10</v>
      </c>
      <c r="D1079" s="4"/>
      <c r="E1079" s="4" t="s">
        <v>10</v>
      </c>
      <c r="F1079" s="4"/>
      <c r="G1079" s="4" t="s">
        <v>10</v>
      </c>
      <c r="H1079" s="4"/>
      <c r="I1079" s="18" t="s">
        <v>2473</v>
      </c>
      <c r="J1079" s="18" t="s">
        <v>2473</v>
      </c>
      <c r="K1079" s="18" t="s">
        <v>2473</v>
      </c>
      <c r="AU1079" s="6"/>
      <c r="AV1079" s="6" t="str">
        <f t="shared" si="18"/>
        <v/>
      </c>
    </row>
    <row r="1080" spans="1:48" ht="14.65" thickBot="1" x14ac:dyDescent="0.5">
      <c r="A1080" s="35" t="s">
        <v>894</v>
      </c>
      <c r="B1080" s="3" t="s">
        <v>895</v>
      </c>
      <c r="C1080" s="4" t="s">
        <v>10</v>
      </c>
      <c r="D1080" s="4" t="s">
        <v>10</v>
      </c>
      <c r="E1080" s="4" t="s">
        <v>10</v>
      </c>
      <c r="F1080" s="4" t="s">
        <v>10</v>
      </c>
      <c r="G1080" s="4" t="s">
        <v>10</v>
      </c>
      <c r="H1080" s="4" t="s">
        <v>10</v>
      </c>
      <c r="I1080" s="18" t="s">
        <v>2473</v>
      </c>
      <c r="J1080" s="18" t="s">
        <v>2473</v>
      </c>
      <c r="K1080" s="18" t="s">
        <v>2473</v>
      </c>
      <c r="AU1080" s="6"/>
      <c r="AV1080" s="6" t="str">
        <f t="shared" si="18"/>
        <v/>
      </c>
    </row>
    <row r="1081" spans="1:48" ht="23.65" thickBot="1" x14ac:dyDescent="0.5">
      <c r="A1081" s="36" t="s">
        <v>636</v>
      </c>
      <c r="B1081" s="3" t="s">
        <v>896</v>
      </c>
      <c r="C1081" s="4" t="s">
        <v>10</v>
      </c>
      <c r="D1081" s="4" t="s">
        <v>10</v>
      </c>
      <c r="E1081" s="4" t="s">
        <v>13</v>
      </c>
      <c r="F1081" s="4" t="s">
        <v>13</v>
      </c>
      <c r="G1081" s="4" t="s">
        <v>10</v>
      </c>
      <c r="H1081" s="4" t="s">
        <v>10</v>
      </c>
      <c r="I1081" s="18" t="s">
        <v>2473</v>
      </c>
      <c r="J1081" s="18" t="s">
        <v>2473</v>
      </c>
      <c r="K1081" s="18" t="s">
        <v>2473</v>
      </c>
      <c r="AU1081" s="140" t="s">
        <v>4107</v>
      </c>
      <c r="AV1081" s="6" t="str">
        <f t="shared" si="18"/>
        <v/>
      </c>
    </row>
    <row r="1082" spans="1:48" ht="23.65" thickBot="1" x14ac:dyDescent="0.5">
      <c r="A1082" s="36" t="s">
        <v>638</v>
      </c>
      <c r="B1082" s="3" t="s">
        <v>639</v>
      </c>
      <c r="C1082" s="4" t="s">
        <v>10</v>
      </c>
      <c r="D1082" s="4" t="s">
        <v>10</v>
      </c>
      <c r="E1082" s="4" t="s">
        <v>13</v>
      </c>
      <c r="F1082" s="4" t="s">
        <v>13</v>
      </c>
      <c r="G1082" s="4" t="s">
        <v>10</v>
      </c>
      <c r="H1082" s="4" t="s">
        <v>10</v>
      </c>
      <c r="I1082" s="18" t="s">
        <v>2473</v>
      </c>
      <c r="J1082" s="18" t="s">
        <v>2473</v>
      </c>
      <c r="K1082" s="18" t="s">
        <v>2473</v>
      </c>
      <c r="AU1082" s="140" t="s">
        <v>4107</v>
      </c>
      <c r="AV1082" s="6" t="str">
        <f t="shared" si="18"/>
        <v/>
      </c>
    </row>
    <row r="1083" spans="1:48" ht="23.65" thickBot="1" x14ac:dyDescent="0.5">
      <c r="A1083" s="36" t="s">
        <v>55</v>
      </c>
      <c r="B1083" s="3" t="s">
        <v>3594</v>
      </c>
      <c r="C1083" s="4" t="s">
        <v>10</v>
      </c>
      <c r="D1083" s="4"/>
      <c r="E1083" s="4" t="s">
        <v>10</v>
      </c>
      <c r="F1083" s="4"/>
      <c r="G1083" s="4" t="s">
        <v>10</v>
      </c>
      <c r="H1083" s="4"/>
      <c r="I1083" s="18" t="s">
        <v>2473</v>
      </c>
      <c r="J1083" s="18" t="s">
        <v>2473</v>
      </c>
      <c r="K1083" s="18" t="s">
        <v>2473</v>
      </c>
      <c r="AU1083" s="6"/>
      <c r="AV1083" s="6" t="str">
        <f t="shared" si="18"/>
        <v/>
      </c>
    </row>
    <row r="1084" spans="1:48" ht="14.65" thickBot="1" x14ac:dyDescent="0.5">
      <c r="A1084" s="35" t="s">
        <v>33</v>
      </c>
      <c r="B1084" s="3" t="s">
        <v>56</v>
      </c>
      <c r="C1084" s="4"/>
      <c r="D1084" s="4"/>
      <c r="E1084" s="4"/>
      <c r="F1084" s="4"/>
      <c r="G1084" s="4"/>
      <c r="H1084" s="4"/>
      <c r="I1084" s="18" t="s">
        <v>2473</v>
      </c>
      <c r="J1084" s="18" t="s">
        <v>2473</v>
      </c>
      <c r="K1084" s="18" t="s">
        <v>2473</v>
      </c>
      <c r="AU1084" s="6"/>
      <c r="AV1084" s="6" t="str">
        <f t="shared" si="18"/>
        <v/>
      </c>
    </row>
    <row r="1085" spans="1:48" ht="14.65" thickBot="1" x14ac:dyDescent="0.5">
      <c r="A1085" s="36" t="s">
        <v>897</v>
      </c>
      <c r="B1085" s="3" t="s">
        <v>898</v>
      </c>
      <c r="C1085" s="4"/>
      <c r="D1085" s="4"/>
      <c r="E1085" s="4" t="s">
        <v>10</v>
      </c>
      <c r="F1085" s="4"/>
      <c r="G1085" s="4"/>
      <c r="H1085" s="4"/>
      <c r="I1085" s="18" t="s">
        <v>2473</v>
      </c>
      <c r="J1085" s="18" t="s">
        <v>2473</v>
      </c>
      <c r="K1085" s="18" t="s">
        <v>2473</v>
      </c>
      <c r="AU1085" s="6"/>
      <c r="AV1085" s="6" t="str">
        <f t="shared" si="18"/>
        <v/>
      </c>
    </row>
    <row r="1086" spans="1:48" ht="35.25" thickBot="1" x14ac:dyDescent="0.5">
      <c r="A1086" s="36" t="s">
        <v>899</v>
      </c>
      <c r="B1086" s="3" t="s">
        <v>900</v>
      </c>
      <c r="C1086" s="4" t="s">
        <v>37</v>
      </c>
      <c r="D1086" s="4" t="s">
        <v>37</v>
      </c>
      <c r="E1086" s="4" t="s">
        <v>37</v>
      </c>
      <c r="F1086" s="4" t="s">
        <v>37</v>
      </c>
      <c r="G1086" s="4" t="s">
        <v>37</v>
      </c>
      <c r="H1086" s="4" t="s">
        <v>37</v>
      </c>
      <c r="I1086" s="18" t="s">
        <v>2473</v>
      </c>
      <c r="J1086" s="18" t="s">
        <v>2473</v>
      </c>
      <c r="K1086" s="18" t="s">
        <v>2473</v>
      </c>
      <c r="AU1086" s="6"/>
      <c r="AV1086" s="6" t="str">
        <f t="shared" si="18"/>
        <v/>
      </c>
    </row>
    <row r="1087" spans="1:48" ht="23.65" thickBot="1" x14ac:dyDescent="0.5">
      <c r="A1087" s="35" t="s">
        <v>890</v>
      </c>
      <c r="B1087" s="3" t="s">
        <v>901</v>
      </c>
      <c r="C1087" s="4" t="s">
        <v>10</v>
      </c>
      <c r="D1087" s="4"/>
      <c r="E1087" s="4" t="s">
        <v>10</v>
      </c>
      <c r="F1087" s="4"/>
      <c r="G1087" s="4" t="s">
        <v>10</v>
      </c>
      <c r="H1087" s="4"/>
      <c r="I1087" s="18" t="s">
        <v>2473</v>
      </c>
      <c r="J1087" s="18" t="s">
        <v>2473</v>
      </c>
      <c r="K1087" s="18" t="s">
        <v>2473</v>
      </c>
      <c r="AU1087" s="6"/>
      <c r="AV1087" s="6" t="str">
        <f t="shared" si="18"/>
        <v/>
      </c>
    </row>
    <row r="1088" spans="1:48" ht="23.65" thickBot="1" x14ac:dyDescent="0.5">
      <c r="A1088" s="35" t="s">
        <v>892</v>
      </c>
      <c r="B1088" s="3" t="s">
        <v>893</v>
      </c>
      <c r="C1088" s="4" t="s">
        <v>10</v>
      </c>
      <c r="D1088" s="4"/>
      <c r="E1088" s="4" t="s">
        <v>10</v>
      </c>
      <c r="F1088" s="4"/>
      <c r="G1088" s="4" t="s">
        <v>10</v>
      </c>
      <c r="H1088" s="4"/>
      <c r="I1088" s="18" t="s">
        <v>2473</v>
      </c>
      <c r="J1088" s="18" t="s">
        <v>2473</v>
      </c>
      <c r="K1088" s="18" t="s">
        <v>2473</v>
      </c>
      <c r="AU1088" s="6"/>
      <c r="AV1088" s="6" t="str">
        <f t="shared" si="18"/>
        <v/>
      </c>
    </row>
    <row r="1089" spans="1:48" ht="14.65" thickBot="1" x14ac:dyDescent="0.5">
      <c r="A1089" s="35" t="s">
        <v>894</v>
      </c>
      <c r="B1089" s="3" t="s">
        <v>895</v>
      </c>
      <c r="C1089" s="4" t="s">
        <v>10</v>
      </c>
      <c r="D1089" s="4" t="s">
        <v>10</v>
      </c>
      <c r="E1089" s="4" t="s">
        <v>10</v>
      </c>
      <c r="F1089" s="4" t="s">
        <v>10</v>
      </c>
      <c r="G1089" s="4" t="s">
        <v>10</v>
      </c>
      <c r="H1089" s="4" t="s">
        <v>10</v>
      </c>
      <c r="I1089" s="18" t="s">
        <v>2473</v>
      </c>
      <c r="J1089" s="18" t="s">
        <v>2473</v>
      </c>
      <c r="K1089" s="18" t="s">
        <v>2473</v>
      </c>
      <c r="AU1089" s="6"/>
      <c r="AV1089" s="6" t="str">
        <f t="shared" si="18"/>
        <v/>
      </c>
    </row>
    <row r="1090" spans="1:48" ht="35.25" thickBot="1" x14ac:dyDescent="0.5">
      <c r="A1090" s="36" t="s">
        <v>902</v>
      </c>
      <c r="B1090" s="3" t="s">
        <v>3595</v>
      </c>
      <c r="C1090" s="4"/>
      <c r="D1090" s="4"/>
      <c r="E1090" s="4"/>
      <c r="F1090" s="4"/>
      <c r="G1090" s="4"/>
      <c r="H1090" s="4"/>
      <c r="I1090" s="18" t="s">
        <v>2473</v>
      </c>
      <c r="J1090" s="18" t="s">
        <v>2473</v>
      </c>
      <c r="K1090" s="18" t="s">
        <v>2473</v>
      </c>
      <c r="AU1090" s="8"/>
      <c r="AV1090" s="6" t="str">
        <f t="shared" si="18"/>
        <v/>
      </c>
    </row>
    <row r="1091" spans="1:48" ht="14.65" thickBot="1" x14ac:dyDescent="0.5">
      <c r="A1091" s="35" t="s">
        <v>33</v>
      </c>
      <c r="B1091" s="3" t="s">
        <v>903</v>
      </c>
      <c r="C1091" s="4"/>
      <c r="D1091" s="4"/>
      <c r="E1091" s="4"/>
      <c r="F1091" s="4"/>
      <c r="G1091" s="4"/>
      <c r="H1091" s="4"/>
      <c r="I1091" s="18" t="s">
        <v>2473</v>
      </c>
      <c r="J1091" s="18" t="s">
        <v>2473</v>
      </c>
      <c r="K1091" s="18" t="s">
        <v>2473</v>
      </c>
      <c r="AU1091" s="8"/>
      <c r="AV1091" s="6" t="str">
        <f t="shared" si="18"/>
        <v/>
      </c>
    </row>
    <row r="1092" spans="1:48" ht="47.65" thickBot="1" x14ac:dyDescent="0.5">
      <c r="A1092" s="36" t="s">
        <v>75</v>
      </c>
      <c r="B1092" s="3" t="s">
        <v>76</v>
      </c>
      <c r="C1092" s="4" t="s">
        <v>10</v>
      </c>
      <c r="D1092" s="4"/>
      <c r="E1092" s="4" t="s">
        <v>10</v>
      </c>
      <c r="F1092" s="4"/>
      <c r="G1092" s="4" t="s">
        <v>10</v>
      </c>
      <c r="H1092" s="4"/>
      <c r="I1092" s="18" t="s">
        <v>2473</v>
      </c>
      <c r="J1092" s="18" t="s">
        <v>2473</v>
      </c>
      <c r="K1092" s="18" t="s">
        <v>2473</v>
      </c>
      <c r="AS1092" s="206" t="s">
        <v>5860</v>
      </c>
      <c r="AU1092" s="8"/>
      <c r="AV1092" s="6" t="str">
        <f t="shared" si="18"/>
        <v/>
      </c>
    </row>
    <row r="1093" spans="1:48" ht="36" thickBot="1" x14ac:dyDescent="0.5">
      <c r="A1093" s="35" t="s">
        <v>4108</v>
      </c>
      <c r="B1093" s="3" t="s">
        <v>4109</v>
      </c>
      <c r="C1093" s="4" t="s">
        <v>13</v>
      </c>
      <c r="D1093" s="4"/>
      <c r="E1093" s="4" t="s">
        <v>13</v>
      </c>
      <c r="F1093" s="4"/>
      <c r="G1093" s="4" t="s">
        <v>13</v>
      </c>
      <c r="H1093" s="4"/>
      <c r="I1093" s="18" t="s">
        <v>2473</v>
      </c>
      <c r="J1093" s="18" t="s">
        <v>2473</v>
      </c>
      <c r="K1093" s="18" t="s">
        <v>2473</v>
      </c>
      <c r="AU1093" s="139" t="s">
        <v>4116</v>
      </c>
      <c r="AV1093" s="6" t="str">
        <f t="shared" si="18"/>
        <v/>
      </c>
    </row>
    <row r="1094" spans="1:48" ht="36" thickBot="1" x14ac:dyDescent="0.5">
      <c r="A1094" s="35" t="s">
        <v>43</v>
      </c>
      <c r="B1094" s="3" t="s">
        <v>4110</v>
      </c>
      <c r="C1094" s="4"/>
      <c r="D1094" s="4"/>
      <c r="E1094" s="4"/>
      <c r="F1094" s="4"/>
      <c r="G1094" s="4"/>
      <c r="H1094" s="4"/>
      <c r="I1094" s="18" t="s">
        <v>2473</v>
      </c>
      <c r="J1094" s="18" t="s">
        <v>2473</v>
      </c>
      <c r="K1094" s="18" t="s">
        <v>2473</v>
      </c>
      <c r="AU1094" s="139" t="s">
        <v>4116</v>
      </c>
      <c r="AV1094" s="6" t="str">
        <f t="shared" si="18"/>
        <v/>
      </c>
    </row>
    <row r="1095" spans="1:48" ht="23.65" thickBot="1" x14ac:dyDescent="0.5">
      <c r="A1095" s="35" t="s">
        <v>904</v>
      </c>
      <c r="B1095" s="3" t="s">
        <v>905</v>
      </c>
      <c r="C1095" s="4" t="s">
        <v>10</v>
      </c>
      <c r="D1095" s="4"/>
      <c r="E1095" s="4" t="s">
        <v>10</v>
      </c>
      <c r="F1095" s="4"/>
      <c r="G1095" s="4" t="s">
        <v>10</v>
      </c>
      <c r="H1095" s="4"/>
      <c r="I1095" s="18" t="s">
        <v>2473</v>
      </c>
      <c r="J1095" s="18" t="s">
        <v>2473</v>
      </c>
      <c r="K1095" s="18" t="s">
        <v>2473</v>
      </c>
      <c r="AU1095" s="8"/>
      <c r="AV1095" s="6" t="str">
        <f t="shared" si="18"/>
        <v/>
      </c>
    </row>
    <row r="1096" spans="1:48" ht="14.65" thickBot="1" x14ac:dyDescent="0.5">
      <c r="A1096" s="35" t="s">
        <v>43</v>
      </c>
      <c r="B1096" s="3" t="s">
        <v>79</v>
      </c>
      <c r="C1096" s="4"/>
      <c r="D1096" s="4"/>
      <c r="E1096" s="4"/>
      <c r="F1096" s="4"/>
      <c r="G1096" s="4"/>
      <c r="H1096" s="4"/>
      <c r="I1096" s="18" t="s">
        <v>2473</v>
      </c>
      <c r="J1096" s="18" t="s">
        <v>2473</v>
      </c>
      <c r="K1096" s="18" t="s">
        <v>2473</v>
      </c>
      <c r="AU1096" s="6"/>
      <c r="AV1096" s="6" t="str">
        <f t="shared" si="18"/>
        <v/>
      </c>
    </row>
    <row r="1097" spans="1:48" ht="23.65" thickBot="1" x14ac:dyDescent="0.5">
      <c r="A1097" s="35" t="s">
        <v>906</v>
      </c>
      <c r="B1097" s="3" t="s">
        <v>907</v>
      </c>
      <c r="C1097" s="4" t="s">
        <v>10</v>
      </c>
      <c r="D1097" s="4"/>
      <c r="E1097" s="4" t="s">
        <v>10</v>
      </c>
      <c r="F1097" s="4"/>
      <c r="G1097" s="4" t="s">
        <v>10</v>
      </c>
      <c r="H1097" s="4"/>
      <c r="I1097" s="18" t="s">
        <v>2473</v>
      </c>
      <c r="J1097" s="18" t="s">
        <v>2473</v>
      </c>
      <c r="K1097" s="18" t="s">
        <v>2473</v>
      </c>
      <c r="AU1097" s="6"/>
      <c r="AV1097" s="6" t="str">
        <f t="shared" si="18"/>
        <v/>
      </c>
    </row>
    <row r="1098" spans="1:48" ht="14.65" thickBot="1" x14ac:dyDescent="0.5">
      <c r="A1098" s="35" t="s">
        <v>43</v>
      </c>
      <c r="B1098" s="3" t="s">
        <v>867</v>
      </c>
      <c r="C1098" s="4"/>
      <c r="D1098" s="4"/>
      <c r="E1098" s="4"/>
      <c r="F1098" s="4"/>
      <c r="G1098" s="4"/>
      <c r="H1098" s="4"/>
      <c r="I1098" s="18" t="s">
        <v>2473</v>
      </c>
      <c r="J1098" s="18" t="s">
        <v>2473</v>
      </c>
      <c r="K1098" s="18" t="s">
        <v>2473</v>
      </c>
      <c r="AU1098" s="6"/>
      <c r="AV1098" s="6" t="str">
        <f t="shared" si="18"/>
        <v/>
      </c>
    </row>
    <row r="1099" spans="1:48" ht="23.65" thickBot="1" x14ac:dyDescent="0.5">
      <c r="A1099" s="35" t="s">
        <v>908</v>
      </c>
      <c r="B1099" s="3" t="s">
        <v>909</v>
      </c>
      <c r="C1099" s="4"/>
      <c r="D1099" s="4"/>
      <c r="E1099" s="4"/>
      <c r="F1099" s="4"/>
      <c r="G1099" s="4"/>
      <c r="H1099" s="4"/>
      <c r="I1099" s="18" t="s">
        <v>2473</v>
      </c>
      <c r="J1099" s="18" t="s">
        <v>2473</v>
      </c>
      <c r="K1099" s="18" t="s">
        <v>2473</v>
      </c>
      <c r="AU1099" s="6"/>
      <c r="AV1099" s="6" t="str">
        <f t="shared" si="18"/>
        <v/>
      </c>
    </row>
    <row r="1100" spans="1:48" ht="14.65" thickBot="1" x14ac:dyDescent="0.5">
      <c r="A1100" s="35" t="s">
        <v>43</v>
      </c>
      <c r="B1100" s="3" t="s">
        <v>910</v>
      </c>
      <c r="C1100" s="4"/>
      <c r="D1100" s="4"/>
      <c r="E1100" s="4"/>
      <c r="F1100" s="4"/>
      <c r="G1100" s="4"/>
      <c r="H1100" s="4"/>
      <c r="I1100" s="18" t="s">
        <v>2473</v>
      </c>
      <c r="J1100" s="18" t="s">
        <v>2473</v>
      </c>
      <c r="K1100" s="18" t="s">
        <v>2473</v>
      </c>
      <c r="AU1100" s="6"/>
      <c r="AV1100" s="6" t="str">
        <f t="shared" si="18"/>
        <v/>
      </c>
    </row>
    <row r="1101" spans="1:48" ht="14.65" thickBot="1" x14ac:dyDescent="0.5">
      <c r="A1101" s="35" t="s">
        <v>911</v>
      </c>
      <c r="B1101" s="3" t="s">
        <v>912</v>
      </c>
      <c r="C1101" s="4"/>
      <c r="D1101" s="4"/>
      <c r="E1101" s="4"/>
      <c r="F1101" s="4"/>
      <c r="G1101" s="4"/>
      <c r="H1101" s="4"/>
      <c r="I1101" s="18" t="s">
        <v>2473</v>
      </c>
      <c r="J1101" s="18" t="s">
        <v>2473</v>
      </c>
      <c r="K1101" s="18" t="s">
        <v>2473</v>
      </c>
      <c r="AU1101" s="6"/>
      <c r="AV1101" s="6" t="str">
        <f t="shared" si="18"/>
        <v/>
      </c>
    </row>
    <row r="1102" spans="1:48" ht="14.65" thickBot="1" x14ac:dyDescent="0.5">
      <c r="A1102" s="35" t="s">
        <v>43</v>
      </c>
      <c r="B1102" s="3" t="s">
        <v>79</v>
      </c>
      <c r="C1102" s="4"/>
      <c r="D1102" s="4"/>
      <c r="E1102" s="4"/>
      <c r="F1102" s="4"/>
      <c r="G1102" s="4"/>
      <c r="H1102" s="4"/>
      <c r="I1102" s="18" t="s">
        <v>2473</v>
      </c>
      <c r="J1102" s="18" t="s">
        <v>2473</v>
      </c>
      <c r="K1102" s="18" t="s">
        <v>2473</v>
      </c>
      <c r="AU1102" s="6"/>
      <c r="AV1102" s="6" t="str">
        <f t="shared" si="18"/>
        <v/>
      </c>
    </row>
    <row r="1103" spans="1:48" ht="36" thickBot="1" x14ac:dyDescent="0.5">
      <c r="A1103" s="35" t="s">
        <v>4112</v>
      </c>
      <c r="B1103" s="3" t="s">
        <v>4113</v>
      </c>
      <c r="C1103" s="4" t="s">
        <v>13</v>
      </c>
      <c r="D1103" s="4"/>
      <c r="E1103" s="4" t="s">
        <v>13</v>
      </c>
      <c r="F1103" s="4"/>
      <c r="G1103" s="4" t="s">
        <v>13</v>
      </c>
      <c r="H1103" s="4"/>
      <c r="I1103" s="18" t="s">
        <v>2473</v>
      </c>
      <c r="J1103" s="18" t="s">
        <v>2473</v>
      </c>
      <c r="K1103" s="18" t="s">
        <v>2473</v>
      </c>
      <c r="AU1103" s="139" t="s">
        <v>4115</v>
      </c>
      <c r="AV1103" s="6" t="str">
        <f t="shared" si="18"/>
        <v/>
      </c>
    </row>
    <row r="1104" spans="1:48" ht="36" thickBot="1" x14ac:dyDescent="0.5">
      <c r="A1104" s="35" t="s">
        <v>43</v>
      </c>
      <c r="B1104" s="3" t="s">
        <v>4111</v>
      </c>
      <c r="C1104" s="4"/>
      <c r="D1104" s="4"/>
      <c r="E1104" s="4"/>
      <c r="F1104" s="4"/>
      <c r="G1104" s="4"/>
      <c r="H1104" s="4"/>
      <c r="I1104" s="18" t="s">
        <v>2473</v>
      </c>
      <c r="J1104" s="18" t="s">
        <v>2473</v>
      </c>
      <c r="K1104" s="18" t="s">
        <v>2473</v>
      </c>
      <c r="AU1104" s="139" t="s">
        <v>4115</v>
      </c>
      <c r="AV1104" s="6" t="str">
        <f t="shared" si="18"/>
        <v/>
      </c>
    </row>
    <row r="1105" spans="1:48" ht="14.65" thickBot="1" x14ac:dyDescent="0.5">
      <c r="A1105" s="35" t="s">
        <v>59</v>
      </c>
      <c r="B1105" s="3" t="s">
        <v>60</v>
      </c>
      <c r="C1105" s="4"/>
      <c r="D1105" s="4"/>
      <c r="E1105" s="4"/>
      <c r="F1105" s="4"/>
      <c r="G1105" s="4"/>
      <c r="H1105" s="4"/>
      <c r="I1105" s="18" t="s">
        <v>2473</v>
      </c>
      <c r="J1105" s="18" t="s">
        <v>2473</v>
      </c>
      <c r="K1105" s="18" t="s">
        <v>2473</v>
      </c>
      <c r="AU1105" s="6"/>
      <c r="AV1105" s="6" t="str">
        <f t="shared" si="18"/>
        <v/>
      </c>
    </row>
    <row r="1106" spans="1:48" ht="14.65" thickBot="1" x14ac:dyDescent="0.5">
      <c r="A1106" s="36" t="s">
        <v>97</v>
      </c>
      <c r="B1106" s="3" t="s">
        <v>913</v>
      </c>
      <c r="C1106" s="4"/>
      <c r="D1106" s="4"/>
      <c r="E1106" s="4" t="s">
        <v>10</v>
      </c>
      <c r="F1106" s="4"/>
      <c r="G1106" s="4"/>
      <c r="H1106" s="4"/>
      <c r="I1106" s="18" t="s">
        <v>2473</v>
      </c>
      <c r="J1106" s="18" t="s">
        <v>2473</v>
      </c>
      <c r="K1106" s="18" t="s">
        <v>2473</v>
      </c>
      <c r="AU1106" s="6"/>
      <c r="AV1106" s="6" t="str">
        <f t="shared" si="18"/>
        <v/>
      </c>
    </row>
    <row r="1107" spans="1:48" ht="14.65" thickBot="1" x14ac:dyDescent="0.5">
      <c r="A1107" s="35" t="s">
        <v>33</v>
      </c>
      <c r="B1107" s="3" t="s">
        <v>98</v>
      </c>
      <c r="C1107" s="4"/>
      <c r="D1107" s="4"/>
      <c r="E1107" s="4"/>
      <c r="F1107" s="4"/>
      <c r="G1107" s="4"/>
      <c r="H1107" s="4"/>
      <c r="I1107" s="18" t="s">
        <v>2473</v>
      </c>
      <c r="J1107" s="18" t="s">
        <v>2473</v>
      </c>
      <c r="K1107" s="18" t="s">
        <v>2473</v>
      </c>
      <c r="AU1107" s="6"/>
      <c r="AV1107" s="6" t="str">
        <f t="shared" si="18"/>
        <v/>
      </c>
    </row>
    <row r="1108" spans="1:48" ht="23.65" thickBot="1" x14ac:dyDescent="0.5">
      <c r="A1108" s="36" t="s">
        <v>914</v>
      </c>
      <c r="B1108" s="3" t="s">
        <v>915</v>
      </c>
      <c r="C1108" s="4" t="s">
        <v>10</v>
      </c>
      <c r="D1108" s="4"/>
      <c r="E1108" s="4" t="s">
        <v>10</v>
      </c>
      <c r="F1108" s="4"/>
      <c r="G1108" s="4" t="s">
        <v>10</v>
      </c>
      <c r="H1108" s="4"/>
      <c r="I1108" s="18" t="s">
        <v>2473</v>
      </c>
      <c r="J1108" s="18" t="s">
        <v>2473</v>
      </c>
      <c r="K1108" s="18" t="s">
        <v>2473</v>
      </c>
      <c r="AU1108" s="6"/>
      <c r="AV1108" s="6" t="str">
        <f t="shared" si="18"/>
        <v/>
      </c>
    </row>
    <row r="1109" spans="1:48" ht="24.4" thickBot="1" x14ac:dyDescent="0.5">
      <c r="A1109" s="36" t="s">
        <v>114</v>
      </c>
      <c r="B1109" s="3" t="s">
        <v>916</v>
      </c>
      <c r="C1109" s="4" t="s">
        <v>10</v>
      </c>
      <c r="D1109" s="4"/>
      <c r="E1109" s="4" t="s">
        <v>13</v>
      </c>
      <c r="F1109" s="4"/>
      <c r="G1109" s="4" t="s">
        <v>10</v>
      </c>
      <c r="H1109" s="4"/>
      <c r="I1109" s="18" t="s">
        <v>2473</v>
      </c>
      <c r="J1109" s="18" t="s">
        <v>2473</v>
      </c>
      <c r="K1109" s="18" t="s">
        <v>2473</v>
      </c>
      <c r="AU1109" s="139" t="s">
        <v>4114</v>
      </c>
      <c r="AV1109" s="6" t="str">
        <f t="shared" si="18"/>
        <v/>
      </c>
    </row>
    <row r="1110" spans="1:48" ht="46.9" thickBot="1" x14ac:dyDescent="0.5">
      <c r="A1110" s="36" t="s">
        <v>875</v>
      </c>
      <c r="B1110" s="3" t="s">
        <v>3596</v>
      </c>
      <c r="C1110" s="4" t="s">
        <v>10</v>
      </c>
      <c r="D1110" s="4"/>
      <c r="E1110" s="4" t="s">
        <v>10</v>
      </c>
      <c r="F1110" s="4"/>
      <c r="G1110" s="4" t="s">
        <v>10</v>
      </c>
      <c r="H1110" s="4"/>
      <c r="I1110" s="18" t="s">
        <v>2473</v>
      </c>
      <c r="J1110" s="18" t="s">
        <v>2473</v>
      </c>
      <c r="K1110" s="18" t="s">
        <v>2473</v>
      </c>
      <c r="AU1110" s="6"/>
      <c r="AV1110" s="6" t="str">
        <f t="shared" si="18"/>
        <v/>
      </c>
    </row>
    <row r="1111" spans="1:48" ht="14.65" thickBot="1" x14ac:dyDescent="0.5">
      <c r="A1111" s="35" t="s">
        <v>33</v>
      </c>
      <c r="B1111" s="3" t="s">
        <v>877</v>
      </c>
      <c r="C1111" s="4"/>
      <c r="D1111" s="4"/>
      <c r="E1111" s="4"/>
      <c r="F1111" s="4"/>
      <c r="G1111" s="4"/>
      <c r="H1111" s="4"/>
      <c r="I1111" s="18" t="s">
        <v>2473</v>
      </c>
      <c r="J1111" s="18" t="s">
        <v>2473</v>
      </c>
      <c r="K1111" s="18" t="s">
        <v>2473</v>
      </c>
      <c r="AU1111" s="6"/>
      <c r="AV1111" s="6" t="str">
        <f t="shared" si="18"/>
        <v/>
      </c>
    </row>
    <row r="1112" spans="1:48" ht="14.65" thickBot="1" x14ac:dyDescent="0.5">
      <c r="A1112" s="36" t="s">
        <v>122</v>
      </c>
      <c r="B1112" s="3" t="s">
        <v>917</v>
      </c>
      <c r="C1112" s="4"/>
      <c r="D1112" s="4"/>
      <c r="E1112" s="4"/>
      <c r="F1112" s="4"/>
      <c r="G1112" s="4"/>
      <c r="H1112" s="4"/>
      <c r="I1112" s="18" t="s">
        <v>2473</v>
      </c>
      <c r="J1112" s="18" t="s">
        <v>2473</v>
      </c>
      <c r="K1112" s="18" t="s">
        <v>2473</v>
      </c>
      <c r="AU1112" s="8"/>
      <c r="AV1112" s="6" t="str">
        <f t="shared" si="18"/>
        <v/>
      </c>
    </row>
    <row r="1113" spans="1:48" ht="14.65" thickBot="1" x14ac:dyDescent="0.5">
      <c r="A1113" s="36" t="s">
        <v>135</v>
      </c>
      <c r="B1113" s="3" t="s">
        <v>918</v>
      </c>
      <c r="C1113" s="4"/>
      <c r="D1113" s="4"/>
      <c r="E1113" s="4"/>
      <c r="F1113" s="4"/>
      <c r="G1113" s="4"/>
      <c r="H1113" s="4"/>
      <c r="I1113" s="18" t="s">
        <v>2473</v>
      </c>
      <c r="J1113" s="18" t="s">
        <v>2473</v>
      </c>
      <c r="K1113" s="18" t="s">
        <v>2473</v>
      </c>
      <c r="AU1113" s="8"/>
      <c r="AV1113" s="6" t="str">
        <f t="shared" si="18"/>
        <v/>
      </c>
    </row>
    <row r="1114" spans="1:48" ht="14.65" thickBot="1" x14ac:dyDescent="0.5">
      <c r="A1114" s="35" t="s">
        <v>33</v>
      </c>
      <c r="B1114" s="3" t="s">
        <v>84</v>
      </c>
      <c r="C1114" s="4"/>
      <c r="D1114" s="4"/>
      <c r="E1114" s="4"/>
      <c r="F1114" s="4"/>
      <c r="G1114" s="4"/>
      <c r="H1114" s="4"/>
      <c r="I1114" s="18" t="s">
        <v>2473</v>
      </c>
      <c r="J1114" s="18" t="s">
        <v>2473</v>
      </c>
      <c r="K1114" s="18" t="s">
        <v>2473</v>
      </c>
      <c r="AU1114" s="8"/>
      <c r="AV1114" s="6" t="str">
        <f t="shared" si="18"/>
        <v/>
      </c>
    </row>
    <row r="1115" spans="1:48" ht="23.65" thickBot="1" x14ac:dyDescent="0.5">
      <c r="A1115" s="38" t="s">
        <v>919</v>
      </c>
      <c r="B1115" s="3" t="s">
        <v>920</v>
      </c>
      <c r="C1115" s="4"/>
      <c r="D1115" s="4"/>
      <c r="E1115" s="4"/>
      <c r="F1115" s="4"/>
      <c r="G1115" s="4"/>
      <c r="H1115" s="4"/>
      <c r="I1115" s="18" t="s">
        <v>2473</v>
      </c>
      <c r="J1115" s="18" t="s">
        <v>2473</v>
      </c>
      <c r="K1115" s="18" t="s">
        <v>2473</v>
      </c>
      <c r="AU1115" s="6"/>
      <c r="AV1115" s="6" t="str">
        <f t="shared" si="18"/>
        <v/>
      </c>
    </row>
    <row r="1116" spans="1:48" ht="14.65" thickBot="1" x14ac:dyDescent="0.5">
      <c r="A1116" s="35" t="s">
        <v>33</v>
      </c>
      <c r="B1116" s="3" t="s">
        <v>921</v>
      </c>
      <c r="C1116" s="4"/>
      <c r="D1116" s="4"/>
      <c r="E1116" s="4"/>
      <c r="F1116" s="4"/>
      <c r="G1116" s="4"/>
      <c r="H1116" s="4"/>
      <c r="I1116" s="18" t="s">
        <v>2473</v>
      </c>
      <c r="J1116" s="18" t="s">
        <v>2473</v>
      </c>
      <c r="K1116" s="18" t="s">
        <v>2473</v>
      </c>
      <c r="AU1116" s="6"/>
      <c r="AV1116" s="6" t="str">
        <f t="shared" si="18"/>
        <v/>
      </c>
    </row>
    <row r="1117" spans="1:48" ht="23.65" thickBot="1" x14ac:dyDescent="0.5">
      <c r="A1117" s="38" t="s">
        <v>922</v>
      </c>
      <c r="B1117" s="3" t="s">
        <v>923</v>
      </c>
      <c r="C1117" s="4"/>
      <c r="D1117" s="4"/>
      <c r="E1117" s="4"/>
      <c r="F1117" s="4"/>
      <c r="G1117" s="4"/>
      <c r="H1117" s="4"/>
      <c r="I1117" s="18" t="s">
        <v>2473</v>
      </c>
      <c r="J1117" s="18" t="s">
        <v>2473</v>
      </c>
      <c r="K1117" s="18" t="s">
        <v>2473</v>
      </c>
      <c r="AU1117" s="6"/>
      <c r="AV1117" s="6" t="str">
        <f t="shared" si="18"/>
        <v/>
      </c>
    </row>
    <row r="1118" spans="1:48" ht="14.65" thickBot="1" x14ac:dyDescent="0.5">
      <c r="A1118" s="36" t="s">
        <v>924</v>
      </c>
      <c r="B1118" s="3" t="s">
        <v>925</v>
      </c>
      <c r="C1118" s="4" t="s">
        <v>37</v>
      </c>
      <c r="D1118" s="4" t="s">
        <v>37</v>
      </c>
      <c r="E1118" s="4" t="s">
        <v>37</v>
      </c>
      <c r="F1118" s="4" t="s">
        <v>37</v>
      </c>
      <c r="G1118" s="4" t="s">
        <v>37</v>
      </c>
      <c r="H1118" s="4" t="s">
        <v>37</v>
      </c>
      <c r="I1118" s="18" t="s">
        <v>2473</v>
      </c>
      <c r="J1118" s="18" t="s">
        <v>2473</v>
      </c>
      <c r="K1118" s="18" t="s">
        <v>2473</v>
      </c>
      <c r="AU1118" s="6"/>
      <c r="AV1118" s="6" t="str">
        <f t="shared" si="18"/>
        <v/>
      </c>
    </row>
    <row r="1119" spans="1:48" ht="23.65" thickBot="1" x14ac:dyDescent="0.5">
      <c r="A1119" s="35" t="s">
        <v>890</v>
      </c>
      <c r="B1119" s="3" t="s">
        <v>926</v>
      </c>
      <c r="C1119" s="4" t="s">
        <v>10</v>
      </c>
      <c r="D1119" s="4"/>
      <c r="E1119" s="4" t="s">
        <v>10</v>
      </c>
      <c r="F1119" s="4"/>
      <c r="G1119" s="4" t="s">
        <v>10</v>
      </c>
      <c r="H1119" s="4"/>
      <c r="I1119" s="18" t="s">
        <v>2473</v>
      </c>
      <c r="J1119" s="18" t="s">
        <v>2473</v>
      </c>
      <c r="K1119" s="18" t="s">
        <v>2473</v>
      </c>
      <c r="AU1119" s="6"/>
      <c r="AV1119" s="6" t="str">
        <f t="shared" si="18"/>
        <v/>
      </c>
    </row>
    <row r="1120" spans="1:48" ht="23.65" thickBot="1" x14ac:dyDescent="0.5">
      <c r="A1120" s="35" t="s">
        <v>892</v>
      </c>
      <c r="B1120" s="3" t="s">
        <v>893</v>
      </c>
      <c r="C1120" s="4" t="s">
        <v>10</v>
      </c>
      <c r="D1120" s="4"/>
      <c r="E1120" s="4" t="s">
        <v>10</v>
      </c>
      <c r="F1120" s="4"/>
      <c r="G1120" s="4" t="s">
        <v>10</v>
      </c>
      <c r="H1120" s="4"/>
      <c r="I1120" s="18" t="s">
        <v>2473</v>
      </c>
      <c r="J1120" s="18" t="s">
        <v>2473</v>
      </c>
      <c r="K1120" s="18" t="s">
        <v>2473</v>
      </c>
      <c r="AU1120" s="6"/>
      <c r="AV1120" s="6" t="str">
        <f t="shared" si="18"/>
        <v/>
      </c>
    </row>
    <row r="1121" spans="1:48" ht="14.65" thickBot="1" x14ac:dyDescent="0.5">
      <c r="A1121" s="35" t="s">
        <v>894</v>
      </c>
      <c r="B1121" s="3" t="s">
        <v>895</v>
      </c>
      <c r="C1121" s="4" t="s">
        <v>10</v>
      </c>
      <c r="D1121" s="4" t="s">
        <v>10</v>
      </c>
      <c r="E1121" s="4" t="s">
        <v>10</v>
      </c>
      <c r="F1121" s="4" t="s">
        <v>10</v>
      </c>
      <c r="G1121" s="4" t="s">
        <v>10</v>
      </c>
      <c r="H1121" s="4" t="s">
        <v>10</v>
      </c>
      <c r="I1121" s="18" t="s">
        <v>2473</v>
      </c>
      <c r="J1121" s="18" t="s">
        <v>2473</v>
      </c>
      <c r="K1121" s="18" t="s">
        <v>2473</v>
      </c>
      <c r="AU1121" s="6"/>
      <c r="AV1121" s="6" t="str">
        <f t="shared" si="18"/>
        <v/>
      </c>
    </row>
    <row r="1122" spans="1:48" ht="35.25" thickBot="1" x14ac:dyDescent="0.5">
      <c r="A1122" s="36" t="s">
        <v>927</v>
      </c>
      <c r="B1122" s="3" t="s">
        <v>3597</v>
      </c>
      <c r="C1122" s="4" t="s">
        <v>37</v>
      </c>
      <c r="D1122" s="4"/>
      <c r="E1122" s="4" t="s">
        <v>37</v>
      </c>
      <c r="F1122" s="4"/>
      <c r="G1122" s="4" t="s">
        <v>37</v>
      </c>
      <c r="H1122" s="4"/>
      <c r="I1122" s="18" t="s">
        <v>2473</v>
      </c>
      <c r="J1122" s="18" t="s">
        <v>2473</v>
      </c>
      <c r="K1122" s="18" t="s">
        <v>2473</v>
      </c>
      <c r="AU1122" s="6"/>
      <c r="AV1122" s="6" t="str">
        <f t="shared" si="18"/>
        <v/>
      </c>
    </row>
    <row r="1123" spans="1:48" ht="14.65" thickBot="1" x14ac:dyDescent="0.5">
      <c r="A1123" s="35" t="s">
        <v>33</v>
      </c>
      <c r="B1123" s="3" t="s">
        <v>928</v>
      </c>
      <c r="C1123" s="4"/>
      <c r="D1123" s="4"/>
      <c r="E1123" s="4"/>
      <c r="F1123" s="4"/>
      <c r="G1123" s="4"/>
      <c r="H1123" s="4"/>
      <c r="I1123" s="18" t="s">
        <v>2473</v>
      </c>
      <c r="J1123" s="18" t="s">
        <v>2473</v>
      </c>
      <c r="K1123" s="18" t="s">
        <v>2473</v>
      </c>
      <c r="AU1123" s="6"/>
      <c r="AV1123" s="6" t="str">
        <f t="shared" si="18"/>
        <v/>
      </c>
    </row>
    <row r="1124" spans="1:48" ht="14.65" thickBot="1" x14ac:dyDescent="0.5">
      <c r="A1124" s="36" t="s">
        <v>929</v>
      </c>
      <c r="B1124" s="3" t="s">
        <v>930</v>
      </c>
      <c r="C1124" s="4" t="s">
        <v>13</v>
      </c>
      <c r="D1124" s="4"/>
      <c r="E1124" s="4" t="s">
        <v>13</v>
      </c>
      <c r="F1124" s="4"/>
      <c r="G1124" s="4" t="s">
        <v>13</v>
      </c>
      <c r="H1124" s="4"/>
      <c r="I1124" s="18" t="s">
        <v>2473</v>
      </c>
      <c r="J1124" s="18" t="s">
        <v>2473</v>
      </c>
      <c r="K1124" s="18" t="s">
        <v>2473</v>
      </c>
      <c r="AU1124" s="6"/>
      <c r="AV1124" s="6" t="str">
        <f t="shared" si="18"/>
        <v/>
      </c>
    </row>
    <row r="1125" spans="1:48" ht="105.75" thickBot="1" x14ac:dyDescent="0.5">
      <c r="A1125" s="36" t="s">
        <v>145</v>
      </c>
      <c r="B1125" s="3" t="s">
        <v>3968</v>
      </c>
      <c r="C1125" s="4" t="s">
        <v>10</v>
      </c>
      <c r="D1125" s="4"/>
      <c r="E1125" s="4" t="s">
        <v>10</v>
      </c>
      <c r="F1125" s="4"/>
      <c r="G1125" s="4" t="s">
        <v>10</v>
      </c>
      <c r="H1125" s="4"/>
      <c r="I1125" s="18" t="s">
        <v>2473</v>
      </c>
      <c r="J1125" s="18" t="s">
        <v>2473</v>
      </c>
      <c r="K1125" s="18" t="s">
        <v>2473</v>
      </c>
      <c r="AS1125" s="206" t="s">
        <v>5861</v>
      </c>
      <c r="AU1125" s="6"/>
      <c r="AV1125" s="6" t="str">
        <f t="shared" si="18"/>
        <v/>
      </c>
    </row>
    <row r="1126" spans="1:48" ht="47.65" thickBot="1" x14ac:dyDescent="0.5">
      <c r="A1126" s="35" t="s">
        <v>5361</v>
      </c>
      <c r="B1126" s="3" t="s">
        <v>5352</v>
      </c>
      <c r="C1126" s="4" t="s">
        <v>10</v>
      </c>
      <c r="D1126" s="4"/>
      <c r="E1126" s="4" t="s">
        <v>10</v>
      </c>
      <c r="F1126" s="4"/>
      <c r="G1126" s="4" t="s">
        <v>10</v>
      </c>
      <c r="H1126" s="4"/>
      <c r="I1126" s="18" t="s">
        <v>2473</v>
      </c>
      <c r="J1126" s="18" t="s">
        <v>2473</v>
      </c>
      <c r="K1126" s="18" t="s">
        <v>2473</v>
      </c>
      <c r="Q1126" s="131"/>
      <c r="R1126" s="131"/>
      <c r="S1126" s="131"/>
      <c r="T1126" s="131"/>
      <c r="U1126" s="131"/>
      <c r="V1126" s="131"/>
      <c r="W1126" s="131"/>
      <c r="X1126" s="131"/>
      <c r="AS1126" s="139" t="s">
        <v>5355</v>
      </c>
      <c r="AU1126" s="6"/>
      <c r="AV1126" s="6"/>
    </row>
    <row r="1127" spans="1:48" ht="82.5" thickBot="1" x14ac:dyDescent="0.5">
      <c r="A1127" s="35" t="s">
        <v>5360</v>
      </c>
      <c r="B1127" s="3" t="s">
        <v>5353</v>
      </c>
      <c r="C1127" s="4"/>
      <c r="D1127" s="4"/>
      <c r="E1127" s="4"/>
      <c r="F1127" s="4"/>
      <c r="G1127" s="4"/>
      <c r="H1127" s="4"/>
      <c r="I1127" s="18" t="s">
        <v>2473</v>
      </c>
      <c r="J1127" s="18" t="s">
        <v>2473</v>
      </c>
      <c r="K1127" s="18" t="s">
        <v>2473</v>
      </c>
      <c r="Q1127" s="131"/>
      <c r="R1127" s="131"/>
      <c r="S1127" s="131"/>
      <c r="T1127" s="131"/>
      <c r="U1127" s="131"/>
      <c r="V1127" s="131"/>
      <c r="W1127" s="131"/>
      <c r="X1127" s="131"/>
      <c r="AS1127" s="139" t="s">
        <v>5356</v>
      </c>
      <c r="AU1127" s="6"/>
      <c r="AV1127" s="6"/>
    </row>
    <row r="1128" spans="1:48" ht="14.65" thickBot="1" x14ac:dyDescent="0.5">
      <c r="A1128" s="36" t="s">
        <v>161</v>
      </c>
      <c r="B1128" s="3" t="s">
        <v>931</v>
      </c>
      <c r="C1128" s="4" t="s">
        <v>10</v>
      </c>
      <c r="D1128" s="4"/>
      <c r="E1128" s="4" t="s">
        <v>10</v>
      </c>
      <c r="F1128" s="4"/>
      <c r="G1128" s="4" t="s">
        <v>10</v>
      </c>
      <c r="H1128" s="4"/>
      <c r="I1128" s="18" t="s">
        <v>2473</v>
      </c>
      <c r="J1128" s="18" t="s">
        <v>2473</v>
      </c>
      <c r="K1128" s="18" t="s">
        <v>2473</v>
      </c>
      <c r="AU1128" s="6"/>
      <c r="AV1128" s="6" t="str">
        <f t="shared" si="18"/>
        <v/>
      </c>
    </row>
    <row r="1129" spans="1:48" ht="14.65" thickBot="1" x14ac:dyDescent="0.5">
      <c r="A1129" s="36" t="s">
        <v>932</v>
      </c>
      <c r="B1129" s="3" t="s">
        <v>3598</v>
      </c>
      <c r="C1129" s="4"/>
      <c r="D1129" s="4"/>
      <c r="E1129" s="4"/>
      <c r="F1129" s="4"/>
      <c r="G1129" s="4"/>
      <c r="H1129" s="4"/>
      <c r="I1129" s="18" t="s">
        <v>2473</v>
      </c>
      <c r="J1129" s="18" t="s">
        <v>2473</v>
      </c>
      <c r="K1129" s="18" t="s">
        <v>2473</v>
      </c>
      <c r="AU1129" s="6"/>
      <c r="AV1129" s="6" t="str">
        <f t="shared" si="18"/>
        <v/>
      </c>
    </row>
    <row r="1130" spans="1:48" ht="14.65" thickBot="1" x14ac:dyDescent="0.5">
      <c r="A1130" s="35" t="s">
        <v>33</v>
      </c>
      <c r="B1130" s="3" t="s">
        <v>933</v>
      </c>
      <c r="C1130" s="4"/>
      <c r="D1130" s="4"/>
      <c r="E1130" s="4"/>
      <c r="F1130" s="4"/>
      <c r="G1130" s="4"/>
      <c r="H1130" s="4"/>
      <c r="I1130" s="18" t="s">
        <v>2473</v>
      </c>
      <c r="J1130" s="18" t="s">
        <v>2473</v>
      </c>
      <c r="K1130" s="18" t="s">
        <v>2473</v>
      </c>
      <c r="AU1130" s="6"/>
      <c r="AV1130" s="6" t="str">
        <f t="shared" si="18"/>
        <v/>
      </c>
    </row>
    <row r="1131" spans="1:48" x14ac:dyDescent="0.45">
      <c r="A1131" s="33" t="s">
        <v>934</v>
      </c>
      <c r="I1131" s="18" t="s">
        <v>2473</v>
      </c>
      <c r="J1131" s="18" t="s">
        <v>2473</v>
      </c>
      <c r="K1131" s="18" t="s">
        <v>2473</v>
      </c>
      <c r="AU1131" s="6"/>
      <c r="AV1131" s="6" t="str">
        <f t="shared" si="18"/>
        <v/>
      </c>
    </row>
    <row r="1132" spans="1:48" x14ac:dyDescent="0.45">
      <c r="A1132" s="34" t="s">
        <v>935</v>
      </c>
      <c r="I1132" s="18" t="s">
        <v>2473</v>
      </c>
      <c r="J1132" s="18" t="s">
        <v>2473</v>
      </c>
      <c r="K1132" s="18" t="s">
        <v>2473</v>
      </c>
      <c r="AU1132" s="6"/>
      <c r="AV1132" s="6" t="str">
        <f t="shared" si="18"/>
        <v/>
      </c>
    </row>
    <row r="1133" spans="1:48" s="79" customFormat="1" x14ac:dyDescent="0.45">
      <c r="A1133" s="75"/>
      <c r="B1133" s="76"/>
      <c r="C1133" s="77"/>
      <c r="D1133" s="77"/>
      <c r="E1133" s="77"/>
      <c r="F1133" s="77"/>
      <c r="G1133" s="77"/>
      <c r="H1133" s="77"/>
      <c r="I1133" s="77"/>
      <c r="J1133" s="77"/>
      <c r="K1133" s="77"/>
      <c r="L1133" s="77"/>
      <c r="M1133" s="148"/>
      <c r="N1133" s="78"/>
      <c r="O1133" s="78"/>
      <c r="P1133" s="78"/>
      <c r="Q1133" s="78"/>
      <c r="R1133" s="78"/>
      <c r="S1133" s="78"/>
      <c r="T1133" s="78"/>
      <c r="U1133" s="78"/>
      <c r="V1133" s="78"/>
      <c r="W1133" s="78"/>
      <c r="X1133" s="78"/>
      <c r="Y1133" s="148"/>
      <c r="Z1133" s="78"/>
      <c r="AA1133" s="78"/>
      <c r="AB1133" s="78"/>
      <c r="AC1133" s="78"/>
      <c r="AD1133" s="78"/>
      <c r="AE1133" s="156"/>
      <c r="AF1133" s="156"/>
      <c r="AG1133" s="78"/>
      <c r="AH1133" s="78"/>
      <c r="AI1133" s="78"/>
      <c r="AJ1133" s="78"/>
      <c r="AK1133" s="78"/>
      <c r="AL1133" s="78"/>
      <c r="AM1133" s="78"/>
      <c r="AN1133" s="78"/>
      <c r="AO1133" s="78"/>
      <c r="AP1133" s="78"/>
      <c r="AQ1133" s="78"/>
      <c r="AR1133" s="286"/>
      <c r="AS1133" s="78"/>
      <c r="AT1133" s="78"/>
      <c r="AU1133" s="8"/>
      <c r="AV1133" s="6" t="str">
        <f t="shared" si="18"/>
        <v/>
      </c>
    </row>
    <row r="1134" spans="1:48" x14ac:dyDescent="0.45">
      <c r="A1134" s="27" t="s">
        <v>2417</v>
      </c>
      <c r="I1134" s="18" t="s">
        <v>2473</v>
      </c>
      <c r="J1134" s="18" t="s">
        <v>2473</v>
      </c>
      <c r="K1134" s="18" t="s">
        <v>2473</v>
      </c>
      <c r="L1134" s="18" t="s">
        <v>2336</v>
      </c>
      <c r="AU1134" s="6"/>
      <c r="AV1134" s="6" t="str">
        <f t="shared" si="18"/>
        <v/>
      </c>
    </row>
    <row r="1135" spans="1:48" x14ac:dyDescent="0.45">
      <c r="A1135" s="323" t="s">
        <v>2511</v>
      </c>
      <c r="B1135" s="324"/>
      <c r="C1135" s="324"/>
      <c r="D1135" s="324"/>
      <c r="E1135" s="324"/>
      <c r="F1135" s="324"/>
      <c r="G1135" s="101"/>
      <c r="H1135" s="101"/>
      <c r="I1135" s="18" t="s">
        <v>2473</v>
      </c>
      <c r="J1135" s="18" t="s">
        <v>2473</v>
      </c>
      <c r="K1135" s="18" t="s">
        <v>2473</v>
      </c>
      <c r="L1135" s="18" t="s">
        <v>2336</v>
      </c>
      <c r="AU1135" s="6"/>
      <c r="AV1135" s="6" t="str">
        <f t="shared" si="18"/>
        <v/>
      </c>
    </row>
    <row r="1136" spans="1:48" ht="14.65" thickBot="1" x14ac:dyDescent="0.5">
      <c r="A1136" s="28" t="s">
        <v>936</v>
      </c>
      <c r="I1136" s="18" t="s">
        <v>2473</v>
      </c>
      <c r="J1136" s="18" t="s">
        <v>2473</v>
      </c>
      <c r="K1136" s="18" t="s">
        <v>2473</v>
      </c>
      <c r="L1136" s="18" t="s">
        <v>2336</v>
      </c>
      <c r="AA1136" s="183" t="s">
        <v>2322</v>
      </c>
      <c r="AB1136" s="183" t="s">
        <v>1697</v>
      </c>
      <c r="AC1136" s="183" t="s">
        <v>5</v>
      </c>
      <c r="AU1136" s="6"/>
      <c r="AV1136" s="6" t="str">
        <f t="shared" si="18"/>
        <v/>
      </c>
    </row>
    <row r="1137" spans="1:48" ht="70.150000000000006" thickBot="1" x14ac:dyDescent="0.5">
      <c r="A1137" s="309" t="s">
        <v>937</v>
      </c>
      <c r="B1137" s="310"/>
      <c r="C1137" s="301" t="s">
        <v>1</v>
      </c>
      <c r="D1137" s="319"/>
      <c r="E1137" s="319"/>
      <c r="F1137" s="302"/>
      <c r="G1137" s="102"/>
      <c r="H1137" s="102"/>
      <c r="I1137" s="18" t="s">
        <v>2473</v>
      </c>
      <c r="L1137" s="18" t="s">
        <v>2336</v>
      </c>
      <c r="AA1137" s="183" t="str">
        <f>LEFT($A1137,FIND(" ",$A1137)-1)</f>
        <v>SerialInterface</v>
      </c>
      <c r="AB1137" s="183" t="str">
        <f>MID($A1137,FIND("(",$A1137)+1,LEN($A1137)-FIND("(",$A1137)-1)</f>
        <v>1.1.3</v>
      </c>
      <c r="AC1137" s="101" t="str">
        <f>A1135</f>
        <v>A SerialInterface resource defines an asynchronous serial interface.</v>
      </c>
      <c r="AU1137" s="6"/>
      <c r="AV1137" s="6" t="str">
        <f t="shared" ref="AV1137:AV1200" si="19">IF(A1137&lt;&gt;"",IF(T1137&lt;&gt;"",IF(LEFT(R1137,3)="Has",IF(TRIM(A1137)&lt;&gt;T1137,"ERROR","OK"),""),""),"")</f>
        <v/>
      </c>
    </row>
    <row r="1138" spans="1:48" ht="14.65" thickBot="1" x14ac:dyDescent="0.5">
      <c r="A1138" s="311"/>
      <c r="B1138" s="312"/>
      <c r="C1138" s="301" t="s">
        <v>2</v>
      </c>
      <c r="D1138" s="302"/>
      <c r="E1138" s="301" t="s">
        <v>3</v>
      </c>
      <c r="F1138" s="302"/>
      <c r="G1138" s="301" t="s">
        <v>2896</v>
      </c>
      <c r="H1138" s="302"/>
      <c r="I1138" s="18" t="s">
        <v>2473</v>
      </c>
      <c r="L1138" s="18" t="s">
        <v>2336</v>
      </c>
      <c r="AA1138" s="183" t="s">
        <v>2322</v>
      </c>
      <c r="AB1138" s="183" t="s">
        <v>1697</v>
      </c>
      <c r="AC1138" s="183" t="s">
        <v>5</v>
      </c>
      <c r="AU1138" s="6"/>
      <c r="AV1138" s="6" t="str">
        <f t="shared" si="19"/>
        <v/>
      </c>
    </row>
    <row r="1139" spans="1:48" ht="70.150000000000006" thickBot="1" x14ac:dyDescent="0.5">
      <c r="A1139" s="309" t="s">
        <v>3210</v>
      </c>
      <c r="B1139" s="310"/>
      <c r="C1139" s="301" t="s">
        <v>1</v>
      </c>
      <c r="D1139" s="319"/>
      <c r="E1139" s="319"/>
      <c r="F1139" s="302"/>
      <c r="G1139" s="102"/>
      <c r="H1139" s="102"/>
      <c r="J1139" s="18" t="s">
        <v>2473</v>
      </c>
      <c r="K1139" s="18" t="s">
        <v>2473</v>
      </c>
      <c r="L1139" s="18" t="s">
        <v>2336</v>
      </c>
      <c r="AA1139" s="183" t="str">
        <f>LEFT($A1139,FIND(" ",$A1139)-1)</f>
        <v>SerialInterface</v>
      </c>
      <c r="AB1139" s="183" t="str">
        <f>MID($A1139,FIND("(",$A1139)+1,LEN($A1139)-FIND("(",$A1139)-1)</f>
        <v>1.1.4</v>
      </c>
      <c r="AC1139" s="101" t="str">
        <f>AC1137</f>
        <v>A SerialInterface resource defines an asynchronous serial interface.</v>
      </c>
      <c r="AU1139" s="6"/>
      <c r="AV1139" s="6" t="str">
        <f t="shared" si="19"/>
        <v/>
      </c>
    </row>
    <row r="1140" spans="1:48" ht="14.65" thickBot="1" x14ac:dyDescent="0.5">
      <c r="A1140" s="311"/>
      <c r="B1140" s="312"/>
      <c r="C1140" s="301" t="s">
        <v>2</v>
      </c>
      <c r="D1140" s="302"/>
      <c r="E1140" s="301" t="s">
        <v>3</v>
      </c>
      <c r="F1140" s="302"/>
      <c r="G1140" s="301" t="s">
        <v>2896</v>
      </c>
      <c r="H1140" s="302"/>
      <c r="J1140" s="18" t="s">
        <v>2473</v>
      </c>
      <c r="K1140" s="18" t="s">
        <v>2473</v>
      </c>
      <c r="L1140" s="18" t="s">
        <v>2336</v>
      </c>
      <c r="AM1140" s="8" t="str">
        <f>C1140</f>
        <v>OSM-Redfish</v>
      </c>
      <c r="AN1140" s="8" t="str">
        <f>E1140</f>
        <v>OSM-RedfishBMC</v>
      </c>
      <c r="AO1140" s="8" t="str">
        <f>G1140</f>
        <v>OSM-RedfishDCN</v>
      </c>
      <c r="AU1140" s="6"/>
      <c r="AV1140" s="6" t="str">
        <f t="shared" si="19"/>
        <v/>
      </c>
    </row>
    <row r="1141" spans="1:48" ht="14.65" thickBot="1" x14ac:dyDescent="0.5">
      <c r="A1141" s="46" t="s">
        <v>2377</v>
      </c>
      <c r="B1141" s="47"/>
      <c r="C1141" s="303" t="s">
        <v>37</v>
      </c>
      <c r="D1141" s="304"/>
      <c r="E1141" s="303" t="s">
        <v>37</v>
      </c>
      <c r="F1141" s="304"/>
      <c r="G1141" s="303" t="s">
        <v>37</v>
      </c>
      <c r="H1141" s="304"/>
      <c r="I1141" s="18" t="s">
        <v>2473</v>
      </c>
      <c r="J1141" s="18" t="s">
        <v>2473</v>
      </c>
      <c r="K1141" s="18" t="s">
        <v>2473</v>
      </c>
      <c r="L1141" s="18" t="s">
        <v>2336</v>
      </c>
      <c r="AM1141" s="8" t="str">
        <f>IF(C1141&lt;&gt;"","CRQ-P5-"&amp;(AM$2+$AP1141*$AP$3),"")</f>
        <v>CRQ-P5-1208</v>
      </c>
      <c r="AN1141" s="8" t="str">
        <f>IF(E1141&lt;&gt;"","CRQ-P5-"&amp;(AN$2+$AP1141*$AP$3),"")</f>
        <v>CRQ-P5-1508</v>
      </c>
      <c r="AO1141" s="8" t="str">
        <f>IF(G1141&lt;&gt;"","CRQ-P5-"&amp;(AO$2+$AP1141*$AP$3),"")</f>
        <v>CRQ-P5-1808</v>
      </c>
      <c r="AP1141" s="8">
        <v>52</v>
      </c>
      <c r="AU1141" s="6"/>
      <c r="AV1141" s="6" t="str">
        <f t="shared" si="19"/>
        <v/>
      </c>
    </row>
    <row r="1142" spans="1:48" ht="14.65" thickBot="1" x14ac:dyDescent="0.5">
      <c r="A1142" s="29" t="s">
        <v>3394</v>
      </c>
      <c r="B1142" s="9"/>
      <c r="C1142" s="305" t="str">
        <f>MID($A1137,FIND("(",$A1137)+1,5)</f>
        <v>1.1.3</v>
      </c>
      <c r="D1142" s="306"/>
      <c r="E1142" s="305" t="s">
        <v>3407</v>
      </c>
      <c r="F1142" s="306"/>
      <c r="G1142" s="305" t="str">
        <f>MID($A1137,FIND("(",$A1137)+1,5)</f>
        <v>1.1.3</v>
      </c>
      <c r="H1142" s="306"/>
      <c r="I1142" s="18" t="s">
        <v>2473</v>
      </c>
      <c r="J1142" s="18" t="s">
        <v>2473</v>
      </c>
      <c r="K1142" s="18" t="s">
        <v>2473</v>
      </c>
      <c r="L1142" s="18" t="s">
        <v>2336</v>
      </c>
      <c r="AU1142" s="6"/>
      <c r="AV1142" s="6" t="str">
        <f t="shared" si="19"/>
        <v/>
      </c>
    </row>
    <row r="1143" spans="1:48" ht="14.65" thickBot="1" x14ac:dyDescent="0.5">
      <c r="A1143" s="30" t="s">
        <v>4</v>
      </c>
      <c r="B1143" s="59" t="s">
        <v>5</v>
      </c>
      <c r="C1143" s="7" t="s">
        <v>6</v>
      </c>
      <c r="D1143" s="7" t="s">
        <v>7</v>
      </c>
      <c r="E1143" s="7" t="s">
        <v>6</v>
      </c>
      <c r="F1143" s="7" t="s">
        <v>7</v>
      </c>
      <c r="G1143" s="7" t="s">
        <v>6</v>
      </c>
      <c r="H1143" s="7" t="s">
        <v>7</v>
      </c>
      <c r="I1143" s="18" t="s">
        <v>2473</v>
      </c>
      <c r="J1143" s="18" t="s">
        <v>2473</v>
      </c>
      <c r="K1143" s="18" t="s">
        <v>2473</v>
      </c>
      <c r="L1143" s="18" t="s">
        <v>2336</v>
      </c>
      <c r="AU1143" s="6"/>
      <c r="AV1143" s="6" t="str">
        <f t="shared" si="19"/>
        <v/>
      </c>
    </row>
    <row r="1144" spans="1:48" ht="14.65" thickBot="1" x14ac:dyDescent="0.5">
      <c r="A1144" s="36" t="s">
        <v>8</v>
      </c>
      <c r="B1144" s="3" t="s">
        <v>9</v>
      </c>
      <c r="C1144" s="4"/>
      <c r="D1144" s="4"/>
      <c r="E1144" s="4"/>
      <c r="F1144" s="4"/>
      <c r="G1144" s="4"/>
      <c r="H1144" s="4"/>
      <c r="I1144" s="18" t="s">
        <v>2473</v>
      </c>
      <c r="J1144" s="18" t="s">
        <v>2473</v>
      </c>
      <c r="K1144" s="18" t="s">
        <v>2473</v>
      </c>
      <c r="L1144" s="18" t="s">
        <v>2336</v>
      </c>
      <c r="AU1144" s="6"/>
      <c r="AV1144" s="6" t="str">
        <f t="shared" si="19"/>
        <v/>
      </c>
    </row>
    <row r="1145" spans="1:48" ht="23.65" thickBot="1" x14ac:dyDescent="0.5">
      <c r="A1145" s="36" t="s">
        <v>938</v>
      </c>
      <c r="B1145" s="3" t="s">
        <v>939</v>
      </c>
      <c r="C1145" s="4" t="s">
        <v>10</v>
      </c>
      <c r="D1145" s="4" t="s">
        <v>10</v>
      </c>
      <c r="E1145" s="4" t="s">
        <v>10</v>
      </c>
      <c r="F1145" s="4" t="s">
        <v>10</v>
      </c>
      <c r="G1145" s="4" t="s">
        <v>10</v>
      </c>
      <c r="H1145" s="4" t="s">
        <v>10</v>
      </c>
      <c r="I1145" s="18" t="s">
        <v>2473</v>
      </c>
      <c r="J1145" s="18" t="s">
        <v>2473</v>
      </c>
      <c r="K1145" s="18" t="s">
        <v>2473</v>
      </c>
      <c r="L1145" s="18" t="s">
        <v>2336</v>
      </c>
      <c r="AU1145" s="6"/>
      <c r="AV1145" s="6" t="str">
        <f t="shared" si="19"/>
        <v/>
      </c>
    </row>
    <row r="1146" spans="1:48" ht="14.65" thickBot="1" x14ac:dyDescent="0.5">
      <c r="A1146" s="36" t="s">
        <v>940</v>
      </c>
      <c r="B1146" s="3" t="s">
        <v>941</v>
      </c>
      <c r="C1146" s="4" t="s">
        <v>37</v>
      </c>
      <c r="D1146" s="4"/>
      <c r="E1146" s="4" t="s">
        <v>37</v>
      </c>
      <c r="F1146" s="4"/>
      <c r="G1146" s="4" t="s">
        <v>37</v>
      </c>
      <c r="H1146" s="4"/>
      <c r="I1146" s="18" t="s">
        <v>2473</v>
      </c>
      <c r="J1146" s="18" t="s">
        <v>2473</v>
      </c>
      <c r="K1146" s="18" t="s">
        <v>2473</v>
      </c>
      <c r="L1146" s="18" t="s">
        <v>2336</v>
      </c>
      <c r="AU1146" s="6"/>
      <c r="AV1146" s="6" t="str">
        <f t="shared" si="19"/>
        <v/>
      </c>
    </row>
    <row r="1147" spans="1:48" ht="23.65" thickBot="1" x14ac:dyDescent="0.5">
      <c r="A1147" s="36" t="s">
        <v>942</v>
      </c>
      <c r="B1147" s="3" t="s">
        <v>943</v>
      </c>
      <c r="C1147" s="4" t="s">
        <v>10</v>
      </c>
      <c r="D1147" s="4" t="s">
        <v>10</v>
      </c>
      <c r="E1147" s="4" t="s">
        <v>10</v>
      </c>
      <c r="F1147" s="4" t="s">
        <v>10</v>
      </c>
      <c r="G1147" s="4" t="s">
        <v>10</v>
      </c>
      <c r="H1147" s="4" t="s">
        <v>10</v>
      </c>
      <c r="I1147" s="18" t="s">
        <v>2473</v>
      </c>
      <c r="J1147" s="18" t="s">
        <v>2473</v>
      </c>
      <c r="K1147" s="18" t="s">
        <v>2473</v>
      </c>
      <c r="L1147" s="18" t="s">
        <v>2336</v>
      </c>
      <c r="AU1147" s="6"/>
      <c r="AV1147" s="6" t="str">
        <f t="shared" si="19"/>
        <v/>
      </c>
    </row>
    <row r="1148" spans="1:48" ht="23.65" thickBot="1" x14ac:dyDescent="0.5">
      <c r="A1148" s="36" t="s">
        <v>944</v>
      </c>
      <c r="B1148" s="3" t="s">
        <v>945</v>
      </c>
      <c r="C1148" s="4" t="s">
        <v>10</v>
      </c>
      <c r="D1148" s="4" t="s">
        <v>10</v>
      </c>
      <c r="E1148" s="4" t="s">
        <v>10</v>
      </c>
      <c r="F1148" s="4" t="s">
        <v>10</v>
      </c>
      <c r="G1148" s="4" t="s">
        <v>10</v>
      </c>
      <c r="H1148" s="4" t="s">
        <v>10</v>
      </c>
      <c r="I1148" s="18" t="s">
        <v>2473</v>
      </c>
      <c r="J1148" s="18" t="s">
        <v>2473</v>
      </c>
      <c r="K1148" s="18" t="s">
        <v>2473</v>
      </c>
      <c r="L1148" s="18" t="s">
        <v>2336</v>
      </c>
      <c r="AU1148" s="6"/>
      <c r="AV1148" s="6" t="str">
        <f t="shared" si="19"/>
        <v/>
      </c>
    </row>
    <row r="1149" spans="1:48" ht="14.65" thickBot="1" x14ac:dyDescent="0.5">
      <c r="A1149" s="36" t="s">
        <v>856</v>
      </c>
      <c r="B1149" s="3" t="s">
        <v>857</v>
      </c>
      <c r="C1149" s="4" t="s">
        <v>10</v>
      </c>
      <c r="D1149" s="4" t="s">
        <v>10</v>
      </c>
      <c r="E1149" s="4" t="s">
        <v>10</v>
      </c>
      <c r="F1149" s="4" t="s">
        <v>10</v>
      </c>
      <c r="G1149" s="4" t="s">
        <v>10</v>
      </c>
      <c r="H1149" s="4" t="s">
        <v>10</v>
      </c>
      <c r="I1149" s="18" t="s">
        <v>2473</v>
      </c>
      <c r="J1149" s="18" t="s">
        <v>2473</v>
      </c>
      <c r="K1149" s="18" t="s">
        <v>2473</v>
      </c>
      <c r="L1149" s="18" t="s">
        <v>2336</v>
      </c>
      <c r="AU1149" s="6"/>
      <c r="AV1149" s="6" t="str">
        <f t="shared" si="19"/>
        <v/>
      </c>
    </row>
    <row r="1150" spans="1:48" ht="23.65" thickBot="1" x14ac:dyDescent="0.5">
      <c r="A1150" s="36" t="s">
        <v>946</v>
      </c>
      <c r="B1150" s="3" t="s">
        <v>947</v>
      </c>
      <c r="C1150" s="4" t="s">
        <v>10</v>
      </c>
      <c r="D1150" s="4" t="s">
        <v>10</v>
      </c>
      <c r="E1150" s="4" t="s">
        <v>10</v>
      </c>
      <c r="F1150" s="4" t="s">
        <v>10</v>
      </c>
      <c r="G1150" s="4" t="s">
        <v>10</v>
      </c>
      <c r="H1150" s="4" t="s">
        <v>10</v>
      </c>
      <c r="I1150" s="18" t="s">
        <v>2473</v>
      </c>
      <c r="J1150" s="18" t="s">
        <v>2473</v>
      </c>
      <c r="K1150" s="18" t="s">
        <v>2473</v>
      </c>
      <c r="L1150" s="18" t="s">
        <v>2336</v>
      </c>
      <c r="AU1150" s="6"/>
      <c r="AV1150" s="6" t="str">
        <f t="shared" si="19"/>
        <v/>
      </c>
    </row>
    <row r="1151" spans="1:48" ht="14.65" thickBot="1" x14ac:dyDescent="0.5">
      <c r="A1151" s="36" t="s">
        <v>948</v>
      </c>
      <c r="B1151" s="3" t="s">
        <v>949</v>
      </c>
      <c r="C1151" s="4" t="s">
        <v>37</v>
      </c>
      <c r="D1151" s="4"/>
      <c r="E1151" s="4" t="s">
        <v>37</v>
      </c>
      <c r="F1151" s="4"/>
      <c r="G1151" s="4" t="s">
        <v>37</v>
      </c>
      <c r="H1151" s="4"/>
      <c r="I1151" s="18" t="s">
        <v>2473</v>
      </c>
      <c r="J1151" s="18" t="s">
        <v>2473</v>
      </c>
      <c r="K1151" s="18" t="s">
        <v>2473</v>
      </c>
      <c r="L1151" s="18" t="s">
        <v>2336</v>
      </c>
      <c r="AU1151" s="6"/>
      <c r="AV1151" s="6" t="str">
        <f t="shared" si="19"/>
        <v/>
      </c>
    </row>
    <row r="1152" spans="1:48" ht="23.65" thickBot="1" x14ac:dyDescent="0.5">
      <c r="A1152" s="36" t="s">
        <v>950</v>
      </c>
      <c r="B1152" s="3" t="s">
        <v>951</v>
      </c>
      <c r="C1152" s="4" t="s">
        <v>37</v>
      </c>
      <c r="D1152" s="4"/>
      <c r="E1152" s="4" t="s">
        <v>37</v>
      </c>
      <c r="F1152" s="4"/>
      <c r="G1152" s="4" t="s">
        <v>37</v>
      </c>
      <c r="H1152" s="4"/>
      <c r="I1152" s="18" t="s">
        <v>2473</v>
      </c>
      <c r="J1152" s="18" t="s">
        <v>2473</v>
      </c>
      <c r="K1152" s="18" t="s">
        <v>2473</v>
      </c>
      <c r="L1152" s="18" t="s">
        <v>2336</v>
      </c>
      <c r="AU1152" s="6"/>
      <c r="AV1152" s="6" t="str">
        <f t="shared" si="19"/>
        <v/>
      </c>
    </row>
    <row r="1153" spans="1:48" ht="14.65" thickBot="1" x14ac:dyDescent="0.5">
      <c r="A1153" s="36" t="s">
        <v>952</v>
      </c>
      <c r="B1153" s="3" t="s">
        <v>953</v>
      </c>
      <c r="C1153" s="4" t="s">
        <v>10</v>
      </c>
      <c r="D1153" s="4" t="s">
        <v>10</v>
      </c>
      <c r="E1153" s="4" t="s">
        <v>10</v>
      </c>
      <c r="F1153" s="4" t="s">
        <v>10</v>
      </c>
      <c r="G1153" s="4" t="s">
        <v>10</v>
      </c>
      <c r="H1153" s="4" t="s">
        <v>10</v>
      </c>
      <c r="I1153" s="18" t="s">
        <v>2473</v>
      </c>
      <c r="J1153" s="18" t="s">
        <v>2473</v>
      </c>
      <c r="K1153" s="18" t="s">
        <v>2473</v>
      </c>
      <c r="L1153" s="18" t="s">
        <v>2336</v>
      </c>
      <c r="AU1153" s="6"/>
      <c r="AV1153" s="6" t="str">
        <f t="shared" si="19"/>
        <v/>
      </c>
    </row>
    <row r="1154" spans="1:48" x14ac:dyDescent="0.45">
      <c r="A1154" s="33" t="s">
        <v>954</v>
      </c>
      <c r="I1154" s="18" t="s">
        <v>2473</v>
      </c>
      <c r="J1154" s="18" t="s">
        <v>2473</v>
      </c>
      <c r="K1154" s="18" t="s">
        <v>2473</v>
      </c>
      <c r="L1154" s="18" t="s">
        <v>2336</v>
      </c>
      <c r="AU1154" s="6"/>
      <c r="AV1154" s="6" t="str">
        <f t="shared" si="19"/>
        <v/>
      </c>
    </row>
    <row r="1155" spans="1:48" x14ac:dyDescent="0.45">
      <c r="A1155" s="34" t="s">
        <v>955</v>
      </c>
      <c r="I1155" s="18" t="s">
        <v>2473</v>
      </c>
      <c r="J1155" s="18" t="s">
        <v>2473</v>
      </c>
      <c r="K1155" s="18" t="s">
        <v>2473</v>
      </c>
      <c r="L1155" s="18" t="s">
        <v>2336</v>
      </c>
      <c r="AU1155" s="6"/>
      <c r="AV1155" s="6" t="str">
        <f t="shared" si="19"/>
        <v/>
      </c>
    </row>
    <row r="1156" spans="1:48" s="79" customFormat="1" x14ac:dyDescent="0.45">
      <c r="A1156" s="75"/>
      <c r="B1156" s="76"/>
      <c r="C1156" s="77"/>
      <c r="D1156" s="77"/>
      <c r="E1156" s="77"/>
      <c r="F1156" s="77"/>
      <c r="G1156" s="77"/>
      <c r="H1156" s="77"/>
      <c r="I1156" s="77"/>
      <c r="J1156" s="77"/>
      <c r="K1156" s="77"/>
      <c r="L1156" s="77"/>
      <c r="M1156" s="148"/>
      <c r="N1156" s="78"/>
      <c r="O1156" s="78"/>
      <c r="P1156" s="78"/>
      <c r="Q1156" s="78"/>
      <c r="R1156" s="78"/>
      <c r="S1156" s="78"/>
      <c r="T1156" s="78"/>
      <c r="U1156" s="78"/>
      <c r="V1156" s="78"/>
      <c r="W1156" s="78"/>
      <c r="X1156" s="78"/>
      <c r="Y1156" s="148"/>
      <c r="Z1156" s="78"/>
      <c r="AA1156" s="78"/>
      <c r="AB1156" s="78"/>
      <c r="AC1156" s="78"/>
      <c r="AD1156" s="78"/>
      <c r="AE1156" s="156"/>
      <c r="AF1156" s="156"/>
      <c r="AG1156" s="78"/>
      <c r="AH1156" s="78"/>
      <c r="AI1156" s="78"/>
      <c r="AJ1156" s="78"/>
      <c r="AK1156" s="78"/>
      <c r="AL1156" s="78"/>
      <c r="AM1156" s="78"/>
      <c r="AN1156" s="78"/>
      <c r="AO1156" s="78"/>
      <c r="AP1156" s="78"/>
      <c r="AQ1156" s="78"/>
      <c r="AR1156" s="286"/>
      <c r="AS1156" s="78"/>
      <c r="AT1156" s="78"/>
      <c r="AU1156" s="8"/>
      <c r="AV1156" s="6" t="str">
        <f t="shared" si="19"/>
        <v/>
      </c>
    </row>
    <row r="1157" spans="1:48" x14ac:dyDescent="0.45">
      <c r="A1157" s="27" t="s">
        <v>2418</v>
      </c>
      <c r="I1157" s="18" t="s">
        <v>2473</v>
      </c>
      <c r="J1157" s="18" t="s">
        <v>2473</v>
      </c>
      <c r="K1157" s="18" t="s">
        <v>2473</v>
      </c>
      <c r="L1157" s="18" t="s">
        <v>2335</v>
      </c>
      <c r="AU1157" s="6"/>
      <c r="AV1157" s="6" t="str">
        <f t="shared" si="19"/>
        <v/>
      </c>
    </row>
    <row r="1158" spans="1:48" x14ac:dyDescent="0.45">
      <c r="A1158" s="323" t="s">
        <v>2512</v>
      </c>
      <c r="B1158" s="324"/>
      <c r="C1158" s="324"/>
      <c r="D1158" s="324"/>
      <c r="E1158" s="324"/>
      <c r="F1158" s="324"/>
      <c r="G1158" s="101"/>
      <c r="H1158" s="101"/>
      <c r="I1158" s="18" t="s">
        <v>2473</v>
      </c>
      <c r="J1158" s="18" t="s">
        <v>2473</v>
      </c>
      <c r="K1158" s="18" t="s">
        <v>2473</v>
      </c>
      <c r="L1158" s="18" t="s">
        <v>2335</v>
      </c>
      <c r="AU1158" s="6"/>
      <c r="AV1158" s="6" t="str">
        <f t="shared" si="19"/>
        <v/>
      </c>
    </row>
    <row r="1159" spans="1:48" ht="15" customHeight="1" thickBot="1" x14ac:dyDescent="0.5">
      <c r="A1159" s="28" t="s">
        <v>956</v>
      </c>
      <c r="I1159" s="18" t="s">
        <v>2473</v>
      </c>
      <c r="J1159" s="18" t="s">
        <v>2473</v>
      </c>
      <c r="K1159" s="18" t="s">
        <v>2473</v>
      </c>
      <c r="L1159" s="18" t="s">
        <v>2335</v>
      </c>
      <c r="AA1159" s="183" t="s">
        <v>2322</v>
      </c>
      <c r="AB1159" s="183" t="s">
        <v>1697</v>
      </c>
      <c r="AC1159" s="183" t="s">
        <v>5</v>
      </c>
      <c r="AU1159" s="6"/>
      <c r="AV1159" s="6" t="str">
        <f t="shared" si="19"/>
        <v/>
      </c>
    </row>
    <row r="1160" spans="1:48" ht="70.150000000000006" thickBot="1" x14ac:dyDescent="0.5">
      <c r="A1160" s="309" t="s">
        <v>957</v>
      </c>
      <c r="B1160" s="310"/>
      <c r="C1160" s="301" t="s">
        <v>1</v>
      </c>
      <c r="D1160" s="319"/>
      <c r="E1160" s="319"/>
      <c r="F1160" s="302"/>
      <c r="G1160" s="102"/>
      <c r="H1160" s="102"/>
      <c r="I1160" s="18" t="s">
        <v>2473</v>
      </c>
      <c r="L1160" s="18" t="s">
        <v>2334</v>
      </c>
      <c r="R1160" s="111" t="s">
        <v>3426</v>
      </c>
      <c r="S1160" s="349" t="s">
        <v>823</v>
      </c>
      <c r="T1160" s="350"/>
      <c r="U1160" s="350"/>
      <c r="V1160" s="350"/>
      <c r="W1160" s="350"/>
      <c r="X1160" s="351"/>
      <c r="Y1160" s="118"/>
      <c r="Z1160" s="185"/>
      <c r="AA1160" s="183" t="str">
        <f>LEFT($A1160,FIND(" ",$A1160)-1)</f>
        <v>ServiceRoot</v>
      </c>
      <c r="AB1160" s="183" t="str">
        <f>MID($A1160,FIND("(",$A1160)+1,LEN($A1160)-FIND("(",$A1160)-1)</f>
        <v>1.4.0</v>
      </c>
      <c r="AC1160" s="101" t="str">
        <f>A1158</f>
        <v>The ServiceRoot resource represents the root Redfish service.</v>
      </c>
      <c r="AD1160" s="185"/>
      <c r="AE1160" s="186"/>
      <c r="AF1160" s="186"/>
      <c r="AG1160" s="185"/>
      <c r="AH1160" s="185"/>
      <c r="AI1160" s="185"/>
      <c r="AJ1160" s="185"/>
      <c r="AK1160" s="185"/>
      <c r="AL1160" s="185"/>
      <c r="AM1160" s="185"/>
      <c r="AN1160" s="117"/>
      <c r="AO1160" s="117"/>
      <c r="AP1160" s="117"/>
      <c r="AQ1160" s="117"/>
      <c r="AR1160" s="287"/>
      <c r="AS1160" s="258"/>
      <c r="AT1160" s="185"/>
      <c r="AU1160" s="6"/>
      <c r="AV1160" s="6" t="str">
        <f t="shared" si="19"/>
        <v/>
      </c>
    </row>
    <row r="1161" spans="1:48" ht="15" customHeight="1" thickBot="1" x14ac:dyDescent="0.5">
      <c r="A1161" s="311"/>
      <c r="B1161" s="312"/>
      <c r="C1161" s="301" t="s">
        <v>2</v>
      </c>
      <c r="D1161" s="302"/>
      <c r="E1161" s="301" t="s">
        <v>3</v>
      </c>
      <c r="F1161" s="302"/>
      <c r="G1161" s="301" t="s">
        <v>2896</v>
      </c>
      <c r="H1161" s="302"/>
      <c r="I1161" s="18" t="s">
        <v>2473</v>
      </c>
      <c r="L1161" s="18" t="s">
        <v>2334</v>
      </c>
      <c r="R1161" s="122" t="s">
        <v>3427</v>
      </c>
      <c r="S1161" s="352" t="s">
        <v>3446</v>
      </c>
      <c r="T1161" s="353"/>
      <c r="U1161" s="353"/>
      <c r="V1161" s="353"/>
      <c r="W1161" s="353"/>
      <c r="X1161" s="354"/>
      <c r="Y1161" s="149"/>
      <c r="Z1161" s="183"/>
      <c r="AA1161" s="183" t="s">
        <v>2322</v>
      </c>
      <c r="AB1161" s="183" t="s">
        <v>1697</v>
      </c>
      <c r="AC1161" s="183" t="s">
        <v>5</v>
      </c>
      <c r="AD1161" s="183"/>
      <c r="AE1161" s="184"/>
      <c r="AF1161" s="184"/>
      <c r="AG1161" s="183"/>
      <c r="AH1161" s="183"/>
      <c r="AI1161" s="183"/>
      <c r="AJ1161" s="183"/>
      <c r="AK1161" s="183"/>
      <c r="AL1161" s="183"/>
      <c r="AM1161" s="183"/>
      <c r="AN1161" s="131"/>
      <c r="AO1161" s="131"/>
      <c r="AP1161" s="131"/>
      <c r="AQ1161" s="131"/>
      <c r="AR1161" s="288"/>
      <c r="AS1161" s="259"/>
      <c r="AT1161" s="183"/>
      <c r="AU1161" s="6"/>
      <c r="AV1161" s="6" t="str">
        <f t="shared" si="19"/>
        <v/>
      </c>
    </row>
    <row r="1162" spans="1:48" ht="70.150000000000006" thickBot="1" x14ac:dyDescent="0.5">
      <c r="A1162" s="309" t="s">
        <v>3030</v>
      </c>
      <c r="B1162" s="310"/>
      <c r="C1162" s="301" t="s">
        <v>1</v>
      </c>
      <c r="D1162" s="319"/>
      <c r="E1162" s="319"/>
      <c r="F1162" s="302"/>
      <c r="G1162" s="102"/>
      <c r="H1162" s="102"/>
      <c r="J1162" s="18" t="s">
        <v>2473</v>
      </c>
      <c r="K1162" s="18" t="s">
        <v>2473</v>
      </c>
      <c r="L1162" s="18" t="s">
        <v>2334</v>
      </c>
      <c r="R1162" s="122" t="s">
        <v>3428</v>
      </c>
      <c r="S1162" s="352" t="b">
        <v>0</v>
      </c>
      <c r="T1162" s="353"/>
      <c r="U1162" s="353"/>
      <c r="V1162" s="353"/>
      <c r="W1162" s="353"/>
      <c r="X1162" s="354"/>
      <c r="Y1162" s="149"/>
      <c r="Z1162" s="183"/>
      <c r="AA1162" s="183" t="str">
        <f>LEFT($A1162,FIND(" ",$A1162)-1)</f>
        <v>ServiceRoot</v>
      </c>
      <c r="AB1162" s="183" t="str">
        <f>MID($A1162,FIND("(",$A1162)+1,LEN($A1162)-FIND("(",$A1162)-1)</f>
        <v>1.5.1</v>
      </c>
      <c r="AC1162" s="101" t="str">
        <f>AC1160</f>
        <v>The ServiceRoot resource represents the root Redfish service.</v>
      </c>
      <c r="AD1162" s="183"/>
      <c r="AE1162" s="184"/>
      <c r="AF1162" s="184"/>
      <c r="AG1162" s="183"/>
      <c r="AH1162" s="183"/>
      <c r="AI1162" s="183"/>
      <c r="AJ1162" s="183"/>
      <c r="AK1162" s="183"/>
      <c r="AL1162" s="183"/>
      <c r="AM1162" s="183"/>
      <c r="AN1162" s="131"/>
      <c r="AO1162" s="131"/>
      <c r="AP1162" s="131"/>
      <c r="AQ1162" s="131"/>
      <c r="AR1162" s="288"/>
      <c r="AS1162" s="259"/>
      <c r="AT1162" s="183"/>
      <c r="AU1162" s="6"/>
      <c r="AV1162" s="6" t="str">
        <f t="shared" si="19"/>
        <v/>
      </c>
    </row>
    <row r="1163" spans="1:48" ht="15" customHeight="1" thickBot="1" x14ac:dyDescent="0.5">
      <c r="A1163" s="311"/>
      <c r="B1163" s="312"/>
      <c r="C1163" s="301" t="s">
        <v>2</v>
      </c>
      <c r="D1163" s="302"/>
      <c r="E1163" s="301" t="s">
        <v>3</v>
      </c>
      <c r="F1163" s="302"/>
      <c r="G1163" s="301" t="s">
        <v>2896</v>
      </c>
      <c r="H1163" s="302"/>
      <c r="J1163" s="18" t="s">
        <v>2473</v>
      </c>
      <c r="K1163" s="18" t="s">
        <v>2473</v>
      </c>
      <c r="L1163" s="18" t="s">
        <v>2335</v>
      </c>
      <c r="R1163" s="115"/>
      <c r="S1163" s="115"/>
      <c r="T1163" s="115"/>
      <c r="U1163" s="115"/>
      <c r="V1163" s="115"/>
      <c r="W1163" s="115"/>
      <c r="X1163" s="116"/>
      <c r="Y1163" s="149"/>
      <c r="Z1163" s="183"/>
      <c r="AA1163" s="183"/>
      <c r="AB1163" s="183"/>
      <c r="AC1163" s="183"/>
      <c r="AD1163" s="183"/>
      <c r="AE1163" s="184"/>
      <c r="AF1163" s="184"/>
      <c r="AG1163" s="183"/>
      <c r="AH1163" s="183"/>
      <c r="AI1163" s="183"/>
      <c r="AJ1163" s="183"/>
      <c r="AK1163" s="183"/>
      <c r="AL1163" s="183"/>
      <c r="AM1163" s="8" t="str">
        <f>C1163</f>
        <v>OSM-Redfish</v>
      </c>
      <c r="AN1163" s="8" t="str">
        <f>E1163</f>
        <v>OSM-RedfishBMC</v>
      </c>
      <c r="AO1163" s="8" t="str">
        <f>G1163</f>
        <v>OSM-RedfishDCN</v>
      </c>
      <c r="AP1163" s="131"/>
      <c r="AQ1163" s="131"/>
      <c r="AR1163" s="288"/>
      <c r="AS1163" s="259"/>
      <c r="AT1163" s="183"/>
      <c r="AU1163" s="6"/>
      <c r="AV1163" s="6" t="str">
        <f t="shared" si="19"/>
        <v/>
      </c>
    </row>
    <row r="1164" spans="1:48" ht="15" customHeight="1" thickBot="1" x14ac:dyDescent="0.5">
      <c r="A1164" s="46" t="s">
        <v>2377</v>
      </c>
      <c r="B1164" s="47"/>
      <c r="C1164" s="303" t="s">
        <v>10</v>
      </c>
      <c r="D1164" s="304"/>
      <c r="E1164" s="303" t="s">
        <v>10</v>
      </c>
      <c r="F1164" s="304"/>
      <c r="G1164" s="303" t="s">
        <v>10</v>
      </c>
      <c r="H1164" s="304"/>
      <c r="I1164" s="18" t="s">
        <v>2473</v>
      </c>
      <c r="J1164" s="18" t="s">
        <v>2473</v>
      </c>
      <c r="K1164" s="18" t="s">
        <v>2473</v>
      </c>
      <c r="R1164" s="129"/>
      <c r="S1164" s="117"/>
      <c r="T1164" s="117"/>
      <c r="U1164" s="117"/>
      <c r="V1164" s="117"/>
      <c r="W1164" s="117"/>
      <c r="X1164" s="118"/>
      <c r="Y1164" s="118"/>
      <c r="Z1164" s="185"/>
      <c r="AA1164" s="185"/>
      <c r="AB1164" s="185"/>
      <c r="AC1164" s="185"/>
      <c r="AD1164" s="185"/>
      <c r="AE1164" s="186"/>
      <c r="AF1164" s="186"/>
      <c r="AG1164" s="185"/>
      <c r="AH1164" s="185"/>
      <c r="AI1164" s="185"/>
      <c r="AJ1164" s="185"/>
      <c r="AK1164" s="185"/>
      <c r="AL1164" s="185"/>
      <c r="AM1164" s="8" t="str">
        <f>IF(C1164&lt;&gt;"","CRQ-P5-"&amp;(AM$2+$AP1164*$AP$3),"")</f>
        <v>CRQ-P5-1212</v>
      </c>
      <c r="AN1164" s="8" t="str">
        <f>IF(E1164&lt;&gt;"","CRQ-P5-"&amp;(AN$2+$AP1164*$AP$3),"")</f>
        <v>CRQ-P5-1512</v>
      </c>
      <c r="AO1164" s="8" t="str">
        <f>IF(G1164&lt;&gt;"","CRQ-P5-"&amp;(AO$2+$AP1164*$AP$3),"")</f>
        <v>CRQ-P5-1812</v>
      </c>
      <c r="AP1164" s="117">
        <v>53</v>
      </c>
      <c r="AQ1164" s="117"/>
      <c r="AR1164" s="287"/>
      <c r="AS1164" s="258"/>
      <c r="AT1164" s="185"/>
      <c r="AU1164" s="6"/>
      <c r="AV1164" s="6" t="str">
        <f t="shared" si="19"/>
        <v/>
      </c>
    </row>
    <row r="1165" spans="1:48" ht="14.65" thickBot="1" x14ac:dyDescent="0.5">
      <c r="A1165" s="29" t="s">
        <v>3394</v>
      </c>
      <c r="B1165" s="9"/>
      <c r="C1165" s="305" t="str">
        <f>MID($A1160,FIND("(",$A1160)+1,5)</f>
        <v>1.4.0</v>
      </c>
      <c r="D1165" s="306"/>
      <c r="E1165" s="305" t="s">
        <v>3405</v>
      </c>
      <c r="F1165" s="306"/>
      <c r="G1165" s="305" t="str">
        <f>MID($A1160,FIND("(",$A1160)+1,5)</f>
        <v>1.4.0</v>
      </c>
      <c r="H1165" s="306"/>
      <c r="I1165" s="18" t="s">
        <v>2473</v>
      </c>
      <c r="J1165" s="18" t="s">
        <v>2473</v>
      </c>
      <c r="K1165" s="18" t="s">
        <v>2473</v>
      </c>
      <c r="L1165" s="18" t="s">
        <v>2334</v>
      </c>
      <c r="R1165" s="111" t="s">
        <v>3429</v>
      </c>
      <c r="S1165" s="111" t="s">
        <v>3430</v>
      </c>
      <c r="T1165" s="111" t="s">
        <v>3427</v>
      </c>
      <c r="U1165" s="111" t="s">
        <v>3431</v>
      </c>
      <c r="V1165" s="111" t="s">
        <v>3432</v>
      </c>
      <c r="W1165" s="111" t="s">
        <v>3433</v>
      </c>
      <c r="X1165" s="119" t="s">
        <v>3434</v>
      </c>
      <c r="Y1165" s="118" t="s">
        <v>3965</v>
      </c>
      <c r="Z1165" s="185"/>
      <c r="AA1165" s="185"/>
      <c r="AB1165" s="185"/>
      <c r="AC1165" s="185"/>
      <c r="AD1165" s="185"/>
      <c r="AE1165" s="186"/>
      <c r="AF1165" s="186"/>
      <c r="AG1165" s="185"/>
      <c r="AH1165" s="185"/>
      <c r="AI1165" s="185"/>
      <c r="AJ1165" s="185"/>
      <c r="AK1165" s="185"/>
      <c r="AL1165" s="185"/>
      <c r="AM1165" s="185"/>
      <c r="AN1165" s="117"/>
      <c r="AO1165" s="117"/>
      <c r="AP1165" s="117"/>
      <c r="AQ1165" s="117"/>
      <c r="AR1165" s="287"/>
      <c r="AS1165" s="258"/>
      <c r="AT1165" s="185"/>
      <c r="AU1165" s="6"/>
      <c r="AV1165" s="6" t="str">
        <f t="shared" si="19"/>
        <v/>
      </c>
    </row>
    <row r="1166" spans="1:48" ht="15" customHeight="1" thickBot="1" x14ac:dyDescent="0.5">
      <c r="A1166" s="30" t="s">
        <v>4</v>
      </c>
      <c r="B1166" s="59" t="s">
        <v>5</v>
      </c>
      <c r="C1166" s="7" t="s">
        <v>6</v>
      </c>
      <c r="D1166" s="7" t="s">
        <v>7</v>
      </c>
      <c r="E1166" s="7" t="s">
        <v>6</v>
      </c>
      <c r="F1166" s="7" t="s">
        <v>7</v>
      </c>
      <c r="G1166" s="7" t="s">
        <v>6</v>
      </c>
      <c r="H1166" s="7" t="s">
        <v>7</v>
      </c>
      <c r="I1166" s="18" t="s">
        <v>2473</v>
      </c>
      <c r="J1166" s="18" t="s">
        <v>2473</v>
      </c>
      <c r="K1166" s="18" t="s">
        <v>2473</v>
      </c>
      <c r="L1166" s="18" t="s">
        <v>2334</v>
      </c>
      <c r="R1166" s="352" t="s">
        <v>4040</v>
      </c>
      <c r="S1166" s="353"/>
      <c r="T1166" s="353"/>
      <c r="U1166" s="353"/>
      <c r="V1166" s="353"/>
      <c r="W1166" s="353"/>
      <c r="X1166" s="357"/>
      <c r="Y1166" s="149"/>
      <c r="Z1166" s="183"/>
      <c r="AA1166" s="183"/>
      <c r="AB1166" s="183"/>
      <c r="AC1166" s="183"/>
      <c r="AD1166" s="183"/>
      <c r="AE1166" s="184"/>
      <c r="AF1166" s="184"/>
      <c r="AG1166" s="183"/>
      <c r="AH1166" s="183"/>
      <c r="AI1166" s="183"/>
      <c r="AJ1166" s="183"/>
      <c r="AK1166" s="183"/>
      <c r="AL1166" s="183"/>
      <c r="AM1166" s="183"/>
      <c r="AN1166" s="131"/>
      <c r="AO1166" s="131"/>
      <c r="AP1166" s="131"/>
      <c r="AQ1166" s="131"/>
      <c r="AR1166" s="288"/>
      <c r="AS1166" s="259"/>
      <c r="AT1166" s="183"/>
      <c r="AU1166" s="6"/>
      <c r="AV1166" s="6" t="str">
        <f t="shared" si="19"/>
        <v/>
      </c>
    </row>
    <row r="1167" spans="1:48" ht="14.65" thickBot="1" x14ac:dyDescent="0.5">
      <c r="A1167" s="36" t="s">
        <v>958</v>
      </c>
      <c r="B1167" s="3" t="s">
        <v>959</v>
      </c>
      <c r="C1167" s="4" t="s">
        <v>10</v>
      </c>
      <c r="D1167" s="4"/>
      <c r="E1167" s="4" t="s">
        <v>10</v>
      </c>
      <c r="F1167" s="4"/>
      <c r="G1167" s="4" t="s">
        <v>10</v>
      </c>
      <c r="H1167" s="4"/>
      <c r="I1167" s="18" t="s">
        <v>2473</v>
      </c>
      <c r="J1167" s="18" t="s">
        <v>2473</v>
      </c>
      <c r="K1167" s="18" t="s">
        <v>2473</v>
      </c>
      <c r="L1167" s="18" t="s">
        <v>2336</v>
      </c>
      <c r="AU1167" s="6"/>
      <c r="AV1167" s="6" t="str">
        <f t="shared" si="19"/>
        <v/>
      </c>
    </row>
    <row r="1168" spans="1:48" ht="14.65" thickBot="1" x14ac:dyDescent="0.5">
      <c r="A1168" s="35" t="s">
        <v>33</v>
      </c>
      <c r="B1168" s="3" t="s">
        <v>921</v>
      </c>
      <c r="C1168" s="4"/>
      <c r="D1168" s="4"/>
      <c r="E1168" s="4"/>
      <c r="F1168" s="4"/>
      <c r="G1168" s="4"/>
      <c r="H1168" s="4"/>
      <c r="I1168" s="18" t="s">
        <v>2473</v>
      </c>
      <c r="J1168" s="18" t="s">
        <v>2473</v>
      </c>
      <c r="K1168" s="18" t="s">
        <v>2473</v>
      </c>
      <c r="L1168" s="18" t="s">
        <v>2335</v>
      </c>
      <c r="AU1168" s="6"/>
      <c r="AV1168" s="6" t="str">
        <f t="shared" si="19"/>
        <v/>
      </c>
    </row>
    <row r="1169" spans="1:48" ht="14.65" thickBot="1" x14ac:dyDescent="0.5">
      <c r="A1169" s="36" t="s">
        <v>3031</v>
      </c>
      <c r="B1169" s="3" t="s">
        <v>3032</v>
      </c>
      <c r="C1169" s="4"/>
      <c r="D1169" s="4"/>
      <c r="E1169" s="4" t="s">
        <v>13</v>
      </c>
      <c r="F1169" s="4"/>
      <c r="G1169" s="4"/>
      <c r="H1169" s="4"/>
      <c r="J1169" s="18" t="s">
        <v>2473</v>
      </c>
      <c r="K1169" s="18" t="s">
        <v>2473</v>
      </c>
      <c r="AU1169" s="8"/>
      <c r="AV1169" s="6" t="str">
        <f t="shared" si="19"/>
        <v/>
      </c>
    </row>
    <row r="1170" spans="1:48" ht="14.65" thickBot="1" x14ac:dyDescent="0.5">
      <c r="A1170" s="35" t="s">
        <v>33</v>
      </c>
      <c r="B1170" s="3" t="s">
        <v>2628</v>
      </c>
      <c r="C1170" s="4"/>
      <c r="D1170" s="4"/>
      <c r="E1170" s="4"/>
      <c r="F1170" s="4"/>
      <c r="G1170" s="4"/>
      <c r="H1170" s="4"/>
      <c r="J1170" s="18" t="s">
        <v>2473</v>
      </c>
      <c r="K1170" s="18" t="s">
        <v>2473</v>
      </c>
      <c r="AU1170" s="8"/>
      <c r="AV1170" s="6" t="str">
        <f t="shared" si="19"/>
        <v/>
      </c>
    </row>
    <row r="1171" spans="1:48" ht="20.65" thickBot="1" x14ac:dyDescent="0.5">
      <c r="A1171" s="36" t="s">
        <v>960</v>
      </c>
      <c r="B1171" s="3" t="s">
        <v>961</v>
      </c>
      <c r="C1171" s="4" t="s">
        <v>10</v>
      </c>
      <c r="D1171" s="4"/>
      <c r="E1171" s="4" t="s">
        <v>10</v>
      </c>
      <c r="F1171" s="4"/>
      <c r="G1171" s="4" t="s">
        <v>10</v>
      </c>
      <c r="H1171" s="4"/>
      <c r="I1171" s="18" t="s">
        <v>2473</v>
      </c>
      <c r="J1171" s="18" t="s">
        <v>2473</v>
      </c>
      <c r="K1171" s="18" t="s">
        <v>2473</v>
      </c>
      <c r="L1171" s="18" t="s">
        <v>2334</v>
      </c>
      <c r="R1171" s="122" t="s">
        <v>3435</v>
      </c>
      <c r="S1171" s="114" t="s">
        <v>3437</v>
      </c>
      <c r="T1171" s="114" t="s">
        <v>960</v>
      </c>
      <c r="U1171" s="114"/>
      <c r="V1171" s="114" t="s">
        <v>3448</v>
      </c>
      <c r="W1171" s="114" t="s">
        <v>3436</v>
      </c>
      <c r="X1171" s="114" t="s">
        <v>13</v>
      </c>
      <c r="Y1171" s="149"/>
      <c r="Z1171" s="183"/>
      <c r="AA1171" s="183"/>
      <c r="AB1171" s="183"/>
      <c r="AC1171" s="183"/>
      <c r="AD1171" s="183"/>
      <c r="AE1171" s="184"/>
      <c r="AF1171" s="184"/>
      <c r="AG1171" s="183"/>
      <c r="AH1171" s="183"/>
      <c r="AI1171" s="183"/>
      <c r="AJ1171" s="183"/>
      <c r="AK1171" s="183"/>
      <c r="AL1171" s="183"/>
      <c r="AM1171" s="183"/>
      <c r="AN1171" s="131"/>
      <c r="AO1171" s="131"/>
      <c r="AP1171" s="131"/>
      <c r="AQ1171" s="131"/>
      <c r="AR1171" s="288"/>
      <c r="AS1171" s="259"/>
      <c r="AT1171" s="183"/>
      <c r="AU1171" s="6"/>
      <c r="AV1171" s="6" t="str">
        <f t="shared" si="19"/>
        <v>OK</v>
      </c>
    </row>
    <row r="1172" spans="1:48" ht="14.65" thickBot="1" x14ac:dyDescent="0.5">
      <c r="A1172" s="35" t="s">
        <v>33</v>
      </c>
      <c r="B1172" s="3" t="s">
        <v>961</v>
      </c>
      <c r="C1172" s="4"/>
      <c r="D1172" s="4"/>
      <c r="E1172" s="4"/>
      <c r="F1172" s="4"/>
      <c r="G1172" s="4"/>
      <c r="H1172" s="4"/>
      <c r="I1172" s="18" t="s">
        <v>2473</v>
      </c>
      <c r="J1172" s="18" t="s">
        <v>2473</v>
      </c>
      <c r="K1172" s="18" t="s">
        <v>2473</v>
      </c>
      <c r="L1172" s="18" t="s">
        <v>2335</v>
      </c>
      <c r="AU1172" s="6"/>
      <c r="AV1172" s="6" t="str">
        <f t="shared" si="19"/>
        <v/>
      </c>
    </row>
    <row r="1173" spans="1:48" ht="14.65" thickBot="1" x14ac:dyDescent="0.5">
      <c r="A1173" s="36" t="s">
        <v>962</v>
      </c>
      <c r="B1173" s="3" t="s">
        <v>963</v>
      </c>
      <c r="C1173" s="4"/>
      <c r="D1173" s="4"/>
      <c r="E1173" s="4"/>
      <c r="F1173" s="4"/>
      <c r="G1173" s="4"/>
      <c r="H1173" s="4"/>
      <c r="I1173" s="18" t="s">
        <v>2473</v>
      </c>
      <c r="J1173" s="18" t="s">
        <v>2473</v>
      </c>
      <c r="K1173" s="18" t="s">
        <v>2473</v>
      </c>
      <c r="L1173" s="18" t="s">
        <v>2335</v>
      </c>
      <c r="AU1173" s="6"/>
      <c r="AV1173" s="6" t="str">
        <f t="shared" si="19"/>
        <v/>
      </c>
    </row>
    <row r="1174" spans="1:48" ht="14.65" thickBot="1" x14ac:dyDescent="0.5">
      <c r="A1174" s="35" t="s">
        <v>33</v>
      </c>
      <c r="B1174" s="3" t="s">
        <v>964</v>
      </c>
      <c r="C1174" s="4"/>
      <c r="D1174" s="4"/>
      <c r="E1174" s="4"/>
      <c r="F1174" s="4"/>
      <c r="G1174" s="4"/>
      <c r="H1174" s="4"/>
      <c r="I1174" s="18" t="s">
        <v>2473</v>
      </c>
      <c r="J1174" s="18" t="s">
        <v>2473</v>
      </c>
      <c r="K1174" s="18" t="s">
        <v>2473</v>
      </c>
      <c r="L1174" s="18" t="s">
        <v>2335</v>
      </c>
      <c r="AU1174" s="6"/>
      <c r="AV1174" s="6" t="str">
        <f t="shared" si="19"/>
        <v/>
      </c>
    </row>
    <row r="1175" spans="1:48" ht="14.65" thickBot="1" x14ac:dyDescent="0.5">
      <c r="A1175" s="36" t="s">
        <v>965</v>
      </c>
      <c r="B1175" s="3" t="s">
        <v>966</v>
      </c>
      <c r="C1175" s="4" t="s">
        <v>10</v>
      </c>
      <c r="D1175" s="4"/>
      <c r="E1175" s="4" t="s">
        <v>10</v>
      </c>
      <c r="F1175" s="4"/>
      <c r="G1175" s="4" t="s">
        <v>10</v>
      </c>
      <c r="H1175" s="4"/>
      <c r="I1175" s="18" t="s">
        <v>2473</v>
      </c>
      <c r="J1175" s="18" t="s">
        <v>2473</v>
      </c>
      <c r="K1175" s="18" t="s">
        <v>2473</v>
      </c>
      <c r="L1175" s="18" t="s">
        <v>2336</v>
      </c>
      <c r="AU1175" s="6"/>
      <c r="AV1175" s="6" t="str">
        <f t="shared" si="19"/>
        <v/>
      </c>
    </row>
    <row r="1176" spans="1:48" ht="14.65" thickBot="1" x14ac:dyDescent="0.5">
      <c r="A1176" s="35" t="s">
        <v>33</v>
      </c>
      <c r="B1176" s="3" t="s">
        <v>967</v>
      </c>
      <c r="C1176" s="4"/>
      <c r="D1176" s="4"/>
      <c r="E1176" s="4"/>
      <c r="F1176" s="4"/>
      <c r="G1176" s="4"/>
      <c r="H1176" s="4"/>
      <c r="I1176" s="18" t="s">
        <v>2473</v>
      </c>
      <c r="J1176" s="18" t="s">
        <v>2473</v>
      </c>
      <c r="K1176" s="18" t="s">
        <v>2473</v>
      </c>
      <c r="L1176" s="18" t="s">
        <v>2335</v>
      </c>
      <c r="AU1176" s="6"/>
      <c r="AV1176" s="6" t="str">
        <f t="shared" si="19"/>
        <v/>
      </c>
    </row>
    <row r="1177" spans="1:48" ht="14.65" thickBot="1" x14ac:dyDescent="0.5">
      <c r="A1177" s="36" t="s">
        <v>968</v>
      </c>
      <c r="B1177" s="3" t="s">
        <v>969</v>
      </c>
      <c r="C1177" s="4"/>
      <c r="D1177" s="4"/>
      <c r="E1177" s="4"/>
      <c r="F1177" s="4"/>
      <c r="G1177" s="4"/>
      <c r="H1177" s="4"/>
      <c r="I1177" s="18" t="s">
        <v>2473</v>
      </c>
      <c r="J1177" s="18" t="s">
        <v>2473</v>
      </c>
      <c r="K1177" s="18" t="s">
        <v>2473</v>
      </c>
      <c r="L1177" s="18" t="s">
        <v>2335</v>
      </c>
      <c r="AU1177" s="6"/>
      <c r="AV1177" s="6" t="str">
        <f t="shared" si="19"/>
        <v/>
      </c>
    </row>
    <row r="1178" spans="1:48" ht="14.65" thickBot="1" x14ac:dyDescent="0.5">
      <c r="A1178" s="35" t="s">
        <v>33</v>
      </c>
      <c r="B1178" s="3" t="s">
        <v>970</v>
      </c>
      <c r="C1178" s="4"/>
      <c r="D1178" s="4"/>
      <c r="E1178" s="4"/>
      <c r="F1178" s="4"/>
      <c r="G1178" s="4"/>
      <c r="H1178" s="4"/>
      <c r="I1178" s="18" t="s">
        <v>2473</v>
      </c>
      <c r="J1178" s="18" t="s">
        <v>2473</v>
      </c>
      <c r="K1178" s="18" t="s">
        <v>2473</v>
      </c>
      <c r="L1178" s="18" t="s">
        <v>2335</v>
      </c>
      <c r="AU1178" s="6"/>
      <c r="AV1178" s="6" t="str">
        <f t="shared" si="19"/>
        <v/>
      </c>
    </row>
    <row r="1179" spans="1:48" ht="47.65" thickBot="1" x14ac:dyDescent="0.5">
      <c r="A1179" s="36" t="s">
        <v>971</v>
      </c>
      <c r="B1179" s="3" t="s">
        <v>972</v>
      </c>
      <c r="C1179" s="4" t="s">
        <v>13</v>
      </c>
      <c r="D1179" s="4"/>
      <c r="E1179" s="4" t="s">
        <v>13</v>
      </c>
      <c r="F1179" s="4"/>
      <c r="G1179" s="4" t="s">
        <v>13</v>
      </c>
      <c r="H1179" s="4"/>
      <c r="I1179" s="18" t="s">
        <v>2473</v>
      </c>
      <c r="J1179" s="18" t="s">
        <v>2473</v>
      </c>
      <c r="K1179" s="18" t="s">
        <v>2473</v>
      </c>
      <c r="L1179" s="18" t="s">
        <v>2336</v>
      </c>
      <c r="AT1179" s="233" t="s">
        <v>5315</v>
      </c>
      <c r="AU1179" s="8"/>
      <c r="AV1179" s="6" t="str">
        <f t="shared" si="19"/>
        <v/>
      </c>
    </row>
    <row r="1180" spans="1:48" ht="14.65" thickBot="1" x14ac:dyDescent="0.5">
      <c r="A1180" s="35" t="s">
        <v>33</v>
      </c>
      <c r="B1180" s="3" t="s">
        <v>973</v>
      </c>
      <c r="C1180" s="4"/>
      <c r="D1180" s="4"/>
      <c r="E1180" s="4"/>
      <c r="F1180" s="4"/>
      <c r="G1180" s="4"/>
      <c r="H1180" s="4"/>
      <c r="I1180" s="18" t="s">
        <v>2473</v>
      </c>
      <c r="J1180" s="18" t="s">
        <v>2473</v>
      </c>
      <c r="K1180" s="18" t="s">
        <v>2473</v>
      </c>
      <c r="L1180" s="18" t="s">
        <v>2336</v>
      </c>
      <c r="AU1180" s="6"/>
      <c r="AV1180" s="6" t="str">
        <f t="shared" si="19"/>
        <v/>
      </c>
    </row>
    <row r="1181" spans="1:48" ht="14.65" thickBot="1" x14ac:dyDescent="0.5">
      <c r="A1181" s="36" t="s">
        <v>974</v>
      </c>
      <c r="B1181" s="3" t="s">
        <v>975</v>
      </c>
      <c r="C1181" s="4" t="s">
        <v>10</v>
      </c>
      <c r="D1181" s="4"/>
      <c r="E1181" s="4" t="s">
        <v>10</v>
      </c>
      <c r="F1181" s="4"/>
      <c r="G1181" s="4" t="s">
        <v>10</v>
      </c>
      <c r="H1181" s="4"/>
      <c r="I1181" s="18" t="s">
        <v>2473</v>
      </c>
      <c r="J1181" s="18" t="s">
        <v>2473</v>
      </c>
      <c r="K1181" s="18" t="s">
        <v>2473</v>
      </c>
      <c r="L1181" s="18" t="s">
        <v>2336</v>
      </c>
      <c r="AU1181" s="8"/>
      <c r="AV1181" s="6" t="str">
        <f t="shared" si="19"/>
        <v/>
      </c>
    </row>
    <row r="1182" spans="1:48" ht="14.65" thickBot="1" x14ac:dyDescent="0.5">
      <c r="A1182" s="35" t="s">
        <v>33</v>
      </c>
      <c r="B1182" s="3" t="s">
        <v>975</v>
      </c>
      <c r="C1182" s="4"/>
      <c r="D1182" s="4"/>
      <c r="E1182" s="4"/>
      <c r="F1182" s="4"/>
      <c r="G1182" s="4"/>
      <c r="H1182" s="4"/>
      <c r="I1182" s="18" t="s">
        <v>2473</v>
      </c>
      <c r="J1182" s="18" t="s">
        <v>2473</v>
      </c>
      <c r="K1182" s="18" t="s">
        <v>2473</v>
      </c>
      <c r="L1182" s="18" t="s">
        <v>2335</v>
      </c>
      <c r="AU1182" s="6"/>
      <c r="AV1182" s="6" t="str">
        <f t="shared" si="19"/>
        <v/>
      </c>
    </row>
    <row r="1183" spans="1:48" ht="47.65" thickBot="1" x14ac:dyDescent="0.5">
      <c r="A1183" s="36" t="s">
        <v>75</v>
      </c>
      <c r="B1183" s="3" t="s">
        <v>76</v>
      </c>
      <c r="C1183" s="4" t="s">
        <v>10</v>
      </c>
      <c r="D1183" s="4"/>
      <c r="E1183" s="4" t="s">
        <v>10</v>
      </c>
      <c r="F1183" s="4"/>
      <c r="G1183" s="4" t="s">
        <v>10</v>
      </c>
      <c r="H1183" s="4"/>
      <c r="I1183" s="18" t="s">
        <v>2473</v>
      </c>
      <c r="J1183" s="18" t="s">
        <v>2473</v>
      </c>
      <c r="K1183" s="18" t="s">
        <v>2473</v>
      </c>
      <c r="L1183" s="18" t="s">
        <v>2335</v>
      </c>
      <c r="AS1183" s="206" t="s">
        <v>5860</v>
      </c>
      <c r="AU1183" s="8"/>
      <c r="AV1183" s="6" t="str">
        <f t="shared" si="19"/>
        <v/>
      </c>
    </row>
    <row r="1184" spans="1:48" ht="14.65" thickBot="1" x14ac:dyDescent="0.5">
      <c r="A1184" s="35" t="s">
        <v>59</v>
      </c>
      <c r="B1184" s="3" t="s">
        <v>60</v>
      </c>
      <c r="C1184" s="4"/>
      <c r="D1184" s="4"/>
      <c r="E1184" s="4"/>
      <c r="F1184" s="4"/>
      <c r="G1184" s="4"/>
      <c r="H1184" s="4"/>
      <c r="I1184" s="18" t="s">
        <v>2473</v>
      </c>
      <c r="J1184" s="18" t="s">
        <v>2473</v>
      </c>
      <c r="K1184" s="18" t="s">
        <v>2473</v>
      </c>
      <c r="L1184" s="18" t="s">
        <v>2335</v>
      </c>
      <c r="AU1184" s="8"/>
      <c r="AV1184" s="6" t="str">
        <f t="shared" si="19"/>
        <v/>
      </c>
    </row>
    <row r="1185" spans="1:48" ht="14.65" thickBot="1" x14ac:dyDescent="0.5">
      <c r="A1185" s="35" t="s">
        <v>976</v>
      </c>
      <c r="B1185" s="3" t="s">
        <v>977</v>
      </c>
      <c r="C1185" s="4" t="s">
        <v>10</v>
      </c>
      <c r="D1185" s="4"/>
      <c r="E1185" s="4" t="s">
        <v>10</v>
      </c>
      <c r="F1185" s="4"/>
      <c r="G1185" s="4" t="s">
        <v>10</v>
      </c>
      <c r="H1185" s="4"/>
      <c r="I1185" s="18" t="s">
        <v>2473</v>
      </c>
      <c r="J1185" s="18" t="s">
        <v>2473</v>
      </c>
      <c r="K1185" s="18" t="s">
        <v>2473</v>
      </c>
      <c r="L1185" s="18" t="s">
        <v>2336</v>
      </c>
      <c r="AU1185" s="6"/>
      <c r="AV1185" s="6" t="str">
        <f t="shared" si="19"/>
        <v/>
      </c>
    </row>
    <row r="1186" spans="1:48" ht="14.65" thickBot="1" x14ac:dyDescent="0.5">
      <c r="A1186" s="35" t="s">
        <v>43</v>
      </c>
      <c r="B1186" s="3" t="s">
        <v>977</v>
      </c>
      <c r="C1186" s="4"/>
      <c r="D1186" s="4"/>
      <c r="E1186" s="4"/>
      <c r="F1186" s="4"/>
      <c r="G1186" s="4"/>
      <c r="H1186" s="4"/>
      <c r="I1186" s="18" t="s">
        <v>2473</v>
      </c>
      <c r="J1186" s="18" t="s">
        <v>2473</v>
      </c>
      <c r="K1186" s="18" t="s">
        <v>2473</v>
      </c>
      <c r="L1186" s="18" t="s">
        <v>2335</v>
      </c>
      <c r="AU1186" s="6"/>
      <c r="AV1186" s="6" t="str">
        <f t="shared" si="19"/>
        <v/>
      </c>
    </row>
    <row r="1187" spans="1:48" ht="35.25" thickBot="1" x14ac:dyDescent="0.5">
      <c r="A1187" s="36" t="s">
        <v>978</v>
      </c>
      <c r="B1187" s="3" t="s">
        <v>979</v>
      </c>
      <c r="C1187" s="4" t="s">
        <v>10</v>
      </c>
      <c r="D1187" s="4"/>
      <c r="E1187" s="4" t="s">
        <v>10</v>
      </c>
      <c r="F1187" s="4"/>
      <c r="G1187" s="4" t="s">
        <v>10</v>
      </c>
      <c r="H1187" s="4"/>
      <c r="I1187" s="18" t="s">
        <v>2473</v>
      </c>
      <c r="J1187" s="18" t="s">
        <v>2473</v>
      </c>
      <c r="K1187" s="18" t="s">
        <v>2473</v>
      </c>
      <c r="L1187" s="18" t="s">
        <v>2334</v>
      </c>
      <c r="R1187" s="122" t="s">
        <v>3435</v>
      </c>
      <c r="S1187" s="114" t="s">
        <v>3437</v>
      </c>
      <c r="T1187" s="114" t="s">
        <v>978</v>
      </c>
      <c r="U1187" s="114"/>
      <c r="V1187" s="114" t="s">
        <v>3543</v>
      </c>
      <c r="W1187" s="114" t="s">
        <v>3436</v>
      </c>
      <c r="X1187" s="114" t="s">
        <v>13</v>
      </c>
      <c r="Y1187" s="149"/>
      <c r="Z1187" s="183"/>
      <c r="AA1187" s="183"/>
      <c r="AB1187" s="183"/>
      <c r="AC1187" s="183"/>
      <c r="AD1187" s="183"/>
      <c r="AE1187" s="184"/>
      <c r="AF1187" s="184"/>
      <c r="AG1187" s="183"/>
      <c r="AH1187" s="183"/>
      <c r="AI1187" s="183"/>
      <c r="AJ1187" s="183"/>
      <c r="AK1187" s="183"/>
      <c r="AL1187" s="183"/>
      <c r="AM1187" s="183"/>
      <c r="AN1187" s="131"/>
      <c r="AO1187" s="131"/>
      <c r="AP1187" s="131"/>
      <c r="AQ1187" s="131"/>
      <c r="AR1187" s="288"/>
      <c r="AS1187" s="259"/>
      <c r="AT1187" s="183"/>
      <c r="AU1187" s="201" t="s">
        <v>4169</v>
      </c>
      <c r="AV1187" s="6" t="str">
        <f t="shared" si="19"/>
        <v>OK</v>
      </c>
    </row>
    <row r="1188" spans="1:48" ht="14.65" thickBot="1" x14ac:dyDescent="0.5">
      <c r="A1188" s="35" t="s">
        <v>33</v>
      </c>
      <c r="B1188" s="3" t="s">
        <v>979</v>
      </c>
      <c r="C1188" s="4"/>
      <c r="D1188" s="4"/>
      <c r="E1188" s="4"/>
      <c r="F1188" s="4"/>
      <c r="G1188" s="4"/>
      <c r="H1188" s="4"/>
      <c r="I1188" s="18" t="s">
        <v>2473</v>
      </c>
      <c r="J1188" s="18" t="s">
        <v>2473</v>
      </c>
      <c r="K1188" s="18" t="s">
        <v>2473</v>
      </c>
      <c r="L1188" s="18" t="s">
        <v>2335</v>
      </c>
      <c r="AU1188" s="6"/>
      <c r="AV1188" s="6" t="str">
        <f t="shared" si="19"/>
        <v/>
      </c>
    </row>
    <row r="1189" spans="1:48" ht="14.65" thickBot="1" x14ac:dyDescent="0.5">
      <c r="A1189" s="36" t="s">
        <v>980</v>
      </c>
      <c r="B1189" s="3" t="s">
        <v>981</v>
      </c>
      <c r="C1189" s="4"/>
      <c r="D1189" s="4"/>
      <c r="E1189" s="4"/>
      <c r="F1189" s="4"/>
      <c r="G1189" s="4"/>
      <c r="H1189" s="4"/>
      <c r="I1189" s="18" t="s">
        <v>2473</v>
      </c>
      <c r="J1189" s="18" t="s">
        <v>2473</v>
      </c>
      <c r="K1189" s="18" t="s">
        <v>2473</v>
      </c>
      <c r="L1189" s="18" t="s">
        <v>2335</v>
      </c>
      <c r="AU1189" s="6"/>
      <c r="AV1189" s="6" t="str">
        <f t="shared" si="19"/>
        <v/>
      </c>
    </row>
    <row r="1190" spans="1:48" ht="14.65" thickBot="1" x14ac:dyDescent="0.5">
      <c r="A1190" s="36" t="s">
        <v>982</v>
      </c>
      <c r="B1190" s="3" t="s">
        <v>983</v>
      </c>
      <c r="C1190" s="4"/>
      <c r="D1190" s="4"/>
      <c r="E1190" s="4"/>
      <c r="F1190" s="4"/>
      <c r="G1190" s="4"/>
      <c r="H1190" s="4"/>
      <c r="I1190" s="18" t="s">
        <v>2473</v>
      </c>
      <c r="J1190" s="18" t="s">
        <v>2473</v>
      </c>
      <c r="K1190" s="18" t="s">
        <v>2473</v>
      </c>
      <c r="L1190" s="18" t="s">
        <v>2335</v>
      </c>
      <c r="AU1190" s="6"/>
      <c r="AV1190" s="6" t="str">
        <f t="shared" si="19"/>
        <v/>
      </c>
    </row>
    <row r="1191" spans="1:48" ht="14.65" thickBot="1" x14ac:dyDescent="0.5">
      <c r="A1191" s="35" t="s">
        <v>984</v>
      </c>
      <c r="B1191" s="3" t="s">
        <v>985</v>
      </c>
      <c r="C1191" s="4"/>
      <c r="D1191" s="4"/>
      <c r="E1191" s="4"/>
      <c r="F1191" s="4"/>
      <c r="G1191" s="4"/>
      <c r="H1191" s="4"/>
      <c r="I1191" s="18" t="s">
        <v>2473</v>
      </c>
      <c r="J1191" s="18" t="s">
        <v>2473</v>
      </c>
      <c r="K1191" s="18" t="s">
        <v>2473</v>
      </c>
      <c r="L1191" s="18" t="s">
        <v>2335</v>
      </c>
      <c r="AU1191" s="6"/>
      <c r="AV1191" s="6" t="str">
        <f t="shared" si="19"/>
        <v/>
      </c>
    </row>
    <row r="1192" spans="1:48" ht="23.65" thickBot="1" x14ac:dyDescent="0.5">
      <c r="A1192" s="35" t="s">
        <v>986</v>
      </c>
      <c r="B1192" s="3" t="s">
        <v>987</v>
      </c>
      <c r="C1192" s="4"/>
      <c r="D1192" s="4"/>
      <c r="E1192" s="4"/>
      <c r="F1192" s="4"/>
      <c r="G1192" s="4"/>
      <c r="H1192" s="4"/>
      <c r="I1192" s="18" t="s">
        <v>2473</v>
      </c>
      <c r="J1192" s="18" t="s">
        <v>2473</v>
      </c>
      <c r="K1192" s="18" t="s">
        <v>2473</v>
      </c>
      <c r="L1192" s="18" t="s">
        <v>2335</v>
      </c>
      <c r="AU1192" s="6"/>
      <c r="AV1192" s="6" t="str">
        <f t="shared" si="19"/>
        <v/>
      </c>
    </row>
    <row r="1193" spans="1:48" ht="23.65" thickBot="1" x14ac:dyDescent="0.5">
      <c r="A1193" s="35" t="s">
        <v>988</v>
      </c>
      <c r="B1193" s="3" t="s">
        <v>989</v>
      </c>
      <c r="C1193" s="4"/>
      <c r="D1193" s="4"/>
      <c r="E1193" s="4"/>
      <c r="F1193" s="4"/>
      <c r="G1193" s="4"/>
      <c r="H1193" s="4"/>
      <c r="I1193" s="18" t="s">
        <v>2473</v>
      </c>
      <c r="J1193" s="18" t="s">
        <v>2473</v>
      </c>
      <c r="K1193" s="18" t="s">
        <v>2473</v>
      </c>
      <c r="L1193" s="18" t="s">
        <v>2335</v>
      </c>
      <c r="AU1193" s="6"/>
      <c r="AV1193" s="6" t="str">
        <f t="shared" si="19"/>
        <v/>
      </c>
    </row>
    <row r="1194" spans="1:48" ht="23.65" thickBot="1" x14ac:dyDescent="0.5">
      <c r="A1194" s="35" t="s">
        <v>455</v>
      </c>
      <c r="B1194" s="3" t="s">
        <v>990</v>
      </c>
      <c r="C1194" s="4"/>
      <c r="D1194" s="4"/>
      <c r="E1194" s="4"/>
      <c r="F1194" s="4"/>
      <c r="G1194" s="4"/>
      <c r="H1194" s="4"/>
      <c r="I1194" s="18" t="s">
        <v>2473</v>
      </c>
      <c r="J1194" s="18" t="s">
        <v>2473</v>
      </c>
      <c r="K1194" s="18" t="s">
        <v>2473</v>
      </c>
      <c r="L1194" s="18" t="s">
        <v>2335</v>
      </c>
      <c r="AU1194" s="6"/>
      <c r="AV1194" s="6" t="str">
        <f t="shared" si="19"/>
        <v/>
      </c>
    </row>
    <row r="1195" spans="1:48" ht="23.65" thickBot="1" x14ac:dyDescent="0.5">
      <c r="A1195" s="35" t="s">
        <v>991</v>
      </c>
      <c r="B1195" s="3" t="s">
        <v>992</v>
      </c>
      <c r="C1195" s="4"/>
      <c r="D1195" s="4"/>
      <c r="E1195" s="4"/>
      <c r="F1195" s="4"/>
      <c r="G1195" s="4"/>
      <c r="H1195" s="4"/>
      <c r="I1195" s="18" t="s">
        <v>2473</v>
      </c>
      <c r="J1195" s="18" t="s">
        <v>2473</v>
      </c>
      <c r="K1195" s="18" t="s">
        <v>2473</v>
      </c>
      <c r="L1195" s="18" t="s">
        <v>2335</v>
      </c>
      <c r="AU1195" s="6"/>
      <c r="AV1195" s="6" t="str">
        <f t="shared" si="19"/>
        <v/>
      </c>
    </row>
    <row r="1196" spans="1:48" ht="23.65" thickBot="1" x14ac:dyDescent="0.5">
      <c r="A1196" s="35" t="s">
        <v>993</v>
      </c>
      <c r="B1196" s="3" t="s">
        <v>994</v>
      </c>
      <c r="C1196" s="4"/>
      <c r="D1196" s="4"/>
      <c r="E1196" s="4"/>
      <c r="F1196" s="4"/>
      <c r="G1196" s="4"/>
      <c r="H1196" s="4"/>
      <c r="I1196" s="18" t="s">
        <v>2473</v>
      </c>
      <c r="J1196" s="18" t="s">
        <v>2473</v>
      </c>
      <c r="K1196" s="18" t="s">
        <v>2473</v>
      </c>
      <c r="L1196" s="18" t="s">
        <v>2335</v>
      </c>
      <c r="AU1196" s="6"/>
      <c r="AV1196" s="6" t="str">
        <f t="shared" si="19"/>
        <v/>
      </c>
    </row>
    <row r="1197" spans="1:48" ht="14.65" thickBot="1" x14ac:dyDescent="0.5">
      <c r="A1197" s="35" t="s">
        <v>995</v>
      </c>
      <c r="B1197" s="3" t="s">
        <v>996</v>
      </c>
      <c r="C1197" s="4"/>
      <c r="D1197" s="4"/>
      <c r="E1197" s="4"/>
      <c r="F1197" s="4"/>
      <c r="G1197" s="4"/>
      <c r="H1197" s="4"/>
      <c r="I1197" s="18" t="s">
        <v>2473</v>
      </c>
      <c r="J1197" s="18" t="s">
        <v>2473</v>
      </c>
      <c r="K1197" s="18" t="s">
        <v>2473</v>
      </c>
      <c r="L1197" s="18" t="s">
        <v>2335</v>
      </c>
      <c r="AU1197" s="6"/>
      <c r="AV1197" s="6" t="str">
        <f t="shared" si="19"/>
        <v/>
      </c>
    </row>
    <row r="1198" spans="1:48" ht="14.65" thickBot="1" x14ac:dyDescent="0.5">
      <c r="A1198" s="35" t="s">
        <v>997</v>
      </c>
      <c r="B1198" s="3" t="s">
        <v>998</v>
      </c>
      <c r="C1198" s="4"/>
      <c r="D1198" s="4"/>
      <c r="E1198" s="4"/>
      <c r="F1198" s="4"/>
      <c r="G1198" s="4"/>
      <c r="H1198" s="4"/>
      <c r="I1198" s="18" t="s">
        <v>2473</v>
      </c>
      <c r="J1198" s="18" t="s">
        <v>2473</v>
      </c>
      <c r="K1198" s="18" t="s">
        <v>2473</v>
      </c>
      <c r="L1198" s="18" t="s">
        <v>2335</v>
      </c>
      <c r="AU1198" s="6"/>
      <c r="AV1198" s="6" t="str">
        <f t="shared" si="19"/>
        <v/>
      </c>
    </row>
    <row r="1199" spans="1:48" ht="14.65" thickBot="1" x14ac:dyDescent="0.5">
      <c r="A1199" s="35" t="s">
        <v>999</v>
      </c>
      <c r="B1199" s="3" t="s">
        <v>1000</v>
      </c>
      <c r="C1199" s="4"/>
      <c r="D1199" s="4"/>
      <c r="E1199" s="4"/>
      <c r="F1199" s="4"/>
      <c r="G1199" s="4"/>
      <c r="H1199" s="4"/>
      <c r="I1199" s="18" t="s">
        <v>2473</v>
      </c>
      <c r="J1199" s="18" t="s">
        <v>2473</v>
      </c>
      <c r="K1199" s="18" t="s">
        <v>2473</v>
      </c>
      <c r="L1199" s="18" t="s">
        <v>2335</v>
      </c>
      <c r="AU1199" s="6"/>
      <c r="AV1199" s="6" t="str">
        <f t="shared" si="19"/>
        <v/>
      </c>
    </row>
    <row r="1200" spans="1:48" ht="14.65" thickBot="1" x14ac:dyDescent="0.5">
      <c r="A1200" s="36" t="s">
        <v>1001</v>
      </c>
      <c r="B1200" s="3" t="s">
        <v>1002</v>
      </c>
      <c r="C1200" s="4"/>
      <c r="D1200" s="4"/>
      <c r="E1200" s="4"/>
      <c r="F1200" s="4"/>
      <c r="G1200" s="4"/>
      <c r="H1200" s="4"/>
      <c r="I1200" s="18" t="s">
        <v>2473</v>
      </c>
      <c r="J1200" s="18" t="s">
        <v>2473</v>
      </c>
      <c r="K1200" s="18" t="s">
        <v>2473</v>
      </c>
      <c r="L1200" s="18" t="s">
        <v>2335</v>
      </c>
      <c r="AU1200" s="6"/>
      <c r="AV1200" s="6" t="str">
        <f t="shared" si="19"/>
        <v/>
      </c>
    </row>
    <row r="1201" spans="1:48" ht="47.65" thickBot="1" x14ac:dyDescent="0.5">
      <c r="A1201" s="36" t="s">
        <v>1003</v>
      </c>
      <c r="B1201" s="3" t="s">
        <v>1004</v>
      </c>
      <c r="C1201" s="4" t="s">
        <v>13</v>
      </c>
      <c r="D1201" s="4"/>
      <c r="E1201" s="4" t="s">
        <v>13</v>
      </c>
      <c r="F1201" s="4"/>
      <c r="G1201" s="4" t="s">
        <v>13</v>
      </c>
      <c r="H1201" s="4"/>
      <c r="I1201" s="18" t="s">
        <v>2473</v>
      </c>
      <c r="J1201" s="18" t="s">
        <v>2473</v>
      </c>
      <c r="K1201" s="18" t="s">
        <v>2473</v>
      </c>
      <c r="L1201" s="18" t="s">
        <v>2336</v>
      </c>
      <c r="AT1201" s="233" t="s">
        <v>5315</v>
      </c>
      <c r="AU1201" s="6"/>
      <c r="AV1201" s="6" t="str">
        <f t="shared" ref="AV1201:AV1264" si="20">IF(A1201&lt;&gt;"",IF(T1201&lt;&gt;"",IF(LEFT(R1201,3)="Has",IF(TRIM(A1201)&lt;&gt;T1201,"ERROR","OK"),""),""),"")</f>
        <v/>
      </c>
    </row>
    <row r="1202" spans="1:48" ht="14.65" thickBot="1" x14ac:dyDescent="0.5">
      <c r="A1202" s="35" t="s">
        <v>33</v>
      </c>
      <c r="B1202" s="3" t="s">
        <v>1005</v>
      </c>
      <c r="C1202" s="4"/>
      <c r="D1202" s="4"/>
      <c r="E1202" s="4"/>
      <c r="F1202" s="4"/>
      <c r="G1202" s="4"/>
      <c r="H1202" s="4"/>
      <c r="I1202" s="18" t="s">
        <v>2473</v>
      </c>
      <c r="J1202" s="18" t="s">
        <v>2473</v>
      </c>
      <c r="K1202" s="18" t="s">
        <v>2473</v>
      </c>
      <c r="L1202" s="18" t="s">
        <v>2335</v>
      </c>
      <c r="AU1202" s="6"/>
      <c r="AV1202" s="6" t="str">
        <f t="shared" si="20"/>
        <v/>
      </c>
    </row>
    <row r="1203" spans="1:48" ht="46.9" thickBot="1" x14ac:dyDescent="0.5">
      <c r="A1203" s="36" t="s">
        <v>2897</v>
      </c>
      <c r="B1203" s="3" t="s">
        <v>2898</v>
      </c>
      <c r="C1203" s="4"/>
      <c r="D1203" s="4"/>
      <c r="E1203" s="4"/>
      <c r="F1203" s="4"/>
      <c r="G1203" s="4"/>
      <c r="H1203" s="4"/>
      <c r="J1203" s="18" t="s">
        <v>2473</v>
      </c>
      <c r="K1203" s="18" t="s">
        <v>2473</v>
      </c>
      <c r="L1203" s="18" t="s">
        <v>2336</v>
      </c>
      <c r="AT1203" s="139" t="s">
        <v>5322</v>
      </c>
      <c r="AU1203" s="6"/>
      <c r="AV1203" s="6" t="str">
        <f t="shared" si="20"/>
        <v/>
      </c>
    </row>
    <row r="1204" spans="1:48" ht="14.65" thickBot="1" x14ac:dyDescent="0.5">
      <c r="A1204" s="35" t="s">
        <v>33</v>
      </c>
      <c r="B1204" s="3" t="s">
        <v>94</v>
      </c>
      <c r="C1204" s="4"/>
      <c r="D1204" s="4"/>
      <c r="E1204" s="4"/>
      <c r="F1204" s="4"/>
      <c r="G1204" s="4"/>
      <c r="H1204" s="4"/>
      <c r="J1204" s="18" t="s">
        <v>2473</v>
      </c>
      <c r="K1204" s="18" t="s">
        <v>2473</v>
      </c>
      <c r="L1204" s="18" t="s">
        <v>2335</v>
      </c>
      <c r="AU1204" s="6"/>
      <c r="AV1204" s="6" t="str">
        <f t="shared" si="20"/>
        <v/>
      </c>
    </row>
    <row r="1205" spans="1:48" ht="14.65" thickBot="1" x14ac:dyDescent="0.5">
      <c r="A1205" s="36" t="s">
        <v>1006</v>
      </c>
      <c r="B1205" s="3" t="s">
        <v>1007</v>
      </c>
      <c r="C1205" s="4" t="s">
        <v>10</v>
      </c>
      <c r="D1205" s="4"/>
      <c r="E1205" s="4" t="s">
        <v>10</v>
      </c>
      <c r="F1205" s="4"/>
      <c r="G1205" s="4" t="s">
        <v>10</v>
      </c>
      <c r="H1205" s="4"/>
      <c r="I1205" s="18" t="s">
        <v>2473</v>
      </c>
      <c r="J1205" s="18" t="s">
        <v>2473</v>
      </c>
      <c r="K1205" s="18" t="s">
        <v>2473</v>
      </c>
      <c r="L1205" s="18" t="s">
        <v>2336</v>
      </c>
      <c r="AU1205" s="6"/>
      <c r="AV1205" s="6" t="str">
        <f t="shared" si="20"/>
        <v/>
      </c>
    </row>
    <row r="1206" spans="1:48" ht="14.65" thickBot="1" x14ac:dyDescent="0.5">
      <c r="A1206" s="35" t="s">
        <v>33</v>
      </c>
      <c r="B1206" s="3" t="s">
        <v>1008</v>
      </c>
      <c r="C1206" s="4"/>
      <c r="D1206" s="4"/>
      <c r="E1206" s="4"/>
      <c r="F1206" s="4"/>
      <c r="G1206" s="4"/>
      <c r="H1206" s="4"/>
      <c r="I1206" s="18" t="s">
        <v>2473</v>
      </c>
      <c r="J1206" s="18" t="s">
        <v>2473</v>
      </c>
      <c r="K1206" s="18" t="s">
        <v>2473</v>
      </c>
      <c r="L1206" s="18" t="s">
        <v>2335</v>
      </c>
      <c r="AU1206" s="6"/>
      <c r="AV1206" s="6" t="str">
        <f t="shared" si="20"/>
        <v/>
      </c>
    </row>
    <row r="1207" spans="1:48" ht="14.65" thickBot="1" x14ac:dyDescent="0.5">
      <c r="A1207" s="36" t="s">
        <v>1009</v>
      </c>
      <c r="B1207" s="3" t="s">
        <v>1010</v>
      </c>
      <c r="C1207" s="4"/>
      <c r="D1207" s="4"/>
      <c r="E1207" s="4"/>
      <c r="F1207" s="4"/>
      <c r="G1207" s="4"/>
      <c r="H1207" s="4"/>
      <c r="I1207" s="18" t="s">
        <v>2473</v>
      </c>
      <c r="J1207" s="18" t="s">
        <v>2473</v>
      </c>
      <c r="K1207" s="18" t="s">
        <v>2473</v>
      </c>
      <c r="L1207" s="18" t="s">
        <v>2335</v>
      </c>
      <c r="AU1207" s="6"/>
      <c r="AV1207" s="6" t="str">
        <f t="shared" si="20"/>
        <v/>
      </c>
    </row>
    <row r="1208" spans="1:48" ht="14.65" thickBot="1" x14ac:dyDescent="0.5">
      <c r="A1208" s="35" t="s">
        <v>33</v>
      </c>
      <c r="B1208" s="3" t="s">
        <v>84</v>
      </c>
      <c r="C1208" s="4"/>
      <c r="D1208" s="4"/>
      <c r="E1208" s="4"/>
      <c r="F1208" s="4"/>
      <c r="G1208" s="4"/>
      <c r="H1208" s="4"/>
      <c r="I1208" s="18" t="s">
        <v>2473</v>
      </c>
      <c r="J1208" s="18" t="s">
        <v>2473</v>
      </c>
      <c r="K1208" s="18" t="s">
        <v>2473</v>
      </c>
      <c r="L1208" s="18" t="s">
        <v>2335</v>
      </c>
      <c r="AU1208" s="6"/>
      <c r="AV1208" s="6" t="str">
        <f t="shared" si="20"/>
        <v/>
      </c>
    </row>
    <row r="1209" spans="1:48" ht="14.65" thickBot="1" x14ac:dyDescent="0.5">
      <c r="A1209" s="36" t="s">
        <v>1011</v>
      </c>
      <c r="B1209" s="3" t="s">
        <v>1012</v>
      </c>
      <c r="C1209" s="4"/>
      <c r="D1209" s="4"/>
      <c r="E1209" s="4"/>
      <c r="F1209" s="4"/>
      <c r="G1209" s="4"/>
      <c r="H1209" s="4"/>
      <c r="I1209" s="18" t="s">
        <v>2473</v>
      </c>
      <c r="J1209" s="18" t="s">
        <v>2473</v>
      </c>
      <c r="K1209" s="18" t="s">
        <v>2473</v>
      </c>
      <c r="L1209" s="18" t="s">
        <v>2335</v>
      </c>
      <c r="AU1209" s="6"/>
      <c r="AV1209" s="6" t="str">
        <f t="shared" si="20"/>
        <v/>
      </c>
    </row>
    <row r="1210" spans="1:48" ht="14.65" thickBot="1" x14ac:dyDescent="0.5">
      <c r="A1210" s="35" t="s">
        <v>33</v>
      </c>
      <c r="B1210" s="3" t="s">
        <v>84</v>
      </c>
      <c r="C1210" s="4"/>
      <c r="D1210" s="4"/>
      <c r="E1210" s="4"/>
      <c r="F1210" s="4"/>
      <c r="G1210" s="4"/>
      <c r="H1210" s="4"/>
      <c r="I1210" s="18" t="s">
        <v>2473</v>
      </c>
      <c r="J1210" s="18" t="s">
        <v>2473</v>
      </c>
      <c r="K1210" s="18" t="s">
        <v>2473</v>
      </c>
      <c r="L1210" s="18" t="s">
        <v>2335</v>
      </c>
      <c r="AU1210" s="6"/>
      <c r="AV1210" s="6" t="str">
        <f t="shared" si="20"/>
        <v/>
      </c>
    </row>
    <row r="1211" spans="1:48" ht="20.65" thickBot="1" x14ac:dyDescent="0.5">
      <c r="A1211" s="36" t="s">
        <v>1013</v>
      </c>
      <c r="B1211" s="3" t="s">
        <v>1014</v>
      </c>
      <c r="C1211" s="4" t="s">
        <v>10</v>
      </c>
      <c r="D1211" s="4"/>
      <c r="E1211" s="4" t="s">
        <v>10</v>
      </c>
      <c r="F1211" s="4"/>
      <c r="G1211" s="4" t="s">
        <v>10</v>
      </c>
      <c r="H1211" s="4"/>
      <c r="I1211" s="18" t="s">
        <v>2473</v>
      </c>
      <c r="J1211" s="18" t="s">
        <v>2473</v>
      </c>
      <c r="K1211" s="18" t="s">
        <v>2473</v>
      </c>
      <c r="L1211" s="18" t="s">
        <v>2334</v>
      </c>
      <c r="R1211" s="122" t="s">
        <v>3435</v>
      </c>
      <c r="S1211" s="114" t="s">
        <v>3437</v>
      </c>
      <c r="T1211" s="114" t="s">
        <v>1013</v>
      </c>
      <c r="U1211" s="114"/>
      <c r="V1211" s="114" t="s">
        <v>3544</v>
      </c>
      <c r="W1211" s="114" t="s">
        <v>3436</v>
      </c>
      <c r="X1211" s="114" t="s">
        <v>13</v>
      </c>
      <c r="Y1211" s="149"/>
      <c r="Z1211" s="183"/>
      <c r="AA1211" s="183"/>
      <c r="AB1211" s="183"/>
      <c r="AC1211" s="183"/>
      <c r="AD1211" s="183"/>
      <c r="AE1211" s="184"/>
      <c r="AF1211" s="184"/>
      <c r="AG1211" s="183"/>
      <c r="AH1211" s="183"/>
      <c r="AI1211" s="183"/>
      <c r="AJ1211" s="183"/>
      <c r="AK1211" s="183"/>
      <c r="AL1211" s="183"/>
      <c r="AM1211" s="183"/>
      <c r="AN1211" s="131"/>
      <c r="AO1211" s="131"/>
      <c r="AP1211" s="131"/>
      <c r="AQ1211" s="131"/>
      <c r="AR1211" s="288"/>
      <c r="AS1211" s="259"/>
      <c r="AT1211" s="183"/>
      <c r="AU1211" s="6"/>
      <c r="AV1211" s="6" t="str">
        <f t="shared" si="20"/>
        <v>OK</v>
      </c>
    </row>
    <row r="1212" spans="1:48" ht="14.65" thickBot="1" x14ac:dyDescent="0.5">
      <c r="A1212" s="35" t="s">
        <v>33</v>
      </c>
      <c r="B1212" s="3" t="s">
        <v>1015</v>
      </c>
      <c r="C1212" s="4"/>
      <c r="D1212" s="4"/>
      <c r="E1212" s="4"/>
      <c r="F1212" s="4"/>
      <c r="G1212" s="4"/>
      <c r="H1212" s="4"/>
      <c r="I1212" s="18" t="s">
        <v>2473</v>
      </c>
      <c r="J1212" s="18" t="s">
        <v>2473</v>
      </c>
      <c r="K1212" s="18" t="s">
        <v>2473</v>
      </c>
      <c r="L1212" s="18" t="s">
        <v>2335</v>
      </c>
      <c r="AU1212" s="6"/>
      <c r="AV1212" s="6" t="str">
        <f t="shared" si="20"/>
        <v/>
      </c>
    </row>
    <row r="1213" spans="1:48" ht="47.65" thickBot="1" x14ac:dyDescent="0.5">
      <c r="A1213" s="36" t="s">
        <v>1016</v>
      </c>
      <c r="B1213" s="3" t="s">
        <v>1017</v>
      </c>
      <c r="C1213" s="4" t="s">
        <v>13</v>
      </c>
      <c r="D1213" s="4"/>
      <c r="E1213" s="4" t="s">
        <v>13</v>
      </c>
      <c r="F1213" s="4"/>
      <c r="G1213" s="4" t="s">
        <v>13</v>
      </c>
      <c r="H1213" s="4"/>
      <c r="I1213" s="18" t="s">
        <v>2473</v>
      </c>
      <c r="J1213" s="18" t="s">
        <v>2473</v>
      </c>
      <c r="K1213" s="18" t="s">
        <v>2473</v>
      </c>
      <c r="L1213" s="18" t="s">
        <v>2336</v>
      </c>
      <c r="AT1213" s="233" t="s">
        <v>5315</v>
      </c>
      <c r="AU1213" s="6"/>
      <c r="AV1213" s="6" t="str">
        <f t="shared" si="20"/>
        <v/>
      </c>
    </row>
    <row r="1214" spans="1:48" ht="14.65" thickBot="1" x14ac:dyDescent="0.5">
      <c r="A1214" s="35" t="s">
        <v>33</v>
      </c>
      <c r="B1214" s="3" t="s">
        <v>1018</v>
      </c>
      <c r="C1214" s="4"/>
      <c r="D1214" s="4"/>
      <c r="E1214" s="4"/>
      <c r="F1214" s="4"/>
      <c r="G1214" s="4"/>
      <c r="H1214" s="4"/>
      <c r="I1214" s="18" t="s">
        <v>2473</v>
      </c>
      <c r="J1214" s="18" t="s">
        <v>2473</v>
      </c>
      <c r="K1214" s="18" t="s">
        <v>2473</v>
      </c>
      <c r="L1214" s="18" t="s">
        <v>2335</v>
      </c>
      <c r="AU1214" s="6"/>
      <c r="AV1214" s="6" t="str">
        <f t="shared" si="20"/>
        <v/>
      </c>
    </row>
    <row r="1215" spans="1:48" ht="36" thickBot="1" x14ac:dyDescent="0.5">
      <c r="A1215" s="36" t="s">
        <v>1019</v>
      </c>
      <c r="B1215" s="3" t="s">
        <v>1020</v>
      </c>
      <c r="C1215" s="4" t="s">
        <v>13</v>
      </c>
      <c r="D1215" s="4"/>
      <c r="E1215" s="4" t="s">
        <v>13</v>
      </c>
      <c r="F1215" s="4"/>
      <c r="G1215" s="4" t="s">
        <v>13</v>
      </c>
      <c r="H1215" s="4"/>
      <c r="I1215" s="18" t="s">
        <v>2473</v>
      </c>
      <c r="J1215" s="18" t="s">
        <v>2473</v>
      </c>
      <c r="K1215" s="18" t="s">
        <v>2473</v>
      </c>
      <c r="L1215" s="18" t="s">
        <v>2336</v>
      </c>
      <c r="AT1215" s="233" t="s">
        <v>5314</v>
      </c>
      <c r="AU1215" s="6"/>
      <c r="AV1215" s="6" t="str">
        <f t="shared" si="20"/>
        <v/>
      </c>
    </row>
    <row r="1216" spans="1:48" ht="14.65" thickBot="1" x14ac:dyDescent="0.5">
      <c r="A1216" s="35" t="s">
        <v>33</v>
      </c>
      <c r="B1216" s="3" t="s">
        <v>1021</v>
      </c>
      <c r="C1216" s="4"/>
      <c r="D1216" s="4"/>
      <c r="E1216" s="4"/>
      <c r="F1216" s="4"/>
      <c r="G1216" s="4"/>
      <c r="H1216" s="4"/>
      <c r="I1216" s="18" t="s">
        <v>2473</v>
      </c>
      <c r="J1216" s="18" t="s">
        <v>2473</v>
      </c>
      <c r="K1216" s="18" t="s">
        <v>2473</v>
      </c>
      <c r="L1216" s="18" t="s">
        <v>2335</v>
      </c>
      <c r="AU1216" s="6"/>
      <c r="AV1216" s="6" t="str">
        <f t="shared" si="20"/>
        <v/>
      </c>
    </row>
    <row r="1217" spans="1:48" ht="46.9" thickBot="1" x14ac:dyDescent="0.5">
      <c r="A1217" s="36" t="s">
        <v>161</v>
      </c>
      <c r="B1217" s="3" t="s">
        <v>1022</v>
      </c>
      <c r="C1217" s="4" t="s">
        <v>10</v>
      </c>
      <c r="D1217" s="4"/>
      <c r="E1217" s="4" t="s">
        <v>10</v>
      </c>
      <c r="F1217" s="4"/>
      <c r="G1217" s="4" t="s">
        <v>10</v>
      </c>
      <c r="H1217" s="4"/>
      <c r="I1217" s="18" t="s">
        <v>2473</v>
      </c>
      <c r="J1217" s="18" t="s">
        <v>2473</v>
      </c>
      <c r="K1217" s="18" t="s">
        <v>2473</v>
      </c>
      <c r="L1217" s="18" t="s">
        <v>2334</v>
      </c>
      <c r="R1217" s="122" t="s">
        <v>3529</v>
      </c>
      <c r="S1217" s="114" t="s">
        <v>4</v>
      </c>
      <c r="T1217" s="114" t="s">
        <v>161</v>
      </c>
      <c r="U1217" s="114" t="s">
        <v>3521</v>
      </c>
      <c r="V1217" s="114" t="s">
        <v>3530</v>
      </c>
      <c r="W1217" s="114" t="s">
        <v>3436</v>
      </c>
      <c r="X1217" s="114" t="s">
        <v>13</v>
      </c>
      <c r="Y1217" s="149"/>
      <c r="Z1217" s="183"/>
      <c r="AA1217" s="183"/>
      <c r="AB1217" s="183"/>
      <c r="AC1217" s="183"/>
      <c r="AD1217" s="183"/>
      <c r="AE1217" s="184"/>
      <c r="AF1217" s="184"/>
      <c r="AG1217" s="183"/>
      <c r="AH1217" s="183"/>
      <c r="AI1217" s="183"/>
      <c r="AJ1217" s="183"/>
      <c r="AK1217" s="183"/>
      <c r="AL1217" s="183"/>
      <c r="AM1217" s="183"/>
      <c r="AN1217" s="131"/>
      <c r="AO1217" s="131"/>
      <c r="AP1217" s="131"/>
      <c r="AQ1217" s="131"/>
      <c r="AR1217" s="288"/>
      <c r="AS1217" s="259"/>
      <c r="AT1217" s="183"/>
      <c r="AU1217" s="6"/>
      <c r="AV1217" s="6" t="str">
        <f t="shared" si="20"/>
        <v>OK</v>
      </c>
    </row>
    <row r="1218" spans="1:48" ht="36" thickBot="1" x14ac:dyDescent="0.5">
      <c r="A1218" s="36" t="s">
        <v>1023</v>
      </c>
      <c r="B1218" s="3" t="s">
        <v>1024</v>
      </c>
      <c r="C1218" s="4" t="s">
        <v>13</v>
      </c>
      <c r="D1218" s="4"/>
      <c r="E1218" s="4" t="s">
        <v>13</v>
      </c>
      <c r="F1218" s="4"/>
      <c r="G1218" s="4" t="s">
        <v>13</v>
      </c>
      <c r="H1218" s="4"/>
      <c r="I1218" s="18" t="s">
        <v>2473</v>
      </c>
      <c r="J1218" s="18" t="s">
        <v>2473</v>
      </c>
      <c r="K1218" s="18" t="s">
        <v>2473</v>
      </c>
      <c r="L1218" s="18" t="s">
        <v>2336</v>
      </c>
      <c r="R1218" s="122" t="s">
        <v>3435</v>
      </c>
      <c r="S1218" s="114" t="s">
        <v>3437</v>
      </c>
      <c r="T1218" s="114" t="s">
        <v>1023</v>
      </c>
      <c r="U1218" s="114"/>
      <c r="V1218" s="114" t="s">
        <v>3439</v>
      </c>
      <c r="W1218" s="114" t="s">
        <v>3436</v>
      </c>
      <c r="X1218" s="114" t="s">
        <v>13</v>
      </c>
      <c r="Y1218" s="149"/>
      <c r="Z1218" s="183"/>
      <c r="AA1218" s="183"/>
      <c r="AB1218" s="183"/>
      <c r="AC1218" s="183"/>
      <c r="AD1218" s="183"/>
      <c r="AE1218" s="184"/>
      <c r="AF1218" s="184"/>
      <c r="AG1218" s="183"/>
      <c r="AH1218" s="183"/>
      <c r="AI1218" s="183"/>
      <c r="AJ1218" s="183"/>
      <c r="AK1218" s="183"/>
      <c r="AL1218" s="183"/>
      <c r="AM1218" s="183"/>
      <c r="AN1218" s="131"/>
      <c r="AO1218" s="131"/>
      <c r="AP1218" s="131"/>
      <c r="AQ1218" s="131"/>
      <c r="AR1218" s="288"/>
      <c r="AS1218" s="259"/>
      <c r="AT1218" s="233" t="s">
        <v>5314</v>
      </c>
      <c r="AU1218" s="6"/>
      <c r="AV1218" s="6" t="str">
        <f t="shared" si="20"/>
        <v>OK</v>
      </c>
    </row>
    <row r="1219" spans="1:48" ht="14.65" thickBot="1" x14ac:dyDescent="0.5">
      <c r="A1219" s="35" t="s">
        <v>33</v>
      </c>
      <c r="B1219" s="3" t="s">
        <v>1025</v>
      </c>
      <c r="C1219" s="4"/>
      <c r="D1219" s="4"/>
      <c r="E1219" s="4"/>
      <c r="F1219" s="4"/>
      <c r="G1219" s="4"/>
      <c r="H1219" s="4"/>
      <c r="I1219" s="18" t="s">
        <v>2473</v>
      </c>
      <c r="J1219" s="18" t="s">
        <v>2473</v>
      </c>
      <c r="K1219" s="18" t="s">
        <v>2473</v>
      </c>
      <c r="L1219" s="18" t="s">
        <v>2335</v>
      </c>
      <c r="AU1219" s="6"/>
      <c r="AV1219" s="6" t="str">
        <f t="shared" si="20"/>
        <v/>
      </c>
    </row>
    <row r="1220" spans="1:48" ht="14.65" thickBot="1" x14ac:dyDescent="0.5">
      <c r="A1220" s="36" t="s">
        <v>2899</v>
      </c>
      <c r="B1220" s="3" t="s">
        <v>2900</v>
      </c>
      <c r="C1220" s="4" t="s">
        <v>13</v>
      </c>
      <c r="D1220" s="4"/>
      <c r="E1220" s="4" t="s">
        <v>13</v>
      </c>
      <c r="F1220" s="4"/>
      <c r="G1220" s="4" t="s">
        <v>13</v>
      </c>
      <c r="H1220" s="4"/>
      <c r="J1220" s="18" t="s">
        <v>2473</v>
      </c>
      <c r="K1220" s="18" t="s">
        <v>2473</v>
      </c>
      <c r="L1220" s="18" t="s">
        <v>2334</v>
      </c>
      <c r="R1220" s="122" t="s">
        <v>3529</v>
      </c>
      <c r="S1220" s="114" t="s">
        <v>4</v>
      </c>
      <c r="T1220" s="114" t="s">
        <v>2899</v>
      </c>
      <c r="U1220" s="114"/>
      <c r="V1220" s="114" t="s">
        <v>3530</v>
      </c>
      <c r="W1220" s="114" t="s">
        <v>3436</v>
      </c>
      <c r="X1220" s="114" t="s">
        <v>13</v>
      </c>
      <c r="Y1220" s="149"/>
      <c r="Z1220" s="183"/>
      <c r="AA1220" s="183"/>
      <c r="AB1220" s="183"/>
      <c r="AC1220" s="183"/>
      <c r="AD1220" s="183"/>
      <c r="AE1220" s="184"/>
      <c r="AF1220" s="184"/>
      <c r="AG1220" s="183"/>
      <c r="AH1220" s="183"/>
      <c r="AI1220" s="183"/>
      <c r="AJ1220" s="183"/>
      <c r="AK1220" s="183"/>
      <c r="AL1220" s="183"/>
      <c r="AM1220" s="183"/>
      <c r="AN1220" s="131"/>
      <c r="AO1220" s="131"/>
      <c r="AP1220" s="131"/>
      <c r="AQ1220" s="131"/>
      <c r="AR1220" s="288"/>
      <c r="AS1220" s="259"/>
      <c r="AT1220" s="183"/>
      <c r="AU1220" s="6"/>
      <c r="AV1220" s="6" t="str">
        <f t="shared" si="20"/>
        <v>OK</v>
      </c>
    </row>
    <row r="1221" spans="1:48" x14ac:dyDescent="0.45">
      <c r="A1221" s="33" t="s">
        <v>1026</v>
      </c>
      <c r="I1221" s="18" t="s">
        <v>2473</v>
      </c>
      <c r="J1221" s="18" t="s">
        <v>2473</v>
      </c>
      <c r="K1221" s="18" t="s">
        <v>2473</v>
      </c>
      <c r="L1221" s="18" t="s">
        <v>2335</v>
      </c>
      <c r="AU1221" s="6"/>
      <c r="AV1221" s="6" t="str">
        <f t="shared" si="20"/>
        <v/>
      </c>
    </row>
    <row r="1222" spans="1:48" x14ac:dyDescent="0.45">
      <c r="A1222" s="34" t="s">
        <v>1027</v>
      </c>
      <c r="I1222" s="18" t="s">
        <v>2473</v>
      </c>
      <c r="J1222" s="18" t="s">
        <v>2473</v>
      </c>
      <c r="K1222" s="18" t="s">
        <v>2473</v>
      </c>
      <c r="L1222" s="18" t="s">
        <v>2335</v>
      </c>
      <c r="AU1222" s="6"/>
      <c r="AV1222" s="6" t="str">
        <f t="shared" si="20"/>
        <v/>
      </c>
    </row>
    <row r="1223" spans="1:48" s="79" customFormat="1" x14ac:dyDescent="0.45">
      <c r="A1223" s="75"/>
      <c r="B1223" s="76"/>
      <c r="C1223" s="77"/>
      <c r="D1223" s="77"/>
      <c r="E1223" s="77"/>
      <c r="F1223" s="77"/>
      <c r="G1223" s="77"/>
      <c r="H1223" s="77"/>
      <c r="I1223" s="77"/>
      <c r="J1223" s="77"/>
      <c r="K1223" s="77"/>
      <c r="L1223" s="77"/>
      <c r="M1223" s="148"/>
      <c r="N1223" s="78"/>
      <c r="O1223" s="78"/>
      <c r="P1223" s="78"/>
      <c r="Q1223" s="78"/>
      <c r="R1223" s="78"/>
      <c r="S1223" s="78"/>
      <c r="T1223" s="78"/>
      <c r="U1223" s="78"/>
      <c r="V1223" s="78"/>
      <c r="W1223" s="78"/>
      <c r="X1223" s="78"/>
      <c r="Y1223" s="148"/>
      <c r="Z1223" s="78"/>
      <c r="AA1223" s="78"/>
      <c r="AB1223" s="78"/>
      <c r="AC1223" s="78"/>
      <c r="AD1223" s="78"/>
      <c r="AE1223" s="156"/>
      <c r="AF1223" s="156"/>
      <c r="AG1223" s="78"/>
      <c r="AH1223" s="78"/>
      <c r="AI1223" s="78"/>
      <c r="AJ1223" s="78"/>
      <c r="AK1223" s="78"/>
      <c r="AL1223" s="78"/>
      <c r="AM1223" s="78"/>
      <c r="AN1223" s="78"/>
      <c r="AO1223" s="78"/>
      <c r="AP1223" s="78"/>
      <c r="AQ1223" s="78"/>
      <c r="AR1223" s="286"/>
      <c r="AS1223" s="78"/>
      <c r="AT1223" s="78"/>
      <c r="AU1223" s="8"/>
      <c r="AV1223" s="6" t="str">
        <f t="shared" si="20"/>
        <v/>
      </c>
    </row>
    <row r="1224" spans="1:48" x14ac:dyDescent="0.45">
      <c r="A1224" s="27" t="s">
        <v>2419</v>
      </c>
      <c r="I1224" s="18" t="s">
        <v>2473</v>
      </c>
      <c r="J1224" s="18" t="s">
        <v>2473</v>
      </c>
      <c r="K1224" s="18" t="s">
        <v>2473</v>
      </c>
      <c r="L1224" s="18" t="s">
        <v>2335</v>
      </c>
      <c r="AU1224" s="6"/>
      <c r="AV1224" s="6" t="str">
        <f t="shared" si="20"/>
        <v/>
      </c>
    </row>
    <row r="1225" spans="1:48" x14ac:dyDescent="0.45">
      <c r="A1225" s="323" t="s">
        <v>1028</v>
      </c>
      <c r="B1225" s="324"/>
      <c r="C1225" s="324"/>
      <c r="D1225" s="324"/>
      <c r="E1225" s="324"/>
      <c r="F1225" s="324"/>
      <c r="G1225" s="101"/>
      <c r="H1225" s="101"/>
      <c r="I1225" s="18" t="s">
        <v>2473</v>
      </c>
      <c r="J1225" s="18" t="s">
        <v>2473</v>
      </c>
      <c r="K1225" s="18" t="s">
        <v>2473</v>
      </c>
      <c r="L1225" s="18" t="s">
        <v>2335</v>
      </c>
      <c r="AU1225" s="6"/>
      <c r="AV1225" s="6" t="str">
        <f t="shared" si="20"/>
        <v/>
      </c>
    </row>
    <row r="1226" spans="1:48" x14ac:dyDescent="0.45">
      <c r="A1226" s="323" t="s">
        <v>1029</v>
      </c>
      <c r="B1226" s="324"/>
      <c r="C1226" s="324"/>
      <c r="D1226" s="324"/>
      <c r="E1226" s="324"/>
      <c r="F1226" s="324"/>
      <c r="G1226" s="101"/>
      <c r="H1226" s="101"/>
      <c r="I1226" s="18" t="s">
        <v>2473</v>
      </c>
      <c r="J1226" s="18" t="s">
        <v>2473</v>
      </c>
      <c r="K1226" s="18" t="s">
        <v>2473</v>
      </c>
      <c r="L1226" s="18" t="s">
        <v>2335</v>
      </c>
      <c r="AU1226" s="6"/>
      <c r="AV1226" s="6" t="str">
        <f t="shared" si="20"/>
        <v/>
      </c>
    </row>
    <row r="1227" spans="1:48" s="79" customFormat="1" x14ac:dyDescent="0.45">
      <c r="A1227" s="75"/>
      <c r="B1227" s="76"/>
      <c r="C1227" s="77"/>
      <c r="D1227" s="77"/>
      <c r="E1227" s="77"/>
      <c r="F1227" s="77"/>
      <c r="G1227" s="77"/>
      <c r="H1227" s="77"/>
      <c r="I1227" s="77"/>
      <c r="J1227" s="77"/>
      <c r="K1227" s="77"/>
      <c r="L1227" s="77"/>
      <c r="M1227" s="148"/>
      <c r="N1227" s="78"/>
      <c r="O1227" s="78"/>
      <c r="P1227" s="78"/>
      <c r="Q1227" s="78"/>
      <c r="R1227" s="78"/>
      <c r="S1227" s="78"/>
      <c r="T1227" s="78"/>
      <c r="U1227" s="78"/>
      <c r="V1227" s="78"/>
      <c r="W1227" s="78"/>
      <c r="X1227" s="78"/>
      <c r="Y1227" s="148"/>
      <c r="Z1227" s="78"/>
      <c r="AA1227" s="78"/>
      <c r="AB1227" s="78"/>
      <c r="AC1227" s="78"/>
      <c r="AD1227" s="78"/>
      <c r="AE1227" s="156"/>
      <c r="AF1227" s="156"/>
      <c r="AG1227" s="78"/>
      <c r="AH1227" s="78"/>
      <c r="AI1227" s="78"/>
      <c r="AJ1227" s="78"/>
      <c r="AK1227" s="78"/>
      <c r="AL1227" s="78"/>
      <c r="AM1227" s="78"/>
      <c r="AN1227" s="78"/>
      <c r="AO1227" s="78"/>
      <c r="AP1227" s="78"/>
      <c r="AQ1227" s="78"/>
      <c r="AR1227" s="286"/>
      <c r="AS1227" s="78"/>
      <c r="AT1227" s="78"/>
      <c r="AU1227" s="8"/>
      <c r="AV1227" s="6" t="str">
        <f t="shared" si="20"/>
        <v/>
      </c>
    </row>
    <row r="1228" spans="1:48" x14ac:dyDescent="0.45">
      <c r="A1228" s="28" t="s">
        <v>2420</v>
      </c>
      <c r="I1228" s="18" t="s">
        <v>2473</v>
      </c>
      <c r="J1228" s="18" t="s">
        <v>2473</v>
      </c>
      <c r="K1228" s="18" t="s">
        <v>2473</v>
      </c>
      <c r="L1228" s="18" t="s">
        <v>2336</v>
      </c>
      <c r="AU1228" s="6"/>
      <c r="AV1228" s="6" t="str">
        <f t="shared" si="20"/>
        <v/>
      </c>
    </row>
    <row r="1229" spans="1:48" x14ac:dyDescent="0.45">
      <c r="A1229" s="27" t="s">
        <v>2421</v>
      </c>
      <c r="I1229" s="18" t="s">
        <v>2473</v>
      </c>
      <c r="J1229" s="18" t="s">
        <v>2473</v>
      </c>
      <c r="K1229" s="18" t="s">
        <v>2473</v>
      </c>
      <c r="L1229" s="18" t="s">
        <v>2336</v>
      </c>
      <c r="AU1229" s="6"/>
      <c r="AV1229" s="6" t="str">
        <f t="shared" si="20"/>
        <v/>
      </c>
    </row>
    <row r="1230" spans="1:48" x14ac:dyDescent="0.45">
      <c r="A1230" s="323" t="s">
        <v>2513</v>
      </c>
      <c r="B1230" s="324"/>
      <c r="C1230" s="324"/>
      <c r="D1230" s="324"/>
      <c r="E1230" s="324"/>
      <c r="F1230" s="324"/>
      <c r="G1230" s="101"/>
      <c r="H1230" s="101"/>
      <c r="I1230" s="18" t="s">
        <v>2473</v>
      </c>
      <c r="J1230" s="18" t="s">
        <v>2473</v>
      </c>
      <c r="K1230" s="18" t="s">
        <v>2473</v>
      </c>
      <c r="L1230" s="18" t="s">
        <v>2336</v>
      </c>
      <c r="AU1230" s="6"/>
      <c r="AV1230" s="6" t="str">
        <f t="shared" si="20"/>
        <v/>
      </c>
    </row>
    <row r="1231" spans="1:48" ht="14.65" thickBot="1" x14ac:dyDescent="0.5">
      <c r="A1231" s="28" t="s">
        <v>3792</v>
      </c>
      <c r="I1231" s="18" t="s">
        <v>2473</v>
      </c>
      <c r="J1231" s="18" t="s">
        <v>2473</v>
      </c>
      <c r="K1231" s="18" t="s">
        <v>2473</v>
      </c>
      <c r="L1231" s="18" t="s">
        <v>2336</v>
      </c>
      <c r="AA1231" s="183" t="s">
        <v>2322</v>
      </c>
      <c r="AB1231" s="183" t="s">
        <v>1697</v>
      </c>
      <c r="AC1231" s="183" t="s">
        <v>5</v>
      </c>
      <c r="AU1231" s="6"/>
      <c r="AV1231" s="6" t="str">
        <f t="shared" si="20"/>
        <v/>
      </c>
    </row>
    <row r="1232" spans="1:48" ht="314.25" thickBot="1" x14ac:dyDescent="0.5">
      <c r="A1232" s="309" t="s">
        <v>1030</v>
      </c>
      <c r="B1232" s="310"/>
      <c r="C1232" s="301" t="s">
        <v>1</v>
      </c>
      <c r="D1232" s="319"/>
      <c r="E1232" s="319"/>
      <c r="F1232" s="302"/>
      <c r="G1232" s="102"/>
      <c r="H1232" s="102"/>
      <c r="I1232" s="18" t="s">
        <v>2473</v>
      </c>
      <c r="L1232" s="18" t="s">
        <v>2336</v>
      </c>
      <c r="AA1232" s="183" t="str">
        <f>LEFT($A1232,FIND(" ",$A1232)-1)</f>
        <v>AttributeRegistry</v>
      </c>
      <c r="AB1232" s="183" t="str">
        <f>MID($A1232,FIND("(",$A1232)+1,LEN($A1232)-FIND("(",$A1232)-1)</f>
        <v>1.2.1</v>
      </c>
      <c r="AC1232" s="101" t="str">
        <f>A1230</f>
        <v>The AttributeRegistry resource contains a set of key-value pairs that represents the structure of a Registry. It includes mechanisms for building user interfaces (menus), allowing consistent navigation of the contents. The AttributeRegistry is specific to a particular implementation or product. The attributes and property names are not standardized.</v>
      </c>
      <c r="AU1232" s="6"/>
      <c r="AV1232" s="6" t="str">
        <f t="shared" si="20"/>
        <v/>
      </c>
    </row>
    <row r="1233" spans="1:48" ht="14.65" thickBot="1" x14ac:dyDescent="0.5">
      <c r="A1233" s="311"/>
      <c r="B1233" s="312"/>
      <c r="C1233" s="301" t="s">
        <v>2</v>
      </c>
      <c r="D1233" s="302"/>
      <c r="E1233" s="301" t="s">
        <v>3</v>
      </c>
      <c r="F1233" s="302"/>
      <c r="G1233" s="301" t="s">
        <v>2896</v>
      </c>
      <c r="H1233" s="302"/>
      <c r="I1233" s="18" t="s">
        <v>2473</v>
      </c>
      <c r="L1233" s="18" t="s">
        <v>2336</v>
      </c>
      <c r="AA1233" s="183" t="s">
        <v>2322</v>
      </c>
      <c r="AB1233" s="183" t="s">
        <v>1697</v>
      </c>
      <c r="AC1233" s="183" t="s">
        <v>5</v>
      </c>
      <c r="AU1233" s="6"/>
      <c r="AV1233" s="6" t="str">
        <f t="shared" si="20"/>
        <v/>
      </c>
    </row>
    <row r="1234" spans="1:48" ht="314.25" thickBot="1" x14ac:dyDescent="0.5">
      <c r="A1234" s="309" t="s">
        <v>3044</v>
      </c>
      <c r="B1234" s="310"/>
      <c r="C1234" s="301" t="s">
        <v>1</v>
      </c>
      <c r="D1234" s="319"/>
      <c r="E1234" s="319"/>
      <c r="F1234" s="302"/>
      <c r="G1234" s="102"/>
      <c r="H1234" s="102"/>
      <c r="J1234" s="18" t="s">
        <v>2473</v>
      </c>
      <c r="K1234" s="18" t="s">
        <v>2473</v>
      </c>
      <c r="L1234" s="18" t="s">
        <v>2336</v>
      </c>
      <c r="AA1234" s="183" t="str">
        <f>LEFT($A1234,FIND(" ",$A1234)-1)</f>
        <v>AttributeRegistry</v>
      </c>
      <c r="AB1234" s="183" t="str">
        <f>MID($A1234,FIND("(",$A1234)+1,LEN($A1234)-FIND("(",$A1234)-1)</f>
        <v>1.3.1</v>
      </c>
      <c r="AC1234" s="101" t="str">
        <f>AC1232</f>
        <v>The AttributeRegistry resource contains a set of key-value pairs that represents the structure of a Registry. It includes mechanisms for building user interfaces (menus), allowing consistent navigation of the contents. The AttributeRegistry is specific to a particular implementation or product. The attributes and property names are not standardized.</v>
      </c>
      <c r="AU1234" s="6"/>
      <c r="AV1234" s="6" t="str">
        <f t="shared" si="20"/>
        <v/>
      </c>
    </row>
    <row r="1235" spans="1:48" ht="14.65" thickBot="1" x14ac:dyDescent="0.5">
      <c r="A1235" s="311"/>
      <c r="B1235" s="312"/>
      <c r="C1235" s="301" t="s">
        <v>2</v>
      </c>
      <c r="D1235" s="302"/>
      <c r="E1235" s="301" t="s">
        <v>3</v>
      </c>
      <c r="F1235" s="302"/>
      <c r="G1235" s="301" t="s">
        <v>2896</v>
      </c>
      <c r="H1235" s="302"/>
      <c r="J1235" s="18" t="s">
        <v>2473</v>
      </c>
      <c r="K1235" s="18" t="s">
        <v>2473</v>
      </c>
      <c r="L1235" s="18" t="s">
        <v>2336</v>
      </c>
      <c r="AU1235" s="6"/>
      <c r="AV1235" s="6" t="str">
        <f t="shared" si="20"/>
        <v/>
      </c>
    </row>
    <row r="1236" spans="1:48" ht="14.65" thickBot="1" x14ac:dyDescent="0.5">
      <c r="A1236" s="46" t="s">
        <v>2377</v>
      </c>
      <c r="B1236" s="47"/>
      <c r="C1236" s="303"/>
      <c r="D1236" s="304"/>
      <c r="E1236" s="303"/>
      <c r="F1236" s="304"/>
      <c r="G1236" s="303"/>
      <c r="H1236" s="304"/>
      <c r="I1236" s="18" t="s">
        <v>2473</v>
      </c>
      <c r="J1236" s="18" t="s">
        <v>2473</v>
      </c>
      <c r="K1236" s="18" t="s">
        <v>2473</v>
      </c>
      <c r="L1236" s="18" t="s">
        <v>2336</v>
      </c>
      <c r="AU1236" s="6"/>
      <c r="AV1236" s="6" t="str">
        <f t="shared" si="20"/>
        <v/>
      </c>
    </row>
    <row r="1237" spans="1:48" ht="14.65" thickBot="1" x14ac:dyDescent="0.5">
      <c r="A1237" s="29" t="s">
        <v>3394</v>
      </c>
      <c r="B1237" s="9"/>
      <c r="C1237" s="305" t="str">
        <f>MID($A1232,FIND("(",$A1232)+1,5)</f>
        <v>1.2.1</v>
      </c>
      <c r="D1237" s="306"/>
      <c r="E1237" s="305" t="s">
        <v>3407</v>
      </c>
      <c r="F1237" s="306"/>
      <c r="G1237" s="305" t="str">
        <f>MID($A1232,FIND("(",$A1232)+1,5)</f>
        <v>1.2.1</v>
      </c>
      <c r="H1237" s="306"/>
      <c r="I1237" s="18" t="s">
        <v>2473</v>
      </c>
      <c r="J1237" s="18" t="s">
        <v>2473</v>
      </c>
      <c r="K1237" s="18" t="s">
        <v>2473</v>
      </c>
      <c r="L1237" s="18" t="s">
        <v>2336</v>
      </c>
      <c r="AU1237" s="6"/>
      <c r="AV1237" s="6" t="str">
        <f t="shared" si="20"/>
        <v/>
      </c>
    </row>
    <row r="1238" spans="1:48" ht="14.65" thickBot="1" x14ac:dyDescent="0.5">
      <c r="A1238" s="30" t="s">
        <v>4</v>
      </c>
      <c r="B1238" s="59" t="s">
        <v>5</v>
      </c>
      <c r="C1238" s="7" t="s">
        <v>6</v>
      </c>
      <c r="D1238" s="7" t="s">
        <v>7</v>
      </c>
      <c r="E1238" s="7" t="s">
        <v>6</v>
      </c>
      <c r="F1238" s="7" t="s">
        <v>7</v>
      </c>
      <c r="G1238" s="7" t="s">
        <v>6</v>
      </c>
      <c r="H1238" s="7" t="s">
        <v>7</v>
      </c>
      <c r="I1238" s="18" t="s">
        <v>2473</v>
      </c>
      <c r="J1238" s="18" t="s">
        <v>2473</v>
      </c>
      <c r="K1238" s="18" t="s">
        <v>2473</v>
      </c>
      <c r="L1238" s="18" t="s">
        <v>2336</v>
      </c>
      <c r="AU1238" s="6"/>
      <c r="AV1238" s="6" t="str">
        <f t="shared" si="20"/>
        <v/>
      </c>
    </row>
    <row r="1239" spans="1:48" ht="14.65" thickBot="1" x14ac:dyDescent="0.5">
      <c r="A1239" s="36" t="s">
        <v>8</v>
      </c>
      <c r="B1239" s="3" t="s">
        <v>9</v>
      </c>
      <c r="C1239" s="4"/>
      <c r="D1239" s="4"/>
      <c r="E1239" s="4"/>
      <c r="F1239" s="4"/>
      <c r="G1239" s="4"/>
      <c r="H1239" s="4"/>
      <c r="I1239" s="18" t="s">
        <v>2473</v>
      </c>
      <c r="J1239" s="18" t="s">
        <v>2473</v>
      </c>
      <c r="K1239" s="18" t="s">
        <v>2473</v>
      </c>
      <c r="L1239" s="18" t="s">
        <v>2336</v>
      </c>
      <c r="AU1239" s="6"/>
      <c r="AV1239" s="6" t="str">
        <f t="shared" si="20"/>
        <v/>
      </c>
    </row>
    <row r="1240" spans="1:48" ht="14.65" thickBot="1" x14ac:dyDescent="0.5">
      <c r="A1240" s="36" t="s">
        <v>1031</v>
      </c>
      <c r="B1240" s="3" t="s">
        <v>1032</v>
      </c>
      <c r="C1240" s="4"/>
      <c r="D1240" s="4"/>
      <c r="E1240" s="4"/>
      <c r="F1240" s="4"/>
      <c r="G1240" s="4"/>
      <c r="H1240" s="4"/>
      <c r="I1240" s="18" t="s">
        <v>2473</v>
      </c>
      <c r="J1240" s="18" t="s">
        <v>2473</v>
      </c>
      <c r="K1240" s="18" t="s">
        <v>2473</v>
      </c>
      <c r="L1240" s="18" t="s">
        <v>2336</v>
      </c>
      <c r="AU1240" s="6"/>
      <c r="AV1240" s="6" t="str">
        <f t="shared" si="20"/>
        <v/>
      </c>
    </row>
    <row r="1241" spans="1:48" ht="14.65" thickBot="1" x14ac:dyDescent="0.5">
      <c r="A1241" s="36" t="s">
        <v>1033</v>
      </c>
      <c r="B1241" s="3" t="s">
        <v>1034</v>
      </c>
      <c r="C1241" s="4"/>
      <c r="D1241" s="4"/>
      <c r="E1241" s="4"/>
      <c r="F1241" s="4"/>
      <c r="G1241" s="4"/>
      <c r="H1241" s="4"/>
      <c r="I1241" s="18" t="s">
        <v>2473</v>
      </c>
      <c r="J1241" s="18" t="s">
        <v>2473</v>
      </c>
      <c r="K1241" s="18" t="s">
        <v>2473</v>
      </c>
      <c r="L1241" s="18" t="s">
        <v>2336</v>
      </c>
      <c r="AU1241" s="6"/>
      <c r="AV1241" s="6" t="str">
        <f t="shared" si="20"/>
        <v/>
      </c>
    </row>
    <row r="1242" spans="1:48" ht="14.65" thickBot="1" x14ac:dyDescent="0.5">
      <c r="A1242" s="36" t="s">
        <v>1035</v>
      </c>
      <c r="B1242" s="3" t="s">
        <v>1036</v>
      </c>
      <c r="C1242" s="4"/>
      <c r="D1242" s="4"/>
      <c r="E1242" s="4"/>
      <c r="F1242" s="4"/>
      <c r="G1242" s="4"/>
      <c r="H1242" s="4"/>
      <c r="I1242" s="18" t="s">
        <v>2473</v>
      </c>
      <c r="J1242" s="18" t="s">
        <v>2473</v>
      </c>
      <c r="K1242" s="18" t="s">
        <v>2473</v>
      </c>
      <c r="L1242" s="18" t="s">
        <v>2336</v>
      </c>
      <c r="AU1242" s="6"/>
      <c r="AV1242" s="6" t="str">
        <f t="shared" si="20"/>
        <v/>
      </c>
    </row>
    <row r="1243" spans="1:48" ht="14.65" thickBot="1" x14ac:dyDescent="0.5">
      <c r="A1243" s="35" t="s">
        <v>1037</v>
      </c>
      <c r="B1243" s="3" t="s">
        <v>1038</v>
      </c>
      <c r="C1243" s="4"/>
      <c r="D1243" s="4"/>
      <c r="E1243" s="4"/>
      <c r="F1243" s="4"/>
      <c r="G1243" s="4"/>
      <c r="H1243" s="4"/>
      <c r="I1243" s="18" t="s">
        <v>2473</v>
      </c>
      <c r="J1243" s="18" t="s">
        <v>2473</v>
      </c>
      <c r="K1243" s="18" t="s">
        <v>2473</v>
      </c>
      <c r="L1243" s="18" t="s">
        <v>2336</v>
      </c>
      <c r="AU1243" s="6"/>
      <c r="AV1243" s="6" t="str">
        <f t="shared" si="20"/>
        <v/>
      </c>
    </row>
    <row r="1244" spans="1:48" ht="14.65" thickBot="1" x14ac:dyDescent="0.5">
      <c r="A1244" s="35" t="s">
        <v>3054</v>
      </c>
      <c r="B1244" s="3" t="s">
        <v>1039</v>
      </c>
      <c r="C1244" s="4"/>
      <c r="D1244" s="4"/>
      <c r="E1244" s="4"/>
      <c r="F1244" s="4"/>
      <c r="G1244" s="4"/>
      <c r="H1244" s="4"/>
      <c r="I1244" s="18" t="s">
        <v>2473</v>
      </c>
      <c r="J1244" s="18" t="s">
        <v>2473</v>
      </c>
      <c r="K1244" s="18" t="s">
        <v>2473</v>
      </c>
      <c r="L1244" s="18" t="s">
        <v>2336</v>
      </c>
      <c r="AU1244" s="6"/>
      <c r="AV1244" s="6" t="str">
        <f t="shared" si="20"/>
        <v/>
      </c>
    </row>
    <row r="1245" spans="1:48" ht="14.65" thickBot="1" x14ac:dyDescent="0.5">
      <c r="A1245" s="35" t="s">
        <v>3055</v>
      </c>
      <c r="B1245" s="3" t="s">
        <v>1040</v>
      </c>
      <c r="C1245" s="4"/>
      <c r="D1245" s="4"/>
      <c r="E1245" s="4"/>
      <c r="F1245" s="4"/>
      <c r="G1245" s="4"/>
      <c r="H1245" s="4"/>
      <c r="I1245" s="18" t="s">
        <v>2473</v>
      </c>
      <c r="J1245" s="18" t="s">
        <v>2473</v>
      </c>
      <c r="K1245" s="18" t="s">
        <v>2473</v>
      </c>
      <c r="L1245" s="18" t="s">
        <v>2336</v>
      </c>
      <c r="AU1245" s="6"/>
      <c r="AV1245" s="6" t="str">
        <f t="shared" si="20"/>
        <v/>
      </c>
    </row>
    <row r="1246" spans="1:48" ht="14.65" thickBot="1" x14ac:dyDescent="0.5">
      <c r="A1246" s="35" t="s">
        <v>3056</v>
      </c>
      <c r="B1246" s="3" t="s">
        <v>1041</v>
      </c>
      <c r="C1246" s="4"/>
      <c r="D1246" s="4"/>
      <c r="E1246" s="4"/>
      <c r="F1246" s="4"/>
      <c r="G1246" s="4"/>
      <c r="H1246" s="4"/>
      <c r="I1246" s="18" t="s">
        <v>2473</v>
      </c>
      <c r="J1246" s="18" t="s">
        <v>2473</v>
      </c>
      <c r="K1246" s="18" t="s">
        <v>2473</v>
      </c>
      <c r="L1246" s="18" t="s">
        <v>2336</v>
      </c>
      <c r="AU1246" s="6"/>
      <c r="AV1246" s="6" t="str">
        <f t="shared" si="20"/>
        <v/>
      </c>
    </row>
    <row r="1247" spans="1:48" ht="14.65" thickBot="1" x14ac:dyDescent="0.5">
      <c r="A1247" s="35" t="s">
        <v>3047</v>
      </c>
      <c r="B1247" s="3" t="s">
        <v>1042</v>
      </c>
      <c r="C1247" s="4"/>
      <c r="D1247" s="4"/>
      <c r="E1247" s="4"/>
      <c r="F1247" s="4"/>
      <c r="G1247" s="4"/>
      <c r="H1247" s="4"/>
      <c r="I1247" s="18" t="s">
        <v>2473</v>
      </c>
      <c r="J1247" s="18" t="s">
        <v>2473</v>
      </c>
      <c r="K1247" s="18" t="s">
        <v>2473</v>
      </c>
      <c r="L1247" s="18" t="s">
        <v>2336</v>
      </c>
      <c r="AU1247" s="6"/>
      <c r="AV1247" s="6" t="str">
        <f t="shared" si="20"/>
        <v/>
      </c>
    </row>
    <row r="1248" spans="1:48" ht="23.65" thickBot="1" x14ac:dyDescent="0.5">
      <c r="A1248" s="35" t="s">
        <v>3048</v>
      </c>
      <c r="B1248" s="3" t="s">
        <v>1043</v>
      </c>
      <c r="C1248" s="4"/>
      <c r="D1248" s="4"/>
      <c r="E1248" s="4"/>
      <c r="F1248" s="4"/>
      <c r="G1248" s="4"/>
      <c r="H1248" s="4"/>
      <c r="I1248" s="18" t="s">
        <v>2473</v>
      </c>
      <c r="J1248" s="18" t="s">
        <v>2473</v>
      </c>
      <c r="K1248" s="18" t="s">
        <v>2473</v>
      </c>
      <c r="L1248" s="18" t="s">
        <v>2336</v>
      </c>
      <c r="AU1248" s="6"/>
      <c r="AV1248" s="6" t="str">
        <f t="shared" si="20"/>
        <v/>
      </c>
    </row>
    <row r="1249" spans="1:48" ht="14.65" thickBot="1" x14ac:dyDescent="0.5">
      <c r="A1249" s="35" t="s">
        <v>3049</v>
      </c>
      <c r="B1249" s="3" t="s">
        <v>1044</v>
      </c>
      <c r="C1249" s="4"/>
      <c r="D1249" s="4"/>
      <c r="E1249" s="4"/>
      <c r="F1249" s="4"/>
      <c r="G1249" s="4"/>
      <c r="H1249" s="4"/>
      <c r="I1249" s="18" t="s">
        <v>2473</v>
      </c>
      <c r="J1249" s="18" t="s">
        <v>2473</v>
      </c>
      <c r="K1249" s="18" t="s">
        <v>2473</v>
      </c>
      <c r="L1249" s="18" t="s">
        <v>2336</v>
      </c>
      <c r="AU1249" s="6"/>
      <c r="AV1249" s="6" t="str">
        <f t="shared" si="20"/>
        <v/>
      </c>
    </row>
    <row r="1250" spans="1:48" ht="14.65" thickBot="1" x14ac:dyDescent="0.5">
      <c r="A1250" s="35" t="s">
        <v>3057</v>
      </c>
      <c r="B1250" s="3" t="s">
        <v>1045</v>
      </c>
      <c r="C1250" s="4"/>
      <c r="D1250" s="4"/>
      <c r="E1250" s="4"/>
      <c r="F1250" s="4"/>
      <c r="G1250" s="4"/>
      <c r="H1250" s="4"/>
      <c r="I1250" s="18" t="s">
        <v>2473</v>
      </c>
      <c r="J1250" s="18" t="s">
        <v>2473</v>
      </c>
      <c r="K1250" s="18" t="s">
        <v>2473</v>
      </c>
      <c r="L1250" s="18" t="s">
        <v>2336</v>
      </c>
      <c r="AU1250" s="6"/>
      <c r="AV1250" s="6" t="str">
        <f t="shared" si="20"/>
        <v/>
      </c>
    </row>
    <row r="1251" spans="1:48" ht="14.65" thickBot="1" x14ac:dyDescent="0.5">
      <c r="A1251" s="35" t="s">
        <v>3058</v>
      </c>
      <c r="B1251" s="3" t="s">
        <v>1046</v>
      </c>
      <c r="C1251" s="4"/>
      <c r="D1251" s="4"/>
      <c r="E1251" s="4"/>
      <c r="F1251" s="4"/>
      <c r="G1251" s="4"/>
      <c r="H1251" s="4"/>
      <c r="I1251" s="18" t="s">
        <v>2473</v>
      </c>
      <c r="J1251" s="18" t="s">
        <v>2473</v>
      </c>
      <c r="K1251" s="18" t="s">
        <v>2473</v>
      </c>
      <c r="L1251" s="18" t="s">
        <v>2336</v>
      </c>
      <c r="AU1251" s="6"/>
      <c r="AV1251" s="6" t="str">
        <f t="shared" si="20"/>
        <v/>
      </c>
    </row>
    <row r="1252" spans="1:48" ht="14.65" thickBot="1" x14ac:dyDescent="0.5">
      <c r="A1252" s="35" t="s">
        <v>3059</v>
      </c>
      <c r="B1252" s="3" t="s">
        <v>1047</v>
      </c>
      <c r="C1252" s="4"/>
      <c r="D1252" s="4"/>
      <c r="E1252" s="4"/>
      <c r="F1252" s="4"/>
      <c r="G1252" s="4"/>
      <c r="H1252" s="4"/>
      <c r="I1252" s="18" t="s">
        <v>2473</v>
      </c>
      <c r="J1252" s="18" t="s">
        <v>2473</v>
      </c>
      <c r="K1252" s="18" t="s">
        <v>2473</v>
      </c>
      <c r="L1252" s="18" t="s">
        <v>2336</v>
      </c>
      <c r="AU1252" s="6"/>
      <c r="AV1252" s="6" t="str">
        <f t="shared" si="20"/>
        <v/>
      </c>
    </row>
    <row r="1253" spans="1:48" ht="23.65" thickBot="1" x14ac:dyDescent="0.5">
      <c r="A1253" s="35" t="s">
        <v>3060</v>
      </c>
      <c r="B1253" s="3" t="s">
        <v>1048</v>
      </c>
      <c r="C1253" s="4"/>
      <c r="D1253" s="4"/>
      <c r="E1253" s="4"/>
      <c r="F1253" s="4"/>
      <c r="G1253" s="4"/>
      <c r="H1253" s="4"/>
      <c r="I1253" s="18" t="s">
        <v>2473</v>
      </c>
      <c r="J1253" s="18" t="s">
        <v>2473</v>
      </c>
      <c r="K1253" s="18" t="s">
        <v>2473</v>
      </c>
      <c r="L1253" s="18" t="s">
        <v>2336</v>
      </c>
      <c r="AU1253" s="6"/>
      <c r="AV1253" s="6" t="str">
        <f t="shared" si="20"/>
        <v/>
      </c>
    </row>
    <row r="1254" spans="1:48" ht="14.65" thickBot="1" x14ac:dyDescent="0.5">
      <c r="A1254" s="35" t="s">
        <v>3061</v>
      </c>
      <c r="B1254" s="3" t="s">
        <v>1049</v>
      </c>
      <c r="C1254" s="4"/>
      <c r="D1254" s="4"/>
      <c r="E1254" s="4"/>
      <c r="F1254" s="4"/>
      <c r="G1254" s="4"/>
      <c r="H1254" s="4"/>
      <c r="I1254" s="18" t="s">
        <v>2473</v>
      </c>
      <c r="J1254" s="18" t="s">
        <v>2473</v>
      </c>
      <c r="K1254" s="18" t="s">
        <v>2473</v>
      </c>
      <c r="L1254" s="18" t="s">
        <v>2336</v>
      </c>
      <c r="AU1254" s="6"/>
      <c r="AV1254" s="6" t="str">
        <f t="shared" si="20"/>
        <v/>
      </c>
    </row>
    <row r="1255" spans="1:48" ht="14.65" thickBot="1" x14ac:dyDescent="0.5">
      <c r="A1255" s="35" t="s">
        <v>3062</v>
      </c>
      <c r="B1255" s="3" t="s">
        <v>1050</v>
      </c>
      <c r="C1255" s="4"/>
      <c r="D1255" s="4"/>
      <c r="E1255" s="4"/>
      <c r="F1255" s="4"/>
      <c r="G1255" s="4"/>
      <c r="H1255" s="4"/>
      <c r="I1255" s="18" t="s">
        <v>2473</v>
      </c>
      <c r="J1255" s="18" t="s">
        <v>2473</v>
      </c>
      <c r="K1255" s="18" t="s">
        <v>2473</v>
      </c>
      <c r="L1255" s="18" t="s">
        <v>2336</v>
      </c>
      <c r="AU1255" s="6"/>
      <c r="AV1255" s="6" t="str">
        <f t="shared" si="20"/>
        <v/>
      </c>
    </row>
    <row r="1256" spans="1:48" ht="14.65" thickBot="1" x14ac:dyDescent="0.5">
      <c r="A1256" s="35" t="s">
        <v>3051</v>
      </c>
      <c r="B1256" s="3" t="s">
        <v>1051</v>
      </c>
      <c r="C1256" s="4"/>
      <c r="D1256" s="4"/>
      <c r="E1256" s="4"/>
      <c r="F1256" s="4"/>
      <c r="G1256" s="4"/>
      <c r="H1256" s="4"/>
      <c r="I1256" s="18" t="s">
        <v>2473</v>
      </c>
      <c r="J1256" s="18" t="s">
        <v>2473</v>
      </c>
      <c r="K1256" s="18" t="s">
        <v>2473</v>
      </c>
      <c r="L1256" s="18" t="s">
        <v>2336</v>
      </c>
      <c r="AU1256" s="6"/>
      <c r="AV1256" s="6" t="str">
        <f t="shared" si="20"/>
        <v/>
      </c>
    </row>
    <row r="1257" spans="1:48" ht="14.65" thickBot="1" x14ac:dyDescent="0.5">
      <c r="A1257" s="35" t="s">
        <v>3052</v>
      </c>
      <c r="B1257" s="3" t="s">
        <v>3045</v>
      </c>
      <c r="C1257" s="4"/>
      <c r="D1257" s="4"/>
      <c r="E1257" s="4"/>
      <c r="F1257" s="4"/>
      <c r="G1257" s="4"/>
      <c r="H1257" s="4"/>
      <c r="J1257" s="18" t="s">
        <v>2473</v>
      </c>
      <c r="K1257" s="18" t="s">
        <v>2473</v>
      </c>
      <c r="L1257" s="18" t="s">
        <v>2336</v>
      </c>
      <c r="AU1257" s="6"/>
      <c r="AV1257" s="6" t="str">
        <f t="shared" si="20"/>
        <v/>
      </c>
    </row>
    <row r="1258" spans="1:48" ht="14.65" thickBot="1" x14ac:dyDescent="0.5">
      <c r="A1258" s="35" t="s">
        <v>3063</v>
      </c>
      <c r="B1258" s="3" t="s">
        <v>1052</v>
      </c>
      <c r="C1258" s="4"/>
      <c r="D1258" s="4"/>
      <c r="E1258" s="4"/>
      <c r="F1258" s="4"/>
      <c r="G1258" s="4"/>
      <c r="H1258" s="4"/>
      <c r="I1258" s="18" t="s">
        <v>2473</v>
      </c>
      <c r="J1258" s="18" t="s">
        <v>2473</v>
      </c>
      <c r="K1258" s="18" t="s">
        <v>2473</v>
      </c>
      <c r="L1258" s="18" t="s">
        <v>2336</v>
      </c>
      <c r="AU1258" s="6"/>
      <c r="AV1258" s="6" t="str">
        <f t="shared" si="20"/>
        <v/>
      </c>
    </row>
    <row r="1259" spans="1:48" ht="14.65" thickBot="1" x14ac:dyDescent="0.5">
      <c r="A1259" s="35" t="s">
        <v>3053</v>
      </c>
      <c r="B1259" s="3" t="s">
        <v>1053</v>
      </c>
      <c r="C1259" s="4"/>
      <c r="D1259" s="4"/>
      <c r="E1259" s="4"/>
      <c r="F1259" s="4"/>
      <c r="G1259" s="4"/>
      <c r="H1259" s="4"/>
      <c r="I1259" s="18" t="s">
        <v>2473</v>
      </c>
      <c r="J1259" s="18" t="s">
        <v>2473</v>
      </c>
      <c r="K1259" s="18" t="s">
        <v>2473</v>
      </c>
      <c r="L1259" s="18" t="s">
        <v>2336</v>
      </c>
      <c r="AU1259" s="6"/>
      <c r="AV1259" s="6" t="str">
        <f t="shared" si="20"/>
        <v/>
      </c>
    </row>
    <row r="1260" spans="1:48" ht="23.65" thickBot="1" x14ac:dyDescent="0.5">
      <c r="A1260" s="35" t="s">
        <v>3064</v>
      </c>
      <c r="B1260" s="3" t="s">
        <v>1054</v>
      </c>
      <c r="C1260" s="4"/>
      <c r="D1260" s="4"/>
      <c r="E1260" s="4"/>
      <c r="F1260" s="4"/>
      <c r="G1260" s="4"/>
      <c r="H1260" s="4"/>
      <c r="I1260" s="18" t="s">
        <v>2473</v>
      </c>
      <c r="J1260" s="18" t="s">
        <v>2473</v>
      </c>
      <c r="K1260" s="18" t="s">
        <v>2473</v>
      </c>
      <c r="L1260" s="18" t="s">
        <v>2336</v>
      </c>
      <c r="AU1260" s="6"/>
      <c r="AV1260" s="6" t="str">
        <f t="shared" si="20"/>
        <v/>
      </c>
    </row>
    <row r="1261" spans="1:48" ht="23.65" thickBot="1" x14ac:dyDescent="0.5">
      <c r="A1261" s="35" t="s">
        <v>3065</v>
      </c>
      <c r="B1261" s="3" t="s">
        <v>1055</v>
      </c>
      <c r="C1261" s="4"/>
      <c r="D1261" s="4"/>
      <c r="E1261" s="4"/>
      <c r="F1261" s="4"/>
      <c r="G1261" s="4"/>
      <c r="H1261" s="4"/>
      <c r="I1261" s="18" t="s">
        <v>2473</v>
      </c>
      <c r="J1261" s="18" t="s">
        <v>2473</v>
      </c>
      <c r="K1261" s="18" t="s">
        <v>2473</v>
      </c>
      <c r="L1261" s="18" t="s">
        <v>2336</v>
      </c>
      <c r="AU1261" s="6"/>
      <c r="AV1261" s="6" t="str">
        <f t="shared" si="20"/>
        <v/>
      </c>
    </row>
    <row r="1262" spans="1:48" ht="14.65" thickBot="1" x14ac:dyDescent="0.5">
      <c r="A1262" s="35" t="s">
        <v>3066</v>
      </c>
      <c r="B1262" s="3" t="s">
        <v>1056</v>
      </c>
      <c r="C1262" s="4"/>
      <c r="D1262" s="4"/>
      <c r="E1262" s="4"/>
      <c r="F1262" s="4"/>
      <c r="G1262" s="4"/>
      <c r="H1262" s="4"/>
      <c r="I1262" s="18" t="s">
        <v>2473</v>
      </c>
      <c r="J1262" s="18" t="s">
        <v>2473</v>
      </c>
      <c r="K1262" s="18" t="s">
        <v>2473</v>
      </c>
      <c r="L1262" s="18" t="s">
        <v>2336</v>
      </c>
      <c r="AU1262" s="6"/>
      <c r="AV1262" s="6" t="str">
        <f t="shared" si="20"/>
        <v/>
      </c>
    </row>
    <row r="1263" spans="1:48" ht="14.65" thickBot="1" x14ac:dyDescent="0.5">
      <c r="A1263" s="35" t="s">
        <v>3067</v>
      </c>
      <c r="B1263" s="3" t="s">
        <v>1057</v>
      </c>
      <c r="C1263" s="4"/>
      <c r="D1263" s="4"/>
      <c r="E1263" s="4"/>
      <c r="F1263" s="4"/>
      <c r="G1263" s="4"/>
      <c r="H1263" s="4"/>
      <c r="I1263" s="18" t="s">
        <v>2473</v>
      </c>
      <c r="J1263" s="18" t="s">
        <v>2473</v>
      </c>
      <c r="K1263" s="18" t="s">
        <v>2473</v>
      </c>
      <c r="L1263" s="18" t="s">
        <v>2336</v>
      </c>
      <c r="AU1263" s="6"/>
      <c r="AV1263" s="6" t="str">
        <f t="shared" si="20"/>
        <v/>
      </c>
    </row>
    <row r="1264" spans="1:48" ht="14.65" thickBot="1" x14ac:dyDescent="0.5">
      <c r="A1264" s="35" t="s">
        <v>3068</v>
      </c>
      <c r="B1264" s="3" t="s">
        <v>1058</v>
      </c>
      <c r="C1264" s="4"/>
      <c r="D1264" s="4"/>
      <c r="E1264" s="4"/>
      <c r="F1264" s="4"/>
      <c r="G1264" s="4"/>
      <c r="H1264" s="4"/>
      <c r="I1264" s="18" t="s">
        <v>2473</v>
      </c>
      <c r="J1264" s="18" t="s">
        <v>2473</v>
      </c>
      <c r="K1264" s="18" t="s">
        <v>2473</v>
      </c>
      <c r="L1264" s="18" t="s">
        <v>2336</v>
      </c>
      <c r="AU1264" s="6"/>
      <c r="AV1264" s="6" t="str">
        <f t="shared" si="20"/>
        <v/>
      </c>
    </row>
    <row r="1265" spans="1:48" ht="14.65" thickBot="1" x14ac:dyDescent="0.5">
      <c r="A1265" s="35" t="s">
        <v>3069</v>
      </c>
      <c r="B1265" s="3" t="s">
        <v>1059</v>
      </c>
      <c r="C1265" s="4"/>
      <c r="D1265" s="4"/>
      <c r="E1265" s="4"/>
      <c r="F1265" s="4"/>
      <c r="G1265" s="4"/>
      <c r="H1265" s="4"/>
      <c r="I1265" s="18" t="s">
        <v>2473</v>
      </c>
      <c r="J1265" s="18" t="s">
        <v>2473</v>
      </c>
      <c r="K1265" s="18" t="s">
        <v>2473</v>
      </c>
      <c r="L1265" s="18" t="s">
        <v>2336</v>
      </c>
      <c r="AU1265" s="6"/>
      <c r="AV1265" s="6" t="str">
        <f t="shared" ref="AV1265:AV1328" si="21">IF(A1265&lt;&gt;"",IF(T1265&lt;&gt;"",IF(LEFT(R1265,3)="Has",IF(TRIM(A1265)&lt;&gt;T1265,"ERROR","OK"),""),""),"")</f>
        <v/>
      </c>
    </row>
    <row r="1266" spans="1:48" ht="14.65" thickBot="1" x14ac:dyDescent="0.5">
      <c r="A1266" s="35" t="s">
        <v>3070</v>
      </c>
      <c r="B1266" s="3" t="s">
        <v>1060</v>
      </c>
      <c r="C1266" s="4"/>
      <c r="D1266" s="4"/>
      <c r="E1266" s="4"/>
      <c r="F1266" s="4"/>
      <c r="G1266" s="4"/>
      <c r="H1266" s="4"/>
      <c r="I1266" s="18" t="s">
        <v>2473</v>
      </c>
      <c r="J1266" s="18" t="s">
        <v>2473</v>
      </c>
      <c r="K1266" s="18" t="s">
        <v>2473</v>
      </c>
      <c r="L1266" s="18" t="s">
        <v>2336</v>
      </c>
      <c r="AU1266" s="6"/>
      <c r="AV1266" s="6" t="str">
        <f t="shared" si="21"/>
        <v/>
      </c>
    </row>
    <row r="1267" spans="1:48" ht="14.65" thickBot="1" x14ac:dyDescent="0.5">
      <c r="A1267" s="35" t="s">
        <v>3071</v>
      </c>
      <c r="B1267" s="3" t="s">
        <v>1061</v>
      </c>
      <c r="C1267" s="4"/>
      <c r="D1267" s="4"/>
      <c r="E1267" s="4"/>
      <c r="F1267" s="4"/>
      <c r="G1267" s="4"/>
      <c r="H1267" s="4"/>
      <c r="I1267" s="18" t="s">
        <v>2473</v>
      </c>
      <c r="J1267" s="18" t="s">
        <v>2473</v>
      </c>
      <c r="K1267" s="18" t="s">
        <v>2473</v>
      </c>
      <c r="L1267" s="18" t="s">
        <v>2336</v>
      </c>
      <c r="AU1267" s="6"/>
      <c r="AV1267" s="6" t="str">
        <f t="shared" si="21"/>
        <v/>
      </c>
    </row>
    <row r="1268" spans="1:48" ht="23.65" thickBot="1" x14ac:dyDescent="0.5">
      <c r="A1268" s="35" t="s">
        <v>3072</v>
      </c>
      <c r="B1268" s="3" t="s">
        <v>1062</v>
      </c>
      <c r="C1268" s="4"/>
      <c r="D1268" s="4"/>
      <c r="E1268" s="4"/>
      <c r="F1268" s="4"/>
      <c r="G1268" s="4"/>
      <c r="H1268" s="4"/>
      <c r="I1268" s="18" t="s">
        <v>2473</v>
      </c>
      <c r="J1268" s="18" t="s">
        <v>2473</v>
      </c>
      <c r="K1268" s="18" t="s">
        <v>2473</v>
      </c>
      <c r="L1268" s="18" t="s">
        <v>2336</v>
      </c>
      <c r="AU1268" s="6"/>
      <c r="AV1268" s="6" t="str">
        <f t="shared" si="21"/>
        <v/>
      </c>
    </row>
    <row r="1269" spans="1:48" ht="14.65" thickBot="1" x14ac:dyDescent="0.5">
      <c r="A1269" s="35" t="s">
        <v>3073</v>
      </c>
      <c r="B1269" s="3" t="s">
        <v>1063</v>
      </c>
      <c r="C1269" s="4"/>
      <c r="D1269" s="4"/>
      <c r="E1269" s="4"/>
      <c r="F1269" s="4"/>
      <c r="G1269" s="4"/>
      <c r="H1269" s="4"/>
      <c r="I1269" s="18" t="s">
        <v>2473</v>
      </c>
      <c r="J1269" s="18" t="s">
        <v>2473</v>
      </c>
      <c r="K1269" s="18" t="s">
        <v>2473</v>
      </c>
      <c r="L1269" s="18" t="s">
        <v>2336</v>
      </c>
      <c r="AU1269" s="6"/>
      <c r="AV1269" s="6" t="str">
        <f t="shared" si="21"/>
        <v/>
      </c>
    </row>
    <row r="1270" spans="1:48" ht="23.65" thickBot="1" x14ac:dyDescent="0.5">
      <c r="A1270" s="35" t="s">
        <v>3074</v>
      </c>
      <c r="B1270" s="3" t="s">
        <v>1064</v>
      </c>
      <c r="C1270" s="4"/>
      <c r="D1270" s="4"/>
      <c r="E1270" s="4"/>
      <c r="F1270" s="4"/>
      <c r="G1270" s="4"/>
      <c r="H1270" s="4"/>
      <c r="I1270" s="18" t="s">
        <v>2473</v>
      </c>
      <c r="J1270" s="18" t="s">
        <v>2473</v>
      </c>
      <c r="K1270" s="18" t="s">
        <v>2473</v>
      </c>
      <c r="L1270" s="18" t="s">
        <v>2336</v>
      </c>
      <c r="AU1270" s="6"/>
      <c r="AV1270" s="6" t="str">
        <f t="shared" si="21"/>
        <v/>
      </c>
    </row>
    <row r="1271" spans="1:48" ht="14.65" thickBot="1" x14ac:dyDescent="0.5">
      <c r="A1271" s="35" t="s">
        <v>3075</v>
      </c>
      <c r="B1271" s="3" t="s">
        <v>1065</v>
      </c>
      <c r="C1271" s="4"/>
      <c r="D1271" s="4"/>
      <c r="E1271" s="4"/>
      <c r="F1271" s="4"/>
      <c r="G1271" s="4"/>
      <c r="H1271" s="4"/>
      <c r="I1271" s="18" t="s">
        <v>2473</v>
      </c>
      <c r="J1271" s="18" t="s">
        <v>2473</v>
      </c>
      <c r="K1271" s="18" t="s">
        <v>2473</v>
      </c>
      <c r="L1271" s="18" t="s">
        <v>2336</v>
      </c>
      <c r="AU1271" s="6"/>
      <c r="AV1271" s="6" t="str">
        <f t="shared" si="21"/>
        <v/>
      </c>
    </row>
    <row r="1272" spans="1:48" ht="23.65" thickBot="1" x14ac:dyDescent="0.5">
      <c r="A1272" s="35" t="s">
        <v>3076</v>
      </c>
      <c r="B1272" s="3" t="s">
        <v>1066</v>
      </c>
      <c r="C1272" s="4"/>
      <c r="D1272" s="4"/>
      <c r="E1272" s="4"/>
      <c r="F1272" s="4"/>
      <c r="G1272" s="4"/>
      <c r="H1272" s="4"/>
      <c r="I1272" s="18" t="s">
        <v>2473</v>
      </c>
      <c r="J1272" s="18" t="s">
        <v>2473</v>
      </c>
      <c r="K1272" s="18" t="s">
        <v>2473</v>
      </c>
      <c r="L1272" s="18" t="s">
        <v>2336</v>
      </c>
      <c r="AU1272" s="6"/>
      <c r="AV1272" s="6" t="str">
        <f t="shared" si="21"/>
        <v/>
      </c>
    </row>
    <row r="1273" spans="1:48" ht="23.65" thickBot="1" x14ac:dyDescent="0.5">
      <c r="A1273" s="35" t="s">
        <v>1067</v>
      </c>
      <c r="B1273" s="3" t="s">
        <v>1068</v>
      </c>
      <c r="C1273" s="4"/>
      <c r="D1273" s="4"/>
      <c r="E1273" s="4"/>
      <c r="F1273" s="4"/>
      <c r="G1273" s="4"/>
      <c r="H1273" s="4"/>
      <c r="I1273" s="18" t="s">
        <v>2473</v>
      </c>
      <c r="J1273" s="18" t="s">
        <v>2473</v>
      </c>
      <c r="K1273" s="18" t="s">
        <v>2473</v>
      </c>
      <c r="L1273" s="18" t="s">
        <v>2336</v>
      </c>
      <c r="AU1273" s="6"/>
      <c r="AV1273" s="6" t="str">
        <f t="shared" si="21"/>
        <v/>
      </c>
    </row>
    <row r="1274" spans="1:48" ht="23.65" thickBot="1" x14ac:dyDescent="0.5">
      <c r="A1274" s="35" t="s">
        <v>1069</v>
      </c>
      <c r="B1274" s="3" t="s">
        <v>1070</v>
      </c>
      <c r="C1274" s="4"/>
      <c r="D1274" s="4"/>
      <c r="E1274" s="4"/>
      <c r="F1274" s="4"/>
      <c r="G1274" s="4"/>
      <c r="H1274" s="4"/>
      <c r="I1274" s="18" t="s">
        <v>2473</v>
      </c>
      <c r="J1274" s="18" t="s">
        <v>2473</v>
      </c>
      <c r="K1274" s="18" t="s">
        <v>2473</v>
      </c>
      <c r="L1274" s="18" t="s">
        <v>2336</v>
      </c>
      <c r="AU1274" s="6"/>
      <c r="AV1274" s="6" t="str">
        <f t="shared" si="21"/>
        <v/>
      </c>
    </row>
    <row r="1275" spans="1:48" ht="14.65" thickBot="1" x14ac:dyDescent="0.5">
      <c r="A1275" s="35" t="s">
        <v>1071</v>
      </c>
      <c r="B1275" s="3" t="s">
        <v>1072</v>
      </c>
      <c r="C1275" s="4"/>
      <c r="D1275" s="4"/>
      <c r="E1275" s="4"/>
      <c r="F1275" s="4"/>
      <c r="G1275" s="4"/>
      <c r="H1275" s="4"/>
      <c r="I1275" s="18" t="s">
        <v>2473</v>
      </c>
      <c r="J1275" s="18" t="s">
        <v>2473</v>
      </c>
      <c r="K1275" s="18" t="s">
        <v>2473</v>
      </c>
      <c r="L1275" s="18" t="s">
        <v>2336</v>
      </c>
      <c r="AU1275" s="8"/>
      <c r="AV1275" s="6" t="str">
        <f t="shared" si="21"/>
        <v/>
      </c>
    </row>
    <row r="1276" spans="1:48" ht="14.65" thickBot="1" x14ac:dyDescent="0.5">
      <c r="A1276" s="35" t="s">
        <v>1073</v>
      </c>
      <c r="B1276" s="3" t="s">
        <v>1074</v>
      </c>
      <c r="C1276" s="4"/>
      <c r="D1276" s="4"/>
      <c r="E1276" s="4"/>
      <c r="F1276" s="4"/>
      <c r="G1276" s="4"/>
      <c r="H1276" s="4"/>
      <c r="I1276" s="18" t="s">
        <v>2473</v>
      </c>
      <c r="J1276" s="18" t="s">
        <v>2473</v>
      </c>
      <c r="K1276" s="18" t="s">
        <v>2473</v>
      </c>
      <c r="L1276" s="18" t="s">
        <v>2336</v>
      </c>
      <c r="AU1276" s="6"/>
      <c r="AV1276" s="6" t="str">
        <f t="shared" si="21"/>
        <v/>
      </c>
    </row>
    <row r="1277" spans="1:48" ht="14.65" thickBot="1" x14ac:dyDescent="0.5">
      <c r="A1277" s="35" t="s">
        <v>1075</v>
      </c>
      <c r="B1277" s="3" t="s">
        <v>1076</v>
      </c>
      <c r="C1277" s="4"/>
      <c r="D1277" s="4"/>
      <c r="E1277" s="4"/>
      <c r="F1277" s="4"/>
      <c r="G1277" s="4"/>
      <c r="H1277" s="4"/>
      <c r="I1277" s="18" t="s">
        <v>2473</v>
      </c>
      <c r="J1277" s="18" t="s">
        <v>2473</v>
      </c>
      <c r="K1277" s="18" t="s">
        <v>2473</v>
      </c>
      <c r="L1277" s="18" t="s">
        <v>2336</v>
      </c>
      <c r="AU1277" s="6"/>
      <c r="AV1277" s="6" t="str">
        <f t="shared" si="21"/>
        <v/>
      </c>
    </row>
    <row r="1278" spans="1:48" ht="23.65" thickBot="1" x14ac:dyDescent="0.5">
      <c r="A1278" s="35" t="s">
        <v>1077</v>
      </c>
      <c r="B1278" s="3" t="s">
        <v>1078</v>
      </c>
      <c r="C1278" s="4"/>
      <c r="D1278" s="4"/>
      <c r="E1278" s="4"/>
      <c r="F1278" s="4"/>
      <c r="G1278" s="4"/>
      <c r="H1278" s="4"/>
      <c r="I1278" s="18" t="s">
        <v>2473</v>
      </c>
      <c r="J1278" s="18" t="s">
        <v>2473</v>
      </c>
      <c r="K1278" s="18" t="s">
        <v>2473</v>
      </c>
      <c r="L1278" s="18" t="s">
        <v>2336</v>
      </c>
      <c r="AU1278" s="6"/>
      <c r="AV1278" s="6" t="str">
        <f t="shared" si="21"/>
        <v/>
      </c>
    </row>
    <row r="1279" spans="1:48" ht="23.65" thickBot="1" x14ac:dyDescent="0.5">
      <c r="A1279" s="35" t="s">
        <v>1079</v>
      </c>
      <c r="B1279" s="3" t="s">
        <v>1080</v>
      </c>
      <c r="C1279" s="4"/>
      <c r="D1279" s="4"/>
      <c r="E1279" s="4"/>
      <c r="F1279" s="4"/>
      <c r="G1279" s="4"/>
      <c r="H1279" s="4"/>
      <c r="I1279" s="18" t="s">
        <v>2473</v>
      </c>
      <c r="J1279" s="18" t="s">
        <v>2473</v>
      </c>
      <c r="K1279" s="18" t="s">
        <v>2473</v>
      </c>
      <c r="L1279" s="18" t="s">
        <v>2336</v>
      </c>
      <c r="AU1279" s="6"/>
      <c r="AV1279" s="6" t="str">
        <f t="shared" si="21"/>
        <v/>
      </c>
    </row>
    <row r="1280" spans="1:48" ht="23.65" thickBot="1" x14ac:dyDescent="0.5">
      <c r="A1280" s="35" t="s">
        <v>1081</v>
      </c>
      <c r="B1280" s="3" t="s">
        <v>1082</v>
      </c>
      <c r="C1280" s="4"/>
      <c r="D1280" s="4"/>
      <c r="E1280" s="4"/>
      <c r="F1280" s="4"/>
      <c r="G1280" s="4"/>
      <c r="H1280" s="4"/>
      <c r="I1280" s="18" t="s">
        <v>2473</v>
      </c>
      <c r="J1280" s="18" t="s">
        <v>2473</v>
      </c>
      <c r="K1280" s="18" t="s">
        <v>2473</v>
      </c>
      <c r="L1280" s="18" t="s">
        <v>2336</v>
      </c>
      <c r="AU1280" s="6"/>
      <c r="AV1280" s="6" t="str">
        <f t="shared" si="21"/>
        <v/>
      </c>
    </row>
    <row r="1281" spans="1:48" ht="14.65" thickBot="1" x14ac:dyDescent="0.5">
      <c r="A1281" s="35" t="s">
        <v>1083</v>
      </c>
      <c r="B1281" s="3" t="s">
        <v>1084</v>
      </c>
      <c r="C1281" s="4"/>
      <c r="D1281" s="4"/>
      <c r="E1281" s="4"/>
      <c r="F1281" s="4"/>
      <c r="G1281" s="4"/>
      <c r="H1281" s="4"/>
      <c r="I1281" s="18" t="s">
        <v>2473</v>
      </c>
      <c r="J1281" s="18" t="s">
        <v>2473</v>
      </c>
      <c r="K1281" s="18" t="s">
        <v>2473</v>
      </c>
      <c r="L1281" s="18" t="s">
        <v>2336</v>
      </c>
      <c r="AU1281" s="6"/>
      <c r="AV1281" s="6" t="str">
        <f t="shared" si="21"/>
        <v/>
      </c>
    </row>
    <row r="1282" spans="1:48" ht="23.65" thickBot="1" x14ac:dyDescent="0.5">
      <c r="A1282" s="35" t="s">
        <v>1085</v>
      </c>
      <c r="B1282" s="3" t="s">
        <v>1078</v>
      </c>
      <c r="C1282" s="4"/>
      <c r="D1282" s="4"/>
      <c r="E1282" s="4"/>
      <c r="F1282" s="4"/>
      <c r="G1282" s="4"/>
      <c r="H1282" s="4"/>
      <c r="I1282" s="18" t="s">
        <v>2473</v>
      </c>
      <c r="J1282" s="18" t="s">
        <v>2473</v>
      </c>
      <c r="K1282" s="18" t="s">
        <v>2473</v>
      </c>
      <c r="L1282" s="18" t="s">
        <v>2336</v>
      </c>
      <c r="AU1282" s="6"/>
      <c r="AV1282" s="6" t="str">
        <f t="shared" si="21"/>
        <v/>
      </c>
    </row>
    <row r="1283" spans="1:48" ht="23.65" thickBot="1" x14ac:dyDescent="0.5">
      <c r="A1283" s="35" t="s">
        <v>1086</v>
      </c>
      <c r="B1283" s="3" t="s">
        <v>1087</v>
      </c>
      <c r="C1283" s="4"/>
      <c r="D1283" s="4"/>
      <c r="E1283" s="4"/>
      <c r="F1283" s="4"/>
      <c r="G1283" s="4"/>
      <c r="H1283" s="4"/>
      <c r="I1283" s="18" t="s">
        <v>2473</v>
      </c>
      <c r="J1283" s="18" t="s">
        <v>2473</v>
      </c>
      <c r="K1283" s="18" t="s">
        <v>2473</v>
      </c>
      <c r="L1283" s="18" t="s">
        <v>2336</v>
      </c>
      <c r="AU1283" s="6"/>
      <c r="AV1283" s="6" t="str">
        <f t="shared" si="21"/>
        <v/>
      </c>
    </row>
    <row r="1284" spans="1:48" ht="23.65" thickBot="1" x14ac:dyDescent="0.5">
      <c r="A1284" s="35" t="s">
        <v>1088</v>
      </c>
      <c r="B1284" s="3" t="s">
        <v>1089</v>
      </c>
      <c r="C1284" s="4"/>
      <c r="D1284" s="4"/>
      <c r="E1284" s="4"/>
      <c r="F1284" s="4"/>
      <c r="G1284" s="4"/>
      <c r="H1284" s="4"/>
      <c r="I1284" s="18" t="s">
        <v>2473</v>
      </c>
      <c r="J1284" s="18" t="s">
        <v>2473</v>
      </c>
      <c r="K1284" s="18" t="s">
        <v>2473</v>
      </c>
      <c r="L1284" s="18" t="s">
        <v>2336</v>
      </c>
      <c r="AU1284" s="6"/>
      <c r="AV1284" s="6" t="str">
        <f t="shared" si="21"/>
        <v/>
      </c>
    </row>
    <row r="1285" spans="1:48" ht="14.65" thickBot="1" x14ac:dyDescent="0.5">
      <c r="A1285" s="35" t="s">
        <v>1090</v>
      </c>
      <c r="B1285" s="3" t="s">
        <v>1091</v>
      </c>
      <c r="C1285" s="4"/>
      <c r="D1285" s="4"/>
      <c r="E1285" s="4"/>
      <c r="F1285" s="4"/>
      <c r="G1285" s="4"/>
      <c r="H1285" s="4"/>
      <c r="I1285" s="18" t="s">
        <v>2473</v>
      </c>
      <c r="J1285" s="18" t="s">
        <v>2473</v>
      </c>
      <c r="K1285" s="18" t="s">
        <v>2473</v>
      </c>
      <c r="L1285" s="18" t="s">
        <v>2336</v>
      </c>
      <c r="AU1285" s="6"/>
      <c r="AV1285" s="6" t="str">
        <f t="shared" si="21"/>
        <v/>
      </c>
    </row>
    <row r="1286" spans="1:48" ht="14.65" thickBot="1" x14ac:dyDescent="0.5">
      <c r="A1286" s="35" t="s">
        <v>3046</v>
      </c>
      <c r="B1286" s="3" t="s">
        <v>1092</v>
      </c>
      <c r="C1286" s="4"/>
      <c r="D1286" s="4"/>
      <c r="E1286" s="4"/>
      <c r="F1286" s="4"/>
      <c r="G1286" s="4"/>
      <c r="H1286" s="4"/>
      <c r="I1286" s="18" t="s">
        <v>2473</v>
      </c>
      <c r="J1286" s="18" t="s">
        <v>2473</v>
      </c>
      <c r="K1286" s="18" t="s">
        <v>2473</v>
      </c>
      <c r="L1286" s="18" t="s">
        <v>2336</v>
      </c>
      <c r="AU1286" s="6"/>
      <c r="AV1286" s="6" t="str">
        <f t="shared" si="21"/>
        <v/>
      </c>
    </row>
    <row r="1287" spans="1:48" ht="14.65" thickBot="1" x14ac:dyDescent="0.5">
      <c r="A1287" s="35" t="s">
        <v>3047</v>
      </c>
      <c r="B1287" s="3" t="s">
        <v>1093</v>
      </c>
      <c r="C1287" s="4"/>
      <c r="D1287" s="4"/>
      <c r="E1287" s="4"/>
      <c r="F1287" s="4"/>
      <c r="G1287" s="4"/>
      <c r="H1287" s="4"/>
      <c r="I1287" s="18" t="s">
        <v>2473</v>
      </c>
      <c r="J1287" s="18" t="s">
        <v>2473</v>
      </c>
      <c r="K1287" s="18" t="s">
        <v>2473</v>
      </c>
      <c r="L1287" s="18" t="s">
        <v>2336</v>
      </c>
      <c r="AU1287" s="6"/>
      <c r="AV1287" s="6" t="str">
        <f t="shared" si="21"/>
        <v/>
      </c>
    </row>
    <row r="1288" spans="1:48" ht="23.65" thickBot="1" x14ac:dyDescent="0.5">
      <c r="A1288" s="35" t="s">
        <v>3048</v>
      </c>
      <c r="B1288" s="3" t="s">
        <v>1094</v>
      </c>
      <c r="C1288" s="4"/>
      <c r="D1288" s="4"/>
      <c r="E1288" s="4"/>
      <c r="F1288" s="4"/>
      <c r="G1288" s="4"/>
      <c r="H1288" s="4"/>
      <c r="I1288" s="18" t="s">
        <v>2473</v>
      </c>
      <c r="J1288" s="18" t="s">
        <v>2473</v>
      </c>
      <c r="K1288" s="18" t="s">
        <v>2473</v>
      </c>
      <c r="L1288" s="18" t="s">
        <v>2336</v>
      </c>
      <c r="AU1288" s="6"/>
      <c r="AV1288" s="6" t="str">
        <f t="shared" si="21"/>
        <v/>
      </c>
    </row>
    <row r="1289" spans="1:48" ht="23.65" thickBot="1" x14ac:dyDescent="0.5">
      <c r="A1289" s="35" t="s">
        <v>3049</v>
      </c>
      <c r="B1289" s="3" t="s">
        <v>1095</v>
      </c>
      <c r="C1289" s="4"/>
      <c r="D1289" s="4"/>
      <c r="E1289" s="4"/>
      <c r="F1289" s="4"/>
      <c r="G1289" s="4"/>
      <c r="H1289" s="4"/>
      <c r="I1289" s="18" t="s">
        <v>2473</v>
      </c>
      <c r="J1289" s="18" t="s">
        <v>2473</v>
      </c>
      <c r="K1289" s="18" t="s">
        <v>2473</v>
      </c>
      <c r="L1289" s="18" t="s">
        <v>2336</v>
      </c>
      <c r="AU1289" s="6"/>
      <c r="AV1289" s="6" t="str">
        <f t="shared" si="21"/>
        <v/>
      </c>
    </row>
    <row r="1290" spans="1:48" ht="14.65" thickBot="1" x14ac:dyDescent="0.5">
      <c r="A1290" s="35" t="s">
        <v>3050</v>
      </c>
      <c r="B1290" s="3" t="s">
        <v>1096</v>
      </c>
      <c r="C1290" s="4"/>
      <c r="D1290" s="4"/>
      <c r="E1290" s="4"/>
      <c r="F1290" s="4"/>
      <c r="G1290" s="4"/>
      <c r="H1290" s="4"/>
      <c r="I1290" s="18" t="s">
        <v>2473</v>
      </c>
      <c r="J1290" s="18" t="s">
        <v>2473</v>
      </c>
      <c r="K1290" s="18" t="s">
        <v>2473</v>
      </c>
      <c r="L1290" s="18" t="s">
        <v>2336</v>
      </c>
      <c r="AU1290" s="6"/>
      <c r="AV1290" s="6" t="str">
        <f t="shared" si="21"/>
        <v/>
      </c>
    </row>
    <row r="1291" spans="1:48" ht="14.65" thickBot="1" x14ac:dyDescent="0.5">
      <c r="A1291" s="35" t="s">
        <v>3051</v>
      </c>
      <c r="B1291" s="3" t="s">
        <v>1097</v>
      </c>
      <c r="C1291" s="4"/>
      <c r="D1291" s="4"/>
      <c r="E1291" s="4"/>
      <c r="F1291" s="4"/>
      <c r="G1291" s="4"/>
      <c r="H1291" s="4"/>
      <c r="I1291" s="18" t="s">
        <v>2473</v>
      </c>
      <c r="J1291" s="18" t="s">
        <v>2473</v>
      </c>
      <c r="K1291" s="18" t="s">
        <v>2473</v>
      </c>
      <c r="L1291" s="18" t="s">
        <v>2336</v>
      </c>
      <c r="AU1291" s="6"/>
      <c r="AV1291" s="6" t="str">
        <f t="shared" si="21"/>
        <v/>
      </c>
    </row>
    <row r="1292" spans="1:48" ht="14.65" thickBot="1" x14ac:dyDescent="0.5">
      <c r="A1292" s="35" t="s">
        <v>3052</v>
      </c>
      <c r="B1292" s="3" t="s">
        <v>3045</v>
      </c>
      <c r="C1292" s="4"/>
      <c r="D1292" s="4"/>
      <c r="E1292" s="4"/>
      <c r="F1292" s="4"/>
      <c r="G1292" s="4"/>
      <c r="H1292" s="4"/>
      <c r="J1292" s="18" t="s">
        <v>2473</v>
      </c>
      <c r="K1292" s="18" t="s">
        <v>2473</v>
      </c>
      <c r="L1292" s="18" t="s">
        <v>2336</v>
      </c>
      <c r="AU1292" s="6"/>
      <c r="AV1292" s="6" t="str">
        <f t="shared" si="21"/>
        <v/>
      </c>
    </row>
    <row r="1293" spans="1:48" ht="14.65" thickBot="1" x14ac:dyDescent="0.5">
      <c r="A1293" s="35" t="s">
        <v>3053</v>
      </c>
      <c r="B1293" s="3" t="s">
        <v>1098</v>
      </c>
      <c r="C1293" s="4"/>
      <c r="D1293" s="4"/>
      <c r="E1293" s="4"/>
      <c r="F1293" s="4"/>
      <c r="G1293" s="4"/>
      <c r="H1293" s="4"/>
      <c r="I1293" s="18" t="s">
        <v>2473</v>
      </c>
      <c r="J1293" s="18" t="s">
        <v>2473</v>
      </c>
      <c r="K1293" s="18" t="s">
        <v>2473</v>
      </c>
      <c r="L1293" s="18" t="s">
        <v>2336</v>
      </c>
      <c r="AU1293" s="6"/>
      <c r="AV1293" s="6" t="str">
        <f t="shared" si="21"/>
        <v/>
      </c>
    </row>
    <row r="1294" spans="1:48" ht="23.65" thickBot="1" x14ac:dyDescent="0.5">
      <c r="A1294" s="36" t="s">
        <v>1099</v>
      </c>
      <c r="B1294" s="3" t="s">
        <v>1100</v>
      </c>
      <c r="C1294" s="4"/>
      <c r="D1294" s="4"/>
      <c r="E1294" s="4"/>
      <c r="F1294" s="4"/>
      <c r="G1294" s="4"/>
      <c r="H1294" s="4"/>
      <c r="I1294" s="18" t="s">
        <v>2473</v>
      </c>
      <c r="J1294" s="18" t="s">
        <v>2473</v>
      </c>
      <c r="K1294" s="18" t="s">
        <v>2473</v>
      </c>
      <c r="L1294" s="18" t="s">
        <v>2336</v>
      </c>
      <c r="AU1294" s="6"/>
      <c r="AV1294" s="6" t="str">
        <f t="shared" si="21"/>
        <v/>
      </c>
    </row>
    <row r="1295" spans="1:48" ht="14.65" thickBot="1" x14ac:dyDescent="0.5">
      <c r="A1295" s="36" t="s">
        <v>1101</v>
      </c>
      <c r="B1295" s="3" t="s">
        <v>1102</v>
      </c>
      <c r="C1295" s="4"/>
      <c r="D1295" s="4"/>
      <c r="E1295" s="4"/>
      <c r="F1295" s="4"/>
      <c r="G1295" s="4"/>
      <c r="H1295" s="4"/>
      <c r="I1295" s="18" t="s">
        <v>2473</v>
      </c>
      <c r="J1295" s="18" t="s">
        <v>2473</v>
      </c>
      <c r="K1295" s="18" t="s">
        <v>2473</v>
      </c>
      <c r="L1295" s="18" t="s">
        <v>2336</v>
      </c>
      <c r="AU1295" s="6"/>
      <c r="AV1295" s="6" t="str">
        <f t="shared" si="21"/>
        <v/>
      </c>
    </row>
    <row r="1296" spans="1:48" ht="14.65" thickBot="1" x14ac:dyDescent="0.5">
      <c r="A1296" s="35" t="s">
        <v>153</v>
      </c>
      <c r="B1296" s="3" t="s">
        <v>1103</v>
      </c>
      <c r="C1296" s="4"/>
      <c r="D1296" s="4"/>
      <c r="E1296" s="4"/>
      <c r="F1296" s="4"/>
      <c r="G1296" s="4"/>
      <c r="H1296" s="4"/>
      <c r="I1296" s="18" t="s">
        <v>2473</v>
      </c>
      <c r="J1296" s="18" t="s">
        <v>2473</v>
      </c>
      <c r="K1296" s="18" t="s">
        <v>2473</v>
      </c>
      <c r="L1296" s="18" t="s">
        <v>2336</v>
      </c>
      <c r="AU1296" s="6"/>
      <c r="AV1296" s="6" t="str">
        <f t="shared" si="21"/>
        <v/>
      </c>
    </row>
    <row r="1297" spans="1:48" ht="14.65" thickBot="1" x14ac:dyDescent="0.5">
      <c r="A1297" s="35" t="s">
        <v>1104</v>
      </c>
      <c r="B1297" s="3" t="s">
        <v>1105</v>
      </c>
      <c r="C1297" s="4"/>
      <c r="D1297" s="4"/>
      <c r="E1297" s="4"/>
      <c r="F1297" s="4"/>
      <c r="G1297" s="4"/>
      <c r="H1297" s="4"/>
      <c r="I1297" s="18" t="s">
        <v>2473</v>
      </c>
      <c r="J1297" s="18" t="s">
        <v>2473</v>
      </c>
      <c r="K1297" s="18" t="s">
        <v>2473</v>
      </c>
      <c r="L1297" s="18" t="s">
        <v>2336</v>
      </c>
      <c r="AU1297" s="6"/>
      <c r="AV1297" s="6" t="str">
        <f t="shared" si="21"/>
        <v/>
      </c>
    </row>
    <row r="1298" spans="1:48" ht="14.65" thickBot="1" x14ac:dyDescent="0.5">
      <c r="A1298" s="35" t="s">
        <v>1106</v>
      </c>
      <c r="B1298" s="3" t="s">
        <v>1107</v>
      </c>
      <c r="C1298" s="4"/>
      <c r="D1298" s="4"/>
      <c r="E1298" s="4"/>
      <c r="F1298" s="4"/>
      <c r="G1298" s="4"/>
      <c r="H1298" s="4"/>
      <c r="I1298" s="18" t="s">
        <v>2473</v>
      </c>
      <c r="J1298" s="18" t="s">
        <v>2473</v>
      </c>
      <c r="K1298" s="18" t="s">
        <v>2473</v>
      </c>
      <c r="L1298" s="18" t="s">
        <v>2336</v>
      </c>
      <c r="AU1298" s="6"/>
      <c r="AV1298" s="6" t="str">
        <f t="shared" si="21"/>
        <v/>
      </c>
    </row>
    <row r="1299" spans="1:48" s="79" customFormat="1" x14ac:dyDescent="0.45">
      <c r="A1299" s="75"/>
      <c r="B1299" s="76"/>
      <c r="C1299" s="77"/>
      <c r="D1299" s="77"/>
      <c r="E1299" s="77"/>
      <c r="F1299" s="77"/>
      <c r="G1299" s="77"/>
      <c r="H1299" s="77"/>
      <c r="I1299" s="77"/>
      <c r="J1299" s="77"/>
      <c r="K1299" s="77"/>
      <c r="L1299" s="77"/>
      <c r="M1299" s="148"/>
      <c r="N1299" s="78"/>
      <c r="O1299" s="78"/>
      <c r="P1299" s="78"/>
      <c r="Q1299" s="78"/>
      <c r="R1299" s="78"/>
      <c r="S1299" s="78"/>
      <c r="T1299" s="78"/>
      <c r="U1299" s="78"/>
      <c r="V1299" s="78"/>
      <c r="W1299" s="78"/>
      <c r="X1299" s="78"/>
      <c r="Y1299" s="148"/>
      <c r="Z1299" s="78"/>
      <c r="AA1299" s="78"/>
      <c r="AB1299" s="78"/>
      <c r="AC1299" s="78"/>
      <c r="AD1299" s="78"/>
      <c r="AE1299" s="156"/>
      <c r="AF1299" s="156"/>
      <c r="AG1299" s="78"/>
      <c r="AH1299" s="78"/>
      <c r="AI1299" s="78"/>
      <c r="AJ1299" s="78"/>
      <c r="AK1299" s="78"/>
      <c r="AL1299" s="78"/>
      <c r="AM1299" s="78"/>
      <c r="AN1299" s="78"/>
      <c r="AO1299" s="78"/>
      <c r="AP1299" s="78"/>
      <c r="AQ1299" s="78"/>
      <c r="AR1299" s="286"/>
      <c r="AS1299" s="78"/>
      <c r="AT1299" s="78"/>
      <c r="AU1299" s="8"/>
      <c r="AV1299" s="6" t="str">
        <f t="shared" si="21"/>
        <v/>
      </c>
    </row>
    <row r="1300" spans="1:48" x14ac:dyDescent="0.45">
      <c r="A1300" s="27" t="s">
        <v>2422</v>
      </c>
      <c r="I1300" s="18" t="s">
        <v>2473</v>
      </c>
      <c r="J1300" s="18" t="s">
        <v>2473</v>
      </c>
      <c r="K1300" s="18" t="s">
        <v>2473</v>
      </c>
      <c r="L1300" s="18" t="s">
        <v>2336</v>
      </c>
      <c r="AU1300" s="6"/>
      <c r="AV1300" s="6" t="str">
        <f t="shared" si="21"/>
        <v/>
      </c>
    </row>
    <row r="1301" spans="1:48" x14ac:dyDescent="0.45">
      <c r="A1301" s="323" t="s">
        <v>2514</v>
      </c>
      <c r="B1301" s="324"/>
      <c r="C1301" s="324"/>
      <c r="D1301" s="324"/>
      <c r="E1301" s="324"/>
      <c r="F1301" s="324"/>
      <c r="G1301" s="101"/>
      <c r="H1301" s="101"/>
      <c r="I1301" s="18" t="s">
        <v>2473</v>
      </c>
      <c r="J1301" s="18" t="s">
        <v>2473</v>
      </c>
      <c r="K1301" s="18" t="s">
        <v>2473</v>
      </c>
      <c r="L1301" s="18" t="s">
        <v>2336</v>
      </c>
      <c r="AU1301" s="6"/>
      <c r="AV1301" s="6" t="str">
        <f t="shared" si="21"/>
        <v/>
      </c>
    </row>
    <row r="1302" spans="1:48" ht="14.65" thickBot="1" x14ac:dyDescent="0.5">
      <c r="A1302" s="28" t="s">
        <v>1108</v>
      </c>
      <c r="I1302" s="18" t="s">
        <v>2473</v>
      </c>
      <c r="J1302" s="18" t="s">
        <v>2473</v>
      </c>
      <c r="K1302" s="18" t="s">
        <v>2473</v>
      </c>
      <c r="L1302" s="18" t="s">
        <v>2336</v>
      </c>
      <c r="AU1302" s="6"/>
      <c r="AV1302" s="6" t="str">
        <f t="shared" si="21"/>
        <v/>
      </c>
    </row>
    <row r="1303" spans="1:48" ht="14.65" thickBot="1" x14ac:dyDescent="0.5">
      <c r="A1303" s="309" t="s">
        <v>1109</v>
      </c>
      <c r="B1303" s="310"/>
      <c r="C1303" s="301" t="s">
        <v>1</v>
      </c>
      <c r="D1303" s="319"/>
      <c r="E1303" s="319"/>
      <c r="F1303" s="302"/>
      <c r="G1303" s="102"/>
      <c r="H1303" s="102"/>
      <c r="I1303" s="18" t="s">
        <v>2473</v>
      </c>
      <c r="J1303" s="18" t="s">
        <v>2473</v>
      </c>
      <c r="K1303" s="18" t="s">
        <v>2473</v>
      </c>
      <c r="L1303" s="18" t="s">
        <v>2336</v>
      </c>
      <c r="AU1303" s="6"/>
      <c r="AV1303" s="6" t="str">
        <f t="shared" si="21"/>
        <v/>
      </c>
    </row>
    <row r="1304" spans="1:48" ht="14.65" thickBot="1" x14ac:dyDescent="0.5">
      <c r="A1304" s="311"/>
      <c r="B1304" s="312"/>
      <c r="C1304" s="301" t="s">
        <v>2</v>
      </c>
      <c r="D1304" s="302"/>
      <c r="E1304" s="301" t="s">
        <v>3</v>
      </c>
      <c r="F1304" s="302"/>
      <c r="G1304" s="301" t="s">
        <v>2896</v>
      </c>
      <c r="H1304" s="302"/>
      <c r="I1304" s="18" t="s">
        <v>2473</v>
      </c>
      <c r="J1304" s="18" t="s">
        <v>2473</v>
      </c>
      <c r="K1304" s="18" t="s">
        <v>2473</v>
      </c>
      <c r="L1304" s="18" t="s">
        <v>2336</v>
      </c>
      <c r="AU1304" s="6"/>
      <c r="AV1304" s="6" t="str">
        <f t="shared" si="21"/>
        <v/>
      </c>
    </row>
    <row r="1305" spans="1:48" ht="14.65" thickBot="1" x14ac:dyDescent="0.5">
      <c r="A1305" s="30" t="s">
        <v>4</v>
      </c>
      <c r="B1305" s="59" t="s">
        <v>5</v>
      </c>
      <c r="C1305" s="7" t="s">
        <v>6</v>
      </c>
      <c r="D1305" s="7" t="s">
        <v>7</v>
      </c>
      <c r="E1305" s="7" t="s">
        <v>6</v>
      </c>
      <c r="F1305" s="7" t="s">
        <v>7</v>
      </c>
      <c r="G1305" s="7" t="s">
        <v>6</v>
      </c>
      <c r="H1305" s="7" t="s">
        <v>7</v>
      </c>
      <c r="I1305" s="18" t="s">
        <v>2473</v>
      </c>
      <c r="J1305" s="18" t="s">
        <v>2473</v>
      </c>
      <c r="K1305" s="18" t="s">
        <v>2473</v>
      </c>
      <c r="L1305" s="18" t="s">
        <v>2336</v>
      </c>
      <c r="AU1305" s="8"/>
      <c r="AV1305" s="6" t="str">
        <f t="shared" si="21"/>
        <v/>
      </c>
    </row>
    <row r="1306" spans="1:48" ht="81.75" thickBot="1" x14ac:dyDescent="0.5">
      <c r="A1306" s="35" t="s">
        <v>2388</v>
      </c>
      <c r="B1306" s="3" t="s">
        <v>1110</v>
      </c>
      <c r="C1306" s="4"/>
      <c r="D1306" s="4"/>
      <c r="E1306" s="4"/>
      <c r="F1306" s="4"/>
      <c r="G1306" s="4"/>
      <c r="H1306" s="4"/>
      <c r="I1306" s="18" t="s">
        <v>2473</v>
      </c>
      <c r="J1306" s="18" t="s">
        <v>2473</v>
      </c>
      <c r="K1306" s="18" t="s">
        <v>2473</v>
      </c>
      <c r="L1306" s="18" t="s">
        <v>2336</v>
      </c>
      <c r="AU1306" s="6"/>
      <c r="AV1306" s="6" t="str">
        <f t="shared" si="21"/>
        <v/>
      </c>
    </row>
    <row r="1307" spans="1:48" ht="14.65" thickBot="1" x14ac:dyDescent="0.5">
      <c r="A1307" s="35" t="s">
        <v>1111</v>
      </c>
      <c r="B1307" s="3" t="s">
        <v>1112</v>
      </c>
      <c r="C1307" s="4"/>
      <c r="D1307" s="4"/>
      <c r="E1307" s="4"/>
      <c r="F1307" s="4"/>
      <c r="G1307" s="4"/>
      <c r="H1307" s="4"/>
      <c r="I1307" s="18" t="s">
        <v>2473</v>
      </c>
      <c r="J1307" s="18" t="s">
        <v>2473</v>
      </c>
      <c r="K1307" s="18" t="s">
        <v>2473</v>
      </c>
      <c r="L1307" s="18" t="s">
        <v>2336</v>
      </c>
      <c r="AU1307" s="6"/>
      <c r="AV1307" s="6" t="str">
        <f t="shared" si="21"/>
        <v/>
      </c>
    </row>
    <row r="1308" spans="1:48" ht="23.65" thickBot="1" x14ac:dyDescent="0.5">
      <c r="A1308" s="35" t="s">
        <v>1113</v>
      </c>
      <c r="B1308" s="3" t="s">
        <v>1114</v>
      </c>
      <c r="C1308" s="4"/>
      <c r="D1308" s="4"/>
      <c r="E1308" s="4"/>
      <c r="F1308" s="4"/>
      <c r="G1308" s="4"/>
      <c r="H1308" s="4"/>
      <c r="I1308" s="18" t="s">
        <v>2473</v>
      </c>
      <c r="J1308" s="18" t="s">
        <v>2473</v>
      </c>
      <c r="K1308" s="18" t="s">
        <v>2473</v>
      </c>
      <c r="L1308" s="18" t="s">
        <v>2336</v>
      </c>
      <c r="AU1308" s="6"/>
      <c r="AV1308" s="6" t="str">
        <f t="shared" si="21"/>
        <v/>
      </c>
    </row>
    <row r="1309" spans="1:48" ht="14.65" thickBot="1" x14ac:dyDescent="0.5">
      <c r="A1309" s="35" t="s">
        <v>1115</v>
      </c>
      <c r="B1309" s="3" t="s">
        <v>1116</v>
      </c>
      <c r="C1309" s="4"/>
      <c r="D1309" s="4"/>
      <c r="E1309" s="4"/>
      <c r="F1309" s="4"/>
      <c r="G1309" s="4"/>
      <c r="H1309" s="4"/>
      <c r="I1309" s="18" t="s">
        <v>2473</v>
      </c>
      <c r="J1309" s="18" t="s">
        <v>2473</v>
      </c>
      <c r="K1309" s="18" t="s">
        <v>2473</v>
      </c>
      <c r="L1309" s="18" t="s">
        <v>2336</v>
      </c>
      <c r="AU1309" s="6"/>
      <c r="AV1309" s="6" t="str">
        <f t="shared" si="21"/>
        <v/>
      </c>
    </row>
    <row r="1310" spans="1:48" ht="23.65" thickBot="1" x14ac:dyDescent="0.5">
      <c r="A1310" s="35" t="s">
        <v>5</v>
      </c>
      <c r="B1310" s="3" t="s">
        <v>1117</v>
      </c>
      <c r="C1310" s="4"/>
      <c r="D1310" s="4"/>
      <c r="E1310" s="4"/>
      <c r="F1310" s="4"/>
      <c r="G1310" s="4"/>
      <c r="H1310" s="4"/>
      <c r="I1310" s="18" t="s">
        <v>2473</v>
      </c>
      <c r="J1310" s="18" t="s">
        <v>2473</v>
      </c>
      <c r="K1310" s="18" t="s">
        <v>2473</v>
      </c>
      <c r="L1310" s="18" t="s">
        <v>2336</v>
      </c>
      <c r="AU1310" s="6"/>
      <c r="AV1310" s="6" t="str">
        <f t="shared" si="21"/>
        <v/>
      </c>
    </row>
    <row r="1311" spans="1:48" ht="35.25" thickBot="1" x14ac:dyDescent="0.5">
      <c r="A1311" s="35" t="s">
        <v>1118</v>
      </c>
      <c r="B1311" s="3" t="s">
        <v>1119</v>
      </c>
      <c r="C1311" s="4"/>
      <c r="D1311" s="4"/>
      <c r="E1311" s="4"/>
      <c r="F1311" s="4"/>
      <c r="G1311" s="4"/>
      <c r="H1311" s="4"/>
      <c r="I1311" s="18" t="s">
        <v>2473</v>
      </c>
      <c r="J1311" s="18" t="s">
        <v>2473</v>
      </c>
      <c r="K1311" s="18" t="s">
        <v>2473</v>
      </c>
      <c r="L1311" s="18" t="s">
        <v>2336</v>
      </c>
      <c r="AU1311" s="6"/>
      <c r="AV1311" s="6" t="str">
        <f t="shared" si="21"/>
        <v/>
      </c>
    </row>
    <row r="1312" spans="1:48" ht="46.9" thickBot="1" x14ac:dyDescent="0.5">
      <c r="A1312" s="35" t="s">
        <v>820</v>
      </c>
      <c r="B1312" s="3" t="s">
        <v>1120</v>
      </c>
      <c r="C1312" s="4"/>
      <c r="D1312" s="4"/>
      <c r="E1312" s="4"/>
      <c r="F1312" s="4"/>
      <c r="G1312" s="4"/>
      <c r="H1312" s="4"/>
      <c r="I1312" s="18" t="s">
        <v>2473</v>
      </c>
      <c r="J1312" s="18" t="s">
        <v>2473</v>
      </c>
      <c r="K1312" s="18" t="s">
        <v>2473</v>
      </c>
      <c r="L1312" s="18" t="s">
        <v>2336</v>
      </c>
      <c r="AU1312" s="6"/>
      <c r="AV1312" s="6" t="str">
        <f t="shared" si="21"/>
        <v/>
      </c>
    </row>
    <row r="1313" spans="1:48" ht="23.65" thickBot="1" x14ac:dyDescent="0.5">
      <c r="A1313" s="35" t="s">
        <v>753</v>
      </c>
      <c r="B1313" s="3" t="s">
        <v>1121</v>
      </c>
      <c r="C1313" s="4"/>
      <c r="D1313" s="4"/>
      <c r="E1313" s="4"/>
      <c r="F1313" s="4"/>
      <c r="G1313" s="4"/>
      <c r="H1313" s="4"/>
      <c r="I1313" s="18" t="s">
        <v>2473</v>
      </c>
      <c r="J1313" s="18" t="s">
        <v>2473</v>
      </c>
      <c r="K1313" s="18" t="s">
        <v>2473</v>
      </c>
      <c r="L1313" s="18" t="s">
        <v>2336</v>
      </c>
      <c r="AU1313" s="6"/>
      <c r="AV1313" s="6" t="str">
        <f t="shared" si="21"/>
        <v/>
      </c>
    </row>
    <row r="1314" spans="1:48" ht="23.65" thickBot="1" x14ac:dyDescent="0.5">
      <c r="A1314" s="35" t="s">
        <v>8</v>
      </c>
      <c r="B1314" s="3" t="s">
        <v>1122</v>
      </c>
      <c r="C1314" s="4"/>
      <c r="D1314" s="4"/>
      <c r="E1314" s="4"/>
      <c r="F1314" s="4"/>
      <c r="G1314" s="4"/>
      <c r="H1314" s="4"/>
      <c r="I1314" s="18" t="s">
        <v>2473</v>
      </c>
      <c r="J1314" s="18" t="s">
        <v>2473</v>
      </c>
      <c r="K1314" s="18" t="s">
        <v>2473</v>
      </c>
      <c r="L1314" s="18" t="s">
        <v>2336</v>
      </c>
      <c r="AU1314" s="6"/>
      <c r="AV1314" s="6" t="str">
        <f t="shared" si="21"/>
        <v/>
      </c>
    </row>
    <row r="1315" spans="1:48" ht="58.5" thickBot="1" x14ac:dyDescent="0.5">
      <c r="A1315" s="35" t="s">
        <v>75</v>
      </c>
      <c r="B1315" s="3" t="s">
        <v>1123</v>
      </c>
      <c r="C1315" s="4"/>
      <c r="D1315" s="4"/>
      <c r="E1315" s="4"/>
      <c r="F1315" s="4"/>
      <c r="G1315" s="4"/>
      <c r="H1315" s="4"/>
      <c r="I1315" s="18" t="s">
        <v>2473</v>
      </c>
      <c r="J1315" s="18" t="s">
        <v>2473</v>
      </c>
      <c r="K1315" s="18" t="s">
        <v>2473</v>
      </c>
      <c r="L1315" s="18" t="s">
        <v>2336</v>
      </c>
      <c r="AU1315" s="6"/>
      <c r="AV1315" s="6" t="str">
        <f t="shared" si="21"/>
        <v/>
      </c>
    </row>
    <row r="1316" spans="1:48" ht="116.65" thickBot="1" x14ac:dyDescent="0.5">
      <c r="A1316" s="35" t="s">
        <v>1124</v>
      </c>
      <c r="B1316" s="3" t="s">
        <v>1125</v>
      </c>
      <c r="C1316" s="4"/>
      <c r="D1316" s="4"/>
      <c r="E1316" s="4"/>
      <c r="F1316" s="4"/>
      <c r="G1316" s="4"/>
      <c r="H1316" s="4"/>
      <c r="I1316" s="18" t="s">
        <v>2473</v>
      </c>
      <c r="J1316" s="18" t="s">
        <v>2473</v>
      </c>
      <c r="K1316" s="18" t="s">
        <v>2473</v>
      </c>
      <c r="L1316" s="18" t="s">
        <v>2336</v>
      </c>
      <c r="AU1316" s="6"/>
      <c r="AV1316" s="6" t="str">
        <f t="shared" si="21"/>
        <v/>
      </c>
    </row>
    <row r="1317" spans="1:48" ht="14.65" thickBot="1" x14ac:dyDescent="0.5">
      <c r="A1317" s="35" t="s">
        <v>1113</v>
      </c>
      <c r="B1317" s="3" t="s">
        <v>84</v>
      </c>
      <c r="C1317" s="4"/>
      <c r="D1317" s="4"/>
      <c r="E1317" s="4"/>
      <c r="F1317" s="4"/>
      <c r="G1317" s="4"/>
      <c r="H1317" s="4"/>
      <c r="I1317" s="18" t="s">
        <v>2473</v>
      </c>
      <c r="J1317" s="18" t="s">
        <v>2473</v>
      </c>
      <c r="K1317" s="18" t="s">
        <v>2473</v>
      </c>
      <c r="L1317" s="18" t="s">
        <v>2336</v>
      </c>
      <c r="AU1317" s="6"/>
      <c r="AV1317" s="6" t="str">
        <f t="shared" si="21"/>
        <v/>
      </c>
    </row>
    <row r="1318" spans="1:48" s="79" customFormat="1" x14ac:dyDescent="0.45">
      <c r="A1318" s="75"/>
      <c r="B1318" s="76"/>
      <c r="C1318" s="77"/>
      <c r="D1318" s="77"/>
      <c r="E1318" s="77"/>
      <c r="F1318" s="77"/>
      <c r="G1318" s="77"/>
      <c r="H1318" s="77"/>
      <c r="I1318" s="77"/>
      <c r="J1318" s="77"/>
      <c r="K1318" s="77"/>
      <c r="L1318" s="77"/>
      <c r="M1318" s="148"/>
      <c r="N1318" s="78"/>
      <c r="O1318" s="78"/>
      <c r="P1318" s="78"/>
      <c r="Q1318" s="78"/>
      <c r="R1318" s="78"/>
      <c r="S1318" s="78"/>
      <c r="T1318" s="78"/>
      <c r="U1318" s="78"/>
      <c r="V1318" s="78"/>
      <c r="W1318" s="78"/>
      <c r="X1318" s="78"/>
      <c r="Y1318" s="148"/>
      <c r="Z1318" s="78"/>
      <c r="AA1318" s="78"/>
      <c r="AB1318" s="78"/>
      <c r="AC1318" s="78"/>
      <c r="AD1318" s="78"/>
      <c r="AE1318" s="156"/>
      <c r="AF1318" s="156"/>
      <c r="AG1318" s="78"/>
      <c r="AH1318" s="78"/>
      <c r="AI1318" s="78"/>
      <c r="AJ1318" s="78"/>
      <c r="AK1318" s="78"/>
      <c r="AL1318" s="78"/>
      <c r="AM1318" s="78"/>
      <c r="AN1318" s="78"/>
      <c r="AO1318" s="78"/>
      <c r="AP1318" s="78"/>
      <c r="AQ1318" s="78"/>
      <c r="AR1318" s="286"/>
      <c r="AS1318" s="78"/>
      <c r="AT1318" s="78"/>
      <c r="AU1318" s="8"/>
      <c r="AV1318" s="6" t="str">
        <f t="shared" si="21"/>
        <v/>
      </c>
    </row>
    <row r="1319" spans="1:48" x14ac:dyDescent="0.45">
      <c r="A1319" s="27" t="s">
        <v>2423</v>
      </c>
      <c r="I1319" s="18" t="s">
        <v>2473</v>
      </c>
      <c r="J1319" s="18" t="s">
        <v>2473</v>
      </c>
      <c r="K1319" s="18" t="s">
        <v>2473</v>
      </c>
      <c r="L1319" s="18" t="s">
        <v>2336</v>
      </c>
      <c r="AU1319" s="6"/>
      <c r="AV1319" s="6" t="str">
        <f t="shared" si="21"/>
        <v/>
      </c>
    </row>
    <row r="1320" spans="1:48" x14ac:dyDescent="0.45">
      <c r="A1320" s="323" t="s">
        <v>2515</v>
      </c>
      <c r="B1320" s="324"/>
      <c r="C1320" s="324"/>
      <c r="D1320" s="324"/>
      <c r="E1320" s="324"/>
      <c r="F1320" s="324"/>
      <c r="G1320" s="101"/>
      <c r="H1320" s="101"/>
      <c r="I1320" s="18" t="s">
        <v>2473</v>
      </c>
      <c r="J1320" s="18" t="s">
        <v>2473</v>
      </c>
      <c r="K1320" s="18" t="s">
        <v>2473</v>
      </c>
      <c r="L1320" s="18" t="s">
        <v>2336</v>
      </c>
      <c r="AU1320" s="6"/>
      <c r="AV1320" s="6" t="str">
        <f t="shared" si="21"/>
        <v/>
      </c>
    </row>
    <row r="1321" spans="1:48" ht="14.65" thickBot="1" x14ac:dyDescent="0.5">
      <c r="A1321" s="28" t="s">
        <v>1126</v>
      </c>
      <c r="I1321" s="18" t="s">
        <v>2473</v>
      </c>
      <c r="J1321" s="18" t="s">
        <v>2473</v>
      </c>
      <c r="K1321" s="18" t="s">
        <v>2473</v>
      </c>
      <c r="L1321" s="18" t="s">
        <v>2336</v>
      </c>
      <c r="AA1321" s="183" t="s">
        <v>2322</v>
      </c>
      <c r="AB1321" s="183" t="s">
        <v>1697</v>
      </c>
      <c r="AC1321" s="183" t="s">
        <v>5</v>
      </c>
      <c r="AU1321" s="6"/>
      <c r="AV1321" s="6" t="str">
        <f t="shared" si="21"/>
        <v/>
      </c>
    </row>
    <row r="1322" spans="1:48" ht="93.4" thickBot="1" x14ac:dyDescent="0.5">
      <c r="A1322" s="309" t="s">
        <v>1127</v>
      </c>
      <c r="B1322" s="310"/>
      <c r="C1322" s="301" t="s">
        <v>1</v>
      </c>
      <c r="D1322" s="319"/>
      <c r="E1322" s="319"/>
      <c r="F1322" s="302"/>
      <c r="G1322" s="102"/>
      <c r="H1322" s="102"/>
      <c r="I1322" s="18" t="s">
        <v>2473</v>
      </c>
      <c r="L1322" s="18" t="s">
        <v>2336</v>
      </c>
      <c r="AA1322" s="183" t="str">
        <f>LEFT($A1322,FIND(" ",$A1322)-1)</f>
        <v>JSONSchemaFile</v>
      </c>
      <c r="AB1322" s="183" t="str">
        <f>MID($A1322,FIND("(",$A1322)+1,LEN($A1322)-FIND("(",$A1322)-1)</f>
        <v>1.1.1</v>
      </c>
      <c r="AC1322" s="101" t="str">
        <f>A1320</f>
        <v>The JSONSchemaFile resource defines the properties for the schema file locator resource.</v>
      </c>
      <c r="AU1322" s="6"/>
      <c r="AV1322" s="6" t="str">
        <f t="shared" si="21"/>
        <v/>
      </c>
    </row>
    <row r="1323" spans="1:48" ht="14.65" thickBot="1" x14ac:dyDescent="0.5">
      <c r="A1323" s="311"/>
      <c r="B1323" s="312"/>
      <c r="C1323" s="301" t="s">
        <v>2</v>
      </c>
      <c r="D1323" s="302"/>
      <c r="E1323" s="301" t="s">
        <v>3</v>
      </c>
      <c r="F1323" s="302"/>
      <c r="G1323" s="301" t="s">
        <v>2896</v>
      </c>
      <c r="H1323" s="302"/>
      <c r="I1323" s="18" t="s">
        <v>2473</v>
      </c>
      <c r="L1323" s="18" t="s">
        <v>2336</v>
      </c>
      <c r="AA1323" s="183" t="s">
        <v>2322</v>
      </c>
      <c r="AB1323" s="183" t="s">
        <v>1697</v>
      </c>
      <c r="AC1323" s="183" t="s">
        <v>5</v>
      </c>
      <c r="AU1323" s="6"/>
      <c r="AV1323" s="6" t="str">
        <f t="shared" si="21"/>
        <v/>
      </c>
    </row>
    <row r="1324" spans="1:48" ht="93.4" thickBot="1" x14ac:dyDescent="0.5">
      <c r="A1324" s="309" t="s">
        <v>3334</v>
      </c>
      <c r="B1324" s="310"/>
      <c r="C1324" s="301" t="s">
        <v>1</v>
      </c>
      <c r="D1324" s="319"/>
      <c r="E1324" s="319"/>
      <c r="F1324" s="302"/>
      <c r="G1324" s="102"/>
      <c r="H1324" s="102"/>
      <c r="J1324" s="18" t="s">
        <v>2473</v>
      </c>
      <c r="K1324" s="18" t="s">
        <v>2473</v>
      </c>
      <c r="L1324" s="18" t="s">
        <v>2336</v>
      </c>
      <c r="AA1324" s="183" t="str">
        <f>LEFT($A1324,FIND(" ",$A1324)-1)</f>
        <v>JSONSchemaFile</v>
      </c>
      <c r="AB1324" s="183" t="str">
        <f>MID($A1324,FIND("(",$A1324)+1,LEN($A1324)-FIND("(",$A1324)-1)</f>
        <v>1.1.3</v>
      </c>
      <c r="AC1324" s="101" t="str">
        <f>AC1322</f>
        <v>The JSONSchemaFile resource defines the properties for the schema file locator resource.</v>
      </c>
      <c r="AU1324" s="6"/>
      <c r="AV1324" s="6" t="str">
        <f t="shared" si="21"/>
        <v/>
      </c>
    </row>
    <row r="1325" spans="1:48" ht="14.65" thickBot="1" x14ac:dyDescent="0.5">
      <c r="A1325" s="311"/>
      <c r="B1325" s="312"/>
      <c r="C1325" s="301" t="s">
        <v>2</v>
      </c>
      <c r="D1325" s="302"/>
      <c r="E1325" s="301" t="s">
        <v>3</v>
      </c>
      <c r="F1325" s="302"/>
      <c r="G1325" s="301" t="s">
        <v>2896</v>
      </c>
      <c r="H1325" s="302"/>
      <c r="J1325" s="18" t="s">
        <v>2473</v>
      </c>
      <c r="K1325" s="18" t="s">
        <v>2473</v>
      </c>
      <c r="L1325" s="18" t="s">
        <v>2336</v>
      </c>
      <c r="AM1325" s="8" t="str">
        <f>C1325</f>
        <v>OSM-Redfish</v>
      </c>
      <c r="AN1325" s="8" t="str">
        <f>E1325</f>
        <v>OSM-RedfishBMC</v>
      </c>
      <c r="AO1325" s="8" t="str">
        <f>G1325</f>
        <v>OSM-RedfishDCN</v>
      </c>
      <c r="AP1325" s="131"/>
      <c r="AQ1325" s="131"/>
      <c r="AR1325" s="288"/>
      <c r="AS1325" s="259"/>
      <c r="AT1325" s="183"/>
      <c r="AU1325" s="6"/>
      <c r="AV1325" s="6" t="str">
        <f t="shared" si="21"/>
        <v/>
      </c>
    </row>
    <row r="1326" spans="1:48" ht="14.65" thickBot="1" x14ac:dyDescent="0.5">
      <c r="A1326" s="46" t="s">
        <v>2377</v>
      </c>
      <c r="B1326" s="47"/>
      <c r="C1326" s="303" t="s">
        <v>37</v>
      </c>
      <c r="D1326" s="304"/>
      <c r="E1326" s="303" t="s">
        <v>37</v>
      </c>
      <c r="F1326" s="304"/>
      <c r="G1326" s="303" t="s">
        <v>37</v>
      </c>
      <c r="H1326" s="304"/>
      <c r="I1326" s="18" t="s">
        <v>2473</v>
      </c>
      <c r="J1326" s="18" t="s">
        <v>2473</v>
      </c>
      <c r="K1326" s="18" t="s">
        <v>2473</v>
      </c>
      <c r="L1326" s="18" t="s">
        <v>2336</v>
      </c>
      <c r="AM1326" s="8" t="str">
        <f>IF(C1326&lt;&gt;"","CRQ-P5-"&amp;(AM$2+$AP1326*$AP$3),"")</f>
        <v>CRQ-P5-1092</v>
      </c>
      <c r="AN1326" s="8" t="str">
        <f>IF(E1326&lt;&gt;"","CRQ-P5-"&amp;(AN$2+$AP1326*$AP$3),"")</f>
        <v>CRQ-P5-1392</v>
      </c>
      <c r="AO1326" s="8" t="str">
        <f>IF(G1326&lt;&gt;"","CRQ-P5-"&amp;(AO$2+$AP1326*$AP$3),"")</f>
        <v>CRQ-P5-1692</v>
      </c>
      <c r="AP1326" s="117">
        <v>23</v>
      </c>
      <c r="AQ1326" s="117"/>
      <c r="AR1326" s="287"/>
      <c r="AS1326" s="258"/>
      <c r="AT1326" s="185"/>
      <c r="AU1326" s="6"/>
      <c r="AV1326" s="6" t="str">
        <f t="shared" si="21"/>
        <v/>
      </c>
    </row>
    <row r="1327" spans="1:48" ht="14.65" thickBot="1" x14ac:dyDescent="0.5">
      <c r="A1327" s="29" t="s">
        <v>3394</v>
      </c>
      <c r="B1327" s="9"/>
      <c r="C1327" s="305" t="str">
        <f>MID($A1322,FIND("(",$A1322)+1,5)</f>
        <v>1.1.1</v>
      </c>
      <c r="D1327" s="306"/>
      <c r="E1327" s="305" t="s">
        <v>3407</v>
      </c>
      <c r="F1327" s="306"/>
      <c r="G1327" s="305" t="str">
        <f>MID($A1322,FIND("(",$A1322)+1,5)</f>
        <v>1.1.1</v>
      </c>
      <c r="H1327" s="306"/>
      <c r="I1327" s="18" t="s">
        <v>2473</v>
      </c>
      <c r="J1327" s="18" t="s">
        <v>2473</v>
      </c>
      <c r="K1327" s="18" t="s">
        <v>2473</v>
      </c>
      <c r="L1327" s="18" t="s">
        <v>2336</v>
      </c>
      <c r="AU1327" s="6"/>
      <c r="AV1327" s="6" t="str">
        <f t="shared" si="21"/>
        <v/>
      </c>
    </row>
    <row r="1328" spans="1:48" ht="14.65" thickBot="1" x14ac:dyDescent="0.5">
      <c r="A1328" s="30" t="s">
        <v>4</v>
      </c>
      <c r="B1328" s="59" t="s">
        <v>5</v>
      </c>
      <c r="C1328" s="7" t="s">
        <v>6</v>
      </c>
      <c r="D1328" s="7" t="s">
        <v>7</v>
      </c>
      <c r="E1328" s="7" t="s">
        <v>6</v>
      </c>
      <c r="F1328" s="7" t="s">
        <v>7</v>
      </c>
      <c r="G1328" s="7" t="s">
        <v>6</v>
      </c>
      <c r="H1328" s="7" t="s">
        <v>7</v>
      </c>
      <c r="I1328" s="18" t="s">
        <v>2473</v>
      </c>
      <c r="J1328" s="18" t="s">
        <v>2473</v>
      </c>
      <c r="K1328" s="18" t="s">
        <v>2473</v>
      </c>
      <c r="L1328" s="18" t="s">
        <v>2336</v>
      </c>
      <c r="AU1328" s="6"/>
      <c r="AV1328" s="6" t="str">
        <f t="shared" si="21"/>
        <v/>
      </c>
    </row>
    <row r="1329" spans="1:48" ht="14.65" thickBot="1" x14ac:dyDescent="0.5">
      <c r="A1329" s="36" t="s">
        <v>8</v>
      </c>
      <c r="B1329" s="3" t="s">
        <v>9</v>
      </c>
      <c r="C1329" s="4"/>
      <c r="D1329" s="4"/>
      <c r="E1329" s="4"/>
      <c r="F1329" s="4"/>
      <c r="G1329" s="4"/>
      <c r="H1329" s="4"/>
      <c r="I1329" s="18" t="s">
        <v>2473</v>
      </c>
      <c r="J1329" s="18" t="s">
        <v>2473</v>
      </c>
      <c r="K1329" s="18" t="s">
        <v>2473</v>
      </c>
      <c r="L1329" s="18" t="s">
        <v>2336</v>
      </c>
      <c r="AU1329" s="6"/>
      <c r="AV1329" s="6" t="str">
        <f t="shared" ref="AV1329:AV1392" si="22">IF(A1329&lt;&gt;"",IF(T1329&lt;&gt;"",IF(LEFT(R1329,3)="Has",IF(TRIM(A1329)&lt;&gt;T1329,"ERROR","OK"),""),""),"")</f>
        <v/>
      </c>
    </row>
    <row r="1330" spans="1:48" ht="14.65" thickBot="1" x14ac:dyDescent="0.5">
      <c r="A1330" s="36" t="s">
        <v>1128</v>
      </c>
      <c r="B1330" s="3" t="s">
        <v>1129</v>
      </c>
      <c r="C1330" s="4" t="s">
        <v>10</v>
      </c>
      <c r="D1330" s="4" t="s">
        <v>13</v>
      </c>
      <c r="E1330" s="4" t="s">
        <v>10</v>
      </c>
      <c r="F1330" s="4" t="s">
        <v>13</v>
      </c>
      <c r="G1330" s="4" t="s">
        <v>10</v>
      </c>
      <c r="H1330" s="4" t="s">
        <v>13</v>
      </c>
      <c r="I1330" s="18" t="s">
        <v>2473</v>
      </c>
      <c r="J1330" s="18" t="s">
        <v>2473</v>
      </c>
      <c r="K1330" s="18" t="s">
        <v>2473</v>
      </c>
      <c r="L1330" s="18" t="s">
        <v>2336</v>
      </c>
      <c r="AU1330" s="6"/>
      <c r="AV1330" s="6" t="str">
        <f t="shared" si="22"/>
        <v/>
      </c>
    </row>
    <row r="1331" spans="1:48" ht="47.65" thickBot="1" x14ac:dyDescent="0.5">
      <c r="A1331" s="36" t="s">
        <v>208</v>
      </c>
      <c r="B1331" s="3" t="s">
        <v>1130</v>
      </c>
      <c r="C1331" s="4" t="s">
        <v>10</v>
      </c>
      <c r="D1331" s="4"/>
      <c r="E1331" s="4" t="s">
        <v>10</v>
      </c>
      <c r="F1331" s="4"/>
      <c r="G1331" s="4" t="s">
        <v>10</v>
      </c>
      <c r="H1331" s="4"/>
      <c r="I1331" s="18" t="s">
        <v>2473</v>
      </c>
      <c r="J1331" s="18" t="s">
        <v>2473</v>
      </c>
      <c r="K1331" s="18" t="s">
        <v>2473</v>
      </c>
      <c r="L1331" s="18" t="s">
        <v>2336</v>
      </c>
      <c r="AS1331" s="206" t="s">
        <v>5860</v>
      </c>
      <c r="AU1331" s="6"/>
      <c r="AV1331" s="6" t="str">
        <f t="shared" si="22"/>
        <v/>
      </c>
    </row>
    <row r="1332" spans="1:48" ht="23.65" thickBot="1" x14ac:dyDescent="0.5">
      <c r="A1332" s="35" t="s">
        <v>1131</v>
      </c>
      <c r="B1332" s="3" t="s">
        <v>1132</v>
      </c>
      <c r="C1332" s="4" t="s">
        <v>13</v>
      </c>
      <c r="D1332" s="4"/>
      <c r="E1332" s="4" t="s">
        <v>13</v>
      </c>
      <c r="F1332" s="4"/>
      <c r="G1332" s="4" t="s">
        <v>13</v>
      </c>
      <c r="H1332" s="4"/>
      <c r="I1332" s="18" t="s">
        <v>2473</v>
      </c>
      <c r="J1332" s="18" t="s">
        <v>2473</v>
      </c>
      <c r="K1332" s="18" t="s">
        <v>2473</v>
      </c>
      <c r="L1332" s="18" t="s">
        <v>2336</v>
      </c>
      <c r="AU1332" s="6"/>
      <c r="AV1332" s="6" t="str">
        <f t="shared" si="22"/>
        <v/>
      </c>
    </row>
    <row r="1333" spans="1:48" ht="23.65" thickBot="1" x14ac:dyDescent="0.5">
      <c r="A1333" s="35" t="s">
        <v>1133</v>
      </c>
      <c r="B1333" s="3" t="s">
        <v>1134</v>
      </c>
      <c r="C1333" s="4" t="s">
        <v>13</v>
      </c>
      <c r="D1333" s="4"/>
      <c r="E1333" s="4" t="s">
        <v>13</v>
      </c>
      <c r="F1333" s="4"/>
      <c r="G1333" s="4" t="s">
        <v>13</v>
      </c>
      <c r="H1333" s="4"/>
      <c r="I1333" s="18" t="s">
        <v>2473</v>
      </c>
      <c r="J1333" s="18" t="s">
        <v>2473</v>
      </c>
      <c r="K1333" s="18" t="s">
        <v>2473</v>
      </c>
      <c r="L1333" s="18" t="s">
        <v>2336</v>
      </c>
      <c r="AU1333" s="6"/>
      <c r="AV1333" s="6" t="str">
        <f t="shared" si="22"/>
        <v/>
      </c>
    </row>
    <row r="1334" spans="1:48" ht="14.65" thickBot="1" x14ac:dyDescent="0.5">
      <c r="A1334" s="35" t="s">
        <v>1135</v>
      </c>
      <c r="B1334" s="3" t="s">
        <v>1136</v>
      </c>
      <c r="C1334" s="4" t="s">
        <v>10</v>
      </c>
      <c r="D1334" s="4"/>
      <c r="E1334" s="4" t="s">
        <v>10</v>
      </c>
      <c r="F1334" s="4"/>
      <c r="G1334" s="4" t="s">
        <v>10</v>
      </c>
      <c r="H1334" s="4"/>
      <c r="I1334" s="18" t="s">
        <v>2473</v>
      </c>
      <c r="J1334" s="18" t="s">
        <v>2473</v>
      </c>
      <c r="K1334" s="18" t="s">
        <v>2473</v>
      </c>
      <c r="L1334" s="18" t="s">
        <v>2336</v>
      </c>
      <c r="AU1334" s="6"/>
      <c r="AV1334" s="6" t="str">
        <f t="shared" si="22"/>
        <v/>
      </c>
    </row>
    <row r="1335" spans="1:48" ht="14.65" thickBot="1" x14ac:dyDescent="0.5">
      <c r="A1335" s="35" t="s">
        <v>1137</v>
      </c>
      <c r="B1335" s="3" t="s">
        <v>1138</v>
      </c>
      <c r="C1335" s="4" t="s">
        <v>13</v>
      </c>
      <c r="D1335" s="4"/>
      <c r="E1335" s="4" t="s">
        <v>13</v>
      </c>
      <c r="F1335" s="4"/>
      <c r="G1335" s="4" t="s">
        <v>13</v>
      </c>
      <c r="H1335" s="4"/>
      <c r="I1335" s="18" t="s">
        <v>2473</v>
      </c>
      <c r="J1335" s="18" t="s">
        <v>2473</v>
      </c>
      <c r="K1335" s="18" t="s">
        <v>2473</v>
      </c>
      <c r="L1335" s="18" t="s">
        <v>2336</v>
      </c>
      <c r="AU1335" s="6"/>
      <c r="AV1335" s="6" t="str">
        <f t="shared" si="22"/>
        <v/>
      </c>
    </row>
    <row r="1336" spans="1:48" ht="14.65" thickBot="1" x14ac:dyDescent="0.5">
      <c r="A1336" s="35" t="s">
        <v>1139</v>
      </c>
      <c r="B1336" s="3" t="s">
        <v>1140</v>
      </c>
      <c r="C1336" s="4" t="s">
        <v>13</v>
      </c>
      <c r="D1336" s="4"/>
      <c r="E1336" s="4" t="s">
        <v>13</v>
      </c>
      <c r="F1336" s="4"/>
      <c r="G1336" s="4" t="s">
        <v>13</v>
      </c>
      <c r="H1336" s="4"/>
      <c r="I1336" s="18" t="s">
        <v>2473</v>
      </c>
      <c r="J1336" s="18" t="s">
        <v>2473</v>
      </c>
      <c r="K1336" s="18" t="s">
        <v>2473</v>
      </c>
      <c r="L1336" s="18" t="s">
        <v>2336</v>
      </c>
      <c r="AU1336" s="6"/>
      <c r="AV1336" s="6" t="str">
        <f t="shared" si="22"/>
        <v/>
      </c>
    </row>
    <row r="1337" spans="1:48" ht="14.65" thickBot="1" x14ac:dyDescent="0.5">
      <c r="A1337" s="36" t="s">
        <v>1141</v>
      </c>
      <c r="B1337" s="3" t="s">
        <v>1142</v>
      </c>
      <c r="C1337" s="4" t="s">
        <v>10</v>
      </c>
      <c r="D1337" s="4"/>
      <c r="E1337" s="4" t="s">
        <v>10</v>
      </c>
      <c r="F1337" s="4"/>
      <c r="G1337" s="4" t="s">
        <v>10</v>
      </c>
      <c r="H1337" s="4"/>
      <c r="I1337" s="18" t="s">
        <v>2473</v>
      </c>
      <c r="J1337" s="18" t="s">
        <v>2473</v>
      </c>
      <c r="K1337" s="18" t="s">
        <v>2473</v>
      </c>
      <c r="L1337" s="18" t="s">
        <v>2336</v>
      </c>
      <c r="AU1337" s="8"/>
      <c r="AV1337" s="6" t="str">
        <f t="shared" si="22"/>
        <v/>
      </c>
    </row>
    <row r="1338" spans="1:48" x14ac:dyDescent="0.45">
      <c r="A1338" s="33" t="s">
        <v>1143</v>
      </c>
      <c r="I1338" s="18" t="s">
        <v>2473</v>
      </c>
      <c r="J1338" s="18" t="s">
        <v>2473</v>
      </c>
      <c r="K1338" s="18" t="s">
        <v>2473</v>
      </c>
      <c r="L1338" s="18" t="s">
        <v>2336</v>
      </c>
      <c r="AU1338" s="8"/>
      <c r="AV1338" s="6" t="str">
        <f t="shared" si="22"/>
        <v/>
      </c>
    </row>
    <row r="1339" spans="1:48" x14ac:dyDescent="0.45">
      <c r="A1339" s="34" t="s">
        <v>1144</v>
      </c>
      <c r="I1339" s="18" t="s">
        <v>2473</v>
      </c>
      <c r="J1339" s="18" t="s">
        <v>2473</v>
      </c>
      <c r="K1339" s="18" t="s">
        <v>2473</v>
      </c>
      <c r="L1339" s="18" t="s">
        <v>2336</v>
      </c>
      <c r="AU1339" s="6"/>
      <c r="AV1339" s="6" t="str">
        <f t="shared" si="22"/>
        <v/>
      </c>
    </row>
    <row r="1340" spans="1:48" s="79" customFormat="1" x14ac:dyDescent="0.45">
      <c r="A1340" s="75"/>
      <c r="B1340" s="76"/>
      <c r="C1340" s="77"/>
      <c r="D1340" s="77"/>
      <c r="E1340" s="77"/>
      <c r="F1340" s="77"/>
      <c r="G1340" s="77"/>
      <c r="H1340" s="77"/>
      <c r="I1340" s="77"/>
      <c r="J1340" s="77"/>
      <c r="K1340" s="77"/>
      <c r="L1340" s="77"/>
      <c r="M1340" s="148"/>
      <c r="N1340" s="78"/>
      <c r="O1340" s="78"/>
      <c r="P1340" s="78"/>
      <c r="Q1340" s="78"/>
      <c r="R1340" s="78"/>
      <c r="S1340" s="78"/>
      <c r="T1340" s="78"/>
      <c r="U1340" s="78"/>
      <c r="V1340" s="78"/>
      <c r="W1340" s="78"/>
      <c r="X1340" s="78"/>
      <c r="Y1340" s="148"/>
      <c r="Z1340" s="78"/>
      <c r="AA1340" s="78"/>
      <c r="AB1340" s="78"/>
      <c r="AC1340" s="78"/>
      <c r="AD1340" s="78"/>
      <c r="AE1340" s="156"/>
      <c r="AF1340" s="156"/>
      <c r="AG1340" s="78"/>
      <c r="AH1340" s="78"/>
      <c r="AI1340" s="78"/>
      <c r="AJ1340" s="78"/>
      <c r="AK1340" s="78"/>
      <c r="AL1340" s="78"/>
      <c r="AM1340" s="78"/>
      <c r="AN1340" s="78"/>
      <c r="AO1340" s="78"/>
      <c r="AP1340" s="78"/>
      <c r="AQ1340" s="78"/>
      <c r="AR1340" s="286"/>
      <c r="AS1340" s="78"/>
      <c r="AT1340" s="78"/>
      <c r="AU1340" s="8"/>
      <c r="AV1340" s="6" t="str">
        <f t="shared" si="22"/>
        <v/>
      </c>
    </row>
    <row r="1341" spans="1:48" x14ac:dyDescent="0.45">
      <c r="A1341" s="27" t="s">
        <v>2424</v>
      </c>
      <c r="I1341" s="18" t="s">
        <v>2473</v>
      </c>
      <c r="J1341" s="18" t="s">
        <v>2473</v>
      </c>
      <c r="K1341" s="18" t="s">
        <v>2473</v>
      </c>
      <c r="L1341" s="18" t="s">
        <v>2336</v>
      </c>
      <c r="AU1341" s="6"/>
      <c r="AV1341" s="6" t="str">
        <f t="shared" si="22"/>
        <v/>
      </c>
    </row>
    <row r="1342" spans="1:48" x14ac:dyDescent="0.45">
      <c r="A1342" s="323" t="s">
        <v>2516</v>
      </c>
      <c r="B1342" s="324"/>
      <c r="C1342" s="324"/>
      <c r="D1342" s="324"/>
      <c r="E1342" s="324"/>
      <c r="F1342" s="324"/>
      <c r="G1342" s="101"/>
      <c r="H1342" s="101"/>
      <c r="I1342" s="18" t="s">
        <v>2473</v>
      </c>
      <c r="J1342" s="18" t="s">
        <v>2473</v>
      </c>
      <c r="K1342" s="18" t="s">
        <v>2473</v>
      </c>
      <c r="L1342" s="18" t="s">
        <v>2336</v>
      </c>
      <c r="AU1342" s="6"/>
      <c r="AV1342" s="6" t="str">
        <f t="shared" si="22"/>
        <v/>
      </c>
    </row>
    <row r="1343" spans="1:48" ht="14.65" thickBot="1" x14ac:dyDescent="0.5">
      <c r="A1343" s="28" t="s">
        <v>1145</v>
      </c>
      <c r="I1343" s="18" t="s">
        <v>2473</v>
      </c>
      <c r="J1343" s="18" t="s">
        <v>2473</v>
      </c>
      <c r="K1343" s="18" t="s">
        <v>2473</v>
      </c>
      <c r="L1343" s="18" t="s">
        <v>2336</v>
      </c>
      <c r="AU1343" s="6"/>
      <c r="AV1343" s="6" t="str">
        <f t="shared" si="22"/>
        <v/>
      </c>
    </row>
    <row r="1344" spans="1:48" ht="14.65" thickBot="1" x14ac:dyDescent="0.5">
      <c r="A1344" s="309" t="s">
        <v>613</v>
      </c>
      <c r="B1344" s="310"/>
      <c r="C1344" s="301" t="s">
        <v>1</v>
      </c>
      <c r="D1344" s="319"/>
      <c r="E1344" s="319"/>
      <c r="F1344" s="302"/>
      <c r="G1344" s="102"/>
      <c r="H1344" s="102"/>
      <c r="I1344" s="18" t="s">
        <v>2473</v>
      </c>
      <c r="L1344" s="18" t="s">
        <v>2336</v>
      </c>
      <c r="AU1344" s="6"/>
      <c r="AV1344" s="6" t="str">
        <f t="shared" si="22"/>
        <v/>
      </c>
    </row>
    <row r="1345" spans="1:48" ht="14.65" thickBot="1" x14ac:dyDescent="0.5">
      <c r="A1345" s="311"/>
      <c r="B1345" s="312"/>
      <c r="C1345" s="301" t="s">
        <v>2</v>
      </c>
      <c r="D1345" s="302"/>
      <c r="E1345" s="301" t="s">
        <v>3</v>
      </c>
      <c r="F1345" s="302"/>
      <c r="G1345" s="301" t="s">
        <v>2896</v>
      </c>
      <c r="H1345" s="302"/>
      <c r="I1345" s="18" t="s">
        <v>2473</v>
      </c>
      <c r="L1345" s="18" t="s">
        <v>2336</v>
      </c>
      <c r="AU1345" s="6"/>
      <c r="AV1345" s="6" t="str">
        <f t="shared" si="22"/>
        <v/>
      </c>
    </row>
    <row r="1346" spans="1:48" ht="14.65" thickBot="1" x14ac:dyDescent="0.5">
      <c r="A1346" s="309" t="s">
        <v>613</v>
      </c>
      <c r="B1346" s="310"/>
      <c r="C1346" s="301" t="s">
        <v>1</v>
      </c>
      <c r="D1346" s="319"/>
      <c r="E1346" s="319"/>
      <c r="F1346" s="302"/>
      <c r="G1346" s="102"/>
      <c r="H1346" s="102"/>
      <c r="J1346" s="18" t="s">
        <v>2473</v>
      </c>
      <c r="K1346" s="18" t="s">
        <v>2473</v>
      </c>
      <c r="L1346" s="18" t="s">
        <v>2336</v>
      </c>
      <c r="AU1346" s="6"/>
      <c r="AV1346" s="6" t="str">
        <f t="shared" si="22"/>
        <v/>
      </c>
    </row>
    <row r="1347" spans="1:48" ht="14.65" thickBot="1" x14ac:dyDescent="0.5">
      <c r="A1347" s="311"/>
      <c r="B1347" s="312"/>
      <c r="C1347" s="301" t="s">
        <v>2</v>
      </c>
      <c r="D1347" s="302"/>
      <c r="E1347" s="301" t="s">
        <v>3</v>
      </c>
      <c r="F1347" s="302"/>
      <c r="G1347" s="301" t="s">
        <v>2896</v>
      </c>
      <c r="H1347" s="302"/>
      <c r="J1347" s="18" t="s">
        <v>2473</v>
      </c>
      <c r="K1347" s="18" t="s">
        <v>2473</v>
      </c>
      <c r="L1347" s="18" t="s">
        <v>2336</v>
      </c>
      <c r="AU1347" s="6"/>
      <c r="AV1347" s="6" t="str">
        <f t="shared" si="22"/>
        <v/>
      </c>
    </row>
    <row r="1348" spans="1:48" ht="14.65" thickBot="1" x14ac:dyDescent="0.5">
      <c r="A1348" s="46" t="s">
        <v>2377</v>
      </c>
      <c r="B1348" s="47"/>
      <c r="C1348" s="303"/>
      <c r="D1348" s="304"/>
      <c r="E1348" s="303"/>
      <c r="F1348" s="304"/>
      <c r="G1348" s="303"/>
      <c r="H1348" s="304"/>
      <c r="I1348" s="18" t="s">
        <v>2473</v>
      </c>
      <c r="J1348" s="18" t="s">
        <v>2473</v>
      </c>
      <c r="K1348" s="18" t="s">
        <v>2473</v>
      </c>
      <c r="L1348" s="18" t="s">
        <v>2336</v>
      </c>
      <c r="AU1348" s="6"/>
      <c r="AV1348" s="6" t="str">
        <f t="shared" si="22"/>
        <v/>
      </c>
    </row>
    <row r="1349" spans="1:48" ht="14.65" thickBot="1" x14ac:dyDescent="0.5">
      <c r="A1349" s="30" t="s">
        <v>4</v>
      </c>
      <c r="B1349" s="59" t="s">
        <v>5</v>
      </c>
      <c r="C1349" s="7" t="s">
        <v>6</v>
      </c>
      <c r="D1349" s="7" t="s">
        <v>7</v>
      </c>
      <c r="E1349" s="7" t="s">
        <v>6</v>
      </c>
      <c r="F1349" s="7" t="s">
        <v>7</v>
      </c>
      <c r="G1349" s="7" t="s">
        <v>6</v>
      </c>
      <c r="H1349" s="7" t="s">
        <v>7</v>
      </c>
      <c r="I1349" s="18" t="s">
        <v>2473</v>
      </c>
      <c r="J1349" s="18" t="s">
        <v>2473</v>
      </c>
      <c r="K1349" s="18" t="s">
        <v>2473</v>
      </c>
      <c r="L1349" s="18" t="s">
        <v>2336</v>
      </c>
      <c r="AU1349" s="6"/>
      <c r="AV1349" s="6" t="str">
        <f t="shared" si="22"/>
        <v/>
      </c>
    </row>
    <row r="1350" spans="1:48" ht="14.65" thickBot="1" x14ac:dyDescent="0.5">
      <c r="A1350" s="36" t="s">
        <v>613</v>
      </c>
      <c r="B1350" s="3" t="s">
        <v>1146</v>
      </c>
      <c r="C1350" s="4"/>
      <c r="D1350" s="4"/>
      <c r="E1350" s="4"/>
      <c r="F1350" s="4"/>
      <c r="G1350" s="4"/>
      <c r="H1350" s="4"/>
      <c r="I1350" s="18" t="s">
        <v>2473</v>
      </c>
      <c r="J1350" s="18" t="s">
        <v>2473</v>
      </c>
      <c r="K1350" s="18" t="s">
        <v>2473</v>
      </c>
      <c r="L1350" s="18" t="s">
        <v>2336</v>
      </c>
      <c r="AU1350" s="6"/>
      <c r="AV1350" s="6" t="str">
        <f t="shared" si="22"/>
        <v/>
      </c>
    </row>
    <row r="1351" spans="1:48" ht="23.65" thickBot="1" x14ac:dyDescent="0.5">
      <c r="A1351" s="36" t="s">
        <v>615</v>
      </c>
      <c r="B1351" s="3" t="s">
        <v>1147</v>
      </c>
      <c r="C1351" s="4"/>
      <c r="D1351" s="4"/>
      <c r="E1351" s="4"/>
      <c r="F1351" s="4"/>
      <c r="G1351" s="4"/>
      <c r="H1351" s="4"/>
      <c r="I1351" s="18" t="s">
        <v>2473</v>
      </c>
      <c r="J1351" s="18" t="s">
        <v>2473</v>
      </c>
      <c r="K1351" s="18" t="s">
        <v>2473</v>
      </c>
      <c r="L1351" s="18" t="s">
        <v>2336</v>
      </c>
      <c r="AU1351" s="6"/>
      <c r="AV1351" s="6" t="str">
        <f t="shared" si="22"/>
        <v/>
      </c>
    </row>
    <row r="1352" spans="1:48" ht="23.65" thickBot="1" x14ac:dyDescent="0.5">
      <c r="A1352" s="36" t="s">
        <v>617</v>
      </c>
      <c r="B1352" s="3" t="s">
        <v>1148</v>
      </c>
      <c r="C1352" s="4"/>
      <c r="D1352" s="4"/>
      <c r="E1352" s="4"/>
      <c r="F1352" s="4"/>
      <c r="G1352" s="4"/>
      <c r="H1352" s="4"/>
      <c r="I1352" s="18" t="s">
        <v>2473</v>
      </c>
      <c r="J1352" s="18" t="s">
        <v>2473</v>
      </c>
      <c r="K1352" s="18" t="s">
        <v>2473</v>
      </c>
      <c r="L1352" s="18" t="s">
        <v>2336</v>
      </c>
      <c r="AU1352" s="6"/>
      <c r="AV1352" s="6" t="str">
        <f t="shared" si="22"/>
        <v/>
      </c>
    </row>
    <row r="1353" spans="1:48" ht="14.65" thickBot="1" x14ac:dyDescent="0.5">
      <c r="A1353" s="36" t="s">
        <v>753</v>
      </c>
      <c r="B1353" s="3" t="s">
        <v>60</v>
      </c>
      <c r="C1353" s="4"/>
      <c r="D1353" s="4"/>
      <c r="E1353" s="4"/>
      <c r="F1353" s="4"/>
      <c r="G1353" s="4"/>
      <c r="H1353" s="4"/>
      <c r="I1353" s="18" t="s">
        <v>2473</v>
      </c>
      <c r="J1353" s="18" t="s">
        <v>2473</v>
      </c>
      <c r="K1353" s="18" t="s">
        <v>2473</v>
      </c>
      <c r="L1353" s="18" t="s">
        <v>2336</v>
      </c>
      <c r="AU1353" s="6"/>
      <c r="AV1353" s="6" t="str">
        <f t="shared" si="22"/>
        <v/>
      </c>
    </row>
    <row r="1354" spans="1:48" ht="14.65" thickBot="1" x14ac:dyDescent="0.5">
      <c r="A1354" s="36" t="s">
        <v>1149</v>
      </c>
      <c r="B1354" s="3" t="s">
        <v>1150</v>
      </c>
      <c r="C1354" s="4"/>
      <c r="D1354" s="4"/>
      <c r="E1354" s="4"/>
      <c r="F1354" s="4"/>
      <c r="G1354" s="4"/>
      <c r="H1354" s="4"/>
      <c r="I1354" s="18" t="s">
        <v>2473</v>
      </c>
      <c r="J1354" s="18" t="s">
        <v>2473</v>
      </c>
      <c r="K1354" s="18" t="s">
        <v>2473</v>
      </c>
      <c r="L1354" s="18" t="s">
        <v>2336</v>
      </c>
      <c r="AU1354" s="6"/>
      <c r="AV1354" s="6" t="str">
        <f t="shared" si="22"/>
        <v/>
      </c>
    </row>
    <row r="1355" spans="1:48" ht="23.65" thickBot="1" x14ac:dyDescent="0.5">
      <c r="A1355" s="36" t="s">
        <v>1151</v>
      </c>
      <c r="B1355" s="3" t="s">
        <v>1152</v>
      </c>
      <c r="C1355" s="4"/>
      <c r="D1355" s="4"/>
      <c r="E1355" s="4"/>
      <c r="F1355" s="4"/>
      <c r="G1355" s="4"/>
      <c r="H1355" s="4"/>
      <c r="I1355" s="18" t="s">
        <v>2473</v>
      </c>
      <c r="J1355" s="18" t="s">
        <v>2473</v>
      </c>
      <c r="K1355" s="18" t="s">
        <v>2473</v>
      </c>
      <c r="L1355" s="18" t="s">
        <v>2336</v>
      </c>
      <c r="AU1355" s="6"/>
      <c r="AV1355" s="6" t="str">
        <f t="shared" si="22"/>
        <v/>
      </c>
    </row>
    <row r="1356" spans="1:48" ht="14.65" thickBot="1" x14ac:dyDescent="0.5">
      <c r="A1356" s="36" t="s">
        <v>536</v>
      </c>
      <c r="B1356" s="3" t="s">
        <v>1153</v>
      </c>
      <c r="C1356" s="4"/>
      <c r="D1356" s="4"/>
      <c r="E1356" s="4"/>
      <c r="F1356" s="4"/>
      <c r="G1356" s="4"/>
      <c r="H1356" s="4"/>
      <c r="I1356" s="18" t="s">
        <v>2473</v>
      </c>
      <c r="J1356" s="18" t="s">
        <v>2473</v>
      </c>
      <c r="K1356" s="18" t="s">
        <v>2473</v>
      </c>
      <c r="L1356" s="18" t="s">
        <v>2336</v>
      </c>
      <c r="AU1356" s="6"/>
      <c r="AV1356" s="6" t="str">
        <f t="shared" si="22"/>
        <v/>
      </c>
    </row>
    <row r="1357" spans="1:48" s="79" customFormat="1" x14ac:dyDescent="0.45">
      <c r="A1357" s="75"/>
      <c r="B1357" s="76"/>
      <c r="C1357" s="77"/>
      <c r="D1357" s="77"/>
      <c r="E1357" s="77"/>
      <c r="F1357" s="77"/>
      <c r="G1357" s="77"/>
      <c r="H1357" s="77"/>
      <c r="I1357" s="77"/>
      <c r="J1357" s="77"/>
      <c r="K1357" s="77"/>
      <c r="L1357" s="77"/>
      <c r="M1357" s="145"/>
      <c r="N1357" s="8"/>
      <c r="O1357" s="8"/>
      <c r="P1357" s="8"/>
      <c r="Q1357" s="8"/>
      <c r="R1357" s="8"/>
      <c r="S1357" s="8"/>
      <c r="T1357" s="8"/>
      <c r="U1357" s="8"/>
      <c r="V1357" s="8"/>
      <c r="W1357" s="8"/>
      <c r="X1357" s="8"/>
      <c r="Y1357" s="145"/>
      <c r="Z1357" s="8"/>
      <c r="AA1357" s="8"/>
      <c r="AB1357" s="8"/>
      <c r="AC1357" s="8"/>
      <c r="AD1357" s="8"/>
      <c r="AE1357" s="154"/>
      <c r="AF1357" s="154"/>
      <c r="AG1357" s="8"/>
      <c r="AH1357" s="8"/>
      <c r="AI1357" s="8"/>
      <c r="AJ1357" s="8"/>
      <c r="AK1357" s="8"/>
      <c r="AL1357" s="8"/>
      <c r="AM1357" s="8"/>
      <c r="AN1357" s="8"/>
      <c r="AO1357" s="8"/>
      <c r="AP1357" s="8"/>
      <c r="AQ1357" s="8"/>
      <c r="AR1357" s="284"/>
      <c r="AS1357" s="8"/>
      <c r="AT1357" s="8"/>
      <c r="AU1357" s="8"/>
      <c r="AV1357" s="6" t="str">
        <f t="shared" si="22"/>
        <v/>
      </c>
    </row>
    <row r="1358" spans="1:48" x14ac:dyDescent="0.45">
      <c r="A1358" s="27" t="s">
        <v>2425</v>
      </c>
      <c r="I1358" s="18" t="s">
        <v>2473</v>
      </c>
      <c r="J1358" s="18" t="s">
        <v>2473</v>
      </c>
      <c r="K1358" s="18" t="s">
        <v>2473</v>
      </c>
      <c r="L1358" s="18" t="s">
        <v>2336</v>
      </c>
      <c r="AU1358" s="8"/>
      <c r="AV1358" s="6" t="str">
        <f t="shared" si="22"/>
        <v/>
      </c>
    </row>
    <row r="1359" spans="1:48" x14ac:dyDescent="0.45">
      <c r="A1359" s="323" t="s">
        <v>2517</v>
      </c>
      <c r="B1359" s="324"/>
      <c r="C1359" s="324"/>
      <c r="D1359" s="324"/>
      <c r="E1359" s="324"/>
      <c r="F1359" s="324"/>
      <c r="G1359" s="101"/>
      <c r="H1359" s="101"/>
      <c r="I1359" s="18" t="s">
        <v>2473</v>
      </c>
      <c r="J1359" s="18" t="s">
        <v>2473</v>
      </c>
      <c r="K1359" s="18" t="s">
        <v>2473</v>
      </c>
      <c r="L1359" s="18" t="s">
        <v>2336</v>
      </c>
      <c r="AU1359" s="8"/>
      <c r="AV1359" s="6" t="str">
        <f t="shared" si="22"/>
        <v/>
      </c>
    </row>
    <row r="1360" spans="1:48" ht="14.65" thickBot="1" x14ac:dyDescent="0.5">
      <c r="A1360" s="28" t="s">
        <v>1154</v>
      </c>
      <c r="I1360" s="18" t="s">
        <v>2473</v>
      </c>
      <c r="J1360" s="18" t="s">
        <v>2473</v>
      </c>
      <c r="K1360" s="18" t="s">
        <v>2473</v>
      </c>
      <c r="L1360" s="18" t="s">
        <v>2336</v>
      </c>
      <c r="AA1360" s="183" t="s">
        <v>2322</v>
      </c>
      <c r="AB1360" s="183" t="s">
        <v>1697</v>
      </c>
      <c r="AC1360" s="183" t="s">
        <v>5</v>
      </c>
      <c r="AU1360" s="6"/>
      <c r="AV1360" s="6" t="str">
        <f t="shared" si="22"/>
        <v/>
      </c>
    </row>
    <row r="1361" spans="1:48" ht="232.9" thickBot="1" x14ac:dyDescent="0.5">
      <c r="A1361" s="309" t="s">
        <v>1155</v>
      </c>
      <c r="B1361" s="310"/>
      <c r="C1361" s="301" t="s">
        <v>1</v>
      </c>
      <c r="D1361" s="319"/>
      <c r="E1361" s="319"/>
      <c r="F1361" s="302"/>
      <c r="G1361" s="102"/>
      <c r="H1361" s="102"/>
      <c r="I1361" s="18" t="s">
        <v>2473</v>
      </c>
      <c r="L1361" s="18" t="s">
        <v>2336</v>
      </c>
      <c r="AA1361" s="183" t="str">
        <f>LEFT($A1361,FIND(" ",$A1361)-1)</f>
        <v>MessageRegistry</v>
      </c>
      <c r="AB1361" s="183" t="str">
        <f>MID($A1361,FIND("(",$A1361)+1,LEN($A1361)-FIND("(",$A1361)-1)</f>
        <v>1.2.0</v>
      </c>
      <c r="AC1361" s="101" t="str">
        <f>A1359</f>
        <v>A MessageRegistry object represents the properties for the registries themselves. The MessageId is formed per the Redfish specification. It consists of the RegistryPrefix concatenated with the version concatenated with the unique identifier for the MessageRegistry entry.</v>
      </c>
      <c r="AU1361" s="6"/>
      <c r="AV1361" s="6" t="str">
        <f t="shared" si="22"/>
        <v/>
      </c>
    </row>
    <row r="1362" spans="1:48" ht="14.65" thickBot="1" x14ac:dyDescent="0.5">
      <c r="A1362" s="311"/>
      <c r="B1362" s="312"/>
      <c r="C1362" s="301" t="s">
        <v>2</v>
      </c>
      <c r="D1362" s="302"/>
      <c r="E1362" s="301" t="s">
        <v>3</v>
      </c>
      <c r="F1362" s="302"/>
      <c r="G1362" s="301" t="s">
        <v>2896</v>
      </c>
      <c r="H1362" s="302"/>
      <c r="I1362" s="18" t="s">
        <v>2473</v>
      </c>
      <c r="L1362" s="18" t="s">
        <v>2336</v>
      </c>
      <c r="AA1362" s="183" t="s">
        <v>2322</v>
      </c>
      <c r="AB1362" s="183" t="s">
        <v>1697</v>
      </c>
      <c r="AC1362" s="183" t="s">
        <v>5</v>
      </c>
      <c r="AU1362" s="6"/>
      <c r="AV1362" s="6" t="str">
        <f t="shared" si="22"/>
        <v/>
      </c>
    </row>
    <row r="1363" spans="1:48" ht="232.9" thickBot="1" x14ac:dyDescent="0.5">
      <c r="A1363" s="309" t="s">
        <v>3224</v>
      </c>
      <c r="B1363" s="310"/>
      <c r="C1363" s="301" t="s">
        <v>1</v>
      </c>
      <c r="D1363" s="319"/>
      <c r="E1363" s="319"/>
      <c r="F1363" s="302"/>
      <c r="G1363" s="102"/>
      <c r="H1363" s="102"/>
      <c r="J1363" s="18" t="s">
        <v>2473</v>
      </c>
      <c r="K1363" s="18" t="s">
        <v>2473</v>
      </c>
      <c r="L1363" s="18" t="s">
        <v>2336</v>
      </c>
      <c r="AA1363" s="183" t="str">
        <f>LEFT($A1363,FIND(" ",$A1363)-1)</f>
        <v>MessageRegistry</v>
      </c>
      <c r="AB1363" s="183" t="str">
        <f>MID($A1363,FIND("(",$A1363)+1,LEN($A1363)-FIND("(",$A1363)-1)</f>
        <v>1.3.0</v>
      </c>
      <c r="AC1363" s="101" t="str">
        <f>AC1361</f>
        <v>A MessageRegistry object represents the properties for the registries themselves. The MessageId is formed per the Redfish specification. It consists of the RegistryPrefix concatenated with the version concatenated with the unique identifier for the MessageRegistry entry.</v>
      </c>
      <c r="AU1363" s="6"/>
      <c r="AV1363" s="6" t="str">
        <f t="shared" si="22"/>
        <v/>
      </c>
    </row>
    <row r="1364" spans="1:48" ht="14.65" thickBot="1" x14ac:dyDescent="0.5">
      <c r="A1364" s="311"/>
      <c r="B1364" s="312"/>
      <c r="C1364" s="301" t="s">
        <v>2</v>
      </c>
      <c r="D1364" s="302"/>
      <c r="E1364" s="301" t="s">
        <v>3</v>
      </c>
      <c r="F1364" s="302"/>
      <c r="G1364" s="301" t="s">
        <v>2896</v>
      </c>
      <c r="H1364" s="302"/>
      <c r="J1364" s="18" t="s">
        <v>2473</v>
      </c>
      <c r="K1364" s="18" t="s">
        <v>2473</v>
      </c>
      <c r="L1364" s="18" t="s">
        <v>2336</v>
      </c>
      <c r="AM1364" s="8" t="str">
        <f>C1364</f>
        <v>OSM-Redfish</v>
      </c>
      <c r="AN1364" s="8" t="str">
        <f>E1364</f>
        <v>OSM-RedfishBMC</v>
      </c>
      <c r="AO1364" s="8" t="str">
        <f>G1364</f>
        <v>OSM-RedfishDCN</v>
      </c>
      <c r="AU1364" s="6"/>
      <c r="AV1364" s="6" t="str">
        <f t="shared" si="22"/>
        <v/>
      </c>
    </row>
    <row r="1365" spans="1:48" ht="36" thickBot="1" x14ac:dyDescent="0.5">
      <c r="A1365" s="46" t="s">
        <v>2377</v>
      </c>
      <c r="B1365" s="47"/>
      <c r="C1365" s="303" t="s">
        <v>13</v>
      </c>
      <c r="D1365" s="304"/>
      <c r="E1365" s="303" t="s">
        <v>13</v>
      </c>
      <c r="F1365" s="304"/>
      <c r="G1365" s="303" t="s">
        <v>13</v>
      </c>
      <c r="H1365" s="304"/>
      <c r="I1365" s="18" t="s">
        <v>2473</v>
      </c>
      <c r="J1365" s="18" t="s">
        <v>2473</v>
      </c>
      <c r="K1365" s="18" t="s">
        <v>2473</v>
      </c>
      <c r="L1365" s="18" t="s">
        <v>2336</v>
      </c>
      <c r="AM1365" s="8" t="str">
        <f>IF(C1365&lt;&gt;"","CRQ-P5-"&amp;(AM$2+$AP1365*$AP$3),"")</f>
        <v>CRQ-P5-1124</v>
      </c>
      <c r="AN1365" s="8" t="str">
        <f>IF(E1365&lt;&gt;"","CRQ-P5-"&amp;(AN$2+$AP1365*$AP$3),"")</f>
        <v>CRQ-P5-1424</v>
      </c>
      <c r="AO1365" s="8" t="str">
        <f>IF(G1365&lt;&gt;"","CRQ-P5-"&amp;(AO$2+$AP1365*$AP$3),"")</f>
        <v>CRQ-P5-1724</v>
      </c>
      <c r="AP1365" s="8">
        <v>31</v>
      </c>
      <c r="AT1365" s="233" t="s">
        <v>5313</v>
      </c>
      <c r="AU1365" s="6"/>
      <c r="AV1365" s="6" t="str">
        <f t="shared" si="22"/>
        <v/>
      </c>
    </row>
    <row r="1366" spans="1:48" ht="14.65" thickBot="1" x14ac:dyDescent="0.5">
      <c r="A1366" s="29" t="s">
        <v>3394</v>
      </c>
      <c r="B1366" s="9"/>
      <c r="C1366" s="305" t="str">
        <f>MID($A1361,FIND("(",$A1361)+1,5)</f>
        <v>1.2.0</v>
      </c>
      <c r="D1366" s="306"/>
      <c r="E1366" s="305" t="s">
        <v>3407</v>
      </c>
      <c r="F1366" s="306"/>
      <c r="G1366" s="305" t="str">
        <f>MID($A1361,FIND("(",$A1361)+1,5)</f>
        <v>1.2.0</v>
      </c>
      <c r="H1366" s="306"/>
      <c r="I1366" s="18" t="s">
        <v>2473</v>
      </c>
      <c r="J1366" s="18" t="s">
        <v>2473</v>
      </c>
      <c r="K1366" s="18" t="s">
        <v>2473</v>
      </c>
      <c r="L1366" s="18" t="s">
        <v>2336</v>
      </c>
      <c r="AU1366" s="6"/>
      <c r="AV1366" s="6" t="str">
        <f t="shared" si="22"/>
        <v/>
      </c>
    </row>
    <row r="1367" spans="1:48" ht="14.65" thickBot="1" x14ac:dyDescent="0.5">
      <c r="A1367" s="30" t="s">
        <v>4</v>
      </c>
      <c r="B1367" s="59" t="s">
        <v>5</v>
      </c>
      <c r="C1367" s="7" t="s">
        <v>6</v>
      </c>
      <c r="D1367" s="7" t="s">
        <v>7</v>
      </c>
      <c r="E1367" s="7" t="s">
        <v>6</v>
      </c>
      <c r="F1367" s="7" t="s">
        <v>7</v>
      </c>
      <c r="G1367" s="7" t="s">
        <v>6</v>
      </c>
      <c r="H1367" s="7" t="s">
        <v>7</v>
      </c>
      <c r="I1367" s="18" t="s">
        <v>2473</v>
      </c>
      <c r="J1367" s="18" t="s">
        <v>2473</v>
      </c>
      <c r="K1367" s="18" t="s">
        <v>2473</v>
      </c>
      <c r="L1367" s="18" t="s">
        <v>2336</v>
      </c>
      <c r="AU1367" s="6"/>
      <c r="AV1367" s="6" t="str">
        <f t="shared" si="22"/>
        <v/>
      </c>
    </row>
    <row r="1368" spans="1:48" ht="14.65" thickBot="1" x14ac:dyDescent="0.5">
      <c r="A1368" s="36" t="s">
        <v>8</v>
      </c>
      <c r="B1368" s="3" t="s">
        <v>9</v>
      </c>
      <c r="C1368" s="4"/>
      <c r="D1368" s="4"/>
      <c r="E1368" s="4"/>
      <c r="F1368" s="4"/>
      <c r="G1368" s="4"/>
      <c r="H1368" s="4"/>
      <c r="I1368" s="18" t="s">
        <v>2473</v>
      </c>
      <c r="J1368" s="18" t="s">
        <v>2473</v>
      </c>
      <c r="K1368" s="18" t="s">
        <v>2473</v>
      </c>
      <c r="L1368" s="18" t="s">
        <v>2336</v>
      </c>
      <c r="AU1368" s="6"/>
      <c r="AV1368" s="6" t="str">
        <f t="shared" si="22"/>
        <v/>
      </c>
    </row>
    <row r="1369" spans="1:48" ht="14.65" thickBot="1" x14ac:dyDescent="0.5">
      <c r="A1369" s="36" t="s">
        <v>1031</v>
      </c>
      <c r="B1369" s="3" t="s">
        <v>1032</v>
      </c>
      <c r="C1369" s="4" t="s">
        <v>10</v>
      </c>
      <c r="D1369" s="4"/>
      <c r="E1369" s="4" t="s">
        <v>10</v>
      </c>
      <c r="F1369" s="4"/>
      <c r="G1369" s="4" t="s">
        <v>10</v>
      </c>
      <c r="H1369" s="4"/>
      <c r="I1369" s="18" t="s">
        <v>2473</v>
      </c>
      <c r="J1369" s="18" t="s">
        <v>2473</v>
      </c>
      <c r="K1369" s="18" t="s">
        <v>2473</v>
      </c>
      <c r="L1369" s="18" t="s">
        <v>2336</v>
      </c>
      <c r="AU1369" s="6"/>
      <c r="AV1369" s="6" t="str">
        <f t="shared" si="22"/>
        <v/>
      </c>
    </row>
    <row r="1370" spans="1:48" ht="23.65" thickBot="1" x14ac:dyDescent="0.5">
      <c r="A1370" s="36" t="s">
        <v>1156</v>
      </c>
      <c r="B1370" s="3" t="s">
        <v>1157</v>
      </c>
      <c r="C1370" s="4" t="s">
        <v>10</v>
      </c>
      <c r="D1370" s="4"/>
      <c r="E1370" s="4" t="s">
        <v>10</v>
      </c>
      <c r="F1370" s="4"/>
      <c r="G1370" s="4" t="s">
        <v>10</v>
      </c>
      <c r="H1370" s="4"/>
      <c r="I1370" s="18" t="s">
        <v>2473</v>
      </c>
      <c r="J1370" s="18" t="s">
        <v>2473</v>
      </c>
      <c r="K1370" s="18" t="s">
        <v>2473</v>
      </c>
      <c r="L1370" s="18" t="s">
        <v>2336</v>
      </c>
      <c r="AU1370" s="6"/>
      <c r="AV1370" s="6" t="str">
        <f t="shared" si="22"/>
        <v/>
      </c>
    </row>
    <row r="1371" spans="1:48" ht="14.65" thickBot="1" x14ac:dyDescent="0.5">
      <c r="A1371" s="36" t="s">
        <v>1033</v>
      </c>
      <c r="B1371" s="3" t="s">
        <v>1034</v>
      </c>
      <c r="C1371" s="4" t="s">
        <v>10</v>
      </c>
      <c r="D1371" s="4"/>
      <c r="E1371" s="4" t="s">
        <v>10</v>
      </c>
      <c r="F1371" s="4"/>
      <c r="G1371" s="4" t="s">
        <v>10</v>
      </c>
      <c r="H1371" s="4"/>
      <c r="I1371" s="18" t="s">
        <v>2473</v>
      </c>
      <c r="J1371" s="18" t="s">
        <v>2473</v>
      </c>
      <c r="K1371" s="18" t="s">
        <v>2473</v>
      </c>
      <c r="L1371" s="18" t="s">
        <v>2336</v>
      </c>
      <c r="AU1371" s="6"/>
      <c r="AV1371" s="6" t="str">
        <f t="shared" si="22"/>
        <v/>
      </c>
    </row>
    <row r="1372" spans="1:48" ht="14.65" thickBot="1" x14ac:dyDescent="0.5">
      <c r="A1372" s="36" t="s">
        <v>1158</v>
      </c>
      <c r="B1372" s="3" t="s">
        <v>1159</v>
      </c>
      <c r="C1372" s="4" t="s">
        <v>10</v>
      </c>
      <c r="D1372" s="4"/>
      <c r="E1372" s="4" t="s">
        <v>10</v>
      </c>
      <c r="F1372" s="4"/>
      <c r="G1372" s="4" t="s">
        <v>10</v>
      </c>
      <c r="H1372" s="4"/>
      <c r="I1372" s="18" t="s">
        <v>2473</v>
      </c>
      <c r="J1372" s="18" t="s">
        <v>2473</v>
      </c>
      <c r="K1372" s="18" t="s">
        <v>2473</v>
      </c>
      <c r="L1372" s="18" t="s">
        <v>2336</v>
      </c>
      <c r="AU1372" s="6"/>
      <c r="AV1372" s="6" t="str">
        <f t="shared" si="22"/>
        <v/>
      </c>
    </row>
    <row r="1373" spans="1:48" ht="23.65" thickBot="1" x14ac:dyDescent="0.5">
      <c r="A1373" s="36" t="s">
        <v>1099</v>
      </c>
      <c r="B1373" s="3" t="s">
        <v>1160</v>
      </c>
      <c r="C1373" s="4" t="s">
        <v>10</v>
      </c>
      <c r="D1373" s="4"/>
      <c r="E1373" s="4" t="s">
        <v>10</v>
      </c>
      <c r="F1373" s="4"/>
      <c r="G1373" s="4" t="s">
        <v>10</v>
      </c>
      <c r="H1373" s="4"/>
      <c r="I1373" s="18" t="s">
        <v>2473</v>
      </c>
      <c r="J1373" s="18" t="s">
        <v>2473</v>
      </c>
      <c r="K1373" s="18" t="s">
        <v>2473</v>
      </c>
      <c r="L1373" s="18" t="s">
        <v>2336</v>
      </c>
      <c r="AU1373" s="6"/>
      <c r="AV1373" s="6" t="str">
        <f t="shared" si="22"/>
        <v/>
      </c>
    </row>
    <row r="1374" spans="1:48" s="79" customFormat="1" x14ac:dyDescent="0.45">
      <c r="A1374" s="75"/>
      <c r="B1374" s="76"/>
      <c r="C1374" s="77"/>
      <c r="D1374" s="77"/>
      <c r="E1374" s="77"/>
      <c r="F1374" s="77"/>
      <c r="G1374" s="77"/>
      <c r="H1374" s="77"/>
      <c r="I1374" s="77"/>
      <c r="J1374" s="77"/>
      <c r="K1374" s="77"/>
      <c r="L1374" s="77"/>
      <c r="M1374" s="148"/>
      <c r="N1374" s="78"/>
      <c r="O1374" s="78"/>
      <c r="P1374" s="78"/>
      <c r="Q1374" s="78"/>
      <c r="R1374" s="78"/>
      <c r="S1374" s="78"/>
      <c r="T1374" s="78"/>
      <c r="U1374" s="78"/>
      <c r="V1374" s="78"/>
      <c r="W1374" s="78"/>
      <c r="X1374" s="78"/>
      <c r="Y1374" s="148"/>
      <c r="Z1374" s="78"/>
      <c r="AA1374" s="78"/>
      <c r="AB1374" s="78"/>
      <c r="AC1374" s="78"/>
      <c r="AD1374" s="78"/>
      <c r="AE1374" s="156"/>
      <c r="AF1374" s="156"/>
      <c r="AG1374" s="78"/>
      <c r="AH1374" s="78"/>
      <c r="AI1374" s="78"/>
      <c r="AJ1374" s="78"/>
      <c r="AK1374" s="78"/>
      <c r="AL1374" s="78"/>
      <c r="AM1374" s="78"/>
      <c r="AN1374" s="78"/>
      <c r="AO1374" s="78"/>
      <c r="AP1374" s="78"/>
      <c r="AQ1374" s="78"/>
      <c r="AR1374" s="286"/>
      <c r="AS1374" s="78"/>
      <c r="AT1374" s="78"/>
      <c r="AU1374" s="8"/>
      <c r="AV1374" s="6" t="str">
        <f t="shared" si="22"/>
        <v/>
      </c>
    </row>
    <row r="1375" spans="1:48" x14ac:dyDescent="0.45">
      <c r="A1375" s="27" t="s">
        <v>2426</v>
      </c>
      <c r="I1375" s="18" t="s">
        <v>2473</v>
      </c>
      <c r="J1375" s="18" t="s">
        <v>2473</v>
      </c>
      <c r="K1375" s="18" t="s">
        <v>2473</v>
      </c>
      <c r="L1375" s="18" t="s">
        <v>2336</v>
      </c>
      <c r="AU1375" s="6"/>
      <c r="AV1375" s="6" t="str">
        <f t="shared" si="22"/>
        <v/>
      </c>
    </row>
    <row r="1376" spans="1:48" x14ac:dyDescent="0.45">
      <c r="A1376" s="323" t="s">
        <v>2518</v>
      </c>
      <c r="B1376" s="324"/>
      <c r="C1376" s="324"/>
      <c r="D1376" s="324"/>
      <c r="E1376" s="324"/>
      <c r="F1376" s="324"/>
      <c r="G1376" s="101"/>
      <c r="H1376" s="101"/>
      <c r="I1376" s="18" t="s">
        <v>2473</v>
      </c>
      <c r="J1376" s="18" t="s">
        <v>2473</v>
      </c>
      <c r="K1376" s="18" t="s">
        <v>2473</v>
      </c>
      <c r="L1376" s="18" t="s">
        <v>2336</v>
      </c>
      <c r="AU1376" s="6"/>
      <c r="AV1376" s="6" t="str">
        <f t="shared" si="22"/>
        <v/>
      </c>
    </row>
    <row r="1377" spans="1:48" ht="14.65" thickBot="1" x14ac:dyDescent="0.5">
      <c r="A1377" s="28" t="s">
        <v>1161</v>
      </c>
      <c r="I1377" s="18" t="s">
        <v>2473</v>
      </c>
      <c r="J1377" s="18" t="s">
        <v>2473</v>
      </c>
      <c r="K1377" s="18" t="s">
        <v>2473</v>
      </c>
      <c r="L1377" s="18" t="s">
        <v>2336</v>
      </c>
      <c r="AA1377" s="183" t="s">
        <v>2322</v>
      </c>
      <c r="AB1377" s="183" t="s">
        <v>1697</v>
      </c>
      <c r="AC1377" s="183" t="s">
        <v>5</v>
      </c>
      <c r="AU1377" s="6"/>
      <c r="AV1377" s="6" t="str">
        <f t="shared" si="22"/>
        <v/>
      </c>
    </row>
    <row r="1378" spans="1:48" ht="70.150000000000006" thickBot="1" x14ac:dyDescent="0.5">
      <c r="A1378" s="309" t="s">
        <v>1162</v>
      </c>
      <c r="B1378" s="310"/>
      <c r="C1378" s="301" t="s">
        <v>1</v>
      </c>
      <c r="D1378" s="319"/>
      <c r="E1378" s="319"/>
      <c r="F1378" s="302"/>
      <c r="G1378" s="102"/>
      <c r="H1378" s="102"/>
      <c r="I1378" s="18" t="s">
        <v>2473</v>
      </c>
      <c r="L1378" s="18" t="s">
        <v>2336</v>
      </c>
      <c r="AA1378" s="183" t="str">
        <f>LEFT($A1378,FIND(" ",$A1378)-1)</f>
        <v>MessageRegistryFile</v>
      </c>
      <c r="AB1378" s="183" t="str">
        <f>MID($A1378,FIND("(",$A1378)+1,LEN($A1378)-FIND("(",$A1378)-1)</f>
        <v>1.1.1</v>
      </c>
      <c r="AC1378" s="101" t="str">
        <f>A1376</f>
        <v>The MessageRegistryFile resource uses the schema file locator resource.</v>
      </c>
      <c r="AU1378" s="6"/>
      <c r="AV1378" s="6" t="str">
        <f t="shared" si="22"/>
        <v/>
      </c>
    </row>
    <row r="1379" spans="1:48" ht="14.65" thickBot="1" x14ac:dyDescent="0.5">
      <c r="A1379" s="311"/>
      <c r="B1379" s="312"/>
      <c r="C1379" s="301" t="s">
        <v>2</v>
      </c>
      <c r="D1379" s="302"/>
      <c r="E1379" s="301" t="s">
        <v>3</v>
      </c>
      <c r="F1379" s="302"/>
      <c r="G1379" s="301" t="s">
        <v>2896</v>
      </c>
      <c r="H1379" s="302"/>
      <c r="I1379" s="18" t="s">
        <v>2473</v>
      </c>
      <c r="L1379" s="18" t="s">
        <v>2336</v>
      </c>
      <c r="AA1379" s="183" t="s">
        <v>2322</v>
      </c>
      <c r="AB1379" s="183" t="s">
        <v>1697</v>
      </c>
      <c r="AC1379" s="183" t="s">
        <v>5</v>
      </c>
      <c r="AU1379" s="6"/>
      <c r="AV1379" s="6" t="str">
        <f t="shared" si="22"/>
        <v/>
      </c>
    </row>
    <row r="1380" spans="1:48" ht="70.150000000000006" thickBot="1" x14ac:dyDescent="0.5">
      <c r="A1380" s="309" t="s">
        <v>3225</v>
      </c>
      <c r="B1380" s="310"/>
      <c r="C1380" s="301" t="s">
        <v>1</v>
      </c>
      <c r="D1380" s="319"/>
      <c r="E1380" s="319"/>
      <c r="F1380" s="302"/>
      <c r="G1380" s="102"/>
      <c r="H1380" s="102"/>
      <c r="J1380" s="18" t="s">
        <v>2473</v>
      </c>
      <c r="K1380" s="18" t="s">
        <v>2473</v>
      </c>
      <c r="L1380" s="18" t="s">
        <v>2336</v>
      </c>
      <c r="AA1380" s="183" t="str">
        <f>LEFT($A1380,FIND(" ",$A1380)-1)</f>
        <v>MessageRegistryFile</v>
      </c>
      <c r="AB1380" s="183" t="str">
        <f>MID($A1380,FIND("(",$A1380)+1,LEN($A1380)-FIND("(",$A1380)-1)</f>
        <v>1.1.2</v>
      </c>
      <c r="AC1380" s="101" t="str">
        <f>AC1378</f>
        <v>The MessageRegistryFile resource uses the schema file locator resource.</v>
      </c>
      <c r="AU1380" s="6"/>
      <c r="AV1380" s="6" t="str">
        <f t="shared" si="22"/>
        <v/>
      </c>
    </row>
    <row r="1381" spans="1:48" ht="14.65" thickBot="1" x14ac:dyDescent="0.5">
      <c r="A1381" s="311"/>
      <c r="B1381" s="312"/>
      <c r="C1381" s="301" t="s">
        <v>2</v>
      </c>
      <c r="D1381" s="302"/>
      <c r="E1381" s="301" t="s">
        <v>3</v>
      </c>
      <c r="F1381" s="302"/>
      <c r="G1381" s="301" t="s">
        <v>2896</v>
      </c>
      <c r="H1381" s="302"/>
      <c r="J1381" s="18" t="s">
        <v>2473</v>
      </c>
      <c r="K1381" s="18" t="s">
        <v>2473</v>
      </c>
      <c r="L1381" s="18" t="s">
        <v>2336</v>
      </c>
      <c r="AM1381" s="8" t="str">
        <f>C1381</f>
        <v>OSM-Redfish</v>
      </c>
      <c r="AN1381" s="8" t="str">
        <f>E1381</f>
        <v>OSM-RedfishBMC</v>
      </c>
      <c r="AO1381" s="8" t="str">
        <f>G1381</f>
        <v>OSM-RedfishDCN</v>
      </c>
      <c r="AU1381" s="6"/>
      <c r="AV1381" s="6" t="str">
        <f t="shared" si="22"/>
        <v/>
      </c>
    </row>
    <row r="1382" spans="1:48" ht="36" thickBot="1" x14ac:dyDescent="0.5">
      <c r="A1382" s="46" t="s">
        <v>2377</v>
      </c>
      <c r="B1382" s="47"/>
      <c r="C1382" s="303" t="s">
        <v>13</v>
      </c>
      <c r="D1382" s="304"/>
      <c r="E1382" s="303" t="s">
        <v>13</v>
      </c>
      <c r="F1382" s="304"/>
      <c r="G1382" s="303" t="s">
        <v>13</v>
      </c>
      <c r="H1382" s="304"/>
      <c r="I1382" s="18" t="s">
        <v>2473</v>
      </c>
      <c r="J1382" s="18" t="s">
        <v>2473</v>
      </c>
      <c r="K1382" s="18" t="s">
        <v>2473</v>
      </c>
      <c r="L1382" s="18" t="s">
        <v>2336</v>
      </c>
      <c r="AM1382" s="8" t="str">
        <f>IF(C1382&lt;&gt;"","CRQ-P5-"&amp;(AM$2+$AP1382*$AP$3),"")</f>
        <v>CRQ-P5-1128</v>
      </c>
      <c r="AN1382" s="8" t="str">
        <f>IF(E1382&lt;&gt;"","CRQ-P5-"&amp;(AN$2+$AP1382*$AP$3),"")</f>
        <v>CRQ-P5-1428</v>
      </c>
      <c r="AO1382" s="8" t="str">
        <f>IF(G1382&lt;&gt;"","CRQ-P5-"&amp;(AO$2+$AP1382*$AP$3),"")</f>
        <v>CRQ-P5-1728</v>
      </c>
      <c r="AP1382" s="8">
        <v>32</v>
      </c>
      <c r="AT1382" s="233" t="s">
        <v>5313</v>
      </c>
      <c r="AU1382" s="6"/>
      <c r="AV1382" s="6" t="str">
        <f t="shared" si="22"/>
        <v/>
      </c>
    </row>
    <row r="1383" spans="1:48" ht="14.65" thickBot="1" x14ac:dyDescent="0.5">
      <c r="A1383" s="29" t="s">
        <v>3394</v>
      </c>
      <c r="B1383" s="9"/>
      <c r="C1383" s="305" t="str">
        <f>MID($A1378,FIND("(",$A1378)+1,5)</f>
        <v>1.1.1</v>
      </c>
      <c r="D1383" s="306"/>
      <c r="E1383" s="305" t="s">
        <v>3407</v>
      </c>
      <c r="F1383" s="306"/>
      <c r="G1383" s="305" t="str">
        <f>MID($A1378,FIND("(",$A1378)+1,5)</f>
        <v>1.1.1</v>
      </c>
      <c r="H1383" s="306"/>
      <c r="I1383" s="18" t="s">
        <v>2473</v>
      </c>
      <c r="J1383" s="18" t="s">
        <v>2473</v>
      </c>
      <c r="K1383" s="18" t="s">
        <v>2473</v>
      </c>
      <c r="L1383" s="18" t="s">
        <v>2336</v>
      </c>
      <c r="AU1383" s="6"/>
      <c r="AV1383" s="6" t="str">
        <f t="shared" si="22"/>
        <v/>
      </c>
    </row>
    <row r="1384" spans="1:48" ht="14.65" thickBot="1" x14ac:dyDescent="0.5">
      <c r="A1384" s="30" t="s">
        <v>4</v>
      </c>
      <c r="B1384" s="59" t="s">
        <v>5</v>
      </c>
      <c r="C1384" s="7" t="s">
        <v>6</v>
      </c>
      <c r="D1384" s="7" t="s">
        <v>7</v>
      </c>
      <c r="E1384" s="7" t="s">
        <v>6</v>
      </c>
      <c r="F1384" s="7" t="s">
        <v>7</v>
      </c>
      <c r="G1384" s="7" t="s">
        <v>6</v>
      </c>
      <c r="H1384" s="7" t="s">
        <v>7</v>
      </c>
      <c r="I1384" s="18" t="s">
        <v>2473</v>
      </c>
      <c r="J1384" s="18" t="s">
        <v>2473</v>
      </c>
      <c r="K1384" s="18" t="s">
        <v>2473</v>
      </c>
      <c r="L1384" s="18" t="s">
        <v>2336</v>
      </c>
      <c r="AU1384" s="6"/>
      <c r="AV1384" s="6" t="str">
        <f t="shared" si="22"/>
        <v/>
      </c>
    </row>
    <row r="1385" spans="1:48" ht="14.65" thickBot="1" x14ac:dyDescent="0.5">
      <c r="A1385" s="36" t="s">
        <v>8</v>
      </c>
      <c r="B1385" s="3" t="s">
        <v>9</v>
      </c>
      <c r="C1385" s="4"/>
      <c r="D1385" s="4"/>
      <c r="E1385" s="4"/>
      <c r="F1385" s="4"/>
      <c r="G1385" s="4"/>
      <c r="H1385" s="4"/>
      <c r="I1385" s="18" t="s">
        <v>2473</v>
      </c>
      <c r="J1385" s="18" t="s">
        <v>2473</v>
      </c>
      <c r="K1385" s="18" t="s">
        <v>2473</v>
      </c>
      <c r="L1385" s="18" t="s">
        <v>2336</v>
      </c>
      <c r="AU1385" s="6"/>
      <c r="AV1385" s="6" t="str">
        <f t="shared" si="22"/>
        <v/>
      </c>
    </row>
    <row r="1386" spans="1:48" ht="14.65" thickBot="1" x14ac:dyDescent="0.5">
      <c r="A1386" s="36" t="s">
        <v>1128</v>
      </c>
      <c r="B1386" s="3" t="s">
        <v>1129</v>
      </c>
      <c r="C1386" s="4" t="s">
        <v>10</v>
      </c>
      <c r="D1386" s="4" t="s">
        <v>13</v>
      </c>
      <c r="E1386" s="4" t="s">
        <v>10</v>
      </c>
      <c r="F1386" s="4" t="s">
        <v>13</v>
      </c>
      <c r="G1386" s="4" t="s">
        <v>10</v>
      </c>
      <c r="H1386" s="4" t="s">
        <v>13</v>
      </c>
      <c r="I1386" s="18" t="s">
        <v>2473</v>
      </c>
      <c r="J1386" s="18" t="s">
        <v>2473</v>
      </c>
      <c r="K1386" s="18" t="s">
        <v>2473</v>
      </c>
      <c r="L1386" s="18" t="s">
        <v>2336</v>
      </c>
      <c r="AU1386" s="6"/>
      <c r="AV1386" s="6" t="str">
        <f t="shared" si="22"/>
        <v/>
      </c>
    </row>
    <row r="1387" spans="1:48" ht="14.65" thickBot="1" x14ac:dyDescent="0.5">
      <c r="A1387" s="36" t="s">
        <v>208</v>
      </c>
      <c r="B1387" s="3" t="s">
        <v>1130</v>
      </c>
      <c r="C1387" s="4" t="s">
        <v>37</v>
      </c>
      <c r="D1387" s="4"/>
      <c r="E1387" s="4" t="s">
        <v>37</v>
      </c>
      <c r="F1387" s="4"/>
      <c r="G1387" s="4" t="s">
        <v>37</v>
      </c>
      <c r="H1387" s="4"/>
      <c r="I1387" s="18" t="s">
        <v>2473</v>
      </c>
      <c r="J1387" s="18" t="s">
        <v>2473</v>
      </c>
      <c r="K1387" s="18" t="s">
        <v>2473</v>
      </c>
      <c r="L1387" s="18" t="s">
        <v>2336</v>
      </c>
      <c r="AU1387" s="6"/>
      <c r="AV1387" s="6" t="str">
        <f t="shared" si="22"/>
        <v/>
      </c>
    </row>
    <row r="1388" spans="1:48" ht="23.65" thickBot="1" x14ac:dyDescent="0.5">
      <c r="A1388" s="35" t="s">
        <v>1131</v>
      </c>
      <c r="B1388" s="3" t="s">
        <v>1132</v>
      </c>
      <c r="C1388" s="4" t="s">
        <v>37</v>
      </c>
      <c r="D1388" s="4"/>
      <c r="E1388" s="4" t="s">
        <v>37</v>
      </c>
      <c r="F1388" s="4"/>
      <c r="G1388" s="4" t="s">
        <v>37</v>
      </c>
      <c r="H1388" s="4"/>
      <c r="I1388" s="18" t="s">
        <v>2473</v>
      </c>
      <c r="J1388" s="18" t="s">
        <v>2473</v>
      </c>
      <c r="K1388" s="18" t="s">
        <v>2473</v>
      </c>
      <c r="L1388" s="18" t="s">
        <v>2336</v>
      </c>
      <c r="AU1388" s="6"/>
      <c r="AV1388" s="6" t="str">
        <f t="shared" si="22"/>
        <v/>
      </c>
    </row>
    <row r="1389" spans="1:48" ht="23.65" thickBot="1" x14ac:dyDescent="0.5">
      <c r="A1389" s="35" t="s">
        <v>1133</v>
      </c>
      <c r="B1389" s="3" t="s">
        <v>1134</v>
      </c>
      <c r="C1389" s="4" t="s">
        <v>37</v>
      </c>
      <c r="D1389" s="4"/>
      <c r="E1389" s="4" t="s">
        <v>37</v>
      </c>
      <c r="F1389" s="4"/>
      <c r="G1389" s="4" t="s">
        <v>37</v>
      </c>
      <c r="H1389" s="4"/>
      <c r="I1389" s="18" t="s">
        <v>2473</v>
      </c>
      <c r="J1389" s="18" t="s">
        <v>2473</v>
      </c>
      <c r="K1389" s="18" t="s">
        <v>2473</v>
      </c>
      <c r="L1389" s="18" t="s">
        <v>2336</v>
      </c>
      <c r="AU1389" s="6"/>
      <c r="AV1389" s="6" t="str">
        <f t="shared" si="22"/>
        <v/>
      </c>
    </row>
    <row r="1390" spans="1:48" ht="14.65" thickBot="1" x14ac:dyDescent="0.5">
      <c r="A1390" s="35" t="s">
        <v>1135</v>
      </c>
      <c r="B1390" s="3" t="s">
        <v>1136</v>
      </c>
      <c r="C1390" s="4" t="s">
        <v>10</v>
      </c>
      <c r="D1390" s="4"/>
      <c r="E1390" s="4" t="s">
        <v>10</v>
      </c>
      <c r="F1390" s="4"/>
      <c r="G1390" s="4" t="s">
        <v>10</v>
      </c>
      <c r="H1390" s="4"/>
      <c r="I1390" s="18" t="s">
        <v>2473</v>
      </c>
      <c r="J1390" s="18" t="s">
        <v>2473</v>
      </c>
      <c r="K1390" s="18" t="s">
        <v>2473</v>
      </c>
      <c r="L1390" s="18" t="s">
        <v>2336</v>
      </c>
      <c r="AU1390" s="6"/>
      <c r="AV1390" s="6" t="str">
        <f t="shared" si="22"/>
        <v/>
      </c>
    </row>
    <row r="1391" spans="1:48" ht="14.65" thickBot="1" x14ac:dyDescent="0.5">
      <c r="A1391" s="35" t="s">
        <v>1137</v>
      </c>
      <c r="B1391" s="3" t="s">
        <v>1163</v>
      </c>
      <c r="C1391" s="4" t="s">
        <v>37</v>
      </c>
      <c r="D1391" s="4"/>
      <c r="E1391" s="4" t="s">
        <v>37</v>
      </c>
      <c r="F1391" s="4"/>
      <c r="G1391" s="4" t="s">
        <v>37</v>
      </c>
      <c r="H1391" s="4"/>
      <c r="I1391" s="18" t="s">
        <v>2473</v>
      </c>
      <c r="J1391" s="18" t="s">
        <v>2473</v>
      </c>
      <c r="K1391" s="18" t="s">
        <v>2473</v>
      </c>
      <c r="L1391" s="18" t="s">
        <v>2336</v>
      </c>
      <c r="AU1391" s="6"/>
      <c r="AV1391" s="6" t="str">
        <f t="shared" si="22"/>
        <v/>
      </c>
    </row>
    <row r="1392" spans="1:48" ht="14.65" thickBot="1" x14ac:dyDescent="0.5">
      <c r="A1392" s="35" t="s">
        <v>1139</v>
      </c>
      <c r="B1392" s="3" t="s">
        <v>1164</v>
      </c>
      <c r="C1392" s="4" t="s">
        <v>37</v>
      </c>
      <c r="D1392" s="4"/>
      <c r="E1392" s="4" t="s">
        <v>37</v>
      </c>
      <c r="F1392" s="4"/>
      <c r="G1392" s="4" t="s">
        <v>37</v>
      </c>
      <c r="H1392" s="4"/>
      <c r="I1392" s="18" t="s">
        <v>2473</v>
      </c>
      <c r="J1392" s="18" t="s">
        <v>2473</v>
      </c>
      <c r="K1392" s="18" t="s">
        <v>2473</v>
      </c>
      <c r="L1392" s="18" t="s">
        <v>2336</v>
      </c>
      <c r="AU1392" s="6"/>
      <c r="AV1392" s="6" t="str">
        <f t="shared" si="22"/>
        <v/>
      </c>
    </row>
    <row r="1393" spans="1:48" ht="23.65" thickBot="1" x14ac:dyDescent="0.5">
      <c r="A1393" s="36" t="s">
        <v>1165</v>
      </c>
      <c r="B1393" s="3" t="s">
        <v>1166</v>
      </c>
      <c r="C1393" s="4" t="s">
        <v>37</v>
      </c>
      <c r="D1393" s="4"/>
      <c r="E1393" s="4" t="s">
        <v>37</v>
      </c>
      <c r="F1393" s="4"/>
      <c r="G1393" s="4" t="s">
        <v>37</v>
      </c>
      <c r="H1393" s="4"/>
      <c r="I1393" s="18" t="s">
        <v>2473</v>
      </c>
      <c r="J1393" s="18" t="s">
        <v>2473</v>
      </c>
      <c r="K1393" s="18" t="s">
        <v>2473</v>
      </c>
      <c r="L1393" s="18" t="s">
        <v>2336</v>
      </c>
      <c r="AU1393" s="6"/>
      <c r="AV1393" s="6" t="str">
        <f t="shared" ref="AV1393:AV1456" si="23">IF(A1393&lt;&gt;"",IF(T1393&lt;&gt;"",IF(LEFT(R1393,3)="Has",IF(TRIM(A1393)&lt;&gt;T1393,"ERROR","OK"),""),""),"")</f>
        <v/>
      </c>
    </row>
    <row r="1394" spans="1:48" x14ac:dyDescent="0.45">
      <c r="A1394" s="33" t="s">
        <v>1167</v>
      </c>
      <c r="I1394" s="18" t="s">
        <v>2473</v>
      </c>
      <c r="J1394" s="18" t="s">
        <v>2473</v>
      </c>
      <c r="K1394" s="18" t="s">
        <v>2473</v>
      </c>
      <c r="L1394" s="18" t="s">
        <v>2336</v>
      </c>
      <c r="AU1394" s="6"/>
      <c r="AV1394" s="6" t="str">
        <f t="shared" si="23"/>
        <v/>
      </c>
    </row>
    <row r="1395" spans="1:48" x14ac:dyDescent="0.45">
      <c r="A1395" s="34" t="s">
        <v>1168</v>
      </c>
      <c r="I1395" s="18" t="s">
        <v>2473</v>
      </c>
      <c r="J1395" s="18" t="s">
        <v>2473</v>
      </c>
      <c r="K1395" s="18" t="s">
        <v>2473</v>
      </c>
      <c r="L1395" s="18" t="s">
        <v>2336</v>
      </c>
      <c r="AU1395" s="6"/>
      <c r="AV1395" s="6" t="str">
        <f t="shared" si="23"/>
        <v/>
      </c>
    </row>
    <row r="1396" spans="1:48" s="79" customFormat="1" x14ac:dyDescent="0.45">
      <c r="A1396" s="75"/>
      <c r="B1396" s="76"/>
      <c r="C1396" s="77"/>
      <c r="D1396" s="77"/>
      <c r="E1396" s="77"/>
      <c r="F1396" s="77"/>
      <c r="G1396" s="77"/>
      <c r="H1396" s="77"/>
      <c r="I1396" s="77"/>
      <c r="J1396" s="77"/>
      <c r="K1396" s="77"/>
      <c r="L1396" s="77"/>
      <c r="M1396" s="148"/>
      <c r="N1396" s="78"/>
      <c r="O1396" s="78"/>
      <c r="P1396" s="78"/>
      <c r="Q1396" s="78"/>
      <c r="R1396" s="78"/>
      <c r="S1396" s="78"/>
      <c r="T1396" s="78"/>
      <c r="U1396" s="78"/>
      <c r="V1396" s="78"/>
      <c r="W1396" s="78"/>
      <c r="X1396" s="78"/>
      <c r="Y1396" s="148"/>
      <c r="Z1396" s="78"/>
      <c r="AA1396" s="78"/>
      <c r="AB1396" s="78"/>
      <c r="AC1396" s="78"/>
      <c r="AD1396" s="78"/>
      <c r="AE1396" s="156"/>
      <c r="AF1396" s="156"/>
      <c r="AG1396" s="78"/>
      <c r="AH1396" s="78"/>
      <c r="AI1396" s="78"/>
      <c r="AJ1396" s="78"/>
      <c r="AK1396" s="78"/>
      <c r="AL1396" s="78"/>
      <c r="AM1396" s="78"/>
      <c r="AN1396" s="78"/>
      <c r="AO1396" s="78"/>
      <c r="AP1396" s="78"/>
      <c r="AQ1396" s="78"/>
      <c r="AR1396" s="286"/>
      <c r="AS1396" s="78"/>
      <c r="AT1396" s="78"/>
      <c r="AU1396" s="8"/>
      <c r="AV1396" s="6" t="str">
        <f t="shared" si="23"/>
        <v/>
      </c>
    </row>
    <row r="1397" spans="1:48" x14ac:dyDescent="0.45">
      <c r="A1397" s="27" t="s">
        <v>2427</v>
      </c>
      <c r="I1397" s="18" t="s">
        <v>2473</v>
      </c>
      <c r="J1397" s="18" t="s">
        <v>2473</v>
      </c>
      <c r="K1397" s="18" t="s">
        <v>2473</v>
      </c>
      <c r="L1397" s="18" t="s">
        <v>2336</v>
      </c>
      <c r="AU1397" s="6"/>
      <c r="AV1397" s="6" t="str">
        <f t="shared" si="23"/>
        <v/>
      </c>
    </row>
    <row r="1398" spans="1:48" x14ac:dyDescent="0.45">
      <c r="A1398" s="323" t="s">
        <v>2519</v>
      </c>
      <c r="B1398" s="324"/>
      <c r="C1398" s="324"/>
      <c r="D1398" s="324"/>
      <c r="E1398" s="324"/>
      <c r="F1398" s="324"/>
      <c r="G1398" s="101"/>
      <c r="H1398" s="101"/>
      <c r="I1398" s="18" t="s">
        <v>2473</v>
      </c>
      <c r="J1398" s="18" t="s">
        <v>2473</v>
      </c>
      <c r="K1398" s="18" t="s">
        <v>2473</v>
      </c>
      <c r="L1398" s="18" t="s">
        <v>2336</v>
      </c>
      <c r="AU1398" s="6"/>
      <c r="AV1398" s="6" t="str">
        <f t="shared" si="23"/>
        <v/>
      </c>
    </row>
    <row r="1399" spans="1:48" ht="14.65" thickBot="1" x14ac:dyDescent="0.5">
      <c r="A1399" s="28" t="s">
        <v>1169</v>
      </c>
      <c r="I1399" s="18" t="s">
        <v>2473</v>
      </c>
      <c r="J1399" s="18" t="s">
        <v>2473</v>
      </c>
      <c r="K1399" s="18" t="s">
        <v>2473</v>
      </c>
      <c r="L1399" s="18" t="s">
        <v>2336</v>
      </c>
      <c r="AU1399" s="6"/>
      <c r="AV1399" s="6" t="str">
        <f t="shared" si="23"/>
        <v/>
      </c>
    </row>
    <row r="1400" spans="1:48" ht="14.65" thickBot="1" x14ac:dyDescent="0.5">
      <c r="A1400" s="309" t="s">
        <v>1170</v>
      </c>
      <c r="B1400" s="310"/>
      <c r="C1400" s="301" t="s">
        <v>1</v>
      </c>
      <c r="D1400" s="319"/>
      <c r="E1400" s="319"/>
      <c r="F1400" s="302"/>
      <c r="G1400" s="102"/>
      <c r="H1400" s="102"/>
      <c r="I1400" s="18" t="s">
        <v>2473</v>
      </c>
      <c r="J1400" s="18" t="s">
        <v>2473</v>
      </c>
      <c r="K1400" s="18" t="s">
        <v>2473</v>
      </c>
      <c r="L1400" s="18" t="s">
        <v>2336</v>
      </c>
      <c r="AU1400" s="6"/>
      <c r="AV1400" s="6" t="str">
        <f t="shared" si="23"/>
        <v/>
      </c>
    </row>
    <row r="1401" spans="1:48" ht="14.65" thickBot="1" x14ac:dyDescent="0.5">
      <c r="A1401" s="311"/>
      <c r="B1401" s="312"/>
      <c r="C1401" s="301" t="s">
        <v>2</v>
      </c>
      <c r="D1401" s="302"/>
      <c r="E1401" s="301" t="s">
        <v>3</v>
      </c>
      <c r="F1401" s="302"/>
      <c r="G1401" s="301" t="s">
        <v>2896</v>
      </c>
      <c r="H1401" s="302"/>
      <c r="I1401" s="18" t="s">
        <v>2473</v>
      </c>
      <c r="J1401" s="18" t="s">
        <v>2473</v>
      </c>
      <c r="K1401" s="18" t="s">
        <v>2473</v>
      </c>
      <c r="L1401" s="18" t="s">
        <v>2336</v>
      </c>
      <c r="AU1401" s="6"/>
      <c r="AV1401" s="6" t="str">
        <f t="shared" si="23"/>
        <v/>
      </c>
    </row>
    <row r="1402" spans="1:48" ht="14.65" thickBot="1" x14ac:dyDescent="0.5">
      <c r="A1402" s="46" t="s">
        <v>2377</v>
      </c>
      <c r="B1402" s="47"/>
      <c r="C1402" s="303"/>
      <c r="D1402" s="304"/>
      <c r="E1402" s="303"/>
      <c r="F1402" s="304"/>
      <c r="G1402" s="303"/>
      <c r="H1402" s="304"/>
      <c r="I1402" s="18" t="s">
        <v>2473</v>
      </c>
      <c r="J1402" s="18" t="s">
        <v>2473</v>
      </c>
      <c r="K1402" s="18" t="s">
        <v>2473</v>
      </c>
      <c r="L1402" s="18" t="s">
        <v>2336</v>
      </c>
      <c r="AU1402" s="6"/>
      <c r="AV1402" s="6" t="str">
        <f t="shared" si="23"/>
        <v/>
      </c>
    </row>
    <row r="1403" spans="1:48" ht="14.65" thickBot="1" x14ac:dyDescent="0.5">
      <c r="A1403" s="29" t="s">
        <v>3394</v>
      </c>
      <c r="B1403" s="9"/>
      <c r="C1403" s="305"/>
      <c r="D1403" s="306"/>
      <c r="E1403" s="305"/>
      <c r="F1403" s="306"/>
      <c r="G1403" s="305"/>
      <c r="H1403" s="306"/>
      <c r="I1403" s="18" t="s">
        <v>2473</v>
      </c>
      <c r="J1403" s="18" t="s">
        <v>2473</v>
      </c>
      <c r="K1403" s="18" t="s">
        <v>2473</v>
      </c>
      <c r="L1403" s="18" t="s">
        <v>2336</v>
      </c>
      <c r="AU1403" s="6"/>
      <c r="AV1403" s="6" t="str">
        <f t="shared" si="23"/>
        <v/>
      </c>
    </row>
    <row r="1404" spans="1:48" ht="14.65" thickBot="1" x14ac:dyDescent="0.5">
      <c r="A1404" s="30" t="s">
        <v>4</v>
      </c>
      <c r="B1404" s="59" t="s">
        <v>5</v>
      </c>
      <c r="C1404" s="7" t="s">
        <v>6</v>
      </c>
      <c r="D1404" s="7" t="s">
        <v>7</v>
      </c>
      <c r="E1404" s="7" t="s">
        <v>6</v>
      </c>
      <c r="F1404" s="7" t="s">
        <v>7</v>
      </c>
      <c r="G1404" s="7" t="s">
        <v>6</v>
      </c>
      <c r="H1404" s="7" t="s">
        <v>7</v>
      </c>
      <c r="I1404" s="18" t="s">
        <v>2473</v>
      </c>
      <c r="J1404" s="18" t="s">
        <v>2473</v>
      </c>
      <c r="K1404" s="18" t="s">
        <v>2473</v>
      </c>
      <c r="L1404" s="18" t="s">
        <v>2336</v>
      </c>
      <c r="AU1404" s="6"/>
      <c r="AV1404" s="6" t="str">
        <f t="shared" si="23"/>
        <v/>
      </c>
    </row>
    <row r="1405" spans="1:48" ht="46.9" thickBot="1" x14ac:dyDescent="0.5">
      <c r="A1405" s="35" t="s">
        <v>1171</v>
      </c>
      <c r="B1405" s="3" t="s">
        <v>1172</v>
      </c>
      <c r="C1405" s="4"/>
      <c r="D1405" s="4"/>
      <c r="E1405" s="4"/>
      <c r="F1405" s="4"/>
      <c r="G1405" s="4"/>
      <c r="H1405" s="4"/>
      <c r="I1405" s="18" t="s">
        <v>2473</v>
      </c>
      <c r="J1405" s="18" t="s">
        <v>2473</v>
      </c>
      <c r="K1405" s="18" t="s">
        <v>2473</v>
      </c>
      <c r="L1405" s="18" t="s">
        <v>2336</v>
      </c>
      <c r="AU1405" s="6"/>
      <c r="AV1405" s="6" t="str">
        <f t="shared" si="23"/>
        <v/>
      </c>
    </row>
    <row r="1406" spans="1:48" ht="14.65" thickBot="1" x14ac:dyDescent="0.5">
      <c r="A1406" s="35" t="s">
        <v>1173</v>
      </c>
      <c r="B1406" s="3" t="s">
        <v>1174</v>
      </c>
      <c r="C1406" s="4"/>
      <c r="D1406" s="4"/>
      <c r="E1406" s="4"/>
      <c r="F1406" s="4"/>
      <c r="G1406" s="4"/>
      <c r="H1406" s="4"/>
      <c r="I1406" s="18" t="s">
        <v>2473</v>
      </c>
      <c r="J1406" s="18" t="s">
        <v>2473</v>
      </c>
      <c r="K1406" s="18" t="s">
        <v>2473</v>
      </c>
      <c r="L1406" s="18" t="s">
        <v>2336</v>
      </c>
      <c r="AU1406" s="6"/>
      <c r="AV1406" s="6" t="str">
        <f t="shared" si="23"/>
        <v/>
      </c>
    </row>
    <row r="1407" spans="1:48" ht="23.65" thickBot="1" x14ac:dyDescent="0.5">
      <c r="A1407" s="35" t="s">
        <v>1175</v>
      </c>
      <c r="B1407" s="3" t="s">
        <v>1176</v>
      </c>
      <c r="C1407" s="4"/>
      <c r="D1407" s="4"/>
      <c r="E1407" s="4"/>
      <c r="F1407" s="4"/>
      <c r="G1407" s="4"/>
      <c r="H1407" s="4"/>
      <c r="I1407" s="18" t="s">
        <v>2473</v>
      </c>
      <c r="J1407" s="18" t="s">
        <v>2473</v>
      </c>
      <c r="K1407" s="18" t="s">
        <v>2473</v>
      </c>
      <c r="L1407" s="18" t="s">
        <v>2336</v>
      </c>
      <c r="AU1407" s="6"/>
      <c r="AV1407" s="6" t="str">
        <f t="shared" si="23"/>
        <v/>
      </c>
    </row>
    <row r="1408" spans="1:48" ht="35.25" thickBot="1" x14ac:dyDescent="0.5">
      <c r="A1408" s="35" t="s">
        <v>1177</v>
      </c>
      <c r="B1408" s="3" t="s">
        <v>1178</v>
      </c>
      <c r="C1408" s="4"/>
      <c r="D1408" s="4"/>
      <c r="E1408" s="4"/>
      <c r="F1408" s="4"/>
      <c r="G1408" s="4"/>
      <c r="H1408" s="4"/>
      <c r="I1408" s="18" t="s">
        <v>2473</v>
      </c>
      <c r="J1408" s="18" t="s">
        <v>2473</v>
      </c>
      <c r="K1408" s="18" t="s">
        <v>2473</v>
      </c>
      <c r="L1408" s="18" t="s">
        <v>2336</v>
      </c>
      <c r="AU1408" s="6"/>
      <c r="AV1408" s="6" t="str">
        <f t="shared" si="23"/>
        <v/>
      </c>
    </row>
    <row r="1409" spans="1:48" ht="23.65" thickBot="1" x14ac:dyDescent="0.5">
      <c r="A1409" s="35" t="s">
        <v>1179</v>
      </c>
      <c r="B1409" s="3" t="s">
        <v>1180</v>
      </c>
      <c r="C1409" s="4"/>
      <c r="D1409" s="4"/>
      <c r="E1409" s="4"/>
      <c r="F1409" s="4"/>
      <c r="G1409" s="4"/>
      <c r="H1409" s="4"/>
      <c r="I1409" s="18" t="s">
        <v>2473</v>
      </c>
      <c r="J1409" s="18" t="s">
        <v>2473</v>
      </c>
      <c r="K1409" s="18" t="s">
        <v>2473</v>
      </c>
      <c r="L1409" s="18" t="s">
        <v>2336</v>
      </c>
      <c r="AU1409" s="6"/>
      <c r="AV1409" s="6" t="str">
        <f t="shared" si="23"/>
        <v/>
      </c>
    </row>
    <row r="1410" spans="1:48" ht="23.65" thickBot="1" x14ac:dyDescent="0.5">
      <c r="A1410" s="35" t="s">
        <v>1181</v>
      </c>
      <c r="B1410" s="3" t="s">
        <v>1182</v>
      </c>
      <c r="C1410" s="4"/>
      <c r="D1410" s="4"/>
      <c r="E1410" s="4"/>
      <c r="F1410" s="4"/>
      <c r="G1410" s="4"/>
      <c r="H1410" s="4"/>
      <c r="I1410" s="18" t="s">
        <v>2473</v>
      </c>
      <c r="J1410" s="18" t="s">
        <v>2473</v>
      </c>
      <c r="K1410" s="18" t="s">
        <v>2473</v>
      </c>
      <c r="L1410" s="18" t="s">
        <v>2336</v>
      </c>
      <c r="AU1410" s="6"/>
      <c r="AV1410" s="6" t="str">
        <f t="shared" si="23"/>
        <v/>
      </c>
    </row>
    <row r="1411" spans="1:48" ht="23.65" thickBot="1" x14ac:dyDescent="0.5">
      <c r="A1411" s="35" t="s">
        <v>1183</v>
      </c>
      <c r="B1411" s="3" t="s">
        <v>1184</v>
      </c>
      <c r="C1411" s="4"/>
      <c r="D1411" s="4"/>
      <c r="E1411" s="4"/>
      <c r="F1411" s="4"/>
      <c r="G1411" s="4"/>
      <c r="H1411" s="4"/>
      <c r="I1411" s="18" t="s">
        <v>2473</v>
      </c>
      <c r="J1411" s="18" t="s">
        <v>2473</v>
      </c>
      <c r="K1411" s="18" t="s">
        <v>2473</v>
      </c>
      <c r="L1411" s="18" t="s">
        <v>2336</v>
      </c>
      <c r="AU1411" s="6"/>
      <c r="AV1411" s="6" t="str">
        <f t="shared" si="23"/>
        <v/>
      </c>
    </row>
    <row r="1412" spans="1:48" ht="35.25" thickBot="1" x14ac:dyDescent="0.5">
      <c r="A1412" s="35" t="s">
        <v>1185</v>
      </c>
      <c r="B1412" s="3" t="s">
        <v>1186</v>
      </c>
      <c r="C1412" s="4"/>
      <c r="D1412" s="4"/>
      <c r="E1412" s="4"/>
      <c r="F1412" s="4"/>
      <c r="G1412" s="4"/>
      <c r="H1412" s="4"/>
      <c r="I1412" s="18" t="s">
        <v>2473</v>
      </c>
      <c r="J1412" s="18" t="s">
        <v>2473</v>
      </c>
      <c r="K1412" s="18" t="s">
        <v>2473</v>
      </c>
      <c r="L1412" s="18" t="s">
        <v>2336</v>
      </c>
      <c r="AU1412" s="6"/>
      <c r="AV1412" s="6" t="str">
        <f t="shared" si="23"/>
        <v/>
      </c>
    </row>
    <row r="1413" spans="1:48" ht="23.65" thickBot="1" x14ac:dyDescent="0.5">
      <c r="A1413" s="35" t="s">
        <v>1187</v>
      </c>
      <c r="B1413" s="3" t="s">
        <v>1188</v>
      </c>
      <c r="C1413" s="4"/>
      <c r="D1413" s="4"/>
      <c r="E1413" s="4"/>
      <c r="F1413" s="4"/>
      <c r="G1413" s="4"/>
      <c r="H1413" s="4"/>
      <c r="I1413" s="18" t="s">
        <v>2473</v>
      </c>
      <c r="J1413" s="18" t="s">
        <v>2473</v>
      </c>
      <c r="K1413" s="18" t="s">
        <v>2473</v>
      </c>
      <c r="L1413" s="18" t="s">
        <v>2336</v>
      </c>
      <c r="AU1413" s="6"/>
      <c r="AV1413" s="6" t="str">
        <f t="shared" si="23"/>
        <v/>
      </c>
    </row>
    <row r="1414" spans="1:48" ht="23.65" thickBot="1" x14ac:dyDescent="0.5">
      <c r="A1414" s="35" t="s">
        <v>1189</v>
      </c>
      <c r="B1414" s="3" t="s">
        <v>1190</v>
      </c>
      <c r="C1414" s="4"/>
      <c r="D1414" s="4"/>
      <c r="E1414" s="4"/>
      <c r="F1414" s="4"/>
      <c r="G1414" s="4"/>
      <c r="H1414" s="4"/>
      <c r="I1414" s="18" t="s">
        <v>2473</v>
      </c>
      <c r="J1414" s="18" t="s">
        <v>2473</v>
      </c>
      <c r="K1414" s="18" t="s">
        <v>2473</v>
      </c>
      <c r="L1414" s="18" t="s">
        <v>2336</v>
      </c>
      <c r="AU1414" s="6"/>
      <c r="AV1414" s="6" t="str">
        <f t="shared" si="23"/>
        <v/>
      </c>
    </row>
    <row r="1415" spans="1:48" s="79" customFormat="1" x14ac:dyDescent="0.45">
      <c r="A1415" s="75"/>
      <c r="B1415" s="76"/>
      <c r="C1415" s="77"/>
      <c r="D1415" s="77"/>
      <c r="E1415" s="77"/>
      <c r="F1415" s="77"/>
      <c r="G1415" s="77"/>
      <c r="H1415" s="77"/>
      <c r="I1415" s="77"/>
      <c r="J1415" s="77"/>
      <c r="K1415" s="77"/>
      <c r="L1415" s="77"/>
      <c r="M1415" s="148"/>
      <c r="N1415" s="78"/>
      <c r="O1415" s="78"/>
      <c r="P1415" s="78"/>
      <c r="Q1415" s="78"/>
      <c r="R1415" s="78"/>
      <c r="S1415" s="78"/>
      <c r="T1415" s="78"/>
      <c r="U1415" s="78"/>
      <c r="V1415" s="78"/>
      <c r="W1415" s="78"/>
      <c r="X1415" s="78"/>
      <c r="Y1415" s="148"/>
      <c r="Z1415" s="78"/>
      <c r="AA1415" s="78"/>
      <c r="AB1415" s="78"/>
      <c r="AC1415" s="78"/>
      <c r="AD1415" s="78"/>
      <c r="AE1415" s="156"/>
      <c r="AF1415" s="156"/>
      <c r="AG1415" s="78"/>
      <c r="AH1415" s="78"/>
      <c r="AI1415" s="78"/>
      <c r="AJ1415" s="78"/>
      <c r="AK1415" s="78"/>
      <c r="AL1415" s="78"/>
      <c r="AM1415" s="78"/>
      <c r="AN1415" s="78"/>
      <c r="AO1415" s="78"/>
      <c r="AP1415" s="78"/>
      <c r="AQ1415" s="78"/>
      <c r="AR1415" s="286"/>
      <c r="AS1415" s="78"/>
      <c r="AT1415" s="78"/>
      <c r="AU1415" s="8"/>
      <c r="AV1415" s="6" t="str">
        <f t="shared" si="23"/>
        <v/>
      </c>
    </row>
    <row r="1416" spans="1:48" x14ac:dyDescent="0.45">
      <c r="A1416" s="28" t="s">
        <v>2428</v>
      </c>
      <c r="I1416" s="18" t="s">
        <v>2473</v>
      </c>
      <c r="J1416" s="18" t="s">
        <v>2473</v>
      </c>
      <c r="K1416" s="18" t="s">
        <v>2473</v>
      </c>
      <c r="AU1416" s="6"/>
      <c r="AV1416" s="6" t="str">
        <f t="shared" si="23"/>
        <v/>
      </c>
    </row>
    <row r="1417" spans="1:48" x14ac:dyDescent="0.45">
      <c r="A1417" s="27" t="s">
        <v>2429</v>
      </c>
      <c r="I1417" s="18" t="s">
        <v>2473</v>
      </c>
      <c r="J1417" s="18" t="s">
        <v>2473</v>
      </c>
      <c r="K1417" s="18" t="s">
        <v>2473</v>
      </c>
      <c r="AU1417" s="6"/>
      <c r="AV1417" s="6" t="str">
        <f t="shared" si="23"/>
        <v/>
      </c>
    </row>
    <row r="1418" spans="1:48" x14ac:dyDescent="0.45">
      <c r="A1418" s="323" t="s">
        <v>4011</v>
      </c>
      <c r="B1418" s="324"/>
      <c r="C1418" s="324"/>
      <c r="D1418" s="324"/>
      <c r="E1418" s="324"/>
      <c r="F1418" s="324"/>
      <c r="G1418" s="101"/>
      <c r="H1418" s="101"/>
      <c r="I1418" s="18" t="s">
        <v>2473</v>
      </c>
      <c r="J1418" s="18" t="s">
        <v>2473</v>
      </c>
      <c r="K1418" s="18" t="s">
        <v>2473</v>
      </c>
      <c r="AU1418" s="6"/>
      <c r="AV1418" s="6" t="str">
        <f t="shared" si="23"/>
        <v/>
      </c>
    </row>
    <row r="1419" spans="1:48" ht="14.65" thickBot="1" x14ac:dyDescent="0.5">
      <c r="A1419" s="28" t="s">
        <v>1191</v>
      </c>
      <c r="I1419" s="18" t="s">
        <v>2473</v>
      </c>
      <c r="J1419" s="18" t="s">
        <v>2473</v>
      </c>
      <c r="K1419" s="18" t="s">
        <v>2473</v>
      </c>
      <c r="AA1419" s="183" t="s">
        <v>2322</v>
      </c>
      <c r="AB1419" s="183" t="s">
        <v>1697</v>
      </c>
      <c r="AC1419" s="183" t="s">
        <v>5</v>
      </c>
      <c r="AU1419" s="6"/>
      <c r="AV1419" s="6" t="str">
        <f t="shared" si="23"/>
        <v/>
      </c>
    </row>
    <row r="1420" spans="1:48" ht="302.64999999999998" thickBot="1" x14ac:dyDescent="0.5">
      <c r="A1420" s="309" t="s">
        <v>1192</v>
      </c>
      <c r="B1420" s="310"/>
      <c r="C1420" s="301" t="s">
        <v>1</v>
      </c>
      <c r="D1420" s="319"/>
      <c r="E1420" s="319"/>
      <c r="F1420" s="302"/>
      <c r="G1420" s="102"/>
      <c r="H1420" s="102"/>
      <c r="I1420" s="18" t="s">
        <v>2473</v>
      </c>
      <c r="AA1420" s="183" t="str">
        <f>LEFT($A1420,FIND(" ",$A1420)-1)</f>
        <v>EthernetInterface</v>
      </c>
      <c r="AB1420" s="183" t="str">
        <f>MID($A1420,FIND("(",$A1420)+1,LEN($A1420)-FIND("(",$A1420)-1)</f>
        <v>1.4.1</v>
      </c>
      <c r="AC1420" s="101" t="str">
        <f>A1418</f>
        <v>The EthernetInterface resource represents a single, logical EthernetInterface or NIC. EthernetInterface and NetworkInterface resources address the similar functionality using simple or complex schema structures. An implemented profile would use EthernetInterface or NetworkInterface, never both resources.</v>
      </c>
      <c r="AU1420" s="6"/>
      <c r="AV1420" s="6" t="str">
        <f t="shared" si="23"/>
        <v/>
      </c>
    </row>
    <row r="1421" spans="1:48" ht="14.65" thickBot="1" x14ac:dyDescent="0.5">
      <c r="A1421" s="311"/>
      <c r="B1421" s="312"/>
      <c r="C1421" s="301" t="s">
        <v>2</v>
      </c>
      <c r="D1421" s="302"/>
      <c r="E1421" s="301" t="s">
        <v>3</v>
      </c>
      <c r="F1421" s="302"/>
      <c r="G1421" s="301" t="s">
        <v>2896</v>
      </c>
      <c r="H1421" s="302"/>
      <c r="I1421" s="18" t="s">
        <v>2473</v>
      </c>
      <c r="AA1421" s="183" t="s">
        <v>2322</v>
      </c>
      <c r="AB1421" s="183" t="s">
        <v>1697</v>
      </c>
      <c r="AC1421" s="183" t="s">
        <v>5</v>
      </c>
      <c r="AU1421" s="6"/>
      <c r="AV1421" s="6" t="str">
        <f t="shared" si="23"/>
        <v/>
      </c>
    </row>
    <row r="1422" spans="1:48" ht="302.64999999999998" thickBot="1" x14ac:dyDescent="0.5">
      <c r="A1422" s="309" t="s">
        <v>3105</v>
      </c>
      <c r="B1422" s="310"/>
      <c r="C1422" s="301" t="s">
        <v>1</v>
      </c>
      <c r="D1422" s="319"/>
      <c r="E1422" s="319"/>
      <c r="F1422" s="302"/>
      <c r="G1422" s="102"/>
      <c r="H1422" s="102"/>
      <c r="J1422" s="18" t="s">
        <v>2473</v>
      </c>
      <c r="K1422" s="18" t="s">
        <v>2473</v>
      </c>
      <c r="AA1422" s="183" t="str">
        <f>LEFT($A1422,FIND(" ",$A1422)-1)</f>
        <v>EthernetInterface</v>
      </c>
      <c r="AB1422" s="183" t="str">
        <f>MID($A1422,FIND("(",$A1422)+1,LEN($A1422)-FIND("(",$A1422)-1)</f>
        <v>1.5.0</v>
      </c>
      <c r="AC1422" s="101" t="str">
        <f>AC1420</f>
        <v>The EthernetInterface resource represents a single, logical EthernetInterface or NIC. EthernetInterface and NetworkInterface resources address the similar functionality using simple or complex schema structures. An implemented profile would use EthernetInterface or NetworkInterface, never both resources.</v>
      </c>
      <c r="AU1422" s="6"/>
      <c r="AV1422" s="6" t="str">
        <f t="shared" si="23"/>
        <v/>
      </c>
    </row>
    <row r="1423" spans="1:48" ht="14.65" thickBot="1" x14ac:dyDescent="0.5">
      <c r="A1423" s="311"/>
      <c r="B1423" s="312"/>
      <c r="C1423" s="301" t="s">
        <v>2</v>
      </c>
      <c r="D1423" s="302"/>
      <c r="E1423" s="301" t="s">
        <v>3</v>
      </c>
      <c r="F1423" s="302"/>
      <c r="G1423" s="301" t="s">
        <v>2896</v>
      </c>
      <c r="H1423" s="302"/>
      <c r="J1423" s="18" t="s">
        <v>2473</v>
      </c>
      <c r="K1423" s="18" t="s">
        <v>2473</v>
      </c>
      <c r="AM1423" s="8" t="str">
        <f>C1423</f>
        <v>OSM-Redfish</v>
      </c>
      <c r="AN1423" s="8" t="str">
        <f>E1423</f>
        <v>OSM-RedfishBMC</v>
      </c>
      <c r="AO1423" s="8" t="str">
        <f>G1423</f>
        <v>OSM-RedfishDCN</v>
      </c>
      <c r="AU1423" s="6"/>
      <c r="AV1423" s="6" t="str">
        <f t="shared" si="23"/>
        <v/>
      </c>
    </row>
    <row r="1424" spans="1:48" ht="14.65" thickBot="1" x14ac:dyDescent="0.5">
      <c r="A1424" s="46" t="s">
        <v>2377</v>
      </c>
      <c r="B1424" s="47"/>
      <c r="C1424" s="303" t="s">
        <v>10</v>
      </c>
      <c r="D1424" s="304"/>
      <c r="E1424" s="303" t="s">
        <v>10</v>
      </c>
      <c r="F1424" s="304"/>
      <c r="G1424" s="303" t="s">
        <v>10</v>
      </c>
      <c r="H1424" s="304"/>
      <c r="I1424" s="18" t="s">
        <v>2473</v>
      </c>
      <c r="J1424" s="18" t="s">
        <v>2473</v>
      </c>
      <c r="K1424" s="18" t="s">
        <v>2473</v>
      </c>
      <c r="AM1424" s="8" t="str">
        <f>IF(C1424&lt;&gt;"","CRQ-P5-"&amp;(AM$2+$AP1424*$AP$3),"")</f>
        <v>CRQ-P5-1068</v>
      </c>
      <c r="AN1424" s="8" t="str">
        <f>IF(E1424&lt;&gt;"","CRQ-P5-"&amp;(AN$2+$AP1424*$AP$3),"")</f>
        <v>CRQ-P5-1368</v>
      </c>
      <c r="AO1424" s="8" t="str">
        <f>IF(G1424&lt;&gt;"","CRQ-P5-"&amp;(AO$2+$AP1424*$AP$3),"")</f>
        <v>CRQ-P5-1668</v>
      </c>
      <c r="AP1424" s="8">
        <v>17</v>
      </c>
      <c r="AU1424" s="6"/>
      <c r="AV1424" s="6" t="str">
        <f t="shared" si="23"/>
        <v/>
      </c>
    </row>
    <row r="1425" spans="1:48" ht="14.65" thickBot="1" x14ac:dyDescent="0.5">
      <c r="A1425" s="29" t="s">
        <v>3394</v>
      </c>
      <c r="B1425" s="9"/>
      <c r="C1425" s="305" t="str">
        <f>MID($A1420,FIND("(",$A1420)+1,5)</f>
        <v>1.4.1</v>
      </c>
      <c r="D1425" s="306"/>
      <c r="E1425" s="305" t="s">
        <v>3411</v>
      </c>
      <c r="F1425" s="306"/>
      <c r="G1425" s="305" t="str">
        <f>MID($A1420,FIND("(",$A1420)+1,5)</f>
        <v>1.4.1</v>
      </c>
      <c r="H1425" s="306"/>
      <c r="I1425" s="18" t="s">
        <v>2473</v>
      </c>
      <c r="J1425" s="18" t="s">
        <v>2473</v>
      </c>
      <c r="K1425" s="18" t="s">
        <v>2473</v>
      </c>
      <c r="AU1425" s="6"/>
      <c r="AV1425" s="6" t="str">
        <f t="shared" si="23"/>
        <v/>
      </c>
    </row>
    <row r="1426" spans="1:48" ht="14.65" thickBot="1" x14ac:dyDescent="0.5">
      <c r="A1426" s="30" t="s">
        <v>4</v>
      </c>
      <c r="B1426" s="59" t="s">
        <v>5</v>
      </c>
      <c r="C1426" s="7" t="s">
        <v>6</v>
      </c>
      <c r="D1426" s="7" t="s">
        <v>7</v>
      </c>
      <c r="E1426" s="7" t="s">
        <v>6</v>
      </c>
      <c r="F1426" s="7" t="s">
        <v>7</v>
      </c>
      <c r="G1426" s="7" t="s">
        <v>6</v>
      </c>
      <c r="H1426" s="7" t="s">
        <v>7</v>
      </c>
      <c r="I1426" s="18" t="s">
        <v>2473</v>
      </c>
      <c r="J1426" s="18" t="s">
        <v>2473</v>
      </c>
      <c r="K1426" s="18" t="s">
        <v>2473</v>
      </c>
      <c r="AU1426" s="6"/>
      <c r="AV1426" s="6" t="str">
        <f t="shared" si="23"/>
        <v/>
      </c>
    </row>
    <row r="1427" spans="1:48" ht="14.65" thickBot="1" x14ac:dyDescent="0.5">
      <c r="A1427" s="36" t="s">
        <v>8</v>
      </c>
      <c r="B1427" s="3" t="s">
        <v>9</v>
      </c>
      <c r="C1427" s="4"/>
      <c r="D1427" s="4"/>
      <c r="E1427" s="4"/>
      <c r="F1427" s="4"/>
      <c r="G1427" s="4"/>
      <c r="H1427" s="4"/>
      <c r="I1427" s="18" t="s">
        <v>2473</v>
      </c>
      <c r="J1427" s="18" t="s">
        <v>2473</v>
      </c>
      <c r="K1427" s="18" t="s">
        <v>2473</v>
      </c>
      <c r="AU1427" s="6"/>
      <c r="AV1427" s="6" t="str">
        <f t="shared" si="23"/>
        <v/>
      </c>
    </row>
    <row r="1428" spans="1:48" ht="23.65" thickBot="1" x14ac:dyDescent="0.5">
      <c r="A1428" s="36" t="s">
        <v>1193</v>
      </c>
      <c r="B1428" s="3" t="s">
        <v>1194</v>
      </c>
      <c r="C1428" s="4" t="s">
        <v>13</v>
      </c>
      <c r="D1428" s="4" t="s">
        <v>13</v>
      </c>
      <c r="E1428" s="4" t="s">
        <v>13</v>
      </c>
      <c r="F1428" s="4" t="s">
        <v>13</v>
      </c>
      <c r="G1428" s="4" t="s">
        <v>13</v>
      </c>
      <c r="H1428" s="4" t="s">
        <v>13</v>
      </c>
      <c r="I1428" s="18" t="s">
        <v>2473</v>
      </c>
      <c r="J1428" s="18" t="s">
        <v>2473</v>
      </c>
      <c r="K1428" s="18" t="s">
        <v>2473</v>
      </c>
      <c r="AU1428" s="6"/>
      <c r="AV1428" s="6" t="str">
        <f t="shared" si="23"/>
        <v/>
      </c>
    </row>
    <row r="1429" spans="1:48" ht="14.65" thickBot="1" x14ac:dyDescent="0.5">
      <c r="A1429" s="36" t="s">
        <v>1195</v>
      </c>
      <c r="B1429" s="3" t="s">
        <v>1196</v>
      </c>
      <c r="C1429" s="4"/>
      <c r="D1429" s="4"/>
      <c r="E1429" s="4"/>
      <c r="F1429" s="4"/>
      <c r="G1429" s="4"/>
      <c r="H1429" s="4"/>
      <c r="I1429" s="18" t="s">
        <v>2473</v>
      </c>
      <c r="J1429" s="18" t="s">
        <v>2473</v>
      </c>
      <c r="K1429" s="18" t="s">
        <v>2473</v>
      </c>
      <c r="AU1429" s="6"/>
      <c r="AV1429" s="6" t="str">
        <f t="shared" si="23"/>
        <v/>
      </c>
    </row>
    <row r="1430" spans="1:48" ht="14.65" thickBot="1" x14ac:dyDescent="0.5">
      <c r="A1430" s="35" t="s">
        <v>1197</v>
      </c>
      <c r="B1430" s="3" t="s">
        <v>1198</v>
      </c>
      <c r="C1430" s="4"/>
      <c r="D1430" s="4"/>
      <c r="E1430" s="4"/>
      <c r="F1430" s="4"/>
      <c r="G1430" s="4"/>
      <c r="H1430" s="4"/>
      <c r="I1430" s="18" t="s">
        <v>2473</v>
      </c>
      <c r="J1430" s="18" t="s">
        <v>2473</v>
      </c>
      <c r="K1430" s="18" t="s">
        <v>2473</v>
      </c>
      <c r="AU1430" s="6"/>
      <c r="AV1430" s="6" t="str">
        <f t="shared" si="23"/>
        <v/>
      </c>
    </row>
    <row r="1431" spans="1:48" ht="14.65" thickBot="1" x14ac:dyDescent="0.5">
      <c r="A1431" s="35" t="s">
        <v>3103</v>
      </c>
      <c r="B1431" s="3" t="s">
        <v>3104</v>
      </c>
      <c r="C1431" s="4"/>
      <c r="D1431" s="4"/>
      <c r="E1431" s="4"/>
      <c r="F1431" s="4"/>
      <c r="G1431" s="4"/>
      <c r="H1431" s="4"/>
      <c r="J1431" s="18" t="s">
        <v>2473</v>
      </c>
      <c r="K1431" s="18" t="s">
        <v>2473</v>
      </c>
      <c r="AU1431" s="6"/>
      <c r="AV1431" s="6" t="str">
        <f t="shared" si="23"/>
        <v/>
      </c>
    </row>
    <row r="1432" spans="1:48" ht="14.65" thickBot="1" x14ac:dyDescent="0.5">
      <c r="A1432" s="35" t="s">
        <v>1199</v>
      </c>
      <c r="B1432" s="3" t="s">
        <v>1200</v>
      </c>
      <c r="C1432" s="4"/>
      <c r="D1432" s="4"/>
      <c r="E1432" s="4"/>
      <c r="F1432" s="4"/>
      <c r="G1432" s="4"/>
      <c r="H1432" s="4"/>
      <c r="I1432" s="18" t="s">
        <v>2473</v>
      </c>
      <c r="J1432" s="18" t="s">
        <v>2473</v>
      </c>
      <c r="K1432" s="18" t="s">
        <v>2473</v>
      </c>
      <c r="AU1432" s="6"/>
      <c r="AV1432" s="6" t="str">
        <f t="shared" si="23"/>
        <v/>
      </c>
    </row>
    <row r="1433" spans="1:48" ht="14.65" thickBot="1" x14ac:dyDescent="0.5">
      <c r="A1433" s="35" t="s">
        <v>1201</v>
      </c>
      <c r="B1433" s="3" t="s">
        <v>1202</v>
      </c>
      <c r="C1433" s="4"/>
      <c r="D1433" s="4"/>
      <c r="E1433" s="4"/>
      <c r="F1433" s="4"/>
      <c r="G1433" s="4"/>
      <c r="H1433" s="4"/>
      <c r="I1433" s="18" t="s">
        <v>2473</v>
      </c>
      <c r="J1433" s="18" t="s">
        <v>2473</v>
      </c>
      <c r="K1433" s="18" t="s">
        <v>2473</v>
      </c>
      <c r="AU1433" s="6"/>
      <c r="AV1433" s="6" t="str">
        <f t="shared" si="23"/>
        <v/>
      </c>
    </row>
    <row r="1434" spans="1:48" ht="14.65" thickBot="1" x14ac:dyDescent="0.5">
      <c r="A1434" s="35" t="s">
        <v>1203</v>
      </c>
      <c r="B1434" s="3" t="s">
        <v>1204</v>
      </c>
      <c r="C1434" s="4"/>
      <c r="D1434" s="4"/>
      <c r="E1434" s="4"/>
      <c r="F1434" s="4"/>
      <c r="G1434" s="4"/>
      <c r="H1434" s="4"/>
      <c r="I1434" s="18" t="s">
        <v>2473</v>
      </c>
      <c r="J1434" s="18" t="s">
        <v>2473</v>
      </c>
      <c r="K1434" s="18" t="s">
        <v>2473</v>
      </c>
      <c r="AU1434" s="8"/>
      <c r="AV1434" s="6" t="str">
        <f t="shared" si="23"/>
        <v/>
      </c>
    </row>
    <row r="1435" spans="1:48" ht="14.65" thickBot="1" x14ac:dyDescent="0.5">
      <c r="A1435" s="35" t="s">
        <v>1205</v>
      </c>
      <c r="B1435" s="3" t="s">
        <v>1206</v>
      </c>
      <c r="C1435" s="4"/>
      <c r="D1435" s="4"/>
      <c r="E1435" s="4"/>
      <c r="F1435" s="4"/>
      <c r="G1435" s="4"/>
      <c r="H1435" s="4"/>
      <c r="I1435" s="18" t="s">
        <v>2473</v>
      </c>
      <c r="J1435" s="18" t="s">
        <v>2473</v>
      </c>
      <c r="K1435" s="18" t="s">
        <v>2473</v>
      </c>
      <c r="AU1435" s="8"/>
      <c r="AV1435" s="6" t="str">
        <f t="shared" si="23"/>
        <v/>
      </c>
    </row>
    <row r="1436" spans="1:48" ht="14.65" thickBot="1" x14ac:dyDescent="0.5">
      <c r="A1436" s="35" t="s">
        <v>1207</v>
      </c>
      <c r="B1436" s="3" t="s">
        <v>1208</v>
      </c>
      <c r="C1436" s="4"/>
      <c r="D1436" s="4"/>
      <c r="E1436" s="4"/>
      <c r="F1436" s="4"/>
      <c r="G1436" s="4"/>
      <c r="H1436" s="4"/>
      <c r="I1436" s="18" t="s">
        <v>2473</v>
      </c>
      <c r="J1436" s="18" t="s">
        <v>2473</v>
      </c>
      <c r="K1436" s="18" t="s">
        <v>2473</v>
      </c>
      <c r="AU1436" s="8"/>
      <c r="AV1436" s="6" t="str">
        <f t="shared" si="23"/>
        <v/>
      </c>
    </row>
    <row r="1437" spans="1:48" ht="14.65" thickBot="1" x14ac:dyDescent="0.5">
      <c r="A1437" s="36" t="s">
        <v>1209</v>
      </c>
      <c r="B1437" s="3" t="s">
        <v>1210</v>
      </c>
      <c r="C1437" s="4"/>
      <c r="D1437" s="4"/>
      <c r="E1437" s="4"/>
      <c r="F1437" s="4"/>
      <c r="G1437" s="4"/>
      <c r="H1437" s="4"/>
      <c r="I1437" s="18" t="s">
        <v>2473</v>
      </c>
      <c r="J1437" s="18" t="s">
        <v>2473</v>
      </c>
      <c r="K1437" s="18" t="s">
        <v>2473</v>
      </c>
      <c r="AU1437" s="8"/>
      <c r="AV1437" s="6" t="str">
        <f t="shared" si="23"/>
        <v/>
      </c>
    </row>
    <row r="1438" spans="1:48" ht="14.65" thickBot="1" x14ac:dyDescent="0.5">
      <c r="A1438" s="35" t="s">
        <v>1211</v>
      </c>
      <c r="B1438" s="3" t="s">
        <v>1212</v>
      </c>
      <c r="C1438" s="4"/>
      <c r="D1438" s="4"/>
      <c r="E1438" s="4"/>
      <c r="F1438" s="4"/>
      <c r="G1438" s="4"/>
      <c r="H1438" s="4"/>
      <c r="I1438" s="18" t="s">
        <v>2473</v>
      </c>
      <c r="J1438" s="18" t="s">
        <v>2473</v>
      </c>
      <c r="K1438" s="18" t="s">
        <v>2473</v>
      </c>
      <c r="AU1438" s="8"/>
      <c r="AV1438" s="6" t="str">
        <f t="shared" si="23"/>
        <v/>
      </c>
    </row>
    <row r="1439" spans="1:48" ht="23.65" thickBot="1" x14ac:dyDescent="0.5">
      <c r="A1439" s="35" t="s">
        <v>1199</v>
      </c>
      <c r="B1439" s="3" t="s">
        <v>1213</v>
      </c>
      <c r="C1439" s="4"/>
      <c r="D1439" s="4"/>
      <c r="E1439" s="4"/>
      <c r="F1439" s="4"/>
      <c r="G1439" s="4"/>
      <c r="H1439" s="4"/>
      <c r="I1439" s="18" t="s">
        <v>2473</v>
      </c>
      <c r="J1439" s="18" t="s">
        <v>2473</v>
      </c>
      <c r="K1439" s="18" t="s">
        <v>2473</v>
      </c>
      <c r="AU1439" s="6"/>
      <c r="AV1439" s="6" t="str">
        <f t="shared" si="23"/>
        <v/>
      </c>
    </row>
    <row r="1440" spans="1:48" ht="23.65" thickBot="1" x14ac:dyDescent="0.5">
      <c r="A1440" s="35" t="s">
        <v>1201</v>
      </c>
      <c r="B1440" s="3" t="s">
        <v>1214</v>
      </c>
      <c r="C1440" s="4"/>
      <c r="D1440" s="4"/>
      <c r="E1440" s="4"/>
      <c r="F1440" s="4"/>
      <c r="G1440" s="4"/>
      <c r="H1440" s="4"/>
      <c r="I1440" s="18" t="s">
        <v>2473</v>
      </c>
      <c r="J1440" s="18" t="s">
        <v>2473</v>
      </c>
      <c r="K1440" s="18" t="s">
        <v>2473</v>
      </c>
      <c r="AU1440" s="6"/>
      <c r="AV1440" s="6" t="str">
        <f t="shared" si="23"/>
        <v/>
      </c>
    </row>
    <row r="1441" spans="1:48" ht="23.65" thickBot="1" x14ac:dyDescent="0.5">
      <c r="A1441" s="35" t="s">
        <v>1205</v>
      </c>
      <c r="B1441" s="3" t="s">
        <v>1215</v>
      </c>
      <c r="C1441" s="4"/>
      <c r="D1441" s="4"/>
      <c r="E1441" s="4"/>
      <c r="F1441" s="4"/>
      <c r="G1441" s="4"/>
      <c r="H1441" s="4"/>
      <c r="I1441" s="18" t="s">
        <v>2473</v>
      </c>
      <c r="J1441" s="18" t="s">
        <v>2473</v>
      </c>
      <c r="K1441" s="18" t="s">
        <v>2473</v>
      </c>
      <c r="AU1441" s="6"/>
      <c r="AV1441" s="6" t="str">
        <f t="shared" si="23"/>
        <v/>
      </c>
    </row>
    <row r="1442" spans="1:48" ht="23.65" thickBot="1" x14ac:dyDescent="0.5">
      <c r="A1442" s="35" t="s">
        <v>1216</v>
      </c>
      <c r="B1442" s="3" t="s">
        <v>1217</v>
      </c>
      <c r="C1442" s="4"/>
      <c r="D1442" s="4"/>
      <c r="E1442" s="4"/>
      <c r="F1442" s="4"/>
      <c r="G1442" s="4"/>
      <c r="H1442" s="4"/>
      <c r="I1442" s="18" t="s">
        <v>2473</v>
      </c>
      <c r="J1442" s="18" t="s">
        <v>2473</v>
      </c>
      <c r="K1442" s="18" t="s">
        <v>2473</v>
      </c>
      <c r="AU1442" s="6"/>
      <c r="AV1442" s="6" t="str">
        <f t="shared" si="23"/>
        <v/>
      </c>
    </row>
    <row r="1443" spans="1:48" ht="23.65" thickBot="1" x14ac:dyDescent="0.5">
      <c r="A1443" s="36" t="s">
        <v>1218</v>
      </c>
      <c r="B1443" s="3" t="s">
        <v>1219</v>
      </c>
      <c r="C1443" s="4" t="s">
        <v>37</v>
      </c>
      <c r="D1443" s="4" t="s">
        <v>13</v>
      </c>
      <c r="E1443" s="4" t="s">
        <v>37</v>
      </c>
      <c r="F1443" s="4" t="s">
        <v>13</v>
      </c>
      <c r="G1443" s="4" t="s">
        <v>37</v>
      </c>
      <c r="H1443" s="4" t="s">
        <v>13</v>
      </c>
      <c r="I1443" s="18" t="s">
        <v>2473</v>
      </c>
      <c r="J1443" s="18" t="s">
        <v>2473</v>
      </c>
      <c r="K1443" s="18" t="s">
        <v>2473</v>
      </c>
      <c r="AU1443" s="6"/>
      <c r="AV1443" s="6" t="str">
        <f t="shared" si="23"/>
        <v/>
      </c>
    </row>
    <row r="1444" spans="1:48" ht="14.65" thickBot="1" x14ac:dyDescent="0.5">
      <c r="A1444" s="36" t="s">
        <v>1220</v>
      </c>
      <c r="B1444" s="3" t="s">
        <v>1221</v>
      </c>
      <c r="C1444" s="4" t="s">
        <v>13</v>
      </c>
      <c r="D1444" s="4" t="s">
        <v>13</v>
      </c>
      <c r="E1444" s="4" t="s">
        <v>13</v>
      </c>
      <c r="F1444" s="4" t="s">
        <v>13</v>
      </c>
      <c r="G1444" s="4" t="s">
        <v>13</v>
      </c>
      <c r="H1444" s="4" t="s">
        <v>13</v>
      </c>
      <c r="I1444" s="18" t="s">
        <v>2473</v>
      </c>
      <c r="J1444" s="18" t="s">
        <v>2473</v>
      </c>
      <c r="K1444" s="18" t="s">
        <v>2473</v>
      </c>
      <c r="AU1444" s="6"/>
      <c r="AV1444" s="6" t="str">
        <f t="shared" si="23"/>
        <v/>
      </c>
    </row>
    <row r="1445" spans="1:48" ht="14.65" thickBot="1" x14ac:dyDescent="0.5">
      <c r="A1445" s="36" t="s">
        <v>63</v>
      </c>
      <c r="B1445" s="3" t="s">
        <v>64</v>
      </c>
      <c r="C1445" s="4" t="s">
        <v>13</v>
      </c>
      <c r="D1445" s="4" t="s">
        <v>13</v>
      </c>
      <c r="E1445" s="4" t="s">
        <v>13</v>
      </c>
      <c r="F1445" s="4" t="s">
        <v>13</v>
      </c>
      <c r="G1445" s="4" t="s">
        <v>13</v>
      </c>
      <c r="H1445" s="4" t="s">
        <v>13</v>
      </c>
      <c r="I1445" s="18" t="s">
        <v>2473</v>
      </c>
      <c r="J1445" s="18" t="s">
        <v>2473</v>
      </c>
      <c r="K1445" s="18" t="s">
        <v>2473</v>
      </c>
      <c r="AU1445" s="6"/>
      <c r="AV1445" s="6" t="str">
        <f t="shared" si="23"/>
        <v/>
      </c>
    </row>
    <row r="1446" spans="1:48" ht="14.65" thickBot="1" x14ac:dyDescent="0.5">
      <c r="A1446" s="36" t="s">
        <v>1222</v>
      </c>
      <c r="B1446" s="3" t="s">
        <v>3998</v>
      </c>
      <c r="C1446" s="4" t="s">
        <v>37</v>
      </c>
      <c r="D1446" s="4" t="s">
        <v>13</v>
      </c>
      <c r="E1446" s="4" t="s">
        <v>37</v>
      </c>
      <c r="F1446" s="4" t="s">
        <v>13</v>
      </c>
      <c r="G1446" s="4" t="s">
        <v>37</v>
      </c>
      <c r="H1446" s="4" t="s">
        <v>13</v>
      </c>
      <c r="I1446" s="18" t="s">
        <v>2473</v>
      </c>
      <c r="J1446" s="18" t="s">
        <v>2473</v>
      </c>
      <c r="K1446" s="18" t="s">
        <v>2473</v>
      </c>
      <c r="AU1446" s="6"/>
      <c r="AV1446" s="6" t="str">
        <f t="shared" si="23"/>
        <v/>
      </c>
    </row>
    <row r="1447" spans="1:48" ht="14.65" thickBot="1" x14ac:dyDescent="0.5">
      <c r="A1447" s="36" t="s">
        <v>1223</v>
      </c>
      <c r="B1447" s="3" t="s">
        <v>1224</v>
      </c>
      <c r="C1447" s="4" t="s">
        <v>37</v>
      </c>
      <c r="D1447" s="4" t="s">
        <v>13</v>
      </c>
      <c r="E1447" s="4" t="s">
        <v>37</v>
      </c>
      <c r="F1447" s="4" t="s">
        <v>13</v>
      </c>
      <c r="G1447" s="4" t="s">
        <v>37</v>
      </c>
      <c r="H1447" s="4" t="s">
        <v>13</v>
      </c>
      <c r="I1447" s="18" t="s">
        <v>2473</v>
      </c>
      <c r="J1447" s="18" t="s">
        <v>2473</v>
      </c>
      <c r="K1447" s="18" t="s">
        <v>2473</v>
      </c>
      <c r="AU1447" s="8"/>
      <c r="AV1447" s="6" t="str">
        <f t="shared" si="23"/>
        <v/>
      </c>
    </row>
    <row r="1448" spans="1:48" ht="14.65" thickBot="1" x14ac:dyDescent="0.5">
      <c r="A1448" s="36" t="s">
        <v>1225</v>
      </c>
      <c r="B1448" s="3" t="s">
        <v>1226</v>
      </c>
      <c r="C1448" s="4" t="s">
        <v>37</v>
      </c>
      <c r="D1448" s="4"/>
      <c r="E1448" s="4" t="s">
        <v>37</v>
      </c>
      <c r="F1448" s="4"/>
      <c r="G1448" s="4" t="s">
        <v>37</v>
      </c>
      <c r="H1448" s="4"/>
      <c r="I1448" s="18" t="s">
        <v>2473</v>
      </c>
      <c r="J1448" s="18" t="s">
        <v>2473</v>
      </c>
      <c r="K1448" s="18" t="s">
        <v>2473</v>
      </c>
      <c r="AU1448" s="6"/>
      <c r="AV1448" s="6" t="str">
        <f t="shared" si="23"/>
        <v/>
      </c>
    </row>
    <row r="1449" spans="1:48" ht="14.65" thickBot="1" x14ac:dyDescent="0.5">
      <c r="A1449" s="35" t="s">
        <v>1227</v>
      </c>
      <c r="B1449" s="3" t="s">
        <v>1228</v>
      </c>
      <c r="C1449" s="4" t="s">
        <v>10</v>
      </c>
      <c r="D1449" s="4" t="s">
        <v>13</v>
      </c>
      <c r="E1449" s="4" t="s">
        <v>10</v>
      </c>
      <c r="F1449" s="4" t="s">
        <v>13</v>
      </c>
      <c r="G1449" s="4" t="s">
        <v>10</v>
      </c>
      <c r="H1449" s="4" t="s">
        <v>13</v>
      </c>
      <c r="I1449" s="18" t="s">
        <v>2473</v>
      </c>
      <c r="J1449" s="18" t="s">
        <v>2473</v>
      </c>
      <c r="K1449" s="18" t="s">
        <v>2473</v>
      </c>
      <c r="AU1449" s="6"/>
      <c r="AV1449" s="6" t="str">
        <f t="shared" si="23"/>
        <v/>
      </c>
    </row>
    <row r="1450" spans="1:48" ht="14.65" thickBot="1" x14ac:dyDescent="0.5">
      <c r="A1450" s="35" t="s">
        <v>1229</v>
      </c>
      <c r="B1450" s="3" t="s">
        <v>1230</v>
      </c>
      <c r="C1450" s="4" t="s">
        <v>10</v>
      </c>
      <c r="D1450" s="4" t="s">
        <v>13</v>
      </c>
      <c r="E1450" s="4" t="s">
        <v>10</v>
      </c>
      <c r="F1450" s="4" t="s">
        <v>13</v>
      </c>
      <c r="G1450" s="4" t="s">
        <v>10</v>
      </c>
      <c r="H1450" s="4" t="s">
        <v>13</v>
      </c>
      <c r="I1450" s="18" t="s">
        <v>2473</v>
      </c>
      <c r="J1450" s="18" t="s">
        <v>2473</v>
      </c>
      <c r="K1450" s="18" t="s">
        <v>2473</v>
      </c>
      <c r="AU1450" s="6"/>
      <c r="AV1450" s="6" t="str">
        <f t="shared" si="23"/>
        <v/>
      </c>
    </row>
    <row r="1451" spans="1:48" ht="14.65" thickBot="1" x14ac:dyDescent="0.5">
      <c r="A1451" s="35" t="s">
        <v>1231</v>
      </c>
      <c r="B1451" s="3" t="s">
        <v>3999</v>
      </c>
      <c r="C1451" s="4" t="s">
        <v>10</v>
      </c>
      <c r="D1451" s="4" t="s">
        <v>13</v>
      </c>
      <c r="E1451" s="4" t="s">
        <v>10</v>
      </c>
      <c r="F1451" s="4" t="s">
        <v>13</v>
      </c>
      <c r="G1451" s="4" t="s">
        <v>10</v>
      </c>
      <c r="H1451" s="4" t="s">
        <v>13</v>
      </c>
      <c r="I1451" s="18" t="s">
        <v>2473</v>
      </c>
      <c r="J1451" s="18" t="s">
        <v>2473</v>
      </c>
      <c r="K1451" s="18" t="s">
        <v>2473</v>
      </c>
      <c r="AU1451" s="6"/>
      <c r="AV1451" s="6" t="str">
        <f t="shared" si="23"/>
        <v/>
      </c>
    </row>
    <row r="1452" spans="1:48" ht="23.65" thickBot="1" x14ac:dyDescent="0.5">
      <c r="A1452" s="36" t="s">
        <v>1232</v>
      </c>
      <c r="B1452" s="3" t="s">
        <v>1233</v>
      </c>
      <c r="C1452" s="4" t="s">
        <v>37</v>
      </c>
      <c r="D1452" s="4" t="s">
        <v>13</v>
      </c>
      <c r="E1452" s="4" t="s">
        <v>37</v>
      </c>
      <c r="F1452" s="4" t="s">
        <v>13</v>
      </c>
      <c r="G1452" s="4" t="s">
        <v>37</v>
      </c>
      <c r="H1452" s="4" t="s">
        <v>13</v>
      </c>
      <c r="I1452" s="18" t="s">
        <v>2473</v>
      </c>
      <c r="J1452" s="18" t="s">
        <v>2473</v>
      </c>
      <c r="K1452" s="18" t="s">
        <v>2473</v>
      </c>
      <c r="AU1452" s="6"/>
      <c r="AV1452" s="6" t="str">
        <f t="shared" si="23"/>
        <v/>
      </c>
    </row>
    <row r="1453" spans="1:48" ht="23.65" thickBot="1" x14ac:dyDescent="0.5">
      <c r="A1453" s="36" t="s">
        <v>1234</v>
      </c>
      <c r="B1453" s="3" t="s">
        <v>1235</v>
      </c>
      <c r="C1453" s="4" t="s">
        <v>37</v>
      </c>
      <c r="D1453" s="4" t="s">
        <v>13</v>
      </c>
      <c r="E1453" s="4" t="s">
        <v>37</v>
      </c>
      <c r="F1453" s="4" t="s">
        <v>13</v>
      </c>
      <c r="G1453" s="4" t="s">
        <v>37</v>
      </c>
      <c r="H1453" s="4" t="s">
        <v>13</v>
      </c>
      <c r="I1453" s="18" t="s">
        <v>2473</v>
      </c>
      <c r="J1453" s="18" t="s">
        <v>2473</v>
      </c>
      <c r="K1453" s="18" t="s">
        <v>2473</v>
      </c>
      <c r="AU1453" s="8"/>
      <c r="AV1453" s="6" t="str">
        <f t="shared" si="23"/>
        <v/>
      </c>
    </row>
    <row r="1454" spans="1:48" ht="23.65" thickBot="1" x14ac:dyDescent="0.5">
      <c r="A1454" s="36" t="s">
        <v>1236</v>
      </c>
      <c r="B1454" s="3" t="s">
        <v>1237</v>
      </c>
      <c r="C1454" s="4" t="s">
        <v>37</v>
      </c>
      <c r="D1454" s="4" t="s">
        <v>13</v>
      </c>
      <c r="E1454" s="4" t="s">
        <v>37</v>
      </c>
      <c r="F1454" s="4" t="s">
        <v>13</v>
      </c>
      <c r="G1454" s="4" t="s">
        <v>37</v>
      </c>
      <c r="H1454" s="4" t="s">
        <v>13</v>
      </c>
      <c r="I1454" s="18" t="s">
        <v>2473</v>
      </c>
      <c r="J1454" s="18" t="s">
        <v>2473</v>
      </c>
      <c r="K1454" s="18" t="s">
        <v>2473</v>
      </c>
      <c r="AU1454" s="6"/>
      <c r="AV1454" s="6" t="str">
        <f t="shared" si="23"/>
        <v/>
      </c>
    </row>
    <row r="1455" spans="1:48" ht="14.65" thickBot="1" x14ac:dyDescent="0.5">
      <c r="A1455" s="36" t="s">
        <v>1238</v>
      </c>
      <c r="B1455" s="3" t="s">
        <v>1239</v>
      </c>
      <c r="C1455" s="4" t="s">
        <v>37</v>
      </c>
      <c r="D1455" s="4" t="s">
        <v>13</v>
      </c>
      <c r="E1455" s="4" t="s">
        <v>37</v>
      </c>
      <c r="F1455" s="4" t="s">
        <v>13</v>
      </c>
      <c r="G1455" s="4" t="s">
        <v>37</v>
      </c>
      <c r="H1455" s="4" t="s">
        <v>13</v>
      </c>
      <c r="I1455" s="18" t="s">
        <v>2473</v>
      </c>
      <c r="J1455" s="18" t="s">
        <v>2473</v>
      </c>
      <c r="K1455" s="18" t="s">
        <v>2473</v>
      </c>
      <c r="AU1455" s="8"/>
      <c r="AV1455" s="6" t="str">
        <f t="shared" si="23"/>
        <v/>
      </c>
    </row>
    <row r="1456" spans="1:48" ht="24.4" thickBot="1" x14ac:dyDescent="0.5">
      <c r="A1456" s="36" t="s">
        <v>856</v>
      </c>
      <c r="B1456" s="3" t="s">
        <v>857</v>
      </c>
      <c r="C1456" s="4" t="s">
        <v>13</v>
      </c>
      <c r="D1456" s="4" t="s">
        <v>13</v>
      </c>
      <c r="E1456" s="4" t="s">
        <v>13</v>
      </c>
      <c r="F1456" s="4" t="s">
        <v>13</v>
      </c>
      <c r="G1456" s="4" t="s">
        <v>13</v>
      </c>
      <c r="H1456" s="4" t="s">
        <v>13</v>
      </c>
      <c r="I1456" s="18" t="s">
        <v>2473</v>
      </c>
      <c r="J1456" s="18" t="s">
        <v>2473</v>
      </c>
      <c r="K1456" s="18" t="s">
        <v>2473</v>
      </c>
      <c r="AU1456" s="139" t="s">
        <v>4101</v>
      </c>
      <c r="AV1456" s="6" t="str">
        <f t="shared" si="23"/>
        <v/>
      </c>
    </row>
    <row r="1457" spans="1:48" ht="14.65" thickBot="1" x14ac:dyDescent="0.5">
      <c r="A1457" s="36" t="s">
        <v>1240</v>
      </c>
      <c r="B1457" s="3" t="s">
        <v>1241</v>
      </c>
      <c r="C1457" s="4" t="s">
        <v>10</v>
      </c>
      <c r="D1457" s="4"/>
      <c r="E1457" s="4" t="s">
        <v>10</v>
      </c>
      <c r="F1457" s="4"/>
      <c r="G1457" s="4" t="s">
        <v>10</v>
      </c>
      <c r="H1457" s="4"/>
      <c r="I1457" s="18" t="s">
        <v>2473</v>
      </c>
      <c r="J1457" s="18" t="s">
        <v>2473</v>
      </c>
      <c r="K1457" s="18" t="s">
        <v>2473</v>
      </c>
      <c r="AU1457" s="6"/>
      <c r="AV1457" s="6" t="str">
        <f t="shared" ref="AV1457:AV1522" si="24">IF(A1457&lt;&gt;"",IF(T1457&lt;&gt;"",IF(LEFT(R1457,3)="Has",IF(TRIM(A1457)&lt;&gt;T1457,"ERROR","OK"),""),""),"")</f>
        <v/>
      </c>
    </row>
    <row r="1458" spans="1:48" ht="14.65" thickBot="1" x14ac:dyDescent="0.5">
      <c r="A1458" s="36" t="s">
        <v>75</v>
      </c>
      <c r="B1458" s="3" t="s">
        <v>76</v>
      </c>
      <c r="C1458" s="4"/>
      <c r="D1458" s="4"/>
      <c r="E1458" s="4"/>
      <c r="F1458" s="4"/>
      <c r="G1458" s="4"/>
      <c r="H1458" s="4"/>
      <c r="I1458" s="18" t="s">
        <v>2473</v>
      </c>
      <c r="J1458" s="18" t="s">
        <v>2473</v>
      </c>
      <c r="K1458" s="18" t="s">
        <v>2473</v>
      </c>
      <c r="AU1458" s="6"/>
      <c r="AV1458" s="6" t="str">
        <f t="shared" si="24"/>
        <v/>
      </c>
    </row>
    <row r="1459" spans="1:48" ht="14.65" thickBot="1" x14ac:dyDescent="0.5">
      <c r="A1459" s="35" t="s">
        <v>77</v>
      </c>
      <c r="B1459" s="3" t="s">
        <v>1242</v>
      </c>
      <c r="C1459" s="4"/>
      <c r="D1459" s="4"/>
      <c r="E1459" s="4"/>
      <c r="F1459" s="4"/>
      <c r="G1459" s="4"/>
      <c r="H1459" s="4"/>
      <c r="I1459" s="18" t="s">
        <v>2473</v>
      </c>
      <c r="J1459" s="18" t="s">
        <v>2473</v>
      </c>
      <c r="K1459" s="18" t="s">
        <v>2473</v>
      </c>
      <c r="AU1459" s="6"/>
      <c r="AV1459" s="6" t="str">
        <f t="shared" si="24"/>
        <v/>
      </c>
    </row>
    <row r="1460" spans="1:48" ht="14.65" thickBot="1" x14ac:dyDescent="0.5">
      <c r="A1460" s="35" t="s">
        <v>43</v>
      </c>
      <c r="B1460" s="3" t="s">
        <v>79</v>
      </c>
      <c r="C1460" s="4"/>
      <c r="D1460" s="4"/>
      <c r="E1460" s="4"/>
      <c r="F1460" s="4"/>
      <c r="G1460" s="4"/>
      <c r="H1460" s="4"/>
      <c r="I1460" s="18" t="s">
        <v>2473</v>
      </c>
      <c r="J1460" s="18" t="s">
        <v>2473</v>
      </c>
      <c r="K1460" s="18" t="s">
        <v>2473</v>
      </c>
      <c r="AU1460" s="6"/>
      <c r="AV1460" s="6" t="str">
        <f t="shared" si="24"/>
        <v/>
      </c>
    </row>
    <row r="1461" spans="1:48" ht="23.65" thickBot="1" x14ac:dyDescent="0.5">
      <c r="A1461" s="35" t="s">
        <v>85</v>
      </c>
      <c r="B1461" s="3" t="s">
        <v>1243</v>
      </c>
      <c r="C1461" s="4"/>
      <c r="D1461" s="4"/>
      <c r="E1461" s="4"/>
      <c r="F1461" s="4"/>
      <c r="G1461" s="4"/>
      <c r="H1461" s="4"/>
      <c r="I1461" s="18" t="s">
        <v>2473</v>
      </c>
      <c r="J1461" s="18" t="s">
        <v>2473</v>
      </c>
      <c r="K1461" s="18" t="s">
        <v>2473</v>
      </c>
      <c r="AU1461" s="6"/>
      <c r="AV1461" s="6" t="str">
        <f t="shared" si="24"/>
        <v/>
      </c>
    </row>
    <row r="1462" spans="1:48" ht="14.65" thickBot="1" x14ac:dyDescent="0.5">
      <c r="A1462" s="35" t="s">
        <v>43</v>
      </c>
      <c r="B1462" s="3" t="s">
        <v>457</v>
      </c>
      <c r="C1462" s="4"/>
      <c r="D1462" s="4"/>
      <c r="E1462" s="4"/>
      <c r="F1462" s="4"/>
      <c r="G1462" s="4"/>
      <c r="H1462" s="4"/>
      <c r="I1462" s="18" t="s">
        <v>2473</v>
      </c>
      <c r="J1462" s="18" t="s">
        <v>2473</v>
      </c>
      <c r="K1462" s="18" t="s">
        <v>2473</v>
      </c>
      <c r="AU1462" s="6"/>
      <c r="AV1462" s="6" t="str">
        <f t="shared" si="24"/>
        <v/>
      </c>
    </row>
    <row r="1463" spans="1:48" ht="23.65" thickBot="1" x14ac:dyDescent="0.5">
      <c r="A1463" s="35" t="s">
        <v>1244</v>
      </c>
      <c r="B1463" s="3" t="s">
        <v>1245</v>
      </c>
      <c r="C1463" s="4"/>
      <c r="D1463" s="4"/>
      <c r="E1463" s="4"/>
      <c r="F1463" s="4"/>
      <c r="G1463" s="4"/>
      <c r="H1463" s="4"/>
      <c r="I1463" s="18" t="s">
        <v>2473</v>
      </c>
      <c r="J1463" s="18" t="s">
        <v>2473</v>
      </c>
      <c r="K1463" s="18" t="s">
        <v>2473</v>
      </c>
      <c r="AU1463" s="8"/>
      <c r="AV1463" s="6" t="str">
        <f t="shared" si="24"/>
        <v/>
      </c>
    </row>
    <row r="1464" spans="1:48" ht="14.65" thickBot="1" x14ac:dyDescent="0.5">
      <c r="A1464" s="35" t="s">
        <v>43</v>
      </c>
      <c r="B1464" s="3" t="s">
        <v>1246</v>
      </c>
      <c r="C1464" s="4"/>
      <c r="D1464" s="4"/>
      <c r="E1464" s="4"/>
      <c r="F1464" s="4"/>
      <c r="G1464" s="4"/>
      <c r="H1464" s="4"/>
      <c r="I1464" s="18" t="s">
        <v>2473</v>
      </c>
      <c r="J1464" s="18" t="s">
        <v>2473</v>
      </c>
      <c r="K1464" s="18" t="s">
        <v>2473</v>
      </c>
      <c r="AU1464" s="6"/>
      <c r="AV1464" s="6" t="str">
        <f t="shared" si="24"/>
        <v/>
      </c>
    </row>
    <row r="1465" spans="1:48" ht="14.65" thickBot="1" x14ac:dyDescent="0.5">
      <c r="A1465" s="35" t="s">
        <v>59</v>
      </c>
      <c r="B1465" s="3" t="s">
        <v>60</v>
      </c>
      <c r="C1465" s="4"/>
      <c r="D1465" s="4"/>
      <c r="E1465" s="4"/>
      <c r="F1465" s="4"/>
      <c r="G1465" s="4"/>
      <c r="H1465" s="4"/>
      <c r="I1465" s="18" t="s">
        <v>2473</v>
      </c>
      <c r="J1465" s="18" t="s">
        <v>2473</v>
      </c>
      <c r="K1465" s="18" t="s">
        <v>2473</v>
      </c>
      <c r="AU1465" s="6"/>
      <c r="AV1465" s="6" t="str">
        <f t="shared" si="24"/>
        <v/>
      </c>
    </row>
    <row r="1466" spans="1:48" ht="14.65" thickBot="1" x14ac:dyDescent="0.5">
      <c r="A1466" s="36" t="s">
        <v>1247</v>
      </c>
      <c r="B1466" s="3" t="s">
        <v>2384</v>
      </c>
      <c r="C1466" s="4" t="s">
        <v>10</v>
      </c>
      <c r="D1466" s="4" t="str">
        <f>D1574</f>
        <v>I</v>
      </c>
      <c r="E1466" s="4" t="s">
        <v>10</v>
      </c>
      <c r="F1466" s="4" t="s">
        <v>13</v>
      </c>
      <c r="G1466" s="4" t="s">
        <v>10</v>
      </c>
      <c r="H1466" s="4" t="s">
        <v>13</v>
      </c>
      <c r="I1466" s="18" t="s">
        <v>2473</v>
      </c>
      <c r="J1466" s="18" t="s">
        <v>2473</v>
      </c>
      <c r="K1466" s="18" t="s">
        <v>2473</v>
      </c>
      <c r="AU1466" s="6"/>
      <c r="AV1466" s="6" t="str">
        <f t="shared" si="24"/>
        <v/>
      </c>
    </row>
    <row r="1467" spans="1:48" ht="24.4" thickBot="1" x14ac:dyDescent="0.5">
      <c r="A1467" s="36" t="s">
        <v>1248</v>
      </c>
      <c r="B1467" s="3" t="s">
        <v>2385</v>
      </c>
      <c r="C1467" s="4" t="s">
        <v>13</v>
      </c>
      <c r="D1467" s="4" t="s">
        <v>13</v>
      </c>
      <c r="E1467" s="4" t="s">
        <v>13</v>
      </c>
      <c r="F1467" s="4" t="s">
        <v>13</v>
      </c>
      <c r="G1467" s="4" t="s">
        <v>13</v>
      </c>
      <c r="H1467" s="4" t="s">
        <v>13</v>
      </c>
      <c r="I1467" s="18" t="s">
        <v>2473</v>
      </c>
      <c r="J1467" s="18" t="s">
        <v>2473</v>
      </c>
      <c r="K1467" s="18" t="s">
        <v>2473</v>
      </c>
      <c r="AU1467" s="139" t="s">
        <v>4102</v>
      </c>
      <c r="AV1467" s="6" t="str">
        <f t="shared" si="24"/>
        <v/>
      </c>
    </row>
    <row r="1468" spans="1:48" ht="23.65" thickBot="1" x14ac:dyDescent="0.5">
      <c r="A1468" s="36" t="s">
        <v>1249</v>
      </c>
      <c r="B1468" s="3" t="s">
        <v>1250</v>
      </c>
      <c r="C1468" s="4" t="s">
        <v>37</v>
      </c>
      <c r="D1468" s="4"/>
      <c r="E1468" s="4" t="s">
        <v>37</v>
      </c>
      <c r="F1468" s="4"/>
      <c r="G1468" s="4" t="s">
        <v>37</v>
      </c>
      <c r="H1468" s="4"/>
      <c r="I1468" s="18" t="s">
        <v>2473</v>
      </c>
      <c r="J1468" s="18" t="s">
        <v>2473</v>
      </c>
      <c r="K1468" s="18" t="s">
        <v>2473</v>
      </c>
      <c r="AU1468" s="6"/>
      <c r="AV1468" s="6" t="str">
        <f t="shared" si="24"/>
        <v/>
      </c>
    </row>
    <row r="1469" spans="1:48" ht="23.65" thickBot="1" x14ac:dyDescent="0.5">
      <c r="A1469" s="36" t="s">
        <v>1251</v>
      </c>
      <c r="B1469" s="3" t="s">
        <v>1252</v>
      </c>
      <c r="C1469" s="4" t="s">
        <v>37</v>
      </c>
      <c r="D1469" s="4"/>
      <c r="E1469" s="4" t="s">
        <v>37</v>
      </c>
      <c r="F1469" s="4"/>
      <c r="G1469" s="4" t="s">
        <v>37</v>
      </c>
      <c r="H1469" s="4"/>
      <c r="I1469" s="18" t="s">
        <v>2473</v>
      </c>
      <c r="J1469" s="18" t="s">
        <v>2473</v>
      </c>
      <c r="K1469" s="18" t="s">
        <v>2473</v>
      </c>
      <c r="AU1469" s="6"/>
      <c r="AV1469" s="6" t="str">
        <f t="shared" si="24"/>
        <v/>
      </c>
    </row>
    <row r="1470" spans="1:48" ht="14.65" thickBot="1" x14ac:dyDescent="0.5">
      <c r="A1470" s="36" t="s">
        <v>1253</v>
      </c>
      <c r="B1470" s="3" t="s">
        <v>1254</v>
      </c>
      <c r="C1470" s="4" t="s">
        <v>13</v>
      </c>
      <c r="D1470" s="4"/>
      <c r="E1470" s="4" t="s">
        <v>13</v>
      </c>
      <c r="F1470" s="4"/>
      <c r="G1470" s="4" t="s">
        <v>13</v>
      </c>
      <c r="H1470" s="4"/>
      <c r="I1470" s="18" t="s">
        <v>2473</v>
      </c>
      <c r="J1470" s="18" t="s">
        <v>2473</v>
      </c>
      <c r="K1470" s="18" t="s">
        <v>2473</v>
      </c>
      <c r="AU1470" s="8"/>
      <c r="AV1470" s="6" t="str">
        <f t="shared" si="24"/>
        <v/>
      </c>
    </row>
    <row r="1471" spans="1:48" ht="14.65" thickBot="1" x14ac:dyDescent="0.5">
      <c r="A1471" s="36" t="s">
        <v>1255</v>
      </c>
      <c r="B1471" s="3" t="s">
        <v>1256</v>
      </c>
      <c r="C1471" s="4" t="s">
        <v>10</v>
      </c>
      <c r="D1471" s="4" t="s">
        <v>13</v>
      </c>
      <c r="E1471" s="4" t="s">
        <v>10</v>
      </c>
      <c r="F1471" s="4" t="s">
        <v>13</v>
      </c>
      <c r="G1471" s="4" t="s">
        <v>10</v>
      </c>
      <c r="H1471" s="4" t="s">
        <v>13</v>
      </c>
      <c r="I1471" s="18" t="s">
        <v>2473</v>
      </c>
      <c r="J1471" s="18" t="s">
        <v>2473</v>
      </c>
      <c r="K1471" s="18" t="s">
        <v>2473</v>
      </c>
      <c r="AU1471" s="8"/>
      <c r="AV1471" s="6" t="str">
        <f t="shared" si="24"/>
        <v/>
      </c>
    </row>
    <row r="1472" spans="1:48" ht="23.65" thickBot="1" x14ac:dyDescent="0.5">
      <c r="A1472" s="36" t="s">
        <v>1257</v>
      </c>
      <c r="B1472" s="3" t="s">
        <v>1258</v>
      </c>
      <c r="C1472" s="4"/>
      <c r="D1472" s="4"/>
      <c r="E1472" s="4"/>
      <c r="F1472" s="4"/>
      <c r="G1472" s="4"/>
      <c r="H1472" s="4"/>
      <c r="I1472" s="18" t="s">
        <v>2473</v>
      </c>
      <c r="J1472" s="18" t="s">
        <v>2473</v>
      </c>
      <c r="K1472" s="18" t="s">
        <v>2473</v>
      </c>
      <c r="AU1472" s="6"/>
      <c r="AV1472" s="6" t="str">
        <f t="shared" si="24"/>
        <v/>
      </c>
    </row>
    <row r="1473" spans="1:48" ht="14.65" thickBot="1" x14ac:dyDescent="0.5">
      <c r="A1473" s="35" t="s">
        <v>1259</v>
      </c>
      <c r="B1473" s="3" t="s">
        <v>1260</v>
      </c>
      <c r="C1473" s="4"/>
      <c r="D1473" s="4"/>
      <c r="E1473" s="4"/>
      <c r="F1473" s="4"/>
      <c r="G1473" s="4"/>
      <c r="H1473" s="4"/>
      <c r="I1473" s="18" t="s">
        <v>2473</v>
      </c>
      <c r="J1473" s="18" t="s">
        <v>2473</v>
      </c>
      <c r="K1473" s="18" t="s">
        <v>2473</v>
      </c>
      <c r="AU1473" s="6"/>
      <c r="AV1473" s="6" t="str">
        <f t="shared" si="24"/>
        <v/>
      </c>
    </row>
    <row r="1474" spans="1:48" ht="14.65" thickBot="1" x14ac:dyDescent="0.5">
      <c r="A1474" s="35" t="s">
        <v>1261</v>
      </c>
      <c r="B1474" s="3" t="s">
        <v>1262</v>
      </c>
      <c r="C1474" s="4"/>
      <c r="D1474" s="4"/>
      <c r="E1474" s="4"/>
      <c r="F1474" s="4"/>
      <c r="G1474" s="4"/>
      <c r="H1474" s="4"/>
      <c r="I1474" s="18" t="s">
        <v>2473</v>
      </c>
      <c r="J1474" s="18" t="s">
        <v>2473</v>
      </c>
      <c r="K1474" s="18" t="s">
        <v>2473</v>
      </c>
      <c r="AU1474" s="6"/>
      <c r="AV1474" s="6" t="str">
        <f t="shared" si="24"/>
        <v/>
      </c>
    </row>
    <row r="1475" spans="1:48" ht="14.65" thickBot="1" x14ac:dyDescent="0.5">
      <c r="A1475" s="36" t="s">
        <v>1263</v>
      </c>
      <c r="B1475" s="3" t="s">
        <v>1264</v>
      </c>
      <c r="C1475" s="4"/>
      <c r="D1475" s="4"/>
      <c r="E1475" s="4"/>
      <c r="F1475" s="4"/>
      <c r="G1475" s="4"/>
      <c r="H1475" s="4"/>
      <c r="I1475" s="18" t="s">
        <v>2473</v>
      </c>
      <c r="J1475" s="18" t="s">
        <v>2473</v>
      </c>
      <c r="K1475" s="18" t="s">
        <v>2473</v>
      </c>
      <c r="AU1475" s="6"/>
      <c r="AV1475" s="6" t="str">
        <f t="shared" si="24"/>
        <v/>
      </c>
    </row>
    <row r="1476" spans="1:48" ht="105.75" thickBot="1" x14ac:dyDescent="0.5">
      <c r="A1476" s="36" t="s">
        <v>145</v>
      </c>
      <c r="B1476" s="3" t="s">
        <v>3968</v>
      </c>
      <c r="C1476" s="4" t="s">
        <v>10</v>
      </c>
      <c r="D1476" s="4"/>
      <c r="E1476" s="4" t="s">
        <v>10</v>
      </c>
      <c r="F1476" s="4"/>
      <c r="G1476" s="4" t="s">
        <v>10</v>
      </c>
      <c r="H1476" s="4"/>
      <c r="I1476" s="18" t="s">
        <v>2473</v>
      </c>
      <c r="J1476" s="18" t="s">
        <v>2473</v>
      </c>
      <c r="K1476" s="18" t="s">
        <v>2473</v>
      </c>
      <c r="AS1476" s="206" t="s">
        <v>5861</v>
      </c>
      <c r="AU1476" s="6"/>
      <c r="AV1476" s="6" t="str">
        <f t="shared" si="24"/>
        <v/>
      </c>
    </row>
    <row r="1477" spans="1:48" ht="47.65" thickBot="1" x14ac:dyDescent="0.5">
      <c r="A1477" s="35" t="s">
        <v>5361</v>
      </c>
      <c r="B1477" s="3" t="s">
        <v>5352</v>
      </c>
      <c r="C1477" s="4" t="s">
        <v>10</v>
      </c>
      <c r="D1477" s="4"/>
      <c r="E1477" s="4" t="s">
        <v>10</v>
      </c>
      <c r="F1477" s="4"/>
      <c r="G1477" s="4" t="s">
        <v>10</v>
      </c>
      <c r="H1477" s="4"/>
      <c r="I1477" s="18" t="s">
        <v>2473</v>
      </c>
      <c r="J1477" s="18" t="s">
        <v>2473</v>
      </c>
      <c r="K1477" s="18" t="s">
        <v>2473</v>
      </c>
      <c r="Q1477" s="131"/>
      <c r="R1477" s="131"/>
      <c r="S1477" s="131"/>
      <c r="T1477" s="131"/>
      <c r="U1477" s="131"/>
      <c r="V1477" s="131"/>
      <c r="W1477" s="131"/>
      <c r="X1477" s="131"/>
      <c r="AS1477" s="139" t="s">
        <v>5355</v>
      </c>
      <c r="AU1477" s="6"/>
      <c r="AV1477" s="6"/>
    </row>
    <row r="1478" spans="1:48" ht="82.5" thickBot="1" x14ac:dyDescent="0.5">
      <c r="A1478" s="35" t="s">
        <v>5360</v>
      </c>
      <c r="B1478" s="3" t="s">
        <v>5353</v>
      </c>
      <c r="C1478" s="4"/>
      <c r="D1478" s="4"/>
      <c r="E1478" s="4"/>
      <c r="F1478" s="4"/>
      <c r="G1478" s="4"/>
      <c r="H1478" s="4"/>
      <c r="I1478" s="18" t="s">
        <v>2473</v>
      </c>
      <c r="J1478" s="18" t="s">
        <v>2473</v>
      </c>
      <c r="K1478" s="18" t="s">
        <v>2473</v>
      </c>
      <c r="Q1478" s="131"/>
      <c r="R1478" s="131"/>
      <c r="S1478" s="131"/>
      <c r="T1478" s="131"/>
      <c r="U1478" s="131"/>
      <c r="V1478" s="131"/>
      <c r="W1478" s="131"/>
      <c r="X1478" s="131"/>
      <c r="AS1478" s="139" t="s">
        <v>5356</v>
      </c>
      <c r="AU1478" s="6"/>
      <c r="AV1478" s="6"/>
    </row>
    <row r="1479" spans="1:48" ht="14.65" thickBot="1" x14ac:dyDescent="0.5">
      <c r="A1479" s="36" t="s">
        <v>427</v>
      </c>
      <c r="B1479" s="3" t="s">
        <v>1265</v>
      </c>
      <c r="C1479" s="4" t="s">
        <v>13</v>
      </c>
      <c r="D1479" s="4"/>
      <c r="E1479" s="4" t="s">
        <v>13</v>
      </c>
      <c r="F1479" s="4"/>
      <c r="G1479" s="4" t="s">
        <v>13</v>
      </c>
      <c r="H1479" s="4"/>
      <c r="I1479" s="18" t="s">
        <v>2473</v>
      </c>
      <c r="J1479" s="18" t="s">
        <v>2473</v>
      </c>
      <c r="K1479" s="18" t="s">
        <v>2473</v>
      </c>
      <c r="AU1479" s="6"/>
      <c r="AV1479" s="6" t="str">
        <f t="shared" si="24"/>
        <v/>
      </c>
    </row>
    <row r="1480" spans="1:48" ht="35.25" thickBot="1" x14ac:dyDescent="0.5">
      <c r="A1480" s="36" t="s">
        <v>1266</v>
      </c>
      <c r="B1480" s="3" t="s">
        <v>1267</v>
      </c>
      <c r="C1480" s="4" t="s">
        <v>37</v>
      </c>
      <c r="D1480" s="4" t="s">
        <v>13</v>
      </c>
      <c r="E1480" s="4" t="s">
        <v>37</v>
      </c>
      <c r="F1480" s="4" t="s">
        <v>13</v>
      </c>
      <c r="G1480" s="4" t="s">
        <v>37</v>
      </c>
      <c r="H1480" s="4" t="s">
        <v>13</v>
      </c>
      <c r="I1480" s="18" t="s">
        <v>2473</v>
      </c>
      <c r="J1480" s="18" t="s">
        <v>2473</v>
      </c>
      <c r="K1480" s="18" t="s">
        <v>2473</v>
      </c>
      <c r="AU1480" s="6"/>
      <c r="AV1480" s="6" t="str">
        <f t="shared" si="24"/>
        <v/>
      </c>
    </row>
    <row r="1481" spans="1:48" ht="14.65" thickBot="1" x14ac:dyDescent="0.5">
      <c r="A1481" s="35" t="s">
        <v>33</v>
      </c>
      <c r="B1481" s="3" t="s">
        <v>1268</v>
      </c>
      <c r="C1481" s="4"/>
      <c r="D1481" s="4"/>
      <c r="E1481" s="4"/>
      <c r="F1481" s="4"/>
      <c r="G1481" s="4"/>
      <c r="H1481" s="4"/>
      <c r="I1481" s="18" t="s">
        <v>2473</v>
      </c>
      <c r="J1481" s="18" t="s">
        <v>2473</v>
      </c>
      <c r="K1481" s="18" t="s">
        <v>2473</v>
      </c>
      <c r="AU1481" s="6"/>
      <c r="AV1481" s="6" t="str">
        <f t="shared" si="24"/>
        <v/>
      </c>
    </row>
    <row r="1482" spans="1:48" ht="23.65" thickBot="1" x14ac:dyDescent="0.5">
      <c r="A1482" s="36" t="s">
        <v>1269</v>
      </c>
      <c r="B1482" s="3" t="s">
        <v>1270</v>
      </c>
      <c r="C1482" s="4" t="s">
        <v>37</v>
      </c>
      <c r="D1482" s="4"/>
      <c r="E1482" s="4" t="s">
        <v>37</v>
      </c>
      <c r="F1482" s="4"/>
      <c r="G1482" s="4" t="s">
        <v>37</v>
      </c>
      <c r="H1482" s="4"/>
      <c r="I1482" s="18" t="s">
        <v>2473</v>
      </c>
      <c r="J1482" s="18" t="s">
        <v>2473</v>
      </c>
      <c r="K1482" s="18" t="s">
        <v>2473</v>
      </c>
      <c r="AU1482" s="6"/>
      <c r="AV1482" s="6" t="str">
        <f t="shared" si="24"/>
        <v/>
      </c>
    </row>
    <row r="1483" spans="1:48" ht="14.65" thickBot="1" x14ac:dyDescent="0.5">
      <c r="A1483" s="35" t="s">
        <v>33</v>
      </c>
      <c r="B1483" s="3" t="s">
        <v>1271</v>
      </c>
      <c r="C1483" s="4"/>
      <c r="D1483" s="4"/>
      <c r="E1483" s="4"/>
      <c r="F1483" s="4"/>
      <c r="G1483" s="4"/>
      <c r="H1483" s="4"/>
      <c r="I1483" s="18" t="s">
        <v>2473</v>
      </c>
      <c r="J1483" s="18" t="s">
        <v>2473</v>
      </c>
      <c r="K1483" s="18" t="s">
        <v>2473</v>
      </c>
      <c r="AU1483" s="6"/>
      <c r="AV1483" s="6" t="str">
        <f t="shared" si="24"/>
        <v/>
      </c>
    </row>
    <row r="1484" spans="1:48" x14ac:dyDescent="0.45">
      <c r="A1484" s="33" t="s">
        <v>1272</v>
      </c>
      <c r="I1484" s="18" t="s">
        <v>2473</v>
      </c>
      <c r="J1484" s="18" t="s">
        <v>2473</v>
      </c>
      <c r="K1484" s="18" t="s">
        <v>2473</v>
      </c>
      <c r="AU1484" s="6"/>
      <c r="AV1484" s="6" t="str">
        <f t="shared" si="24"/>
        <v/>
      </c>
    </row>
    <row r="1485" spans="1:48" x14ac:dyDescent="0.45">
      <c r="A1485" s="34" t="s">
        <v>1273</v>
      </c>
      <c r="I1485" s="18" t="s">
        <v>2473</v>
      </c>
      <c r="J1485" s="18" t="s">
        <v>2473</v>
      </c>
      <c r="K1485" s="18" t="s">
        <v>2473</v>
      </c>
      <c r="AU1485" s="6"/>
      <c r="AV1485" s="6" t="str">
        <f t="shared" si="24"/>
        <v/>
      </c>
    </row>
    <row r="1486" spans="1:48" x14ac:dyDescent="0.45">
      <c r="A1486" s="34" t="s">
        <v>1274</v>
      </c>
      <c r="I1486" s="18" t="s">
        <v>2473</v>
      </c>
      <c r="J1486" s="18" t="s">
        <v>2473</v>
      </c>
      <c r="K1486" s="18" t="s">
        <v>2473</v>
      </c>
      <c r="AU1486" s="6"/>
      <c r="AV1486" s="6" t="str">
        <f t="shared" si="24"/>
        <v/>
      </c>
    </row>
    <row r="1487" spans="1:48" s="79" customFormat="1" x14ac:dyDescent="0.45">
      <c r="A1487" s="75"/>
      <c r="B1487" s="76"/>
      <c r="C1487" s="77"/>
      <c r="D1487" s="77"/>
      <c r="E1487" s="77"/>
      <c r="F1487" s="77"/>
      <c r="G1487" s="77"/>
      <c r="H1487" s="77"/>
      <c r="I1487" s="77"/>
      <c r="J1487" s="77"/>
      <c r="K1487" s="77"/>
      <c r="L1487" s="77"/>
      <c r="M1487" s="148"/>
      <c r="N1487" s="78"/>
      <c r="O1487" s="78"/>
      <c r="P1487" s="78"/>
      <c r="Q1487" s="78"/>
      <c r="R1487" s="78"/>
      <c r="S1487" s="78"/>
      <c r="T1487" s="78"/>
      <c r="U1487" s="78"/>
      <c r="V1487" s="78"/>
      <c r="W1487" s="78"/>
      <c r="X1487" s="78"/>
      <c r="Y1487" s="148"/>
      <c r="Z1487" s="78"/>
      <c r="AA1487" s="78"/>
      <c r="AB1487" s="78"/>
      <c r="AC1487" s="78"/>
      <c r="AD1487" s="78"/>
      <c r="AE1487" s="156"/>
      <c r="AF1487" s="156"/>
      <c r="AG1487" s="78"/>
      <c r="AH1487" s="78"/>
      <c r="AI1487" s="78"/>
      <c r="AJ1487" s="78"/>
      <c r="AK1487" s="78"/>
      <c r="AL1487" s="78"/>
      <c r="AM1487" s="78"/>
      <c r="AN1487" s="78"/>
      <c r="AO1487" s="78"/>
      <c r="AP1487" s="78"/>
      <c r="AQ1487" s="78"/>
      <c r="AR1487" s="286"/>
      <c r="AS1487" s="78"/>
      <c r="AT1487" s="78"/>
      <c r="AU1487" s="8"/>
      <c r="AV1487" s="6" t="str">
        <f t="shared" si="24"/>
        <v/>
      </c>
    </row>
    <row r="1488" spans="1:48" x14ac:dyDescent="0.45">
      <c r="A1488" s="27" t="s">
        <v>2430</v>
      </c>
      <c r="I1488" s="18" t="s">
        <v>2473</v>
      </c>
      <c r="J1488" s="18" t="s">
        <v>2473</v>
      </c>
      <c r="K1488" s="18" t="s">
        <v>2473</v>
      </c>
      <c r="AU1488" s="6"/>
      <c r="AV1488" s="6" t="str">
        <f t="shared" si="24"/>
        <v/>
      </c>
    </row>
    <row r="1489" spans="1:48" x14ac:dyDescent="0.45">
      <c r="A1489" s="323" t="s">
        <v>2520</v>
      </c>
      <c r="B1489" s="324"/>
      <c r="C1489" s="324"/>
      <c r="D1489" s="324"/>
      <c r="E1489" s="324"/>
      <c r="F1489" s="324"/>
      <c r="G1489" s="101"/>
      <c r="H1489" s="101"/>
      <c r="I1489" s="18" t="s">
        <v>2473</v>
      </c>
      <c r="J1489" s="18" t="s">
        <v>2473</v>
      </c>
      <c r="K1489" s="18" t="s">
        <v>2473</v>
      </c>
      <c r="AU1489" s="6"/>
      <c r="AV1489" s="6" t="str">
        <f t="shared" si="24"/>
        <v/>
      </c>
    </row>
    <row r="1490" spans="1:48" ht="14.65" thickBot="1" x14ac:dyDescent="0.5">
      <c r="A1490" s="28" t="s">
        <v>1275</v>
      </c>
      <c r="I1490" s="18" t="s">
        <v>2473</v>
      </c>
      <c r="J1490" s="18" t="s">
        <v>2473</v>
      </c>
      <c r="K1490" s="18" t="s">
        <v>2473</v>
      </c>
      <c r="AU1490" s="6"/>
      <c r="AV1490" s="6" t="str">
        <f t="shared" si="24"/>
        <v/>
      </c>
    </row>
    <row r="1491" spans="1:48" ht="14.65" thickBot="1" x14ac:dyDescent="0.5">
      <c r="A1491" s="309" t="s">
        <v>1276</v>
      </c>
      <c r="B1491" s="310"/>
      <c r="C1491" s="301" t="s">
        <v>1</v>
      </c>
      <c r="D1491" s="319"/>
      <c r="E1491" s="319"/>
      <c r="F1491" s="302"/>
      <c r="G1491" s="102"/>
      <c r="H1491" s="102"/>
      <c r="I1491" s="18" t="s">
        <v>2473</v>
      </c>
      <c r="AU1491" s="6"/>
      <c r="AV1491" s="6" t="str">
        <f t="shared" si="24"/>
        <v/>
      </c>
    </row>
    <row r="1492" spans="1:48" ht="14.65" thickBot="1" x14ac:dyDescent="0.5">
      <c r="A1492" s="311"/>
      <c r="B1492" s="312"/>
      <c r="C1492" s="301" t="s">
        <v>2</v>
      </c>
      <c r="D1492" s="302"/>
      <c r="E1492" s="301" t="s">
        <v>3</v>
      </c>
      <c r="F1492" s="302"/>
      <c r="G1492" s="301" t="s">
        <v>2896</v>
      </c>
      <c r="H1492" s="302"/>
      <c r="I1492" s="18" t="s">
        <v>2473</v>
      </c>
      <c r="AU1492" s="6"/>
      <c r="AV1492" s="6" t="str">
        <f t="shared" si="24"/>
        <v/>
      </c>
    </row>
    <row r="1493" spans="1:48" ht="14.65" thickBot="1" x14ac:dyDescent="0.5">
      <c r="A1493" s="30" t="s">
        <v>4</v>
      </c>
      <c r="B1493" s="59" t="s">
        <v>5</v>
      </c>
      <c r="C1493" s="7" t="s">
        <v>6</v>
      </c>
      <c r="D1493" s="7" t="s">
        <v>7</v>
      </c>
      <c r="E1493" s="7" t="s">
        <v>6</v>
      </c>
      <c r="F1493" s="7" t="s">
        <v>7</v>
      </c>
      <c r="G1493" s="7" t="s">
        <v>6</v>
      </c>
      <c r="H1493" s="7" t="s">
        <v>7</v>
      </c>
      <c r="J1493" s="18" t="s">
        <v>2473</v>
      </c>
      <c r="K1493" s="18" t="s">
        <v>2473</v>
      </c>
      <c r="AU1493" s="6"/>
      <c r="AV1493" s="6" t="str">
        <f t="shared" si="24"/>
        <v/>
      </c>
    </row>
    <row r="1494" spans="1:48" ht="14.65" thickBot="1" x14ac:dyDescent="0.5">
      <c r="A1494" s="36" t="s">
        <v>1277</v>
      </c>
      <c r="B1494" s="3" t="s">
        <v>1278</v>
      </c>
      <c r="C1494" s="4"/>
      <c r="D1494" s="4"/>
      <c r="E1494" s="4"/>
      <c r="F1494" s="4"/>
      <c r="G1494" s="4"/>
      <c r="H1494" s="4"/>
      <c r="I1494" s="18" t="s">
        <v>2473</v>
      </c>
      <c r="J1494" s="18" t="s">
        <v>2473</v>
      </c>
      <c r="K1494" s="18" t="s">
        <v>2473</v>
      </c>
      <c r="AU1494" s="6"/>
      <c r="AV1494" s="6" t="str">
        <f t="shared" si="24"/>
        <v/>
      </c>
    </row>
    <row r="1495" spans="1:48" ht="14.65" thickBot="1" x14ac:dyDescent="0.5">
      <c r="A1495" s="36" t="s">
        <v>1279</v>
      </c>
      <c r="B1495" s="3" t="s">
        <v>1280</v>
      </c>
      <c r="C1495" s="4"/>
      <c r="D1495" s="4"/>
      <c r="E1495" s="4"/>
      <c r="F1495" s="4"/>
      <c r="G1495" s="4"/>
      <c r="H1495" s="4"/>
      <c r="I1495" s="18" t="s">
        <v>2473</v>
      </c>
      <c r="J1495" s="18" t="s">
        <v>2473</v>
      </c>
      <c r="K1495" s="18" t="s">
        <v>2473</v>
      </c>
      <c r="AU1495" s="6"/>
      <c r="AV1495" s="6" t="str">
        <f t="shared" si="24"/>
        <v/>
      </c>
    </row>
    <row r="1496" spans="1:48" ht="14.65" thickBot="1" x14ac:dyDescent="0.5">
      <c r="A1496" s="36" t="s">
        <v>1281</v>
      </c>
      <c r="B1496" s="3" t="s">
        <v>1282</v>
      </c>
      <c r="C1496" s="4"/>
      <c r="D1496" s="4"/>
      <c r="E1496" s="4"/>
      <c r="F1496" s="4"/>
      <c r="G1496" s="4"/>
      <c r="H1496" s="4"/>
      <c r="I1496" s="18" t="s">
        <v>2473</v>
      </c>
      <c r="J1496" s="18" t="s">
        <v>2473</v>
      </c>
      <c r="K1496" s="18" t="s">
        <v>2473</v>
      </c>
      <c r="AU1496" s="6"/>
      <c r="AV1496" s="6" t="str">
        <f t="shared" si="24"/>
        <v/>
      </c>
    </row>
    <row r="1497" spans="1:48" ht="14.65" thickBot="1" x14ac:dyDescent="0.5">
      <c r="A1497" s="36" t="s">
        <v>753</v>
      </c>
      <c r="B1497" s="3" t="s">
        <v>60</v>
      </c>
      <c r="C1497" s="4"/>
      <c r="D1497" s="4"/>
      <c r="E1497" s="4"/>
      <c r="F1497" s="4"/>
      <c r="G1497" s="4"/>
      <c r="H1497" s="4"/>
      <c r="I1497" s="18" t="s">
        <v>2473</v>
      </c>
      <c r="J1497" s="18" t="s">
        <v>2473</v>
      </c>
      <c r="K1497" s="18" t="s">
        <v>2473</v>
      </c>
      <c r="AU1497" s="6"/>
      <c r="AV1497" s="6" t="str">
        <f t="shared" si="24"/>
        <v/>
      </c>
    </row>
    <row r="1498" spans="1:48" ht="14.65" thickBot="1" x14ac:dyDescent="0.5">
      <c r="A1498" s="36" t="s">
        <v>1283</v>
      </c>
      <c r="B1498" s="3" t="s">
        <v>1284</v>
      </c>
      <c r="C1498" s="4"/>
      <c r="D1498" s="4"/>
      <c r="E1498" s="4"/>
      <c r="F1498" s="4"/>
      <c r="G1498" s="4"/>
      <c r="H1498" s="4"/>
      <c r="I1498" s="18" t="s">
        <v>2473</v>
      </c>
      <c r="J1498" s="18" t="s">
        <v>2473</v>
      </c>
      <c r="K1498" s="18" t="s">
        <v>2473</v>
      </c>
      <c r="AU1498" s="6"/>
      <c r="AV1498" s="6" t="str">
        <f t="shared" si="24"/>
        <v/>
      </c>
    </row>
    <row r="1499" spans="1:48" s="79" customFormat="1" x14ac:dyDescent="0.45">
      <c r="A1499" s="75"/>
      <c r="B1499" s="76"/>
      <c r="C1499" s="77"/>
      <c r="D1499" s="77"/>
      <c r="E1499" s="77"/>
      <c r="F1499" s="77"/>
      <c r="G1499" s="77"/>
      <c r="H1499" s="77"/>
      <c r="I1499" s="77"/>
      <c r="J1499" s="77"/>
      <c r="K1499" s="77"/>
      <c r="L1499" s="77"/>
      <c r="M1499" s="148"/>
      <c r="N1499" s="78"/>
      <c r="O1499" s="78"/>
      <c r="P1499" s="78"/>
      <c r="Q1499" s="78"/>
      <c r="R1499" s="78"/>
      <c r="S1499" s="78"/>
      <c r="T1499" s="78"/>
      <c r="U1499" s="78"/>
      <c r="V1499" s="78"/>
      <c r="W1499" s="78"/>
      <c r="X1499" s="78"/>
      <c r="Y1499" s="148"/>
      <c r="Z1499" s="78"/>
      <c r="AA1499" s="78"/>
      <c r="AB1499" s="78"/>
      <c r="AC1499" s="78"/>
      <c r="AD1499" s="78"/>
      <c r="AE1499" s="156"/>
      <c r="AF1499" s="156"/>
      <c r="AG1499" s="78"/>
      <c r="AH1499" s="78"/>
      <c r="AI1499" s="78"/>
      <c r="AJ1499" s="78"/>
      <c r="AK1499" s="78"/>
      <c r="AL1499" s="78"/>
      <c r="AM1499" s="78"/>
      <c r="AN1499" s="78"/>
      <c r="AO1499" s="78"/>
      <c r="AP1499" s="78"/>
      <c r="AQ1499" s="78"/>
      <c r="AR1499" s="286"/>
      <c r="AS1499" s="78"/>
      <c r="AT1499" s="78"/>
      <c r="AU1499" s="8"/>
      <c r="AV1499" s="6" t="str">
        <f t="shared" si="24"/>
        <v/>
      </c>
    </row>
    <row r="1500" spans="1:48" ht="14.65" thickBot="1" x14ac:dyDescent="0.5">
      <c r="A1500" s="28" t="s">
        <v>1285</v>
      </c>
      <c r="I1500" s="18" t="s">
        <v>2473</v>
      </c>
      <c r="J1500" s="18" t="s">
        <v>2473</v>
      </c>
      <c r="K1500" s="18" t="s">
        <v>2473</v>
      </c>
      <c r="AU1500" s="6"/>
      <c r="AV1500" s="6" t="str">
        <f t="shared" si="24"/>
        <v/>
      </c>
    </row>
    <row r="1501" spans="1:48" ht="14.65" thickBot="1" x14ac:dyDescent="0.5">
      <c r="A1501" s="309" t="s">
        <v>1286</v>
      </c>
      <c r="B1501" s="310"/>
      <c r="C1501" s="301" t="s">
        <v>1</v>
      </c>
      <c r="D1501" s="319"/>
      <c r="E1501" s="319"/>
      <c r="F1501" s="302"/>
      <c r="G1501" s="102"/>
      <c r="H1501" s="102"/>
      <c r="I1501" s="18" t="s">
        <v>2473</v>
      </c>
      <c r="J1501" s="18" t="s">
        <v>2473</v>
      </c>
      <c r="K1501" s="18" t="s">
        <v>2473</v>
      </c>
      <c r="AU1501" s="6"/>
      <c r="AV1501" s="6" t="str">
        <f t="shared" si="24"/>
        <v/>
      </c>
    </row>
    <row r="1502" spans="1:48" ht="14.65" thickBot="1" x14ac:dyDescent="0.5">
      <c r="A1502" s="311"/>
      <c r="B1502" s="312"/>
      <c r="C1502" s="301" t="s">
        <v>2</v>
      </c>
      <c r="D1502" s="302"/>
      <c r="E1502" s="301" t="s">
        <v>3</v>
      </c>
      <c r="F1502" s="302"/>
      <c r="G1502" s="301" t="s">
        <v>2896</v>
      </c>
      <c r="H1502" s="302"/>
      <c r="I1502" s="18" t="s">
        <v>2473</v>
      </c>
      <c r="J1502" s="18" t="s">
        <v>2473</v>
      </c>
      <c r="K1502" s="18" t="s">
        <v>2473</v>
      </c>
      <c r="AU1502" s="6"/>
      <c r="AV1502" s="6" t="str">
        <f t="shared" si="24"/>
        <v/>
      </c>
    </row>
    <row r="1503" spans="1:48" ht="14.65" thickBot="1" x14ac:dyDescent="0.5">
      <c r="A1503" s="30" t="s">
        <v>4</v>
      </c>
      <c r="B1503" s="59" t="s">
        <v>5</v>
      </c>
      <c r="C1503" s="7" t="s">
        <v>6</v>
      </c>
      <c r="D1503" s="7" t="s">
        <v>7</v>
      </c>
      <c r="E1503" s="7" t="s">
        <v>6</v>
      </c>
      <c r="F1503" s="7" t="s">
        <v>7</v>
      </c>
      <c r="G1503" s="7" t="s">
        <v>6</v>
      </c>
      <c r="H1503" s="7" t="s">
        <v>7</v>
      </c>
      <c r="I1503" s="18" t="s">
        <v>2473</v>
      </c>
      <c r="J1503" s="18" t="s">
        <v>2473</v>
      </c>
      <c r="K1503" s="18" t="s">
        <v>2473</v>
      </c>
      <c r="AU1503" s="6"/>
      <c r="AV1503" s="6" t="str">
        <f t="shared" si="24"/>
        <v/>
      </c>
    </row>
    <row r="1504" spans="1:48" ht="14.65" thickBot="1" x14ac:dyDescent="0.5">
      <c r="A1504" s="36" t="s">
        <v>1277</v>
      </c>
      <c r="B1504" s="3" t="s">
        <v>1287</v>
      </c>
      <c r="C1504" s="4"/>
      <c r="D1504" s="4"/>
      <c r="E1504" s="4"/>
      <c r="F1504" s="4"/>
      <c r="G1504" s="4"/>
      <c r="H1504" s="4"/>
      <c r="I1504" s="18" t="s">
        <v>2473</v>
      </c>
      <c r="J1504" s="18" t="s">
        <v>2473</v>
      </c>
      <c r="K1504" s="18" t="s">
        <v>2473</v>
      </c>
      <c r="AU1504" s="6"/>
      <c r="AV1504" s="6" t="str">
        <f t="shared" si="24"/>
        <v/>
      </c>
    </row>
    <row r="1505" spans="1:48" ht="14.65" thickBot="1" x14ac:dyDescent="0.5">
      <c r="A1505" s="36" t="s">
        <v>1279</v>
      </c>
      <c r="B1505" s="3" t="s">
        <v>1280</v>
      </c>
      <c r="C1505" s="4"/>
      <c r="D1505" s="4"/>
      <c r="E1505" s="4"/>
      <c r="F1505" s="4"/>
      <c r="G1505" s="4"/>
      <c r="H1505" s="4"/>
      <c r="I1505" s="18" t="s">
        <v>2473</v>
      </c>
      <c r="J1505" s="18" t="s">
        <v>2473</v>
      </c>
      <c r="K1505" s="18" t="s">
        <v>2473</v>
      </c>
      <c r="AU1505" s="6"/>
      <c r="AV1505" s="6" t="str">
        <f t="shared" si="24"/>
        <v/>
      </c>
    </row>
    <row r="1506" spans="1:48" ht="14.65" thickBot="1" x14ac:dyDescent="0.5">
      <c r="A1506" s="36" t="s">
        <v>1288</v>
      </c>
      <c r="B1506" s="3" t="s">
        <v>1289</v>
      </c>
      <c r="C1506" s="4"/>
      <c r="D1506" s="4"/>
      <c r="E1506" s="4"/>
      <c r="F1506" s="4"/>
      <c r="G1506" s="4"/>
      <c r="H1506" s="4"/>
      <c r="I1506" s="18" t="s">
        <v>2473</v>
      </c>
      <c r="J1506" s="18" t="s">
        <v>2473</v>
      </c>
      <c r="K1506" s="18" t="s">
        <v>2473</v>
      </c>
      <c r="AU1506" s="6"/>
      <c r="AV1506" s="6" t="str">
        <f t="shared" si="24"/>
        <v/>
      </c>
    </row>
    <row r="1507" spans="1:48" ht="14.65" thickBot="1" x14ac:dyDescent="0.5">
      <c r="A1507" s="36" t="s">
        <v>753</v>
      </c>
      <c r="B1507" s="3" t="s">
        <v>60</v>
      </c>
      <c r="C1507" s="4"/>
      <c r="D1507" s="4"/>
      <c r="E1507" s="4"/>
      <c r="F1507" s="4"/>
      <c r="G1507" s="4"/>
      <c r="H1507" s="4"/>
      <c r="I1507" s="18" t="s">
        <v>2473</v>
      </c>
      <c r="J1507" s="18" t="s">
        <v>2473</v>
      </c>
      <c r="K1507" s="18" t="s">
        <v>2473</v>
      </c>
      <c r="AU1507" s="6"/>
      <c r="AV1507" s="6" t="str">
        <f t="shared" si="24"/>
        <v/>
      </c>
    </row>
    <row r="1508" spans="1:48" ht="14.65" thickBot="1" x14ac:dyDescent="0.5">
      <c r="A1508" s="36" t="s">
        <v>1290</v>
      </c>
      <c r="B1508" s="3" t="s">
        <v>1291</v>
      </c>
      <c r="C1508" s="4"/>
      <c r="D1508" s="4"/>
      <c r="E1508" s="4"/>
      <c r="F1508" s="4"/>
      <c r="G1508" s="4"/>
      <c r="H1508" s="4"/>
      <c r="I1508" s="18" t="s">
        <v>2473</v>
      </c>
      <c r="J1508" s="18" t="s">
        <v>2473</v>
      </c>
      <c r="K1508" s="18" t="s">
        <v>2473</v>
      </c>
      <c r="AU1508" s="6"/>
      <c r="AV1508" s="6" t="str">
        <f t="shared" si="24"/>
        <v/>
      </c>
    </row>
    <row r="1509" spans="1:48" s="79" customFormat="1" ht="14.65" thickBot="1" x14ac:dyDescent="0.5">
      <c r="A1509" s="75"/>
      <c r="B1509" s="76"/>
      <c r="C1509" s="77"/>
      <c r="D1509" s="77"/>
      <c r="E1509" s="77"/>
      <c r="F1509" s="77"/>
      <c r="G1509" s="77"/>
      <c r="H1509" s="77"/>
      <c r="I1509" s="77"/>
      <c r="J1509" s="77"/>
      <c r="K1509" s="77"/>
      <c r="L1509" s="77"/>
      <c r="M1509" s="148"/>
      <c r="N1509" s="78"/>
      <c r="O1509" s="78"/>
      <c r="P1509" s="78"/>
      <c r="Q1509" s="78"/>
      <c r="R1509" s="78"/>
      <c r="S1509" s="78"/>
      <c r="T1509" s="78"/>
      <c r="U1509" s="78"/>
      <c r="V1509" s="78"/>
      <c r="W1509" s="78"/>
      <c r="X1509" s="78"/>
      <c r="Y1509" s="148"/>
      <c r="Z1509" s="78"/>
      <c r="AA1509" s="78"/>
      <c r="AB1509" s="78"/>
      <c r="AC1509" s="78"/>
      <c r="AD1509" s="78"/>
      <c r="AE1509" s="156"/>
      <c r="AF1509" s="156"/>
      <c r="AG1509" s="78"/>
      <c r="AH1509" s="78"/>
      <c r="AI1509" s="78"/>
      <c r="AJ1509" s="78"/>
      <c r="AK1509" s="78"/>
      <c r="AL1509" s="78"/>
      <c r="AM1509" s="78"/>
      <c r="AN1509" s="78"/>
      <c r="AO1509" s="78"/>
      <c r="AP1509" s="78"/>
      <c r="AQ1509" s="78"/>
      <c r="AR1509" s="286"/>
      <c r="AS1509" s="78"/>
      <c r="AT1509" s="78"/>
      <c r="AU1509" s="8"/>
      <c r="AV1509" s="6" t="str">
        <f t="shared" si="24"/>
        <v/>
      </c>
    </row>
    <row r="1510" spans="1:48" x14ac:dyDescent="0.45">
      <c r="A1510" s="325" t="s">
        <v>2521</v>
      </c>
      <c r="B1510" s="326"/>
      <c r="C1510" s="326"/>
      <c r="D1510" s="326"/>
      <c r="E1510" s="326"/>
      <c r="F1510" s="326"/>
      <c r="G1510" s="101"/>
      <c r="H1510" s="101"/>
      <c r="I1510" s="18" t="s">
        <v>2473</v>
      </c>
      <c r="J1510" s="18" t="s">
        <v>2473</v>
      </c>
      <c r="K1510" s="18" t="s">
        <v>2473</v>
      </c>
      <c r="AU1510" s="6"/>
      <c r="AV1510" s="6" t="str">
        <f t="shared" si="24"/>
        <v/>
      </c>
    </row>
    <row r="1511" spans="1:48" ht="14.65" thickBot="1" x14ac:dyDescent="0.5">
      <c r="A1511" s="28" t="s">
        <v>3793</v>
      </c>
      <c r="I1511" s="18" t="s">
        <v>2473</v>
      </c>
      <c r="J1511" s="18" t="s">
        <v>2473</v>
      </c>
      <c r="K1511" s="18" t="s">
        <v>2473</v>
      </c>
      <c r="AU1511" s="6"/>
      <c r="AV1511" s="6" t="str">
        <f t="shared" si="24"/>
        <v/>
      </c>
    </row>
    <row r="1512" spans="1:48" ht="14.65" thickBot="1" x14ac:dyDescent="0.5">
      <c r="A1512" s="309" t="s">
        <v>1292</v>
      </c>
      <c r="B1512" s="310"/>
      <c r="C1512" s="301" t="s">
        <v>1</v>
      </c>
      <c r="D1512" s="319"/>
      <c r="E1512" s="319"/>
      <c r="F1512" s="302"/>
      <c r="G1512" s="102"/>
      <c r="H1512" s="102"/>
      <c r="I1512" s="18" t="s">
        <v>2473</v>
      </c>
      <c r="AU1512" s="6"/>
      <c r="AV1512" s="6" t="str">
        <f t="shared" si="24"/>
        <v/>
      </c>
    </row>
    <row r="1513" spans="1:48" ht="14.65" thickBot="1" x14ac:dyDescent="0.5">
      <c r="A1513" s="311"/>
      <c r="B1513" s="312"/>
      <c r="C1513" s="301" t="s">
        <v>2</v>
      </c>
      <c r="D1513" s="302"/>
      <c r="E1513" s="301" t="s">
        <v>3</v>
      </c>
      <c r="F1513" s="302"/>
      <c r="G1513" s="301" t="s">
        <v>2896</v>
      </c>
      <c r="H1513" s="302"/>
      <c r="I1513" s="18" t="s">
        <v>2473</v>
      </c>
      <c r="AU1513" s="6"/>
      <c r="AV1513" s="6" t="str">
        <f t="shared" si="24"/>
        <v/>
      </c>
    </row>
    <row r="1514" spans="1:48" ht="14.65" thickBot="1" x14ac:dyDescent="0.5">
      <c r="A1514" s="30" t="s">
        <v>4</v>
      </c>
      <c r="B1514" s="59" t="s">
        <v>5</v>
      </c>
      <c r="C1514" s="7" t="s">
        <v>6</v>
      </c>
      <c r="D1514" s="7" t="s">
        <v>7</v>
      </c>
      <c r="E1514" s="7" t="s">
        <v>6</v>
      </c>
      <c r="F1514" s="7" t="s">
        <v>7</v>
      </c>
      <c r="G1514" s="7" t="s">
        <v>6</v>
      </c>
      <c r="H1514" s="7" t="s">
        <v>7</v>
      </c>
      <c r="J1514" s="18" t="s">
        <v>2473</v>
      </c>
      <c r="K1514" s="18" t="s">
        <v>2473</v>
      </c>
      <c r="AU1514" s="6"/>
      <c r="AV1514" s="6" t="str">
        <f t="shared" si="24"/>
        <v/>
      </c>
    </row>
    <row r="1515" spans="1:48" ht="14.65" thickBot="1" x14ac:dyDescent="0.5">
      <c r="A1515" s="36" t="s">
        <v>1277</v>
      </c>
      <c r="B1515" s="3" t="s">
        <v>1293</v>
      </c>
      <c r="C1515" s="4"/>
      <c r="D1515" s="4"/>
      <c r="E1515" s="4"/>
      <c r="F1515" s="4"/>
      <c r="G1515" s="4"/>
      <c r="H1515" s="4"/>
      <c r="I1515" s="18" t="s">
        <v>2473</v>
      </c>
      <c r="J1515" s="18" t="s">
        <v>2473</v>
      </c>
      <c r="K1515" s="18" t="s">
        <v>2473</v>
      </c>
      <c r="AU1515" s="6"/>
      <c r="AV1515" s="6" t="str">
        <f t="shared" si="24"/>
        <v/>
      </c>
    </row>
    <row r="1516" spans="1:48" ht="14.65" thickBot="1" x14ac:dyDescent="0.5">
      <c r="A1516" s="36" t="s">
        <v>753</v>
      </c>
      <c r="B1516" s="3" t="s">
        <v>60</v>
      </c>
      <c r="C1516" s="4"/>
      <c r="D1516" s="4"/>
      <c r="E1516" s="4"/>
      <c r="F1516" s="4"/>
      <c r="G1516" s="4"/>
      <c r="H1516" s="4"/>
      <c r="I1516" s="18" t="s">
        <v>2473</v>
      </c>
      <c r="J1516" s="18" t="s">
        <v>2473</v>
      </c>
      <c r="K1516" s="18" t="s">
        <v>2473</v>
      </c>
      <c r="AU1516" s="6"/>
      <c r="AV1516" s="6" t="str">
        <f t="shared" si="24"/>
        <v/>
      </c>
    </row>
    <row r="1517" spans="1:48" ht="14.65" thickBot="1" x14ac:dyDescent="0.5">
      <c r="A1517" s="36" t="s">
        <v>1290</v>
      </c>
      <c r="B1517" s="3" t="s">
        <v>1294</v>
      </c>
      <c r="C1517" s="4"/>
      <c r="D1517" s="4"/>
      <c r="E1517" s="4"/>
      <c r="F1517" s="4"/>
      <c r="G1517" s="4"/>
      <c r="H1517" s="4"/>
      <c r="I1517" s="18" t="s">
        <v>2473</v>
      </c>
      <c r="J1517" s="18" t="s">
        <v>2473</v>
      </c>
      <c r="K1517" s="18" t="s">
        <v>2473</v>
      </c>
      <c r="AU1517" s="6"/>
      <c r="AV1517" s="6" t="str">
        <f t="shared" si="24"/>
        <v/>
      </c>
    </row>
    <row r="1518" spans="1:48" s="79" customFormat="1" ht="14.65" thickBot="1" x14ac:dyDescent="0.5">
      <c r="A1518" s="75"/>
      <c r="B1518" s="76"/>
      <c r="C1518" s="77"/>
      <c r="D1518" s="77"/>
      <c r="E1518" s="77"/>
      <c r="F1518" s="77"/>
      <c r="G1518" s="77"/>
      <c r="H1518" s="77"/>
      <c r="I1518" s="77"/>
      <c r="J1518" s="77"/>
      <c r="K1518" s="77"/>
      <c r="L1518" s="77"/>
      <c r="M1518" s="148"/>
      <c r="N1518" s="78"/>
      <c r="O1518" s="78"/>
      <c r="P1518" s="78"/>
      <c r="Q1518" s="78"/>
      <c r="R1518" s="78"/>
      <c r="S1518" s="78"/>
      <c r="T1518" s="78"/>
      <c r="U1518" s="78"/>
      <c r="V1518" s="78"/>
      <c r="W1518" s="78"/>
      <c r="X1518" s="78"/>
      <c r="Y1518" s="148"/>
      <c r="Z1518" s="78"/>
      <c r="AA1518" s="78"/>
      <c r="AB1518" s="78"/>
      <c r="AC1518" s="78"/>
      <c r="AD1518" s="78"/>
      <c r="AE1518" s="156"/>
      <c r="AF1518" s="156"/>
      <c r="AG1518" s="78"/>
      <c r="AH1518" s="78"/>
      <c r="AI1518" s="78"/>
      <c r="AJ1518" s="78"/>
      <c r="AK1518" s="78"/>
      <c r="AL1518" s="78"/>
      <c r="AM1518" s="78"/>
      <c r="AN1518" s="78"/>
      <c r="AO1518" s="78"/>
      <c r="AP1518" s="78"/>
      <c r="AQ1518" s="78"/>
      <c r="AR1518" s="286"/>
      <c r="AS1518" s="78"/>
      <c r="AT1518" s="78"/>
      <c r="AU1518" s="8"/>
      <c r="AV1518" s="6" t="str">
        <f t="shared" si="24"/>
        <v/>
      </c>
    </row>
    <row r="1519" spans="1:48" x14ac:dyDescent="0.45">
      <c r="A1519" s="325" t="s">
        <v>2522</v>
      </c>
      <c r="B1519" s="326"/>
      <c r="C1519" s="326"/>
      <c r="D1519" s="326"/>
      <c r="E1519" s="326"/>
      <c r="F1519" s="326"/>
      <c r="G1519" s="101"/>
      <c r="H1519" s="101"/>
      <c r="I1519" s="18" t="s">
        <v>2473</v>
      </c>
      <c r="J1519" s="18" t="s">
        <v>2473</v>
      </c>
      <c r="K1519" s="18" t="s">
        <v>2473</v>
      </c>
      <c r="AU1519" s="6"/>
      <c r="AV1519" s="6" t="str">
        <f t="shared" si="24"/>
        <v/>
      </c>
    </row>
    <row r="1520" spans="1:48" ht="14.65" thickBot="1" x14ac:dyDescent="0.5">
      <c r="A1520" s="28" t="s">
        <v>1295</v>
      </c>
      <c r="I1520" s="18" t="s">
        <v>2473</v>
      </c>
      <c r="J1520" s="18" t="s">
        <v>2473</v>
      </c>
      <c r="K1520" s="18" t="s">
        <v>2473</v>
      </c>
      <c r="AU1520" s="6"/>
      <c r="AV1520" s="6" t="str">
        <f t="shared" si="24"/>
        <v/>
      </c>
    </row>
    <row r="1521" spans="1:48" ht="14.65" thickBot="1" x14ac:dyDescent="0.5">
      <c r="A1521" s="309" t="s">
        <v>1296</v>
      </c>
      <c r="B1521" s="310"/>
      <c r="C1521" s="301" t="s">
        <v>1</v>
      </c>
      <c r="D1521" s="319"/>
      <c r="E1521" s="319"/>
      <c r="F1521" s="302"/>
      <c r="G1521" s="102"/>
      <c r="H1521" s="102"/>
      <c r="I1521" s="18" t="s">
        <v>2473</v>
      </c>
      <c r="J1521" s="18" t="s">
        <v>2473</v>
      </c>
      <c r="K1521" s="18" t="s">
        <v>2473</v>
      </c>
      <c r="AU1521" s="6"/>
      <c r="AV1521" s="6" t="str">
        <f t="shared" si="24"/>
        <v/>
      </c>
    </row>
    <row r="1522" spans="1:48" ht="14.65" thickBot="1" x14ac:dyDescent="0.5">
      <c r="A1522" s="311"/>
      <c r="B1522" s="312"/>
      <c r="C1522" s="301" t="s">
        <v>2</v>
      </c>
      <c r="D1522" s="302"/>
      <c r="E1522" s="301" t="s">
        <v>3</v>
      </c>
      <c r="F1522" s="302"/>
      <c r="G1522" s="301" t="s">
        <v>2896</v>
      </c>
      <c r="H1522" s="302"/>
      <c r="I1522" s="18" t="s">
        <v>2473</v>
      </c>
      <c r="J1522" s="18" t="s">
        <v>2473</v>
      </c>
      <c r="K1522" s="18" t="s">
        <v>2473</v>
      </c>
      <c r="AU1522" s="6"/>
      <c r="AV1522" s="6" t="str">
        <f t="shared" si="24"/>
        <v/>
      </c>
    </row>
    <row r="1523" spans="1:48" ht="14.65" thickBot="1" x14ac:dyDescent="0.5">
      <c r="A1523" s="30" t="s">
        <v>4</v>
      </c>
      <c r="B1523" s="59" t="s">
        <v>5</v>
      </c>
      <c r="C1523" s="7" t="s">
        <v>6</v>
      </c>
      <c r="D1523" s="7" t="s">
        <v>7</v>
      </c>
      <c r="E1523" s="7" t="s">
        <v>6</v>
      </c>
      <c r="F1523" s="7" t="s">
        <v>7</v>
      </c>
      <c r="G1523" s="7" t="s">
        <v>6</v>
      </c>
      <c r="H1523" s="7" t="s">
        <v>7</v>
      </c>
      <c r="I1523" s="18" t="s">
        <v>2473</v>
      </c>
      <c r="J1523" s="18" t="s">
        <v>2473</v>
      </c>
      <c r="K1523" s="18" t="s">
        <v>2473</v>
      </c>
      <c r="AU1523" s="6"/>
      <c r="AV1523" s="6" t="str">
        <f t="shared" ref="AV1523:AV1588" si="25">IF(A1523&lt;&gt;"",IF(T1523&lt;&gt;"",IF(LEFT(R1523,3)="Has",IF(TRIM(A1523)&lt;&gt;T1523,"ERROR","OK"),""),""),"")</f>
        <v/>
      </c>
    </row>
    <row r="1524" spans="1:48" ht="14.65" thickBot="1" x14ac:dyDescent="0.5">
      <c r="A1524" s="36" t="s">
        <v>1277</v>
      </c>
      <c r="B1524" s="3" t="s">
        <v>1293</v>
      </c>
      <c r="C1524" s="4"/>
      <c r="D1524" s="4"/>
      <c r="E1524" s="4"/>
      <c r="F1524" s="4"/>
      <c r="G1524" s="4"/>
      <c r="H1524" s="4"/>
      <c r="I1524" s="18" t="s">
        <v>2473</v>
      </c>
      <c r="J1524" s="18" t="s">
        <v>2473</v>
      </c>
      <c r="K1524" s="18" t="s">
        <v>2473</v>
      </c>
      <c r="AU1524" s="6"/>
      <c r="AV1524" s="6" t="str">
        <f t="shared" si="25"/>
        <v/>
      </c>
    </row>
    <row r="1525" spans="1:48" ht="14.65" thickBot="1" x14ac:dyDescent="0.5">
      <c r="A1525" s="36" t="s">
        <v>753</v>
      </c>
      <c r="B1525" s="3" t="s">
        <v>60</v>
      </c>
      <c r="C1525" s="4"/>
      <c r="D1525" s="4"/>
      <c r="E1525" s="4"/>
      <c r="F1525" s="4"/>
      <c r="G1525" s="4"/>
      <c r="H1525" s="4"/>
      <c r="I1525" s="18" t="s">
        <v>2473</v>
      </c>
      <c r="J1525" s="18" t="s">
        <v>2473</v>
      </c>
      <c r="K1525" s="18" t="s">
        <v>2473</v>
      </c>
      <c r="AU1525" s="6"/>
      <c r="AV1525" s="6" t="str">
        <f t="shared" si="25"/>
        <v/>
      </c>
    </row>
    <row r="1526" spans="1:48" ht="14.65" thickBot="1" x14ac:dyDescent="0.5">
      <c r="A1526" s="36" t="s">
        <v>1290</v>
      </c>
      <c r="B1526" s="3" t="s">
        <v>1294</v>
      </c>
      <c r="C1526" s="4"/>
      <c r="D1526" s="4"/>
      <c r="E1526" s="4"/>
      <c r="F1526" s="4"/>
      <c r="G1526" s="4"/>
      <c r="H1526" s="4"/>
      <c r="I1526" s="18" t="s">
        <v>2473</v>
      </c>
      <c r="J1526" s="18" t="s">
        <v>2473</v>
      </c>
      <c r="K1526" s="18" t="s">
        <v>2473</v>
      </c>
      <c r="AU1526" s="6"/>
      <c r="AV1526" s="6" t="str">
        <f t="shared" si="25"/>
        <v/>
      </c>
    </row>
    <row r="1527" spans="1:48" s="79" customFormat="1" x14ac:dyDescent="0.45">
      <c r="A1527" s="75"/>
      <c r="B1527" s="76"/>
      <c r="C1527" s="77"/>
      <c r="D1527" s="77"/>
      <c r="E1527" s="77"/>
      <c r="F1527" s="77"/>
      <c r="G1527" s="77"/>
      <c r="H1527" s="77"/>
      <c r="I1527" s="77"/>
      <c r="J1527" s="77"/>
      <c r="K1527" s="77"/>
      <c r="L1527" s="77"/>
      <c r="M1527" s="148"/>
      <c r="N1527" s="78"/>
      <c r="O1527" s="78"/>
      <c r="P1527" s="78"/>
      <c r="Q1527" s="78"/>
      <c r="R1527" s="78"/>
      <c r="S1527" s="78"/>
      <c r="T1527" s="78"/>
      <c r="U1527" s="78"/>
      <c r="V1527" s="78"/>
      <c r="W1527" s="78"/>
      <c r="X1527" s="78"/>
      <c r="Y1527" s="148"/>
      <c r="Z1527" s="78"/>
      <c r="AA1527" s="78"/>
      <c r="AB1527" s="78"/>
      <c r="AC1527" s="78"/>
      <c r="AD1527" s="78"/>
      <c r="AE1527" s="156"/>
      <c r="AF1527" s="156"/>
      <c r="AG1527" s="78"/>
      <c r="AH1527" s="78"/>
      <c r="AI1527" s="78"/>
      <c r="AJ1527" s="78"/>
      <c r="AK1527" s="78"/>
      <c r="AL1527" s="78"/>
      <c r="AM1527" s="78"/>
      <c r="AN1527" s="78"/>
      <c r="AO1527" s="78"/>
      <c r="AP1527" s="78"/>
      <c r="AQ1527" s="78"/>
      <c r="AR1527" s="286"/>
      <c r="AS1527" s="78"/>
      <c r="AT1527" s="78"/>
      <c r="AU1527" s="8"/>
      <c r="AV1527" s="6" t="str">
        <f t="shared" si="25"/>
        <v/>
      </c>
    </row>
    <row r="1528" spans="1:48" x14ac:dyDescent="0.45">
      <c r="A1528" s="27" t="s">
        <v>2431</v>
      </c>
      <c r="I1528" s="18" t="s">
        <v>2473</v>
      </c>
      <c r="J1528" s="18" t="s">
        <v>2473</v>
      </c>
      <c r="K1528" s="18" t="s">
        <v>2473</v>
      </c>
      <c r="AU1528" s="6"/>
      <c r="AV1528" s="6" t="str">
        <f t="shared" si="25"/>
        <v/>
      </c>
    </row>
    <row r="1529" spans="1:48" x14ac:dyDescent="0.45">
      <c r="A1529" s="323" t="s">
        <v>2523</v>
      </c>
      <c r="B1529" s="324"/>
      <c r="C1529" s="324"/>
      <c r="D1529" s="324"/>
      <c r="E1529" s="324"/>
      <c r="F1529" s="324"/>
      <c r="G1529" s="101"/>
      <c r="H1529" s="101"/>
      <c r="I1529" s="18" t="s">
        <v>2473</v>
      </c>
      <c r="J1529" s="18" t="s">
        <v>2473</v>
      </c>
      <c r="K1529" s="18" t="s">
        <v>2473</v>
      </c>
      <c r="AU1529" s="6"/>
      <c r="AV1529" s="6" t="str">
        <f t="shared" si="25"/>
        <v/>
      </c>
    </row>
    <row r="1530" spans="1:48" ht="14.65" thickBot="1" x14ac:dyDescent="0.5">
      <c r="A1530" s="28" t="s">
        <v>1297</v>
      </c>
      <c r="I1530" s="18" t="s">
        <v>2473</v>
      </c>
      <c r="J1530" s="18" t="s">
        <v>2473</v>
      </c>
      <c r="K1530" s="18" t="s">
        <v>2473</v>
      </c>
      <c r="AA1530" s="183" t="s">
        <v>2322</v>
      </c>
      <c r="AB1530" s="183" t="s">
        <v>1697</v>
      </c>
      <c r="AC1530" s="183" t="s">
        <v>5</v>
      </c>
      <c r="AU1530" s="6"/>
      <c r="AV1530" s="6" t="str">
        <f t="shared" si="25"/>
        <v/>
      </c>
    </row>
    <row r="1531" spans="1:48" ht="128.25" thickBot="1" x14ac:dyDescent="0.5">
      <c r="A1531" s="309" t="s">
        <v>1298</v>
      </c>
      <c r="B1531" s="310"/>
      <c r="C1531" s="301" t="s">
        <v>1</v>
      </c>
      <c r="D1531" s="319"/>
      <c r="E1531" s="319"/>
      <c r="F1531" s="302"/>
      <c r="G1531" s="102"/>
      <c r="H1531" s="102"/>
      <c r="I1531" s="18" t="s">
        <v>2473</v>
      </c>
      <c r="AA1531" s="183" t="str">
        <f>LEFT($A1531,FIND(" ",$A1531)-1)</f>
        <v>ManagerNetworkProtocol</v>
      </c>
      <c r="AB1531" s="183" t="str">
        <f>MID($A1531,FIND("(",$A1531)+1,LEN($A1531)-FIND("(",$A1531)-1)</f>
        <v>1.3.0</v>
      </c>
      <c r="AC1531" s="101" t="str">
        <f>A1529</f>
        <v>The ManagerNetworkProtocol resource and properties are used to obtain or modify the network services managed by a given manager.</v>
      </c>
      <c r="AU1531" s="6"/>
      <c r="AV1531" s="6" t="str">
        <f t="shared" si="25"/>
        <v/>
      </c>
    </row>
    <row r="1532" spans="1:48" ht="14.65" thickBot="1" x14ac:dyDescent="0.5">
      <c r="A1532" s="311"/>
      <c r="B1532" s="312"/>
      <c r="C1532" s="301" t="s">
        <v>2</v>
      </c>
      <c r="D1532" s="302"/>
      <c r="E1532" s="301" t="s">
        <v>3</v>
      </c>
      <c r="F1532" s="302"/>
      <c r="G1532" s="301" t="s">
        <v>2896</v>
      </c>
      <c r="H1532" s="302"/>
      <c r="I1532" s="18" t="s">
        <v>2473</v>
      </c>
      <c r="AA1532" s="183" t="s">
        <v>2322</v>
      </c>
      <c r="AB1532" s="183" t="s">
        <v>1697</v>
      </c>
      <c r="AC1532" s="183" t="s">
        <v>5</v>
      </c>
      <c r="AU1532" s="8"/>
      <c r="AV1532" s="6" t="str">
        <f t="shared" si="25"/>
        <v/>
      </c>
    </row>
    <row r="1533" spans="1:48" ht="128.25" thickBot="1" x14ac:dyDescent="0.5">
      <c r="A1533" s="309" t="s">
        <v>3209</v>
      </c>
      <c r="B1533" s="310"/>
      <c r="C1533" s="301" t="s">
        <v>1</v>
      </c>
      <c r="D1533" s="319"/>
      <c r="E1533" s="319"/>
      <c r="F1533" s="302"/>
      <c r="G1533" s="102"/>
      <c r="H1533" s="102"/>
      <c r="J1533" s="18" t="s">
        <v>2473</v>
      </c>
      <c r="K1533" s="18" t="s">
        <v>2473</v>
      </c>
      <c r="AA1533" s="183" t="str">
        <f>LEFT($A1533,FIND(" ",$A1533)-1)</f>
        <v>ManagerNetworkProtocol</v>
      </c>
      <c r="AB1533" s="183" t="str">
        <f>MID($A1533,FIND("(",$A1533)+1,LEN($A1533)-FIND("(",$A1533)-1)</f>
        <v>1.4.1</v>
      </c>
      <c r="AC1533" s="101" t="str">
        <f>AC1531</f>
        <v>The ManagerNetworkProtocol resource and properties are used to obtain or modify the network services managed by a given manager.</v>
      </c>
      <c r="AU1533" s="6"/>
      <c r="AV1533" s="6" t="str">
        <f t="shared" si="25"/>
        <v/>
      </c>
    </row>
    <row r="1534" spans="1:48" ht="14.65" thickBot="1" x14ac:dyDescent="0.5">
      <c r="A1534" s="311"/>
      <c r="B1534" s="312"/>
      <c r="C1534" s="301" t="s">
        <v>2</v>
      </c>
      <c r="D1534" s="302"/>
      <c r="E1534" s="301" t="s">
        <v>3</v>
      </c>
      <c r="F1534" s="302"/>
      <c r="G1534" s="301" t="s">
        <v>2896</v>
      </c>
      <c r="H1534" s="302"/>
      <c r="J1534" s="18" t="s">
        <v>2473</v>
      </c>
      <c r="K1534" s="18" t="s">
        <v>2473</v>
      </c>
      <c r="AM1534" s="8" t="str">
        <f>C1534</f>
        <v>OSM-Redfish</v>
      </c>
      <c r="AN1534" s="8" t="str">
        <f>E1534</f>
        <v>OSM-RedfishBMC</v>
      </c>
      <c r="AO1534" s="8" t="str">
        <f>G1534</f>
        <v>OSM-RedfishDCN</v>
      </c>
      <c r="AU1534" s="8"/>
      <c r="AV1534" s="6" t="str">
        <f t="shared" si="25"/>
        <v/>
      </c>
    </row>
    <row r="1535" spans="1:48" ht="14.65" thickBot="1" x14ac:dyDescent="0.5">
      <c r="A1535" s="46" t="s">
        <v>2377</v>
      </c>
      <c r="B1535" s="47"/>
      <c r="C1535" s="303" t="s">
        <v>10</v>
      </c>
      <c r="D1535" s="304"/>
      <c r="E1535" s="303" t="s">
        <v>10</v>
      </c>
      <c r="F1535" s="304"/>
      <c r="G1535" s="303" t="s">
        <v>10</v>
      </c>
      <c r="H1535" s="304"/>
      <c r="I1535" s="18" t="s">
        <v>2473</v>
      </c>
      <c r="J1535" s="18" t="s">
        <v>2473</v>
      </c>
      <c r="K1535" s="18" t="s">
        <v>2473</v>
      </c>
      <c r="AM1535" s="8" t="str">
        <f>IF(C1535&lt;&gt;"","CRQ-P5-"&amp;(AM$2+$AP1535*$AP$3),"")</f>
        <v>CRQ-P5-1112</v>
      </c>
      <c r="AN1535" s="8" t="str">
        <f>IF(E1535&lt;&gt;"","CRQ-P5-"&amp;(AN$2+$AP1535*$AP$3),"")</f>
        <v>CRQ-P5-1412</v>
      </c>
      <c r="AO1535" s="8" t="str">
        <f>IF(G1535&lt;&gt;"","CRQ-P5-"&amp;(AO$2+$AP1535*$AP$3),"")</f>
        <v>CRQ-P5-1712</v>
      </c>
      <c r="AP1535" s="8">
        <v>28</v>
      </c>
      <c r="AU1535" s="6"/>
      <c r="AV1535" s="6" t="str">
        <f t="shared" si="25"/>
        <v/>
      </c>
    </row>
    <row r="1536" spans="1:48" ht="14.65" thickBot="1" x14ac:dyDescent="0.5">
      <c r="A1536" s="29" t="s">
        <v>3394</v>
      </c>
      <c r="B1536" s="9"/>
      <c r="C1536" s="305" t="str">
        <f>MID($A1531,FIND("(",$A1531)+1,5)</f>
        <v>1.3.0</v>
      </c>
      <c r="D1536" s="306"/>
      <c r="E1536" s="305" t="s">
        <v>3405</v>
      </c>
      <c r="F1536" s="306"/>
      <c r="G1536" s="305" t="str">
        <f>MID($A1531,FIND("(",$A1531)+1,5)</f>
        <v>1.3.0</v>
      </c>
      <c r="H1536" s="306"/>
      <c r="I1536" s="18" t="s">
        <v>2473</v>
      </c>
      <c r="J1536" s="18" t="s">
        <v>2473</v>
      </c>
      <c r="K1536" s="18" t="s">
        <v>2473</v>
      </c>
      <c r="AU1536" s="6"/>
      <c r="AV1536" s="6" t="str">
        <f t="shared" si="25"/>
        <v/>
      </c>
    </row>
    <row r="1537" spans="1:48" ht="14.65" thickBot="1" x14ac:dyDescent="0.5">
      <c r="A1537" s="30" t="s">
        <v>4</v>
      </c>
      <c r="B1537" s="59" t="s">
        <v>5</v>
      </c>
      <c r="C1537" s="7" t="s">
        <v>6</v>
      </c>
      <c r="D1537" s="7" t="s">
        <v>7</v>
      </c>
      <c r="E1537" s="7" t="s">
        <v>6</v>
      </c>
      <c r="F1537" s="7" t="s">
        <v>7</v>
      </c>
      <c r="G1537" s="7" t="s">
        <v>6</v>
      </c>
      <c r="H1537" s="7" t="s">
        <v>7</v>
      </c>
      <c r="I1537" s="18" t="s">
        <v>2473</v>
      </c>
      <c r="J1537" s="18" t="s">
        <v>2473</v>
      </c>
      <c r="K1537" s="18" t="s">
        <v>2473</v>
      </c>
      <c r="AU1537" s="8"/>
      <c r="AV1537" s="6" t="str">
        <f t="shared" si="25"/>
        <v/>
      </c>
    </row>
    <row r="1538" spans="1:48" ht="14.65" thickBot="1" x14ac:dyDescent="0.5">
      <c r="A1538" s="36" t="s">
        <v>8</v>
      </c>
      <c r="B1538" s="5" t="s">
        <v>9</v>
      </c>
      <c r="C1538" s="4"/>
      <c r="D1538" s="4"/>
      <c r="E1538" s="4"/>
      <c r="F1538" s="4"/>
      <c r="G1538" s="4"/>
      <c r="H1538" s="4"/>
      <c r="I1538" s="18" t="s">
        <v>2473</v>
      </c>
      <c r="J1538" s="18" t="s">
        <v>2473</v>
      </c>
      <c r="K1538" s="18" t="s">
        <v>2473</v>
      </c>
      <c r="AU1538" s="8"/>
      <c r="AV1538" s="6" t="str">
        <f t="shared" si="25"/>
        <v/>
      </c>
    </row>
    <row r="1539" spans="1:48" ht="14.65" thickBot="1" x14ac:dyDescent="0.5">
      <c r="A1539" s="36" t="s">
        <v>1299</v>
      </c>
      <c r="B1539" s="3" t="s">
        <v>1300</v>
      </c>
      <c r="C1539" s="4"/>
      <c r="D1539" s="4"/>
      <c r="E1539" s="4"/>
      <c r="F1539" s="4"/>
      <c r="G1539" s="4"/>
      <c r="H1539" s="4"/>
      <c r="I1539" s="18" t="s">
        <v>2473</v>
      </c>
      <c r="J1539" s="18" t="s">
        <v>2473</v>
      </c>
      <c r="K1539" s="18" t="s">
        <v>2473</v>
      </c>
      <c r="AU1539" s="8"/>
      <c r="AV1539" s="6" t="str">
        <f t="shared" si="25"/>
        <v/>
      </c>
    </row>
    <row r="1540" spans="1:48" ht="14.65" thickBot="1" x14ac:dyDescent="0.5">
      <c r="A1540" s="35" t="s">
        <v>1301</v>
      </c>
      <c r="B1540" s="3" t="s">
        <v>1302</v>
      </c>
      <c r="C1540" s="4"/>
      <c r="D1540" s="4"/>
      <c r="E1540" s="4"/>
      <c r="F1540" s="4"/>
      <c r="G1540" s="4"/>
      <c r="H1540" s="4"/>
      <c r="I1540" s="18" t="s">
        <v>2473</v>
      </c>
      <c r="J1540" s="18" t="s">
        <v>2473</v>
      </c>
      <c r="K1540" s="18" t="s">
        <v>2473</v>
      </c>
      <c r="AU1540" s="6"/>
      <c r="AV1540" s="6" t="str">
        <f t="shared" si="25"/>
        <v/>
      </c>
    </row>
    <row r="1541" spans="1:48" ht="14.65" thickBot="1" x14ac:dyDescent="0.5">
      <c r="A1541" s="35" t="s">
        <v>1303</v>
      </c>
      <c r="B1541" s="3" t="s">
        <v>1304</v>
      </c>
      <c r="C1541" s="4"/>
      <c r="D1541" s="4"/>
      <c r="E1541" s="4"/>
      <c r="F1541" s="4"/>
      <c r="G1541" s="4"/>
      <c r="H1541" s="4"/>
      <c r="I1541" s="18" t="s">
        <v>2473</v>
      </c>
      <c r="J1541" s="18" t="s">
        <v>2473</v>
      </c>
      <c r="K1541" s="18" t="s">
        <v>2473</v>
      </c>
      <c r="AU1541" s="6"/>
      <c r="AV1541" s="6" t="str">
        <f t="shared" si="25"/>
        <v/>
      </c>
    </row>
    <row r="1542" spans="1:48" ht="14.65" thickBot="1" x14ac:dyDescent="0.5">
      <c r="A1542" s="36" t="s">
        <v>1209</v>
      </c>
      <c r="B1542" s="3" t="s">
        <v>1305</v>
      </c>
      <c r="C1542" s="4"/>
      <c r="D1542" s="4"/>
      <c r="E1542" s="4"/>
      <c r="F1542" s="4"/>
      <c r="G1542" s="4"/>
      <c r="H1542" s="4"/>
      <c r="I1542" s="18" t="s">
        <v>2473</v>
      </c>
      <c r="J1542" s="18" t="s">
        <v>2473</v>
      </c>
      <c r="K1542" s="18" t="s">
        <v>2473</v>
      </c>
      <c r="AU1542" s="6"/>
      <c r="AV1542" s="6" t="str">
        <f t="shared" si="25"/>
        <v/>
      </c>
    </row>
    <row r="1543" spans="1:48" ht="14.65" thickBot="1" x14ac:dyDescent="0.5">
      <c r="A1543" s="35" t="s">
        <v>1301</v>
      </c>
      <c r="B1543" s="3" t="s">
        <v>1302</v>
      </c>
      <c r="C1543" s="4"/>
      <c r="D1543" s="4"/>
      <c r="E1543" s="4"/>
      <c r="F1543" s="4"/>
      <c r="G1543" s="4"/>
      <c r="H1543" s="4"/>
      <c r="I1543" s="18" t="s">
        <v>2473</v>
      </c>
      <c r="J1543" s="18" t="s">
        <v>2473</v>
      </c>
      <c r="K1543" s="18" t="s">
        <v>2473</v>
      </c>
      <c r="AU1543" s="6"/>
      <c r="AV1543" s="6" t="str">
        <f t="shared" si="25"/>
        <v/>
      </c>
    </row>
    <row r="1544" spans="1:48" ht="14.65" thickBot="1" x14ac:dyDescent="0.5">
      <c r="A1544" s="35" t="s">
        <v>1303</v>
      </c>
      <c r="B1544" s="3" t="s">
        <v>1304</v>
      </c>
      <c r="C1544" s="4"/>
      <c r="D1544" s="4"/>
      <c r="E1544" s="4"/>
      <c r="F1544" s="4"/>
      <c r="G1544" s="4"/>
      <c r="H1544" s="4"/>
      <c r="I1544" s="18" t="s">
        <v>2473</v>
      </c>
      <c r="J1544" s="18" t="s">
        <v>2473</v>
      </c>
      <c r="K1544" s="18" t="s">
        <v>2473</v>
      </c>
      <c r="AU1544" s="6"/>
      <c r="AV1544" s="6" t="str">
        <f t="shared" si="25"/>
        <v/>
      </c>
    </row>
    <row r="1545" spans="1:48" ht="23.65" thickBot="1" x14ac:dyDescent="0.5">
      <c r="A1545" s="36" t="s">
        <v>1218</v>
      </c>
      <c r="B1545" s="3" t="s">
        <v>1306</v>
      </c>
      <c r="C1545" s="4" t="s">
        <v>10</v>
      </c>
      <c r="D1545" s="4" t="s">
        <v>10</v>
      </c>
      <c r="E1545" s="4" t="s">
        <v>10</v>
      </c>
      <c r="F1545" s="4" t="s">
        <v>10</v>
      </c>
      <c r="G1545" s="4" t="s">
        <v>10</v>
      </c>
      <c r="H1545" s="4" t="s">
        <v>10</v>
      </c>
      <c r="I1545" s="18" t="s">
        <v>2473</v>
      </c>
      <c r="J1545" s="18" t="s">
        <v>2473</v>
      </c>
      <c r="K1545" s="18" t="s">
        <v>2473</v>
      </c>
      <c r="AU1545" s="6"/>
      <c r="AV1545" s="6" t="str">
        <f t="shared" si="25"/>
        <v/>
      </c>
    </row>
    <row r="1546" spans="1:48" ht="14.65" thickBot="1" x14ac:dyDescent="0.5">
      <c r="A1546" s="36" t="s">
        <v>1307</v>
      </c>
      <c r="B1546" s="3" t="s">
        <v>1308</v>
      </c>
      <c r="C1546" s="4"/>
      <c r="D1546" s="4"/>
      <c r="E1546" s="4"/>
      <c r="F1546" s="4"/>
      <c r="G1546" s="4"/>
      <c r="H1546" s="4"/>
      <c r="I1546" s="18" t="s">
        <v>2473</v>
      </c>
      <c r="J1546" s="18" t="s">
        <v>2473</v>
      </c>
      <c r="K1546" s="18" t="s">
        <v>2473</v>
      </c>
      <c r="AU1546" s="6"/>
      <c r="AV1546" s="6" t="str">
        <f t="shared" si="25"/>
        <v/>
      </c>
    </row>
    <row r="1547" spans="1:48" ht="14.65" thickBot="1" x14ac:dyDescent="0.5">
      <c r="A1547" s="35" t="s">
        <v>1301</v>
      </c>
      <c r="B1547" s="3" t="s">
        <v>1302</v>
      </c>
      <c r="C1547" s="4"/>
      <c r="D1547" s="4"/>
      <c r="E1547" s="4"/>
      <c r="F1547" s="4"/>
      <c r="G1547" s="4"/>
      <c r="H1547" s="4"/>
      <c r="I1547" s="18" t="s">
        <v>2473</v>
      </c>
      <c r="J1547" s="18" t="s">
        <v>2473</v>
      </c>
      <c r="K1547" s="18" t="s">
        <v>2473</v>
      </c>
      <c r="AU1547" s="6"/>
      <c r="AV1547" s="6" t="str">
        <f t="shared" si="25"/>
        <v/>
      </c>
    </row>
    <row r="1548" spans="1:48" ht="14.65" thickBot="1" x14ac:dyDescent="0.5">
      <c r="A1548" s="35" t="s">
        <v>1303</v>
      </c>
      <c r="B1548" s="3" t="s">
        <v>1304</v>
      </c>
      <c r="C1548" s="4"/>
      <c r="D1548" s="4"/>
      <c r="E1548" s="4"/>
      <c r="F1548" s="4"/>
      <c r="G1548" s="4"/>
      <c r="H1548" s="4"/>
      <c r="I1548" s="18" t="s">
        <v>2473</v>
      </c>
      <c r="J1548" s="18" t="s">
        <v>2473</v>
      </c>
      <c r="K1548" s="18" t="s">
        <v>2473</v>
      </c>
      <c r="AU1548" s="6"/>
      <c r="AV1548" s="6" t="str">
        <f t="shared" si="25"/>
        <v/>
      </c>
    </row>
    <row r="1549" spans="1:48" ht="47.65" thickBot="1" x14ac:dyDescent="0.5">
      <c r="A1549" s="36" t="s">
        <v>1309</v>
      </c>
      <c r="B1549" s="3" t="s">
        <v>1310</v>
      </c>
      <c r="C1549" s="4" t="s">
        <v>10</v>
      </c>
      <c r="D1549" s="4"/>
      <c r="E1549" s="4" t="s">
        <v>10</v>
      </c>
      <c r="F1549" s="4"/>
      <c r="G1549" s="4" t="s">
        <v>10</v>
      </c>
      <c r="H1549" s="4"/>
      <c r="I1549" s="18" t="s">
        <v>2473</v>
      </c>
      <c r="J1549" s="18" t="s">
        <v>2473</v>
      </c>
      <c r="K1549" s="18" t="s">
        <v>2473</v>
      </c>
      <c r="AS1549" s="206" t="s">
        <v>5860</v>
      </c>
      <c r="AU1549" s="6"/>
      <c r="AV1549" s="6" t="str">
        <f t="shared" si="25"/>
        <v/>
      </c>
    </row>
    <row r="1550" spans="1:48" ht="47.65" thickBot="1" x14ac:dyDescent="0.5">
      <c r="A1550" s="35" t="s">
        <v>2605</v>
      </c>
      <c r="B1550" s="3" t="s">
        <v>2627</v>
      </c>
      <c r="C1550" s="4"/>
      <c r="D1550" s="4"/>
      <c r="E1550" s="4" t="s">
        <v>13</v>
      </c>
      <c r="F1550" s="4"/>
      <c r="G1550" s="4"/>
      <c r="H1550" s="4"/>
      <c r="J1550" s="18" t="s">
        <v>2473</v>
      </c>
      <c r="K1550" s="18" t="s">
        <v>2473</v>
      </c>
      <c r="AU1550" s="8" t="s">
        <v>4119</v>
      </c>
      <c r="AV1550" s="6" t="str">
        <f t="shared" si="25"/>
        <v/>
      </c>
    </row>
    <row r="1551" spans="1:48" ht="14.65" thickBot="1" x14ac:dyDescent="0.5">
      <c r="A1551" s="35" t="s">
        <v>43</v>
      </c>
      <c r="B1551" s="3" t="s">
        <v>2628</v>
      </c>
      <c r="C1551" s="4"/>
      <c r="D1551" s="4"/>
      <c r="E1551" s="4"/>
      <c r="F1551" s="4"/>
      <c r="G1551" s="4"/>
      <c r="H1551" s="4"/>
      <c r="J1551" s="18" t="s">
        <v>2473</v>
      </c>
      <c r="K1551" s="18" t="s">
        <v>2473</v>
      </c>
      <c r="AU1551" s="8"/>
      <c r="AV1551" s="6" t="str">
        <f t="shared" si="25"/>
        <v/>
      </c>
    </row>
    <row r="1552" spans="1:48" ht="14.65" thickBot="1" x14ac:dyDescent="0.5">
      <c r="A1552" s="35" t="s">
        <v>1301</v>
      </c>
      <c r="B1552" s="3" t="s">
        <v>1302</v>
      </c>
      <c r="C1552" s="4" t="s">
        <v>10</v>
      </c>
      <c r="D1552" s="4" t="s">
        <v>10</v>
      </c>
      <c r="E1552" s="4" t="s">
        <v>10</v>
      </c>
      <c r="F1552" s="4" t="s">
        <v>10</v>
      </c>
      <c r="G1552" s="4" t="s">
        <v>10</v>
      </c>
      <c r="H1552" s="4" t="s">
        <v>10</v>
      </c>
      <c r="I1552" s="18" t="s">
        <v>2473</v>
      </c>
      <c r="J1552" s="18" t="s">
        <v>2473</v>
      </c>
      <c r="K1552" s="18" t="s">
        <v>2473</v>
      </c>
      <c r="AU1552" s="6"/>
      <c r="AV1552" s="6" t="str">
        <f t="shared" si="25"/>
        <v/>
      </c>
    </row>
    <row r="1553" spans="1:48" ht="14.65" thickBot="1" x14ac:dyDescent="0.5">
      <c r="A1553" s="35" t="s">
        <v>1303</v>
      </c>
      <c r="B1553" s="3" t="s">
        <v>1304</v>
      </c>
      <c r="C1553" s="4" t="s">
        <v>10</v>
      </c>
      <c r="D1553" s="4" t="s">
        <v>10</v>
      </c>
      <c r="E1553" s="4" t="s">
        <v>10</v>
      </c>
      <c r="F1553" s="4" t="s">
        <v>10</v>
      </c>
      <c r="G1553" s="4" t="s">
        <v>10</v>
      </c>
      <c r="H1553" s="4" t="s">
        <v>10</v>
      </c>
      <c r="I1553" s="18" t="s">
        <v>2473</v>
      </c>
      <c r="J1553" s="18" t="s">
        <v>2473</v>
      </c>
      <c r="K1553" s="18" t="s">
        <v>2473</v>
      </c>
      <c r="AU1553" s="6"/>
      <c r="AV1553" s="6" t="str">
        <f t="shared" si="25"/>
        <v/>
      </c>
    </row>
    <row r="1554" spans="1:48" ht="14.65" thickBot="1" x14ac:dyDescent="0.5">
      <c r="A1554" s="36" t="s">
        <v>63</v>
      </c>
      <c r="B1554" s="3" t="s">
        <v>1311</v>
      </c>
      <c r="C1554" s="4" t="s">
        <v>10</v>
      </c>
      <c r="D1554" s="4"/>
      <c r="E1554" s="4" t="s">
        <v>10</v>
      </c>
      <c r="F1554" s="4"/>
      <c r="G1554" s="4" t="s">
        <v>10</v>
      </c>
      <c r="H1554" s="4"/>
      <c r="I1554" s="18" t="s">
        <v>2473</v>
      </c>
      <c r="J1554" s="18" t="s">
        <v>2473</v>
      </c>
      <c r="K1554" s="18" t="s">
        <v>2473</v>
      </c>
      <c r="AU1554" s="6"/>
      <c r="AV1554" s="6" t="str">
        <f t="shared" si="25"/>
        <v/>
      </c>
    </row>
    <row r="1555" spans="1:48" ht="14.65" thickBot="1" x14ac:dyDescent="0.5">
      <c r="A1555" s="36" t="s">
        <v>1312</v>
      </c>
      <c r="B1555" s="3" t="s">
        <v>2389</v>
      </c>
      <c r="C1555" s="4"/>
      <c r="D1555" s="4"/>
      <c r="E1555" s="4"/>
      <c r="F1555" s="4"/>
      <c r="G1555" s="4"/>
      <c r="H1555" s="4"/>
      <c r="I1555" s="18" t="s">
        <v>2473</v>
      </c>
      <c r="J1555" s="18" t="s">
        <v>2473</v>
      </c>
      <c r="K1555" s="18" t="s">
        <v>2473</v>
      </c>
      <c r="AU1555" s="6"/>
      <c r="AV1555" s="6" t="str">
        <f t="shared" si="25"/>
        <v/>
      </c>
    </row>
    <row r="1556" spans="1:48" ht="14.65" thickBot="1" x14ac:dyDescent="0.5">
      <c r="A1556" s="35" t="s">
        <v>1301</v>
      </c>
      <c r="B1556" s="3" t="s">
        <v>1302</v>
      </c>
      <c r="C1556" s="4"/>
      <c r="D1556" s="4"/>
      <c r="E1556" s="4"/>
      <c r="F1556" s="4"/>
      <c r="G1556" s="4"/>
      <c r="H1556" s="4"/>
      <c r="I1556" s="18" t="s">
        <v>2473</v>
      </c>
      <c r="J1556" s="18" t="s">
        <v>2473</v>
      </c>
      <c r="K1556" s="18" t="s">
        <v>2473</v>
      </c>
      <c r="AU1556" s="6"/>
      <c r="AV1556" s="6" t="str">
        <f t="shared" si="25"/>
        <v/>
      </c>
    </row>
    <row r="1557" spans="1:48" ht="14.65" thickBot="1" x14ac:dyDescent="0.5">
      <c r="A1557" s="35" t="s">
        <v>1303</v>
      </c>
      <c r="B1557" s="3" t="s">
        <v>1304</v>
      </c>
      <c r="C1557" s="4"/>
      <c r="D1557" s="4"/>
      <c r="E1557" s="4"/>
      <c r="F1557" s="4"/>
      <c r="G1557" s="4"/>
      <c r="H1557" s="4"/>
      <c r="I1557" s="18" t="s">
        <v>2473</v>
      </c>
      <c r="J1557" s="18" t="s">
        <v>2473</v>
      </c>
      <c r="K1557" s="18" t="s">
        <v>2473</v>
      </c>
      <c r="AU1557" s="6"/>
      <c r="AV1557" s="6" t="str">
        <f t="shared" si="25"/>
        <v/>
      </c>
    </row>
    <row r="1558" spans="1:48" ht="14.65" thickBot="1" x14ac:dyDescent="0.5">
      <c r="A1558" s="36" t="s">
        <v>1313</v>
      </c>
      <c r="B1558" s="3" t="s">
        <v>1314</v>
      </c>
      <c r="C1558" s="4"/>
      <c r="D1558" s="4"/>
      <c r="E1558" s="4"/>
      <c r="F1558" s="4"/>
      <c r="G1558" s="4"/>
      <c r="H1558" s="4"/>
      <c r="I1558" s="18" t="s">
        <v>2473</v>
      </c>
      <c r="J1558" s="18" t="s">
        <v>2473</v>
      </c>
      <c r="K1558" s="18" t="s">
        <v>2473</v>
      </c>
      <c r="AU1558" s="6"/>
      <c r="AV1558" s="6" t="str">
        <f t="shared" si="25"/>
        <v/>
      </c>
    </row>
    <row r="1559" spans="1:48" ht="14.65" thickBot="1" x14ac:dyDescent="0.5">
      <c r="A1559" s="35" t="s">
        <v>1301</v>
      </c>
      <c r="B1559" s="3" t="s">
        <v>1302</v>
      </c>
      <c r="C1559" s="4"/>
      <c r="D1559" s="4"/>
      <c r="E1559" s="4"/>
      <c r="F1559" s="4"/>
      <c r="G1559" s="4"/>
      <c r="H1559" s="4"/>
      <c r="I1559" s="18" t="s">
        <v>2473</v>
      </c>
      <c r="J1559" s="18" t="s">
        <v>2473</v>
      </c>
      <c r="K1559" s="18" t="s">
        <v>2473</v>
      </c>
      <c r="AU1559" s="6"/>
      <c r="AV1559" s="6" t="str">
        <f t="shared" si="25"/>
        <v/>
      </c>
    </row>
    <row r="1560" spans="1:48" ht="14.65" thickBot="1" x14ac:dyDescent="0.5">
      <c r="A1560" s="35" t="s">
        <v>1303</v>
      </c>
      <c r="B1560" s="3" t="s">
        <v>1304</v>
      </c>
      <c r="C1560" s="4"/>
      <c r="D1560" s="4"/>
      <c r="E1560" s="4"/>
      <c r="F1560" s="4"/>
      <c r="G1560" s="4"/>
      <c r="H1560" s="4"/>
      <c r="I1560" s="18" t="s">
        <v>2473</v>
      </c>
      <c r="J1560" s="18" t="s">
        <v>2473</v>
      </c>
      <c r="K1560" s="18" t="s">
        <v>2473</v>
      </c>
      <c r="AU1560" s="6"/>
      <c r="AV1560" s="6" t="str">
        <f t="shared" si="25"/>
        <v/>
      </c>
    </row>
    <row r="1561" spans="1:48" ht="35.25" thickBot="1" x14ac:dyDescent="0.5">
      <c r="A1561" s="36" t="s">
        <v>1315</v>
      </c>
      <c r="B1561" s="3" t="s">
        <v>1316</v>
      </c>
      <c r="C1561" s="4" t="s">
        <v>37</v>
      </c>
      <c r="D1561" s="4"/>
      <c r="E1561" s="4" t="s">
        <v>37</v>
      </c>
      <c r="F1561" s="4"/>
      <c r="G1561" s="4" t="s">
        <v>37</v>
      </c>
      <c r="H1561" s="4"/>
      <c r="I1561" s="18" t="s">
        <v>2473</v>
      </c>
      <c r="J1561" s="18" t="s">
        <v>2473</v>
      </c>
      <c r="K1561" s="18" t="s">
        <v>2473</v>
      </c>
      <c r="AU1561" s="140" t="s">
        <v>4120</v>
      </c>
      <c r="AV1561" s="6" t="str">
        <f t="shared" si="25"/>
        <v/>
      </c>
    </row>
    <row r="1562" spans="1:48" ht="14.65" thickBot="1" x14ac:dyDescent="0.5">
      <c r="A1562" s="35" t="s">
        <v>1317</v>
      </c>
      <c r="B1562" s="3" t="s">
        <v>1318</v>
      </c>
      <c r="C1562" s="4" t="s">
        <v>10</v>
      </c>
      <c r="D1562" s="4" t="s">
        <v>10</v>
      </c>
      <c r="E1562" s="4" t="s">
        <v>10</v>
      </c>
      <c r="F1562" s="4" t="s">
        <v>10</v>
      </c>
      <c r="G1562" s="4" t="s">
        <v>10</v>
      </c>
      <c r="H1562" s="4" t="s">
        <v>10</v>
      </c>
      <c r="I1562" s="18" t="s">
        <v>2473</v>
      </c>
      <c r="J1562" s="18" t="s">
        <v>2473</v>
      </c>
      <c r="K1562" s="18" t="s">
        <v>2473</v>
      </c>
      <c r="AU1562" s="6"/>
      <c r="AV1562" s="6" t="str">
        <f t="shared" si="25"/>
        <v/>
      </c>
    </row>
    <row r="1563" spans="1:48" ht="14.65" thickBot="1" x14ac:dyDescent="0.5">
      <c r="A1563" s="35" t="s">
        <v>1301</v>
      </c>
      <c r="B1563" s="3" t="s">
        <v>1302</v>
      </c>
      <c r="C1563" s="4" t="s">
        <v>13</v>
      </c>
      <c r="D1563" s="4" t="s">
        <v>13</v>
      </c>
      <c r="E1563" s="4" t="s">
        <v>13</v>
      </c>
      <c r="F1563" s="4" t="s">
        <v>13</v>
      </c>
      <c r="G1563" s="4" t="s">
        <v>13</v>
      </c>
      <c r="H1563" s="4" t="s">
        <v>13</v>
      </c>
      <c r="I1563" s="18" t="s">
        <v>2473</v>
      </c>
      <c r="J1563" s="18" t="s">
        <v>2473</v>
      </c>
      <c r="K1563" s="18" t="s">
        <v>2473</v>
      </c>
      <c r="AU1563" s="6"/>
      <c r="AV1563" s="6" t="str">
        <f t="shared" si="25"/>
        <v/>
      </c>
    </row>
    <row r="1564" spans="1:48" ht="14.65" thickBot="1" x14ac:dyDescent="0.5">
      <c r="A1564" s="35" t="s">
        <v>1303</v>
      </c>
      <c r="B1564" s="3" t="s">
        <v>1304</v>
      </c>
      <c r="C1564" s="4" t="s">
        <v>10</v>
      </c>
      <c r="D1564" s="4" t="s">
        <v>10</v>
      </c>
      <c r="E1564" s="4" t="s">
        <v>10</v>
      </c>
      <c r="F1564" s="4" t="s">
        <v>10</v>
      </c>
      <c r="G1564" s="4" t="s">
        <v>10</v>
      </c>
      <c r="H1564" s="4" t="s">
        <v>10</v>
      </c>
      <c r="I1564" s="18" t="s">
        <v>2473</v>
      </c>
      <c r="J1564" s="18" t="s">
        <v>2473</v>
      </c>
      <c r="K1564" s="18" t="s">
        <v>2473</v>
      </c>
      <c r="AU1564" s="6"/>
      <c r="AV1564" s="6" t="str">
        <f t="shared" si="25"/>
        <v/>
      </c>
    </row>
    <row r="1565" spans="1:48" ht="14.65" thickBot="1" x14ac:dyDescent="0.5">
      <c r="A1565" s="38" t="s">
        <v>1319</v>
      </c>
      <c r="B1565" s="3" t="s">
        <v>1320</v>
      </c>
      <c r="C1565" s="4"/>
      <c r="D1565" s="4"/>
      <c r="E1565" s="4"/>
      <c r="F1565" s="4"/>
      <c r="G1565" s="4"/>
      <c r="H1565" s="4"/>
      <c r="I1565" s="18" t="s">
        <v>2473</v>
      </c>
      <c r="J1565" s="18" t="s">
        <v>2473</v>
      </c>
      <c r="K1565" s="18" t="s">
        <v>2473</v>
      </c>
      <c r="AU1565" s="6"/>
      <c r="AV1565" s="6" t="str">
        <f t="shared" si="25"/>
        <v/>
      </c>
    </row>
    <row r="1566" spans="1:48" ht="14.65" thickBot="1" x14ac:dyDescent="0.5">
      <c r="A1566" s="35" t="s">
        <v>1301</v>
      </c>
      <c r="B1566" s="3" t="s">
        <v>1302</v>
      </c>
      <c r="C1566" s="4"/>
      <c r="D1566" s="4"/>
      <c r="E1566" s="4"/>
      <c r="F1566" s="4"/>
      <c r="G1566" s="4"/>
      <c r="H1566" s="4"/>
      <c r="I1566" s="18" t="s">
        <v>2473</v>
      </c>
      <c r="J1566" s="18" t="s">
        <v>2473</v>
      </c>
      <c r="K1566" s="18" t="s">
        <v>2473</v>
      </c>
      <c r="AU1566" s="6"/>
      <c r="AV1566" s="6" t="str">
        <f t="shared" si="25"/>
        <v/>
      </c>
    </row>
    <row r="1567" spans="1:48" ht="14.65" thickBot="1" x14ac:dyDescent="0.5">
      <c r="A1567" s="35" t="s">
        <v>1303</v>
      </c>
      <c r="B1567" s="3" t="s">
        <v>1304</v>
      </c>
      <c r="C1567" s="4"/>
      <c r="D1567" s="4"/>
      <c r="E1567" s="4"/>
      <c r="F1567" s="4"/>
      <c r="G1567" s="4"/>
      <c r="H1567" s="4"/>
      <c r="I1567" s="18" t="s">
        <v>2473</v>
      </c>
      <c r="J1567" s="18" t="s">
        <v>2473</v>
      </c>
      <c r="K1567" s="18" t="s">
        <v>2473</v>
      </c>
      <c r="AU1567" s="6"/>
      <c r="AV1567" s="6" t="str">
        <f t="shared" si="25"/>
        <v/>
      </c>
    </row>
    <row r="1568" spans="1:48" ht="23.65" thickBot="1" x14ac:dyDescent="0.5">
      <c r="A1568" s="38" t="s">
        <v>1321</v>
      </c>
      <c r="B1568" s="3" t="s">
        <v>1322</v>
      </c>
      <c r="C1568" s="4"/>
      <c r="D1568" s="4"/>
      <c r="E1568" s="4"/>
      <c r="F1568" s="4"/>
      <c r="G1568" s="4"/>
      <c r="H1568" s="4"/>
      <c r="I1568" s="18" t="s">
        <v>2473</v>
      </c>
      <c r="J1568" s="18" t="s">
        <v>2473</v>
      </c>
      <c r="K1568" s="18" t="s">
        <v>2473</v>
      </c>
      <c r="AU1568" s="6"/>
      <c r="AV1568" s="6" t="str">
        <f t="shared" si="25"/>
        <v/>
      </c>
    </row>
    <row r="1569" spans="1:48" ht="14.65" thickBot="1" x14ac:dyDescent="0.5">
      <c r="A1569" s="35" t="s">
        <v>1301</v>
      </c>
      <c r="B1569" s="3" t="s">
        <v>1302</v>
      </c>
      <c r="C1569" s="4"/>
      <c r="D1569" s="4"/>
      <c r="E1569" s="4"/>
      <c r="F1569" s="4"/>
      <c r="G1569" s="4"/>
      <c r="H1569" s="4"/>
      <c r="I1569" s="18" t="s">
        <v>2473</v>
      </c>
      <c r="J1569" s="18" t="s">
        <v>2473</v>
      </c>
      <c r="K1569" s="18" t="s">
        <v>2473</v>
      </c>
      <c r="AU1569" s="6"/>
      <c r="AV1569" s="6" t="str">
        <f t="shared" si="25"/>
        <v/>
      </c>
    </row>
    <row r="1570" spans="1:48" ht="14.65" thickBot="1" x14ac:dyDescent="0.5">
      <c r="A1570" s="35" t="s">
        <v>1303</v>
      </c>
      <c r="B1570" s="3" t="s">
        <v>1304</v>
      </c>
      <c r="C1570" s="4"/>
      <c r="D1570" s="4"/>
      <c r="E1570" s="4"/>
      <c r="F1570" s="4"/>
      <c r="G1570" s="4"/>
      <c r="H1570" s="4"/>
      <c r="I1570" s="18" t="s">
        <v>2473</v>
      </c>
      <c r="J1570" s="18" t="s">
        <v>2473</v>
      </c>
      <c r="K1570" s="18" t="s">
        <v>2473</v>
      </c>
      <c r="AU1570" s="6"/>
      <c r="AV1570" s="6" t="str">
        <f t="shared" si="25"/>
        <v/>
      </c>
    </row>
    <row r="1571" spans="1:48" ht="14.65" thickBot="1" x14ac:dyDescent="0.5">
      <c r="A1571" s="36" t="s">
        <v>1323</v>
      </c>
      <c r="B1571" s="3" t="s">
        <v>1324</v>
      </c>
      <c r="C1571" s="4"/>
      <c r="D1571" s="4"/>
      <c r="E1571" s="4"/>
      <c r="F1571" s="4"/>
      <c r="G1571" s="4"/>
      <c r="H1571" s="4"/>
      <c r="I1571" s="18" t="s">
        <v>2473</v>
      </c>
      <c r="J1571" s="18" t="s">
        <v>2473</v>
      </c>
      <c r="K1571" s="18" t="s">
        <v>2473</v>
      </c>
      <c r="AU1571" s="6"/>
      <c r="AV1571" s="6" t="str">
        <f t="shared" si="25"/>
        <v/>
      </c>
    </row>
    <row r="1572" spans="1:48" ht="14.65" thickBot="1" x14ac:dyDescent="0.5">
      <c r="A1572" s="35" t="s">
        <v>1301</v>
      </c>
      <c r="B1572" s="3" t="s">
        <v>1302</v>
      </c>
      <c r="C1572" s="4"/>
      <c r="D1572" s="4"/>
      <c r="E1572" s="4"/>
      <c r="F1572" s="4"/>
      <c r="G1572" s="4"/>
      <c r="H1572" s="4"/>
      <c r="I1572" s="18" t="s">
        <v>2473</v>
      </c>
      <c r="J1572" s="18" t="s">
        <v>2473</v>
      </c>
      <c r="K1572" s="18" t="s">
        <v>2473</v>
      </c>
      <c r="AU1572" s="6"/>
      <c r="AV1572" s="6" t="str">
        <f t="shared" si="25"/>
        <v/>
      </c>
    </row>
    <row r="1573" spans="1:48" ht="14.65" thickBot="1" x14ac:dyDescent="0.5">
      <c r="A1573" s="35" t="s">
        <v>1303</v>
      </c>
      <c r="B1573" s="3" t="s">
        <v>1304</v>
      </c>
      <c r="C1573" s="4"/>
      <c r="D1573" s="4"/>
      <c r="E1573" s="4"/>
      <c r="F1573" s="4"/>
      <c r="G1573" s="4"/>
      <c r="H1573" s="4"/>
      <c r="I1573" s="18" t="s">
        <v>2473</v>
      </c>
      <c r="J1573" s="18" t="s">
        <v>2473</v>
      </c>
      <c r="K1573" s="18" t="s">
        <v>2473</v>
      </c>
      <c r="AU1573" s="6"/>
      <c r="AV1573" s="6" t="str">
        <f t="shared" si="25"/>
        <v/>
      </c>
    </row>
    <row r="1574" spans="1:48" ht="14.65" thickBot="1" x14ac:dyDescent="0.5">
      <c r="A1574" s="36" t="s">
        <v>1325</v>
      </c>
      <c r="B1574" s="3" t="s">
        <v>1326</v>
      </c>
      <c r="C1574" s="4" t="s">
        <v>37</v>
      </c>
      <c r="D1574" s="4" t="s">
        <v>37</v>
      </c>
      <c r="E1574" s="4" t="s">
        <v>37</v>
      </c>
      <c r="F1574" s="4" t="s">
        <v>37</v>
      </c>
      <c r="G1574" s="4" t="s">
        <v>37</v>
      </c>
      <c r="H1574" s="4" t="s">
        <v>37</v>
      </c>
      <c r="I1574" s="18" t="s">
        <v>2473</v>
      </c>
      <c r="J1574" s="18" t="s">
        <v>2473</v>
      </c>
      <c r="K1574" s="18" t="s">
        <v>2473</v>
      </c>
      <c r="AU1574" s="6"/>
      <c r="AV1574" s="6" t="str">
        <f t="shared" si="25"/>
        <v/>
      </c>
    </row>
    <row r="1575" spans="1:48" ht="14.65" thickBot="1" x14ac:dyDescent="0.5">
      <c r="A1575" s="35" t="s">
        <v>1327</v>
      </c>
      <c r="B1575" s="3" t="s">
        <v>1328</v>
      </c>
      <c r="C1575" s="4" t="s">
        <v>10</v>
      </c>
      <c r="D1575" s="4" t="s">
        <v>10</v>
      </c>
      <c r="E1575" s="4" t="s">
        <v>10</v>
      </c>
      <c r="F1575" s="4" t="s">
        <v>10</v>
      </c>
      <c r="G1575" s="4" t="s">
        <v>10</v>
      </c>
      <c r="H1575" s="4" t="s">
        <v>10</v>
      </c>
      <c r="I1575" s="18" t="s">
        <v>2473</v>
      </c>
      <c r="J1575" s="18" t="s">
        <v>2473</v>
      </c>
      <c r="K1575" s="18" t="s">
        <v>2473</v>
      </c>
      <c r="AU1575" s="6"/>
      <c r="AV1575" s="6" t="str">
        <f t="shared" si="25"/>
        <v/>
      </c>
    </row>
    <row r="1576" spans="1:48" ht="14.65" thickBot="1" x14ac:dyDescent="0.5">
      <c r="A1576" s="35" t="s">
        <v>1329</v>
      </c>
      <c r="B1576" s="3" t="s">
        <v>1330</v>
      </c>
      <c r="C1576" s="4" t="s">
        <v>10</v>
      </c>
      <c r="D1576" s="4" t="s">
        <v>10</v>
      </c>
      <c r="E1576" s="4" t="s">
        <v>10</v>
      </c>
      <c r="F1576" s="4" t="s">
        <v>10</v>
      </c>
      <c r="G1576" s="4" t="s">
        <v>10</v>
      </c>
      <c r="H1576" s="4" t="s">
        <v>10</v>
      </c>
      <c r="I1576" s="18" t="s">
        <v>2473</v>
      </c>
      <c r="J1576" s="18" t="s">
        <v>2473</v>
      </c>
      <c r="K1576" s="18" t="s">
        <v>2473</v>
      </c>
      <c r="AU1576" s="6"/>
      <c r="AV1576" s="6" t="str">
        <f t="shared" si="25"/>
        <v/>
      </c>
    </row>
    <row r="1577" spans="1:48" ht="14.65" thickBot="1" x14ac:dyDescent="0.5">
      <c r="A1577" s="35" t="s">
        <v>1331</v>
      </c>
      <c r="B1577" s="3" t="s">
        <v>1332</v>
      </c>
      <c r="C1577" s="4" t="s">
        <v>10</v>
      </c>
      <c r="D1577" s="4" t="s">
        <v>10</v>
      </c>
      <c r="E1577" s="4" t="s">
        <v>10</v>
      </c>
      <c r="F1577" s="4" t="s">
        <v>10</v>
      </c>
      <c r="G1577" s="4" t="s">
        <v>10</v>
      </c>
      <c r="H1577" s="4" t="s">
        <v>10</v>
      </c>
      <c r="I1577" s="18" t="s">
        <v>2473</v>
      </c>
      <c r="J1577" s="18" t="s">
        <v>2473</v>
      </c>
      <c r="K1577" s="18" t="s">
        <v>2473</v>
      </c>
      <c r="AU1577" s="6"/>
      <c r="AV1577" s="6" t="str">
        <f t="shared" si="25"/>
        <v/>
      </c>
    </row>
    <row r="1578" spans="1:48" ht="14.65" thickBot="1" x14ac:dyDescent="0.5">
      <c r="A1578" s="35" t="s">
        <v>1301</v>
      </c>
      <c r="B1578" s="3" t="s">
        <v>1302</v>
      </c>
      <c r="C1578" s="4" t="s">
        <v>10</v>
      </c>
      <c r="D1578" s="4" t="s">
        <v>10</v>
      </c>
      <c r="E1578" s="4" t="s">
        <v>10</v>
      </c>
      <c r="F1578" s="4" t="s">
        <v>10</v>
      </c>
      <c r="G1578" s="4" t="s">
        <v>10</v>
      </c>
      <c r="H1578" s="4" t="s">
        <v>10</v>
      </c>
      <c r="I1578" s="18" t="s">
        <v>2473</v>
      </c>
      <c r="J1578" s="18" t="s">
        <v>2473</v>
      </c>
      <c r="K1578" s="18" t="s">
        <v>2473</v>
      </c>
      <c r="AU1578" s="6"/>
      <c r="AV1578" s="6" t="str">
        <f t="shared" si="25"/>
        <v/>
      </c>
    </row>
    <row r="1579" spans="1:48" ht="14.65" thickBot="1" x14ac:dyDescent="0.5">
      <c r="A1579" s="35" t="s">
        <v>1303</v>
      </c>
      <c r="B1579" s="3" t="s">
        <v>1304</v>
      </c>
      <c r="C1579" s="4" t="s">
        <v>10</v>
      </c>
      <c r="D1579" s="4" t="s">
        <v>10</v>
      </c>
      <c r="E1579" s="4" t="s">
        <v>10</v>
      </c>
      <c r="F1579" s="4" t="s">
        <v>10</v>
      </c>
      <c r="G1579" s="4" t="s">
        <v>10</v>
      </c>
      <c r="H1579" s="4" t="s">
        <v>10</v>
      </c>
      <c r="I1579" s="18" t="s">
        <v>2473</v>
      </c>
      <c r="J1579" s="18" t="s">
        <v>2473</v>
      </c>
      <c r="K1579" s="18" t="s">
        <v>2473</v>
      </c>
      <c r="AU1579" s="6"/>
      <c r="AV1579" s="6" t="str">
        <f t="shared" si="25"/>
        <v/>
      </c>
    </row>
    <row r="1580" spans="1:48" ht="14.65" thickBot="1" x14ac:dyDescent="0.5">
      <c r="A1580" s="36" t="s">
        <v>1333</v>
      </c>
      <c r="B1580" s="3" t="s">
        <v>1334</v>
      </c>
      <c r="C1580" s="4" t="s">
        <v>37</v>
      </c>
      <c r="D1580" s="4" t="s">
        <v>37</v>
      </c>
      <c r="E1580" s="4" t="s">
        <v>37</v>
      </c>
      <c r="F1580" s="4" t="s">
        <v>37</v>
      </c>
      <c r="G1580" s="4" t="s">
        <v>37</v>
      </c>
      <c r="H1580" s="4" t="s">
        <v>37</v>
      </c>
      <c r="I1580" s="18" t="s">
        <v>2473</v>
      </c>
      <c r="J1580" s="18" t="s">
        <v>2473</v>
      </c>
      <c r="K1580" s="18" t="s">
        <v>2473</v>
      </c>
      <c r="AU1580" s="6"/>
      <c r="AV1580" s="6" t="str">
        <f t="shared" si="25"/>
        <v/>
      </c>
    </row>
    <row r="1581" spans="1:48" ht="14.65" thickBot="1" x14ac:dyDescent="0.5">
      <c r="A1581" s="35" t="s">
        <v>1301</v>
      </c>
      <c r="B1581" s="3" t="s">
        <v>1302</v>
      </c>
      <c r="C1581" s="4" t="s">
        <v>10</v>
      </c>
      <c r="D1581" s="4" t="s">
        <v>10</v>
      </c>
      <c r="E1581" s="4" t="s">
        <v>10</v>
      </c>
      <c r="F1581" s="4" t="s">
        <v>10</v>
      </c>
      <c r="G1581" s="4" t="s">
        <v>10</v>
      </c>
      <c r="H1581" s="4" t="s">
        <v>10</v>
      </c>
      <c r="I1581" s="18" t="s">
        <v>2473</v>
      </c>
      <c r="J1581" s="18" t="s">
        <v>2473</v>
      </c>
      <c r="K1581" s="18" t="s">
        <v>2473</v>
      </c>
      <c r="AU1581" s="6"/>
      <c r="AV1581" s="6" t="str">
        <f t="shared" si="25"/>
        <v/>
      </c>
    </row>
    <row r="1582" spans="1:48" ht="14.65" thickBot="1" x14ac:dyDescent="0.5">
      <c r="A1582" s="35" t="s">
        <v>1303</v>
      </c>
      <c r="B1582" s="3" t="s">
        <v>1304</v>
      </c>
      <c r="C1582" s="4" t="s">
        <v>10</v>
      </c>
      <c r="D1582" s="4" t="s">
        <v>10</v>
      </c>
      <c r="E1582" s="4" t="s">
        <v>10</v>
      </c>
      <c r="F1582" s="4" t="s">
        <v>10</v>
      </c>
      <c r="G1582" s="4" t="s">
        <v>10</v>
      </c>
      <c r="H1582" s="4" t="s">
        <v>10</v>
      </c>
      <c r="I1582" s="18" t="s">
        <v>2473</v>
      </c>
      <c r="J1582" s="18" t="s">
        <v>2473</v>
      </c>
      <c r="K1582" s="18" t="s">
        <v>2473</v>
      </c>
      <c r="AU1582" s="6"/>
      <c r="AV1582" s="6" t="str">
        <f t="shared" si="25"/>
        <v/>
      </c>
    </row>
    <row r="1583" spans="1:48" ht="47.65" thickBot="1" x14ac:dyDescent="0.5">
      <c r="A1583" s="36" t="s">
        <v>145</v>
      </c>
      <c r="B1583" s="3" t="s">
        <v>3968</v>
      </c>
      <c r="C1583" s="4"/>
      <c r="D1583" s="4"/>
      <c r="E1583" s="4"/>
      <c r="F1583" s="4"/>
      <c r="G1583" s="4"/>
      <c r="H1583" s="4"/>
      <c r="I1583" s="18" t="s">
        <v>2473</v>
      </c>
      <c r="J1583" s="18" t="s">
        <v>2473</v>
      </c>
      <c r="K1583" s="18" t="s">
        <v>2473</v>
      </c>
      <c r="AS1583" s="139" t="s">
        <v>5354</v>
      </c>
      <c r="AU1583" s="6"/>
      <c r="AV1583" s="6" t="str">
        <f t="shared" si="25"/>
        <v/>
      </c>
    </row>
    <row r="1584" spans="1:48" ht="47.65" thickBot="1" x14ac:dyDescent="0.5">
      <c r="A1584" s="35" t="s">
        <v>5361</v>
      </c>
      <c r="B1584" s="3" t="s">
        <v>5352</v>
      </c>
      <c r="C1584" s="4"/>
      <c r="D1584" s="4"/>
      <c r="E1584" s="4"/>
      <c r="F1584" s="4"/>
      <c r="G1584" s="4"/>
      <c r="H1584" s="4"/>
      <c r="I1584" s="18" t="s">
        <v>2473</v>
      </c>
      <c r="J1584" s="18" t="s">
        <v>2473</v>
      </c>
      <c r="K1584" s="18" t="s">
        <v>2473</v>
      </c>
      <c r="Q1584" s="131"/>
      <c r="R1584" s="131"/>
      <c r="S1584" s="131"/>
      <c r="T1584" s="131"/>
      <c r="U1584" s="131"/>
      <c r="V1584" s="131"/>
      <c r="W1584" s="131"/>
      <c r="X1584" s="131"/>
      <c r="AS1584" s="139" t="s">
        <v>5373</v>
      </c>
      <c r="AU1584" s="6"/>
      <c r="AV1584" s="6"/>
    </row>
    <row r="1585" spans="1:48" ht="47.65" thickBot="1" x14ac:dyDescent="0.5">
      <c r="A1585" s="35" t="s">
        <v>5360</v>
      </c>
      <c r="B1585" s="3" t="s">
        <v>5353</v>
      </c>
      <c r="C1585" s="4"/>
      <c r="D1585" s="4"/>
      <c r="E1585" s="4"/>
      <c r="F1585" s="4"/>
      <c r="G1585" s="4"/>
      <c r="H1585" s="4"/>
      <c r="I1585" s="18" t="s">
        <v>2473</v>
      </c>
      <c r="J1585" s="18" t="s">
        <v>2473</v>
      </c>
      <c r="K1585" s="18" t="s">
        <v>2473</v>
      </c>
      <c r="Q1585" s="131"/>
      <c r="R1585" s="131"/>
      <c r="S1585" s="131"/>
      <c r="T1585" s="131"/>
      <c r="U1585" s="131"/>
      <c r="V1585" s="131"/>
      <c r="W1585" s="131"/>
      <c r="X1585" s="131"/>
      <c r="AS1585" s="139" t="s">
        <v>5373</v>
      </c>
      <c r="AU1585" s="6"/>
      <c r="AV1585" s="6"/>
    </row>
    <row r="1586" spans="1:48" ht="14.65" thickBot="1" x14ac:dyDescent="0.5">
      <c r="A1586" s="36" t="s">
        <v>1335</v>
      </c>
      <c r="B1586" s="3" t="s">
        <v>1336</v>
      </c>
      <c r="C1586" s="4"/>
      <c r="D1586" s="4"/>
      <c r="E1586" s="4"/>
      <c r="F1586" s="4"/>
      <c r="G1586" s="4"/>
      <c r="H1586" s="4"/>
      <c r="I1586" s="18" t="s">
        <v>2473</v>
      </c>
      <c r="J1586" s="18" t="s">
        <v>2473</v>
      </c>
      <c r="K1586" s="18" t="s">
        <v>2473</v>
      </c>
      <c r="AU1586" s="6"/>
      <c r="AV1586" s="6" t="str">
        <f t="shared" si="25"/>
        <v/>
      </c>
    </row>
    <row r="1587" spans="1:48" ht="14.65" thickBot="1" x14ac:dyDescent="0.5">
      <c r="A1587" s="35" t="s">
        <v>1301</v>
      </c>
      <c r="B1587" s="3" t="s">
        <v>1302</v>
      </c>
      <c r="C1587" s="4"/>
      <c r="D1587" s="4"/>
      <c r="E1587" s="4"/>
      <c r="F1587" s="4"/>
      <c r="G1587" s="4"/>
      <c r="H1587" s="4"/>
      <c r="I1587" s="18" t="s">
        <v>2473</v>
      </c>
      <c r="J1587" s="18" t="s">
        <v>2473</v>
      </c>
      <c r="K1587" s="18" t="s">
        <v>2473</v>
      </c>
      <c r="AU1587" s="6"/>
      <c r="AV1587" s="6" t="str">
        <f t="shared" si="25"/>
        <v/>
      </c>
    </row>
    <row r="1588" spans="1:48" ht="14.65" thickBot="1" x14ac:dyDescent="0.5">
      <c r="A1588" s="35" t="s">
        <v>1303</v>
      </c>
      <c r="B1588" s="3" t="s">
        <v>1304</v>
      </c>
      <c r="C1588" s="4"/>
      <c r="D1588" s="4"/>
      <c r="E1588" s="4"/>
      <c r="F1588" s="4"/>
      <c r="G1588" s="4"/>
      <c r="H1588" s="4"/>
      <c r="I1588" s="18" t="s">
        <v>2473</v>
      </c>
      <c r="J1588" s="18" t="s">
        <v>2473</v>
      </c>
      <c r="K1588" s="18" t="s">
        <v>2473</v>
      </c>
      <c r="AU1588" s="6"/>
      <c r="AV1588" s="6" t="str">
        <f t="shared" si="25"/>
        <v/>
      </c>
    </row>
    <row r="1589" spans="1:48" ht="14.65" thickBot="1" x14ac:dyDescent="0.5">
      <c r="A1589" s="36" t="s">
        <v>932</v>
      </c>
      <c r="B1589" s="3" t="s">
        <v>1337</v>
      </c>
      <c r="C1589" s="4"/>
      <c r="D1589" s="4"/>
      <c r="E1589" s="4"/>
      <c r="F1589" s="4"/>
      <c r="G1589" s="4"/>
      <c r="H1589" s="4"/>
      <c r="I1589" s="18" t="s">
        <v>2473</v>
      </c>
      <c r="J1589" s="18" t="s">
        <v>2473</v>
      </c>
      <c r="K1589" s="18" t="s">
        <v>2473</v>
      </c>
      <c r="AU1589" s="6"/>
      <c r="AV1589" s="6" t="str">
        <f t="shared" ref="AV1589:AV1658" si="26">IF(A1589&lt;&gt;"",IF(T1589&lt;&gt;"",IF(LEFT(R1589,3)="Has",IF(TRIM(A1589)&lt;&gt;T1589,"ERROR","OK"),""),""),"")</f>
        <v/>
      </c>
    </row>
    <row r="1590" spans="1:48" ht="14.65" thickBot="1" x14ac:dyDescent="0.5">
      <c r="A1590" s="35" t="s">
        <v>1301</v>
      </c>
      <c r="B1590" s="3" t="s">
        <v>1302</v>
      </c>
      <c r="C1590" s="4"/>
      <c r="D1590" s="4"/>
      <c r="E1590" s="4"/>
      <c r="F1590" s="4"/>
      <c r="G1590" s="4"/>
      <c r="H1590" s="4"/>
      <c r="I1590" s="18" t="s">
        <v>2473</v>
      </c>
      <c r="J1590" s="18" t="s">
        <v>2473</v>
      </c>
      <c r="K1590" s="18" t="s">
        <v>2473</v>
      </c>
      <c r="AU1590" s="6"/>
      <c r="AV1590" s="6" t="str">
        <f t="shared" si="26"/>
        <v/>
      </c>
    </row>
    <row r="1591" spans="1:48" ht="14.65" thickBot="1" x14ac:dyDescent="0.5">
      <c r="A1591" s="35" t="s">
        <v>1303</v>
      </c>
      <c r="B1591" s="3" t="s">
        <v>1304</v>
      </c>
      <c r="C1591" s="4"/>
      <c r="D1591" s="4"/>
      <c r="E1591" s="4"/>
      <c r="F1591" s="4"/>
      <c r="G1591" s="4"/>
      <c r="H1591" s="4"/>
      <c r="I1591" s="18" t="s">
        <v>2473</v>
      </c>
      <c r="J1591" s="18" t="s">
        <v>2473</v>
      </c>
      <c r="K1591" s="18" t="s">
        <v>2473</v>
      </c>
      <c r="AU1591" s="6"/>
      <c r="AV1591" s="6" t="str">
        <f t="shared" si="26"/>
        <v/>
      </c>
    </row>
    <row r="1592" spans="1:48" x14ac:dyDescent="0.45">
      <c r="A1592" s="33" t="s">
        <v>1338</v>
      </c>
      <c r="I1592" s="18" t="s">
        <v>2473</v>
      </c>
      <c r="J1592" s="18" t="s">
        <v>2473</v>
      </c>
      <c r="K1592" s="18" t="s">
        <v>2473</v>
      </c>
      <c r="AU1592" s="6"/>
      <c r="AV1592" s="6" t="str">
        <f t="shared" si="26"/>
        <v/>
      </c>
    </row>
    <row r="1593" spans="1:48" x14ac:dyDescent="0.45">
      <c r="A1593" s="34" t="s">
        <v>1339</v>
      </c>
      <c r="I1593" s="18" t="s">
        <v>2473</v>
      </c>
      <c r="J1593" s="18" t="s">
        <v>2473</v>
      </c>
      <c r="K1593" s="18" t="s">
        <v>2473</v>
      </c>
      <c r="AU1593" s="6"/>
      <c r="AV1593" s="6" t="str">
        <f t="shared" si="26"/>
        <v/>
      </c>
    </row>
    <row r="1594" spans="1:48" s="79" customFormat="1" x14ac:dyDescent="0.45">
      <c r="A1594" s="75"/>
      <c r="B1594" s="76"/>
      <c r="C1594" s="77"/>
      <c r="D1594" s="77"/>
      <c r="E1594" s="77"/>
      <c r="F1594" s="77"/>
      <c r="G1594" s="77"/>
      <c r="H1594" s="77"/>
      <c r="I1594" s="77"/>
      <c r="J1594" s="77"/>
      <c r="K1594" s="77"/>
      <c r="L1594" s="77"/>
      <c r="M1594" s="148"/>
      <c r="N1594" s="78"/>
      <c r="O1594" s="78"/>
      <c r="P1594" s="78"/>
      <c r="Q1594" s="78"/>
      <c r="R1594" s="78"/>
      <c r="S1594" s="78"/>
      <c r="T1594" s="78"/>
      <c r="U1594" s="78"/>
      <c r="V1594" s="78"/>
      <c r="W1594" s="78"/>
      <c r="X1594" s="78"/>
      <c r="Y1594" s="148"/>
      <c r="Z1594" s="78"/>
      <c r="AA1594" s="78"/>
      <c r="AB1594" s="78"/>
      <c r="AC1594" s="78"/>
      <c r="AD1594" s="78"/>
      <c r="AE1594" s="156"/>
      <c r="AF1594" s="156"/>
      <c r="AG1594" s="78"/>
      <c r="AH1594" s="78"/>
      <c r="AI1594" s="78"/>
      <c r="AJ1594" s="78"/>
      <c r="AK1594" s="78"/>
      <c r="AL1594" s="78"/>
      <c r="AM1594" s="78"/>
      <c r="AN1594" s="78"/>
      <c r="AO1594" s="78"/>
      <c r="AP1594" s="78"/>
      <c r="AQ1594" s="78"/>
      <c r="AR1594" s="286"/>
      <c r="AS1594" s="78"/>
      <c r="AT1594" s="78"/>
      <c r="AU1594" s="8"/>
      <c r="AV1594" s="6" t="str">
        <f t="shared" si="26"/>
        <v/>
      </c>
    </row>
    <row r="1595" spans="1:48" x14ac:dyDescent="0.45">
      <c r="A1595" s="27" t="s">
        <v>2432</v>
      </c>
      <c r="I1595" s="18" t="s">
        <v>2473</v>
      </c>
      <c r="J1595" s="18" t="s">
        <v>2473</v>
      </c>
      <c r="K1595" s="18" t="s">
        <v>2473</v>
      </c>
      <c r="AU1595" s="6"/>
      <c r="AV1595" s="6" t="str">
        <f t="shared" si="26"/>
        <v/>
      </c>
    </row>
    <row r="1596" spans="1:48" x14ac:dyDescent="0.45">
      <c r="A1596" s="323" t="s">
        <v>2524</v>
      </c>
      <c r="B1596" s="324"/>
      <c r="C1596" s="324"/>
      <c r="D1596" s="324"/>
      <c r="E1596" s="324"/>
      <c r="F1596" s="324"/>
      <c r="G1596" s="101"/>
      <c r="H1596" s="101"/>
      <c r="I1596" s="18" t="s">
        <v>2473</v>
      </c>
      <c r="J1596" s="18" t="s">
        <v>2473</v>
      </c>
      <c r="K1596" s="18" t="s">
        <v>2473</v>
      </c>
      <c r="AU1596" s="6"/>
      <c r="AV1596" s="6" t="str">
        <f t="shared" si="26"/>
        <v/>
      </c>
    </row>
    <row r="1597" spans="1:48" ht="14.65" thickBot="1" x14ac:dyDescent="0.5">
      <c r="A1597" s="28" t="s">
        <v>1340</v>
      </c>
      <c r="I1597" s="18" t="s">
        <v>2473</v>
      </c>
      <c r="J1597" s="18" t="s">
        <v>2473</v>
      </c>
      <c r="K1597" s="18" t="s">
        <v>2473</v>
      </c>
      <c r="AA1597" s="183" t="s">
        <v>2322</v>
      </c>
      <c r="AB1597" s="183" t="s">
        <v>1697</v>
      </c>
      <c r="AC1597" s="183" t="s">
        <v>5</v>
      </c>
      <c r="AU1597" s="6"/>
      <c r="AV1597" s="6" t="str">
        <f t="shared" si="26"/>
        <v/>
      </c>
    </row>
    <row r="1598" spans="1:48" ht="105" thickBot="1" x14ac:dyDescent="0.5">
      <c r="A1598" s="309" t="s">
        <v>1341</v>
      </c>
      <c r="B1598" s="310"/>
      <c r="C1598" s="301" t="s">
        <v>1</v>
      </c>
      <c r="D1598" s="319"/>
      <c r="E1598" s="319"/>
      <c r="F1598" s="302"/>
      <c r="G1598" s="102"/>
      <c r="H1598" s="102"/>
      <c r="I1598" s="18" t="s">
        <v>2473</v>
      </c>
      <c r="AA1598" s="183" t="str">
        <f>LEFT($A1598,FIND(" ",$A1598)-1)</f>
        <v>NetworkDeviceFunction</v>
      </c>
      <c r="AB1598" s="183" t="str">
        <f>MID($A1598,FIND("(",$A1598)+1,LEN($A1598)-FIND("(",$A1598)-1)</f>
        <v>1.3.0</v>
      </c>
      <c r="AC1598" s="101" t="str">
        <f>A1596</f>
        <v>A NetworkDeviceFunction resource represents a logical interface exposed by the NetworkAdapter.</v>
      </c>
      <c r="AU1598" s="6"/>
      <c r="AV1598" s="6" t="str">
        <f t="shared" si="26"/>
        <v/>
      </c>
    </row>
    <row r="1599" spans="1:48" ht="14.65" thickBot="1" x14ac:dyDescent="0.5">
      <c r="A1599" s="311"/>
      <c r="B1599" s="312"/>
      <c r="C1599" s="301" t="s">
        <v>2</v>
      </c>
      <c r="D1599" s="302"/>
      <c r="E1599" s="301" t="s">
        <v>3</v>
      </c>
      <c r="F1599" s="302"/>
      <c r="G1599" s="301" t="s">
        <v>2896</v>
      </c>
      <c r="H1599" s="302"/>
      <c r="I1599" s="18" t="s">
        <v>2473</v>
      </c>
      <c r="AA1599" s="183" t="s">
        <v>2322</v>
      </c>
      <c r="AB1599" s="183" t="s">
        <v>1697</v>
      </c>
      <c r="AC1599" s="183" t="s">
        <v>5</v>
      </c>
      <c r="AU1599" s="6"/>
      <c r="AV1599" s="6" t="str">
        <f t="shared" si="26"/>
        <v/>
      </c>
    </row>
    <row r="1600" spans="1:48" ht="105" thickBot="1" x14ac:dyDescent="0.5">
      <c r="A1600" s="309" t="s">
        <v>3106</v>
      </c>
      <c r="B1600" s="310"/>
      <c r="C1600" s="301" t="s">
        <v>1</v>
      </c>
      <c r="D1600" s="319"/>
      <c r="E1600" s="319"/>
      <c r="F1600" s="302"/>
      <c r="G1600" s="102"/>
      <c r="H1600" s="102"/>
      <c r="J1600" s="18" t="s">
        <v>2473</v>
      </c>
      <c r="K1600" s="18" t="s">
        <v>2473</v>
      </c>
      <c r="AA1600" s="183" t="str">
        <f>LEFT($A1600,FIND(" ",$A1600)-1)</f>
        <v>NetworkDeviceFunction</v>
      </c>
      <c r="AB1600" s="183" t="str">
        <f>MID($A1600,FIND("(",$A1600)+1,LEN($A1600)-FIND("(",$A1600)-1)</f>
        <v>1.3.2</v>
      </c>
      <c r="AC1600" s="101" t="str">
        <f>AC1598</f>
        <v>A NetworkDeviceFunction resource represents a logical interface exposed by the NetworkAdapter.</v>
      </c>
      <c r="AU1600" s="6"/>
      <c r="AV1600" s="6" t="str">
        <f t="shared" si="26"/>
        <v/>
      </c>
    </row>
    <row r="1601" spans="1:48" ht="14.65" thickBot="1" x14ac:dyDescent="0.5">
      <c r="A1601" s="311"/>
      <c r="B1601" s="312"/>
      <c r="C1601" s="301" t="s">
        <v>2</v>
      </c>
      <c r="D1601" s="302"/>
      <c r="E1601" s="301" t="s">
        <v>3</v>
      </c>
      <c r="F1601" s="302"/>
      <c r="G1601" s="301" t="s">
        <v>2896</v>
      </c>
      <c r="H1601" s="302"/>
      <c r="J1601" s="18" t="s">
        <v>2473</v>
      </c>
      <c r="K1601" s="18" t="s">
        <v>2473</v>
      </c>
      <c r="AM1601" s="8" t="str">
        <f>C1601</f>
        <v>OSM-Redfish</v>
      </c>
      <c r="AN1601" s="8" t="str">
        <f>E1601</f>
        <v>OSM-RedfishBMC</v>
      </c>
      <c r="AO1601" s="8" t="str">
        <f>G1601</f>
        <v>OSM-RedfishDCN</v>
      </c>
      <c r="AU1601" s="6"/>
      <c r="AV1601" s="6" t="str">
        <f t="shared" si="26"/>
        <v/>
      </c>
    </row>
    <row r="1602" spans="1:48" ht="14.65" thickBot="1" x14ac:dyDescent="0.5">
      <c r="A1602" s="46" t="s">
        <v>2377</v>
      </c>
      <c r="B1602" s="47"/>
      <c r="C1602" s="303" t="s">
        <v>37</v>
      </c>
      <c r="D1602" s="304"/>
      <c r="E1602" s="303" t="s">
        <v>37</v>
      </c>
      <c r="F1602" s="304"/>
      <c r="G1602" s="303" t="s">
        <v>37</v>
      </c>
      <c r="H1602" s="304"/>
      <c r="I1602" s="18" t="s">
        <v>2473</v>
      </c>
      <c r="J1602" s="18" t="s">
        <v>2473</v>
      </c>
      <c r="K1602" s="18" t="s">
        <v>2473</v>
      </c>
      <c r="AM1602" s="8" t="str">
        <f>IF(C1602&lt;&gt;"","CRQ-P5-"&amp;(AM$2+$AP1602*$AP$3),"")</f>
        <v>CRQ-P5-1152</v>
      </c>
      <c r="AN1602" s="8" t="str">
        <f>IF(E1602&lt;&gt;"","CRQ-P5-"&amp;(AN$2+$AP1602*$AP$3),"")</f>
        <v>CRQ-P5-1452</v>
      </c>
      <c r="AO1602" s="8" t="str">
        <f>IF(G1602&lt;&gt;"","CRQ-P5-"&amp;(AO$2+$AP1602*$AP$3),"")</f>
        <v>CRQ-P5-1752</v>
      </c>
      <c r="AP1602" s="8">
        <v>38</v>
      </c>
      <c r="AU1602" s="6"/>
      <c r="AV1602" s="6" t="str">
        <f t="shared" si="26"/>
        <v/>
      </c>
    </row>
    <row r="1603" spans="1:48" ht="14.65" thickBot="1" x14ac:dyDescent="0.5">
      <c r="A1603" s="29" t="s">
        <v>3394</v>
      </c>
      <c r="B1603" s="9"/>
      <c r="C1603" s="305" t="str">
        <f>MID($A1598,FIND("(",$A1598)+1,5)</f>
        <v>1.3.0</v>
      </c>
      <c r="D1603" s="306"/>
      <c r="E1603" s="305" t="s">
        <v>3407</v>
      </c>
      <c r="F1603" s="306"/>
      <c r="G1603" s="305" t="str">
        <f>MID($A1598,FIND("(",$A1598)+1,5)</f>
        <v>1.3.0</v>
      </c>
      <c r="H1603" s="306"/>
      <c r="I1603" s="18" t="s">
        <v>2473</v>
      </c>
      <c r="J1603" s="18" t="s">
        <v>2473</v>
      </c>
      <c r="K1603" s="18" t="s">
        <v>2473</v>
      </c>
      <c r="AU1603" s="6"/>
      <c r="AV1603" s="6" t="str">
        <f t="shared" si="26"/>
        <v/>
      </c>
    </row>
    <row r="1604" spans="1:48" ht="14.65" thickBot="1" x14ac:dyDescent="0.5">
      <c r="A1604" s="30" t="s">
        <v>4</v>
      </c>
      <c r="B1604" s="59" t="s">
        <v>5</v>
      </c>
      <c r="C1604" s="7" t="s">
        <v>6</v>
      </c>
      <c r="D1604" s="7" t="s">
        <v>7</v>
      </c>
      <c r="E1604" s="7" t="s">
        <v>6</v>
      </c>
      <c r="F1604" s="7" t="s">
        <v>7</v>
      </c>
      <c r="G1604" s="7" t="s">
        <v>6</v>
      </c>
      <c r="H1604" s="7" t="s">
        <v>7</v>
      </c>
      <c r="I1604" s="18" t="s">
        <v>2473</v>
      </c>
      <c r="J1604" s="18" t="s">
        <v>2473</v>
      </c>
      <c r="K1604" s="18" t="s">
        <v>2473</v>
      </c>
      <c r="AU1604" s="6"/>
      <c r="AV1604" s="6" t="str">
        <f t="shared" si="26"/>
        <v/>
      </c>
    </row>
    <row r="1605" spans="1:48" ht="14.65" thickBot="1" x14ac:dyDescent="0.5">
      <c r="A1605" s="36" t="s">
        <v>8</v>
      </c>
      <c r="B1605" s="5" t="s">
        <v>9</v>
      </c>
      <c r="C1605" s="4"/>
      <c r="D1605" s="4"/>
      <c r="E1605" s="4"/>
      <c r="F1605" s="4"/>
      <c r="G1605" s="4"/>
      <c r="H1605" s="4"/>
      <c r="I1605" s="18" t="s">
        <v>2473</v>
      </c>
      <c r="J1605" s="18" t="s">
        <v>2473</v>
      </c>
      <c r="K1605" s="18" t="s">
        <v>2473</v>
      </c>
      <c r="AU1605" s="6"/>
      <c r="AV1605" s="6" t="str">
        <f t="shared" si="26"/>
        <v/>
      </c>
    </row>
    <row r="1606" spans="1:48" ht="47.65" thickBot="1" x14ac:dyDescent="0.5">
      <c r="A1606" s="36" t="s">
        <v>1342</v>
      </c>
      <c r="B1606" s="3" t="s">
        <v>5807</v>
      </c>
      <c r="C1606" s="4" t="s">
        <v>10</v>
      </c>
      <c r="D1606" s="4"/>
      <c r="E1606" s="4" t="s">
        <v>10</v>
      </c>
      <c r="F1606" s="4"/>
      <c r="G1606" s="4" t="s">
        <v>10</v>
      </c>
      <c r="H1606" s="4"/>
      <c r="I1606" s="18" t="s">
        <v>2473</v>
      </c>
      <c r="J1606" s="18" t="s">
        <v>2473</v>
      </c>
      <c r="K1606" s="18" t="s">
        <v>2473</v>
      </c>
      <c r="M1606" s="244" t="s">
        <v>5809</v>
      </c>
      <c r="AS1606" s="240" t="s">
        <v>5811</v>
      </c>
      <c r="AU1606" s="6"/>
      <c r="AV1606" s="6" t="str">
        <f t="shared" ref="AV1606:AV1607" si="27">IF(A1606&lt;&gt;"",IF(T1606&lt;&gt;"",IF(LEFT(R1606,3)="Has",IF(TRIM(A1606)&lt;&gt;T1606,"ERROR","OK"),""),""),"")</f>
        <v/>
      </c>
    </row>
    <row r="1607" spans="1:48" ht="14.65" thickBot="1" x14ac:dyDescent="0.5">
      <c r="A1607" s="35" t="s">
        <v>33</v>
      </c>
      <c r="B1607" s="3" t="s">
        <v>1343</v>
      </c>
      <c r="C1607" s="4"/>
      <c r="D1607" s="4"/>
      <c r="E1607" s="4"/>
      <c r="F1607" s="4"/>
      <c r="G1607" s="4"/>
      <c r="H1607" s="4"/>
      <c r="I1607" s="18" t="s">
        <v>2473</v>
      </c>
      <c r="J1607" s="18" t="s">
        <v>2473</v>
      </c>
      <c r="K1607" s="18" t="s">
        <v>2473</v>
      </c>
      <c r="AU1607" s="6"/>
      <c r="AV1607" s="6" t="str">
        <f t="shared" si="27"/>
        <v/>
      </c>
    </row>
    <row r="1608" spans="1:48" ht="36" thickBot="1" x14ac:dyDescent="0.5">
      <c r="A1608" s="36" t="s">
        <v>5806</v>
      </c>
      <c r="B1608" s="3" t="s">
        <v>5808</v>
      </c>
      <c r="C1608" s="4" t="s">
        <v>10</v>
      </c>
      <c r="D1608" s="4"/>
      <c r="E1608" s="4" t="s">
        <v>10</v>
      </c>
      <c r="F1608" s="4"/>
      <c r="G1608" s="4" t="s">
        <v>10</v>
      </c>
      <c r="H1608" s="4"/>
      <c r="J1608" s="18" t="s">
        <v>2473</v>
      </c>
      <c r="K1608" s="18" t="s">
        <v>2473</v>
      </c>
      <c r="M1608" s="244" t="s">
        <v>5810</v>
      </c>
      <c r="AS1608" s="240" t="s">
        <v>5812</v>
      </c>
      <c r="AU1608" s="6"/>
      <c r="AV1608" s="6" t="str">
        <f t="shared" si="26"/>
        <v/>
      </c>
    </row>
    <row r="1609" spans="1:48" ht="14.65" thickBot="1" x14ac:dyDescent="0.5">
      <c r="A1609" s="35" t="s">
        <v>33</v>
      </c>
      <c r="B1609" s="3" t="s">
        <v>1343</v>
      </c>
      <c r="C1609" s="4"/>
      <c r="D1609" s="4"/>
      <c r="E1609" s="4"/>
      <c r="F1609" s="4"/>
      <c r="G1609" s="4"/>
      <c r="H1609" s="4"/>
      <c r="J1609" s="18" t="s">
        <v>2473</v>
      </c>
      <c r="K1609" s="18" t="s">
        <v>2473</v>
      </c>
      <c r="M1609" s="244"/>
      <c r="AU1609" s="6"/>
      <c r="AV1609" s="6" t="str">
        <f t="shared" si="26"/>
        <v/>
      </c>
    </row>
    <row r="1610" spans="1:48" ht="14.65" thickBot="1" x14ac:dyDescent="0.5">
      <c r="A1610" s="36" t="s">
        <v>1344</v>
      </c>
      <c r="B1610" s="3" t="s">
        <v>1345</v>
      </c>
      <c r="C1610" s="4" t="s">
        <v>37</v>
      </c>
      <c r="D1610" s="4" t="s">
        <v>13</v>
      </c>
      <c r="E1610" s="4" t="s">
        <v>37</v>
      </c>
      <c r="F1610" s="4" t="s">
        <v>13</v>
      </c>
      <c r="G1610" s="4" t="s">
        <v>37</v>
      </c>
      <c r="H1610" s="4" t="s">
        <v>13</v>
      </c>
      <c r="I1610" s="18" t="s">
        <v>2473</v>
      </c>
      <c r="J1610" s="18" t="s">
        <v>2473</v>
      </c>
      <c r="K1610" s="18" t="s">
        <v>2473</v>
      </c>
      <c r="AU1610" s="6"/>
      <c r="AV1610" s="6" t="str">
        <f t="shared" si="26"/>
        <v/>
      </c>
    </row>
    <row r="1611" spans="1:48" ht="14.65" thickBot="1" x14ac:dyDescent="0.5">
      <c r="A1611" s="36" t="s">
        <v>1346</v>
      </c>
      <c r="B1611" s="3" t="s">
        <v>1347</v>
      </c>
      <c r="C1611" s="4" t="s">
        <v>10</v>
      </c>
      <c r="D1611" s="4" t="s">
        <v>13</v>
      </c>
      <c r="E1611" s="4" t="s">
        <v>10</v>
      </c>
      <c r="F1611" s="4" t="s">
        <v>13</v>
      </c>
      <c r="G1611" s="4" t="s">
        <v>10</v>
      </c>
      <c r="H1611" s="4" t="s">
        <v>13</v>
      </c>
      <c r="I1611" s="18" t="s">
        <v>2473</v>
      </c>
      <c r="J1611" s="18" t="s">
        <v>2473</v>
      </c>
      <c r="K1611" s="18" t="s">
        <v>2473</v>
      </c>
      <c r="AU1611" s="6"/>
      <c r="AV1611" s="6" t="str">
        <f t="shared" si="26"/>
        <v/>
      </c>
    </row>
    <row r="1612" spans="1:48" ht="82.5" thickBot="1" x14ac:dyDescent="0.5">
      <c r="A1612" s="36" t="s">
        <v>1348</v>
      </c>
      <c r="B1612" s="3" t="s">
        <v>5888</v>
      </c>
      <c r="C1612" s="4" t="s">
        <v>10</v>
      </c>
      <c r="D1612" s="4"/>
      <c r="E1612" s="4" t="s">
        <v>10</v>
      </c>
      <c r="F1612" s="4"/>
      <c r="G1612" s="4" t="s">
        <v>10</v>
      </c>
      <c r="H1612" s="4"/>
      <c r="I1612" s="18" t="s">
        <v>2473</v>
      </c>
      <c r="J1612" s="18" t="s">
        <v>2473</v>
      </c>
      <c r="K1612" s="18" t="s">
        <v>2473</v>
      </c>
      <c r="AS1612" s="206" t="s">
        <v>5887</v>
      </c>
      <c r="AU1612" s="6"/>
      <c r="AV1612" s="6" t="str">
        <f t="shared" si="26"/>
        <v/>
      </c>
    </row>
    <row r="1613" spans="1:48" ht="23.65" thickBot="1" x14ac:dyDescent="0.5">
      <c r="A1613" s="35" t="s">
        <v>1349</v>
      </c>
      <c r="B1613" s="3" t="s">
        <v>1350</v>
      </c>
      <c r="C1613" s="4" t="s">
        <v>10</v>
      </c>
      <c r="D1613" s="4" t="s">
        <v>13</v>
      </c>
      <c r="E1613" s="4" t="s">
        <v>10</v>
      </c>
      <c r="F1613" s="4" t="s">
        <v>13</v>
      </c>
      <c r="G1613" s="4" t="s">
        <v>10</v>
      </c>
      <c r="H1613" s="4" t="s">
        <v>13</v>
      </c>
      <c r="I1613" s="18" t="s">
        <v>2473</v>
      </c>
      <c r="J1613" s="18" t="s">
        <v>2473</v>
      </c>
      <c r="K1613" s="18" t="s">
        <v>2473</v>
      </c>
      <c r="AU1613" s="6"/>
      <c r="AV1613" s="6" t="str">
        <f t="shared" si="26"/>
        <v/>
      </c>
    </row>
    <row r="1614" spans="1:48" ht="14.65" thickBot="1" x14ac:dyDescent="0.5">
      <c r="A1614" s="35" t="s">
        <v>1351</v>
      </c>
      <c r="B1614" s="3" t="s">
        <v>1352</v>
      </c>
      <c r="C1614" s="4" t="s">
        <v>10</v>
      </c>
      <c r="D1614" s="4" t="s">
        <v>13</v>
      </c>
      <c r="E1614" s="4" t="s">
        <v>10</v>
      </c>
      <c r="F1614" s="4" t="s">
        <v>13</v>
      </c>
      <c r="G1614" s="4" t="s">
        <v>10</v>
      </c>
      <c r="H1614" s="4" t="s">
        <v>13</v>
      </c>
      <c r="I1614" s="18" t="s">
        <v>2473</v>
      </c>
      <c r="J1614" s="18" t="s">
        <v>2473</v>
      </c>
      <c r="K1614" s="18" t="s">
        <v>2473</v>
      </c>
      <c r="AU1614" s="6"/>
      <c r="AV1614" s="6" t="str">
        <f t="shared" si="26"/>
        <v/>
      </c>
    </row>
    <row r="1615" spans="1:48" ht="23.65" thickBot="1" x14ac:dyDescent="0.5">
      <c r="A1615" s="35" t="s">
        <v>1353</v>
      </c>
      <c r="B1615" s="3" t="s">
        <v>1354</v>
      </c>
      <c r="C1615" s="4" t="s">
        <v>37</v>
      </c>
      <c r="D1615" s="4"/>
      <c r="E1615" s="4" t="s">
        <v>37</v>
      </c>
      <c r="F1615" s="4"/>
      <c r="G1615" s="4" t="s">
        <v>37</v>
      </c>
      <c r="H1615" s="4"/>
      <c r="I1615" s="18" t="s">
        <v>2473</v>
      </c>
      <c r="J1615" s="18" t="s">
        <v>2473</v>
      </c>
      <c r="K1615" s="18" t="s">
        <v>2473</v>
      </c>
      <c r="AU1615" s="6"/>
      <c r="AV1615" s="6" t="str">
        <f t="shared" si="26"/>
        <v/>
      </c>
    </row>
    <row r="1616" spans="1:48" ht="35.25" thickBot="1" x14ac:dyDescent="0.5">
      <c r="A1616" s="35" t="s">
        <v>1355</v>
      </c>
      <c r="B1616" s="3" t="s">
        <v>1267</v>
      </c>
      <c r="C1616" s="4" t="s">
        <v>37</v>
      </c>
      <c r="D1616" s="4"/>
      <c r="E1616" s="4" t="s">
        <v>37</v>
      </c>
      <c r="F1616" s="4"/>
      <c r="G1616" s="4" t="s">
        <v>37</v>
      </c>
      <c r="H1616" s="4"/>
      <c r="I1616" s="18" t="s">
        <v>2473</v>
      </c>
      <c r="J1616" s="18" t="s">
        <v>2473</v>
      </c>
      <c r="K1616" s="18" t="s">
        <v>2473</v>
      </c>
      <c r="AU1616" s="6"/>
      <c r="AV1616" s="6" t="str">
        <f t="shared" si="26"/>
        <v/>
      </c>
    </row>
    <row r="1617" spans="1:48" ht="14.65" thickBot="1" x14ac:dyDescent="0.5">
      <c r="A1617" s="35" t="s">
        <v>43</v>
      </c>
      <c r="B1617" s="3" t="s">
        <v>1268</v>
      </c>
      <c r="C1617" s="4"/>
      <c r="D1617" s="4"/>
      <c r="E1617" s="4"/>
      <c r="F1617" s="4"/>
      <c r="G1617" s="4"/>
      <c r="H1617" s="4"/>
      <c r="I1617" s="18" t="s">
        <v>2473</v>
      </c>
      <c r="J1617" s="18" t="s">
        <v>2473</v>
      </c>
      <c r="K1617" s="18" t="s">
        <v>2473</v>
      </c>
      <c r="AU1617" s="6"/>
      <c r="AV1617" s="6" t="str">
        <f t="shared" si="26"/>
        <v/>
      </c>
    </row>
    <row r="1618" spans="1:48" ht="23.65" thickBot="1" x14ac:dyDescent="0.5">
      <c r="A1618" s="35" t="s">
        <v>1356</v>
      </c>
      <c r="B1618" s="3" t="s">
        <v>1357</v>
      </c>
      <c r="C1618" s="4" t="s">
        <v>37</v>
      </c>
      <c r="D1618" s="4"/>
      <c r="E1618" s="4" t="s">
        <v>37</v>
      </c>
      <c r="F1618" s="4"/>
      <c r="G1618" s="4" t="s">
        <v>37</v>
      </c>
      <c r="H1618" s="4"/>
      <c r="I1618" s="18" t="s">
        <v>2473</v>
      </c>
      <c r="J1618" s="18" t="s">
        <v>2473</v>
      </c>
      <c r="K1618" s="18" t="s">
        <v>2473</v>
      </c>
      <c r="AU1618" s="6"/>
      <c r="AV1618" s="6" t="str">
        <f t="shared" si="26"/>
        <v/>
      </c>
    </row>
    <row r="1619" spans="1:48" ht="14.65" thickBot="1" x14ac:dyDescent="0.5">
      <c r="A1619" s="35" t="s">
        <v>43</v>
      </c>
      <c r="B1619" s="3" t="s">
        <v>1271</v>
      </c>
      <c r="C1619" s="4"/>
      <c r="D1619" s="4"/>
      <c r="E1619" s="4"/>
      <c r="F1619" s="4"/>
      <c r="G1619" s="4"/>
      <c r="H1619" s="4"/>
      <c r="I1619" s="18" t="s">
        <v>2473</v>
      </c>
      <c r="J1619" s="18" t="s">
        <v>2473</v>
      </c>
      <c r="K1619" s="18" t="s">
        <v>2473</v>
      </c>
      <c r="AU1619" s="6"/>
      <c r="AV1619" s="6" t="str">
        <f t="shared" si="26"/>
        <v/>
      </c>
    </row>
    <row r="1620" spans="1:48" ht="14.65" thickBot="1" x14ac:dyDescent="0.5">
      <c r="A1620" s="36" t="s">
        <v>1358</v>
      </c>
      <c r="B1620" s="3" t="s">
        <v>1359</v>
      </c>
      <c r="C1620" s="4"/>
      <c r="D1620" s="4"/>
      <c r="E1620" s="4"/>
      <c r="F1620" s="4"/>
      <c r="G1620" s="4"/>
      <c r="H1620" s="4"/>
      <c r="I1620" s="18" t="s">
        <v>2473</v>
      </c>
      <c r="J1620" s="18" t="s">
        <v>2473</v>
      </c>
      <c r="K1620" s="18" t="s">
        <v>2473</v>
      </c>
      <c r="AU1620" s="6"/>
      <c r="AV1620" s="6" t="str">
        <f t="shared" si="26"/>
        <v/>
      </c>
    </row>
    <row r="1621" spans="1:48" ht="23.65" thickBot="1" x14ac:dyDescent="0.5">
      <c r="A1621" s="35" t="s">
        <v>1360</v>
      </c>
      <c r="B1621" s="3" t="s">
        <v>1361</v>
      </c>
      <c r="C1621" s="4"/>
      <c r="D1621" s="4"/>
      <c r="E1621" s="4"/>
      <c r="F1621" s="4"/>
      <c r="G1621" s="4"/>
      <c r="H1621" s="4"/>
      <c r="I1621" s="18" t="s">
        <v>2473</v>
      </c>
      <c r="J1621" s="18" t="s">
        <v>2473</v>
      </c>
      <c r="K1621" s="18" t="s">
        <v>2473</v>
      </c>
      <c r="AU1621" s="8"/>
      <c r="AV1621" s="6" t="str">
        <f t="shared" si="26"/>
        <v/>
      </c>
    </row>
    <row r="1622" spans="1:48" ht="14.65" thickBot="1" x14ac:dyDescent="0.5">
      <c r="A1622" s="35" t="s">
        <v>1362</v>
      </c>
      <c r="B1622" s="3" t="s">
        <v>1363</v>
      </c>
      <c r="C1622" s="4"/>
      <c r="D1622" s="4"/>
      <c r="E1622" s="4"/>
      <c r="F1622" s="4"/>
      <c r="G1622" s="4"/>
      <c r="H1622" s="4"/>
      <c r="I1622" s="18" t="s">
        <v>2473</v>
      </c>
      <c r="J1622" s="18" t="s">
        <v>2473</v>
      </c>
      <c r="K1622" s="18" t="s">
        <v>2473</v>
      </c>
      <c r="AU1622" s="8"/>
      <c r="AV1622" s="6" t="str">
        <f t="shared" si="26"/>
        <v/>
      </c>
    </row>
    <row r="1623" spans="1:48" ht="14.65" thickBot="1" x14ac:dyDescent="0.5">
      <c r="A1623" s="35" t="s">
        <v>1364</v>
      </c>
      <c r="B1623" s="3" t="s">
        <v>1365</v>
      </c>
      <c r="C1623" s="4"/>
      <c r="D1623" s="4"/>
      <c r="E1623" s="4"/>
      <c r="F1623" s="4"/>
      <c r="G1623" s="4"/>
      <c r="H1623" s="4"/>
      <c r="I1623" s="18" t="s">
        <v>2473</v>
      </c>
      <c r="J1623" s="18" t="s">
        <v>2473</v>
      </c>
      <c r="K1623" s="18" t="s">
        <v>2473</v>
      </c>
      <c r="AU1623" s="8"/>
      <c r="AV1623" s="6" t="str">
        <f t="shared" si="26"/>
        <v/>
      </c>
    </row>
    <row r="1624" spans="1:48" ht="23.65" thickBot="1" x14ac:dyDescent="0.5">
      <c r="A1624" s="35" t="s">
        <v>1366</v>
      </c>
      <c r="B1624" s="3" t="s">
        <v>2386</v>
      </c>
      <c r="C1624" s="4"/>
      <c r="D1624" s="4"/>
      <c r="E1624" s="4"/>
      <c r="F1624" s="4"/>
      <c r="G1624" s="4"/>
      <c r="H1624" s="4"/>
      <c r="I1624" s="18" t="s">
        <v>2473</v>
      </c>
      <c r="J1624" s="18" t="s">
        <v>2473</v>
      </c>
      <c r="K1624" s="18" t="s">
        <v>2473</v>
      </c>
      <c r="AU1624" s="8"/>
      <c r="AV1624" s="6" t="str">
        <f t="shared" si="26"/>
        <v/>
      </c>
    </row>
    <row r="1625" spans="1:48" ht="14.65" thickBot="1" x14ac:dyDescent="0.5">
      <c r="A1625" s="35" t="s">
        <v>1367</v>
      </c>
      <c r="B1625" s="3" t="s">
        <v>1368</v>
      </c>
      <c r="C1625" s="4"/>
      <c r="D1625" s="4"/>
      <c r="E1625" s="4"/>
      <c r="F1625" s="4"/>
      <c r="G1625" s="4"/>
      <c r="H1625" s="4"/>
      <c r="I1625" s="18" t="s">
        <v>2473</v>
      </c>
      <c r="J1625" s="18" t="s">
        <v>2473</v>
      </c>
      <c r="K1625" s="18" t="s">
        <v>2473</v>
      </c>
      <c r="AU1625" s="6"/>
      <c r="AV1625" s="6" t="str">
        <f t="shared" si="26"/>
        <v/>
      </c>
    </row>
    <row r="1626" spans="1:48" ht="14.65" thickBot="1" x14ac:dyDescent="0.5">
      <c r="A1626" s="35" t="s">
        <v>1369</v>
      </c>
      <c r="B1626" s="3" t="s">
        <v>1370</v>
      </c>
      <c r="C1626" s="4"/>
      <c r="D1626" s="4"/>
      <c r="E1626" s="4"/>
      <c r="F1626" s="4"/>
      <c r="G1626" s="4"/>
      <c r="H1626" s="4"/>
      <c r="I1626" s="18" t="s">
        <v>2473</v>
      </c>
      <c r="J1626" s="18" t="s">
        <v>2473</v>
      </c>
      <c r="K1626" s="18" t="s">
        <v>2473</v>
      </c>
      <c r="AU1626" s="6"/>
      <c r="AV1626" s="6" t="str">
        <f t="shared" si="26"/>
        <v/>
      </c>
    </row>
    <row r="1627" spans="1:48" ht="14.65" thickBot="1" x14ac:dyDescent="0.5">
      <c r="A1627" s="35" t="s">
        <v>1371</v>
      </c>
      <c r="B1627" s="3" t="s">
        <v>1372</v>
      </c>
      <c r="C1627" s="4"/>
      <c r="D1627" s="4"/>
      <c r="E1627" s="4"/>
      <c r="F1627" s="4"/>
      <c r="G1627" s="4"/>
      <c r="H1627" s="4"/>
      <c r="I1627" s="18" t="s">
        <v>2473</v>
      </c>
      <c r="J1627" s="18" t="s">
        <v>2473</v>
      </c>
      <c r="K1627" s="18" t="s">
        <v>2473</v>
      </c>
      <c r="AU1627" s="6"/>
      <c r="AV1627" s="6" t="str">
        <f t="shared" si="26"/>
        <v/>
      </c>
    </row>
    <row r="1628" spans="1:48" ht="14.65" thickBot="1" x14ac:dyDescent="0.5">
      <c r="A1628" s="35" t="s">
        <v>1373</v>
      </c>
      <c r="B1628" s="3" t="s">
        <v>1374</v>
      </c>
      <c r="C1628" s="4"/>
      <c r="D1628" s="4"/>
      <c r="E1628" s="4"/>
      <c r="F1628" s="4"/>
      <c r="G1628" s="4"/>
      <c r="H1628" s="4"/>
      <c r="I1628" s="18" t="s">
        <v>2473</v>
      </c>
      <c r="J1628" s="18" t="s">
        <v>2473</v>
      </c>
      <c r="K1628" s="18" t="s">
        <v>2473</v>
      </c>
      <c r="AU1628" s="6"/>
      <c r="AV1628" s="6" t="str">
        <f t="shared" si="26"/>
        <v/>
      </c>
    </row>
    <row r="1629" spans="1:48" ht="23.65" thickBot="1" x14ac:dyDescent="0.5">
      <c r="A1629" s="35" t="s">
        <v>1375</v>
      </c>
      <c r="B1629" s="3" t="s">
        <v>1376</v>
      </c>
      <c r="C1629" s="4"/>
      <c r="D1629" s="4"/>
      <c r="E1629" s="4"/>
      <c r="F1629" s="4"/>
      <c r="G1629" s="4"/>
      <c r="H1629" s="4"/>
      <c r="I1629" s="18" t="s">
        <v>2473</v>
      </c>
      <c r="J1629" s="18" t="s">
        <v>2473</v>
      </c>
      <c r="K1629" s="18" t="s">
        <v>2473</v>
      </c>
      <c r="AU1629" s="6"/>
      <c r="AV1629" s="6" t="str">
        <f t="shared" si="26"/>
        <v/>
      </c>
    </row>
    <row r="1630" spans="1:48" ht="23.65" thickBot="1" x14ac:dyDescent="0.5">
      <c r="A1630" s="35" t="s">
        <v>1377</v>
      </c>
      <c r="B1630" s="3" t="s">
        <v>1378</v>
      </c>
      <c r="C1630" s="4"/>
      <c r="D1630" s="4"/>
      <c r="E1630" s="4"/>
      <c r="F1630" s="4"/>
      <c r="G1630" s="4"/>
      <c r="H1630" s="4"/>
      <c r="I1630" s="18" t="s">
        <v>2473</v>
      </c>
      <c r="J1630" s="18" t="s">
        <v>2473</v>
      </c>
      <c r="K1630" s="18" t="s">
        <v>2473</v>
      </c>
      <c r="AU1630" s="6"/>
      <c r="AV1630" s="6" t="str">
        <f t="shared" si="26"/>
        <v/>
      </c>
    </row>
    <row r="1631" spans="1:48" ht="23.65" thickBot="1" x14ac:dyDescent="0.5">
      <c r="A1631" s="35" t="s">
        <v>1379</v>
      </c>
      <c r="B1631" s="3" t="s">
        <v>1380</v>
      </c>
      <c r="C1631" s="4"/>
      <c r="D1631" s="4"/>
      <c r="E1631" s="4"/>
      <c r="F1631" s="4"/>
      <c r="G1631" s="4"/>
      <c r="H1631" s="4"/>
      <c r="I1631" s="18" t="s">
        <v>2473</v>
      </c>
      <c r="J1631" s="18" t="s">
        <v>2473</v>
      </c>
      <c r="K1631" s="18" t="s">
        <v>2473</v>
      </c>
      <c r="AU1631" s="6"/>
      <c r="AV1631" s="6" t="str">
        <f t="shared" si="26"/>
        <v/>
      </c>
    </row>
    <row r="1632" spans="1:48" ht="23.65" thickBot="1" x14ac:dyDescent="0.5">
      <c r="A1632" s="35" t="s">
        <v>1381</v>
      </c>
      <c r="B1632" s="3" t="s">
        <v>1382</v>
      </c>
      <c r="C1632" s="4"/>
      <c r="D1632" s="4"/>
      <c r="E1632" s="4"/>
      <c r="F1632" s="4"/>
      <c r="G1632" s="4"/>
      <c r="H1632" s="4"/>
      <c r="I1632" s="18" t="s">
        <v>2473</v>
      </c>
      <c r="J1632" s="18" t="s">
        <v>2473</v>
      </c>
      <c r="K1632" s="18" t="s">
        <v>2473</v>
      </c>
      <c r="AU1632" s="6"/>
      <c r="AV1632" s="6" t="str">
        <f t="shared" si="26"/>
        <v/>
      </c>
    </row>
    <row r="1633" spans="1:48" ht="23.65" thickBot="1" x14ac:dyDescent="0.5">
      <c r="A1633" s="35" t="s">
        <v>1383</v>
      </c>
      <c r="B1633" s="3" t="s">
        <v>1384</v>
      </c>
      <c r="C1633" s="4"/>
      <c r="D1633" s="4"/>
      <c r="E1633" s="4"/>
      <c r="F1633" s="4"/>
      <c r="G1633" s="4"/>
      <c r="H1633" s="4"/>
      <c r="I1633" s="18" t="s">
        <v>2473</v>
      </c>
      <c r="J1633" s="18" t="s">
        <v>2473</v>
      </c>
      <c r="K1633" s="18" t="s">
        <v>2473</v>
      </c>
      <c r="AU1633" s="6"/>
      <c r="AV1633" s="6" t="str">
        <f t="shared" si="26"/>
        <v/>
      </c>
    </row>
    <row r="1634" spans="1:48" ht="82.5" thickBot="1" x14ac:dyDescent="0.5">
      <c r="A1634" s="36" t="s">
        <v>75</v>
      </c>
      <c r="B1634" s="3" t="s">
        <v>5413</v>
      </c>
      <c r="C1634" s="4" t="s">
        <v>10</v>
      </c>
      <c r="D1634" s="4"/>
      <c r="E1634" s="4" t="s">
        <v>10</v>
      </c>
      <c r="F1634" s="4"/>
      <c r="G1634" s="4" t="s">
        <v>10</v>
      </c>
      <c r="H1634" s="4"/>
      <c r="I1634" s="18" t="s">
        <v>2473</v>
      </c>
      <c r="J1634" s="18" t="s">
        <v>2473</v>
      </c>
      <c r="K1634" s="18" t="s">
        <v>2473</v>
      </c>
      <c r="AS1634" s="206" t="s">
        <v>5887</v>
      </c>
      <c r="AU1634" s="6"/>
      <c r="AV1634" s="6" t="str">
        <f t="shared" si="26"/>
        <v/>
      </c>
    </row>
    <row r="1635" spans="1:48" ht="23.65" thickBot="1" x14ac:dyDescent="0.5">
      <c r="A1635" s="35" t="s">
        <v>85</v>
      </c>
      <c r="B1635" s="3" t="s">
        <v>1386</v>
      </c>
      <c r="C1635" s="4"/>
      <c r="D1635" s="4"/>
      <c r="E1635" s="4"/>
      <c r="F1635" s="4"/>
      <c r="G1635" s="4"/>
      <c r="H1635" s="4"/>
      <c r="I1635" s="18" t="s">
        <v>2473</v>
      </c>
      <c r="J1635" s="18" t="s">
        <v>2473</v>
      </c>
      <c r="K1635" s="18" t="s">
        <v>2473</v>
      </c>
      <c r="AU1635" s="6"/>
      <c r="AV1635" s="6" t="str">
        <f t="shared" si="26"/>
        <v/>
      </c>
    </row>
    <row r="1636" spans="1:48" ht="14.65" thickBot="1" x14ac:dyDescent="0.5">
      <c r="A1636" s="35" t="s">
        <v>43</v>
      </c>
      <c r="B1636" s="3" t="s">
        <v>87</v>
      </c>
      <c r="C1636" s="4"/>
      <c r="D1636" s="4"/>
      <c r="E1636" s="4"/>
      <c r="F1636" s="4"/>
      <c r="G1636" s="4"/>
      <c r="H1636" s="4"/>
      <c r="I1636" s="18" t="s">
        <v>2473</v>
      </c>
      <c r="J1636" s="18" t="s">
        <v>2473</v>
      </c>
      <c r="K1636" s="18" t="s">
        <v>2473</v>
      </c>
      <c r="AU1636" s="6"/>
      <c r="AV1636" s="6" t="str">
        <f t="shared" si="26"/>
        <v/>
      </c>
    </row>
    <row r="1637" spans="1:48" ht="14.65" thickBot="1" x14ac:dyDescent="0.5">
      <c r="A1637" s="35" t="s">
        <v>1387</v>
      </c>
      <c r="B1637" s="3" t="s">
        <v>1388</v>
      </c>
      <c r="C1637" s="4"/>
      <c r="D1637" s="4"/>
      <c r="E1637" s="4"/>
      <c r="F1637" s="4"/>
      <c r="G1637" s="4"/>
      <c r="H1637" s="4"/>
      <c r="I1637" s="18" t="s">
        <v>2473</v>
      </c>
      <c r="J1637" s="18" t="s">
        <v>2473</v>
      </c>
      <c r="K1637" s="18" t="s">
        <v>2473</v>
      </c>
      <c r="AU1637" s="6"/>
      <c r="AV1637" s="6" t="str">
        <f t="shared" si="26"/>
        <v/>
      </c>
    </row>
    <row r="1638" spans="1:48" ht="14.65" thickBot="1" x14ac:dyDescent="0.5">
      <c r="A1638" s="35" t="s">
        <v>43</v>
      </c>
      <c r="B1638" s="3" t="s">
        <v>121</v>
      </c>
      <c r="C1638" s="4"/>
      <c r="D1638" s="4"/>
      <c r="E1638" s="4"/>
      <c r="F1638" s="4"/>
      <c r="G1638" s="4"/>
      <c r="H1638" s="4"/>
      <c r="I1638" s="18" t="s">
        <v>2473</v>
      </c>
      <c r="J1638" s="18" t="s">
        <v>2473</v>
      </c>
      <c r="K1638" s="18" t="s">
        <v>2473</v>
      </c>
      <c r="AU1638" s="8"/>
      <c r="AV1638" s="6" t="str">
        <f t="shared" si="26"/>
        <v/>
      </c>
    </row>
    <row r="1639" spans="1:48" ht="47.65" thickBot="1" x14ac:dyDescent="0.5">
      <c r="A1639" s="35" t="s">
        <v>3107</v>
      </c>
      <c r="B1639" s="3" t="s">
        <v>5814</v>
      </c>
      <c r="C1639" s="4" t="s">
        <v>10</v>
      </c>
      <c r="D1639" s="4"/>
      <c r="E1639" s="4" t="s">
        <v>10</v>
      </c>
      <c r="F1639" s="4"/>
      <c r="G1639" s="4" t="s">
        <v>10</v>
      </c>
      <c r="H1639" s="4"/>
      <c r="J1639" s="18" t="s">
        <v>2473</v>
      </c>
      <c r="K1639" s="18" t="s">
        <v>2473</v>
      </c>
      <c r="M1639" s="244" t="s">
        <v>5816</v>
      </c>
      <c r="AS1639" s="240" t="s">
        <v>5819</v>
      </c>
      <c r="AU1639" s="6"/>
      <c r="AV1639" s="6" t="str">
        <f t="shared" ref="AV1639:AV1640" si="28">IF(A1639&lt;&gt;"",IF(T1639&lt;&gt;"",IF(LEFT(R1639,3)="Has",IF(TRIM(A1639)&lt;&gt;T1639,"ERROR","OK"),""),""),"")</f>
        <v/>
      </c>
    </row>
    <row r="1640" spans="1:48" ht="14.65" thickBot="1" x14ac:dyDescent="0.5">
      <c r="A1640" s="35" t="s">
        <v>43</v>
      </c>
      <c r="B1640" s="3" t="s">
        <v>121</v>
      </c>
      <c r="C1640" s="4"/>
      <c r="D1640" s="4"/>
      <c r="E1640" s="4"/>
      <c r="F1640" s="4"/>
      <c r="G1640" s="4"/>
      <c r="H1640" s="4"/>
      <c r="J1640" s="18" t="s">
        <v>2473</v>
      </c>
      <c r="K1640" s="18" t="s">
        <v>2473</v>
      </c>
      <c r="AU1640" s="6"/>
      <c r="AV1640" s="6" t="str">
        <f t="shared" si="28"/>
        <v/>
      </c>
    </row>
    <row r="1641" spans="1:48" ht="36" thickBot="1" x14ac:dyDescent="0.5">
      <c r="A1641" s="35" t="s">
        <v>5813</v>
      </c>
      <c r="B1641" s="3" t="s">
        <v>5815</v>
      </c>
      <c r="C1641" s="4" t="s">
        <v>10</v>
      </c>
      <c r="D1641" s="4"/>
      <c r="E1641" s="4" t="s">
        <v>10</v>
      </c>
      <c r="F1641" s="4"/>
      <c r="G1641" s="4" t="s">
        <v>10</v>
      </c>
      <c r="H1641" s="4"/>
      <c r="J1641" s="18" t="s">
        <v>2473</v>
      </c>
      <c r="K1641" s="18" t="s">
        <v>2473</v>
      </c>
      <c r="L1641" s="225"/>
      <c r="M1641" s="244" t="s">
        <v>5817</v>
      </c>
      <c r="AS1641" s="260" t="s">
        <v>5818</v>
      </c>
      <c r="AU1641" s="6"/>
      <c r="AV1641" s="6" t="str">
        <f t="shared" si="26"/>
        <v/>
      </c>
    </row>
    <row r="1642" spans="1:48" ht="14.65" thickBot="1" x14ac:dyDescent="0.5">
      <c r="A1642" s="35" t="s">
        <v>43</v>
      </c>
      <c r="B1642" s="3" t="s">
        <v>121</v>
      </c>
      <c r="C1642" s="4"/>
      <c r="D1642" s="4"/>
      <c r="E1642" s="4"/>
      <c r="F1642" s="4"/>
      <c r="G1642" s="4"/>
      <c r="H1642" s="4"/>
      <c r="J1642" s="18" t="s">
        <v>2473</v>
      </c>
      <c r="K1642" s="18" t="s">
        <v>2473</v>
      </c>
      <c r="L1642" s="225"/>
      <c r="M1642" s="244"/>
      <c r="AU1642" s="6"/>
      <c r="AV1642" s="6" t="str">
        <f t="shared" si="26"/>
        <v/>
      </c>
    </row>
    <row r="1643" spans="1:48" ht="14.65" thickBot="1" x14ac:dyDescent="0.5">
      <c r="A1643" s="36" t="s">
        <v>1389</v>
      </c>
      <c r="B1643" s="3" t="s">
        <v>4003</v>
      </c>
      <c r="C1643" s="4" t="s">
        <v>37</v>
      </c>
      <c r="D1643" s="4"/>
      <c r="E1643" s="4" t="s">
        <v>37</v>
      </c>
      <c r="F1643" s="4"/>
      <c r="G1643" s="4" t="s">
        <v>37</v>
      </c>
      <c r="H1643" s="4"/>
      <c r="I1643" s="18" t="s">
        <v>2473</v>
      </c>
      <c r="J1643" s="18" t="s">
        <v>2473</v>
      </c>
      <c r="K1643" s="18" t="s">
        <v>2473</v>
      </c>
      <c r="AU1643" s="8"/>
      <c r="AV1643" s="6" t="str">
        <f t="shared" si="26"/>
        <v/>
      </c>
    </row>
    <row r="1644" spans="1:48" ht="14.65" thickBot="1" x14ac:dyDescent="0.5">
      <c r="A1644" s="36" t="s">
        <v>1390</v>
      </c>
      <c r="B1644" s="3" t="s">
        <v>1391</v>
      </c>
      <c r="C1644" s="4" t="s">
        <v>37</v>
      </c>
      <c r="D1644" s="4"/>
      <c r="E1644" s="4" t="s">
        <v>37</v>
      </c>
      <c r="F1644" s="4"/>
      <c r="G1644" s="4" t="s">
        <v>37</v>
      </c>
      <c r="H1644" s="4"/>
      <c r="I1644" s="18" t="s">
        <v>2473</v>
      </c>
      <c r="J1644" s="18" t="s">
        <v>2473</v>
      </c>
      <c r="K1644" s="18" t="s">
        <v>2473</v>
      </c>
      <c r="AU1644" s="8"/>
      <c r="AV1644" s="6" t="str">
        <f t="shared" si="26"/>
        <v/>
      </c>
    </row>
    <row r="1645" spans="1:48" ht="14.65" thickBot="1" x14ac:dyDescent="0.5">
      <c r="A1645" s="36" t="s">
        <v>1392</v>
      </c>
      <c r="B1645" s="3" t="s">
        <v>1393</v>
      </c>
      <c r="C1645" s="4" t="s">
        <v>10</v>
      </c>
      <c r="D1645" s="4"/>
      <c r="E1645" s="4" t="s">
        <v>10</v>
      </c>
      <c r="F1645" s="4"/>
      <c r="G1645" s="4" t="s">
        <v>10</v>
      </c>
      <c r="H1645" s="4"/>
      <c r="I1645" s="18" t="s">
        <v>2473</v>
      </c>
      <c r="J1645" s="18" t="s">
        <v>2473</v>
      </c>
      <c r="K1645" s="18" t="s">
        <v>2473</v>
      </c>
      <c r="AU1645" s="8"/>
      <c r="AV1645" s="6" t="str">
        <f t="shared" si="26"/>
        <v/>
      </c>
    </row>
    <row r="1646" spans="1:48" ht="24.4" thickBot="1" x14ac:dyDescent="0.5">
      <c r="A1646" s="36" t="s">
        <v>1394</v>
      </c>
      <c r="B1646" s="3" t="s">
        <v>1395</v>
      </c>
      <c r="C1646" s="4" t="s">
        <v>10</v>
      </c>
      <c r="D1646" s="4"/>
      <c r="E1646" s="4" t="s">
        <v>10</v>
      </c>
      <c r="F1646" s="4"/>
      <c r="G1646" s="4" t="s">
        <v>10</v>
      </c>
      <c r="H1646" s="4"/>
      <c r="I1646" s="18" t="s">
        <v>2473</v>
      </c>
      <c r="J1646" s="18" t="s">
        <v>2473</v>
      </c>
      <c r="K1646" s="18" t="s">
        <v>2473</v>
      </c>
      <c r="AS1646" s="233" t="s">
        <v>5374</v>
      </c>
      <c r="AU1646" s="6"/>
      <c r="AV1646" s="6" t="str">
        <f t="shared" si="26"/>
        <v/>
      </c>
    </row>
    <row r="1647" spans="1:48" ht="14.65" thickBot="1" x14ac:dyDescent="0.5">
      <c r="A1647" s="35" t="s">
        <v>33</v>
      </c>
      <c r="B1647" s="3" t="s">
        <v>1396</v>
      </c>
      <c r="C1647" s="4"/>
      <c r="D1647" s="4"/>
      <c r="E1647" s="4"/>
      <c r="F1647" s="4"/>
      <c r="G1647" s="4"/>
      <c r="H1647" s="4"/>
      <c r="I1647" s="18" t="s">
        <v>2473</v>
      </c>
      <c r="J1647" s="18" t="s">
        <v>2473</v>
      </c>
      <c r="K1647" s="18" t="s">
        <v>2473</v>
      </c>
      <c r="AU1647" s="6"/>
      <c r="AV1647" s="6" t="str">
        <f t="shared" si="26"/>
        <v/>
      </c>
    </row>
    <row r="1648" spans="1:48" ht="105.75" thickBot="1" x14ac:dyDescent="0.5">
      <c r="A1648" s="36" t="s">
        <v>145</v>
      </c>
      <c r="B1648" s="3" t="s">
        <v>3968</v>
      </c>
      <c r="C1648" s="4" t="s">
        <v>10</v>
      </c>
      <c r="D1648" s="4"/>
      <c r="E1648" s="4" t="s">
        <v>10</v>
      </c>
      <c r="F1648" s="4"/>
      <c r="G1648" s="4" t="s">
        <v>10</v>
      </c>
      <c r="H1648" s="4"/>
      <c r="I1648" s="18" t="s">
        <v>2473</v>
      </c>
      <c r="J1648" s="18" t="s">
        <v>2473</v>
      </c>
      <c r="K1648" s="18" t="s">
        <v>2473</v>
      </c>
      <c r="AS1648" s="206" t="s">
        <v>5861</v>
      </c>
      <c r="AU1648" s="6"/>
      <c r="AV1648" s="6" t="str">
        <f t="shared" si="26"/>
        <v/>
      </c>
    </row>
    <row r="1649" spans="1:48" ht="47.65" thickBot="1" x14ac:dyDescent="0.5">
      <c r="A1649" s="35" t="s">
        <v>5361</v>
      </c>
      <c r="B1649" s="3" t="s">
        <v>5352</v>
      </c>
      <c r="C1649" s="4" t="s">
        <v>10</v>
      </c>
      <c r="D1649" s="4"/>
      <c r="E1649" s="4" t="s">
        <v>10</v>
      </c>
      <c r="F1649" s="4"/>
      <c r="G1649" s="4" t="s">
        <v>10</v>
      </c>
      <c r="H1649" s="4"/>
      <c r="I1649" s="18" t="s">
        <v>2473</v>
      </c>
      <c r="J1649" s="18" t="s">
        <v>2473</v>
      </c>
      <c r="K1649" s="18" t="s">
        <v>2473</v>
      </c>
      <c r="Q1649" s="131"/>
      <c r="R1649" s="131"/>
      <c r="S1649" s="131"/>
      <c r="T1649" s="131"/>
      <c r="U1649" s="131"/>
      <c r="V1649" s="131"/>
      <c r="W1649" s="131"/>
      <c r="X1649" s="131"/>
      <c r="AS1649" s="139" t="s">
        <v>5355</v>
      </c>
      <c r="AU1649" s="6"/>
      <c r="AV1649" s="6"/>
    </row>
    <row r="1650" spans="1:48" ht="82.5" thickBot="1" x14ac:dyDescent="0.5">
      <c r="A1650" s="35" t="s">
        <v>5360</v>
      </c>
      <c r="B1650" s="3" t="s">
        <v>5353</v>
      </c>
      <c r="C1650" s="4"/>
      <c r="D1650" s="4"/>
      <c r="E1650" s="4"/>
      <c r="F1650" s="4"/>
      <c r="G1650" s="4"/>
      <c r="H1650" s="4"/>
      <c r="I1650" s="18" t="s">
        <v>2473</v>
      </c>
      <c r="J1650" s="18" t="s">
        <v>2473</v>
      </c>
      <c r="K1650" s="18" t="s">
        <v>2473</v>
      </c>
      <c r="Q1650" s="131"/>
      <c r="R1650" s="131"/>
      <c r="S1650" s="131"/>
      <c r="T1650" s="131"/>
      <c r="U1650" s="131"/>
      <c r="V1650" s="131"/>
      <c r="W1650" s="131"/>
      <c r="X1650" s="131"/>
      <c r="AS1650" s="139" t="s">
        <v>5356</v>
      </c>
      <c r="AU1650" s="6"/>
      <c r="AV1650" s="6"/>
    </row>
    <row r="1651" spans="1:48" ht="23.65" thickBot="1" x14ac:dyDescent="0.5">
      <c r="A1651" s="36" t="s">
        <v>1397</v>
      </c>
      <c r="B1651" s="3" t="s">
        <v>2387</v>
      </c>
      <c r="C1651" s="4" t="s">
        <v>37</v>
      </c>
      <c r="D1651" s="4"/>
      <c r="E1651" s="4" t="s">
        <v>37</v>
      </c>
      <c r="F1651" s="4"/>
      <c r="G1651" s="4" t="s">
        <v>37</v>
      </c>
      <c r="H1651" s="4"/>
      <c r="I1651" s="18" t="s">
        <v>2473</v>
      </c>
      <c r="J1651" s="18" t="s">
        <v>2473</v>
      </c>
      <c r="K1651" s="18" t="s">
        <v>2473</v>
      </c>
      <c r="AU1651" s="8"/>
      <c r="AV1651" s="6" t="str">
        <f t="shared" si="26"/>
        <v/>
      </c>
    </row>
    <row r="1652" spans="1:48" ht="14.65" thickBot="1" x14ac:dyDescent="0.5">
      <c r="A1652" s="36" t="s">
        <v>1398</v>
      </c>
      <c r="B1652" s="3" t="s">
        <v>1399</v>
      </c>
      <c r="C1652" s="4" t="s">
        <v>37</v>
      </c>
      <c r="D1652" s="4" t="s">
        <v>37</v>
      </c>
      <c r="E1652" s="4" t="s">
        <v>37</v>
      </c>
      <c r="F1652" s="4" t="s">
        <v>37</v>
      </c>
      <c r="G1652" s="4" t="s">
        <v>37</v>
      </c>
      <c r="H1652" s="4" t="s">
        <v>37</v>
      </c>
      <c r="I1652" s="18" t="s">
        <v>2473</v>
      </c>
      <c r="J1652" s="18" t="s">
        <v>2473</v>
      </c>
      <c r="K1652" s="18" t="s">
        <v>2473</v>
      </c>
      <c r="AU1652" s="6"/>
      <c r="AV1652" s="6" t="str">
        <f t="shared" si="26"/>
        <v/>
      </c>
    </row>
    <row r="1653" spans="1:48" ht="14.65" thickBot="1" x14ac:dyDescent="0.5">
      <c r="A1653" s="35" t="s">
        <v>1400</v>
      </c>
      <c r="B1653" s="3" t="s">
        <v>1401</v>
      </c>
      <c r="C1653" s="4" t="s">
        <v>10</v>
      </c>
      <c r="D1653" s="4" t="s">
        <v>13</v>
      </c>
      <c r="E1653" s="4" t="s">
        <v>10</v>
      </c>
      <c r="F1653" s="4" t="s">
        <v>13</v>
      </c>
      <c r="G1653" s="4" t="s">
        <v>10</v>
      </c>
      <c r="H1653" s="4" t="s">
        <v>13</v>
      </c>
      <c r="I1653" s="18" t="s">
        <v>2473</v>
      </c>
      <c r="J1653" s="18" t="s">
        <v>2473</v>
      </c>
      <c r="K1653" s="18" t="s">
        <v>2473</v>
      </c>
      <c r="AU1653" s="6"/>
      <c r="AV1653" s="6" t="str">
        <f t="shared" si="26"/>
        <v/>
      </c>
    </row>
    <row r="1654" spans="1:48" ht="23.65" thickBot="1" x14ac:dyDescent="0.5">
      <c r="A1654" s="35" t="s">
        <v>1402</v>
      </c>
      <c r="B1654" s="3" t="s">
        <v>1403</v>
      </c>
      <c r="C1654" s="4" t="s">
        <v>37</v>
      </c>
      <c r="D1654" s="4" t="s">
        <v>13</v>
      </c>
      <c r="E1654" s="4" t="s">
        <v>37</v>
      </c>
      <c r="F1654" s="4" t="s">
        <v>13</v>
      </c>
      <c r="G1654" s="4" t="s">
        <v>37</v>
      </c>
      <c r="H1654" s="4" t="s">
        <v>13</v>
      </c>
      <c r="I1654" s="18" t="s">
        <v>2473</v>
      </c>
      <c r="J1654" s="18" t="s">
        <v>2473</v>
      </c>
      <c r="K1654" s="18" t="s">
        <v>2473</v>
      </c>
      <c r="AU1654" s="6"/>
      <c r="AV1654" s="6" t="str">
        <f t="shared" si="26"/>
        <v/>
      </c>
    </row>
    <row r="1655" spans="1:48" ht="14.65" thickBot="1" x14ac:dyDescent="0.5">
      <c r="A1655" s="35" t="s">
        <v>1404</v>
      </c>
      <c r="B1655" s="3" t="s">
        <v>1405</v>
      </c>
      <c r="C1655" s="4" t="s">
        <v>37</v>
      </c>
      <c r="D1655" s="4" t="s">
        <v>13</v>
      </c>
      <c r="E1655" s="4" t="s">
        <v>37</v>
      </c>
      <c r="F1655" s="4" t="s">
        <v>13</v>
      </c>
      <c r="G1655" s="4" t="s">
        <v>37</v>
      </c>
      <c r="H1655" s="4" t="s">
        <v>13</v>
      </c>
      <c r="I1655" s="18" t="s">
        <v>2473</v>
      </c>
      <c r="J1655" s="18" t="s">
        <v>2473</v>
      </c>
      <c r="K1655" s="18" t="s">
        <v>2473</v>
      </c>
      <c r="AU1655" s="6"/>
      <c r="AV1655" s="6" t="str">
        <f t="shared" si="26"/>
        <v/>
      </c>
    </row>
    <row r="1656" spans="1:48" ht="23.65" thickBot="1" x14ac:dyDescent="0.5">
      <c r="A1656" s="35" t="s">
        <v>1406</v>
      </c>
      <c r="B1656" s="3" t="s">
        <v>1407</v>
      </c>
      <c r="C1656" s="4" t="s">
        <v>10</v>
      </c>
      <c r="D1656" s="4" t="s">
        <v>13</v>
      </c>
      <c r="E1656" s="4" t="s">
        <v>10</v>
      </c>
      <c r="F1656" s="4" t="s">
        <v>13</v>
      </c>
      <c r="G1656" s="4" t="s">
        <v>10</v>
      </c>
      <c r="H1656" s="4" t="s">
        <v>13</v>
      </c>
      <c r="I1656" s="18" t="s">
        <v>2473</v>
      </c>
      <c r="J1656" s="18" t="s">
        <v>2473</v>
      </c>
      <c r="K1656" s="18" t="s">
        <v>2473</v>
      </c>
      <c r="AU1656" s="6"/>
      <c r="AV1656" s="6" t="str">
        <f t="shared" si="26"/>
        <v/>
      </c>
    </row>
    <row r="1657" spans="1:48" ht="23.65" thickBot="1" x14ac:dyDescent="0.5">
      <c r="A1657" s="35" t="s">
        <v>1408</v>
      </c>
      <c r="B1657" s="3" t="s">
        <v>1409</v>
      </c>
      <c r="C1657" s="4" t="s">
        <v>10</v>
      </c>
      <c r="D1657" s="4" t="s">
        <v>13</v>
      </c>
      <c r="E1657" s="4" t="s">
        <v>10</v>
      </c>
      <c r="F1657" s="4" t="s">
        <v>13</v>
      </c>
      <c r="G1657" s="4" t="s">
        <v>10</v>
      </c>
      <c r="H1657" s="4" t="s">
        <v>13</v>
      </c>
      <c r="I1657" s="18" t="s">
        <v>2473</v>
      </c>
      <c r="J1657" s="18" t="s">
        <v>2473</v>
      </c>
      <c r="K1657" s="18" t="s">
        <v>2473</v>
      </c>
      <c r="AU1657" s="6"/>
      <c r="AV1657" s="6" t="str">
        <f t="shared" si="26"/>
        <v/>
      </c>
    </row>
    <row r="1658" spans="1:48" ht="14.65" thickBot="1" x14ac:dyDescent="0.5">
      <c r="A1658" s="35" t="s">
        <v>1410</v>
      </c>
      <c r="B1658" s="3" t="s">
        <v>1411</v>
      </c>
      <c r="C1658" s="4" t="s">
        <v>10</v>
      </c>
      <c r="D1658" s="4" t="s">
        <v>13</v>
      </c>
      <c r="E1658" s="4" t="s">
        <v>10</v>
      </c>
      <c r="F1658" s="4" t="s">
        <v>13</v>
      </c>
      <c r="G1658" s="4" t="s">
        <v>10</v>
      </c>
      <c r="H1658" s="4" t="s">
        <v>13</v>
      </c>
      <c r="I1658" s="18" t="s">
        <v>2473</v>
      </c>
      <c r="J1658" s="18" t="s">
        <v>2473</v>
      </c>
      <c r="K1658" s="18" t="s">
        <v>2473</v>
      </c>
      <c r="AU1658" s="6"/>
      <c r="AV1658" s="6" t="str">
        <f t="shared" si="26"/>
        <v/>
      </c>
    </row>
    <row r="1659" spans="1:48" ht="14.65" thickBot="1" x14ac:dyDescent="0.5">
      <c r="A1659" s="35" t="s">
        <v>1412</v>
      </c>
      <c r="B1659" s="3" t="s">
        <v>1413</v>
      </c>
      <c r="C1659" s="4" t="s">
        <v>10</v>
      </c>
      <c r="D1659" s="4" t="s">
        <v>13</v>
      </c>
      <c r="E1659" s="4" t="s">
        <v>10</v>
      </c>
      <c r="F1659" s="4" t="s">
        <v>13</v>
      </c>
      <c r="G1659" s="4" t="s">
        <v>10</v>
      </c>
      <c r="H1659" s="4" t="s">
        <v>13</v>
      </c>
      <c r="I1659" s="18" t="s">
        <v>2473</v>
      </c>
      <c r="J1659" s="18" t="s">
        <v>2473</v>
      </c>
      <c r="K1659" s="18" t="s">
        <v>2473</v>
      </c>
      <c r="AU1659" s="6"/>
      <c r="AV1659" s="6" t="str">
        <f t="shared" ref="AV1659:AV1726" si="29">IF(A1659&lt;&gt;"",IF(T1659&lt;&gt;"",IF(LEFT(R1659,3)="Has",IF(TRIM(A1659)&lt;&gt;T1659,"ERROR","OK"),""),""),"")</f>
        <v/>
      </c>
    </row>
    <row r="1660" spans="1:48" ht="14.65" thickBot="1" x14ac:dyDescent="0.5">
      <c r="A1660" s="35" t="s">
        <v>1414</v>
      </c>
      <c r="B1660" s="3" t="s">
        <v>1415</v>
      </c>
      <c r="C1660" s="4" t="s">
        <v>10</v>
      </c>
      <c r="D1660" s="4" t="s">
        <v>13</v>
      </c>
      <c r="E1660" s="4" t="s">
        <v>10</v>
      </c>
      <c r="F1660" s="4" t="s">
        <v>13</v>
      </c>
      <c r="G1660" s="4" t="s">
        <v>10</v>
      </c>
      <c r="H1660" s="4" t="s">
        <v>13</v>
      </c>
      <c r="I1660" s="18" t="s">
        <v>2473</v>
      </c>
      <c r="J1660" s="18" t="s">
        <v>2473</v>
      </c>
      <c r="K1660" s="18" t="s">
        <v>2473</v>
      </c>
      <c r="AU1660" s="6"/>
      <c r="AV1660" s="6" t="str">
        <f t="shared" si="29"/>
        <v/>
      </c>
    </row>
    <row r="1661" spans="1:48" ht="14.65" thickBot="1" x14ac:dyDescent="0.5">
      <c r="A1661" s="35" t="s">
        <v>1416</v>
      </c>
      <c r="B1661" s="3" t="s">
        <v>1417</v>
      </c>
      <c r="C1661" s="4" t="s">
        <v>10</v>
      </c>
      <c r="D1661" s="4" t="s">
        <v>13</v>
      </c>
      <c r="E1661" s="4" t="s">
        <v>10</v>
      </c>
      <c r="F1661" s="4" t="s">
        <v>13</v>
      </c>
      <c r="G1661" s="4" t="s">
        <v>10</v>
      </c>
      <c r="H1661" s="4" t="s">
        <v>13</v>
      </c>
      <c r="I1661" s="18" t="s">
        <v>2473</v>
      </c>
      <c r="J1661" s="18" t="s">
        <v>2473</v>
      </c>
      <c r="K1661" s="18" t="s">
        <v>2473</v>
      </c>
      <c r="AU1661" s="6"/>
      <c r="AV1661" s="6" t="str">
        <f t="shared" si="29"/>
        <v/>
      </c>
    </row>
    <row r="1662" spans="1:48" ht="14.65" thickBot="1" x14ac:dyDescent="0.5">
      <c r="A1662" s="35" t="s">
        <v>1418</v>
      </c>
      <c r="B1662" s="3" t="s">
        <v>1419</v>
      </c>
      <c r="C1662" s="4" t="s">
        <v>37</v>
      </c>
      <c r="D1662" s="4" t="s">
        <v>13</v>
      </c>
      <c r="E1662" s="4" t="s">
        <v>37</v>
      </c>
      <c r="F1662" s="4" t="s">
        <v>13</v>
      </c>
      <c r="G1662" s="4" t="s">
        <v>37</v>
      </c>
      <c r="H1662" s="4" t="s">
        <v>13</v>
      </c>
      <c r="I1662" s="18" t="s">
        <v>2473</v>
      </c>
      <c r="J1662" s="18" t="s">
        <v>2473</v>
      </c>
      <c r="K1662" s="18" t="s">
        <v>2473</v>
      </c>
      <c r="AU1662" s="6"/>
      <c r="AV1662" s="6" t="str">
        <f t="shared" si="29"/>
        <v/>
      </c>
    </row>
    <row r="1663" spans="1:48" ht="14.65" thickBot="1" x14ac:dyDescent="0.5">
      <c r="A1663" s="35" t="s">
        <v>1420</v>
      </c>
      <c r="B1663" s="3" t="s">
        <v>1421</v>
      </c>
      <c r="C1663" s="4" t="s">
        <v>37</v>
      </c>
      <c r="D1663" s="4" t="s">
        <v>13</v>
      </c>
      <c r="E1663" s="4" t="s">
        <v>37</v>
      </c>
      <c r="F1663" s="4" t="s">
        <v>13</v>
      </c>
      <c r="G1663" s="4" t="s">
        <v>37</v>
      </c>
      <c r="H1663" s="4" t="s">
        <v>13</v>
      </c>
      <c r="I1663" s="18" t="s">
        <v>2473</v>
      </c>
      <c r="J1663" s="18" t="s">
        <v>2473</v>
      </c>
      <c r="K1663" s="18" t="s">
        <v>2473</v>
      </c>
      <c r="AU1663" s="6"/>
      <c r="AV1663" s="6" t="str">
        <f t="shared" si="29"/>
        <v/>
      </c>
    </row>
    <row r="1664" spans="1:48" ht="23.65" thickBot="1" x14ac:dyDescent="0.5">
      <c r="A1664" s="35" t="s">
        <v>1422</v>
      </c>
      <c r="B1664" s="3" t="s">
        <v>1423</v>
      </c>
      <c r="C1664" s="4" t="s">
        <v>10</v>
      </c>
      <c r="D1664" s="4" t="s">
        <v>13</v>
      </c>
      <c r="E1664" s="4" t="s">
        <v>10</v>
      </c>
      <c r="F1664" s="4" t="s">
        <v>13</v>
      </c>
      <c r="G1664" s="4" t="s">
        <v>10</v>
      </c>
      <c r="H1664" s="4" t="s">
        <v>13</v>
      </c>
      <c r="I1664" s="18" t="s">
        <v>2473</v>
      </c>
      <c r="J1664" s="18" t="s">
        <v>2473</v>
      </c>
      <c r="K1664" s="18" t="s">
        <v>2473</v>
      </c>
      <c r="AU1664" s="6"/>
      <c r="AV1664" s="6" t="str">
        <f t="shared" si="29"/>
        <v/>
      </c>
    </row>
    <row r="1665" spans="1:48" ht="14.65" thickBot="1" x14ac:dyDescent="0.5">
      <c r="A1665" s="35" t="s">
        <v>1424</v>
      </c>
      <c r="B1665" s="3" t="s">
        <v>1425</v>
      </c>
      <c r="C1665" s="4" t="s">
        <v>10</v>
      </c>
      <c r="D1665" s="4" t="s">
        <v>13</v>
      </c>
      <c r="E1665" s="4" t="s">
        <v>10</v>
      </c>
      <c r="F1665" s="4" t="s">
        <v>13</v>
      </c>
      <c r="G1665" s="4" t="s">
        <v>10</v>
      </c>
      <c r="H1665" s="4" t="s">
        <v>13</v>
      </c>
      <c r="I1665" s="18" t="s">
        <v>2473</v>
      </c>
      <c r="J1665" s="18" t="s">
        <v>2473</v>
      </c>
      <c r="K1665" s="18" t="s">
        <v>2473</v>
      </c>
      <c r="AU1665" s="6"/>
      <c r="AV1665" s="6" t="str">
        <f t="shared" si="29"/>
        <v/>
      </c>
    </row>
    <row r="1666" spans="1:48" ht="14.65" thickBot="1" x14ac:dyDescent="0.5">
      <c r="A1666" s="35" t="s">
        <v>1426</v>
      </c>
      <c r="B1666" s="3" t="s">
        <v>1427</v>
      </c>
      <c r="C1666" s="4" t="s">
        <v>10</v>
      </c>
      <c r="D1666" s="4" t="s">
        <v>13</v>
      </c>
      <c r="E1666" s="4" t="s">
        <v>10</v>
      </c>
      <c r="F1666" s="4" t="s">
        <v>13</v>
      </c>
      <c r="G1666" s="4" t="s">
        <v>10</v>
      </c>
      <c r="H1666" s="4" t="s">
        <v>13</v>
      </c>
      <c r="I1666" s="18" t="s">
        <v>2473</v>
      </c>
      <c r="J1666" s="18" t="s">
        <v>2473</v>
      </c>
      <c r="K1666" s="18" t="s">
        <v>2473</v>
      </c>
      <c r="AU1666" s="6"/>
      <c r="AV1666" s="6" t="str">
        <f t="shared" si="29"/>
        <v/>
      </c>
    </row>
    <row r="1667" spans="1:48" ht="14.65" thickBot="1" x14ac:dyDescent="0.5">
      <c r="A1667" s="35" t="s">
        <v>1428</v>
      </c>
      <c r="B1667" s="3" t="s">
        <v>1429</v>
      </c>
      <c r="C1667" s="4" t="s">
        <v>10</v>
      </c>
      <c r="D1667" s="4" t="s">
        <v>13</v>
      </c>
      <c r="E1667" s="4" t="s">
        <v>10</v>
      </c>
      <c r="F1667" s="4" t="s">
        <v>13</v>
      </c>
      <c r="G1667" s="4" t="s">
        <v>10</v>
      </c>
      <c r="H1667" s="4" t="s">
        <v>13</v>
      </c>
      <c r="I1667" s="18" t="s">
        <v>2473</v>
      </c>
      <c r="J1667" s="18" t="s">
        <v>2473</v>
      </c>
      <c r="K1667" s="18" t="s">
        <v>2473</v>
      </c>
      <c r="AU1667" s="6"/>
      <c r="AV1667" s="6" t="str">
        <f t="shared" si="29"/>
        <v/>
      </c>
    </row>
    <row r="1668" spans="1:48" ht="14.65" thickBot="1" x14ac:dyDescent="0.5">
      <c r="A1668" s="35" t="s">
        <v>1430</v>
      </c>
      <c r="B1668" s="3" t="s">
        <v>1431</v>
      </c>
      <c r="C1668" s="4" t="s">
        <v>10</v>
      </c>
      <c r="D1668" s="4" t="s">
        <v>13</v>
      </c>
      <c r="E1668" s="4" t="s">
        <v>10</v>
      </c>
      <c r="F1668" s="4" t="s">
        <v>13</v>
      </c>
      <c r="G1668" s="4" t="s">
        <v>10</v>
      </c>
      <c r="H1668" s="4" t="s">
        <v>13</v>
      </c>
      <c r="I1668" s="18" t="s">
        <v>2473</v>
      </c>
      <c r="J1668" s="18" t="s">
        <v>2473</v>
      </c>
      <c r="K1668" s="18" t="s">
        <v>2473</v>
      </c>
      <c r="AU1668" s="6"/>
      <c r="AV1668" s="6" t="str">
        <f t="shared" si="29"/>
        <v/>
      </c>
    </row>
    <row r="1669" spans="1:48" ht="14.65" thickBot="1" x14ac:dyDescent="0.5">
      <c r="A1669" s="35" t="s">
        <v>1432</v>
      </c>
      <c r="B1669" s="3" t="s">
        <v>1433</v>
      </c>
      <c r="C1669" s="4" t="s">
        <v>37</v>
      </c>
      <c r="D1669" s="4" t="s">
        <v>13</v>
      </c>
      <c r="E1669" s="4" t="s">
        <v>37</v>
      </c>
      <c r="F1669" s="4" t="s">
        <v>13</v>
      </c>
      <c r="G1669" s="4" t="s">
        <v>37</v>
      </c>
      <c r="H1669" s="4" t="s">
        <v>13</v>
      </c>
      <c r="I1669" s="18" t="s">
        <v>2473</v>
      </c>
      <c r="J1669" s="18" t="s">
        <v>2473</v>
      </c>
      <c r="K1669" s="18" t="s">
        <v>2473</v>
      </c>
      <c r="AU1669" s="6"/>
      <c r="AV1669" s="6" t="str">
        <f t="shared" si="29"/>
        <v/>
      </c>
    </row>
    <row r="1670" spans="1:48" ht="14.65" thickBot="1" x14ac:dyDescent="0.5">
      <c r="A1670" s="35" t="s">
        <v>1434</v>
      </c>
      <c r="B1670" s="3" t="s">
        <v>1435</v>
      </c>
      <c r="C1670" s="4" t="s">
        <v>37</v>
      </c>
      <c r="D1670" s="4" t="s">
        <v>13</v>
      </c>
      <c r="E1670" s="4" t="s">
        <v>37</v>
      </c>
      <c r="F1670" s="4" t="s">
        <v>13</v>
      </c>
      <c r="G1670" s="4" t="s">
        <v>37</v>
      </c>
      <c r="H1670" s="4" t="s">
        <v>13</v>
      </c>
      <c r="I1670" s="18" t="s">
        <v>2473</v>
      </c>
      <c r="J1670" s="18" t="s">
        <v>2473</v>
      </c>
      <c r="K1670" s="18" t="s">
        <v>2473</v>
      </c>
      <c r="AU1670" s="6"/>
      <c r="AV1670" s="6" t="str">
        <f t="shared" si="29"/>
        <v/>
      </c>
    </row>
    <row r="1671" spans="1:48" ht="14.65" thickBot="1" x14ac:dyDescent="0.5">
      <c r="A1671" s="35" t="s">
        <v>1436</v>
      </c>
      <c r="B1671" s="3" t="s">
        <v>1437</v>
      </c>
      <c r="C1671" s="4" t="s">
        <v>37</v>
      </c>
      <c r="D1671" s="4" t="s">
        <v>13</v>
      </c>
      <c r="E1671" s="4" t="s">
        <v>37</v>
      </c>
      <c r="F1671" s="4" t="s">
        <v>13</v>
      </c>
      <c r="G1671" s="4" t="s">
        <v>37</v>
      </c>
      <c r="H1671" s="4" t="s">
        <v>13</v>
      </c>
      <c r="I1671" s="18" t="s">
        <v>2473</v>
      </c>
      <c r="J1671" s="18" t="s">
        <v>2473</v>
      </c>
      <c r="K1671" s="18" t="s">
        <v>2473</v>
      </c>
      <c r="AU1671" s="6"/>
      <c r="AV1671" s="6" t="str">
        <f t="shared" si="29"/>
        <v/>
      </c>
    </row>
    <row r="1672" spans="1:48" ht="23.65" thickBot="1" x14ac:dyDescent="0.5">
      <c r="A1672" s="35" t="s">
        <v>1438</v>
      </c>
      <c r="B1672" s="3" t="s">
        <v>1439</v>
      </c>
      <c r="C1672" s="4" t="s">
        <v>37</v>
      </c>
      <c r="D1672" s="4" t="s">
        <v>13</v>
      </c>
      <c r="E1672" s="4" t="s">
        <v>37</v>
      </c>
      <c r="F1672" s="4" t="s">
        <v>13</v>
      </c>
      <c r="G1672" s="4" t="s">
        <v>37</v>
      </c>
      <c r="H1672" s="4" t="s">
        <v>13</v>
      </c>
      <c r="I1672" s="18" t="s">
        <v>2473</v>
      </c>
      <c r="J1672" s="18" t="s">
        <v>2473</v>
      </c>
      <c r="K1672" s="18" t="s">
        <v>2473</v>
      </c>
      <c r="AU1672" s="6"/>
      <c r="AV1672" s="6" t="str">
        <f t="shared" si="29"/>
        <v/>
      </c>
    </row>
    <row r="1673" spans="1:48" ht="14.65" thickBot="1" x14ac:dyDescent="0.5">
      <c r="A1673" s="35" t="s">
        <v>1440</v>
      </c>
      <c r="B1673" s="3" t="s">
        <v>1441</v>
      </c>
      <c r="C1673" s="4" t="s">
        <v>37</v>
      </c>
      <c r="D1673" s="4" t="s">
        <v>13</v>
      </c>
      <c r="E1673" s="4" t="s">
        <v>37</v>
      </c>
      <c r="F1673" s="4" t="s">
        <v>13</v>
      </c>
      <c r="G1673" s="4" t="s">
        <v>37</v>
      </c>
      <c r="H1673" s="4" t="s">
        <v>13</v>
      </c>
      <c r="I1673" s="18" t="s">
        <v>2473</v>
      </c>
      <c r="J1673" s="18" t="s">
        <v>2473</v>
      </c>
      <c r="K1673" s="18" t="s">
        <v>2473</v>
      </c>
      <c r="AU1673" s="6"/>
      <c r="AV1673" s="6" t="str">
        <f t="shared" si="29"/>
        <v/>
      </c>
    </row>
    <row r="1674" spans="1:48" ht="14.65" thickBot="1" x14ac:dyDescent="0.5">
      <c r="A1674" s="35" t="s">
        <v>1442</v>
      </c>
      <c r="B1674" s="3" t="s">
        <v>1443</v>
      </c>
      <c r="C1674" s="4" t="s">
        <v>37</v>
      </c>
      <c r="D1674" s="4" t="s">
        <v>13</v>
      </c>
      <c r="E1674" s="4" t="s">
        <v>37</v>
      </c>
      <c r="F1674" s="4" t="s">
        <v>13</v>
      </c>
      <c r="G1674" s="4" t="s">
        <v>37</v>
      </c>
      <c r="H1674" s="4" t="s">
        <v>13</v>
      </c>
      <c r="I1674" s="18" t="s">
        <v>2473</v>
      </c>
      <c r="J1674" s="18" t="s">
        <v>2473</v>
      </c>
      <c r="K1674" s="18" t="s">
        <v>2473</v>
      </c>
      <c r="AU1674" s="6"/>
      <c r="AV1674" s="6" t="str">
        <f t="shared" si="29"/>
        <v/>
      </c>
    </row>
    <row r="1675" spans="1:48" ht="14.65" thickBot="1" x14ac:dyDescent="0.5">
      <c r="A1675" s="35" t="s">
        <v>1444</v>
      </c>
      <c r="B1675" s="3" t="s">
        <v>1445</v>
      </c>
      <c r="C1675" s="4" t="s">
        <v>37</v>
      </c>
      <c r="D1675" s="4" t="s">
        <v>13</v>
      </c>
      <c r="E1675" s="4" t="s">
        <v>37</v>
      </c>
      <c r="F1675" s="4" t="s">
        <v>13</v>
      </c>
      <c r="G1675" s="4" t="s">
        <v>37</v>
      </c>
      <c r="H1675" s="4" t="s">
        <v>13</v>
      </c>
      <c r="I1675" s="18" t="s">
        <v>2473</v>
      </c>
      <c r="J1675" s="18" t="s">
        <v>2473</v>
      </c>
      <c r="K1675" s="18" t="s">
        <v>2473</v>
      </c>
      <c r="AU1675" s="6"/>
      <c r="AV1675" s="6" t="str">
        <f t="shared" si="29"/>
        <v/>
      </c>
    </row>
    <row r="1676" spans="1:48" ht="14.65" thickBot="1" x14ac:dyDescent="0.5">
      <c r="A1676" s="35" t="s">
        <v>1446</v>
      </c>
      <c r="B1676" s="3" t="s">
        <v>1447</v>
      </c>
      <c r="C1676" s="4" t="s">
        <v>37</v>
      </c>
      <c r="D1676" s="4" t="s">
        <v>13</v>
      </c>
      <c r="E1676" s="4" t="s">
        <v>37</v>
      </c>
      <c r="F1676" s="4" t="s">
        <v>13</v>
      </c>
      <c r="G1676" s="4" t="s">
        <v>37</v>
      </c>
      <c r="H1676" s="4" t="s">
        <v>13</v>
      </c>
      <c r="I1676" s="18" t="s">
        <v>2473</v>
      </c>
      <c r="J1676" s="18" t="s">
        <v>2473</v>
      </c>
      <c r="K1676" s="18" t="s">
        <v>2473</v>
      </c>
      <c r="AU1676" s="6"/>
      <c r="AV1676" s="6" t="str">
        <f t="shared" si="29"/>
        <v/>
      </c>
    </row>
    <row r="1677" spans="1:48" ht="14.65" thickBot="1" x14ac:dyDescent="0.5">
      <c r="A1677" s="35" t="s">
        <v>1448</v>
      </c>
      <c r="B1677" s="3" t="s">
        <v>1449</v>
      </c>
      <c r="C1677" s="4" t="s">
        <v>37</v>
      </c>
      <c r="D1677" s="4" t="s">
        <v>13</v>
      </c>
      <c r="E1677" s="4" t="s">
        <v>37</v>
      </c>
      <c r="F1677" s="4" t="s">
        <v>13</v>
      </c>
      <c r="G1677" s="4" t="s">
        <v>37</v>
      </c>
      <c r="H1677" s="4" t="s">
        <v>13</v>
      </c>
      <c r="I1677" s="18" t="s">
        <v>2473</v>
      </c>
      <c r="J1677" s="18" t="s">
        <v>2473</v>
      </c>
      <c r="K1677" s="18" t="s">
        <v>2473</v>
      </c>
      <c r="AU1677" s="6"/>
      <c r="AV1677" s="6" t="str">
        <f t="shared" si="29"/>
        <v/>
      </c>
    </row>
    <row r="1678" spans="1:48" ht="14.65" thickBot="1" x14ac:dyDescent="0.5">
      <c r="A1678" s="35" t="s">
        <v>1450</v>
      </c>
      <c r="B1678" s="3" t="s">
        <v>1451</v>
      </c>
      <c r="C1678" s="4" t="s">
        <v>37</v>
      </c>
      <c r="D1678" s="4" t="s">
        <v>13</v>
      </c>
      <c r="E1678" s="4" t="s">
        <v>37</v>
      </c>
      <c r="F1678" s="4" t="s">
        <v>13</v>
      </c>
      <c r="G1678" s="4" t="s">
        <v>37</v>
      </c>
      <c r="H1678" s="4" t="s">
        <v>13</v>
      </c>
      <c r="I1678" s="18" t="s">
        <v>2473</v>
      </c>
      <c r="J1678" s="18" t="s">
        <v>2473</v>
      </c>
      <c r="K1678" s="18" t="s">
        <v>2473</v>
      </c>
      <c r="AU1678" s="6"/>
      <c r="AV1678" s="6" t="str">
        <f t="shared" si="29"/>
        <v/>
      </c>
    </row>
    <row r="1679" spans="1:48" ht="23.65" thickBot="1" x14ac:dyDescent="0.5">
      <c r="A1679" s="35" t="s">
        <v>1452</v>
      </c>
      <c r="B1679" s="3" t="s">
        <v>1453</v>
      </c>
      <c r="C1679" s="4" t="s">
        <v>10</v>
      </c>
      <c r="D1679" s="4" t="s">
        <v>13</v>
      </c>
      <c r="E1679" s="4" t="s">
        <v>10</v>
      </c>
      <c r="F1679" s="4" t="s">
        <v>13</v>
      </c>
      <c r="G1679" s="4" t="s">
        <v>10</v>
      </c>
      <c r="H1679" s="4" t="s">
        <v>13</v>
      </c>
      <c r="I1679" s="18" t="s">
        <v>2473</v>
      </c>
      <c r="J1679" s="18" t="s">
        <v>2473</v>
      </c>
      <c r="K1679" s="18" t="s">
        <v>2473</v>
      </c>
      <c r="AU1679" s="6"/>
      <c r="AV1679" s="6" t="str">
        <f t="shared" si="29"/>
        <v/>
      </c>
    </row>
    <row r="1680" spans="1:48" x14ac:dyDescent="0.45">
      <c r="A1680" s="33" t="s">
        <v>1454</v>
      </c>
      <c r="I1680" s="18" t="s">
        <v>2473</v>
      </c>
      <c r="J1680" s="18" t="s">
        <v>2473</v>
      </c>
      <c r="K1680" s="18" t="s">
        <v>2473</v>
      </c>
      <c r="AU1680" s="6"/>
      <c r="AV1680" s="6" t="str">
        <f t="shared" si="29"/>
        <v/>
      </c>
    </row>
    <row r="1681" spans="1:48" x14ac:dyDescent="0.45">
      <c r="A1681" s="34" t="s">
        <v>1455</v>
      </c>
      <c r="I1681" s="18" t="s">
        <v>2473</v>
      </c>
      <c r="J1681" s="18" t="s">
        <v>2473</v>
      </c>
      <c r="K1681" s="18" t="s">
        <v>2473</v>
      </c>
      <c r="AU1681" s="6"/>
      <c r="AV1681" s="6" t="str">
        <f t="shared" si="29"/>
        <v/>
      </c>
    </row>
    <row r="1682" spans="1:48" s="79" customFormat="1" x14ac:dyDescent="0.45">
      <c r="A1682" s="75"/>
      <c r="B1682" s="76"/>
      <c r="C1682" s="77"/>
      <c r="D1682" s="77"/>
      <c r="E1682" s="77"/>
      <c r="F1682" s="77"/>
      <c r="G1682" s="77"/>
      <c r="H1682" s="77"/>
      <c r="I1682" s="77"/>
      <c r="J1682" s="77"/>
      <c r="K1682" s="77"/>
      <c r="L1682" s="77"/>
      <c r="M1682" s="148"/>
      <c r="N1682" s="78"/>
      <c r="O1682" s="78"/>
      <c r="P1682" s="78"/>
      <c r="Q1682" s="78"/>
      <c r="R1682" s="78"/>
      <c r="S1682" s="78"/>
      <c r="T1682" s="78"/>
      <c r="U1682" s="78"/>
      <c r="V1682" s="78"/>
      <c r="W1682" s="78"/>
      <c r="X1682" s="78"/>
      <c r="Y1682" s="148"/>
      <c r="Z1682" s="78"/>
      <c r="AA1682" s="78"/>
      <c r="AB1682" s="78"/>
      <c r="AC1682" s="78"/>
      <c r="AD1682" s="78"/>
      <c r="AE1682" s="156"/>
      <c r="AF1682" s="156"/>
      <c r="AG1682" s="78"/>
      <c r="AH1682" s="78"/>
      <c r="AI1682" s="78"/>
      <c r="AJ1682" s="78"/>
      <c r="AK1682" s="78"/>
      <c r="AL1682" s="78"/>
      <c r="AM1682" s="78"/>
      <c r="AN1682" s="78"/>
      <c r="AO1682" s="78"/>
      <c r="AP1682" s="78"/>
      <c r="AQ1682" s="78"/>
      <c r="AR1682" s="286"/>
      <c r="AS1682" s="78"/>
      <c r="AT1682" s="78"/>
      <c r="AU1682" s="8"/>
      <c r="AV1682" s="6" t="str">
        <f t="shared" si="29"/>
        <v/>
      </c>
    </row>
    <row r="1683" spans="1:48" x14ac:dyDescent="0.45">
      <c r="A1683" s="27" t="s">
        <v>2433</v>
      </c>
      <c r="I1683" s="18" t="s">
        <v>2473</v>
      </c>
      <c r="J1683" s="18" t="s">
        <v>2473</v>
      </c>
      <c r="K1683" s="18" t="s">
        <v>2473</v>
      </c>
      <c r="AU1683" s="6"/>
      <c r="AV1683" s="6" t="str">
        <f t="shared" si="29"/>
        <v/>
      </c>
    </row>
    <row r="1684" spans="1:48" x14ac:dyDescent="0.45">
      <c r="A1684" s="323" t="s">
        <v>4004</v>
      </c>
      <c r="B1684" s="324"/>
      <c r="C1684" s="324"/>
      <c r="D1684" s="324"/>
      <c r="E1684" s="324"/>
      <c r="F1684" s="324"/>
      <c r="G1684" s="101"/>
      <c r="H1684" s="101"/>
      <c r="I1684" s="18" t="s">
        <v>2473</v>
      </c>
      <c r="J1684" s="18" t="s">
        <v>2473</v>
      </c>
      <c r="K1684" s="18" t="s">
        <v>2473</v>
      </c>
      <c r="AU1684" s="8"/>
      <c r="AV1684" s="6" t="str">
        <f t="shared" si="29"/>
        <v/>
      </c>
    </row>
    <row r="1685" spans="1:48" ht="14.65" thickBot="1" x14ac:dyDescent="0.5">
      <c r="A1685" s="28" t="s">
        <v>1456</v>
      </c>
      <c r="I1685" s="18" t="s">
        <v>2473</v>
      </c>
      <c r="J1685" s="18" t="s">
        <v>2473</v>
      </c>
      <c r="K1685" s="18" t="s">
        <v>2473</v>
      </c>
      <c r="AA1685" s="183" t="s">
        <v>2322</v>
      </c>
      <c r="AB1685" s="183" t="s">
        <v>1697</v>
      </c>
      <c r="AC1685" s="183" t="s">
        <v>5</v>
      </c>
      <c r="AU1685" s="8"/>
      <c r="AV1685" s="6" t="str">
        <f t="shared" si="29"/>
        <v/>
      </c>
    </row>
    <row r="1686" spans="1:48" ht="409.6" thickBot="1" x14ac:dyDescent="0.5">
      <c r="A1686" s="309" t="s">
        <v>1457</v>
      </c>
      <c r="B1686" s="310"/>
      <c r="C1686" s="301" t="s">
        <v>1</v>
      </c>
      <c r="D1686" s="319"/>
      <c r="E1686" s="319"/>
      <c r="F1686" s="302"/>
      <c r="G1686" s="102"/>
      <c r="H1686" s="102"/>
      <c r="I1686" s="18" t="s">
        <v>2473</v>
      </c>
      <c r="AA1686" s="183" t="str">
        <f>LEFT($A1686,FIND(" ",$A1686)-1)</f>
        <v>NetworkInterface</v>
      </c>
      <c r="AB1686" s="183" t="str">
        <f>MID($A1686,FIND("(",$A1686)+1,LEN($A1686)-FIND("(",$A1686)-1)</f>
        <v>1.1.1</v>
      </c>
      <c r="AC1686" s="101" t="str">
        <f>A1684</f>
        <v>The NetworkInterface resource contains references linking NetworkAdapter, NetworkPort, and NetworkDeviceFunction resources and represents the functionality available to the containing system. EthernetInterface and NetworkInterface resources address the similar functionality using simple or complex schema structures. An implemented profile would use EthernetInterface or NetworkInterface, never both resources.</v>
      </c>
      <c r="AU1686" s="8"/>
      <c r="AV1686" s="6" t="str">
        <f t="shared" si="29"/>
        <v/>
      </c>
    </row>
    <row r="1687" spans="1:48" ht="14.65" thickBot="1" x14ac:dyDescent="0.5">
      <c r="A1687" s="311"/>
      <c r="B1687" s="312"/>
      <c r="C1687" s="301" t="s">
        <v>2</v>
      </c>
      <c r="D1687" s="302"/>
      <c r="E1687" s="301" t="s">
        <v>3</v>
      </c>
      <c r="F1687" s="302"/>
      <c r="G1687" s="301" t="s">
        <v>2896</v>
      </c>
      <c r="H1687" s="302"/>
      <c r="I1687" s="18" t="s">
        <v>2473</v>
      </c>
      <c r="AA1687" s="183" t="s">
        <v>2322</v>
      </c>
      <c r="AB1687" s="183" t="s">
        <v>1697</v>
      </c>
      <c r="AC1687" s="183" t="s">
        <v>5</v>
      </c>
      <c r="AU1687" s="8"/>
      <c r="AV1687" s="6" t="str">
        <f t="shared" si="29"/>
        <v/>
      </c>
    </row>
    <row r="1688" spans="1:48" ht="409.6" thickBot="1" x14ac:dyDescent="0.5">
      <c r="A1688" s="309" t="s">
        <v>3108</v>
      </c>
      <c r="B1688" s="310"/>
      <c r="C1688" s="301" t="s">
        <v>1</v>
      </c>
      <c r="D1688" s="319"/>
      <c r="E1688" s="319"/>
      <c r="F1688" s="302"/>
      <c r="G1688" s="102"/>
      <c r="H1688" s="102"/>
      <c r="J1688" s="18" t="s">
        <v>2473</v>
      </c>
      <c r="K1688" s="18" t="s">
        <v>2473</v>
      </c>
      <c r="AA1688" s="183" t="str">
        <f>LEFT($A1688,FIND(" ",$A1688)-1)</f>
        <v>NetworkInterface</v>
      </c>
      <c r="AB1688" s="183" t="str">
        <f>MID($A1688,FIND("(",$A1688)+1,LEN($A1688)-FIND("(",$A1688)-1)</f>
        <v>1.1.2</v>
      </c>
      <c r="AC1688" s="101" t="str">
        <f>AC1686</f>
        <v>The NetworkInterface resource contains references linking NetworkAdapter, NetworkPort, and NetworkDeviceFunction resources and represents the functionality available to the containing system. EthernetInterface and NetworkInterface resources address the similar functionality using simple or complex schema structures. An implemented profile would use EthernetInterface or NetworkInterface, never both resources.</v>
      </c>
      <c r="AU1688" s="8"/>
      <c r="AV1688" s="6" t="str">
        <f t="shared" si="29"/>
        <v/>
      </c>
    </row>
    <row r="1689" spans="1:48" ht="14.65" thickBot="1" x14ac:dyDescent="0.5">
      <c r="A1689" s="311"/>
      <c r="B1689" s="312"/>
      <c r="C1689" s="301" t="s">
        <v>2</v>
      </c>
      <c r="D1689" s="302"/>
      <c r="E1689" s="301" t="s">
        <v>3</v>
      </c>
      <c r="F1689" s="302"/>
      <c r="G1689" s="301" t="s">
        <v>2896</v>
      </c>
      <c r="H1689" s="302"/>
      <c r="J1689" s="18" t="s">
        <v>2473</v>
      </c>
      <c r="K1689" s="18" t="s">
        <v>2473</v>
      </c>
      <c r="AM1689" s="8" t="str">
        <f>C1689</f>
        <v>OSM-Redfish</v>
      </c>
      <c r="AN1689" s="8" t="str">
        <f>E1689</f>
        <v>OSM-RedfishBMC</v>
      </c>
      <c r="AO1689" s="8" t="str">
        <f>G1689</f>
        <v>OSM-RedfishDCN</v>
      </c>
      <c r="AU1689" s="8"/>
      <c r="AV1689" s="6" t="str">
        <f t="shared" si="29"/>
        <v/>
      </c>
    </row>
    <row r="1690" spans="1:48" ht="14.65" thickBot="1" x14ac:dyDescent="0.5">
      <c r="A1690" s="46" t="s">
        <v>2377</v>
      </c>
      <c r="B1690" s="47"/>
      <c r="C1690" s="303" t="s">
        <v>37</v>
      </c>
      <c r="D1690" s="304"/>
      <c r="E1690" s="303" t="s">
        <v>37</v>
      </c>
      <c r="F1690" s="304"/>
      <c r="G1690" s="303" t="s">
        <v>37</v>
      </c>
      <c r="H1690" s="304"/>
      <c r="I1690" s="18" t="s">
        <v>2473</v>
      </c>
      <c r="J1690" s="18" t="s">
        <v>2473</v>
      </c>
      <c r="K1690" s="18" t="s">
        <v>2473</v>
      </c>
      <c r="AM1690" s="8" t="str">
        <f>IF(C1690&lt;&gt;"","CRQ-P5-"&amp;(AM$2+$AP1690*$AP$3),"")</f>
        <v>CRQ-P5-1156</v>
      </c>
      <c r="AN1690" s="8" t="str">
        <f>IF(E1690&lt;&gt;"","CRQ-P5-"&amp;(AN$2+$AP1690*$AP$3),"")</f>
        <v>CRQ-P5-1456</v>
      </c>
      <c r="AO1690" s="8" t="str">
        <f>IF(G1690&lt;&gt;"","CRQ-P5-"&amp;(AO$2+$AP1690*$AP$3),"")</f>
        <v>CRQ-P5-1756</v>
      </c>
      <c r="AP1690" s="8">
        <v>39</v>
      </c>
      <c r="AU1690" s="6"/>
      <c r="AV1690" s="6" t="str">
        <f t="shared" si="29"/>
        <v/>
      </c>
    </row>
    <row r="1691" spans="1:48" ht="14.65" thickBot="1" x14ac:dyDescent="0.5">
      <c r="A1691" s="29" t="s">
        <v>3394</v>
      </c>
      <c r="B1691" s="9"/>
      <c r="C1691" s="305" t="str">
        <f>MID($A1686,FIND("(",$A1686)+1,5)</f>
        <v>1.1.1</v>
      </c>
      <c r="D1691" s="306"/>
      <c r="E1691" s="305" t="s">
        <v>3407</v>
      </c>
      <c r="F1691" s="306"/>
      <c r="G1691" s="305" t="str">
        <f>MID($A1686,FIND("(",$A1686)+1,5)</f>
        <v>1.1.1</v>
      </c>
      <c r="H1691" s="306"/>
      <c r="I1691" s="18" t="s">
        <v>2473</v>
      </c>
      <c r="J1691" s="18" t="s">
        <v>2473</v>
      </c>
      <c r="K1691" s="18" t="s">
        <v>2473</v>
      </c>
      <c r="AU1691" s="6"/>
      <c r="AV1691" s="6" t="str">
        <f t="shared" si="29"/>
        <v/>
      </c>
    </row>
    <row r="1692" spans="1:48" ht="14.65" thickBot="1" x14ac:dyDescent="0.5">
      <c r="A1692" s="30" t="s">
        <v>4</v>
      </c>
      <c r="B1692" s="59" t="s">
        <v>5</v>
      </c>
      <c r="C1692" s="7" t="s">
        <v>6</v>
      </c>
      <c r="D1692" s="7" t="s">
        <v>7</v>
      </c>
      <c r="E1692" s="7" t="s">
        <v>6</v>
      </c>
      <c r="F1692" s="7" t="s">
        <v>7</v>
      </c>
      <c r="G1692" s="7" t="s">
        <v>6</v>
      </c>
      <c r="H1692" s="7" t="s">
        <v>7</v>
      </c>
      <c r="I1692" s="18" t="s">
        <v>2473</v>
      </c>
      <c r="J1692" s="18" t="s">
        <v>2473</v>
      </c>
      <c r="K1692" s="18" t="s">
        <v>2473</v>
      </c>
      <c r="AU1692" s="6"/>
      <c r="AV1692" s="6" t="str">
        <f t="shared" si="29"/>
        <v/>
      </c>
    </row>
    <row r="1693" spans="1:48" ht="14.65" thickBot="1" x14ac:dyDescent="0.5">
      <c r="A1693" s="36" t="s">
        <v>8</v>
      </c>
      <c r="B1693" s="3" t="s">
        <v>9</v>
      </c>
      <c r="C1693" s="4"/>
      <c r="D1693" s="4"/>
      <c r="E1693" s="4"/>
      <c r="F1693" s="4"/>
      <c r="G1693" s="4"/>
      <c r="H1693" s="4"/>
      <c r="I1693" s="18" t="s">
        <v>2473</v>
      </c>
      <c r="J1693" s="18" t="s">
        <v>2473</v>
      </c>
      <c r="K1693" s="18" t="s">
        <v>2473</v>
      </c>
      <c r="AU1693" s="6"/>
      <c r="AV1693" s="6" t="str">
        <f t="shared" si="29"/>
        <v/>
      </c>
    </row>
    <row r="1694" spans="1:48" ht="14.65" thickBot="1" x14ac:dyDescent="0.5">
      <c r="A1694" s="36" t="s">
        <v>75</v>
      </c>
      <c r="B1694" s="3" t="s">
        <v>1385</v>
      </c>
      <c r="C1694" s="4"/>
      <c r="D1694" s="4"/>
      <c r="E1694" s="4"/>
      <c r="F1694" s="4"/>
      <c r="G1694" s="4"/>
      <c r="H1694" s="4"/>
      <c r="I1694" s="18" t="s">
        <v>2473</v>
      </c>
      <c r="J1694" s="18" t="s">
        <v>2473</v>
      </c>
      <c r="K1694" s="18" t="s">
        <v>2473</v>
      </c>
      <c r="AU1694" s="6"/>
      <c r="AV1694" s="6" t="str">
        <f t="shared" si="29"/>
        <v/>
      </c>
    </row>
    <row r="1695" spans="1:48" ht="14.65" thickBot="1" x14ac:dyDescent="0.5">
      <c r="A1695" s="35" t="s">
        <v>1458</v>
      </c>
      <c r="B1695" s="3" t="s">
        <v>1388</v>
      </c>
      <c r="C1695" s="4"/>
      <c r="D1695" s="4"/>
      <c r="E1695" s="4"/>
      <c r="F1695" s="4"/>
      <c r="G1695" s="4"/>
      <c r="H1695" s="4"/>
      <c r="I1695" s="18" t="s">
        <v>2473</v>
      </c>
      <c r="J1695" s="18" t="s">
        <v>2473</v>
      </c>
      <c r="K1695" s="18" t="s">
        <v>2473</v>
      </c>
      <c r="AU1695" s="6"/>
      <c r="AV1695" s="6" t="str">
        <f t="shared" si="29"/>
        <v/>
      </c>
    </row>
    <row r="1696" spans="1:48" ht="14.65" thickBot="1" x14ac:dyDescent="0.5">
      <c r="A1696" s="35" t="s">
        <v>43</v>
      </c>
      <c r="B1696" s="3" t="s">
        <v>1459</v>
      </c>
      <c r="C1696" s="4"/>
      <c r="D1696" s="4"/>
      <c r="E1696" s="4"/>
      <c r="F1696" s="4"/>
      <c r="G1696" s="4"/>
      <c r="H1696" s="4"/>
      <c r="I1696" s="18" t="s">
        <v>2473</v>
      </c>
      <c r="J1696" s="18" t="s">
        <v>2473</v>
      </c>
      <c r="K1696" s="18" t="s">
        <v>2473</v>
      </c>
      <c r="AU1696" s="6"/>
      <c r="AV1696" s="6" t="str">
        <f t="shared" si="29"/>
        <v/>
      </c>
    </row>
    <row r="1697" spans="1:48" ht="14.65" thickBot="1" x14ac:dyDescent="0.5">
      <c r="A1697" s="35" t="s">
        <v>59</v>
      </c>
      <c r="B1697" s="3" t="s">
        <v>60</v>
      </c>
      <c r="C1697" s="4"/>
      <c r="D1697" s="4"/>
      <c r="E1697" s="4"/>
      <c r="F1697" s="4"/>
      <c r="G1697" s="4"/>
      <c r="H1697" s="4"/>
      <c r="I1697" s="18" t="s">
        <v>2473</v>
      </c>
      <c r="J1697" s="18" t="s">
        <v>2473</v>
      </c>
      <c r="K1697" s="18" t="s">
        <v>2473</v>
      </c>
      <c r="AU1697" s="6"/>
      <c r="AV1697" s="6" t="str">
        <f t="shared" si="29"/>
        <v/>
      </c>
    </row>
    <row r="1698" spans="1:48" ht="14.65" thickBot="1" x14ac:dyDescent="0.5">
      <c r="A1698" s="36" t="s">
        <v>1460</v>
      </c>
      <c r="B1698" s="3" t="s">
        <v>1388</v>
      </c>
      <c r="C1698" s="4" t="s">
        <v>10</v>
      </c>
      <c r="D1698" s="4"/>
      <c r="E1698" s="4" t="s">
        <v>10</v>
      </c>
      <c r="F1698" s="4"/>
      <c r="G1698" s="4" t="s">
        <v>10</v>
      </c>
      <c r="H1698" s="4"/>
      <c r="I1698" s="18" t="s">
        <v>2473</v>
      </c>
      <c r="J1698" s="18" t="s">
        <v>2473</v>
      </c>
      <c r="K1698" s="18" t="s">
        <v>2473</v>
      </c>
      <c r="AU1698" s="8"/>
      <c r="AV1698" s="6" t="str">
        <f t="shared" si="29"/>
        <v/>
      </c>
    </row>
    <row r="1699" spans="1:48" ht="14.65" thickBot="1" x14ac:dyDescent="0.5">
      <c r="A1699" s="35" t="s">
        <v>33</v>
      </c>
      <c r="B1699" s="3" t="s">
        <v>1461</v>
      </c>
      <c r="C1699" s="4"/>
      <c r="D1699" s="4"/>
      <c r="E1699" s="4"/>
      <c r="F1699" s="4"/>
      <c r="G1699" s="4"/>
      <c r="H1699" s="4"/>
      <c r="I1699" s="18" t="s">
        <v>2473</v>
      </c>
      <c r="J1699" s="18" t="s">
        <v>2473</v>
      </c>
      <c r="K1699" s="18" t="s">
        <v>2473</v>
      </c>
      <c r="AU1699" s="6"/>
      <c r="AV1699" s="6" t="str">
        <f t="shared" si="29"/>
        <v/>
      </c>
    </row>
    <row r="1700" spans="1:48" ht="35.25" thickBot="1" x14ac:dyDescent="0.5">
      <c r="A1700" s="36" t="s">
        <v>1462</v>
      </c>
      <c r="B1700" s="3" t="s">
        <v>5820</v>
      </c>
      <c r="C1700" s="4" t="s">
        <v>10</v>
      </c>
      <c r="D1700" s="4"/>
      <c r="E1700" s="4" t="s">
        <v>10</v>
      </c>
      <c r="F1700" s="4"/>
      <c r="G1700" s="4" t="s">
        <v>10</v>
      </c>
      <c r="H1700" s="4"/>
      <c r="I1700" s="18" t="s">
        <v>2473</v>
      </c>
      <c r="J1700" s="18" t="s">
        <v>2473</v>
      </c>
      <c r="K1700" s="18" t="s">
        <v>2473</v>
      </c>
      <c r="M1700" s="244" t="s">
        <v>5799</v>
      </c>
      <c r="AS1700" s="240" t="s">
        <v>5822</v>
      </c>
      <c r="AU1700" s="8"/>
      <c r="AV1700" s="6" t="str">
        <f t="shared" ref="AV1700:AV1701" si="30">IF(A1700&lt;&gt;"",IF(T1700&lt;&gt;"",IF(LEFT(R1700,3)="Has",IF(TRIM(A1700)&lt;&gt;T1700,"ERROR","OK"),""),""),"")</f>
        <v/>
      </c>
    </row>
    <row r="1701" spans="1:48" ht="14.65" thickBot="1" x14ac:dyDescent="0.5">
      <c r="A1701" s="35" t="s">
        <v>33</v>
      </c>
      <c r="B1701" s="3" t="s">
        <v>1463</v>
      </c>
      <c r="C1701" s="4"/>
      <c r="D1701" s="4"/>
      <c r="E1701" s="4"/>
      <c r="F1701" s="4"/>
      <c r="G1701" s="4"/>
      <c r="H1701" s="4"/>
      <c r="I1701" s="18" t="s">
        <v>2473</v>
      </c>
      <c r="J1701" s="18" t="s">
        <v>2473</v>
      </c>
      <c r="K1701" s="18" t="s">
        <v>2473</v>
      </c>
      <c r="AU1701" s="6"/>
      <c r="AV1701" s="6" t="str">
        <f t="shared" si="30"/>
        <v/>
      </c>
    </row>
    <row r="1702" spans="1:48" ht="24.4" thickBot="1" x14ac:dyDescent="0.5">
      <c r="A1702" s="36" t="s">
        <v>5797</v>
      </c>
      <c r="B1702" s="3" t="s">
        <v>5821</v>
      </c>
      <c r="C1702" s="4" t="s">
        <v>10</v>
      </c>
      <c r="D1702" s="4"/>
      <c r="E1702" s="4" t="s">
        <v>10</v>
      </c>
      <c r="F1702" s="4"/>
      <c r="G1702" s="4" t="s">
        <v>10</v>
      </c>
      <c r="H1702" s="4"/>
      <c r="J1702" s="18" t="s">
        <v>2473</v>
      </c>
      <c r="K1702" s="18" t="s">
        <v>2473</v>
      </c>
      <c r="M1702" s="244" t="s">
        <v>5800</v>
      </c>
      <c r="AS1702" s="240" t="s">
        <v>5823</v>
      </c>
      <c r="AU1702" s="8"/>
      <c r="AV1702" s="6" t="str">
        <f t="shared" si="29"/>
        <v/>
      </c>
    </row>
    <row r="1703" spans="1:48" ht="14.65" thickBot="1" x14ac:dyDescent="0.5">
      <c r="A1703" s="35" t="s">
        <v>33</v>
      </c>
      <c r="B1703" s="3" t="s">
        <v>1463</v>
      </c>
      <c r="C1703" s="4"/>
      <c r="D1703" s="4"/>
      <c r="E1703" s="4"/>
      <c r="F1703" s="4"/>
      <c r="G1703" s="4"/>
      <c r="H1703" s="4"/>
      <c r="J1703" s="18" t="s">
        <v>2473</v>
      </c>
      <c r="K1703" s="18" t="s">
        <v>2473</v>
      </c>
      <c r="M1703" s="244"/>
      <c r="AU1703" s="6"/>
      <c r="AV1703" s="6" t="str">
        <f t="shared" si="29"/>
        <v/>
      </c>
    </row>
    <row r="1704" spans="1:48" ht="105.75" thickBot="1" x14ac:dyDescent="0.5">
      <c r="A1704" s="36" t="s">
        <v>145</v>
      </c>
      <c r="B1704" s="3" t="s">
        <v>3968</v>
      </c>
      <c r="C1704" s="4" t="s">
        <v>10</v>
      </c>
      <c r="D1704" s="4"/>
      <c r="E1704" s="4" t="s">
        <v>10</v>
      </c>
      <c r="F1704" s="4"/>
      <c r="G1704" s="4" t="s">
        <v>10</v>
      </c>
      <c r="H1704" s="4"/>
      <c r="I1704" s="18" t="s">
        <v>2473</v>
      </c>
      <c r="J1704" s="18" t="s">
        <v>2473</v>
      </c>
      <c r="K1704" s="18" t="s">
        <v>2473</v>
      </c>
      <c r="AS1704" s="206" t="s">
        <v>5861</v>
      </c>
      <c r="AU1704" s="6"/>
      <c r="AV1704" s="6" t="str">
        <f t="shared" si="29"/>
        <v/>
      </c>
    </row>
    <row r="1705" spans="1:48" ht="47.65" thickBot="1" x14ac:dyDescent="0.5">
      <c r="A1705" s="35" t="s">
        <v>5361</v>
      </c>
      <c r="B1705" s="3" t="s">
        <v>5352</v>
      </c>
      <c r="C1705" s="4" t="s">
        <v>10</v>
      </c>
      <c r="D1705" s="4"/>
      <c r="E1705" s="4" t="s">
        <v>10</v>
      </c>
      <c r="F1705" s="4"/>
      <c r="G1705" s="4" t="s">
        <v>10</v>
      </c>
      <c r="H1705" s="4"/>
      <c r="I1705" s="18" t="s">
        <v>2473</v>
      </c>
      <c r="J1705" s="18" t="s">
        <v>2473</v>
      </c>
      <c r="K1705" s="18" t="s">
        <v>2473</v>
      </c>
      <c r="Q1705" s="131"/>
      <c r="R1705" s="131"/>
      <c r="S1705" s="131"/>
      <c r="T1705" s="131"/>
      <c r="U1705" s="131"/>
      <c r="V1705" s="131"/>
      <c r="W1705" s="131"/>
      <c r="X1705" s="131"/>
      <c r="AS1705" s="139" t="s">
        <v>5355</v>
      </c>
      <c r="AU1705" s="6"/>
      <c r="AV1705" s="6"/>
    </row>
    <row r="1706" spans="1:48" ht="82.5" thickBot="1" x14ac:dyDescent="0.5">
      <c r="A1706" s="35" t="s">
        <v>5360</v>
      </c>
      <c r="B1706" s="3" t="s">
        <v>5353</v>
      </c>
      <c r="C1706" s="4"/>
      <c r="D1706" s="4"/>
      <c r="E1706" s="4"/>
      <c r="F1706" s="4"/>
      <c r="G1706" s="4"/>
      <c r="H1706" s="4"/>
      <c r="I1706" s="18" t="s">
        <v>2473</v>
      </c>
      <c r="J1706" s="18" t="s">
        <v>2473</v>
      </c>
      <c r="K1706" s="18" t="s">
        <v>2473</v>
      </c>
      <c r="Q1706" s="131"/>
      <c r="R1706" s="131"/>
      <c r="S1706" s="131"/>
      <c r="T1706" s="131"/>
      <c r="U1706" s="131"/>
      <c r="V1706" s="131"/>
      <c r="W1706" s="131"/>
      <c r="X1706" s="131"/>
      <c r="AS1706" s="139" t="s">
        <v>5356</v>
      </c>
      <c r="AU1706" s="6"/>
      <c r="AV1706" s="6"/>
    </row>
    <row r="1707" spans="1:48" x14ac:dyDescent="0.45">
      <c r="A1707" s="33" t="s">
        <v>1464</v>
      </c>
      <c r="I1707" s="18" t="s">
        <v>2473</v>
      </c>
      <c r="J1707" s="18" t="s">
        <v>2473</v>
      </c>
      <c r="K1707" s="18" t="s">
        <v>2473</v>
      </c>
      <c r="AU1707" s="6"/>
      <c r="AV1707" s="6" t="str">
        <f t="shared" si="29"/>
        <v/>
      </c>
    </row>
    <row r="1708" spans="1:48" x14ac:dyDescent="0.45">
      <c r="A1708" s="34" t="s">
        <v>1465</v>
      </c>
      <c r="I1708" s="18" t="s">
        <v>2473</v>
      </c>
      <c r="J1708" s="18" t="s">
        <v>2473</v>
      </c>
      <c r="K1708" s="18" t="s">
        <v>2473</v>
      </c>
      <c r="AU1708" s="6"/>
      <c r="AV1708" s="6" t="str">
        <f t="shared" si="29"/>
        <v/>
      </c>
    </row>
    <row r="1709" spans="1:48" s="79" customFormat="1" x14ac:dyDescent="0.45">
      <c r="A1709" s="75"/>
      <c r="B1709" s="76"/>
      <c r="C1709" s="77"/>
      <c r="D1709" s="77"/>
      <c r="E1709" s="77"/>
      <c r="F1709" s="77"/>
      <c r="G1709" s="77"/>
      <c r="H1709" s="77"/>
      <c r="I1709" s="77"/>
      <c r="J1709" s="77"/>
      <c r="K1709" s="77"/>
      <c r="L1709" s="77"/>
      <c r="M1709" s="148"/>
      <c r="N1709" s="78"/>
      <c r="O1709" s="78"/>
      <c r="P1709" s="78"/>
      <c r="Q1709" s="78"/>
      <c r="R1709" s="78"/>
      <c r="S1709" s="78"/>
      <c r="T1709" s="78"/>
      <c r="U1709" s="78"/>
      <c r="V1709" s="78"/>
      <c r="W1709" s="78"/>
      <c r="X1709" s="78"/>
      <c r="Y1709" s="148"/>
      <c r="Z1709" s="78"/>
      <c r="AA1709" s="78"/>
      <c r="AB1709" s="78"/>
      <c r="AC1709" s="78"/>
      <c r="AD1709" s="78"/>
      <c r="AE1709" s="156"/>
      <c r="AF1709" s="156"/>
      <c r="AG1709" s="78"/>
      <c r="AH1709" s="78"/>
      <c r="AI1709" s="78"/>
      <c r="AJ1709" s="78"/>
      <c r="AK1709" s="78"/>
      <c r="AL1709" s="78"/>
      <c r="AM1709" s="78"/>
      <c r="AN1709" s="78"/>
      <c r="AO1709" s="78"/>
      <c r="AP1709" s="78"/>
      <c r="AQ1709" s="78"/>
      <c r="AR1709" s="286"/>
      <c r="AS1709" s="78"/>
      <c r="AT1709" s="78"/>
      <c r="AU1709" s="8"/>
      <c r="AV1709" s="6" t="str">
        <f t="shared" si="29"/>
        <v/>
      </c>
    </row>
    <row r="1710" spans="1:48" x14ac:dyDescent="0.45">
      <c r="A1710" s="27" t="s">
        <v>2434</v>
      </c>
      <c r="I1710" s="18" t="s">
        <v>2473</v>
      </c>
      <c r="J1710" s="18" t="s">
        <v>2473</v>
      </c>
      <c r="K1710" s="18" t="s">
        <v>2473</v>
      </c>
      <c r="AU1710" s="6"/>
      <c r="AV1710" s="6" t="str">
        <f t="shared" si="29"/>
        <v/>
      </c>
    </row>
    <row r="1711" spans="1:48" x14ac:dyDescent="0.45">
      <c r="A1711" s="323" t="s">
        <v>2525</v>
      </c>
      <c r="B1711" s="324"/>
      <c r="C1711" s="324"/>
      <c r="D1711" s="324"/>
      <c r="E1711" s="324"/>
      <c r="F1711" s="324"/>
      <c r="G1711" s="101"/>
      <c r="H1711" s="101"/>
      <c r="I1711" s="18" t="s">
        <v>2473</v>
      </c>
      <c r="J1711" s="18" t="s">
        <v>2473</v>
      </c>
      <c r="K1711" s="18" t="s">
        <v>2473</v>
      </c>
      <c r="AU1711" s="6"/>
      <c r="AV1711" s="6" t="str">
        <f t="shared" si="29"/>
        <v/>
      </c>
    </row>
    <row r="1712" spans="1:48" ht="14.65" thickBot="1" x14ac:dyDescent="0.5">
      <c r="A1712" s="28" t="s">
        <v>1466</v>
      </c>
      <c r="I1712" s="18" t="s">
        <v>2473</v>
      </c>
      <c r="J1712" s="18" t="s">
        <v>2473</v>
      </c>
      <c r="K1712" s="18" t="s">
        <v>2473</v>
      </c>
      <c r="AA1712" s="183" t="s">
        <v>2322</v>
      </c>
      <c r="AB1712" s="183" t="s">
        <v>1697</v>
      </c>
      <c r="AC1712" s="183" t="s">
        <v>5</v>
      </c>
      <c r="AU1712" s="6"/>
      <c r="AV1712" s="6" t="str">
        <f t="shared" si="29"/>
        <v/>
      </c>
    </row>
    <row r="1713" spans="1:48" ht="93.4" thickBot="1" x14ac:dyDescent="0.5">
      <c r="A1713" s="309" t="s">
        <v>1467</v>
      </c>
      <c r="B1713" s="310"/>
      <c r="C1713" s="301" t="s">
        <v>1</v>
      </c>
      <c r="D1713" s="319"/>
      <c r="E1713" s="319"/>
      <c r="F1713" s="302"/>
      <c r="G1713" s="102"/>
      <c r="H1713" s="102"/>
      <c r="I1713" s="18" t="s">
        <v>2473</v>
      </c>
      <c r="AA1713" s="183" t="str">
        <f>LEFT($A1713,FIND(" ",$A1713)-1)</f>
        <v>NetworkPort</v>
      </c>
      <c r="AB1713" s="183" t="str">
        <f>MID($A1713,FIND("(",$A1713)+1,LEN($A1713)-FIND("(",$A1713)-1)</f>
        <v>1.2.0</v>
      </c>
      <c r="AC1713" s="101" t="str">
        <f>A1711</f>
        <v>A NetworkPort resource represents a discrete physical port capable of connecting to a network.</v>
      </c>
      <c r="AU1713" s="6"/>
      <c r="AV1713" s="6" t="str">
        <f t="shared" si="29"/>
        <v/>
      </c>
    </row>
    <row r="1714" spans="1:48" ht="14.65" thickBot="1" x14ac:dyDescent="0.5">
      <c r="A1714" s="311"/>
      <c r="B1714" s="312"/>
      <c r="C1714" s="301" t="s">
        <v>2</v>
      </c>
      <c r="D1714" s="302"/>
      <c r="E1714" s="301" t="s">
        <v>3</v>
      </c>
      <c r="F1714" s="302"/>
      <c r="G1714" s="301" t="s">
        <v>2896</v>
      </c>
      <c r="H1714" s="302"/>
      <c r="I1714" s="18" t="s">
        <v>2473</v>
      </c>
      <c r="AA1714" s="183" t="s">
        <v>2322</v>
      </c>
      <c r="AB1714" s="183" t="s">
        <v>1697</v>
      </c>
      <c r="AC1714" s="183" t="s">
        <v>5</v>
      </c>
      <c r="AU1714" s="6"/>
      <c r="AV1714" s="6" t="str">
        <f t="shared" si="29"/>
        <v/>
      </c>
    </row>
    <row r="1715" spans="1:48" ht="93.4" thickBot="1" x14ac:dyDescent="0.5">
      <c r="A1715" s="309" t="s">
        <v>3109</v>
      </c>
      <c r="B1715" s="310"/>
      <c r="C1715" s="301" t="s">
        <v>1</v>
      </c>
      <c r="D1715" s="319"/>
      <c r="E1715" s="319"/>
      <c r="F1715" s="302"/>
      <c r="G1715" s="102"/>
      <c r="H1715" s="102"/>
      <c r="J1715" s="18" t="s">
        <v>2473</v>
      </c>
      <c r="K1715" s="18" t="s">
        <v>2473</v>
      </c>
      <c r="AA1715" s="183" t="str">
        <f>LEFT($A1715,FIND(" ",$A1715)-1)</f>
        <v>NetworkPort</v>
      </c>
      <c r="AB1715" s="183" t="str">
        <f>MID($A1715,FIND("(",$A1715)+1,LEN($A1715)-FIND("(",$A1715)-1)</f>
        <v>1.2.2</v>
      </c>
      <c r="AC1715" s="101" t="str">
        <f>AC1713</f>
        <v>A NetworkPort resource represents a discrete physical port capable of connecting to a network.</v>
      </c>
      <c r="AU1715" s="6"/>
      <c r="AV1715" s="6" t="str">
        <f t="shared" si="29"/>
        <v/>
      </c>
    </row>
    <row r="1716" spans="1:48" ht="14.65" thickBot="1" x14ac:dyDescent="0.5">
      <c r="A1716" s="311"/>
      <c r="B1716" s="312"/>
      <c r="C1716" s="301" t="s">
        <v>2</v>
      </c>
      <c r="D1716" s="302"/>
      <c r="E1716" s="301" t="s">
        <v>3</v>
      </c>
      <c r="F1716" s="302"/>
      <c r="G1716" s="301" t="s">
        <v>2896</v>
      </c>
      <c r="H1716" s="302"/>
      <c r="J1716" s="18" t="s">
        <v>2473</v>
      </c>
      <c r="K1716" s="18" t="s">
        <v>2473</v>
      </c>
      <c r="AM1716" s="8" t="str">
        <f>C1716</f>
        <v>OSM-Redfish</v>
      </c>
      <c r="AN1716" s="8" t="str">
        <f>E1716</f>
        <v>OSM-RedfishBMC</v>
      </c>
      <c r="AO1716" s="8" t="str">
        <f>G1716</f>
        <v>OSM-RedfishDCN</v>
      </c>
      <c r="AU1716" s="6"/>
      <c r="AV1716" s="6" t="str">
        <f t="shared" si="29"/>
        <v/>
      </c>
    </row>
    <row r="1717" spans="1:48" ht="14.65" thickBot="1" x14ac:dyDescent="0.5">
      <c r="A1717" s="46" t="s">
        <v>2377</v>
      </c>
      <c r="B1717" s="47"/>
      <c r="C1717" s="303" t="s">
        <v>37</v>
      </c>
      <c r="D1717" s="304"/>
      <c r="E1717" s="303" t="s">
        <v>37</v>
      </c>
      <c r="F1717" s="304"/>
      <c r="G1717" s="303" t="s">
        <v>37</v>
      </c>
      <c r="H1717" s="304"/>
      <c r="I1717" s="18" t="s">
        <v>2473</v>
      </c>
      <c r="J1717" s="18" t="s">
        <v>2473</v>
      </c>
      <c r="K1717" s="18" t="s">
        <v>2473</v>
      </c>
      <c r="AM1717" s="8" t="str">
        <f>IF(C1717&lt;&gt;"","CRQ-P5-"&amp;(AM$2+$AP1717*$AP$3),"")</f>
        <v>CRQ-P5-1160</v>
      </c>
      <c r="AN1717" s="8" t="str">
        <f>IF(E1717&lt;&gt;"","CRQ-P5-"&amp;(AN$2+$AP1717*$AP$3),"")</f>
        <v>CRQ-P5-1460</v>
      </c>
      <c r="AO1717" s="8" t="str">
        <f>IF(G1717&lt;&gt;"","CRQ-P5-"&amp;(AO$2+$AP1717*$AP$3),"")</f>
        <v>CRQ-P5-1760</v>
      </c>
      <c r="AP1717" s="8">
        <v>40</v>
      </c>
      <c r="AU1717" s="6"/>
      <c r="AV1717" s="6" t="str">
        <f t="shared" si="29"/>
        <v/>
      </c>
    </row>
    <row r="1718" spans="1:48" ht="14.65" thickBot="1" x14ac:dyDescent="0.5">
      <c r="A1718" s="29" t="s">
        <v>3394</v>
      </c>
      <c r="B1718" s="9"/>
      <c r="C1718" s="305" t="str">
        <f>MID($A1713,FIND("(",$A1713)+1,5)</f>
        <v>1.2.0</v>
      </c>
      <c r="D1718" s="306"/>
      <c r="E1718" s="305" t="str">
        <f>MID($A1713,FIND("(",$A1713)+1,5)</f>
        <v>1.2.0</v>
      </c>
      <c r="F1718" s="306"/>
      <c r="G1718" s="305" t="str">
        <f>MID($A1713,FIND("(",$A1713)+1,5)</f>
        <v>1.2.0</v>
      </c>
      <c r="H1718" s="306"/>
      <c r="I1718" s="18" t="s">
        <v>2473</v>
      </c>
      <c r="J1718" s="18" t="s">
        <v>2473</v>
      </c>
      <c r="K1718" s="18" t="s">
        <v>2473</v>
      </c>
      <c r="AU1718" s="6"/>
      <c r="AV1718" s="6" t="str">
        <f t="shared" si="29"/>
        <v/>
      </c>
    </row>
    <row r="1719" spans="1:48" ht="14.65" thickBot="1" x14ac:dyDescent="0.5">
      <c r="A1719" s="30" t="s">
        <v>4</v>
      </c>
      <c r="B1719" s="59" t="s">
        <v>5</v>
      </c>
      <c r="C1719" s="7" t="s">
        <v>6</v>
      </c>
      <c r="D1719" s="7" t="s">
        <v>7</v>
      </c>
      <c r="E1719" s="7" t="s">
        <v>6</v>
      </c>
      <c r="F1719" s="7" t="s">
        <v>7</v>
      </c>
      <c r="G1719" s="7" t="s">
        <v>6</v>
      </c>
      <c r="H1719" s="7" t="s">
        <v>7</v>
      </c>
      <c r="I1719" s="18" t="s">
        <v>2473</v>
      </c>
      <c r="J1719" s="18" t="s">
        <v>2473</v>
      </c>
      <c r="K1719" s="18" t="s">
        <v>2473</v>
      </c>
      <c r="AU1719" s="6"/>
      <c r="AV1719" s="6" t="str">
        <f t="shared" si="29"/>
        <v/>
      </c>
    </row>
    <row r="1720" spans="1:48" ht="14.65" thickBot="1" x14ac:dyDescent="0.5">
      <c r="A1720" s="36" t="s">
        <v>8</v>
      </c>
      <c r="B1720" s="3" t="s">
        <v>9</v>
      </c>
      <c r="C1720" s="4"/>
      <c r="D1720" s="4"/>
      <c r="E1720" s="4"/>
      <c r="F1720" s="4"/>
      <c r="G1720" s="4"/>
      <c r="H1720" s="4"/>
      <c r="I1720" s="18" t="s">
        <v>2473</v>
      </c>
      <c r="J1720" s="18" t="s">
        <v>2473</v>
      </c>
      <c r="K1720" s="18" t="s">
        <v>2473</v>
      </c>
      <c r="AU1720" s="8"/>
      <c r="AV1720" s="6" t="str">
        <f t="shared" si="29"/>
        <v/>
      </c>
    </row>
    <row r="1721" spans="1:48" ht="14.65" thickBot="1" x14ac:dyDescent="0.5">
      <c r="A1721" s="36" t="s">
        <v>1468</v>
      </c>
      <c r="B1721" s="3" t="s">
        <v>1469</v>
      </c>
      <c r="C1721" s="4" t="s">
        <v>37</v>
      </c>
      <c r="D1721" s="4"/>
      <c r="E1721" s="4" t="s">
        <v>37</v>
      </c>
      <c r="F1721" s="4"/>
      <c r="G1721" s="4" t="s">
        <v>37</v>
      </c>
      <c r="H1721" s="4"/>
      <c r="I1721" s="18" t="s">
        <v>2473</v>
      </c>
      <c r="J1721" s="18" t="s">
        <v>2473</v>
      </c>
      <c r="K1721" s="18" t="s">
        <v>2473</v>
      </c>
      <c r="AU1721" s="8"/>
      <c r="AV1721" s="6" t="str">
        <f t="shared" si="29"/>
        <v/>
      </c>
    </row>
    <row r="1722" spans="1:48" ht="58.5" thickBot="1" x14ac:dyDescent="0.5">
      <c r="A1722" s="36" t="s">
        <v>1470</v>
      </c>
      <c r="B1722" s="3" t="s">
        <v>1471</v>
      </c>
      <c r="C1722" s="4" t="s">
        <v>10</v>
      </c>
      <c r="D1722" s="4"/>
      <c r="E1722" s="4" t="s">
        <v>10</v>
      </c>
      <c r="F1722" s="4"/>
      <c r="G1722" s="4" t="s">
        <v>10</v>
      </c>
      <c r="H1722" s="4"/>
      <c r="I1722" s="18" t="s">
        <v>2473</v>
      </c>
      <c r="J1722" s="18" t="s">
        <v>2473</v>
      </c>
      <c r="K1722" s="18" t="s">
        <v>2473</v>
      </c>
      <c r="AU1722" s="8"/>
      <c r="AV1722" s="6" t="str">
        <f t="shared" si="29"/>
        <v/>
      </c>
    </row>
    <row r="1723" spans="1:48" ht="14.65" thickBot="1" x14ac:dyDescent="0.5">
      <c r="A1723" s="36" t="s">
        <v>1472</v>
      </c>
      <c r="B1723" s="3" t="s">
        <v>1473</v>
      </c>
      <c r="C1723" s="4" t="s">
        <v>37</v>
      </c>
      <c r="D1723" s="4" t="s">
        <v>13</v>
      </c>
      <c r="E1723" s="4" t="s">
        <v>37</v>
      </c>
      <c r="F1723" s="4" t="s">
        <v>13</v>
      </c>
      <c r="G1723" s="4" t="s">
        <v>37</v>
      </c>
      <c r="H1723" s="4" t="s">
        <v>13</v>
      </c>
      <c r="I1723" s="18" t="s">
        <v>2473</v>
      </c>
      <c r="J1723" s="18" t="s">
        <v>2473</v>
      </c>
      <c r="K1723" s="18" t="s">
        <v>2473</v>
      </c>
      <c r="AU1723" s="8"/>
      <c r="AV1723" s="6" t="str">
        <f t="shared" si="29"/>
        <v/>
      </c>
    </row>
    <row r="1724" spans="1:48" ht="23.65" thickBot="1" x14ac:dyDescent="0.5">
      <c r="A1724" s="36" t="s">
        <v>1474</v>
      </c>
      <c r="B1724" s="3" t="s">
        <v>1475</v>
      </c>
      <c r="C1724" s="4" t="s">
        <v>37</v>
      </c>
      <c r="D1724" s="4" t="s">
        <v>13</v>
      </c>
      <c r="E1724" s="4" t="s">
        <v>37</v>
      </c>
      <c r="F1724" s="4" t="s">
        <v>13</v>
      </c>
      <c r="G1724" s="4" t="s">
        <v>37</v>
      </c>
      <c r="H1724" s="4" t="s">
        <v>13</v>
      </c>
      <c r="I1724" s="18" t="s">
        <v>2473</v>
      </c>
      <c r="J1724" s="18" t="s">
        <v>2473</v>
      </c>
      <c r="K1724" s="18" t="s">
        <v>2473</v>
      </c>
      <c r="AU1724" s="8"/>
      <c r="AV1724" s="6" t="str">
        <f t="shared" si="29"/>
        <v/>
      </c>
    </row>
    <row r="1725" spans="1:48" ht="14.65" thickBot="1" x14ac:dyDescent="0.5">
      <c r="A1725" s="36" t="s">
        <v>1476</v>
      </c>
      <c r="B1725" s="3" t="s">
        <v>1477</v>
      </c>
      <c r="C1725" s="4"/>
      <c r="D1725" s="4"/>
      <c r="E1725" s="4"/>
      <c r="F1725" s="4"/>
      <c r="G1725" s="4"/>
      <c r="H1725" s="4"/>
      <c r="I1725" s="18" t="s">
        <v>2473</v>
      </c>
      <c r="J1725" s="18" t="s">
        <v>2473</v>
      </c>
      <c r="K1725" s="18" t="s">
        <v>2473</v>
      </c>
      <c r="AU1725" s="8"/>
      <c r="AV1725" s="6" t="str">
        <f t="shared" si="29"/>
        <v/>
      </c>
    </row>
    <row r="1726" spans="1:48" ht="14.65" thickBot="1" x14ac:dyDescent="0.5">
      <c r="A1726" s="36" t="s">
        <v>1478</v>
      </c>
      <c r="B1726" s="3" t="s">
        <v>1479</v>
      </c>
      <c r="C1726" s="4"/>
      <c r="D1726" s="4"/>
      <c r="E1726" s="4"/>
      <c r="F1726" s="4"/>
      <c r="G1726" s="4"/>
      <c r="H1726" s="4"/>
      <c r="I1726" s="18" t="s">
        <v>2473</v>
      </c>
      <c r="J1726" s="18" t="s">
        <v>2473</v>
      </c>
      <c r="K1726" s="18" t="s">
        <v>2473</v>
      </c>
      <c r="AU1726" s="6"/>
      <c r="AV1726" s="6" t="str">
        <f t="shared" si="29"/>
        <v/>
      </c>
    </row>
    <row r="1727" spans="1:48" ht="14.65" thickBot="1" x14ac:dyDescent="0.5">
      <c r="A1727" s="36" t="s">
        <v>1480</v>
      </c>
      <c r="B1727" s="3" t="s">
        <v>1481</v>
      </c>
      <c r="C1727" s="4" t="s">
        <v>37</v>
      </c>
      <c r="D1727" s="4" t="s">
        <v>13</v>
      </c>
      <c r="E1727" s="4" t="s">
        <v>37</v>
      </c>
      <c r="F1727" s="4" t="s">
        <v>13</v>
      </c>
      <c r="G1727" s="4" t="s">
        <v>37</v>
      </c>
      <c r="H1727" s="4" t="s">
        <v>13</v>
      </c>
      <c r="I1727" s="18" t="s">
        <v>2473</v>
      </c>
      <c r="J1727" s="18" t="s">
        <v>2473</v>
      </c>
      <c r="K1727" s="18" t="s">
        <v>2473</v>
      </c>
      <c r="AU1727" s="8"/>
      <c r="AV1727" s="6" t="str">
        <f t="shared" ref="AV1727:AV1792" si="31">IF(A1727&lt;&gt;"",IF(T1727&lt;&gt;"",IF(LEFT(R1727,3)="Has",IF(TRIM(A1727)&lt;&gt;T1727,"ERROR","OK"),""),""),"")</f>
        <v/>
      </c>
    </row>
    <row r="1728" spans="1:48" ht="23.65" thickBot="1" x14ac:dyDescent="0.5">
      <c r="A1728" s="36" t="s">
        <v>1482</v>
      </c>
      <c r="B1728" s="3" t="s">
        <v>1483</v>
      </c>
      <c r="C1728" s="4" t="s">
        <v>37</v>
      </c>
      <c r="D1728" s="4"/>
      <c r="E1728" s="4" t="s">
        <v>37</v>
      </c>
      <c r="F1728" s="4"/>
      <c r="G1728" s="4" t="s">
        <v>37</v>
      </c>
      <c r="H1728" s="4"/>
      <c r="I1728" s="18" t="s">
        <v>2473</v>
      </c>
      <c r="J1728" s="18" t="s">
        <v>2473</v>
      </c>
      <c r="K1728" s="18" t="s">
        <v>2473</v>
      </c>
      <c r="AU1728" s="8"/>
      <c r="AV1728" s="6" t="str">
        <f t="shared" si="31"/>
        <v/>
      </c>
    </row>
    <row r="1729" spans="1:48" ht="14.65" thickBot="1" x14ac:dyDescent="0.5">
      <c r="A1729" s="36" t="s">
        <v>1240</v>
      </c>
      <c r="B1729" s="3" t="s">
        <v>1484</v>
      </c>
      <c r="C1729" s="4" t="s">
        <v>37</v>
      </c>
      <c r="D1729" s="4"/>
      <c r="E1729" s="4" t="s">
        <v>37</v>
      </c>
      <c r="F1729" s="4"/>
      <c r="G1729" s="4" t="s">
        <v>37</v>
      </c>
      <c r="H1729" s="4"/>
      <c r="I1729" s="18" t="s">
        <v>2473</v>
      </c>
      <c r="J1729" s="18" t="s">
        <v>2473</v>
      </c>
      <c r="K1729" s="18" t="s">
        <v>2473</v>
      </c>
      <c r="AU1729" s="8"/>
      <c r="AV1729" s="6" t="str">
        <f t="shared" si="31"/>
        <v/>
      </c>
    </row>
    <row r="1730" spans="1:48" ht="14.65" thickBot="1" x14ac:dyDescent="0.5">
      <c r="A1730" s="36" t="s">
        <v>1485</v>
      </c>
      <c r="B1730" s="3" t="s">
        <v>1486</v>
      </c>
      <c r="C1730" s="4" t="s">
        <v>13</v>
      </c>
      <c r="D1730" s="4"/>
      <c r="E1730" s="4" t="s">
        <v>13</v>
      </c>
      <c r="F1730" s="4"/>
      <c r="G1730" s="4" t="s">
        <v>13</v>
      </c>
      <c r="H1730" s="4"/>
      <c r="I1730" s="18" t="s">
        <v>2473</v>
      </c>
      <c r="J1730" s="18" t="s">
        <v>2473</v>
      </c>
      <c r="K1730" s="18" t="s">
        <v>2473</v>
      </c>
      <c r="AU1730" s="6"/>
      <c r="AV1730" s="6" t="str">
        <f t="shared" si="31"/>
        <v/>
      </c>
    </row>
    <row r="1731" spans="1:48" ht="23.65" thickBot="1" x14ac:dyDescent="0.5">
      <c r="A1731" s="36" t="s">
        <v>1487</v>
      </c>
      <c r="B1731" s="3" t="s">
        <v>1488</v>
      </c>
      <c r="C1731" s="4" t="s">
        <v>37</v>
      </c>
      <c r="D1731" s="4" t="s">
        <v>37</v>
      </c>
      <c r="E1731" s="4" t="s">
        <v>37</v>
      </c>
      <c r="F1731" s="4" t="s">
        <v>37</v>
      </c>
      <c r="G1731" s="4" t="s">
        <v>37</v>
      </c>
      <c r="H1731" s="4" t="s">
        <v>37</v>
      </c>
      <c r="I1731" s="18" t="s">
        <v>2473</v>
      </c>
      <c r="J1731" s="18" t="s">
        <v>2473</v>
      </c>
      <c r="K1731" s="18" t="s">
        <v>2473</v>
      </c>
      <c r="AU1731" s="6"/>
      <c r="AV1731" s="6" t="str">
        <f t="shared" si="31"/>
        <v/>
      </c>
    </row>
    <row r="1732" spans="1:48" ht="23.65" thickBot="1" x14ac:dyDescent="0.5">
      <c r="A1732" s="35" t="s">
        <v>1489</v>
      </c>
      <c r="B1732" s="3" t="s">
        <v>1490</v>
      </c>
      <c r="C1732" s="4" t="s">
        <v>10</v>
      </c>
      <c r="D1732" s="4" t="s">
        <v>13</v>
      </c>
      <c r="E1732" s="4" t="s">
        <v>10</v>
      </c>
      <c r="F1732" s="4" t="s">
        <v>13</v>
      </c>
      <c r="G1732" s="4" t="s">
        <v>10</v>
      </c>
      <c r="H1732" s="4" t="s">
        <v>13</v>
      </c>
      <c r="I1732" s="18" t="s">
        <v>2473</v>
      </c>
      <c r="J1732" s="18" t="s">
        <v>2473</v>
      </c>
      <c r="K1732" s="18" t="s">
        <v>2473</v>
      </c>
      <c r="AU1732" s="8"/>
      <c r="AV1732" s="6" t="str">
        <f t="shared" si="31"/>
        <v/>
      </c>
    </row>
    <row r="1733" spans="1:48" ht="14.65" thickBot="1" x14ac:dyDescent="0.5">
      <c r="A1733" s="35" t="s">
        <v>1491</v>
      </c>
      <c r="B1733" s="3" t="s">
        <v>1388</v>
      </c>
      <c r="C1733" s="4" t="s">
        <v>10</v>
      </c>
      <c r="D1733" s="4"/>
      <c r="E1733" s="4" t="s">
        <v>10</v>
      </c>
      <c r="F1733" s="4"/>
      <c r="G1733" s="4" t="s">
        <v>10</v>
      </c>
      <c r="H1733" s="4"/>
      <c r="I1733" s="18" t="s">
        <v>2473</v>
      </c>
      <c r="J1733" s="18" t="s">
        <v>2473</v>
      </c>
      <c r="K1733" s="18" t="s">
        <v>2473</v>
      </c>
      <c r="AU1733" s="8"/>
      <c r="AV1733" s="6" t="str">
        <f t="shared" si="31"/>
        <v/>
      </c>
    </row>
    <row r="1734" spans="1:48" ht="14.65" thickBot="1" x14ac:dyDescent="0.5">
      <c r="A1734" s="35" t="s">
        <v>43</v>
      </c>
      <c r="B1734" s="3" t="s">
        <v>361</v>
      </c>
      <c r="C1734" s="4"/>
      <c r="D1734" s="4"/>
      <c r="E1734" s="4"/>
      <c r="F1734" s="4"/>
      <c r="G1734" s="4"/>
      <c r="H1734" s="4"/>
      <c r="I1734" s="18" t="s">
        <v>2473</v>
      </c>
      <c r="J1734" s="18" t="s">
        <v>2473</v>
      </c>
      <c r="K1734" s="18" t="s">
        <v>2473</v>
      </c>
      <c r="AU1734" s="6"/>
      <c r="AV1734" s="6" t="str">
        <f t="shared" si="31"/>
        <v/>
      </c>
    </row>
    <row r="1735" spans="1:48" ht="23.65" thickBot="1" x14ac:dyDescent="0.5">
      <c r="A1735" s="36" t="s">
        <v>1492</v>
      </c>
      <c r="B1735" s="3" t="s">
        <v>1493</v>
      </c>
      <c r="C1735" s="4" t="s">
        <v>37</v>
      </c>
      <c r="D1735" s="4" t="s">
        <v>37</v>
      </c>
      <c r="E1735" s="4" t="s">
        <v>37</v>
      </c>
      <c r="F1735" s="4" t="s">
        <v>37</v>
      </c>
      <c r="G1735" s="4" t="s">
        <v>37</v>
      </c>
      <c r="H1735" s="4" t="s">
        <v>37</v>
      </c>
      <c r="I1735" s="18" t="s">
        <v>2473</v>
      </c>
      <c r="J1735" s="18" t="s">
        <v>2473</v>
      </c>
      <c r="K1735" s="18" t="s">
        <v>2473</v>
      </c>
      <c r="AU1735" s="6"/>
      <c r="AV1735" s="6" t="str">
        <f t="shared" si="31"/>
        <v/>
      </c>
    </row>
    <row r="1736" spans="1:48" ht="23.65" thickBot="1" x14ac:dyDescent="0.5">
      <c r="A1736" s="35" t="s">
        <v>1494</v>
      </c>
      <c r="B1736" s="3" t="s">
        <v>1495</v>
      </c>
      <c r="C1736" s="4" t="s">
        <v>10</v>
      </c>
      <c r="D1736" s="4" t="s">
        <v>13</v>
      </c>
      <c r="E1736" s="4" t="s">
        <v>10</v>
      </c>
      <c r="F1736" s="4" t="s">
        <v>13</v>
      </c>
      <c r="G1736" s="4" t="s">
        <v>10</v>
      </c>
      <c r="H1736" s="4" t="s">
        <v>13</v>
      </c>
      <c r="I1736" s="18" t="s">
        <v>2473</v>
      </c>
      <c r="J1736" s="18" t="s">
        <v>2473</v>
      </c>
      <c r="K1736" s="18" t="s">
        <v>2473</v>
      </c>
      <c r="AU1736" s="8"/>
      <c r="AV1736" s="6" t="str">
        <f t="shared" si="31"/>
        <v/>
      </c>
    </row>
    <row r="1737" spans="1:48" ht="14.65" thickBot="1" x14ac:dyDescent="0.5">
      <c r="A1737" s="35" t="s">
        <v>1491</v>
      </c>
      <c r="B1737" s="3" t="s">
        <v>1388</v>
      </c>
      <c r="C1737" s="4" t="s">
        <v>10</v>
      </c>
      <c r="D1737" s="4"/>
      <c r="E1737" s="4" t="s">
        <v>10</v>
      </c>
      <c r="F1737" s="4"/>
      <c r="G1737" s="4" t="s">
        <v>10</v>
      </c>
      <c r="H1737" s="4"/>
      <c r="I1737" s="18" t="s">
        <v>2473</v>
      </c>
      <c r="J1737" s="18" t="s">
        <v>2473</v>
      </c>
      <c r="K1737" s="18" t="s">
        <v>2473</v>
      </c>
      <c r="AU1737" s="8"/>
      <c r="AV1737" s="6" t="str">
        <f t="shared" si="31"/>
        <v/>
      </c>
    </row>
    <row r="1738" spans="1:48" ht="14.65" thickBot="1" x14ac:dyDescent="0.5">
      <c r="A1738" s="35" t="s">
        <v>43</v>
      </c>
      <c r="B1738" s="3" t="s">
        <v>361</v>
      </c>
      <c r="C1738" s="4"/>
      <c r="D1738" s="4"/>
      <c r="E1738" s="4"/>
      <c r="F1738" s="4"/>
      <c r="G1738" s="4"/>
      <c r="H1738" s="4"/>
      <c r="I1738" s="18" t="s">
        <v>2473</v>
      </c>
      <c r="J1738" s="18" t="s">
        <v>2473</v>
      </c>
      <c r="K1738" s="18" t="s">
        <v>2473</v>
      </c>
      <c r="AU1738" s="6"/>
      <c r="AV1738" s="6" t="str">
        <f t="shared" si="31"/>
        <v/>
      </c>
    </row>
    <row r="1739" spans="1:48" ht="23.65" thickBot="1" x14ac:dyDescent="0.5">
      <c r="A1739" s="36" t="s">
        <v>1496</v>
      </c>
      <c r="B1739" s="3" t="s">
        <v>1497</v>
      </c>
      <c r="C1739" s="4" t="s">
        <v>37</v>
      </c>
      <c r="D1739" s="4"/>
      <c r="E1739" s="4" t="s">
        <v>37</v>
      </c>
      <c r="F1739" s="4"/>
      <c r="G1739" s="4" t="s">
        <v>37</v>
      </c>
      <c r="H1739" s="4"/>
      <c r="I1739" s="18" t="s">
        <v>2473</v>
      </c>
      <c r="J1739" s="18" t="s">
        <v>2473</v>
      </c>
      <c r="K1739" s="18" t="s">
        <v>2473</v>
      </c>
      <c r="AU1739" s="6"/>
      <c r="AV1739" s="6" t="str">
        <f t="shared" si="31"/>
        <v/>
      </c>
    </row>
    <row r="1740" spans="1:48" ht="14.65" thickBot="1" x14ac:dyDescent="0.5">
      <c r="A1740" s="36" t="s">
        <v>1498</v>
      </c>
      <c r="B1740" s="3" t="s">
        <v>1499</v>
      </c>
      <c r="C1740" s="4" t="s">
        <v>10</v>
      </c>
      <c r="D1740" s="4"/>
      <c r="E1740" s="4" t="s">
        <v>10</v>
      </c>
      <c r="F1740" s="4"/>
      <c r="G1740" s="4" t="s">
        <v>10</v>
      </c>
      <c r="H1740" s="4"/>
      <c r="I1740" s="18" t="s">
        <v>2473</v>
      </c>
      <c r="J1740" s="18" t="s">
        <v>2473</v>
      </c>
      <c r="K1740" s="18" t="s">
        <v>2473</v>
      </c>
      <c r="AU1740" s="6"/>
      <c r="AV1740" s="6" t="str">
        <f t="shared" si="31"/>
        <v/>
      </c>
    </row>
    <row r="1741" spans="1:48" ht="14.65" thickBot="1" x14ac:dyDescent="0.5">
      <c r="A1741" s="36" t="s">
        <v>1500</v>
      </c>
      <c r="B1741" s="3" t="s">
        <v>1501</v>
      </c>
      <c r="C1741" s="4" t="s">
        <v>10</v>
      </c>
      <c r="D1741" s="4"/>
      <c r="E1741" s="4" t="s">
        <v>10</v>
      </c>
      <c r="F1741" s="4"/>
      <c r="G1741" s="4" t="s">
        <v>10</v>
      </c>
      <c r="H1741" s="4"/>
      <c r="I1741" s="18" t="s">
        <v>2473</v>
      </c>
      <c r="J1741" s="18" t="s">
        <v>2473</v>
      </c>
      <c r="K1741" s="18" t="s">
        <v>2473</v>
      </c>
      <c r="AU1741" s="6"/>
      <c r="AV1741" s="6" t="str">
        <f t="shared" si="31"/>
        <v/>
      </c>
    </row>
    <row r="1742" spans="1:48" ht="23.65" thickBot="1" x14ac:dyDescent="0.5">
      <c r="A1742" s="36" t="s">
        <v>1502</v>
      </c>
      <c r="B1742" s="3" t="s">
        <v>1503</v>
      </c>
      <c r="C1742" s="4" t="s">
        <v>13</v>
      </c>
      <c r="D1742" s="4"/>
      <c r="E1742" s="4" t="s">
        <v>13</v>
      </c>
      <c r="F1742" s="4"/>
      <c r="G1742" s="4" t="s">
        <v>13</v>
      </c>
      <c r="H1742" s="4"/>
      <c r="I1742" s="18" t="s">
        <v>2473</v>
      </c>
      <c r="J1742" s="18" t="s">
        <v>2473</v>
      </c>
      <c r="K1742" s="18" t="s">
        <v>2473</v>
      </c>
      <c r="AU1742" s="6"/>
      <c r="AV1742" s="6" t="str">
        <f t="shared" si="31"/>
        <v/>
      </c>
    </row>
    <row r="1743" spans="1:48" ht="105.75" thickBot="1" x14ac:dyDescent="0.5">
      <c r="A1743" s="36" t="s">
        <v>145</v>
      </c>
      <c r="B1743" s="3" t="s">
        <v>3968</v>
      </c>
      <c r="C1743" s="4" t="s">
        <v>10</v>
      </c>
      <c r="D1743" s="4"/>
      <c r="E1743" s="4" t="s">
        <v>10</v>
      </c>
      <c r="F1743" s="4"/>
      <c r="G1743" s="4" t="s">
        <v>10</v>
      </c>
      <c r="H1743" s="4"/>
      <c r="I1743" s="18" t="s">
        <v>2473</v>
      </c>
      <c r="J1743" s="18" t="s">
        <v>2473</v>
      </c>
      <c r="K1743" s="18" t="s">
        <v>2473</v>
      </c>
      <c r="AS1743" s="206" t="s">
        <v>5861</v>
      </c>
      <c r="AU1743" s="6"/>
      <c r="AV1743" s="6" t="str">
        <f t="shared" si="31"/>
        <v/>
      </c>
    </row>
    <row r="1744" spans="1:48" ht="47.65" thickBot="1" x14ac:dyDescent="0.5">
      <c r="A1744" s="35" t="s">
        <v>5361</v>
      </c>
      <c r="B1744" s="3" t="s">
        <v>5352</v>
      </c>
      <c r="C1744" s="4" t="s">
        <v>10</v>
      </c>
      <c r="D1744" s="4"/>
      <c r="E1744" s="4" t="s">
        <v>10</v>
      </c>
      <c r="F1744" s="4"/>
      <c r="G1744" s="4" t="s">
        <v>10</v>
      </c>
      <c r="H1744" s="4"/>
      <c r="I1744" s="18" t="s">
        <v>2473</v>
      </c>
      <c r="J1744" s="18" t="s">
        <v>2473</v>
      </c>
      <c r="K1744" s="18" t="s">
        <v>2473</v>
      </c>
      <c r="Q1744" s="131"/>
      <c r="R1744" s="131"/>
      <c r="S1744" s="131"/>
      <c r="T1744" s="131"/>
      <c r="U1744" s="131"/>
      <c r="V1744" s="131"/>
      <c r="W1744" s="131"/>
      <c r="X1744" s="131"/>
      <c r="AS1744" s="139" t="s">
        <v>5355</v>
      </c>
      <c r="AU1744" s="6"/>
      <c r="AV1744" s="6"/>
    </row>
    <row r="1745" spans="1:48" ht="82.5" thickBot="1" x14ac:dyDescent="0.5">
      <c r="A1745" s="35" t="s">
        <v>5360</v>
      </c>
      <c r="B1745" s="3" t="s">
        <v>5353</v>
      </c>
      <c r="C1745" s="4"/>
      <c r="D1745" s="4"/>
      <c r="E1745" s="4"/>
      <c r="F1745" s="4"/>
      <c r="G1745" s="4"/>
      <c r="H1745" s="4"/>
      <c r="I1745" s="18" t="s">
        <v>2473</v>
      </c>
      <c r="J1745" s="18" t="s">
        <v>2473</v>
      </c>
      <c r="K1745" s="18" t="s">
        <v>2473</v>
      </c>
      <c r="Q1745" s="131"/>
      <c r="R1745" s="131"/>
      <c r="S1745" s="131"/>
      <c r="T1745" s="131"/>
      <c r="U1745" s="131"/>
      <c r="V1745" s="131"/>
      <c r="W1745" s="131"/>
      <c r="X1745" s="131"/>
      <c r="AS1745" s="139" t="s">
        <v>5356</v>
      </c>
      <c r="AU1745" s="6"/>
      <c r="AV1745" s="6"/>
    </row>
    <row r="1746" spans="1:48" ht="14.65" thickBot="1" x14ac:dyDescent="0.5">
      <c r="A1746" s="36" t="s">
        <v>1504</v>
      </c>
      <c r="B1746" s="3" t="s">
        <v>1505</v>
      </c>
      <c r="C1746" s="4" t="s">
        <v>37</v>
      </c>
      <c r="D1746" s="4"/>
      <c r="E1746" s="4" t="s">
        <v>37</v>
      </c>
      <c r="F1746" s="4"/>
      <c r="G1746" s="4" t="s">
        <v>37</v>
      </c>
      <c r="H1746" s="4"/>
      <c r="I1746" s="18" t="s">
        <v>2473</v>
      </c>
      <c r="J1746" s="18" t="s">
        <v>2473</v>
      </c>
      <c r="K1746" s="18" t="s">
        <v>2473</v>
      </c>
      <c r="AU1746" s="6"/>
      <c r="AV1746" s="6" t="str">
        <f t="shared" si="31"/>
        <v/>
      </c>
    </row>
    <row r="1747" spans="1:48" ht="14.65" thickBot="1" x14ac:dyDescent="0.5">
      <c r="A1747" s="36" t="s">
        <v>1506</v>
      </c>
      <c r="B1747" s="3" t="s">
        <v>1507</v>
      </c>
      <c r="C1747" s="4" t="s">
        <v>37</v>
      </c>
      <c r="D1747" s="4"/>
      <c r="E1747" s="4" t="s">
        <v>37</v>
      </c>
      <c r="F1747" s="4"/>
      <c r="G1747" s="4" t="s">
        <v>37</v>
      </c>
      <c r="H1747" s="4"/>
      <c r="I1747" s="18" t="s">
        <v>2473</v>
      </c>
      <c r="J1747" s="18" t="s">
        <v>2473</v>
      </c>
      <c r="K1747" s="18" t="s">
        <v>2473</v>
      </c>
      <c r="AU1747" s="6"/>
      <c r="AV1747" s="6" t="str">
        <f t="shared" si="31"/>
        <v/>
      </c>
    </row>
    <row r="1748" spans="1:48" ht="23.65" thickBot="1" x14ac:dyDescent="0.5">
      <c r="A1748" s="35" t="s">
        <v>1508</v>
      </c>
      <c r="B1748" s="3" t="s">
        <v>1509</v>
      </c>
      <c r="C1748" s="4" t="s">
        <v>10</v>
      </c>
      <c r="D1748" s="4"/>
      <c r="E1748" s="4" t="s">
        <v>10</v>
      </c>
      <c r="F1748" s="4"/>
      <c r="G1748" s="4" t="s">
        <v>10</v>
      </c>
      <c r="H1748" s="4"/>
      <c r="I1748" s="18" t="s">
        <v>2473</v>
      </c>
      <c r="J1748" s="18" t="s">
        <v>2473</v>
      </c>
      <c r="K1748" s="18" t="s">
        <v>2473</v>
      </c>
      <c r="AU1748" s="6"/>
      <c r="AV1748" s="6" t="str">
        <f t="shared" si="31"/>
        <v/>
      </c>
    </row>
    <row r="1749" spans="1:48" ht="14.65" thickBot="1" x14ac:dyDescent="0.5">
      <c r="A1749" s="35" t="s">
        <v>1510</v>
      </c>
      <c r="B1749" s="3" t="s">
        <v>1511</v>
      </c>
      <c r="C1749" s="4" t="s">
        <v>10</v>
      </c>
      <c r="D1749" s="4"/>
      <c r="E1749" s="4" t="s">
        <v>10</v>
      </c>
      <c r="F1749" s="4"/>
      <c r="G1749" s="4" t="s">
        <v>10</v>
      </c>
      <c r="H1749" s="4"/>
      <c r="I1749" s="18" t="s">
        <v>2473</v>
      </c>
      <c r="J1749" s="18" t="s">
        <v>2473</v>
      </c>
      <c r="K1749" s="18" t="s">
        <v>2473</v>
      </c>
      <c r="AU1749" s="6"/>
      <c r="AV1749" s="6" t="str">
        <f t="shared" si="31"/>
        <v/>
      </c>
    </row>
    <row r="1750" spans="1:48" ht="23.65" thickBot="1" x14ac:dyDescent="0.5">
      <c r="A1750" s="35" t="s">
        <v>1512</v>
      </c>
      <c r="B1750" s="3" t="s">
        <v>1513</v>
      </c>
      <c r="C1750" s="4" t="s">
        <v>10</v>
      </c>
      <c r="D1750" s="4"/>
      <c r="E1750" s="4" t="s">
        <v>10</v>
      </c>
      <c r="F1750" s="4"/>
      <c r="G1750" s="4" t="s">
        <v>10</v>
      </c>
      <c r="H1750" s="4"/>
      <c r="I1750" s="18" t="s">
        <v>2473</v>
      </c>
      <c r="J1750" s="18" t="s">
        <v>2473</v>
      </c>
      <c r="K1750" s="18" t="s">
        <v>2473</v>
      </c>
      <c r="AU1750" s="6"/>
      <c r="AV1750" s="6" t="str">
        <f t="shared" si="31"/>
        <v/>
      </c>
    </row>
    <row r="1751" spans="1:48" ht="23.65" thickBot="1" x14ac:dyDescent="0.5">
      <c r="A1751" s="35" t="s">
        <v>1514</v>
      </c>
      <c r="B1751" s="3" t="s">
        <v>1515</v>
      </c>
      <c r="C1751" s="4" t="s">
        <v>10</v>
      </c>
      <c r="D1751" s="4"/>
      <c r="E1751" s="4" t="s">
        <v>10</v>
      </c>
      <c r="F1751" s="4"/>
      <c r="G1751" s="4" t="s">
        <v>10</v>
      </c>
      <c r="H1751" s="4"/>
      <c r="I1751" s="18" t="s">
        <v>2473</v>
      </c>
      <c r="J1751" s="18" t="s">
        <v>2473</v>
      </c>
      <c r="K1751" s="18" t="s">
        <v>2473</v>
      </c>
      <c r="AU1751" s="8"/>
      <c r="AV1751" s="6" t="str">
        <f t="shared" si="31"/>
        <v/>
      </c>
    </row>
    <row r="1752" spans="1:48" ht="14.65" thickBot="1" x14ac:dyDescent="0.5">
      <c r="A1752" s="36" t="s">
        <v>287</v>
      </c>
      <c r="B1752" s="3" t="s">
        <v>1516</v>
      </c>
      <c r="C1752" s="4" t="s">
        <v>13</v>
      </c>
      <c r="D1752" s="4"/>
      <c r="E1752" s="4" t="s">
        <v>13</v>
      </c>
      <c r="F1752" s="4"/>
      <c r="G1752" s="4" t="s">
        <v>13</v>
      </c>
      <c r="H1752" s="4"/>
      <c r="I1752" s="18" t="s">
        <v>2473</v>
      </c>
      <c r="J1752" s="18" t="s">
        <v>2473</v>
      </c>
      <c r="K1752" s="18" t="s">
        <v>2473</v>
      </c>
      <c r="AU1752" s="8"/>
      <c r="AV1752" s="6" t="str">
        <f t="shared" si="31"/>
        <v/>
      </c>
    </row>
    <row r="1753" spans="1:48" ht="14.65" thickBot="1" x14ac:dyDescent="0.5">
      <c r="A1753" s="36" t="s">
        <v>1517</v>
      </c>
      <c r="B1753" s="3" t="s">
        <v>1518</v>
      </c>
      <c r="C1753" s="4" t="s">
        <v>37</v>
      </c>
      <c r="D1753" s="4"/>
      <c r="E1753" s="4" t="s">
        <v>37</v>
      </c>
      <c r="F1753" s="4"/>
      <c r="G1753" s="4" t="s">
        <v>37</v>
      </c>
      <c r="H1753" s="4"/>
      <c r="I1753" s="18" t="s">
        <v>2473</v>
      </c>
      <c r="J1753" s="18" t="s">
        <v>2473</v>
      </c>
      <c r="K1753" s="18" t="s">
        <v>2473</v>
      </c>
      <c r="AU1753" s="6"/>
      <c r="AV1753" s="6" t="str">
        <f t="shared" si="31"/>
        <v/>
      </c>
    </row>
    <row r="1754" spans="1:48" x14ac:dyDescent="0.45">
      <c r="A1754" s="33" t="s">
        <v>1519</v>
      </c>
      <c r="I1754" s="18" t="s">
        <v>2473</v>
      </c>
      <c r="J1754" s="18" t="s">
        <v>2473</v>
      </c>
      <c r="K1754" s="18" t="s">
        <v>2473</v>
      </c>
      <c r="AU1754" s="6"/>
      <c r="AV1754" s="6" t="str">
        <f t="shared" si="31"/>
        <v/>
      </c>
    </row>
    <row r="1755" spans="1:48" x14ac:dyDescent="0.45">
      <c r="A1755" s="34" t="s">
        <v>1520</v>
      </c>
      <c r="I1755" s="18" t="s">
        <v>2473</v>
      </c>
      <c r="J1755" s="18" t="s">
        <v>2473</v>
      </c>
      <c r="K1755" s="18" t="s">
        <v>2473</v>
      </c>
      <c r="AU1755" s="6"/>
      <c r="AV1755" s="6" t="str">
        <f t="shared" si="31"/>
        <v/>
      </c>
    </row>
    <row r="1756" spans="1:48" s="79" customFormat="1" x14ac:dyDescent="0.45">
      <c r="A1756" s="75"/>
      <c r="B1756" s="76"/>
      <c r="C1756" s="77"/>
      <c r="D1756" s="77"/>
      <c r="E1756" s="77"/>
      <c r="F1756" s="77"/>
      <c r="G1756" s="77"/>
      <c r="H1756" s="77"/>
      <c r="I1756" s="77"/>
      <c r="J1756" s="77"/>
      <c r="K1756" s="77"/>
      <c r="L1756" s="77"/>
      <c r="M1756" s="148"/>
      <c r="N1756" s="78"/>
      <c r="O1756" s="78"/>
      <c r="P1756" s="78"/>
      <c r="Q1756" s="78"/>
      <c r="R1756" s="78"/>
      <c r="S1756" s="78"/>
      <c r="T1756" s="78"/>
      <c r="U1756" s="78"/>
      <c r="V1756" s="78"/>
      <c r="W1756" s="78"/>
      <c r="X1756" s="78"/>
      <c r="Y1756" s="148"/>
      <c r="Z1756" s="78"/>
      <c r="AA1756" s="78"/>
      <c r="AB1756" s="78"/>
      <c r="AC1756" s="78"/>
      <c r="AD1756" s="78"/>
      <c r="AE1756" s="156"/>
      <c r="AF1756" s="156"/>
      <c r="AG1756" s="78"/>
      <c r="AH1756" s="78"/>
      <c r="AI1756" s="78"/>
      <c r="AJ1756" s="78"/>
      <c r="AK1756" s="78"/>
      <c r="AL1756" s="78"/>
      <c r="AM1756" s="78"/>
      <c r="AN1756" s="78"/>
      <c r="AO1756" s="78"/>
      <c r="AP1756" s="78"/>
      <c r="AQ1756" s="78"/>
      <c r="AR1756" s="286"/>
      <c r="AS1756" s="78"/>
      <c r="AT1756" s="78"/>
      <c r="AU1756" s="8"/>
      <c r="AV1756" s="6" t="str">
        <f t="shared" si="31"/>
        <v/>
      </c>
    </row>
    <row r="1757" spans="1:48" x14ac:dyDescent="0.45">
      <c r="A1757" s="27" t="s">
        <v>2435</v>
      </c>
      <c r="I1757" s="18" t="s">
        <v>2473</v>
      </c>
      <c r="J1757" s="18" t="s">
        <v>2473</v>
      </c>
      <c r="K1757" s="18" t="s">
        <v>2473</v>
      </c>
      <c r="AU1757" s="6"/>
      <c r="AV1757" s="6" t="str">
        <f t="shared" si="31"/>
        <v/>
      </c>
    </row>
    <row r="1758" spans="1:48" x14ac:dyDescent="0.45">
      <c r="A1758" s="323" t="s">
        <v>1521</v>
      </c>
      <c r="B1758" s="324"/>
      <c r="C1758" s="324"/>
      <c r="D1758" s="324"/>
      <c r="E1758" s="324"/>
      <c r="F1758" s="324"/>
      <c r="G1758" s="101"/>
      <c r="H1758" s="101"/>
      <c r="I1758" s="18" t="s">
        <v>2473</v>
      </c>
      <c r="J1758" s="18" t="s">
        <v>2473</v>
      </c>
      <c r="K1758" s="18" t="s">
        <v>2473</v>
      </c>
      <c r="AU1758" s="6"/>
      <c r="AV1758" s="6" t="str">
        <f t="shared" si="31"/>
        <v/>
      </c>
    </row>
    <row r="1759" spans="1:48" x14ac:dyDescent="0.45">
      <c r="A1759" s="323" t="s">
        <v>1522</v>
      </c>
      <c r="B1759" s="324"/>
      <c r="C1759" s="324"/>
      <c r="D1759" s="324"/>
      <c r="E1759" s="324"/>
      <c r="F1759" s="324"/>
      <c r="G1759" s="101"/>
      <c r="H1759" s="101"/>
      <c r="I1759" s="18" t="s">
        <v>2473</v>
      </c>
      <c r="J1759" s="18" t="s">
        <v>2473</v>
      </c>
      <c r="K1759" s="18" t="s">
        <v>2473</v>
      </c>
      <c r="AU1759" s="6"/>
      <c r="AV1759" s="6" t="str">
        <f t="shared" si="31"/>
        <v/>
      </c>
    </row>
    <row r="1760" spans="1:48" s="79" customFormat="1" x14ac:dyDescent="0.45">
      <c r="A1760" s="75"/>
      <c r="B1760" s="76"/>
      <c r="C1760" s="77"/>
      <c r="D1760" s="77"/>
      <c r="E1760" s="77"/>
      <c r="F1760" s="77"/>
      <c r="G1760" s="77"/>
      <c r="H1760" s="77"/>
      <c r="I1760" s="77"/>
      <c r="J1760" s="77"/>
      <c r="K1760" s="77"/>
      <c r="L1760" s="77"/>
      <c r="M1760" s="148"/>
      <c r="N1760" s="78"/>
      <c r="O1760" s="78"/>
      <c r="P1760" s="78"/>
      <c r="Q1760" s="78"/>
      <c r="R1760" s="78"/>
      <c r="S1760" s="78"/>
      <c r="T1760" s="78"/>
      <c r="U1760" s="78"/>
      <c r="V1760" s="78"/>
      <c r="W1760" s="78"/>
      <c r="X1760" s="78"/>
      <c r="Y1760" s="148"/>
      <c r="Z1760" s="78"/>
      <c r="AA1760" s="78"/>
      <c r="AB1760" s="78"/>
      <c r="AC1760" s="78"/>
      <c r="AD1760" s="78"/>
      <c r="AE1760" s="156"/>
      <c r="AF1760" s="156"/>
      <c r="AG1760" s="78"/>
      <c r="AH1760" s="78"/>
      <c r="AI1760" s="78"/>
      <c r="AJ1760" s="78"/>
      <c r="AK1760" s="78"/>
      <c r="AL1760" s="78"/>
      <c r="AM1760" s="78"/>
      <c r="AN1760" s="78"/>
      <c r="AO1760" s="78"/>
      <c r="AP1760" s="78"/>
      <c r="AQ1760" s="78"/>
      <c r="AR1760" s="286"/>
      <c r="AS1760" s="78"/>
      <c r="AT1760" s="78"/>
      <c r="AU1760" s="8"/>
      <c r="AV1760" s="6" t="str">
        <f t="shared" si="31"/>
        <v/>
      </c>
    </row>
    <row r="1761" spans="1:48" x14ac:dyDescent="0.45">
      <c r="A1761" s="27" t="s">
        <v>2436</v>
      </c>
      <c r="I1761" s="18" t="s">
        <v>2473</v>
      </c>
      <c r="J1761" s="18" t="s">
        <v>2473</v>
      </c>
      <c r="K1761" s="18" t="s">
        <v>2473</v>
      </c>
      <c r="AU1761" s="6"/>
      <c r="AV1761" s="6" t="str">
        <f t="shared" si="31"/>
        <v/>
      </c>
    </row>
    <row r="1762" spans="1:48" x14ac:dyDescent="0.45">
      <c r="A1762" s="323" t="s">
        <v>2527</v>
      </c>
      <c r="B1762" s="324"/>
      <c r="C1762" s="324"/>
      <c r="D1762" s="324"/>
      <c r="E1762" s="324"/>
      <c r="F1762" s="324"/>
      <c r="G1762" s="101"/>
      <c r="H1762" s="101"/>
      <c r="I1762" s="18" t="s">
        <v>2473</v>
      </c>
      <c r="J1762" s="18" t="s">
        <v>2473</v>
      </c>
      <c r="K1762" s="18" t="s">
        <v>2473</v>
      </c>
      <c r="AU1762" s="6"/>
      <c r="AV1762" s="6" t="str">
        <f t="shared" si="31"/>
        <v/>
      </c>
    </row>
    <row r="1763" spans="1:48" ht="14.65" thickBot="1" x14ac:dyDescent="0.5">
      <c r="A1763" s="28" t="s">
        <v>1523</v>
      </c>
      <c r="I1763" s="18" t="s">
        <v>2473</v>
      </c>
      <c r="J1763" s="18" t="s">
        <v>2473</v>
      </c>
      <c r="K1763" s="18" t="s">
        <v>2473</v>
      </c>
      <c r="AA1763" s="183" t="s">
        <v>2322</v>
      </c>
      <c r="AB1763" s="183" t="s">
        <v>1697</v>
      </c>
      <c r="AC1763" s="183" t="s">
        <v>5</v>
      </c>
      <c r="AU1763" s="6"/>
      <c r="AV1763" s="6" t="str">
        <f t="shared" si="31"/>
        <v/>
      </c>
    </row>
    <row r="1764" spans="1:48" ht="116.65" thickBot="1" x14ac:dyDescent="0.5">
      <c r="A1764" s="309" t="s">
        <v>1524</v>
      </c>
      <c r="B1764" s="310"/>
      <c r="C1764" s="301" t="s">
        <v>1</v>
      </c>
      <c r="D1764" s="319"/>
      <c r="E1764" s="319"/>
      <c r="F1764" s="302"/>
      <c r="G1764" s="102"/>
      <c r="H1764" s="102"/>
      <c r="I1764" s="18" t="s">
        <v>2473</v>
      </c>
      <c r="AA1764" s="183" t="str">
        <f>LEFT($A1764,FIND(" ",$A1764)-1)</f>
        <v>Session</v>
      </c>
      <c r="AB1764" s="183" t="str">
        <f>MID($A1764,FIND("(",$A1764)+1,LEN($A1764)-FIND("(",$A1764)-1)</f>
        <v>1.1.1</v>
      </c>
      <c r="AC1764" s="101" t="str">
        <f>A1762</f>
        <v>A Session resource describes a single connection (session) between a client and a Redfish service instance.</v>
      </c>
      <c r="AU1764" s="6"/>
      <c r="AV1764" s="6" t="str">
        <f t="shared" si="31"/>
        <v/>
      </c>
    </row>
    <row r="1765" spans="1:48" ht="14.65" thickBot="1" x14ac:dyDescent="0.5">
      <c r="A1765" s="311"/>
      <c r="B1765" s="312"/>
      <c r="C1765" s="301" t="s">
        <v>2</v>
      </c>
      <c r="D1765" s="302"/>
      <c r="E1765" s="301" t="s">
        <v>3</v>
      </c>
      <c r="F1765" s="302"/>
      <c r="G1765" s="301" t="s">
        <v>2896</v>
      </c>
      <c r="H1765" s="302"/>
      <c r="I1765" s="18" t="s">
        <v>2473</v>
      </c>
      <c r="AA1765" s="183" t="s">
        <v>2322</v>
      </c>
      <c r="AB1765" s="183" t="s">
        <v>1697</v>
      </c>
      <c r="AC1765" s="183" t="s">
        <v>5</v>
      </c>
      <c r="AU1765" s="6"/>
      <c r="AV1765" s="6" t="str">
        <f t="shared" si="31"/>
        <v/>
      </c>
    </row>
    <row r="1766" spans="1:48" ht="116.65" thickBot="1" x14ac:dyDescent="0.5">
      <c r="A1766" s="309" t="s">
        <v>3216</v>
      </c>
      <c r="B1766" s="310"/>
      <c r="C1766" s="301" t="s">
        <v>1</v>
      </c>
      <c r="D1766" s="319"/>
      <c r="E1766" s="319"/>
      <c r="F1766" s="302"/>
      <c r="G1766" s="102"/>
      <c r="H1766" s="102"/>
      <c r="J1766" s="18" t="s">
        <v>2473</v>
      </c>
      <c r="K1766" s="18" t="s">
        <v>2473</v>
      </c>
      <c r="AA1766" s="183" t="str">
        <f>LEFT($A1766,FIND(" ",$A1766)-1)</f>
        <v>Session</v>
      </c>
      <c r="AB1766" s="183" t="str">
        <f>MID($A1766,FIND("(",$A1766)+1,LEN($A1766)-FIND("(",$A1766)-1)</f>
        <v>1.1.2</v>
      </c>
      <c r="AC1766" s="101" t="str">
        <f>AC1764</f>
        <v>A Session resource describes a single connection (session) between a client and a Redfish service instance.</v>
      </c>
      <c r="AU1766" s="6"/>
      <c r="AV1766" s="6" t="str">
        <f t="shared" si="31"/>
        <v/>
      </c>
    </row>
    <row r="1767" spans="1:48" ht="14.65" thickBot="1" x14ac:dyDescent="0.5">
      <c r="A1767" s="311"/>
      <c r="B1767" s="312"/>
      <c r="C1767" s="301" t="s">
        <v>2</v>
      </c>
      <c r="D1767" s="302"/>
      <c r="E1767" s="301" t="s">
        <v>3</v>
      </c>
      <c r="F1767" s="302"/>
      <c r="G1767" s="301" t="s">
        <v>2896</v>
      </c>
      <c r="H1767" s="302"/>
      <c r="J1767" s="18" t="s">
        <v>2473</v>
      </c>
      <c r="K1767" s="18" t="s">
        <v>2473</v>
      </c>
      <c r="AM1767" s="8" t="str">
        <f>C1767</f>
        <v>OSM-Redfish</v>
      </c>
      <c r="AN1767" s="8" t="str">
        <f>E1767</f>
        <v>OSM-RedfishBMC</v>
      </c>
      <c r="AO1767" s="8" t="str">
        <f>G1767</f>
        <v>OSM-RedfishDCN</v>
      </c>
      <c r="AU1767" s="6"/>
      <c r="AV1767" s="6" t="str">
        <f t="shared" si="31"/>
        <v/>
      </c>
    </row>
    <row r="1768" spans="1:48" ht="14.65" thickBot="1" x14ac:dyDescent="0.5">
      <c r="A1768" s="48" t="s">
        <v>2377</v>
      </c>
      <c r="B1768" s="49"/>
      <c r="C1768" s="327" t="s">
        <v>10</v>
      </c>
      <c r="D1768" s="328"/>
      <c r="E1768" s="327" t="s">
        <v>10</v>
      </c>
      <c r="F1768" s="328"/>
      <c r="G1768" s="327" t="s">
        <v>10</v>
      </c>
      <c r="H1768" s="328"/>
      <c r="I1768" s="18" t="s">
        <v>2473</v>
      </c>
      <c r="J1768" s="18" t="s">
        <v>2473</v>
      </c>
      <c r="K1768" s="18" t="s">
        <v>2473</v>
      </c>
      <c r="AM1768" s="8" t="str">
        <f>IF(C1768&lt;&gt;"","CRQ-P5-"&amp;(AM$2+$AP1768*$AP$3),"")</f>
        <v>CRQ-P5-1216</v>
      </c>
      <c r="AN1768" s="8" t="str">
        <f>IF(E1768&lt;&gt;"","CRQ-P5-"&amp;(AN$2+$AP1768*$AP$3),"")</f>
        <v>CRQ-P5-1516</v>
      </c>
      <c r="AO1768" s="8" t="str">
        <f>IF(G1768&lt;&gt;"","CRQ-P5-"&amp;(AO$2+$AP1768*$AP$3),"")</f>
        <v>CRQ-P5-1816</v>
      </c>
      <c r="AP1768" s="8">
        <v>54</v>
      </c>
      <c r="AU1768" s="6"/>
      <c r="AV1768" s="6" t="str">
        <f t="shared" si="31"/>
        <v/>
      </c>
    </row>
    <row r="1769" spans="1:48" ht="14.65" thickBot="1" x14ac:dyDescent="0.5">
      <c r="A1769" s="29" t="s">
        <v>3394</v>
      </c>
      <c r="B1769" s="9"/>
      <c r="C1769" s="305" t="str">
        <f>MID($A1764,FIND("(",$A1764)+1,5)</f>
        <v>1.1.1</v>
      </c>
      <c r="D1769" s="306"/>
      <c r="E1769" s="305" t="s">
        <v>3407</v>
      </c>
      <c r="F1769" s="306"/>
      <c r="G1769" s="305" t="str">
        <f>MID($A1764,FIND("(",$A1764)+1,5)</f>
        <v>1.1.1</v>
      </c>
      <c r="H1769" s="306"/>
      <c r="I1769" s="18" t="s">
        <v>2473</v>
      </c>
      <c r="J1769" s="18" t="s">
        <v>2473</v>
      </c>
      <c r="K1769" s="18" t="s">
        <v>2473</v>
      </c>
      <c r="AU1769" s="6"/>
      <c r="AV1769" s="6" t="str">
        <f t="shared" si="31"/>
        <v/>
      </c>
    </row>
    <row r="1770" spans="1:48" ht="14.65" thickBot="1" x14ac:dyDescent="0.5">
      <c r="A1770" s="30" t="s">
        <v>4</v>
      </c>
      <c r="B1770" s="59" t="s">
        <v>5</v>
      </c>
      <c r="C1770" s="7" t="s">
        <v>6</v>
      </c>
      <c r="D1770" s="7" t="s">
        <v>7</v>
      </c>
      <c r="E1770" s="7" t="s">
        <v>6</v>
      </c>
      <c r="F1770" s="7" t="s">
        <v>7</v>
      </c>
      <c r="G1770" s="7" t="s">
        <v>6</v>
      </c>
      <c r="H1770" s="7" t="s">
        <v>7</v>
      </c>
      <c r="I1770" s="18" t="s">
        <v>2473</v>
      </c>
      <c r="J1770" s="18" t="s">
        <v>2473</v>
      </c>
      <c r="K1770" s="18" t="s">
        <v>2473</v>
      </c>
      <c r="AU1770" s="6"/>
      <c r="AV1770" s="6" t="str">
        <f t="shared" si="31"/>
        <v/>
      </c>
    </row>
    <row r="1771" spans="1:48" ht="14.65" thickBot="1" x14ac:dyDescent="0.5">
      <c r="A1771" s="36" t="s">
        <v>8</v>
      </c>
      <c r="B1771" s="3" t="s">
        <v>9</v>
      </c>
      <c r="C1771" s="4"/>
      <c r="D1771" s="4"/>
      <c r="E1771" s="4"/>
      <c r="F1771" s="4"/>
      <c r="G1771" s="4"/>
      <c r="H1771" s="4"/>
      <c r="I1771" s="18" t="s">
        <v>2473</v>
      </c>
      <c r="J1771" s="18" t="s">
        <v>2473</v>
      </c>
      <c r="K1771" s="18" t="s">
        <v>2473</v>
      </c>
      <c r="AU1771" s="6"/>
      <c r="AV1771" s="6" t="str">
        <f t="shared" si="31"/>
        <v/>
      </c>
    </row>
    <row r="1772" spans="1:48" ht="23.65" thickBot="1" x14ac:dyDescent="0.5">
      <c r="A1772" s="36" t="s">
        <v>1525</v>
      </c>
      <c r="B1772" s="3" t="s">
        <v>1526</v>
      </c>
      <c r="C1772" s="4"/>
      <c r="D1772" s="4"/>
      <c r="E1772" s="4"/>
      <c r="F1772" s="4"/>
      <c r="G1772" s="4"/>
      <c r="H1772" s="4"/>
      <c r="I1772" s="18" t="s">
        <v>2473</v>
      </c>
      <c r="J1772" s="18" t="s">
        <v>2473</v>
      </c>
      <c r="K1772" s="18" t="s">
        <v>2473</v>
      </c>
      <c r="AU1772" s="6"/>
      <c r="AV1772" s="6" t="str">
        <f t="shared" si="31"/>
        <v/>
      </c>
    </row>
    <row r="1773" spans="1:48" ht="14.65" thickBot="1" x14ac:dyDescent="0.5">
      <c r="A1773" s="36" t="s">
        <v>1527</v>
      </c>
      <c r="B1773" s="3" t="s">
        <v>1528</v>
      </c>
      <c r="C1773" s="4" t="s">
        <v>10</v>
      </c>
      <c r="D1773" s="4"/>
      <c r="E1773" s="4" t="s">
        <v>10</v>
      </c>
      <c r="F1773" s="4"/>
      <c r="G1773" s="4" t="s">
        <v>10</v>
      </c>
      <c r="H1773" s="4"/>
      <c r="I1773" s="18" t="s">
        <v>2473</v>
      </c>
      <c r="J1773" s="18" t="s">
        <v>2473</v>
      </c>
      <c r="K1773" s="18" t="s">
        <v>2473</v>
      </c>
      <c r="AU1773" s="6"/>
      <c r="AV1773" s="6" t="str">
        <f t="shared" si="31"/>
        <v/>
      </c>
    </row>
    <row r="1774" spans="1:48" x14ac:dyDescent="0.45">
      <c r="A1774" s="33" t="s">
        <v>1529</v>
      </c>
      <c r="I1774" s="18" t="s">
        <v>2473</v>
      </c>
      <c r="J1774" s="18" t="s">
        <v>2473</v>
      </c>
      <c r="K1774" s="18" t="s">
        <v>2473</v>
      </c>
      <c r="AU1774" s="6"/>
      <c r="AV1774" s="6" t="str">
        <f t="shared" si="31"/>
        <v/>
      </c>
    </row>
    <row r="1775" spans="1:48" x14ac:dyDescent="0.45">
      <c r="A1775" s="34" t="s">
        <v>1530</v>
      </c>
      <c r="I1775" s="18" t="s">
        <v>2473</v>
      </c>
      <c r="J1775" s="18" t="s">
        <v>2473</v>
      </c>
      <c r="K1775" s="18" t="s">
        <v>2473</v>
      </c>
      <c r="AU1775" s="6"/>
      <c r="AV1775" s="6" t="str">
        <f t="shared" si="31"/>
        <v/>
      </c>
    </row>
    <row r="1776" spans="1:48" s="79" customFormat="1" x14ac:dyDescent="0.45">
      <c r="A1776" s="75"/>
      <c r="B1776" s="76"/>
      <c r="C1776" s="77"/>
      <c r="D1776" s="77"/>
      <c r="E1776" s="77"/>
      <c r="F1776" s="77"/>
      <c r="G1776" s="77"/>
      <c r="H1776" s="77"/>
      <c r="I1776" s="77"/>
      <c r="J1776" s="77"/>
      <c r="K1776" s="77"/>
      <c r="L1776" s="77"/>
      <c r="M1776" s="148"/>
      <c r="N1776" s="78"/>
      <c r="O1776" s="78"/>
      <c r="P1776" s="78"/>
      <c r="Q1776" s="78"/>
      <c r="R1776" s="78"/>
      <c r="S1776" s="78"/>
      <c r="T1776" s="78"/>
      <c r="U1776" s="78"/>
      <c r="V1776" s="78"/>
      <c r="W1776" s="78"/>
      <c r="X1776" s="78"/>
      <c r="Y1776" s="148"/>
      <c r="Z1776" s="78"/>
      <c r="AA1776" s="78"/>
      <c r="AB1776" s="78"/>
      <c r="AC1776" s="78"/>
      <c r="AD1776" s="78"/>
      <c r="AE1776" s="156"/>
      <c r="AF1776" s="156"/>
      <c r="AG1776" s="78"/>
      <c r="AH1776" s="78"/>
      <c r="AI1776" s="78"/>
      <c r="AJ1776" s="78"/>
      <c r="AK1776" s="78"/>
      <c r="AL1776" s="78"/>
      <c r="AM1776" s="78"/>
      <c r="AN1776" s="78"/>
      <c r="AO1776" s="78"/>
      <c r="AP1776" s="78"/>
      <c r="AQ1776" s="78"/>
      <c r="AR1776" s="286"/>
      <c r="AS1776" s="78"/>
      <c r="AT1776" s="78"/>
      <c r="AU1776" s="8"/>
      <c r="AV1776" s="6" t="str">
        <f t="shared" si="31"/>
        <v/>
      </c>
    </row>
    <row r="1777" spans="1:48" x14ac:dyDescent="0.45">
      <c r="A1777" s="27" t="s">
        <v>2437</v>
      </c>
      <c r="I1777" s="18" t="s">
        <v>2473</v>
      </c>
      <c r="J1777" s="18" t="s">
        <v>2473</v>
      </c>
      <c r="K1777" s="18" t="s">
        <v>2473</v>
      </c>
      <c r="AU1777" s="6"/>
      <c r="AV1777" s="6" t="str">
        <f t="shared" si="31"/>
        <v/>
      </c>
    </row>
    <row r="1778" spans="1:48" x14ac:dyDescent="0.45">
      <c r="A1778" s="323" t="s">
        <v>2526</v>
      </c>
      <c r="B1778" s="324"/>
      <c r="C1778" s="324"/>
      <c r="D1778" s="324"/>
      <c r="E1778" s="324"/>
      <c r="F1778" s="324"/>
      <c r="G1778" s="101"/>
      <c r="H1778" s="101"/>
      <c r="I1778" s="18" t="s">
        <v>2473</v>
      </c>
      <c r="J1778" s="18" t="s">
        <v>2473</v>
      </c>
      <c r="K1778" s="18" t="s">
        <v>2473</v>
      </c>
      <c r="AU1778" s="6"/>
      <c r="AV1778" s="6" t="str">
        <f t="shared" si="31"/>
        <v/>
      </c>
    </row>
    <row r="1779" spans="1:48" ht="14.65" thickBot="1" x14ac:dyDescent="0.5">
      <c r="A1779" s="28" t="s">
        <v>1531</v>
      </c>
      <c r="I1779" s="18" t="s">
        <v>2473</v>
      </c>
      <c r="J1779" s="18" t="s">
        <v>2473</v>
      </c>
      <c r="K1779" s="18" t="s">
        <v>2473</v>
      </c>
      <c r="AA1779" s="183" t="s">
        <v>2322</v>
      </c>
      <c r="AB1779" s="183" t="s">
        <v>1697</v>
      </c>
      <c r="AC1779" s="183" t="s">
        <v>5</v>
      </c>
      <c r="AU1779" s="6"/>
      <c r="AV1779" s="6" t="str">
        <f t="shared" si="31"/>
        <v/>
      </c>
    </row>
    <row r="1780" spans="1:48" ht="105" thickBot="1" x14ac:dyDescent="0.5">
      <c r="A1780" s="309" t="s">
        <v>1532</v>
      </c>
      <c r="B1780" s="310"/>
      <c r="C1780" s="301" t="s">
        <v>1</v>
      </c>
      <c r="D1780" s="319"/>
      <c r="E1780" s="319"/>
      <c r="F1780" s="302"/>
      <c r="G1780" s="102"/>
      <c r="H1780" s="102"/>
      <c r="I1780" s="18" t="s">
        <v>2473</v>
      </c>
      <c r="J1780" s="18" t="s">
        <v>2473</v>
      </c>
      <c r="K1780" s="18" t="s">
        <v>2473</v>
      </c>
      <c r="AA1780" s="183" t="str">
        <f>LEFT($A1780,FIND(" ",$A1780)-1)</f>
        <v>SessionService</v>
      </c>
      <c r="AB1780" s="183" t="str">
        <f>MID($A1780,FIND("(",$A1780)+1,LEN($A1780)-FIND("(",$A1780)-1)</f>
        <v>1.1.4</v>
      </c>
      <c r="AC1780" s="101" t="str">
        <f>A1778</f>
        <v>The SessionService resource represents the properties for the service itself and has links to the actual list of sessions.</v>
      </c>
      <c r="AU1780" s="6"/>
      <c r="AV1780" s="6" t="str">
        <f t="shared" si="31"/>
        <v/>
      </c>
    </row>
    <row r="1781" spans="1:48" ht="14.65" thickBot="1" x14ac:dyDescent="0.5">
      <c r="A1781" s="311"/>
      <c r="B1781" s="312"/>
      <c r="C1781" s="301" t="s">
        <v>2</v>
      </c>
      <c r="D1781" s="302"/>
      <c r="E1781" s="301" t="s">
        <v>3</v>
      </c>
      <c r="F1781" s="302"/>
      <c r="G1781" s="301" t="s">
        <v>2896</v>
      </c>
      <c r="H1781" s="302"/>
      <c r="I1781" s="18" t="s">
        <v>2473</v>
      </c>
      <c r="J1781" s="18" t="s">
        <v>2473</v>
      </c>
      <c r="K1781" s="18" t="s">
        <v>2473</v>
      </c>
      <c r="AA1781" s="183" t="s">
        <v>2322</v>
      </c>
      <c r="AB1781" s="183" t="s">
        <v>1697</v>
      </c>
      <c r="AC1781" s="183" t="s">
        <v>5</v>
      </c>
      <c r="AU1781" s="6"/>
      <c r="AV1781" s="6" t="str">
        <f t="shared" si="31"/>
        <v/>
      </c>
    </row>
    <row r="1782" spans="1:48" ht="105" thickBot="1" x14ac:dyDescent="0.5">
      <c r="A1782" s="309" t="s">
        <v>3215</v>
      </c>
      <c r="B1782" s="310"/>
      <c r="C1782" s="301" t="s">
        <v>1</v>
      </c>
      <c r="D1782" s="319"/>
      <c r="E1782" s="319"/>
      <c r="F1782" s="302"/>
      <c r="G1782" s="102"/>
      <c r="H1782" s="102"/>
      <c r="I1782" s="18" t="s">
        <v>2473</v>
      </c>
      <c r="J1782" s="18" t="s">
        <v>2473</v>
      </c>
      <c r="K1782" s="18" t="s">
        <v>2473</v>
      </c>
      <c r="AA1782" s="183" t="str">
        <f>LEFT($A1782,FIND(" ",$A1782)-1)</f>
        <v>SessionService</v>
      </c>
      <c r="AB1782" s="183" t="str">
        <f>MID($A1782,FIND("(",$A1782)+1,LEN($A1782)-FIND("(",$A1782)-1)</f>
        <v>1.1.5</v>
      </c>
      <c r="AC1782" s="101" t="str">
        <f>AC1780</f>
        <v>The SessionService resource represents the properties for the service itself and has links to the actual list of sessions.</v>
      </c>
      <c r="AU1782" s="6"/>
      <c r="AV1782" s="6" t="str">
        <f t="shared" si="31"/>
        <v/>
      </c>
    </row>
    <row r="1783" spans="1:48" ht="14.65" thickBot="1" x14ac:dyDescent="0.5">
      <c r="A1783" s="311"/>
      <c r="B1783" s="312"/>
      <c r="C1783" s="301" t="s">
        <v>2</v>
      </c>
      <c r="D1783" s="302"/>
      <c r="E1783" s="301" t="s">
        <v>3</v>
      </c>
      <c r="F1783" s="302"/>
      <c r="G1783" s="301" t="s">
        <v>2896</v>
      </c>
      <c r="H1783" s="302"/>
      <c r="I1783" s="18" t="s">
        <v>2473</v>
      </c>
      <c r="J1783" s="18" t="s">
        <v>2473</v>
      </c>
      <c r="K1783" s="18" t="s">
        <v>2473</v>
      </c>
      <c r="AM1783" s="8" t="str">
        <f>C1783</f>
        <v>OSM-Redfish</v>
      </c>
      <c r="AN1783" s="8" t="str">
        <f>E1783</f>
        <v>OSM-RedfishBMC</v>
      </c>
      <c r="AO1783" s="8" t="str">
        <f>G1783</f>
        <v>OSM-RedfishDCN</v>
      </c>
      <c r="AU1783" s="6"/>
      <c r="AV1783" s="6" t="str">
        <f t="shared" si="31"/>
        <v/>
      </c>
    </row>
    <row r="1784" spans="1:48" ht="14.65" thickBot="1" x14ac:dyDescent="0.5">
      <c r="A1784" s="46" t="s">
        <v>2377</v>
      </c>
      <c r="B1784" s="47"/>
      <c r="C1784" s="303" t="s">
        <v>10</v>
      </c>
      <c r="D1784" s="304"/>
      <c r="E1784" s="303" t="s">
        <v>10</v>
      </c>
      <c r="F1784" s="304"/>
      <c r="G1784" s="303" t="s">
        <v>10</v>
      </c>
      <c r="H1784" s="304"/>
      <c r="I1784" s="18" t="s">
        <v>2473</v>
      </c>
      <c r="J1784" s="18" t="s">
        <v>2473</v>
      </c>
      <c r="K1784" s="18" t="s">
        <v>2473</v>
      </c>
      <c r="AM1784" s="8" t="str">
        <f>IF(C1784&lt;&gt;"","CRQ-P5-"&amp;(AM$2+$AP1784*$AP$3),"")</f>
        <v>CRQ-P5-1220</v>
      </c>
      <c r="AN1784" s="8" t="str">
        <f>IF(E1784&lt;&gt;"","CRQ-P5-"&amp;(AN$2+$AP1784*$AP$3),"")</f>
        <v>CRQ-P5-1520</v>
      </c>
      <c r="AO1784" s="8" t="str">
        <f>IF(G1784&lt;&gt;"","CRQ-P5-"&amp;(AO$2+$AP1784*$AP$3),"")</f>
        <v>CRQ-P5-1820</v>
      </c>
      <c r="AP1784" s="8">
        <v>55</v>
      </c>
      <c r="AU1784" s="6"/>
      <c r="AV1784" s="6" t="str">
        <f t="shared" si="31"/>
        <v/>
      </c>
    </row>
    <row r="1785" spans="1:48" ht="14.65" thickBot="1" x14ac:dyDescent="0.5">
      <c r="A1785" s="29" t="s">
        <v>3394</v>
      </c>
      <c r="B1785" s="9"/>
      <c r="C1785" s="305" t="str">
        <f>MID($A1780,FIND("(",$A1780)+1,5)</f>
        <v>1.1.4</v>
      </c>
      <c r="D1785" s="306"/>
      <c r="E1785" s="305" t="s">
        <v>3406</v>
      </c>
      <c r="F1785" s="306"/>
      <c r="G1785" s="305" t="str">
        <f>MID($A1780,FIND("(",$A1780)+1,5)</f>
        <v>1.1.4</v>
      </c>
      <c r="H1785" s="306"/>
      <c r="I1785" s="18" t="s">
        <v>2473</v>
      </c>
      <c r="J1785" s="18" t="s">
        <v>2473</v>
      </c>
      <c r="K1785" s="18" t="s">
        <v>2473</v>
      </c>
      <c r="AU1785" s="6"/>
      <c r="AV1785" s="6" t="str">
        <f t="shared" si="31"/>
        <v/>
      </c>
    </row>
    <row r="1786" spans="1:48" ht="14.65" thickBot="1" x14ac:dyDescent="0.5">
      <c r="A1786" s="30" t="s">
        <v>4</v>
      </c>
      <c r="B1786" s="59" t="s">
        <v>5</v>
      </c>
      <c r="C1786" s="7" t="s">
        <v>6</v>
      </c>
      <c r="D1786" s="7" t="s">
        <v>7</v>
      </c>
      <c r="E1786" s="7" t="s">
        <v>6</v>
      </c>
      <c r="F1786" s="7" t="s">
        <v>7</v>
      </c>
      <c r="G1786" s="7" t="s">
        <v>6</v>
      </c>
      <c r="H1786" s="7" t="s">
        <v>7</v>
      </c>
      <c r="I1786" s="18" t="s">
        <v>2473</v>
      </c>
      <c r="J1786" s="18" t="s">
        <v>2473</v>
      </c>
      <c r="K1786" s="18" t="s">
        <v>2473</v>
      </c>
      <c r="AU1786" s="8"/>
      <c r="AV1786" s="6" t="str">
        <f t="shared" si="31"/>
        <v/>
      </c>
    </row>
    <row r="1787" spans="1:48" ht="14.65" thickBot="1" x14ac:dyDescent="0.5">
      <c r="A1787" s="36" t="s">
        <v>8</v>
      </c>
      <c r="B1787" s="3" t="s">
        <v>9</v>
      </c>
      <c r="C1787" s="4"/>
      <c r="D1787" s="4"/>
      <c r="E1787" s="4"/>
      <c r="F1787" s="4"/>
      <c r="G1787" s="4"/>
      <c r="H1787" s="4"/>
      <c r="I1787" s="18" t="s">
        <v>2473</v>
      </c>
      <c r="J1787" s="18" t="s">
        <v>2473</v>
      </c>
      <c r="K1787" s="18" t="s">
        <v>2473</v>
      </c>
      <c r="AU1787" s="8"/>
      <c r="AV1787" s="6" t="str">
        <f t="shared" si="31"/>
        <v/>
      </c>
    </row>
    <row r="1788" spans="1:48" ht="46.9" thickBot="1" x14ac:dyDescent="0.5">
      <c r="A1788" s="36" t="s">
        <v>577</v>
      </c>
      <c r="B1788" s="3" t="s">
        <v>1533</v>
      </c>
      <c r="C1788" s="4" t="s">
        <v>10</v>
      </c>
      <c r="D1788" s="4" t="s">
        <v>10</v>
      </c>
      <c r="E1788" s="4" t="s">
        <v>10</v>
      </c>
      <c r="F1788" s="4" t="s">
        <v>10</v>
      </c>
      <c r="G1788" s="4" t="s">
        <v>10</v>
      </c>
      <c r="H1788" s="4" t="s">
        <v>10</v>
      </c>
      <c r="I1788" s="18" t="s">
        <v>2473</v>
      </c>
      <c r="J1788" s="18" t="s">
        <v>2473</v>
      </c>
      <c r="K1788" s="18" t="s">
        <v>2473</v>
      </c>
      <c r="AU1788" s="8"/>
      <c r="AV1788" s="6" t="str">
        <f t="shared" si="31"/>
        <v/>
      </c>
    </row>
    <row r="1789" spans="1:48" ht="24.4" thickBot="1" x14ac:dyDescent="0.5">
      <c r="A1789" s="36" t="s">
        <v>1534</v>
      </c>
      <c r="B1789" s="3" t="s">
        <v>1535</v>
      </c>
      <c r="C1789" s="4" t="s">
        <v>13</v>
      </c>
      <c r="D1789" s="4" t="s">
        <v>13</v>
      </c>
      <c r="E1789" s="4" t="s">
        <v>13</v>
      </c>
      <c r="F1789" s="4" t="s">
        <v>13</v>
      </c>
      <c r="G1789" s="4" t="s">
        <v>13</v>
      </c>
      <c r="H1789" s="4" t="s">
        <v>13</v>
      </c>
      <c r="I1789" s="18" t="s">
        <v>2473</v>
      </c>
      <c r="J1789" s="18" t="s">
        <v>2473</v>
      </c>
      <c r="K1789" s="18" t="s">
        <v>2473</v>
      </c>
      <c r="AU1789" s="139" t="s">
        <v>4150</v>
      </c>
      <c r="AV1789" s="6" t="str">
        <f t="shared" si="31"/>
        <v/>
      </c>
    </row>
    <row r="1790" spans="1:48" ht="14.65" thickBot="1" x14ac:dyDescent="0.5">
      <c r="A1790" s="36" t="s">
        <v>1536</v>
      </c>
      <c r="B1790" s="3" t="s">
        <v>977</v>
      </c>
      <c r="C1790" s="4" t="s">
        <v>10</v>
      </c>
      <c r="D1790" s="4"/>
      <c r="E1790" s="4" t="s">
        <v>10</v>
      </c>
      <c r="F1790" s="4"/>
      <c r="G1790" s="4" t="s">
        <v>10</v>
      </c>
      <c r="H1790" s="4"/>
      <c r="I1790" s="18" t="s">
        <v>2473</v>
      </c>
      <c r="J1790" s="18" t="s">
        <v>2473</v>
      </c>
      <c r="K1790" s="18" t="s">
        <v>2473</v>
      </c>
      <c r="AU1790" s="8"/>
      <c r="AV1790" s="6" t="str">
        <f t="shared" si="31"/>
        <v/>
      </c>
    </row>
    <row r="1791" spans="1:48" ht="14.65" thickBot="1" x14ac:dyDescent="0.5">
      <c r="A1791" s="35" t="s">
        <v>33</v>
      </c>
      <c r="B1791" s="3" t="s">
        <v>977</v>
      </c>
      <c r="C1791" s="4"/>
      <c r="D1791" s="4"/>
      <c r="E1791" s="4"/>
      <c r="F1791" s="4"/>
      <c r="G1791" s="4"/>
      <c r="H1791" s="4"/>
      <c r="I1791" s="18" t="s">
        <v>2473</v>
      </c>
      <c r="J1791" s="18" t="s">
        <v>2473</v>
      </c>
      <c r="K1791" s="18" t="s">
        <v>2473</v>
      </c>
      <c r="AU1791" s="6"/>
      <c r="AV1791" s="6" t="str">
        <f t="shared" si="31"/>
        <v/>
      </c>
    </row>
    <row r="1792" spans="1:48" ht="24.4" thickBot="1" x14ac:dyDescent="0.5">
      <c r="A1792" s="36" t="s">
        <v>145</v>
      </c>
      <c r="B1792" s="3" t="s">
        <v>3968</v>
      </c>
      <c r="C1792" s="4" t="s">
        <v>13</v>
      </c>
      <c r="D1792" s="4"/>
      <c r="E1792" s="4" t="s">
        <v>13</v>
      </c>
      <c r="F1792" s="4"/>
      <c r="G1792" s="4" t="s">
        <v>13</v>
      </c>
      <c r="H1792" s="4"/>
      <c r="I1792" s="18" t="s">
        <v>2473</v>
      </c>
      <c r="J1792" s="18" t="s">
        <v>2473</v>
      </c>
      <c r="K1792" s="18" t="s">
        <v>2473</v>
      </c>
      <c r="AS1792" s="139" t="s">
        <v>5369</v>
      </c>
      <c r="AU1792" s="8"/>
      <c r="AV1792" s="6" t="str">
        <f t="shared" si="31"/>
        <v/>
      </c>
    </row>
    <row r="1793" spans="1:48" ht="47.65" thickBot="1" x14ac:dyDescent="0.5">
      <c r="A1793" s="35" t="s">
        <v>5361</v>
      </c>
      <c r="B1793" s="3" t="s">
        <v>5352</v>
      </c>
      <c r="C1793" s="4" t="s">
        <v>10</v>
      </c>
      <c r="D1793" s="4"/>
      <c r="E1793" s="4" t="s">
        <v>10</v>
      </c>
      <c r="F1793" s="4"/>
      <c r="G1793" s="4" t="s">
        <v>10</v>
      </c>
      <c r="H1793" s="4"/>
      <c r="I1793" s="18" t="s">
        <v>2473</v>
      </c>
      <c r="J1793" s="18" t="s">
        <v>2473</v>
      </c>
      <c r="K1793" s="18" t="s">
        <v>2473</v>
      </c>
      <c r="Q1793" s="131"/>
      <c r="R1793" s="131"/>
      <c r="S1793" s="131"/>
      <c r="T1793" s="131"/>
      <c r="U1793" s="131"/>
      <c r="V1793" s="131"/>
      <c r="W1793" s="131"/>
      <c r="X1793" s="131"/>
      <c r="AS1793" s="139" t="s">
        <v>5355</v>
      </c>
      <c r="AU1793" s="6"/>
      <c r="AV1793" s="6"/>
    </row>
    <row r="1794" spans="1:48" ht="82.5" thickBot="1" x14ac:dyDescent="0.5">
      <c r="A1794" s="35" t="s">
        <v>5360</v>
      </c>
      <c r="B1794" s="3" t="s">
        <v>5353</v>
      </c>
      <c r="C1794" s="4"/>
      <c r="D1794" s="4"/>
      <c r="E1794" s="4"/>
      <c r="F1794" s="4"/>
      <c r="G1794" s="4"/>
      <c r="H1794" s="4"/>
      <c r="I1794" s="18" t="s">
        <v>2473</v>
      </c>
      <c r="J1794" s="18" t="s">
        <v>2473</v>
      </c>
      <c r="K1794" s="18" t="s">
        <v>2473</v>
      </c>
      <c r="Q1794" s="131"/>
      <c r="R1794" s="131"/>
      <c r="S1794" s="131"/>
      <c r="T1794" s="131"/>
      <c r="U1794" s="131"/>
      <c r="V1794" s="131"/>
      <c r="W1794" s="131"/>
      <c r="X1794" s="131"/>
      <c r="AS1794" s="139" t="s">
        <v>5356</v>
      </c>
      <c r="AU1794" s="6"/>
      <c r="AV1794" s="6"/>
    </row>
    <row r="1795" spans="1:48" x14ac:dyDescent="0.45">
      <c r="A1795" s="33" t="s">
        <v>1537</v>
      </c>
      <c r="I1795" s="18" t="s">
        <v>2473</v>
      </c>
      <c r="J1795" s="18" t="s">
        <v>2473</v>
      </c>
      <c r="K1795" s="18" t="s">
        <v>2473</v>
      </c>
      <c r="AU1795" s="6"/>
      <c r="AV1795" s="6" t="str">
        <f t="shared" ref="AV1795:AV1858" si="32">IF(A1795&lt;&gt;"",IF(T1795&lt;&gt;"",IF(LEFT(R1795,3)="Has",IF(TRIM(A1795)&lt;&gt;T1795,"ERROR","OK"),""),""),"")</f>
        <v/>
      </c>
    </row>
    <row r="1796" spans="1:48" x14ac:dyDescent="0.45">
      <c r="A1796" s="34" t="s">
        <v>1538</v>
      </c>
      <c r="I1796" s="18" t="s">
        <v>2473</v>
      </c>
      <c r="J1796" s="18" t="s">
        <v>2473</v>
      </c>
      <c r="K1796" s="18" t="s">
        <v>2473</v>
      </c>
      <c r="AU1796" s="6"/>
      <c r="AV1796" s="6" t="str">
        <f t="shared" si="32"/>
        <v/>
      </c>
    </row>
    <row r="1797" spans="1:48" s="79" customFormat="1" x14ac:dyDescent="0.45">
      <c r="A1797" s="75"/>
      <c r="B1797" s="76"/>
      <c r="C1797" s="77"/>
      <c r="D1797" s="77"/>
      <c r="E1797" s="77"/>
      <c r="F1797" s="77"/>
      <c r="G1797" s="77"/>
      <c r="H1797" s="77"/>
      <c r="I1797" s="77"/>
      <c r="J1797" s="77"/>
      <c r="K1797" s="77"/>
      <c r="L1797" s="77"/>
      <c r="M1797" s="148"/>
      <c r="N1797" s="78"/>
      <c r="O1797" s="78"/>
      <c r="P1797" s="78"/>
      <c r="Q1797" s="78"/>
      <c r="R1797" s="78"/>
      <c r="S1797" s="78"/>
      <c r="T1797" s="78"/>
      <c r="U1797" s="78"/>
      <c r="V1797" s="78"/>
      <c r="W1797" s="78"/>
      <c r="X1797" s="78"/>
      <c r="Y1797" s="148"/>
      <c r="Z1797" s="78"/>
      <c r="AA1797" s="78"/>
      <c r="AB1797" s="78"/>
      <c r="AC1797" s="78"/>
      <c r="AD1797" s="78"/>
      <c r="AE1797" s="156"/>
      <c r="AF1797" s="156"/>
      <c r="AG1797" s="78"/>
      <c r="AH1797" s="78"/>
      <c r="AI1797" s="78"/>
      <c r="AJ1797" s="78"/>
      <c r="AK1797" s="78"/>
      <c r="AL1797" s="78"/>
      <c r="AM1797" s="78"/>
      <c r="AN1797" s="78"/>
      <c r="AO1797" s="78"/>
      <c r="AP1797" s="78"/>
      <c r="AQ1797" s="78"/>
      <c r="AR1797" s="286"/>
      <c r="AS1797" s="78"/>
      <c r="AT1797" s="78"/>
      <c r="AU1797" s="8"/>
      <c r="AV1797" s="6" t="str">
        <f t="shared" si="32"/>
        <v/>
      </c>
    </row>
    <row r="1798" spans="1:48" x14ac:dyDescent="0.45">
      <c r="A1798" s="27" t="s">
        <v>2438</v>
      </c>
      <c r="I1798" s="18" t="s">
        <v>2473</v>
      </c>
      <c r="J1798" s="18" t="s">
        <v>2473</v>
      </c>
      <c r="K1798" s="18" t="s">
        <v>2473</v>
      </c>
      <c r="AU1798" s="6"/>
      <c r="AV1798" s="6" t="str">
        <f t="shared" si="32"/>
        <v/>
      </c>
    </row>
    <row r="1799" spans="1:48" x14ac:dyDescent="0.45">
      <c r="A1799" s="323" t="s">
        <v>1539</v>
      </c>
      <c r="B1799" s="324"/>
      <c r="C1799" s="324"/>
      <c r="D1799" s="324"/>
      <c r="E1799" s="324"/>
      <c r="F1799" s="324"/>
      <c r="G1799" s="101"/>
      <c r="H1799" s="101"/>
      <c r="I1799" s="18" t="s">
        <v>2473</v>
      </c>
      <c r="J1799" s="18" t="s">
        <v>2473</v>
      </c>
      <c r="K1799" s="18" t="s">
        <v>2473</v>
      </c>
      <c r="AU1799" s="6"/>
      <c r="AV1799" s="6" t="str">
        <f t="shared" si="32"/>
        <v/>
      </c>
    </row>
    <row r="1800" spans="1:48" x14ac:dyDescent="0.45">
      <c r="A1800" s="323" t="s">
        <v>1540</v>
      </c>
      <c r="B1800" s="324"/>
      <c r="C1800" s="324"/>
      <c r="D1800" s="324"/>
      <c r="E1800" s="324"/>
      <c r="F1800" s="324"/>
      <c r="G1800" s="101"/>
      <c r="H1800" s="101"/>
      <c r="I1800" s="18" t="s">
        <v>2473</v>
      </c>
      <c r="J1800" s="18" t="s">
        <v>2473</v>
      </c>
      <c r="K1800" s="18" t="s">
        <v>2473</v>
      </c>
      <c r="AU1800" s="6"/>
      <c r="AV1800" s="6" t="str">
        <f t="shared" si="32"/>
        <v/>
      </c>
    </row>
    <row r="1801" spans="1:48" s="79" customFormat="1" x14ac:dyDescent="0.45">
      <c r="A1801" s="75"/>
      <c r="B1801" s="76"/>
      <c r="C1801" s="77"/>
      <c r="D1801" s="77"/>
      <c r="E1801" s="77"/>
      <c r="F1801" s="77"/>
      <c r="G1801" s="77"/>
      <c r="H1801" s="77"/>
      <c r="I1801" s="77"/>
      <c r="J1801" s="77"/>
      <c r="K1801" s="77"/>
      <c r="L1801" s="77"/>
      <c r="M1801" s="148"/>
      <c r="N1801" s="78"/>
      <c r="O1801" s="78"/>
      <c r="P1801" s="78"/>
      <c r="Q1801" s="78"/>
      <c r="R1801" s="78"/>
      <c r="S1801" s="78"/>
      <c r="T1801" s="78"/>
      <c r="U1801" s="78"/>
      <c r="V1801" s="78"/>
      <c r="W1801" s="78"/>
      <c r="X1801" s="78"/>
      <c r="Y1801" s="148"/>
      <c r="Z1801" s="78"/>
      <c r="AA1801" s="78"/>
      <c r="AB1801" s="78"/>
      <c r="AC1801" s="78"/>
      <c r="AD1801" s="78"/>
      <c r="AE1801" s="156"/>
      <c r="AF1801" s="156"/>
      <c r="AG1801" s="78"/>
      <c r="AH1801" s="78"/>
      <c r="AI1801" s="78"/>
      <c r="AJ1801" s="78"/>
      <c r="AK1801" s="78"/>
      <c r="AL1801" s="78"/>
      <c r="AM1801" s="78"/>
      <c r="AN1801" s="78"/>
      <c r="AO1801" s="78"/>
      <c r="AP1801" s="78"/>
      <c r="AQ1801" s="78"/>
      <c r="AR1801" s="286"/>
      <c r="AS1801" s="78"/>
      <c r="AT1801" s="78"/>
      <c r="AU1801" s="8"/>
      <c r="AV1801" s="6" t="str">
        <f t="shared" si="32"/>
        <v/>
      </c>
    </row>
    <row r="1802" spans="1:48" x14ac:dyDescent="0.45">
      <c r="A1802" s="27" t="s">
        <v>2439</v>
      </c>
      <c r="I1802" s="18" t="s">
        <v>2473</v>
      </c>
      <c r="J1802" s="18" t="s">
        <v>2473</v>
      </c>
      <c r="K1802" s="18" t="s">
        <v>2473</v>
      </c>
      <c r="AU1802" s="6"/>
      <c r="AV1802" s="6" t="str">
        <f t="shared" si="32"/>
        <v/>
      </c>
    </row>
    <row r="1803" spans="1:48" x14ac:dyDescent="0.45">
      <c r="A1803" s="323" t="s">
        <v>2528</v>
      </c>
      <c r="B1803" s="324"/>
      <c r="C1803" s="324"/>
      <c r="D1803" s="324"/>
      <c r="E1803" s="324"/>
      <c r="F1803" s="324"/>
      <c r="G1803" s="101"/>
      <c r="H1803" s="101"/>
      <c r="I1803" s="18" t="s">
        <v>2473</v>
      </c>
      <c r="J1803" s="18" t="s">
        <v>2473</v>
      </c>
      <c r="K1803" s="18" t="s">
        <v>2473</v>
      </c>
      <c r="AU1803" s="6"/>
      <c r="AV1803" s="6" t="str">
        <f t="shared" si="32"/>
        <v/>
      </c>
    </row>
    <row r="1804" spans="1:48" ht="14.65" thickBot="1" x14ac:dyDescent="0.5">
      <c r="A1804" s="28" t="s">
        <v>1541</v>
      </c>
      <c r="I1804" s="18" t="s">
        <v>2473</v>
      </c>
      <c r="J1804" s="18" t="s">
        <v>2473</v>
      </c>
      <c r="K1804" s="18" t="s">
        <v>2473</v>
      </c>
      <c r="AA1804" s="183" t="s">
        <v>2322</v>
      </c>
      <c r="AB1804" s="183" t="s">
        <v>1697</v>
      </c>
      <c r="AC1804" s="183" t="s">
        <v>5</v>
      </c>
      <c r="AU1804" s="6"/>
      <c r="AV1804" s="6" t="str">
        <f t="shared" si="32"/>
        <v/>
      </c>
    </row>
    <row r="1805" spans="1:48" ht="58.5" thickBot="1" x14ac:dyDescent="0.5">
      <c r="A1805" s="309" t="s">
        <v>1542</v>
      </c>
      <c r="B1805" s="310"/>
      <c r="C1805" s="301" t="s">
        <v>1</v>
      </c>
      <c r="D1805" s="319"/>
      <c r="E1805" s="319"/>
      <c r="F1805" s="302"/>
      <c r="G1805" s="102"/>
      <c r="H1805" s="102"/>
      <c r="I1805" s="18" t="s">
        <v>2473</v>
      </c>
      <c r="AA1805" s="183" t="str">
        <f>LEFT($A1805,FIND(" ",$A1805)-1)</f>
        <v>VLanNetworkInterface</v>
      </c>
      <c r="AB1805" s="183" t="str">
        <f>MID($A1805,FIND("(",$A1805)+1,LEN($A1805)-FIND("(",$A1805)-1)</f>
        <v>1.1.2</v>
      </c>
      <c r="AC1805" s="101" t="str">
        <f>A1803</f>
        <v>The VLanNetworkInterface resource defines a VLAN.</v>
      </c>
      <c r="AU1805" s="6"/>
      <c r="AV1805" s="6" t="str">
        <f t="shared" si="32"/>
        <v/>
      </c>
    </row>
    <row r="1806" spans="1:48" ht="14.65" thickBot="1" x14ac:dyDescent="0.5">
      <c r="A1806" s="311"/>
      <c r="B1806" s="312"/>
      <c r="C1806" s="301" t="s">
        <v>2</v>
      </c>
      <c r="D1806" s="302"/>
      <c r="E1806" s="301" t="s">
        <v>3</v>
      </c>
      <c r="F1806" s="302"/>
      <c r="G1806" s="301" t="s">
        <v>2896</v>
      </c>
      <c r="H1806" s="302"/>
      <c r="I1806" s="18" t="s">
        <v>2473</v>
      </c>
      <c r="AA1806" s="183" t="s">
        <v>2322</v>
      </c>
      <c r="AB1806" s="183" t="s">
        <v>1697</v>
      </c>
      <c r="AC1806" s="183" t="s">
        <v>5</v>
      </c>
      <c r="AU1806" s="6"/>
      <c r="AV1806" s="6" t="str">
        <f t="shared" si="32"/>
        <v/>
      </c>
    </row>
    <row r="1807" spans="1:48" ht="58.5" thickBot="1" x14ac:dyDescent="0.5">
      <c r="A1807" s="309" t="s">
        <v>3110</v>
      </c>
      <c r="B1807" s="310"/>
      <c r="C1807" s="301" t="s">
        <v>1</v>
      </c>
      <c r="D1807" s="319"/>
      <c r="E1807" s="319"/>
      <c r="F1807" s="302"/>
      <c r="G1807" s="102"/>
      <c r="H1807" s="102"/>
      <c r="J1807" s="18" t="s">
        <v>2473</v>
      </c>
      <c r="K1807" s="18" t="s">
        <v>2473</v>
      </c>
      <c r="AA1807" s="183" t="str">
        <f>LEFT($A1807,FIND(" ",$A1807)-1)</f>
        <v>VLanNetworkInterface</v>
      </c>
      <c r="AB1807" s="183" t="str">
        <f>MID($A1807,FIND("(",$A1807)+1,LEN($A1807)-FIND("(",$A1807)-1)</f>
        <v>1.1.3</v>
      </c>
      <c r="AC1807" s="101" t="str">
        <f>AC1805</f>
        <v>The VLanNetworkInterface resource defines a VLAN.</v>
      </c>
      <c r="AU1807" s="6"/>
      <c r="AV1807" s="6" t="str">
        <f t="shared" si="32"/>
        <v/>
      </c>
    </row>
    <row r="1808" spans="1:48" ht="14.65" thickBot="1" x14ac:dyDescent="0.5">
      <c r="A1808" s="311"/>
      <c r="B1808" s="312"/>
      <c r="C1808" s="301" t="s">
        <v>2</v>
      </c>
      <c r="D1808" s="302"/>
      <c r="E1808" s="301" t="s">
        <v>3</v>
      </c>
      <c r="F1808" s="302"/>
      <c r="G1808" s="301" t="s">
        <v>2896</v>
      </c>
      <c r="H1808" s="302"/>
      <c r="J1808" s="18" t="s">
        <v>2473</v>
      </c>
      <c r="K1808" s="18" t="s">
        <v>2473</v>
      </c>
      <c r="AM1808" s="8" t="str">
        <f>C1808</f>
        <v>OSM-Redfish</v>
      </c>
      <c r="AN1808" s="8" t="str">
        <f>E1808</f>
        <v>OSM-RedfishBMC</v>
      </c>
      <c r="AO1808" s="8" t="str">
        <f>G1808</f>
        <v>OSM-RedfishDCN</v>
      </c>
      <c r="AU1808" s="6"/>
      <c r="AV1808" s="6" t="str">
        <f t="shared" si="32"/>
        <v/>
      </c>
    </row>
    <row r="1809" spans="1:48" ht="14.65" thickBot="1" x14ac:dyDescent="0.5">
      <c r="A1809" s="46" t="s">
        <v>2377</v>
      </c>
      <c r="B1809" s="47"/>
      <c r="C1809" s="303" t="s">
        <v>37</v>
      </c>
      <c r="D1809" s="304"/>
      <c r="E1809" s="303" t="s">
        <v>37</v>
      </c>
      <c r="F1809" s="304"/>
      <c r="G1809" s="303" t="s">
        <v>37</v>
      </c>
      <c r="H1809" s="304"/>
      <c r="I1809" s="18" t="s">
        <v>2473</v>
      </c>
      <c r="J1809" s="18" t="s">
        <v>2473</v>
      </c>
      <c r="K1809" s="18" t="s">
        <v>2473</v>
      </c>
      <c r="AM1809" s="8" t="str">
        <f>IF(C1809&lt;&gt;"","CRQ-P5-"&amp;(AM$2+$AP1809*$AP$3),"")</f>
        <v>CRQ-P5-1264</v>
      </c>
      <c r="AN1809" s="8" t="str">
        <f>IF(E1809&lt;&gt;"","CRQ-P5-"&amp;(AN$2+$AP1809*$AP$3),"")</f>
        <v>CRQ-P5-1564</v>
      </c>
      <c r="AO1809" s="8" t="str">
        <f>IF(G1809&lt;&gt;"","CRQ-P5-"&amp;(AO$2+$AP1809*$AP$3),"")</f>
        <v>CRQ-P5-1864</v>
      </c>
      <c r="AP1809" s="8">
        <v>66</v>
      </c>
      <c r="AU1809" s="6"/>
      <c r="AV1809" s="6" t="str">
        <f t="shared" si="32"/>
        <v/>
      </c>
    </row>
    <row r="1810" spans="1:48" ht="14.65" thickBot="1" x14ac:dyDescent="0.5">
      <c r="A1810" s="29" t="s">
        <v>3394</v>
      </c>
      <c r="B1810" s="9"/>
      <c r="C1810" s="305" t="str">
        <f>MID($A1805,FIND("(",$A1805)+1,5)</f>
        <v>1.1.2</v>
      </c>
      <c r="D1810" s="306"/>
      <c r="E1810" s="305" t="s">
        <v>3407</v>
      </c>
      <c r="F1810" s="306"/>
      <c r="G1810" s="305" t="str">
        <f>MID($A1805,FIND("(",$A1805)+1,5)</f>
        <v>1.1.2</v>
      </c>
      <c r="H1810" s="306"/>
      <c r="I1810" s="18" t="s">
        <v>2473</v>
      </c>
      <c r="J1810" s="18" t="s">
        <v>2473</v>
      </c>
      <c r="K1810" s="18" t="s">
        <v>2473</v>
      </c>
      <c r="AU1810" s="6"/>
      <c r="AV1810" s="6" t="str">
        <f t="shared" si="32"/>
        <v/>
      </c>
    </row>
    <row r="1811" spans="1:48" ht="14.65" thickBot="1" x14ac:dyDescent="0.5">
      <c r="A1811" s="30" t="s">
        <v>4</v>
      </c>
      <c r="B1811" s="59" t="s">
        <v>5</v>
      </c>
      <c r="C1811" s="7" t="s">
        <v>6</v>
      </c>
      <c r="D1811" s="7" t="s">
        <v>7</v>
      </c>
      <c r="E1811" s="7" t="s">
        <v>6</v>
      </c>
      <c r="F1811" s="7" t="s">
        <v>7</v>
      </c>
      <c r="G1811" s="7" t="s">
        <v>6</v>
      </c>
      <c r="H1811" s="7" t="s">
        <v>7</v>
      </c>
      <c r="I1811" s="18" t="s">
        <v>2473</v>
      </c>
      <c r="J1811" s="18" t="s">
        <v>2473</v>
      </c>
      <c r="K1811" s="18" t="s">
        <v>2473</v>
      </c>
      <c r="AU1811" s="6"/>
      <c r="AV1811" s="6" t="str">
        <f t="shared" si="32"/>
        <v/>
      </c>
    </row>
    <row r="1812" spans="1:48" ht="14.65" thickBot="1" x14ac:dyDescent="0.5">
      <c r="A1812" s="36" t="s">
        <v>8</v>
      </c>
      <c r="B1812" s="3" t="s">
        <v>9</v>
      </c>
      <c r="C1812" s="4"/>
      <c r="D1812" s="4"/>
      <c r="E1812" s="4"/>
      <c r="F1812" s="4"/>
      <c r="G1812" s="4"/>
      <c r="H1812" s="4"/>
      <c r="I1812" s="18" t="s">
        <v>2473</v>
      </c>
      <c r="J1812" s="18" t="s">
        <v>2473</v>
      </c>
      <c r="K1812" s="18" t="s">
        <v>2473</v>
      </c>
      <c r="AU1812" s="6"/>
      <c r="AV1812" s="6" t="str">
        <f t="shared" si="32"/>
        <v/>
      </c>
    </row>
    <row r="1813" spans="1:48" ht="14.65" thickBot="1" x14ac:dyDescent="0.5">
      <c r="A1813" s="36" t="s">
        <v>1543</v>
      </c>
      <c r="B1813" s="3" t="s">
        <v>1544</v>
      </c>
      <c r="C1813" s="4" t="s">
        <v>10</v>
      </c>
      <c r="D1813" s="4" t="s">
        <v>13</v>
      </c>
      <c r="E1813" s="4" t="s">
        <v>10</v>
      </c>
      <c r="F1813" s="4" t="s">
        <v>13</v>
      </c>
      <c r="G1813" s="4" t="s">
        <v>10</v>
      </c>
      <c r="H1813" s="4" t="s">
        <v>13</v>
      </c>
      <c r="I1813" s="18" t="s">
        <v>2473</v>
      </c>
      <c r="J1813" s="18" t="s">
        <v>2473</v>
      </c>
      <c r="K1813" s="18" t="s">
        <v>2473</v>
      </c>
      <c r="AU1813" s="6"/>
      <c r="AV1813" s="6" t="str">
        <f t="shared" si="32"/>
        <v/>
      </c>
    </row>
    <row r="1814" spans="1:48" ht="14.65" thickBot="1" x14ac:dyDescent="0.5">
      <c r="A1814" s="36" t="s">
        <v>1545</v>
      </c>
      <c r="B1814" s="3" t="s">
        <v>1546</v>
      </c>
      <c r="C1814" s="4" t="s">
        <v>10</v>
      </c>
      <c r="D1814" s="4" t="s">
        <v>13</v>
      </c>
      <c r="E1814" s="4" t="s">
        <v>10</v>
      </c>
      <c r="F1814" s="4" t="s">
        <v>13</v>
      </c>
      <c r="G1814" s="4" t="s">
        <v>10</v>
      </c>
      <c r="H1814" s="4" t="s">
        <v>13</v>
      </c>
      <c r="I1814" s="18" t="s">
        <v>2473</v>
      </c>
      <c r="J1814" s="18" t="s">
        <v>2473</v>
      </c>
      <c r="K1814" s="18" t="s">
        <v>2473</v>
      </c>
      <c r="AU1814" s="8"/>
      <c r="AV1814" s="6" t="str">
        <f t="shared" si="32"/>
        <v/>
      </c>
    </row>
    <row r="1815" spans="1:48" x14ac:dyDescent="0.45">
      <c r="A1815" s="33" t="s">
        <v>1547</v>
      </c>
      <c r="I1815" s="18" t="s">
        <v>2473</v>
      </c>
      <c r="J1815" s="18" t="s">
        <v>2473</v>
      </c>
      <c r="K1815" s="18" t="s">
        <v>2473</v>
      </c>
      <c r="AU1815" s="8"/>
      <c r="AV1815" s="6" t="str">
        <f t="shared" si="32"/>
        <v/>
      </c>
    </row>
    <row r="1816" spans="1:48" x14ac:dyDescent="0.45">
      <c r="A1816" s="34" t="s">
        <v>1548</v>
      </c>
      <c r="I1816" s="18" t="s">
        <v>2473</v>
      </c>
      <c r="J1816" s="18" t="s">
        <v>2473</v>
      </c>
      <c r="K1816" s="18" t="s">
        <v>2473</v>
      </c>
      <c r="AU1816" s="8"/>
      <c r="AV1816" s="6" t="str">
        <f t="shared" si="32"/>
        <v/>
      </c>
    </row>
    <row r="1817" spans="1:48" x14ac:dyDescent="0.45">
      <c r="A1817" s="34" t="s">
        <v>1549</v>
      </c>
      <c r="I1817" s="18" t="s">
        <v>2473</v>
      </c>
      <c r="J1817" s="18" t="s">
        <v>2473</v>
      </c>
      <c r="K1817" s="18" t="s">
        <v>2473</v>
      </c>
      <c r="AU1817" s="8"/>
      <c r="AV1817" s="6" t="str">
        <f t="shared" si="32"/>
        <v/>
      </c>
    </row>
    <row r="1818" spans="1:48" s="79" customFormat="1" x14ac:dyDescent="0.45">
      <c r="A1818" s="75"/>
      <c r="B1818" s="76"/>
      <c r="C1818" s="77"/>
      <c r="D1818" s="77"/>
      <c r="E1818" s="77"/>
      <c r="F1818" s="77"/>
      <c r="G1818" s="77"/>
      <c r="H1818" s="77"/>
      <c r="I1818" s="77"/>
      <c r="J1818" s="77"/>
      <c r="K1818" s="77"/>
      <c r="L1818" s="77"/>
      <c r="M1818" s="148"/>
      <c r="N1818" s="78"/>
      <c r="O1818" s="78"/>
      <c r="P1818" s="78"/>
      <c r="Q1818" s="78"/>
      <c r="R1818" s="78"/>
      <c r="S1818" s="78"/>
      <c r="T1818" s="78"/>
      <c r="U1818" s="78"/>
      <c r="V1818" s="78"/>
      <c r="W1818" s="78"/>
      <c r="X1818" s="78"/>
      <c r="Y1818" s="148"/>
      <c r="Z1818" s="78"/>
      <c r="AA1818" s="78"/>
      <c r="AB1818" s="78"/>
      <c r="AC1818" s="78"/>
      <c r="AD1818" s="78"/>
      <c r="AE1818" s="156"/>
      <c r="AF1818" s="156"/>
      <c r="AG1818" s="78"/>
      <c r="AH1818" s="78"/>
      <c r="AI1818" s="78"/>
      <c r="AJ1818" s="78"/>
      <c r="AK1818" s="78"/>
      <c r="AL1818" s="78"/>
      <c r="AM1818" s="78"/>
      <c r="AN1818" s="78"/>
      <c r="AO1818" s="78"/>
      <c r="AP1818" s="78"/>
      <c r="AQ1818" s="78"/>
      <c r="AR1818" s="286"/>
      <c r="AS1818" s="78"/>
      <c r="AT1818" s="78"/>
      <c r="AU1818" s="8"/>
      <c r="AV1818" s="6" t="str">
        <f t="shared" si="32"/>
        <v/>
      </c>
    </row>
    <row r="1819" spans="1:48" x14ac:dyDescent="0.45">
      <c r="A1819" s="28" t="s">
        <v>2440</v>
      </c>
      <c r="I1819" s="18" t="s">
        <v>2473</v>
      </c>
      <c r="J1819" s="18" t="s">
        <v>2473</v>
      </c>
      <c r="K1819" s="18" t="s">
        <v>2473</v>
      </c>
      <c r="L1819" s="18" t="s">
        <v>2336</v>
      </c>
      <c r="AU1819" s="6"/>
      <c r="AV1819" s="6" t="str">
        <f t="shared" si="32"/>
        <v/>
      </c>
    </row>
    <row r="1820" spans="1:48" x14ac:dyDescent="0.45">
      <c r="A1820" s="27" t="s">
        <v>2441</v>
      </c>
      <c r="I1820" s="18" t="s">
        <v>2473</v>
      </c>
      <c r="J1820" s="18" t="s">
        <v>2473</v>
      </c>
      <c r="K1820" s="18" t="s">
        <v>2473</v>
      </c>
      <c r="L1820" s="18" t="s">
        <v>2336</v>
      </c>
      <c r="AU1820" s="6"/>
      <c r="AV1820" s="6" t="str">
        <f t="shared" si="32"/>
        <v/>
      </c>
    </row>
    <row r="1821" spans="1:48" x14ac:dyDescent="0.45">
      <c r="A1821" s="323" t="s">
        <v>2529</v>
      </c>
      <c r="B1821" s="324"/>
      <c r="C1821" s="324"/>
      <c r="D1821" s="324"/>
      <c r="E1821" s="324"/>
      <c r="F1821" s="324"/>
      <c r="G1821" s="101"/>
      <c r="H1821" s="101"/>
      <c r="I1821" s="18" t="s">
        <v>2473</v>
      </c>
      <c r="J1821" s="18" t="s">
        <v>2473</v>
      </c>
      <c r="K1821" s="18" t="s">
        <v>2473</v>
      </c>
      <c r="L1821" s="18" t="s">
        <v>2336</v>
      </c>
      <c r="AU1821" s="6"/>
      <c r="AV1821" s="6" t="str">
        <f t="shared" si="32"/>
        <v/>
      </c>
    </row>
    <row r="1822" spans="1:48" ht="14.65" thickBot="1" x14ac:dyDescent="0.5">
      <c r="A1822" s="28" t="s">
        <v>1550</v>
      </c>
      <c r="I1822" s="18" t="s">
        <v>2473</v>
      </c>
      <c r="J1822" s="18" t="s">
        <v>2473</v>
      </c>
      <c r="K1822" s="18" t="s">
        <v>2473</v>
      </c>
      <c r="L1822" s="18" t="s">
        <v>2336</v>
      </c>
      <c r="AU1822" s="6"/>
      <c r="AV1822" s="6" t="str">
        <f t="shared" si="32"/>
        <v/>
      </c>
    </row>
    <row r="1823" spans="1:48" ht="14.65" thickBot="1" x14ac:dyDescent="0.5">
      <c r="A1823" s="309" t="s">
        <v>1551</v>
      </c>
      <c r="B1823" s="310"/>
      <c r="C1823" s="301" t="s">
        <v>1</v>
      </c>
      <c r="D1823" s="319"/>
      <c r="E1823" s="319"/>
      <c r="F1823" s="302"/>
      <c r="G1823" s="102"/>
      <c r="H1823" s="102"/>
      <c r="I1823" s="18" t="s">
        <v>2473</v>
      </c>
      <c r="L1823" s="18" t="s">
        <v>2336</v>
      </c>
      <c r="AU1823" s="6"/>
      <c r="AV1823" s="6" t="str">
        <f t="shared" si="32"/>
        <v/>
      </c>
    </row>
    <row r="1824" spans="1:48" ht="14.65" thickBot="1" x14ac:dyDescent="0.5">
      <c r="A1824" s="311"/>
      <c r="B1824" s="312"/>
      <c r="C1824" s="301" t="s">
        <v>2</v>
      </c>
      <c r="D1824" s="302"/>
      <c r="E1824" s="301" t="s">
        <v>3</v>
      </c>
      <c r="F1824" s="302"/>
      <c r="G1824" s="301" t="s">
        <v>2896</v>
      </c>
      <c r="H1824" s="302"/>
      <c r="I1824" s="18" t="s">
        <v>2473</v>
      </c>
      <c r="L1824" s="18" t="s">
        <v>2336</v>
      </c>
      <c r="AU1824" s="8"/>
      <c r="AV1824" s="6" t="str">
        <f t="shared" si="32"/>
        <v/>
      </c>
    </row>
    <row r="1825" spans="1:48" ht="14.65" thickBot="1" x14ac:dyDescent="0.5">
      <c r="A1825" s="309" t="s">
        <v>3333</v>
      </c>
      <c r="B1825" s="310"/>
      <c r="C1825" s="301" t="s">
        <v>1</v>
      </c>
      <c r="D1825" s="319"/>
      <c r="E1825" s="319"/>
      <c r="F1825" s="302"/>
      <c r="G1825" s="102"/>
      <c r="H1825" s="102"/>
      <c r="J1825" s="18" t="s">
        <v>2473</v>
      </c>
      <c r="K1825" s="18" t="s">
        <v>2473</v>
      </c>
      <c r="L1825" s="18" t="s">
        <v>2336</v>
      </c>
      <c r="AU1825" s="6"/>
      <c r="AV1825" s="6" t="str">
        <f t="shared" si="32"/>
        <v/>
      </c>
    </row>
    <row r="1826" spans="1:48" ht="14.65" thickBot="1" x14ac:dyDescent="0.5">
      <c r="A1826" s="311"/>
      <c r="B1826" s="312"/>
      <c r="C1826" s="301" t="s">
        <v>2</v>
      </c>
      <c r="D1826" s="302"/>
      <c r="E1826" s="301" t="s">
        <v>3</v>
      </c>
      <c r="F1826" s="302"/>
      <c r="G1826" s="301" t="s">
        <v>2896</v>
      </c>
      <c r="H1826" s="302"/>
      <c r="J1826" s="18" t="s">
        <v>2473</v>
      </c>
      <c r="K1826" s="18" t="s">
        <v>2473</v>
      </c>
      <c r="L1826" s="18" t="s">
        <v>2336</v>
      </c>
      <c r="AU1826" s="8"/>
      <c r="AV1826" s="6" t="str">
        <f t="shared" si="32"/>
        <v/>
      </c>
    </row>
    <row r="1827" spans="1:48" ht="14.65" thickBot="1" x14ac:dyDescent="0.5">
      <c r="A1827" s="46" t="s">
        <v>2377</v>
      </c>
      <c r="B1827" s="47"/>
      <c r="C1827" s="303"/>
      <c r="D1827" s="304"/>
      <c r="E1827" s="303"/>
      <c r="F1827" s="304"/>
      <c r="G1827" s="303"/>
      <c r="H1827" s="304"/>
      <c r="I1827" s="18" t="s">
        <v>2473</v>
      </c>
      <c r="J1827" s="18" t="s">
        <v>2473</v>
      </c>
      <c r="K1827" s="18" t="s">
        <v>2473</v>
      </c>
      <c r="L1827" s="18" t="s">
        <v>2336</v>
      </c>
      <c r="AU1827" s="6"/>
      <c r="AV1827" s="6" t="str">
        <f t="shared" si="32"/>
        <v/>
      </c>
    </row>
    <row r="1828" spans="1:48" ht="14.65" thickBot="1" x14ac:dyDescent="0.5">
      <c r="A1828" s="29" t="s">
        <v>3394</v>
      </c>
      <c r="B1828" s="9"/>
      <c r="C1828" s="305" t="str">
        <f>MID($A1823,FIND("(",$A1823)+1,5)</f>
        <v>1.1.0</v>
      </c>
      <c r="D1828" s="306"/>
      <c r="E1828" s="305" t="s">
        <v>3403</v>
      </c>
      <c r="F1828" s="306"/>
      <c r="G1828" s="305" t="str">
        <f>MID($A1823,FIND("(",$A1823)+1,5)</f>
        <v>1.1.0</v>
      </c>
      <c r="H1828" s="306"/>
      <c r="I1828" s="18" t="s">
        <v>2473</v>
      </c>
      <c r="J1828" s="18" t="s">
        <v>2473</v>
      </c>
      <c r="K1828" s="18" t="s">
        <v>2473</v>
      </c>
      <c r="L1828" s="18" t="s">
        <v>2336</v>
      </c>
      <c r="AU1828" s="6"/>
      <c r="AV1828" s="6" t="str">
        <f t="shared" si="32"/>
        <v/>
      </c>
    </row>
    <row r="1829" spans="1:48" ht="14.65" thickBot="1" x14ac:dyDescent="0.5">
      <c r="A1829" s="30" t="s">
        <v>4</v>
      </c>
      <c r="B1829" s="59" t="s">
        <v>5</v>
      </c>
      <c r="C1829" s="7" t="s">
        <v>6</v>
      </c>
      <c r="D1829" s="7" t="s">
        <v>7</v>
      </c>
      <c r="E1829" s="7" t="s">
        <v>6</v>
      </c>
      <c r="F1829" s="7" t="s">
        <v>7</v>
      </c>
      <c r="G1829" s="7" t="s">
        <v>6</v>
      </c>
      <c r="H1829" s="7" t="s">
        <v>7</v>
      </c>
      <c r="I1829" s="18" t="s">
        <v>2473</v>
      </c>
      <c r="J1829" s="18" t="s">
        <v>2473</v>
      </c>
      <c r="K1829" s="18" t="s">
        <v>2473</v>
      </c>
      <c r="L1829" s="18" t="s">
        <v>2336</v>
      </c>
      <c r="AU1829" s="8"/>
      <c r="AV1829" s="6" t="str">
        <f t="shared" si="32"/>
        <v/>
      </c>
    </row>
    <row r="1830" spans="1:48" ht="14.65" thickBot="1" x14ac:dyDescent="0.5">
      <c r="A1830" s="36" t="s">
        <v>1552</v>
      </c>
      <c r="B1830" s="3" t="s">
        <v>1553</v>
      </c>
      <c r="C1830" s="4"/>
      <c r="D1830" s="4"/>
      <c r="E1830" s="4"/>
      <c r="F1830" s="4"/>
      <c r="G1830" s="4"/>
      <c r="H1830" s="4"/>
      <c r="I1830" s="18" t="s">
        <v>2473</v>
      </c>
      <c r="J1830" s="18" t="s">
        <v>2473</v>
      </c>
      <c r="K1830" s="18" t="s">
        <v>2473</v>
      </c>
      <c r="L1830" s="18" t="s">
        <v>2336</v>
      </c>
      <c r="AU1830" s="6"/>
      <c r="AV1830" s="6" t="str">
        <f t="shared" si="32"/>
        <v/>
      </c>
    </row>
    <row r="1831" spans="1:48" ht="14.65" thickBot="1" x14ac:dyDescent="0.5">
      <c r="A1831" s="35" t="s">
        <v>1554</v>
      </c>
      <c r="B1831" s="3" t="s">
        <v>1555</v>
      </c>
      <c r="C1831" s="4"/>
      <c r="D1831" s="4"/>
      <c r="E1831" s="4"/>
      <c r="F1831" s="4"/>
      <c r="G1831" s="4"/>
      <c r="H1831" s="4"/>
      <c r="I1831" s="18" t="s">
        <v>2473</v>
      </c>
      <c r="J1831" s="18" t="s">
        <v>2473</v>
      </c>
      <c r="K1831" s="18" t="s">
        <v>2473</v>
      </c>
      <c r="L1831" s="18" t="s">
        <v>2336</v>
      </c>
      <c r="AU1831" s="6"/>
      <c r="AV1831" s="6" t="str">
        <f t="shared" si="32"/>
        <v/>
      </c>
    </row>
    <row r="1832" spans="1:48" ht="14.65" thickBot="1" x14ac:dyDescent="0.5">
      <c r="A1832" s="35" t="s">
        <v>1556</v>
      </c>
      <c r="B1832" s="3" t="s">
        <v>1557</v>
      </c>
      <c r="C1832" s="4"/>
      <c r="D1832" s="4"/>
      <c r="E1832" s="4"/>
      <c r="F1832" s="4"/>
      <c r="G1832" s="4"/>
      <c r="H1832" s="4"/>
      <c r="I1832" s="18" t="s">
        <v>2473</v>
      </c>
      <c r="J1832" s="18" t="s">
        <v>2473</v>
      </c>
      <c r="K1832" s="18" t="s">
        <v>2473</v>
      </c>
      <c r="L1832" s="18" t="s">
        <v>2336</v>
      </c>
      <c r="AU1832" s="6"/>
      <c r="AV1832" s="6" t="str">
        <f t="shared" si="32"/>
        <v/>
      </c>
    </row>
    <row r="1833" spans="1:48" ht="14.65" thickBot="1" x14ac:dyDescent="0.5">
      <c r="A1833" s="35" t="s">
        <v>1558</v>
      </c>
      <c r="B1833" s="3" t="s">
        <v>1559</v>
      </c>
      <c r="C1833" s="4"/>
      <c r="D1833" s="4"/>
      <c r="E1833" s="4"/>
      <c r="F1833" s="4"/>
      <c r="G1833" s="4"/>
      <c r="H1833" s="4"/>
      <c r="I1833" s="18" t="s">
        <v>2473</v>
      </c>
      <c r="J1833" s="18" t="s">
        <v>2473</v>
      </c>
      <c r="K1833" s="18" t="s">
        <v>2473</v>
      </c>
      <c r="L1833" s="18" t="s">
        <v>2336</v>
      </c>
      <c r="AU1833" s="6"/>
      <c r="AV1833" s="6" t="str">
        <f t="shared" si="32"/>
        <v/>
      </c>
    </row>
    <row r="1834" spans="1:48" ht="14.65" thickBot="1" x14ac:dyDescent="0.5">
      <c r="A1834" s="35" t="s">
        <v>1560</v>
      </c>
      <c r="B1834" s="3" t="s">
        <v>1561</v>
      </c>
      <c r="C1834" s="4"/>
      <c r="D1834" s="4"/>
      <c r="E1834" s="4"/>
      <c r="F1834" s="4"/>
      <c r="G1834" s="4"/>
      <c r="H1834" s="4"/>
      <c r="I1834" s="18" t="s">
        <v>2473</v>
      </c>
      <c r="J1834" s="18" t="s">
        <v>2473</v>
      </c>
      <c r="K1834" s="18" t="s">
        <v>2473</v>
      </c>
      <c r="L1834" s="18" t="s">
        <v>2336</v>
      </c>
      <c r="AU1834" s="6"/>
      <c r="AV1834" s="6" t="str">
        <f t="shared" si="32"/>
        <v/>
      </c>
    </row>
    <row r="1835" spans="1:48" ht="14.65" thickBot="1" x14ac:dyDescent="0.5">
      <c r="A1835" s="35" t="s">
        <v>424</v>
      </c>
      <c r="B1835" s="3" t="s">
        <v>1562</v>
      </c>
      <c r="C1835" s="4"/>
      <c r="D1835" s="4"/>
      <c r="E1835" s="4"/>
      <c r="F1835" s="4"/>
      <c r="G1835" s="4"/>
      <c r="H1835" s="4"/>
      <c r="I1835" s="18" t="s">
        <v>2473</v>
      </c>
      <c r="J1835" s="18" t="s">
        <v>2473</v>
      </c>
      <c r="K1835" s="18" t="s">
        <v>2473</v>
      </c>
      <c r="L1835" s="18" t="s">
        <v>2336</v>
      </c>
      <c r="AU1835" s="6"/>
      <c r="AV1835" s="6" t="str">
        <f t="shared" si="32"/>
        <v/>
      </c>
    </row>
    <row r="1836" spans="1:48" ht="14.65" thickBot="1" x14ac:dyDescent="0.5">
      <c r="A1836" s="35" t="s">
        <v>1563</v>
      </c>
      <c r="B1836" s="3" t="s">
        <v>1564</v>
      </c>
      <c r="C1836" s="4"/>
      <c r="D1836" s="4"/>
      <c r="E1836" s="4"/>
      <c r="F1836" s="4"/>
      <c r="G1836" s="4"/>
      <c r="H1836" s="4"/>
      <c r="I1836" s="18" t="s">
        <v>2473</v>
      </c>
      <c r="J1836" s="18" t="s">
        <v>2473</v>
      </c>
      <c r="K1836" s="18" t="s">
        <v>2473</v>
      </c>
      <c r="L1836" s="18" t="s">
        <v>2336</v>
      </c>
      <c r="AU1836" s="6"/>
      <c r="AV1836" s="6" t="str">
        <f t="shared" si="32"/>
        <v/>
      </c>
    </row>
    <row r="1837" spans="1:48" ht="14.65" thickBot="1" x14ac:dyDescent="0.5">
      <c r="A1837" s="35" t="s">
        <v>1565</v>
      </c>
      <c r="B1837" s="3" t="s">
        <v>1566</v>
      </c>
      <c r="C1837" s="4"/>
      <c r="D1837" s="4"/>
      <c r="E1837" s="4"/>
      <c r="F1837" s="4"/>
      <c r="G1837" s="4"/>
      <c r="H1837" s="4"/>
      <c r="I1837" s="18" t="s">
        <v>2473</v>
      </c>
      <c r="J1837" s="18" t="s">
        <v>2473</v>
      </c>
      <c r="K1837" s="18" t="s">
        <v>2473</v>
      </c>
      <c r="L1837" s="18" t="s">
        <v>2336</v>
      </c>
      <c r="AU1837" s="6"/>
      <c r="AV1837" s="6" t="str">
        <f t="shared" si="32"/>
        <v/>
      </c>
    </row>
    <row r="1838" spans="1:48" s="79" customFormat="1" x14ac:dyDescent="0.45">
      <c r="A1838" s="75"/>
      <c r="B1838" s="76"/>
      <c r="C1838" s="77"/>
      <c r="D1838" s="77"/>
      <c r="E1838" s="77"/>
      <c r="F1838" s="77"/>
      <c r="G1838" s="77"/>
      <c r="H1838" s="77"/>
      <c r="I1838" s="77"/>
      <c r="J1838" s="77"/>
      <c r="K1838" s="77"/>
      <c r="L1838" s="77"/>
      <c r="M1838" s="148"/>
      <c r="N1838" s="78"/>
      <c r="O1838" s="78"/>
      <c r="P1838" s="78"/>
      <c r="Q1838" s="78"/>
      <c r="R1838" s="78"/>
      <c r="S1838" s="78"/>
      <c r="T1838" s="78"/>
      <c r="U1838" s="78"/>
      <c r="V1838" s="78"/>
      <c r="W1838" s="78"/>
      <c r="X1838" s="78"/>
      <c r="Y1838" s="148"/>
      <c r="Z1838" s="78"/>
      <c r="AA1838" s="78"/>
      <c r="AB1838" s="78"/>
      <c r="AC1838" s="78"/>
      <c r="AD1838" s="78"/>
      <c r="AE1838" s="156"/>
      <c r="AF1838" s="156"/>
      <c r="AG1838" s="78"/>
      <c r="AH1838" s="78"/>
      <c r="AI1838" s="78"/>
      <c r="AJ1838" s="78"/>
      <c r="AK1838" s="78"/>
      <c r="AL1838" s="78"/>
      <c r="AM1838" s="78"/>
      <c r="AN1838" s="78"/>
      <c r="AO1838" s="78"/>
      <c r="AP1838" s="78"/>
      <c r="AQ1838" s="78"/>
      <c r="AR1838" s="286"/>
      <c r="AS1838" s="78"/>
      <c r="AT1838" s="78"/>
      <c r="AU1838" s="8"/>
      <c r="AV1838" s="6" t="str">
        <f t="shared" si="32"/>
        <v/>
      </c>
    </row>
    <row r="1839" spans="1:48" x14ac:dyDescent="0.45">
      <c r="A1839" s="27" t="s">
        <v>2442</v>
      </c>
      <c r="I1839" s="18" t="s">
        <v>2473</v>
      </c>
      <c r="J1839" s="18" t="s">
        <v>2473</v>
      </c>
      <c r="K1839" s="18" t="s">
        <v>2473</v>
      </c>
      <c r="L1839" s="18" t="s">
        <v>2336</v>
      </c>
      <c r="AU1839" s="8"/>
      <c r="AV1839" s="6" t="str">
        <f t="shared" si="32"/>
        <v/>
      </c>
    </row>
    <row r="1840" spans="1:48" x14ac:dyDescent="0.45">
      <c r="A1840" s="323" t="s">
        <v>2530</v>
      </c>
      <c r="B1840" s="324"/>
      <c r="C1840" s="324"/>
      <c r="D1840" s="324"/>
      <c r="E1840" s="324"/>
      <c r="F1840" s="324"/>
      <c r="G1840" s="101"/>
      <c r="H1840" s="101"/>
      <c r="I1840" s="18" t="s">
        <v>2473</v>
      </c>
      <c r="J1840" s="18" t="s">
        <v>2473</v>
      </c>
      <c r="K1840" s="18" t="s">
        <v>2473</v>
      </c>
      <c r="L1840" s="18" t="s">
        <v>2336</v>
      </c>
      <c r="AU1840" s="8"/>
      <c r="AV1840" s="6" t="str">
        <f t="shared" si="32"/>
        <v/>
      </c>
    </row>
    <row r="1841" spans="1:48" ht="14.65" thickBot="1" x14ac:dyDescent="0.5">
      <c r="A1841" s="28" t="s">
        <v>1567</v>
      </c>
      <c r="I1841" s="18" t="s">
        <v>2473</v>
      </c>
      <c r="J1841" s="18" t="s">
        <v>2473</v>
      </c>
      <c r="K1841" s="18" t="s">
        <v>2473</v>
      </c>
      <c r="L1841" s="18" t="s">
        <v>2336</v>
      </c>
      <c r="AA1841" s="183" t="s">
        <v>2322</v>
      </c>
      <c r="AB1841" s="183" t="s">
        <v>1697</v>
      </c>
      <c r="AC1841" s="183" t="s">
        <v>5</v>
      </c>
      <c r="AU1841" s="6"/>
      <c r="AV1841" s="6" t="str">
        <f t="shared" si="32"/>
        <v/>
      </c>
    </row>
    <row r="1842" spans="1:48" ht="116.65" thickBot="1" x14ac:dyDescent="0.5">
      <c r="A1842" s="309" t="s">
        <v>1568</v>
      </c>
      <c r="B1842" s="310"/>
      <c r="C1842" s="301" t="s">
        <v>1</v>
      </c>
      <c r="D1842" s="319"/>
      <c r="E1842" s="319"/>
      <c r="F1842" s="302"/>
      <c r="G1842" s="102"/>
      <c r="H1842" s="102"/>
      <c r="I1842" s="18" t="s">
        <v>2473</v>
      </c>
      <c r="L1842" s="18" t="s">
        <v>2336</v>
      </c>
      <c r="AA1842" s="183" t="str">
        <f>LEFT($A1842,FIND(" ",$A1842)-1)</f>
        <v>Job</v>
      </c>
      <c r="AB1842" s="183" t="str">
        <f>MID($A1842,FIND("(",$A1842)+1,LEN($A1842)-FIND("(",$A1842)-1)</f>
        <v>1.0.0</v>
      </c>
      <c r="AC1842" s="101" t="str">
        <f>A1840</f>
        <v>A Job resource contains information about a specific Job scheduled or being executed by a Redfish service’s JobService.</v>
      </c>
      <c r="AU1842" s="6"/>
      <c r="AV1842" s="6" t="str">
        <f t="shared" si="32"/>
        <v/>
      </c>
    </row>
    <row r="1843" spans="1:48" ht="14.65" thickBot="1" x14ac:dyDescent="0.5">
      <c r="A1843" s="311"/>
      <c r="B1843" s="312"/>
      <c r="C1843" s="301" t="s">
        <v>2</v>
      </c>
      <c r="D1843" s="302"/>
      <c r="E1843" s="301" t="s">
        <v>3</v>
      </c>
      <c r="F1843" s="302"/>
      <c r="G1843" s="301" t="s">
        <v>2896</v>
      </c>
      <c r="H1843" s="302"/>
      <c r="I1843" s="18" t="s">
        <v>2473</v>
      </c>
      <c r="L1843" s="18" t="s">
        <v>2336</v>
      </c>
      <c r="AA1843" s="183" t="s">
        <v>2322</v>
      </c>
      <c r="AB1843" s="183" t="s">
        <v>1697</v>
      </c>
      <c r="AC1843" s="183" t="s">
        <v>5</v>
      </c>
      <c r="AU1843" s="6"/>
      <c r="AV1843" s="6" t="str">
        <f t="shared" si="32"/>
        <v/>
      </c>
    </row>
    <row r="1844" spans="1:48" ht="116.65" thickBot="1" x14ac:dyDescent="0.5">
      <c r="A1844" s="309" t="s">
        <v>3222</v>
      </c>
      <c r="B1844" s="310"/>
      <c r="C1844" s="301" t="s">
        <v>1</v>
      </c>
      <c r="D1844" s="319"/>
      <c r="E1844" s="319"/>
      <c r="F1844" s="302"/>
      <c r="G1844" s="102"/>
      <c r="H1844" s="102"/>
      <c r="J1844" s="18" t="s">
        <v>2473</v>
      </c>
      <c r="K1844" s="18" t="s">
        <v>2473</v>
      </c>
      <c r="L1844" s="18" t="s">
        <v>2336</v>
      </c>
      <c r="AA1844" s="183" t="str">
        <f>LEFT($A1844,FIND(" ",$A1844)-1)</f>
        <v>Job</v>
      </c>
      <c r="AB1844" s="183" t="str">
        <f>MID($A1844,FIND("(",$A1844)+1,LEN($A1844)-FIND("(",$A1844)-1)</f>
        <v>1.0.2</v>
      </c>
      <c r="AC1844" s="101" t="str">
        <f>AC1842</f>
        <v>A Job resource contains information about a specific Job scheduled or being executed by a Redfish service’s JobService.</v>
      </c>
      <c r="AU1844" s="6"/>
      <c r="AV1844" s="6" t="str">
        <f t="shared" si="32"/>
        <v/>
      </c>
    </row>
    <row r="1845" spans="1:48" ht="14.65" thickBot="1" x14ac:dyDescent="0.5">
      <c r="A1845" s="311"/>
      <c r="B1845" s="312"/>
      <c r="C1845" s="301" t="s">
        <v>2</v>
      </c>
      <c r="D1845" s="302"/>
      <c r="E1845" s="301" t="s">
        <v>3</v>
      </c>
      <c r="F1845" s="302"/>
      <c r="G1845" s="301" t="s">
        <v>2896</v>
      </c>
      <c r="H1845" s="302"/>
      <c r="J1845" s="18" t="s">
        <v>2473</v>
      </c>
      <c r="K1845" s="18" t="s">
        <v>2473</v>
      </c>
      <c r="L1845" s="18" t="s">
        <v>2336</v>
      </c>
      <c r="AM1845" s="8" t="str">
        <f>C1845</f>
        <v>OSM-Redfish</v>
      </c>
      <c r="AN1845" s="8" t="str">
        <f>E1845</f>
        <v>OSM-RedfishBMC</v>
      </c>
      <c r="AO1845" s="8" t="str">
        <f>G1845</f>
        <v>OSM-RedfishDCN</v>
      </c>
      <c r="AU1845" s="6"/>
      <c r="AV1845" s="6" t="str">
        <f t="shared" si="32"/>
        <v/>
      </c>
    </row>
    <row r="1846" spans="1:48" ht="14.65" thickBot="1" x14ac:dyDescent="0.5">
      <c r="A1846" s="46" t="s">
        <v>2377</v>
      </c>
      <c r="B1846" s="47"/>
      <c r="C1846" s="303"/>
      <c r="D1846" s="304"/>
      <c r="E1846" s="303" t="s">
        <v>37</v>
      </c>
      <c r="F1846" s="304"/>
      <c r="G1846" s="303"/>
      <c r="H1846" s="304"/>
      <c r="I1846" s="18" t="s">
        <v>2473</v>
      </c>
      <c r="J1846" s="18" t="s">
        <v>2473</v>
      </c>
      <c r="K1846" s="18" t="s">
        <v>2473</v>
      </c>
      <c r="L1846" s="18" t="s">
        <v>2336</v>
      </c>
      <c r="AM1846" s="8" t="str">
        <f>IF(C1846&lt;&gt;"","CRQ-P5-"&amp;(AM$2+$AP1846*$AP$3),"")</f>
        <v/>
      </c>
      <c r="AN1846" s="8" t="str">
        <f>IF(E1846&lt;&gt;"","CRQ-P5-"&amp;(AN$2+$AP1846*$AP$3),"")</f>
        <v>CRQ-P5-1384</v>
      </c>
      <c r="AO1846" s="8" t="str">
        <f>IF(G1846&lt;&gt;"","CRQ-P5-"&amp;(AO$2+$AP1846*$AP$3),"")</f>
        <v/>
      </c>
      <c r="AP1846" s="8">
        <v>21</v>
      </c>
      <c r="AU1846" s="6"/>
      <c r="AV1846" s="6" t="str">
        <f t="shared" si="32"/>
        <v/>
      </c>
    </row>
    <row r="1847" spans="1:48" ht="14.65" thickBot="1" x14ac:dyDescent="0.5">
      <c r="A1847" s="29" t="s">
        <v>3394</v>
      </c>
      <c r="B1847" s="9"/>
      <c r="C1847" s="305" t="str">
        <f>MID($A1842,FIND("(",$A1842)+1,5)</f>
        <v>1.0.0</v>
      </c>
      <c r="D1847" s="306"/>
      <c r="E1847" s="305" t="str">
        <f>MID($A1842,FIND("(",$A1842)+1,5)</f>
        <v>1.0.0</v>
      </c>
      <c r="F1847" s="306"/>
      <c r="G1847" s="305" t="str">
        <f>MID($A1842,FIND("(",$A1842)+1,5)</f>
        <v>1.0.0</v>
      </c>
      <c r="H1847" s="306"/>
      <c r="I1847" s="18" t="s">
        <v>2473</v>
      </c>
      <c r="J1847" s="18" t="s">
        <v>2473</v>
      </c>
      <c r="K1847" s="18" t="s">
        <v>2473</v>
      </c>
      <c r="L1847" s="18" t="s">
        <v>2336</v>
      </c>
      <c r="AU1847" s="6"/>
      <c r="AV1847" s="6" t="str">
        <f t="shared" si="32"/>
        <v/>
      </c>
    </row>
    <row r="1848" spans="1:48" ht="14.65" thickBot="1" x14ac:dyDescent="0.5">
      <c r="A1848" s="30" t="s">
        <v>4</v>
      </c>
      <c r="B1848" s="59" t="s">
        <v>5</v>
      </c>
      <c r="C1848" s="7" t="s">
        <v>6</v>
      </c>
      <c r="D1848" s="7" t="s">
        <v>7</v>
      </c>
      <c r="E1848" s="7" t="s">
        <v>6</v>
      </c>
      <c r="F1848" s="7" t="s">
        <v>7</v>
      </c>
      <c r="G1848" s="7" t="s">
        <v>6</v>
      </c>
      <c r="H1848" s="7" t="s">
        <v>7</v>
      </c>
      <c r="I1848" s="18" t="s">
        <v>2473</v>
      </c>
      <c r="J1848" s="18" t="s">
        <v>2473</v>
      </c>
      <c r="K1848" s="18" t="s">
        <v>2473</v>
      </c>
      <c r="L1848" s="18" t="s">
        <v>2336</v>
      </c>
      <c r="AU1848" s="6"/>
      <c r="AV1848" s="6" t="str">
        <f t="shared" si="32"/>
        <v/>
      </c>
    </row>
    <row r="1849" spans="1:48" ht="14.65" thickBot="1" x14ac:dyDescent="0.5">
      <c r="A1849" s="36" t="s">
        <v>8</v>
      </c>
      <c r="B1849" s="3" t="s">
        <v>9</v>
      </c>
      <c r="C1849" s="4"/>
      <c r="D1849" s="4"/>
      <c r="E1849" s="4"/>
      <c r="F1849" s="4"/>
      <c r="G1849" s="4"/>
      <c r="H1849" s="4"/>
      <c r="I1849" s="18" t="s">
        <v>2473</v>
      </c>
      <c r="J1849" s="18" t="s">
        <v>2473</v>
      </c>
      <c r="K1849" s="18" t="s">
        <v>2473</v>
      </c>
      <c r="L1849" s="18" t="s">
        <v>2336</v>
      </c>
      <c r="AU1849" s="6"/>
      <c r="AV1849" s="6" t="str">
        <f t="shared" si="32"/>
        <v/>
      </c>
    </row>
    <row r="1850" spans="1:48" ht="14.65" thickBot="1" x14ac:dyDescent="0.5">
      <c r="A1850" s="36" t="s">
        <v>1569</v>
      </c>
      <c r="B1850" s="3" t="s">
        <v>1570</v>
      </c>
      <c r="C1850" s="4"/>
      <c r="D1850" s="4"/>
      <c r="E1850" s="4" t="s">
        <v>10</v>
      </c>
      <c r="F1850" s="4"/>
      <c r="G1850" s="4"/>
      <c r="H1850" s="4"/>
      <c r="I1850" s="18" t="s">
        <v>2473</v>
      </c>
      <c r="J1850" s="18" t="s">
        <v>2473</v>
      </c>
      <c r="K1850" s="18" t="s">
        <v>2473</v>
      </c>
      <c r="L1850" s="18" t="s">
        <v>2336</v>
      </c>
      <c r="AU1850" s="6"/>
      <c r="AV1850" s="6" t="str">
        <f t="shared" si="32"/>
        <v/>
      </c>
    </row>
    <row r="1851" spans="1:48" ht="14.65" thickBot="1" x14ac:dyDescent="0.5">
      <c r="A1851" s="36" t="s">
        <v>1571</v>
      </c>
      <c r="B1851" s="3" t="s">
        <v>1572</v>
      </c>
      <c r="C1851" s="4"/>
      <c r="D1851" s="4"/>
      <c r="E1851" s="4" t="s">
        <v>10</v>
      </c>
      <c r="F1851" s="4"/>
      <c r="G1851" s="4"/>
      <c r="H1851" s="4"/>
      <c r="I1851" s="18" t="s">
        <v>2473</v>
      </c>
      <c r="J1851" s="18" t="s">
        <v>2473</v>
      </c>
      <c r="K1851" s="18" t="s">
        <v>2473</v>
      </c>
      <c r="L1851" s="18" t="s">
        <v>2336</v>
      </c>
      <c r="AU1851" s="8"/>
      <c r="AV1851" s="6" t="str">
        <f t="shared" si="32"/>
        <v/>
      </c>
    </row>
    <row r="1852" spans="1:48" ht="35.25" thickBot="1" x14ac:dyDescent="0.5">
      <c r="A1852" s="36" t="s">
        <v>1573</v>
      </c>
      <c r="B1852" s="3" t="s">
        <v>1574</v>
      </c>
      <c r="C1852" s="4"/>
      <c r="D1852" s="4"/>
      <c r="E1852" s="4" t="s">
        <v>10</v>
      </c>
      <c r="F1852" s="4"/>
      <c r="G1852" s="4"/>
      <c r="H1852" s="4"/>
      <c r="I1852" s="18" t="s">
        <v>2473</v>
      </c>
      <c r="J1852" s="18" t="s">
        <v>2473</v>
      </c>
      <c r="K1852" s="18" t="s">
        <v>2473</v>
      </c>
      <c r="L1852" s="18" t="s">
        <v>2336</v>
      </c>
      <c r="AU1852" s="8"/>
      <c r="AV1852" s="6" t="str">
        <f t="shared" si="32"/>
        <v/>
      </c>
    </row>
    <row r="1853" spans="1:48" ht="14.65" thickBot="1" x14ac:dyDescent="0.5">
      <c r="A1853" s="36" t="s">
        <v>1575</v>
      </c>
      <c r="B1853" s="3" t="s">
        <v>1576</v>
      </c>
      <c r="C1853" s="4"/>
      <c r="D1853" s="4"/>
      <c r="E1853" s="4" t="s">
        <v>10</v>
      </c>
      <c r="F1853" s="4" t="s">
        <v>13</v>
      </c>
      <c r="G1853" s="4"/>
      <c r="H1853" s="4"/>
      <c r="I1853" s="18" t="s">
        <v>2473</v>
      </c>
      <c r="J1853" s="18" t="s">
        <v>2473</v>
      </c>
      <c r="K1853" s="18" t="s">
        <v>2473</v>
      </c>
      <c r="L1853" s="18" t="s">
        <v>2336</v>
      </c>
      <c r="AU1853" s="6"/>
      <c r="AV1853" s="6" t="str">
        <f t="shared" si="32"/>
        <v/>
      </c>
    </row>
    <row r="1854" spans="1:48" ht="14.65" thickBot="1" x14ac:dyDescent="0.5">
      <c r="A1854" s="36" t="s">
        <v>1577</v>
      </c>
      <c r="B1854" s="3" t="s">
        <v>1578</v>
      </c>
      <c r="C1854" s="4"/>
      <c r="D1854" s="4"/>
      <c r="E1854" s="4" t="s">
        <v>10</v>
      </c>
      <c r="F1854" s="4"/>
      <c r="G1854" s="4"/>
      <c r="H1854" s="4"/>
      <c r="I1854" s="18" t="s">
        <v>2473</v>
      </c>
      <c r="J1854" s="18" t="s">
        <v>2473</v>
      </c>
      <c r="K1854" s="18" t="s">
        <v>2473</v>
      </c>
      <c r="L1854" s="18" t="s">
        <v>2336</v>
      </c>
      <c r="AU1854" s="6"/>
      <c r="AV1854" s="6" t="str">
        <f t="shared" si="32"/>
        <v/>
      </c>
    </row>
    <row r="1855" spans="1:48" ht="14.65" thickBot="1" x14ac:dyDescent="0.5">
      <c r="A1855" s="36" t="s">
        <v>1579</v>
      </c>
      <c r="B1855" s="3" t="s">
        <v>1580</v>
      </c>
      <c r="C1855" s="4"/>
      <c r="D1855" s="4"/>
      <c r="E1855" s="4" t="s">
        <v>10</v>
      </c>
      <c r="F1855" s="4" t="s">
        <v>13</v>
      </c>
      <c r="G1855" s="4"/>
      <c r="H1855" s="4"/>
      <c r="I1855" s="18" t="s">
        <v>2473</v>
      </c>
      <c r="J1855" s="18" t="s">
        <v>2473</v>
      </c>
      <c r="K1855" s="18" t="s">
        <v>2473</v>
      </c>
      <c r="L1855" s="18" t="s">
        <v>2336</v>
      </c>
      <c r="AU1855" s="6"/>
      <c r="AV1855" s="6" t="str">
        <f t="shared" si="32"/>
        <v/>
      </c>
    </row>
    <row r="1856" spans="1:48" ht="23.65" thickBot="1" x14ac:dyDescent="0.5">
      <c r="A1856" s="36" t="s">
        <v>1156</v>
      </c>
      <c r="B1856" s="3" t="s">
        <v>1581</v>
      </c>
      <c r="C1856" s="4"/>
      <c r="D1856" s="4"/>
      <c r="E1856" s="4" t="s">
        <v>10</v>
      </c>
      <c r="F1856" s="4"/>
      <c r="G1856" s="4"/>
      <c r="H1856" s="4"/>
      <c r="I1856" s="18" t="s">
        <v>2473</v>
      </c>
      <c r="J1856" s="18" t="s">
        <v>2473</v>
      </c>
      <c r="K1856" s="18" t="s">
        <v>2473</v>
      </c>
      <c r="L1856" s="18" t="s">
        <v>2336</v>
      </c>
      <c r="AU1856" s="6"/>
      <c r="AV1856" s="6" t="str">
        <f t="shared" si="32"/>
        <v/>
      </c>
    </row>
    <row r="1857" spans="1:48" ht="47.65" thickBot="1" x14ac:dyDescent="0.5">
      <c r="A1857" s="36" t="s">
        <v>1582</v>
      </c>
      <c r="B1857" s="3" t="s">
        <v>1583</v>
      </c>
      <c r="C1857" s="4"/>
      <c r="D1857" s="4"/>
      <c r="E1857" s="4" t="s">
        <v>10</v>
      </c>
      <c r="F1857" s="4"/>
      <c r="G1857" s="4"/>
      <c r="H1857" s="4"/>
      <c r="I1857" s="18" t="s">
        <v>2473</v>
      </c>
      <c r="J1857" s="18" t="s">
        <v>2473</v>
      </c>
      <c r="K1857" s="18" t="s">
        <v>2473</v>
      </c>
      <c r="L1857" s="18" t="s">
        <v>2336</v>
      </c>
      <c r="AS1857" s="206" t="s">
        <v>5860</v>
      </c>
      <c r="AU1857" s="6"/>
      <c r="AV1857" s="6" t="str">
        <f t="shared" si="32"/>
        <v/>
      </c>
    </row>
    <row r="1858" spans="1:48" ht="14.65" thickBot="1" x14ac:dyDescent="0.5">
      <c r="A1858" s="35" t="s">
        <v>1584</v>
      </c>
      <c r="B1858" s="3" t="s">
        <v>1585</v>
      </c>
      <c r="C1858" s="4"/>
      <c r="D1858" s="4"/>
      <c r="E1858" s="4"/>
      <c r="F1858" s="4"/>
      <c r="G1858" s="4"/>
      <c r="H1858" s="4"/>
      <c r="I1858" s="18" t="s">
        <v>2473</v>
      </c>
      <c r="J1858" s="18" t="s">
        <v>2473</v>
      </c>
      <c r="K1858" s="18" t="s">
        <v>2473</v>
      </c>
      <c r="L1858" s="18" t="s">
        <v>2336</v>
      </c>
      <c r="AU1858" s="6"/>
      <c r="AV1858" s="6" t="str">
        <f t="shared" si="32"/>
        <v/>
      </c>
    </row>
    <row r="1859" spans="1:48" ht="14.65" thickBot="1" x14ac:dyDescent="0.5">
      <c r="A1859" s="35" t="s">
        <v>1586</v>
      </c>
      <c r="B1859" s="3" t="s">
        <v>1587</v>
      </c>
      <c r="C1859" s="4"/>
      <c r="D1859" s="4"/>
      <c r="E1859" s="4" t="s">
        <v>10</v>
      </c>
      <c r="F1859" s="4"/>
      <c r="G1859" s="4"/>
      <c r="H1859" s="4"/>
      <c r="I1859" s="18" t="s">
        <v>2473</v>
      </c>
      <c r="J1859" s="18" t="s">
        <v>2473</v>
      </c>
      <c r="K1859" s="18" t="s">
        <v>2473</v>
      </c>
      <c r="L1859" s="18" t="s">
        <v>2336</v>
      </c>
      <c r="AU1859" s="6"/>
      <c r="AV1859" s="6" t="str">
        <f t="shared" ref="AV1859:AV1924" si="33">IF(A1859&lt;&gt;"",IF(T1859&lt;&gt;"",IF(LEFT(R1859,3)="Has",IF(TRIM(A1859)&lt;&gt;T1859,"ERROR","OK"),""),""),"")</f>
        <v/>
      </c>
    </row>
    <row r="1860" spans="1:48" ht="23.65" thickBot="1" x14ac:dyDescent="0.5">
      <c r="A1860" s="35" t="s">
        <v>1588</v>
      </c>
      <c r="B1860" s="3" t="s">
        <v>1589</v>
      </c>
      <c r="C1860" s="4"/>
      <c r="D1860" s="4"/>
      <c r="E1860" s="4" t="s">
        <v>10</v>
      </c>
      <c r="F1860" s="4"/>
      <c r="G1860" s="4"/>
      <c r="H1860" s="4"/>
      <c r="I1860" s="18" t="s">
        <v>2473</v>
      </c>
      <c r="J1860" s="18" t="s">
        <v>2473</v>
      </c>
      <c r="K1860" s="18" t="s">
        <v>2473</v>
      </c>
      <c r="L1860" s="18" t="s">
        <v>2336</v>
      </c>
      <c r="AU1860" s="6"/>
      <c r="AV1860" s="6" t="str">
        <f t="shared" si="33"/>
        <v/>
      </c>
    </row>
    <row r="1861" spans="1:48" ht="14.65" thickBot="1" x14ac:dyDescent="0.5">
      <c r="A1861" s="35" t="s">
        <v>1590</v>
      </c>
      <c r="B1861" s="3" t="s">
        <v>1591</v>
      </c>
      <c r="C1861" s="4"/>
      <c r="D1861" s="4"/>
      <c r="E1861" s="4" t="s">
        <v>10</v>
      </c>
      <c r="F1861" s="4"/>
      <c r="G1861" s="4"/>
      <c r="H1861" s="4"/>
      <c r="I1861" s="18" t="s">
        <v>2473</v>
      </c>
      <c r="J1861" s="18" t="s">
        <v>2473</v>
      </c>
      <c r="K1861" s="18" t="s">
        <v>2473</v>
      </c>
      <c r="L1861" s="18" t="s">
        <v>2336</v>
      </c>
      <c r="AU1861" s="6"/>
      <c r="AV1861" s="6" t="str">
        <f t="shared" si="33"/>
        <v/>
      </c>
    </row>
    <row r="1862" spans="1:48" ht="14.65" thickBot="1" x14ac:dyDescent="0.5">
      <c r="A1862" s="36" t="s">
        <v>1592</v>
      </c>
      <c r="B1862" s="3" t="s">
        <v>1593</v>
      </c>
      <c r="C1862" s="4"/>
      <c r="D1862" s="4"/>
      <c r="E1862" s="4" t="s">
        <v>10</v>
      </c>
      <c r="F1862" s="4"/>
      <c r="G1862" s="4"/>
      <c r="H1862" s="4"/>
      <c r="I1862" s="18" t="s">
        <v>2473</v>
      </c>
      <c r="J1862" s="18" t="s">
        <v>2473</v>
      </c>
      <c r="K1862" s="18" t="s">
        <v>2473</v>
      </c>
      <c r="L1862" s="18" t="s">
        <v>2336</v>
      </c>
      <c r="AU1862" s="6"/>
      <c r="AV1862" s="6" t="str">
        <f t="shared" si="33"/>
        <v/>
      </c>
    </row>
    <row r="1863" spans="1:48" ht="14.65" thickBot="1" x14ac:dyDescent="0.5">
      <c r="A1863" s="36" t="s">
        <v>742</v>
      </c>
      <c r="B1863" s="3" t="s">
        <v>1594</v>
      </c>
      <c r="C1863" s="4"/>
      <c r="D1863" s="4"/>
      <c r="E1863" s="4" t="s">
        <v>10</v>
      </c>
      <c r="F1863" s="4"/>
      <c r="G1863" s="4"/>
      <c r="H1863" s="4"/>
      <c r="I1863" s="18" t="s">
        <v>2473</v>
      </c>
      <c r="J1863" s="18" t="s">
        <v>2473</v>
      </c>
      <c r="K1863" s="18" t="s">
        <v>2473</v>
      </c>
      <c r="L1863" s="18" t="s">
        <v>2336</v>
      </c>
      <c r="AU1863" s="6"/>
      <c r="AV1863" s="6" t="str">
        <f t="shared" si="33"/>
        <v/>
      </c>
    </row>
    <row r="1864" spans="1:48" ht="14.65" thickBot="1" x14ac:dyDescent="0.5">
      <c r="A1864" s="36" t="s">
        <v>1595</v>
      </c>
      <c r="B1864" s="3" t="s">
        <v>1596</v>
      </c>
      <c r="C1864" s="4"/>
      <c r="D1864" s="4"/>
      <c r="E1864" s="4" t="s">
        <v>10</v>
      </c>
      <c r="F1864" s="4"/>
      <c r="G1864" s="4"/>
      <c r="H1864" s="4"/>
      <c r="I1864" s="18" t="s">
        <v>2473</v>
      </c>
      <c r="J1864" s="18" t="s">
        <v>2473</v>
      </c>
      <c r="K1864" s="18" t="s">
        <v>2473</v>
      </c>
      <c r="L1864" s="18" t="s">
        <v>2336</v>
      </c>
      <c r="AU1864" s="6"/>
      <c r="AV1864" s="6" t="str">
        <f t="shared" si="33"/>
        <v/>
      </c>
    </row>
    <row r="1865" spans="1:48" ht="14.65" thickBot="1" x14ac:dyDescent="0.5">
      <c r="A1865" s="36" t="s">
        <v>1597</v>
      </c>
      <c r="B1865" s="3" t="s">
        <v>1598</v>
      </c>
      <c r="C1865" s="4"/>
      <c r="D1865" s="4"/>
      <c r="E1865" s="4" t="s">
        <v>37</v>
      </c>
      <c r="F1865" s="4"/>
      <c r="G1865" s="4"/>
      <c r="H1865" s="4"/>
      <c r="I1865" s="18" t="s">
        <v>2473</v>
      </c>
      <c r="J1865" s="18" t="s">
        <v>2473</v>
      </c>
      <c r="K1865" s="18" t="s">
        <v>2473</v>
      </c>
      <c r="L1865" s="18" t="s">
        <v>2336</v>
      </c>
      <c r="AU1865" s="6"/>
      <c r="AV1865" s="6" t="str">
        <f t="shared" si="33"/>
        <v/>
      </c>
    </row>
    <row r="1866" spans="1:48" ht="23.65" thickBot="1" x14ac:dyDescent="0.5">
      <c r="A1866" s="36" t="s">
        <v>1599</v>
      </c>
      <c r="B1866" s="3" t="s">
        <v>1600</v>
      </c>
      <c r="C1866" s="4"/>
      <c r="D1866" s="4"/>
      <c r="E1866" s="4" t="s">
        <v>37</v>
      </c>
      <c r="F1866" s="4"/>
      <c r="G1866" s="4"/>
      <c r="H1866" s="4"/>
      <c r="I1866" s="18" t="s">
        <v>2473</v>
      </c>
      <c r="J1866" s="18" t="s">
        <v>2473</v>
      </c>
      <c r="K1866" s="18" t="s">
        <v>2473</v>
      </c>
      <c r="L1866" s="18" t="s">
        <v>2336</v>
      </c>
      <c r="AU1866" s="6"/>
      <c r="AV1866" s="6" t="str">
        <f t="shared" si="33"/>
        <v/>
      </c>
    </row>
    <row r="1867" spans="1:48" ht="14.65" thickBot="1" x14ac:dyDescent="0.5">
      <c r="A1867" s="35" t="s">
        <v>33</v>
      </c>
      <c r="B1867" s="3" t="s">
        <v>1601</v>
      </c>
      <c r="C1867" s="4"/>
      <c r="D1867" s="4"/>
      <c r="E1867" s="4"/>
      <c r="F1867" s="4"/>
      <c r="G1867" s="4"/>
      <c r="H1867" s="4"/>
      <c r="I1867" s="18" t="s">
        <v>2473</v>
      </c>
      <c r="J1867" s="18" t="s">
        <v>2473</v>
      </c>
      <c r="K1867" s="18" t="s">
        <v>2473</v>
      </c>
      <c r="L1867" s="18" t="s">
        <v>2336</v>
      </c>
      <c r="AU1867" s="6"/>
      <c r="AV1867" s="6" t="str">
        <f t="shared" si="33"/>
        <v/>
      </c>
    </row>
    <row r="1868" spans="1:48" x14ac:dyDescent="0.45">
      <c r="A1868" s="33" t="s">
        <v>1602</v>
      </c>
      <c r="I1868" s="18" t="s">
        <v>2473</v>
      </c>
      <c r="J1868" s="18" t="s">
        <v>2473</v>
      </c>
      <c r="K1868" s="18" t="s">
        <v>2473</v>
      </c>
      <c r="L1868" s="18" t="s">
        <v>2336</v>
      </c>
      <c r="AU1868" s="6"/>
      <c r="AV1868" s="6" t="str">
        <f t="shared" si="33"/>
        <v/>
      </c>
    </row>
    <row r="1869" spans="1:48" x14ac:dyDescent="0.45">
      <c r="A1869" s="34" t="s">
        <v>1603</v>
      </c>
      <c r="I1869" s="18" t="s">
        <v>2473</v>
      </c>
      <c r="J1869" s="18" t="s">
        <v>2473</v>
      </c>
      <c r="K1869" s="18" t="s">
        <v>2473</v>
      </c>
      <c r="L1869" s="18" t="s">
        <v>2336</v>
      </c>
      <c r="AU1869" s="8"/>
      <c r="AV1869" s="6" t="str">
        <f t="shared" si="33"/>
        <v/>
      </c>
    </row>
    <row r="1870" spans="1:48" x14ac:dyDescent="0.45">
      <c r="A1870" s="34" t="s">
        <v>1604</v>
      </c>
      <c r="I1870" s="18" t="s">
        <v>2473</v>
      </c>
      <c r="J1870" s="18" t="s">
        <v>2473</v>
      </c>
      <c r="K1870" s="18" t="s">
        <v>2473</v>
      </c>
      <c r="L1870" s="18" t="s">
        <v>2336</v>
      </c>
      <c r="AU1870" s="8"/>
      <c r="AV1870" s="6" t="str">
        <f t="shared" si="33"/>
        <v/>
      </c>
    </row>
    <row r="1871" spans="1:48" s="79" customFormat="1" x14ac:dyDescent="0.45">
      <c r="A1871" s="75"/>
      <c r="B1871" s="76"/>
      <c r="C1871" s="77"/>
      <c r="D1871" s="77"/>
      <c r="E1871" s="77"/>
      <c r="F1871" s="77"/>
      <c r="G1871" s="77"/>
      <c r="H1871" s="77"/>
      <c r="I1871" s="77"/>
      <c r="J1871" s="77"/>
      <c r="K1871" s="77"/>
      <c r="L1871" s="77"/>
      <c r="M1871" s="148"/>
      <c r="N1871" s="78"/>
      <c r="O1871" s="78"/>
      <c r="P1871" s="78"/>
      <c r="Q1871" s="78"/>
      <c r="R1871" s="78"/>
      <c r="S1871" s="78"/>
      <c r="T1871" s="78"/>
      <c r="U1871" s="78"/>
      <c r="V1871" s="78"/>
      <c r="W1871" s="78"/>
      <c r="X1871" s="78"/>
      <c r="Y1871" s="148"/>
      <c r="Z1871" s="78"/>
      <c r="AA1871" s="78"/>
      <c r="AB1871" s="78"/>
      <c r="AC1871" s="78"/>
      <c r="AD1871" s="78"/>
      <c r="AE1871" s="156"/>
      <c r="AF1871" s="156"/>
      <c r="AG1871" s="78"/>
      <c r="AH1871" s="78"/>
      <c r="AI1871" s="78"/>
      <c r="AJ1871" s="78"/>
      <c r="AK1871" s="78"/>
      <c r="AL1871" s="78"/>
      <c r="AM1871" s="78"/>
      <c r="AN1871" s="78"/>
      <c r="AO1871" s="78"/>
      <c r="AP1871" s="78"/>
      <c r="AQ1871" s="78"/>
      <c r="AR1871" s="286"/>
      <c r="AS1871" s="78"/>
      <c r="AT1871" s="78"/>
      <c r="AU1871" s="8"/>
      <c r="AV1871" s="6" t="str">
        <f t="shared" si="33"/>
        <v/>
      </c>
    </row>
    <row r="1872" spans="1:48" x14ac:dyDescent="0.45">
      <c r="A1872" s="27" t="s">
        <v>2443</v>
      </c>
      <c r="I1872" s="18" t="s">
        <v>2473</v>
      </c>
      <c r="J1872" s="18" t="s">
        <v>2473</v>
      </c>
      <c r="K1872" s="18" t="s">
        <v>2473</v>
      </c>
      <c r="L1872" s="18" t="s">
        <v>2336</v>
      </c>
      <c r="AU1872" s="6"/>
      <c r="AV1872" s="6" t="str">
        <f t="shared" si="33"/>
        <v/>
      </c>
    </row>
    <row r="1873" spans="1:48" x14ac:dyDescent="0.45">
      <c r="A1873" s="323" t="s">
        <v>2531</v>
      </c>
      <c r="B1873" s="324"/>
      <c r="C1873" s="324"/>
      <c r="D1873" s="324"/>
      <c r="E1873" s="324"/>
      <c r="F1873" s="324"/>
      <c r="G1873" s="101"/>
      <c r="H1873" s="101"/>
      <c r="I1873" s="18" t="s">
        <v>2473</v>
      </c>
      <c r="J1873" s="18" t="s">
        <v>2473</v>
      </c>
      <c r="K1873" s="18" t="s">
        <v>2473</v>
      </c>
      <c r="L1873" s="18" t="s">
        <v>2336</v>
      </c>
      <c r="AU1873" s="6"/>
      <c r="AV1873" s="6" t="str">
        <f t="shared" si="33"/>
        <v/>
      </c>
    </row>
    <row r="1874" spans="1:48" ht="14.65" thickBot="1" x14ac:dyDescent="0.5">
      <c r="A1874" s="28" t="s">
        <v>1605</v>
      </c>
      <c r="I1874" s="18" t="s">
        <v>2473</v>
      </c>
      <c r="J1874" s="18" t="s">
        <v>2473</v>
      </c>
      <c r="K1874" s="18" t="s">
        <v>2473</v>
      </c>
      <c r="L1874" s="18" t="s">
        <v>2336</v>
      </c>
      <c r="AA1874" s="183" t="s">
        <v>2322</v>
      </c>
      <c r="AB1874" s="183" t="s">
        <v>1697</v>
      </c>
      <c r="AC1874" s="183" t="s">
        <v>5</v>
      </c>
      <c r="AU1874" s="6"/>
      <c r="AV1874" s="6" t="str">
        <f t="shared" si="33"/>
        <v/>
      </c>
    </row>
    <row r="1875" spans="1:48" ht="81.75" thickBot="1" x14ac:dyDescent="0.5">
      <c r="A1875" s="309" t="s">
        <v>1606</v>
      </c>
      <c r="B1875" s="310"/>
      <c r="C1875" s="301" t="s">
        <v>1</v>
      </c>
      <c r="D1875" s="319"/>
      <c r="E1875" s="319"/>
      <c r="F1875" s="302"/>
      <c r="G1875" s="102"/>
      <c r="H1875" s="102"/>
      <c r="I1875" s="18" t="s">
        <v>2473</v>
      </c>
      <c r="L1875" s="18" t="s">
        <v>2336</v>
      </c>
      <c r="AA1875" s="183" t="str">
        <f>LEFT($A1875,FIND(" ",$A1875)-1)</f>
        <v>JobService</v>
      </c>
      <c r="AB1875" s="183" t="str">
        <f>MID($A1875,FIND("(",$A1875)+1,LEN($A1875)-FIND("(",$A1875)-1)</f>
        <v>1.0.0</v>
      </c>
      <c r="AC1875" s="101" t="str">
        <f>A1873</f>
        <v>The JobService has the properties for the service itself and has links to the actual list of tasks.</v>
      </c>
      <c r="AU1875" s="6"/>
      <c r="AV1875" s="6" t="str">
        <f t="shared" si="33"/>
        <v/>
      </c>
    </row>
    <row r="1876" spans="1:48" ht="14.65" thickBot="1" x14ac:dyDescent="0.5">
      <c r="A1876" s="311"/>
      <c r="B1876" s="312"/>
      <c r="C1876" s="301" t="s">
        <v>2</v>
      </c>
      <c r="D1876" s="302"/>
      <c r="E1876" s="301" t="s">
        <v>3</v>
      </c>
      <c r="F1876" s="302"/>
      <c r="G1876" s="301" t="s">
        <v>2896</v>
      </c>
      <c r="H1876" s="302"/>
      <c r="I1876" s="18" t="s">
        <v>2473</v>
      </c>
      <c r="L1876" s="18" t="s">
        <v>2336</v>
      </c>
      <c r="AA1876" s="183" t="s">
        <v>2322</v>
      </c>
      <c r="AB1876" s="183" t="s">
        <v>1697</v>
      </c>
      <c r="AC1876" s="183" t="s">
        <v>5</v>
      </c>
      <c r="AU1876" s="6"/>
      <c r="AV1876" s="6" t="str">
        <f t="shared" si="33"/>
        <v/>
      </c>
    </row>
    <row r="1877" spans="1:48" ht="81.75" thickBot="1" x14ac:dyDescent="0.5">
      <c r="A1877" s="309" t="s">
        <v>3223</v>
      </c>
      <c r="B1877" s="310"/>
      <c r="C1877" s="301" t="s">
        <v>1</v>
      </c>
      <c r="D1877" s="319"/>
      <c r="E1877" s="319"/>
      <c r="F1877" s="302"/>
      <c r="G1877" s="102"/>
      <c r="H1877" s="102"/>
      <c r="J1877" s="18" t="s">
        <v>2473</v>
      </c>
      <c r="K1877" s="18" t="s">
        <v>2473</v>
      </c>
      <c r="L1877" s="18" t="s">
        <v>2336</v>
      </c>
      <c r="AA1877" s="183" t="str">
        <f>LEFT($A1877,FIND(" ",$A1877)-1)</f>
        <v>JobService</v>
      </c>
      <c r="AB1877" s="183" t="str">
        <f>MID($A1877,FIND("(",$A1877)+1,LEN($A1877)-FIND("(",$A1877)-1)</f>
        <v>1.0.1</v>
      </c>
      <c r="AC1877" s="101" t="str">
        <f>AC1875</f>
        <v>The JobService has the properties for the service itself and has links to the actual list of tasks.</v>
      </c>
      <c r="AU1877" s="6"/>
      <c r="AV1877" s="6" t="str">
        <f t="shared" si="33"/>
        <v/>
      </c>
    </row>
    <row r="1878" spans="1:48" ht="14.65" thickBot="1" x14ac:dyDescent="0.5">
      <c r="A1878" s="311"/>
      <c r="B1878" s="312"/>
      <c r="C1878" s="301" t="s">
        <v>2</v>
      </c>
      <c r="D1878" s="302"/>
      <c r="E1878" s="301" t="s">
        <v>3</v>
      </c>
      <c r="F1878" s="302"/>
      <c r="G1878" s="301" t="s">
        <v>2896</v>
      </c>
      <c r="H1878" s="302"/>
      <c r="J1878" s="18" t="s">
        <v>2473</v>
      </c>
      <c r="K1878" s="18" t="s">
        <v>2473</v>
      </c>
      <c r="L1878" s="18" t="s">
        <v>2336</v>
      </c>
      <c r="AM1878" s="8" t="str">
        <f>C1878</f>
        <v>OSM-Redfish</v>
      </c>
      <c r="AN1878" s="8" t="str">
        <f>E1878</f>
        <v>OSM-RedfishBMC</v>
      </c>
      <c r="AO1878" s="8" t="str">
        <f>G1878</f>
        <v>OSM-RedfishDCN</v>
      </c>
      <c r="AU1878" s="6"/>
      <c r="AV1878" s="6" t="str">
        <f t="shared" si="33"/>
        <v/>
      </c>
    </row>
    <row r="1879" spans="1:48" ht="14.65" thickBot="1" x14ac:dyDescent="0.5">
      <c r="A1879" s="46" t="s">
        <v>2377</v>
      </c>
      <c r="B1879" s="47"/>
      <c r="C1879" s="303"/>
      <c r="D1879" s="304"/>
      <c r="E1879" s="303" t="s">
        <v>37</v>
      </c>
      <c r="F1879" s="304"/>
      <c r="G1879" s="303"/>
      <c r="H1879" s="304"/>
      <c r="I1879" s="18" t="s">
        <v>2473</v>
      </c>
      <c r="J1879" s="18" t="s">
        <v>2473</v>
      </c>
      <c r="K1879" s="18" t="s">
        <v>2473</v>
      </c>
      <c r="L1879" s="18" t="s">
        <v>2336</v>
      </c>
      <c r="AM1879" s="8" t="str">
        <f>IF(C1879&lt;&gt;"","CRQ-P5-"&amp;(AM$2+$AP1879*$AP$3),"")</f>
        <v/>
      </c>
      <c r="AN1879" s="8" t="str">
        <f>IF(E1879&lt;&gt;"","CRQ-P5-"&amp;(AN$2+$AP1879*$AP$3),"")</f>
        <v>CRQ-P5-1388</v>
      </c>
      <c r="AO1879" s="8" t="str">
        <f>IF(G1879&lt;&gt;"","CRQ-P5-"&amp;(AO$2+$AP1879*$AP$3),"")</f>
        <v/>
      </c>
      <c r="AP1879" s="8">
        <v>22</v>
      </c>
      <c r="AU1879" s="6"/>
      <c r="AV1879" s="6" t="str">
        <f t="shared" si="33"/>
        <v/>
      </c>
    </row>
    <row r="1880" spans="1:48" ht="14.65" thickBot="1" x14ac:dyDescent="0.5">
      <c r="A1880" s="29" t="s">
        <v>3394</v>
      </c>
      <c r="B1880" s="9"/>
      <c r="C1880" s="305" t="str">
        <f>MID($A1875,FIND("(",$A1875)+1,5)</f>
        <v>1.0.0</v>
      </c>
      <c r="D1880" s="306"/>
      <c r="E1880" s="305" t="str">
        <f>MID($A1875,FIND("(",$A1875)+1,5)</f>
        <v>1.0.0</v>
      </c>
      <c r="F1880" s="306"/>
      <c r="G1880" s="305" t="str">
        <f>MID($A1875,FIND("(",$A1875)+1,5)</f>
        <v>1.0.0</v>
      </c>
      <c r="H1880" s="306"/>
      <c r="I1880" s="18" t="s">
        <v>2473</v>
      </c>
      <c r="J1880" s="18" t="s">
        <v>2473</v>
      </c>
      <c r="K1880" s="18" t="s">
        <v>2473</v>
      </c>
      <c r="L1880" s="18" t="s">
        <v>2336</v>
      </c>
      <c r="AU1880" s="6"/>
      <c r="AV1880" s="6" t="str">
        <f t="shared" si="33"/>
        <v/>
      </c>
    </row>
    <row r="1881" spans="1:48" ht="14.65" thickBot="1" x14ac:dyDescent="0.5">
      <c r="A1881" s="30" t="s">
        <v>4</v>
      </c>
      <c r="B1881" s="59" t="s">
        <v>5</v>
      </c>
      <c r="C1881" s="7" t="s">
        <v>6</v>
      </c>
      <c r="D1881" s="7" t="s">
        <v>7</v>
      </c>
      <c r="E1881" s="7" t="s">
        <v>6</v>
      </c>
      <c r="F1881" s="7" t="s">
        <v>7</v>
      </c>
      <c r="G1881" s="7" t="s">
        <v>6</v>
      </c>
      <c r="H1881" s="7" t="s">
        <v>7</v>
      </c>
      <c r="I1881" s="18" t="s">
        <v>2473</v>
      </c>
      <c r="J1881" s="18" t="s">
        <v>2473</v>
      </c>
      <c r="K1881" s="18" t="s">
        <v>2473</v>
      </c>
      <c r="L1881" s="18" t="s">
        <v>2336</v>
      </c>
      <c r="AU1881" s="6"/>
      <c r="AV1881" s="6" t="str">
        <f t="shared" si="33"/>
        <v/>
      </c>
    </row>
    <row r="1882" spans="1:48" ht="14.65" thickBot="1" x14ac:dyDescent="0.5">
      <c r="A1882" s="36" t="s">
        <v>8</v>
      </c>
      <c r="B1882" s="3" t="s">
        <v>9</v>
      </c>
      <c r="C1882" s="4"/>
      <c r="D1882" s="4"/>
      <c r="E1882" s="4"/>
      <c r="F1882" s="4"/>
      <c r="G1882" s="4"/>
      <c r="H1882" s="4"/>
      <c r="I1882" s="18" t="s">
        <v>2473</v>
      </c>
      <c r="J1882" s="18" t="s">
        <v>2473</v>
      </c>
      <c r="K1882" s="18" t="s">
        <v>2473</v>
      </c>
      <c r="L1882" s="18" t="s">
        <v>2336</v>
      </c>
      <c r="AU1882" s="6"/>
      <c r="AV1882" s="6" t="str">
        <f t="shared" si="33"/>
        <v/>
      </c>
    </row>
    <row r="1883" spans="1:48" ht="14.65" thickBot="1" x14ac:dyDescent="0.5">
      <c r="A1883" s="36" t="s">
        <v>636</v>
      </c>
      <c r="B1883" s="3" t="s">
        <v>1607</v>
      </c>
      <c r="C1883" s="4"/>
      <c r="D1883" s="4"/>
      <c r="E1883" s="4" t="s">
        <v>10</v>
      </c>
      <c r="F1883" s="4"/>
      <c r="G1883" s="4"/>
      <c r="H1883" s="4"/>
      <c r="I1883" s="18" t="s">
        <v>2473</v>
      </c>
      <c r="J1883" s="18" t="s">
        <v>2473</v>
      </c>
      <c r="K1883" s="18" t="s">
        <v>2473</v>
      </c>
      <c r="L1883" s="18" t="s">
        <v>2336</v>
      </c>
      <c r="AU1883" s="6"/>
      <c r="AV1883" s="6" t="str">
        <f t="shared" si="33"/>
        <v/>
      </c>
    </row>
    <row r="1884" spans="1:48" ht="14.65" thickBot="1" x14ac:dyDescent="0.5">
      <c r="A1884" s="36" t="s">
        <v>1608</v>
      </c>
      <c r="B1884" s="3" t="s">
        <v>1609</v>
      </c>
      <c r="C1884" s="4"/>
      <c r="D1884" s="4"/>
      <c r="E1884" s="4" t="s">
        <v>10</v>
      </c>
      <c r="F1884" s="4"/>
      <c r="G1884" s="4"/>
      <c r="H1884" s="4"/>
      <c r="I1884" s="18" t="s">
        <v>2473</v>
      </c>
      <c r="J1884" s="18" t="s">
        <v>2473</v>
      </c>
      <c r="K1884" s="18" t="s">
        <v>2473</v>
      </c>
      <c r="L1884" s="18" t="s">
        <v>2336</v>
      </c>
      <c r="AU1884" s="6"/>
      <c r="AV1884" s="6" t="str">
        <f t="shared" si="33"/>
        <v/>
      </c>
    </row>
    <row r="1885" spans="1:48" ht="14.65" thickBot="1" x14ac:dyDescent="0.5">
      <c r="A1885" s="35" t="s">
        <v>33</v>
      </c>
      <c r="B1885" s="3" t="s">
        <v>1601</v>
      </c>
      <c r="C1885" s="4"/>
      <c r="D1885" s="4"/>
      <c r="E1885" s="4"/>
      <c r="F1885" s="4"/>
      <c r="G1885" s="4"/>
      <c r="H1885" s="4"/>
      <c r="I1885" s="18" t="s">
        <v>2473</v>
      </c>
      <c r="J1885" s="18" t="s">
        <v>2473</v>
      </c>
      <c r="K1885" s="18" t="s">
        <v>2473</v>
      </c>
      <c r="L1885" s="18" t="s">
        <v>2336</v>
      </c>
      <c r="AU1885" s="6"/>
      <c r="AV1885" s="6" t="str">
        <f t="shared" si="33"/>
        <v/>
      </c>
    </row>
    <row r="1886" spans="1:48" ht="14.65" thickBot="1" x14ac:dyDescent="0.5">
      <c r="A1886" s="36" t="s">
        <v>1610</v>
      </c>
      <c r="B1886" s="3" t="s">
        <v>1611</v>
      </c>
      <c r="C1886" s="4"/>
      <c r="D1886" s="4"/>
      <c r="E1886" s="4" t="s">
        <v>10</v>
      </c>
      <c r="F1886" s="4"/>
      <c r="G1886" s="4"/>
      <c r="H1886" s="4"/>
      <c r="I1886" s="18" t="s">
        <v>2473</v>
      </c>
      <c r="J1886" s="18" t="s">
        <v>2473</v>
      </c>
      <c r="K1886" s="18" t="s">
        <v>2473</v>
      </c>
      <c r="L1886" s="18" t="s">
        <v>2336</v>
      </c>
      <c r="AU1886" s="6"/>
      <c r="AV1886" s="6" t="str">
        <f t="shared" si="33"/>
        <v/>
      </c>
    </row>
    <row r="1887" spans="1:48" ht="14.65" thickBot="1" x14ac:dyDescent="0.5">
      <c r="A1887" s="35" t="s">
        <v>33</v>
      </c>
      <c r="B1887" s="3" t="s">
        <v>795</v>
      </c>
      <c r="C1887" s="4"/>
      <c r="D1887" s="4"/>
      <c r="E1887" s="4"/>
      <c r="F1887" s="4"/>
      <c r="G1887" s="4"/>
      <c r="H1887" s="4"/>
      <c r="I1887" s="18" t="s">
        <v>2473</v>
      </c>
      <c r="J1887" s="18" t="s">
        <v>2473</v>
      </c>
      <c r="K1887" s="18" t="s">
        <v>2473</v>
      </c>
      <c r="L1887" s="18" t="s">
        <v>2336</v>
      </c>
      <c r="AU1887" s="6"/>
      <c r="AV1887" s="6" t="str">
        <f t="shared" si="33"/>
        <v/>
      </c>
    </row>
    <row r="1888" spans="1:48" ht="36" thickBot="1" x14ac:dyDescent="0.5">
      <c r="A1888" s="36" t="s">
        <v>1612</v>
      </c>
      <c r="B1888" s="3" t="s">
        <v>1613</v>
      </c>
      <c r="C1888" s="4"/>
      <c r="D1888" s="4"/>
      <c r="E1888" s="4" t="s">
        <v>10</v>
      </c>
      <c r="F1888" s="4"/>
      <c r="G1888" s="4"/>
      <c r="H1888" s="4"/>
      <c r="I1888" s="18" t="s">
        <v>2473</v>
      </c>
      <c r="J1888" s="18" t="s">
        <v>2473</v>
      </c>
      <c r="K1888" s="18" t="s">
        <v>2473</v>
      </c>
      <c r="L1888" s="18" t="s">
        <v>2336</v>
      </c>
      <c r="AS1888" s="206" t="s">
        <v>5882</v>
      </c>
      <c r="AU1888" s="8"/>
      <c r="AV1888" s="6" t="str">
        <f t="shared" si="33"/>
        <v/>
      </c>
    </row>
    <row r="1889" spans="1:48" ht="14.65" thickBot="1" x14ac:dyDescent="0.5">
      <c r="A1889" s="35" t="s">
        <v>1614</v>
      </c>
      <c r="B1889" s="3" t="s">
        <v>1615</v>
      </c>
      <c r="C1889" s="4"/>
      <c r="D1889" s="4"/>
      <c r="E1889" s="4" t="s">
        <v>10</v>
      </c>
      <c r="F1889" s="4"/>
      <c r="G1889" s="4"/>
      <c r="H1889" s="4"/>
      <c r="I1889" s="18" t="s">
        <v>2473</v>
      </c>
      <c r="J1889" s="18" t="s">
        <v>2473</v>
      </c>
      <c r="K1889" s="18" t="s">
        <v>2473</v>
      </c>
      <c r="L1889" s="18" t="s">
        <v>2336</v>
      </c>
      <c r="AU1889" s="8"/>
      <c r="AV1889" s="6" t="str">
        <f t="shared" si="33"/>
        <v/>
      </c>
    </row>
    <row r="1890" spans="1:48" ht="14.65" thickBot="1" x14ac:dyDescent="0.5">
      <c r="A1890" s="35" t="s">
        <v>1616</v>
      </c>
      <c r="B1890" s="3" t="s">
        <v>1617</v>
      </c>
      <c r="C1890" s="4"/>
      <c r="D1890" s="4"/>
      <c r="E1890" s="4" t="s">
        <v>10</v>
      </c>
      <c r="F1890" s="4"/>
      <c r="G1890" s="4"/>
      <c r="H1890" s="4"/>
      <c r="I1890" s="18" t="s">
        <v>2473</v>
      </c>
      <c r="J1890" s="18" t="s">
        <v>2473</v>
      </c>
      <c r="K1890" s="18" t="s">
        <v>2473</v>
      </c>
      <c r="L1890" s="18" t="s">
        <v>2336</v>
      </c>
      <c r="AU1890" s="6"/>
      <c r="AV1890" s="6" t="str">
        <f t="shared" si="33"/>
        <v/>
      </c>
    </row>
    <row r="1891" spans="1:48" ht="14.65" thickBot="1" x14ac:dyDescent="0.5">
      <c r="A1891" s="35" t="s">
        <v>1618</v>
      </c>
      <c r="B1891" s="3" t="s">
        <v>1619</v>
      </c>
      <c r="C1891" s="4"/>
      <c r="D1891" s="4"/>
      <c r="E1891" s="4" t="s">
        <v>10</v>
      </c>
      <c r="F1891" s="4"/>
      <c r="G1891" s="4"/>
      <c r="H1891" s="4"/>
      <c r="I1891" s="18" t="s">
        <v>2473</v>
      </c>
      <c r="J1891" s="18" t="s">
        <v>2473</v>
      </c>
      <c r="K1891" s="18" t="s">
        <v>2473</v>
      </c>
      <c r="L1891" s="18" t="s">
        <v>2336</v>
      </c>
      <c r="AU1891" s="6"/>
      <c r="AV1891" s="6" t="str">
        <f t="shared" si="33"/>
        <v/>
      </c>
    </row>
    <row r="1892" spans="1:48" ht="14.65" thickBot="1" x14ac:dyDescent="0.5">
      <c r="A1892" s="36" t="s">
        <v>577</v>
      </c>
      <c r="B1892" s="3" t="s">
        <v>578</v>
      </c>
      <c r="C1892" s="4"/>
      <c r="D1892" s="4"/>
      <c r="E1892" s="4" t="s">
        <v>10</v>
      </c>
      <c r="F1892" s="4" t="s">
        <v>13</v>
      </c>
      <c r="G1892" s="4"/>
      <c r="H1892" s="4"/>
      <c r="I1892" s="18" t="s">
        <v>2473</v>
      </c>
      <c r="J1892" s="18" t="s">
        <v>2473</v>
      </c>
      <c r="K1892" s="18" t="s">
        <v>2473</v>
      </c>
      <c r="L1892" s="18" t="s">
        <v>2336</v>
      </c>
      <c r="AU1892" s="6"/>
      <c r="AV1892" s="6" t="str">
        <f t="shared" si="33"/>
        <v/>
      </c>
    </row>
    <row r="1893" spans="1:48" ht="105.75" thickBot="1" x14ac:dyDescent="0.5">
      <c r="A1893" s="36" t="s">
        <v>145</v>
      </c>
      <c r="B1893" s="3" t="s">
        <v>450</v>
      </c>
      <c r="C1893" s="4"/>
      <c r="D1893" s="4"/>
      <c r="E1893" s="4" t="s">
        <v>10</v>
      </c>
      <c r="F1893" s="4"/>
      <c r="G1893" s="4"/>
      <c r="H1893" s="4"/>
      <c r="I1893" s="18" t="s">
        <v>2473</v>
      </c>
      <c r="J1893" s="18" t="s">
        <v>2473</v>
      </c>
      <c r="K1893" s="18" t="s">
        <v>2473</v>
      </c>
      <c r="L1893" s="18" t="s">
        <v>2336</v>
      </c>
      <c r="AS1893" s="206" t="s">
        <v>5861</v>
      </c>
      <c r="AU1893" s="6"/>
      <c r="AV1893" s="6" t="str">
        <f t="shared" si="33"/>
        <v/>
      </c>
    </row>
    <row r="1894" spans="1:48" ht="47.65" thickBot="1" x14ac:dyDescent="0.5">
      <c r="A1894" s="35" t="s">
        <v>5361</v>
      </c>
      <c r="B1894" s="3" t="s">
        <v>5352</v>
      </c>
      <c r="C1894" s="4"/>
      <c r="D1894" s="4"/>
      <c r="E1894" s="4" t="s">
        <v>10</v>
      </c>
      <c r="F1894" s="4"/>
      <c r="G1894" s="4"/>
      <c r="H1894" s="4"/>
      <c r="I1894" s="18" t="s">
        <v>2473</v>
      </c>
      <c r="J1894" s="18" t="s">
        <v>2473</v>
      </c>
      <c r="K1894" s="18" t="s">
        <v>2473</v>
      </c>
      <c r="Q1894" s="131"/>
      <c r="R1894" s="131"/>
      <c r="S1894" s="131"/>
      <c r="T1894" s="131"/>
      <c r="U1894" s="131"/>
      <c r="V1894" s="131"/>
      <c r="W1894" s="131"/>
      <c r="X1894" s="131"/>
      <c r="AS1894" s="139" t="s">
        <v>5355</v>
      </c>
      <c r="AU1894" s="6"/>
      <c r="AV1894" s="6"/>
    </row>
    <row r="1895" spans="1:48" ht="82.5" thickBot="1" x14ac:dyDescent="0.5">
      <c r="A1895" s="35" t="s">
        <v>5360</v>
      </c>
      <c r="B1895" s="3" t="s">
        <v>5353</v>
      </c>
      <c r="C1895" s="4"/>
      <c r="D1895" s="4"/>
      <c r="E1895" s="4"/>
      <c r="F1895" s="4"/>
      <c r="G1895" s="4"/>
      <c r="H1895" s="4"/>
      <c r="I1895" s="18" t="s">
        <v>2473</v>
      </c>
      <c r="J1895" s="18" t="s">
        <v>2473</v>
      </c>
      <c r="K1895" s="18" t="s">
        <v>2473</v>
      </c>
      <c r="Q1895" s="131"/>
      <c r="R1895" s="131"/>
      <c r="S1895" s="131"/>
      <c r="T1895" s="131"/>
      <c r="U1895" s="131"/>
      <c r="V1895" s="131"/>
      <c r="W1895" s="131"/>
      <c r="X1895" s="131"/>
      <c r="AS1895" s="139" t="s">
        <v>5356</v>
      </c>
      <c r="AU1895" s="6"/>
      <c r="AV1895" s="6"/>
    </row>
    <row r="1896" spans="1:48" x14ac:dyDescent="0.45">
      <c r="A1896" s="33" t="s">
        <v>1620</v>
      </c>
      <c r="I1896" s="18" t="s">
        <v>2473</v>
      </c>
      <c r="J1896" s="18" t="s">
        <v>2473</v>
      </c>
      <c r="K1896" s="18" t="s">
        <v>2473</v>
      </c>
      <c r="L1896" s="18" t="s">
        <v>2336</v>
      </c>
      <c r="AU1896" s="6"/>
      <c r="AV1896" s="6" t="str">
        <f t="shared" si="33"/>
        <v/>
      </c>
    </row>
    <row r="1897" spans="1:48" x14ac:dyDescent="0.45">
      <c r="A1897" s="34" t="s">
        <v>1621</v>
      </c>
      <c r="I1897" s="18" t="s">
        <v>2473</v>
      </c>
      <c r="J1897" s="18" t="s">
        <v>2473</v>
      </c>
      <c r="K1897" s="18" t="s">
        <v>2473</v>
      </c>
      <c r="L1897" s="18" t="s">
        <v>2336</v>
      </c>
      <c r="AU1897" s="6"/>
      <c r="AV1897" s="6" t="str">
        <f t="shared" si="33"/>
        <v/>
      </c>
    </row>
    <row r="1898" spans="1:48" s="79" customFormat="1" x14ac:dyDescent="0.45">
      <c r="A1898" s="75"/>
      <c r="B1898" s="76"/>
      <c r="C1898" s="77"/>
      <c r="D1898" s="77"/>
      <c r="E1898" s="77"/>
      <c r="F1898" s="77"/>
      <c r="G1898" s="77"/>
      <c r="H1898" s="77"/>
      <c r="I1898" s="77"/>
      <c r="J1898" s="77"/>
      <c r="K1898" s="77"/>
      <c r="L1898" s="77"/>
      <c r="M1898" s="148"/>
      <c r="N1898" s="78"/>
      <c r="O1898" s="78"/>
      <c r="P1898" s="78"/>
      <c r="Q1898" s="78"/>
      <c r="R1898" s="78"/>
      <c r="S1898" s="78"/>
      <c r="T1898" s="78"/>
      <c r="U1898" s="78"/>
      <c r="V1898" s="78"/>
      <c r="W1898" s="78"/>
      <c r="X1898" s="78"/>
      <c r="Y1898" s="148"/>
      <c r="Z1898" s="78"/>
      <c r="AA1898" s="78"/>
      <c r="AB1898" s="78"/>
      <c r="AC1898" s="78"/>
      <c r="AD1898" s="78"/>
      <c r="AE1898" s="156"/>
      <c r="AF1898" s="156"/>
      <c r="AG1898" s="78"/>
      <c r="AH1898" s="78"/>
      <c r="AI1898" s="78"/>
      <c r="AJ1898" s="78"/>
      <c r="AK1898" s="78"/>
      <c r="AL1898" s="78"/>
      <c r="AM1898" s="78"/>
      <c r="AN1898" s="78"/>
      <c r="AO1898" s="78"/>
      <c r="AP1898" s="78"/>
      <c r="AQ1898" s="78"/>
      <c r="AR1898" s="286"/>
      <c r="AS1898" s="78"/>
      <c r="AT1898" s="78"/>
      <c r="AU1898" s="8"/>
      <c r="AV1898" s="6" t="str">
        <f t="shared" si="33"/>
        <v/>
      </c>
    </row>
    <row r="1899" spans="1:48" x14ac:dyDescent="0.45">
      <c r="A1899" s="27" t="s">
        <v>2444</v>
      </c>
      <c r="I1899" s="18" t="s">
        <v>2473</v>
      </c>
      <c r="J1899" s="18" t="s">
        <v>2473</v>
      </c>
      <c r="K1899" s="18" t="s">
        <v>2473</v>
      </c>
      <c r="L1899" s="18" t="s">
        <v>2336</v>
      </c>
      <c r="AU1899" s="6"/>
      <c r="AV1899" s="6" t="str">
        <f t="shared" si="33"/>
        <v/>
      </c>
    </row>
    <row r="1900" spans="1:48" x14ac:dyDescent="0.45">
      <c r="A1900" s="323" t="s">
        <v>2532</v>
      </c>
      <c r="B1900" s="324"/>
      <c r="C1900" s="324"/>
      <c r="D1900" s="324"/>
      <c r="E1900" s="324"/>
      <c r="F1900" s="324"/>
      <c r="G1900" s="101"/>
      <c r="H1900" s="101"/>
      <c r="I1900" s="18" t="s">
        <v>2473</v>
      </c>
      <c r="J1900" s="18" t="s">
        <v>2473</v>
      </c>
      <c r="K1900" s="18" t="s">
        <v>2473</v>
      </c>
      <c r="L1900" s="18" t="s">
        <v>2336</v>
      </c>
      <c r="AU1900" s="6"/>
      <c r="AV1900" s="6" t="str">
        <f t="shared" si="33"/>
        <v/>
      </c>
    </row>
    <row r="1901" spans="1:48" ht="14.65" thickBot="1" x14ac:dyDescent="0.5">
      <c r="A1901" s="28" t="s">
        <v>1622</v>
      </c>
      <c r="I1901" s="18" t="s">
        <v>2473</v>
      </c>
      <c r="J1901" s="18" t="s">
        <v>2473</v>
      </c>
      <c r="K1901" s="18" t="s">
        <v>2473</v>
      </c>
      <c r="L1901" s="18" t="s">
        <v>2336</v>
      </c>
      <c r="AU1901" s="6"/>
      <c r="AV1901" s="6" t="str">
        <f t="shared" si="33"/>
        <v/>
      </c>
    </row>
    <row r="1902" spans="1:48" ht="14.65" thickBot="1" x14ac:dyDescent="0.5">
      <c r="A1902" s="309" t="s">
        <v>1623</v>
      </c>
      <c r="B1902" s="310"/>
      <c r="C1902" s="301" t="s">
        <v>1</v>
      </c>
      <c r="D1902" s="319"/>
      <c r="E1902" s="319"/>
      <c r="F1902" s="302"/>
      <c r="G1902" s="102"/>
      <c r="H1902" s="102"/>
      <c r="I1902" s="18" t="s">
        <v>2473</v>
      </c>
      <c r="L1902" s="18" t="s">
        <v>2336</v>
      </c>
      <c r="AU1902" s="6"/>
      <c r="AV1902" s="6" t="str">
        <f t="shared" si="33"/>
        <v/>
      </c>
    </row>
    <row r="1903" spans="1:48" ht="14.65" thickBot="1" x14ac:dyDescent="0.5">
      <c r="A1903" s="311"/>
      <c r="B1903" s="312"/>
      <c r="C1903" s="301" t="s">
        <v>2</v>
      </c>
      <c r="D1903" s="302"/>
      <c r="E1903" s="301" t="s">
        <v>3</v>
      </c>
      <c r="F1903" s="302"/>
      <c r="G1903" s="301" t="s">
        <v>2896</v>
      </c>
      <c r="H1903" s="302"/>
      <c r="I1903" s="18" t="s">
        <v>2473</v>
      </c>
      <c r="L1903" s="18" t="s">
        <v>2336</v>
      </c>
      <c r="AU1903" s="6"/>
      <c r="AV1903" s="6" t="str">
        <f t="shared" si="33"/>
        <v/>
      </c>
    </row>
    <row r="1904" spans="1:48" ht="14.65" thickBot="1" x14ac:dyDescent="0.5">
      <c r="A1904" s="30" t="s">
        <v>4</v>
      </c>
      <c r="B1904" s="59" t="s">
        <v>5</v>
      </c>
      <c r="C1904" s="7" t="s">
        <v>6</v>
      </c>
      <c r="D1904" s="7" t="s">
        <v>7</v>
      </c>
      <c r="E1904" s="7" t="s">
        <v>6</v>
      </c>
      <c r="F1904" s="7" t="s">
        <v>7</v>
      </c>
      <c r="G1904" s="7" t="s">
        <v>6</v>
      </c>
      <c r="H1904" s="7" t="s">
        <v>7</v>
      </c>
      <c r="J1904" s="18" t="s">
        <v>2473</v>
      </c>
      <c r="K1904" s="18" t="s">
        <v>2473</v>
      </c>
      <c r="L1904" s="18" t="s">
        <v>2336</v>
      </c>
      <c r="AU1904" s="8"/>
      <c r="AV1904" s="6" t="str">
        <f t="shared" si="33"/>
        <v/>
      </c>
    </row>
    <row r="1905" spans="1:48" ht="23.65" thickBot="1" x14ac:dyDescent="0.5">
      <c r="A1905" s="36" t="s">
        <v>1624</v>
      </c>
      <c r="B1905" s="3" t="s">
        <v>1625</v>
      </c>
      <c r="C1905" s="4"/>
      <c r="D1905" s="4"/>
      <c r="E1905" s="4"/>
      <c r="F1905" s="4"/>
      <c r="G1905" s="4"/>
      <c r="H1905" s="4"/>
      <c r="I1905" s="18" t="s">
        <v>2473</v>
      </c>
      <c r="J1905" s="18" t="s">
        <v>2473</v>
      </c>
      <c r="K1905" s="18" t="s">
        <v>2473</v>
      </c>
      <c r="L1905" s="18" t="s">
        <v>2336</v>
      </c>
      <c r="AU1905" s="6"/>
      <c r="AV1905" s="6" t="str">
        <f t="shared" si="33"/>
        <v/>
      </c>
    </row>
    <row r="1906" spans="1:48" ht="23.65" thickBot="1" x14ac:dyDescent="0.5">
      <c r="A1906" s="36" t="s">
        <v>1626</v>
      </c>
      <c r="B1906" s="3" t="s">
        <v>1627</v>
      </c>
      <c r="C1906" s="4"/>
      <c r="D1906" s="4"/>
      <c r="E1906" s="4"/>
      <c r="F1906" s="4"/>
      <c r="G1906" s="4"/>
      <c r="H1906" s="4"/>
      <c r="I1906" s="18" t="s">
        <v>2473</v>
      </c>
      <c r="J1906" s="18" t="s">
        <v>2473</v>
      </c>
      <c r="K1906" s="18" t="s">
        <v>2473</v>
      </c>
      <c r="L1906" s="18" t="s">
        <v>2336</v>
      </c>
      <c r="AU1906" s="6"/>
      <c r="AV1906" s="6" t="str">
        <f t="shared" si="33"/>
        <v/>
      </c>
    </row>
    <row r="1907" spans="1:48" s="79" customFormat="1" x14ac:dyDescent="0.45">
      <c r="A1907" s="75"/>
      <c r="B1907" s="76"/>
      <c r="C1907" s="77"/>
      <c r="D1907" s="77"/>
      <c r="E1907" s="77"/>
      <c r="F1907" s="77"/>
      <c r="G1907" s="77"/>
      <c r="H1907" s="77"/>
      <c r="I1907" s="77"/>
      <c r="J1907" s="77"/>
      <c r="K1907" s="77"/>
      <c r="L1907" s="77"/>
      <c r="M1907" s="148"/>
      <c r="N1907" s="78"/>
      <c r="O1907" s="78"/>
      <c r="P1907" s="78"/>
      <c r="Q1907" s="78"/>
      <c r="R1907" s="78"/>
      <c r="S1907" s="78"/>
      <c r="T1907" s="78"/>
      <c r="U1907" s="78"/>
      <c r="V1907" s="78"/>
      <c r="W1907" s="78"/>
      <c r="X1907" s="78"/>
      <c r="Y1907" s="148"/>
      <c r="Z1907" s="78"/>
      <c r="AA1907" s="78"/>
      <c r="AB1907" s="78"/>
      <c r="AC1907" s="78"/>
      <c r="AD1907" s="78"/>
      <c r="AE1907" s="156"/>
      <c r="AF1907" s="156"/>
      <c r="AG1907" s="78"/>
      <c r="AH1907" s="78"/>
      <c r="AI1907" s="78"/>
      <c r="AJ1907" s="78"/>
      <c r="AK1907" s="78"/>
      <c r="AL1907" s="78"/>
      <c r="AM1907" s="78"/>
      <c r="AN1907" s="78"/>
      <c r="AO1907" s="78"/>
      <c r="AP1907" s="78"/>
      <c r="AQ1907" s="78"/>
      <c r="AR1907" s="286"/>
      <c r="AS1907" s="78"/>
      <c r="AT1907" s="78"/>
      <c r="AU1907" s="8"/>
      <c r="AV1907" s="6" t="str">
        <f t="shared" si="33"/>
        <v/>
      </c>
    </row>
    <row r="1908" spans="1:48" x14ac:dyDescent="0.45">
      <c r="A1908" s="27" t="s">
        <v>2445</v>
      </c>
      <c r="I1908" s="18" t="s">
        <v>2473</v>
      </c>
      <c r="J1908" s="18" t="s">
        <v>2473</v>
      </c>
      <c r="K1908" s="18" t="s">
        <v>2473</v>
      </c>
      <c r="L1908" s="18" t="s">
        <v>2335</v>
      </c>
      <c r="AU1908" s="6"/>
      <c r="AV1908" s="6" t="str">
        <f t="shared" si="33"/>
        <v/>
      </c>
    </row>
    <row r="1909" spans="1:48" x14ac:dyDescent="0.45">
      <c r="A1909" s="323" t="s">
        <v>2533</v>
      </c>
      <c r="B1909" s="324"/>
      <c r="C1909" s="324"/>
      <c r="D1909" s="324"/>
      <c r="E1909" s="324"/>
      <c r="F1909" s="324"/>
      <c r="G1909" s="101"/>
      <c r="H1909" s="101"/>
      <c r="I1909" s="18" t="s">
        <v>2473</v>
      </c>
      <c r="J1909" s="18" t="s">
        <v>2473</v>
      </c>
      <c r="K1909" s="18" t="s">
        <v>2473</v>
      </c>
      <c r="L1909" s="18" t="s">
        <v>2335</v>
      </c>
      <c r="AU1909" s="6"/>
      <c r="AV1909" s="6" t="str">
        <f t="shared" si="33"/>
        <v/>
      </c>
    </row>
    <row r="1910" spans="1:48" ht="14.65" thickBot="1" x14ac:dyDescent="0.5">
      <c r="A1910" s="28" t="s">
        <v>1628</v>
      </c>
      <c r="I1910" s="18" t="s">
        <v>2473</v>
      </c>
      <c r="J1910" s="18" t="s">
        <v>2473</v>
      </c>
      <c r="K1910" s="18" t="s">
        <v>2473</v>
      </c>
      <c r="L1910" s="18" t="s">
        <v>2335</v>
      </c>
      <c r="AU1910" s="6"/>
      <c r="AV1910" s="6" t="str">
        <f t="shared" si="33"/>
        <v/>
      </c>
    </row>
    <row r="1911" spans="1:48" ht="14.65" thickBot="1" x14ac:dyDescent="0.5">
      <c r="A1911" s="309" t="s">
        <v>1629</v>
      </c>
      <c r="B1911" s="310"/>
      <c r="C1911" s="301" t="s">
        <v>1</v>
      </c>
      <c r="D1911" s="319"/>
      <c r="E1911" s="319"/>
      <c r="F1911" s="302"/>
      <c r="G1911" s="102"/>
      <c r="H1911" s="102"/>
      <c r="I1911" s="18" t="s">
        <v>2473</v>
      </c>
      <c r="J1911" s="18" t="s">
        <v>2473</v>
      </c>
      <c r="K1911" s="18" t="s">
        <v>2473</v>
      </c>
      <c r="L1911" s="18" t="s">
        <v>2335</v>
      </c>
      <c r="AU1911" s="6"/>
      <c r="AV1911" s="6" t="str">
        <f t="shared" si="33"/>
        <v/>
      </c>
    </row>
    <row r="1912" spans="1:48" ht="14.65" thickBot="1" x14ac:dyDescent="0.5">
      <c r="A1912" s="311"/>
      <c r="B1912" s="312"/>
      <c r="C1912" s="301" t="s">
        <v>2</v>
      </c>
      <c r="D1912" s="302"/>
      <c r="E1912" s="301" t="s">
        <v>3</v>
      </c>
      <c r="F1912" s="302"/>
      <c r="G1912" s="301" t="s">
        <v>2896</v>
      </c>
      <c r="H1912" s="302"/>
      <c r="I1912" s="18" t="s">
        <v>2473</v>
      </c>
      <c r="J1912" s="18" t="s">
        <v>2473</v>
      </c>
      <c r="K1912" s="18" t="s">
        <v>2473</v>
      </c>
      <c r="L1912" s="18" t="s">
        <v>2335</v>
      </c>
      <c r="AU1912" s="6"/>
      <c r="AV1912" s="6" t="str">
        <f t="shared" si="33"/>
        <v/>
      </c>
    </row>
    <row r="1913" spans="1:48" ht="14.65" thickBot="1" x14ac:dyDescent="0.5">
      <c r="A1913" s="30" t="s">
        <v>4</v>
      </c>
      <c r="B1913" s="59" t="s">
        <v>5</v>
      </c>
      <c r="C1913" s="7" t="s">
        <v>6</v>
      </c>
      <c r="D1913" s="7" t="s">
        <v>7</v>
      </c>
      <c r="E1913" s="7" t="s">
        <v>6</v>
      </c>
      <c r="F1913" s="7" t="s">
        <v>7</v>
      </c>
      <c r="G1913" s="7" t="s">
        <v>6</v>
      </c>
      <c r="H1913" s="7" t="s">
        <v>7</v>
      </c>
      <c r="I1913" s="18" t="s">
        <v>2473</v>
      </c>
      <c r="J1913" s="18" t="s">
        <v>2473</v>
      </c>
      <c r="K1913" s="18" t="s">
        <v>2473</v>
      </c>
      <c r="L1913" s="18" t="s">
        <v>2335</v>
      </c>
      <c r="AU1913" s="6"/>
      <c r="AV1913" s="6" t="str">
        <f t="shared" si="33"/>
        <v/>
      </c>
    </row>
    <row r="1914" spans="1:48" ht="23.65" thickBot="1" x14ac:dyDescent="0.5">
      <c r="A1914" s="36" t="s">
        <v>1624</v>
      </c>
      <c r="B1914" s="3" t="s">
        <v>1630</v>
      </c>
      <c r="C1914" s="4"/>
      <c r="D1914" s="4"/>
      <c r="E1914" s="4"/>
      <c r="F1914" s="4"/>
      <c r="G1914" s="4"/>
      <c r="H1914" s="4"/>
      <c r="I1914" s="18" t="s">
        <v>2473</v>
      </c>
      <c r="J1914" s="18" t="s">
        <v>2473</v>
      </c>
      <c r="K1914" s="18" t="s">
        <v>2473</v>
      </c>
      <c r="L1914" s="18" t="s">
        <v>2336</v>
      </c>
      <c r="AU1914" s="6"/>
      <c r="AV1914" s="6" t="str">
        <f t="shared" si="33"/>
        <v/>
      </c>
    </row>
    <row r="1915" spans="1:48" ht="23.65" thickBot="1" x14ac:dyDescent="0.5">
      <c r="A1915" s="36" t="s">
        <v>1631</v>
      </c>
      <c r="B1915" s="3" t="s">
        <v>1632</v>
      </c>
      <c r="C1915" s="4"/>
      <c r="D1915" s="4"/>
      <c r="E1915" s="4"/>
      <c r="F1915" s="4"/>
      <c r="G1915" s="4"/>
      <c r="H1915" s="4"/>
      <c r="I1915" s="18" t="s">
        <v>2473</v>
      </c>
      <c r="J1915" s="18" t="s">
        <v>2473</v>
      </c>
      <c r="K1915" s="18" t="s">
        <v>2473</v>
      </c>
      <c r="L1915" s="18" t="s">
        <v>2336</v>
      </c>
      <c r="AU1915" s="6"/>
      <c r="AV1915" s="6" t="str">
        <f t="shared" si="33"/>
        <v/>
      </c>
    </row>
    <row r="1916" spans="1:48" ht="14.65" thickBot="1" x14ac:dyDescent="0.5">
      <c r="A1916" s="35" t="s">
        <v>33</v>
      </c>
      <c r="B1916" s="3" t="s">
        <v>84</v>
      </c>
      <c r="C1916" s="4"/>
      <c r="D1916" s="4"/>
      <c r="E1916" s="4"/>
      <c r="F1916" s="4"/>
      <c r="G1916" s="4"/>
      <c r="H1916" s="4"/>
      <c r="I1916" s="18" t="s">
        <v>2473</v>
      </c>
      <c r="J1916" s="18" t="s">
        <v>2473</v>
      </c>
      <c r="K1916" s="18" t="s">
        <v>2473</v>
      </c>
      <c r="L1916" s="18" t="s">
        <v>2335</v>
      </c>
      <c r="AU1916" s="6"/>
      <c r="AV1916" s="6" t="str">
        <f t="shared" si="33"/>
        <v/>
      </c>
    </row>
    <row r="1917" spans="1:48" ht="23.65" thickBot="1" x14ac:dyDescent="0.5">
      <c r="A1917" s="36" t="s">
        <v>1626</v>
      </c>
      <c r="B1917" s="3" t="s">
        <v>1633</v>
      </c>
      <c r="C1917" s="4"/>
      <c r="D1917" s="4"/>
      <c r="E1917" s="4"/>
      <c r="F1917" s="4"/>
      <c r="G1917" s="4"/>
      <c r="H1917" s="4"/>
      <c r="I1917" s="18" t="s">
        <v>2473</v>
      </c>
      <c r="J1917" s="18" t="s">
        <v>2473</v>
      </c>
      <c r="K1917" s="18" t="s">
        <v>2473</v>
      </c>
      <c r="L1917" s="18" t="s">
        <v>2336</v>
      </c>
      <c r="AU1917" s="6"/>
      <c r="AV1917" s="6" t="str">
        <f t="shared" si="33"/>
        <v/>
      </c>
    </row>
    <row r="1918" spans="1:48" ht="23.65" thickBot="1" x14ac:dyDescent="0.5">
      <c r="A1918" s="36" t="s">
        <v>1634</v>
      </c>
      <c r="B1918" s="3" t="s">
        <v>1635</v>
      </c>
      <c r="C1918" s="4"/>
      <c r="D1918" s="4"/>
      <c r="E1918" s="4"/>
      <c r="F1918" s="4"/>
      <c r="G1918" s="4"/>
      <c r="H1918" s="4"/>
      <c r="I1918" s="18" t="s">
        <v>2473</v>
      </c>
      <c r="J1918" s="18" t="s">
        <v>2473</v>
      </c>
      <c r="K1918" s="18" t="s">
        <v>2473</v>
      </c>
      <c r="L1918" s="18" t="s">
        <v>2336</v>
      </c>
      <c r="AU1918" s="6"/>
      <c r="AV1918" s="6" t="str">
        <f t="shared" si="33"/>
        <v/>
      </c>
    </row>
    <row r="1919" spans="1:48" s="79" customFormat="1" x14ac:dyDescent="0.45">
      <c r="A1919" s="75"/>
      <c r="B1919" s="76"/>
      <c r="C1919" s="77"/>
      <c r="D1919" s="77"/>
      <c r="E1919" s="77"/>
      <c r="F1919" s="77"/>
      <c r="G1919" s="77"/>
      <c r="H1919" s="77"/>
      <c r="I1919" s="77"/>
      <c r="J1919" s="77"/>
      <c r="K1919" s="77"/>
      <c r="L1919" s="77"/>
      <c r="M1919" s="148"/>
      <c r="N1919" s="78"/>
      <c r="O1919" s="78"/>
      <c r="P1919" s="78"/>
      <c r="Q1919" s="78"/>
      <c r="R1919" s="78"/>
      <c r="S1919" s="78"/>
      <c r="T1919" s="78"/>
      <c r="U1919" s="78"/>
      <c r="V1919" s="78"/>
      <c r="W1919" s="78"/>
      <c r="X1919" s="78"/>
      <c r="Y1919" s="148"/>
      <c r="Z1919" s="78"/>
      <c r="AA1919" s="78"/>
      <c r="AB1919" s="78"/>
      <c r="AC1919" s="78"/>
      <c r="AD1919" s="78"/>
      <c r="AE1919" s="156"/>
      <c r="AF1919" s="156"/>
      <c r="AG1919" s="78"/>
      <c r="AH1919" s="78"/>
      <c r="AI1919" s="78"/>
      <c r="AJ1919" s="78"/>
      <c r="AK1919" s="78"/>
      <c r="AL1919" s="78"/>
      <c r="AM1919" s="78"/>
      <c r="AN1919" s="78"/>
      <c r="AO1919" s="78"/>
      <c r="AP1919" s="78"/>
      <c r="AQ1919" s="78"/>
      <c r="AR1919" s="286"/>
      <c r="AS1919" s="78"/>
      <c r="AT1919" s="78"/>
      <c r="AU1919" s="8"/>
      <c r="AV1919" s="6" t="str">
        <f t="shared" si="33"/>
        <v/>
      </c>
    </row>
    <row r="1920" spans="1:48" x14ac:dyDescent="0.45">
      <c r="A1920" s="27" t="s">
        <v>2446</v>
      </c>
      <c r="I1920" s="18" t="s">
        <v>2473</v>
      </c>
      <c r="J1920" s="18" t="s">
        <v>2473</v>
      </c>
      <c r="K1920" s="18" t="s">
        <v>2473</v>
      </c>
      <c r="L1920" s="18" t="s">
        <v>2336</v>
      </c>
      <c r="AU1920" s="6"/>
      <c r="AV1920" s="6" t="str">
        <f t="shared" si="33"/>
        <v/>
      </c>
    </row>
    <row r="1921" spans="1:48" x14ac:dyDescent="0.45">
      <c r="A1921" s="323" t="s">
        <v>2534</v>
      </c>
      <c r="B1921" s="324"/>
      <c r="C1921" s="324"/>
      <c r="D1921" s="324"/>
      <c r="E1921" s="324"/>
      <c r="F1921" s="324"/>
      <c r="G1921" s="101"/>
      <c r="H1921" s="101"/>
      <c r="I1921" s="18" t="s">
        <v>2473</v>
      </c>
      <c r="J1921" s="18" t="s">
        <v>2473</v>
      </c>
      <c r="K1921" s="18" t="s">
        <v>2473</v>
      </c>
      <c r="L1921" s="18" t="s">
        <v>2336</v>
      </c>
      <c r="AU1921" s="6"/>
      <c r="AV1921" s="6" t="str">
        <f t="shared" si="33"/>
        <v/>
      </c>
    </row>
    <row r="1922" spans="1:48" ht="14.65" thickBot="1" x14ac:dyDescent="0.5">
      <c r="A1922" s="28" t="s">
        <v>1636</v>
      </c>
      <c r="I1922" s="18" t="s">
        <v>2473</v>
      </c>
      <c r="J1922" s="18" t="s">
        <v>2473</v>
      </c>
      <c r="K1922" s="18" t="s">
        <v>2473</v>
      </c>
      <c r="L1922" s="18" t="s">
        <v>2336</v>
      </c>
      <c r="AU1922" s="8"/>
      <c r="AV1922" s="6" t="str">
        <f t="shared" si="33"/>
        <v/>
      </c>
    </row>
    <row r="1923" spans="1:48" ht="14.65" thickBot="1" x14ac:dyDescent="0.5">
      <c r="A1923" s="309" t="s">
        <v>1637</v>
      </c>
      <c r="B1923" s="310"/>
      <c r="C1923" s="301" t="s">
        <v>1</v>
      </c>
      <c r="D1923" s="319"/>
      <c r="E1923" s="319"/>
      <c r="F1923" s="302"/>
      <c r="G1923" s="102"/>
      <c r="H1923" s="102"/>
      <c r="I1923" s="18" t="s">
        <v>2473</v>
      </c>
      <c r="J1923" s="18" t="s">
        <v>2473</v>
      </c>
      <c r="K1923" s="18" t="s">
        <v>2473</v>
      </c>
      <c r="L1923" s="18" t="s">
        <v>2336</v>
      </c>
      <c r="AU1923" s="8"/>
      <c r="AV1923" s="6" t="str">
        <f t="shared" si="33"/>
        <v/>
      </c>
    </row>
    <row r="1924" spans="1:48" ht="14.65" thickBot="1" x14ac:dyDescent="0.5">
      <c r="A1924" s="311"/>
      <c r="B1924" s="312"/>
      <c r="C1924" s="301" t="s">
        <v>2</v>
      </c>
      <c r="D1924" s="302"/>
      <c r="E1924" s="301" t="s">
        <v>3</v>
      </c>
      <c r="F1924" s="302"/>
      <c r="G1924" s="301" t="s">
        <v>2896</v>
      </c>
      <c r="H1924" s="302"/>
      <c r="I1924" s="18" t="s">
        <v>2473</v>
      </c>
      <c r="J1924" s="18" t="s">
        <v>2473</v>
      </c>
      <c r="K1924" s="18" t="s">
        <v>2473</v>
      </c>
      <c r="L1924" s="18" t="s">
        <v>2336</v>
      </c>
      <c r="AU1924" s="8"/>
      <c r="AV1924" s="6" t="str">
        <f t="shared" si="33"/>
        <v/>
      </c>
    </row>
    <row r="1925" spans="1:48" ht="14.65" thickBot="1" x14ac:dyDescent="0.5">
      <c r="A1925" s="30" t="s">
        <v>4</v>
      </c>
      <c r="B1925" s="59" t="s">
        <v>5</v>
      </c>
      <c r="C1925" s="7" t="s">
        <v>6</v>
      </c>
      <c r="D1925" s="7" t="s">
        <v>7</v>
      </c>
      <c r="E1925" s="7" t="s">
        <v>6</v>
      </c>
      <c r="F1925" s="7" t="s">
        <v>7</v>
      </c>
      <c r="G1925" s="7" t="s">
        <v>6</v>
      </c>
      <c r="H1925" s="7" t="s">
        <v>7</v>
      </c>
      <c r="I1925" s="18" t="s">
        <v>2473</v>
      </c>
      <c r="J1925" s="18" t="s">
        <v>2473</v>
      </c>
      <c r="K1925" s="18" t="s">
        <v>2473</v>
      </c>
      <c r="L1925" s="18" t="s">
        <v>2336</v>
      </c>
      <c r="AU1925" s="8"/>
      <c r="AV1925" s="6" t="str">
        <f t="shared" ref="AV1925:AV1990" si="34">IF(A1925&lt;&gt;"",IF(T1925&lt;&gt;"",IF(LEFT(R1925,3)="Has",IF(TRIM(A1925)&lt;&gt;T1925,"ERROR","OK"),""),""),"")</f>
        <v/>
      </c>
    </row>
    <row r="1926" spans="1:48" ht="23.65" thickBot="1" x14ac:dyDescent="0.5">
      <c r="A1926" s="36" t="s">
        <v>1638</v>
      </c>
      <c r="B1926" s="3" t="s">
        <v>1639</v>
      </c>
      <c r="C1926" s="4"/>
      <c r="D1926" s="4"/>
      <c r="E1926" s="4"/>
      <c r="F1926" s="4"/>
      <c r="G1926" s="4"/>
      <c r="H1926" s="4"/>
      <c r="I1926" s="18" t="s">
        <v>2473</v>
      </c>
      <c r="J1926" s="18" t="s">
        <v>2473</v>
      </c>
      <c r="K1926" s="18" t="s">
        <v>2473</v>
      </c>
      <c r="L1926" s="18" t="s">
        <v>2336</v>
      </c>
      <c r="AU1926" s="6"/>
      <c r="AV1926" s="6" t="str">
        <f t="shared" si="34"/>
        <v/>
      </c>
    </row>
    <row r="1927" spans="1:48" ht="23.65" thickBot="1" x14ac:dyDescent="0.5">
      <c r="A1927" s="36" t="s">
        <v>1624</v>
      </c>
      <c r="B1927" s="3" t="s">
        <v>1640</v>
      </c>
      <c r="C1927" s="4"/>
      <c r="D1927" s="4"/>
      <c r="E1927" s="4"/>
      <c r="F1927" s="4"/>
      <c r="G1927" s="4"/>
      <c r="H1927" s="4"/>
      <c r="I1927" s="18" t="s">
        <v>2473</v>
      </c>
      <c r="J1927" s="18" t="s">
        <v>2473</v>
      </c>
      <c r="K1927" s="18" t="s">
        <v>2473</v>
      </c>
      <c r="L1927" s="18" t="s">
        <v>2336</v>
      </c>
      <c r="AU1927" s="6"/>
      <c r="AV1927" s="6" t="str">
        <f t="shared" si="34"/>
        <v/>
      </c>
    </row>
    <row r="1928" spans="1:48" ht="23.65" thickBot="1" x14ac:dyDescent="0.5">
      <c r="A1928" s="36" t="s">
        <v>1626</v>
      </c>
      <c r="B1928" s="3" t="s">
        <v>1641</v>
      </c>
      <c r="C1928" s="4"/>
      <c r="D1928" s="4"/>
      <c r="E1928" s="4"/>
      <c r="F1928" s="4"/>
      <c r="G1928" s="4"/>
      <c r="H1928" s="4"/>
      <c r="I1928" s="18" t="s">
        <v>2473</v>
      </c>
      <c r="J1928" s="18" t="s">
        <v>2473</v>
      </c>
      <c r="K1928" s="18" t="s">
        <v>2473</v>
      </c>
      <c r="L1928" s="18" t="s">
        <v>2336</v>
      </c>
      <c r="AU1928" s="6"/>
      <c r="AV1928" s="6" t="str">
        <f t="shared" si="34"/>
        <v/>
      </c>
    </row>
    <row r="1929" spans="1:48" s="79" customFormat="1" x14ac:dyDescent="0.45">
      <c r="A1929" s="75"/>
      <c r="B1929" s="76"/>
      <c r="C1929" s="77"/>
      <c r="D1929" s="77"/>
      <c r="E1929" s="77"/>
      <c r="F1929" s="77"/>
      <c r="G1929" s="77"/>
      <c r="H1929" s="77"/>
      <c r="I1929" s="77"/>
      <c r="J1929" s="77"/>
      <c r="K1929" s="77"/>
      <c r="L1929" s="77"/>
      <c r="M1929" s="148"/>
      <c r="N1929" s="78"/>
      <c r="O1929" s="78"/>
      <c r="P1929" s="78"/>
      <c r="Q1929" s="78"/>
      <c r="R1929" s="78"/>
      <c r="S1929" s="78"/>
      <c r="T1929" s="78"/>
      <c r="U1929" s="78"/>
      <c r="V1929" s="78"/>
      <c r="W1929" s="78"/>
      <c r="X1929" s="78"/>
      <c r="Y1929" s="148"/>
      <c r="Z1929" s="78"/>
      <c r="AA1929" s="78"/>
      <c r="AB1929" s="78"/>
      <c r="AC1929" s="78"/>
      <c r="AD1929" s="78"/>
      <c r="AE1929" s="156"/>
      <c r="AF1929" s="156"/>
      <c r="AG1929" s="78"/>
      <c r="AH1929" s="78"/>
      <c r="AI1929" s="78"/>
      <c r="AJ1929" s="78"/>
      <c r="AK1929" s="78"/>
      <c r="AL1929" s="78"/>
      <c r="AM1929" s="78"/>
      <c r="AN1929" s="78"/>
      <c r="AO1929" s="78"/>
      <c r="AP1929" s="78"/>
      <c r="AQ1929" s="78"/>
      <c r="AR1929" s="286"/>
      <c r="AS1929" s="78"/>
      <c r="AT1929" s="78"/>
      <c r="AU1929" s="8"/>
      <c r="AV1929" s="6" t="str">
        <f t="shared" si="34"/>
        <v/>
      </c>
    </row>
    <row r="1930" spans="1:48" x14ac:dyDescent="0.45">
      <c r="A1930" s="27" t="s">
        <v>2447</v>
      </c>
      <c r="I1930" s="18" t="s">
        <v>2473</v>
      </c>
      <c r="AU1930" s="6"/>
      <c r="AV1930" s="6" t="str">
        <f t="shared" si="34"/>
        <v/>
      </c>
    </row>
    <row r="1931" spans="1:48" x14ac:dyDescent="0.45">
      <c r="A1931" s="323" t="s">
        <v>2535</v>
      </c>
      <c r="B1931" s="324"/>
      <c r="C1931" s="324"/>
      <c r="D1931" s="324"/>
      <c r="E1931" s="324"/>
      <c r="F1931" s="324"/>
      <c r="G1931" s="101"/>
      <c r="H1931" s="101"/>
      <c r="I1931" s="18" t="s">
        <v>2473</v>
      </c>
      <c r="L1931" s="18" t="s">
        <v>2335</v>
      </c>
      <c r="AU1931" s="6"/>
      <c r="AV1931" s="6" t="str">
        <f t="shared" si="34"/>
        <v/>
      </c>
    </row>
    <row r="1932" spans="1:48" ht="14.65" thickBot="1" x14ac:dyDescent="0.5">
      <c r="A1932" s="28" t="s">
        <v>1642</v>
      </c>
      <c r="I1932" s="18" t="s">
        <v>2473</v>
      </c>
      <c r="L1932" s="18" t="s">
        <v>2335</v>
      </c>
      <c r="AU1932" s="6"/>
      <c r="AV1932" s="6" t="str">
        <f t="shared" si="34"/>
        <v/>
      </c>
    </row>
    <row r="1933" spans="1:48" ht="14.65" thickBot="1" x14ac:dyDescent="0.5">
      <c r="A1933" s="309" t="s">
        <v>1643</v>
      </c>
      <c r="B1933" s="310"/>
      <c r="C1933" s="301" t="s">
        <v>1</v>
      </c>
      <c r="D1933" s="319"/>
      <c r="E1933" s="319"/>
      <c r="F1933" s="302"/>
      <c r="G1933" s="102"/>
      <c r="H1933" s="102"/>
      <c r="I1933" s="18" t="s">
        <v>2473</v>
      </c>
      <c r="L1933" s="18" t="s">
        <v>2335</v>
      </c>
      <c r="AU1933" s="6"/>
      <c r="AV1933" s="6" t="str">
        <f t="shared" si="34"/>
        <v/>
      </c>
    </row>
    <row r="1934" spans="1:48" ht="14.65" thickBot="1" x14ac:dyDescent="0.5">
      <c r="A1934" s="311"/>
      <c r="B1934" s="312"/>
      <c r="C1934" s="301" t="s">
        <v>2</v>
      </c>
      <c r="D1934" s="302"/>
      <c r="E1934" s="301" t="s">
        <v>3</v>
      </c>
      <c r="F1934" s="302"/>
      <c r="G1934" s="301" t="s">
        <v>2896</v>
      </c>
      <c r="H1934" s="302"/>
      <c r="I1934" s="18" t="s">
        <v>2473</v>
      </c>
      <c r="L1934" s="18" t="s">
        <v>2335</v>
      </c>
      <c r="AU1934" s="6"/>
      <c r="AV1934" s="6" t="str">
        <f t="shared" si="34"/>
        <v/>
      </c>
    </row>
    <row r="1935" spans="1:48" ht="14.65" thickBot="1" x14ac:dyDescent="0.5">
      <c r="A1935" s="30" t="s">
        <v>4</v>
      </c>
      <c r="B1935" s="59" t="s">
        <v>5</v>
      </c>
      <c r="C1935" s="7" t="s">
        <v>6</v>
      </c>
      <c r="D1935" s="7" t="s">
        <v>7</v>
      </c>
      <c r="E1935" s="7" t="s">
        <v>6</v>
      </c>
      <c r="F1935" s="7" t="s">
        <v>7</v>
      </c>
      <c r="G1935" s="7" t="s">
        <v>6</v>
      </c>
      <c r="H1935" s="7" t="s">
        <v>7</v>
      </c>
      <c r="I1935" s="18" t="s">
        <v>2473</v>
      </c>
      <c r="L1935" s="18" t="s">
        <v>2335</v>
      </c>
      <c r="AU1935" s="6"/>
      <c r="AV1935" s="6" t="str">
        <f t="shared" si="34"/>
        <v/>
      </c>
    </row>
    <row r="1936" spans="1:48" ht="14.65" thickBot="1" x14ac:dyDescent="0.5">
      <c r="A1936" s="36" t="s">
        <v>1113</v>
      </c>
      <c r="B1936" s="3" t="s">
        <v>84</v>
      </c>
      <c r="C1936" s="4"/>
      <c r="D1936" s="4"/>
      <c r="E1936" s="4"/>
      <c r="F1936" s="4"/>
      <c r="G1936" s="4"/>
      <c r="H1936" s="4"/>
      <c r="I1936" s="18" t="s">
        <v>2473</v>
      </c>
      <c r="L1936" s="18" t="s">
        <v>2335</v>
      </c>
      <c r="AU1936" s="6"/>
      <c r="AV1936" s="6" t="str">
        <f t="shared" si="34"/>
        <v/>
      </c>
    </row>
    <row r="1937" spans="1:48" ht="14.65" thickBot="1" x14ac:dyDescent="0.5">
      <c r="A1937" s="36" t="s">
        <v>8</v>
      </c>
      <c r="B1937" s="3" t="s">
        <v>9</v>
      </c>
      <c r="C1937" s="4"/>
      <c r="D1937" s="4"/>
      <c r="E1937" s="4"/>
      <c r="F1937" s="4"/>
      <c r="G1937" s="4"/>
      <c r="H1937" s="4"/>
      <c r="I1937" s="18" t="s">
        <v>2473</v>
      </c>
      <c r="L1937" s="18" t="s">
        <v>2335</v>
      </c>
      <c r="AU1937" s="6"/>
      <c r="AV1937" s="6" t="str">
        <f t="shared" si="34"/>
        <v/>
      </c>
    </row>
    <row r="1938" spans="1:48" ht="23.65" thickBot="1" x14ac:dyDescent="0.5">
      <c r="A1938" s="36" t="s">
        <v>1644</v>
      </c>
      <c r="B1938" s="3" t="s">
        <v>1645</v>
      </c>
      <c r="C1938" s="4"/>
      <c r="D1938" s="4"/>
      <c r="E1938" s="4"/>
      <c r="F1938" s="4"/>
      <c r="G1938" s="4"/>
      <c r="H1938" s="4"/>
      <c r="I1938" s="18" t="s">
        <v>2473</v>
      </c>
      <c r="AU1938" s="6"/>
      <c r="AV1938" s="6" t="str">
        <f t="shared" si="34"/>
        <v/>
      </c>
    </row>
    <row r="1939" spans="1:48" ht="14.65" thickBot="1" x14ac:dyDescent="0.5">
      <c r="A1939" s="36" t="s">
        <v>1646</v>
      </c>
      <c r="B1939" s="3" t="s">
        <v>462</v>
      </c>
      <c r="C1939" s="4"/>
      <c r="D1939" s="4"/>
      <c r="E1939" s="4"/>
      <c r="F1939" s="4"/>
      <c r="G1939" s="4"/>
      <c r="H1939" s="4"/>
      <c r="I1939" s="18" t="s">
        <v>2473</v>
      </c>
      <c r="AU1939" s="6"/>
      <c r="AV1939" s="6" t="str">
        <f t="shared" si="34"/>
        <v/>
      </c>
    </row>
    <row r="1940" spans="1:48" ht="14.65" thickBot="1" x14ac:dyDescent="0.5">
      <c r="A1940" s="36" t="s">
        <v>1647</v>
      </c>
      <c r="B1940" s="3" t="s">
        <v>1648</v>
      </c>
      <c r="C1940" s="4"/>
      <c r="D1940" s="4"/>
      <c r="E1940" s="4"/>
      <c r="F1940" s="4"/>
      <c r="G1940" s="4"/>
      <c r="H1940" s="4"/>
      <c r="I1940" s="18" t="s">
        <v>2473</v>
      </c>
      <c r="AU1940" s="6"/>
      <c r="AV1940" s="6" t="str">
        <f t="shared" si="34"/>
        <v/>
      </c>
    </row>
    <row r="1941" spans="1:48" ht="14.65" thickBot="1" x14ac:dyDescent="0.5">
      <c r="A1941" s="36" t="s">
        <v>1649</v>
      </c>
      <c r="B1941" s="3" t="s">
        <v>1650</v>
      </c>
      <c r="C1941" s="4"/>
      <c r="D1941" s="4"/>
      <c r="E1941" s="4"/>
      <c r="F1941" s="4"/>
      <c r="G1941" s="4"/>
      <c r="H1941" s="4"/>
      <c r="I1941" s="18" t="s">
        <v>2473</v>
      </c>
      <c r="AU1941" s="6"/>
      <c r="AV1941" s="6" t="str">
        <f t="shared" si="34"/>
        <v/>
      </c>
    </row>
    <row r="1942" spans="1:48" ht="14.65" thickBot="1" x14ac:dyDescent="0.5">
      <c r="A1942" s="36" t="s">
        <v>820</v>
      </c>
      <c r="B1942" s="3" t="s">
        <v>425</v>
      </c>
      <c r="C1942" s="4"/>
      <c r="D1942" s="4"/>
      <c r="E1942" s="4"/>
      <c r="F1942" s="4"/>
      <c r="G1942" s="4"/>
      <c r="H1942" s="4"/>
      <c r="I1942" s="18" t="s">
        <v>2473</v>
      </c>
      <c r="AU1942" s="6"/>
      <c r="AV1942" s="6" t="str">
        <f t="shared" si="34"/>
        <v/>
      </c>
    </row>
    <row r="1943" spans="1:48" ht="23.65" thickBot="1" x14ac:dyDescent="0.5">
      <c r="A1943" s="36" t="s">
        <v>753</v>
      </c>
      <c r="B1943" s="3" t="s">
        <v>1121</v>
      </c>
      <c r="C1943" s="4"/>
      <c r="D1943" s="4"/>
      <c r="E1943" s="4"/>
      <c r="F1943" s="4"/>
      <c r="G1943" s="4"/>
      <c r="H1943" s="4"/>
      <c r="I1943" s="18" t="s">
        <v>2473</v>
      </c>
      <c r="AU1943" s="6"/>
      <c r="AV1943" s="6" t="str">
        <f t="shared" si="34"/>
        <v/>
      </c>
    </row>
    <row r="1944" spans="1:48" ht="14.65" thickBot="1" x14ac:dyDescent="0.5">
      <c r="A1944" s="36" t="s">
        <v>1651</v>
      </c>
      <c r="B1944" s="3" t="s">
        <v>1652</v>
      </c>
      <c r="C1944" s="4"/>
      <c r="D1944" s="4"/>
      <c r="E1944" s="4"/>
      <c r="F1944" s="4"/>
      <c r="G1944" s="4"/>
      <c r="H1944" s="4"/>
      <c r="I1944" s="18" t="s">
        <v>2473</v>
      </c>
      <c r="AU1944" s="6"/>
      <c r="AV1944" s="6" t="str">
        <f t="shared" si="34"/>
        <v/>
      </c>
    </row>
    <row r="1945" spans="1:48" ht="14.65" thickBot="1" x14ac:dyDescent="0.5">
      <c r="A1945" s="36" t="s">
        <v>1653</v>
      </c>
      <c r="B1945" s="3" t="s">
        <v>1654</v>
      </c>
      <c r="C1945" s="4"/>
      <c r="D1945" s="4"/>
      <c r="E1945" s="4"/>
      <c r="F1945" s="4"/>
      <c r="G1945" s="4"/>
      <c r="H1945" s="4"/>
      <c r="I1945" s="18" t="s">
        <v>2473</v>
      </c>
      <c r="AU1945" s="6"/>
      <c r="AV1945" s="6" t="str">
        <f t="shared" si="34"/>
        <v/>
      </c>
    </row>
    <row r="1946" spans="1:48" ht="14.65" thickBot="1" x14ac:dyDescent="0.5">
      <c r="A1946" s="35" t="s">
        <v>33</v>
      </c>
      <c r="B1946" s="3" t="s">
        <v>84</v>
      </c>
      <c r="C1946" s="4"/>
      <c r="D1946" s="4"/>
      <c r="E1946" s="4"/>
      <c r="F1946" s="4"/>
      <c r="G1946" s="4"/>
      <c r="H1946" s="2"/>
      <c r="I1946" s="18" t="s">
        <v>2473</v>
      </c>
      <c r="AU1946" s="6"/>
      <c r="AV1946" s="6" t="str">
        <f t="shared" si="34"/>
        <v/>
      </c>
    </row>
    <row r="1947" spans="1:48" ht="14.65" thickBot="1" x14ac:dyDescent="0.5">
      <c r="A1947" s="35" t="s">
        <v>1655</v>
      </c>
      <c r="B1947" s="3" t="s">
        <v>1174</v>
      </c>
      <c r="C1947" s="4"/>
      <c r="D1947" s="4"/>
      <c r="E1947" s="4"/>
      <c r="F1947" s="4"/>
      <c r="G1947" s="4"/>
      <c r="H1947" s="2"/>
      <c r="I1947" s="18" t="s">
        <v>2473</v>
      </c>
      <c r="AU1947" s="6"/>
      <c r="AV1947" s="6" t="str">
        <f t="shared" si="34"/>
        <v/>
      </c>
    </row>
    <row r="1948" spans="1:48" ht="47.65" thickBot="1" x14ac:dyDescent="0.5">
      <c r="A1948" s="36" t="s">
        <v>145</v>
      </c>
      <c r="B1948" s="3" t="s">
        <v>450</v>
      </c>
      <c r="C1948" s="4"/>
      <c r="D1948" s="4"/>
      <c r="E1948" s="4"/>
      <c r="F1948" s="4"/>
      <c r="G1948" s="4"/>
      <c r="H1948" s="4"/>
      <c r="I1948" s="18" t="s">
        <v>2473</v>
      </c>
      <c r="AS1948" s="139" t="s">
        <v>5364</v>
      </c>
      <c r="AU1948" s="6"/>
      <c r="AV1948" s="6" t="str">
        <f t="shared" si="34"/>
        <v/>
      </c>
    </row>
    <row r="1949" spans="1:48" ht="47.65" thickBot="1" x14ac:dyDescent="0.5">
      <c r="A1949" s="35" t="s">
        <v>5361</v>
      </c>
      <c r="B1949" s="3" t="s">
        <v>5352</v>
      </c>
      <c r="C1949" s="4"/>
      <c r="D1949" s="4"/>
      <c r="E1949" s="4"/>
      <c r="F1949" s="4"/>
      <c r="G1949" s="4"/>
      <c r="H1949" s="4"/>
      <c r="I1949" s="18" t="s">
        <v>2473</v>
      </c>
      <c r="Q1949" s="131"/>
      <c r="R1949" s="131"/>
      <c r="S1949" s="131"/>
      <c r="T1949" s="131"/>
      <c r="U1949" s="131"/>
      <c r="V1949" s="131"/>
      <c r="W1949" s="131"/>
      <c r="X1949" s="131"/>
      <c r="AS1949" s="139" t="s">
        <v>5364</v>
      </c>
      <c r="AU1949" s="6"/>
      <c r="AV1949" s="6"/>
    </row>
    <row r="1950" spans="1:48" ht="47.65" thickBot="1" x14ac:dyDescent="0.5">
      <c r="A1950" s="35" t="s">
        <v>5360</v>
      </c>
      <c r="B1950" s="3" t="s">
        <v>5353</v>
      </c>
      <c r="C1950" s="4"/>
      <c r="D1950" s="4"/>
      <c r="E1950" s="4"/>
      <c r="F1950" s="4"/>
      <c r="G1950" s="4"/>
      <c r="H1950" s="4"/>
      <c r="I1950" s="18" t="s">
        <v>2473</v>
      </c>
      <c r="Q1950" s="131"/>
      <c r="R1950" s="131"/>
      <c r="S1950" s="131"/>
      <c r="T1950" s="131"/>
      <c r="U1950" s="131"/>
      <c r="V1950" s="131"/>
      <c r="W1950" s="131"/>
      <c r="X1950" s="131"/>
      <c r="AS1950" s="139" t="s">
        <v>5364</v>
      </c>
      <c r="AU1950" s="6"/>
      <c r="AV1950" s="6"/>
    </row>
    <row r="1951" spans="1:48" s="79" customFormat="1" x14ac:dyDescent="0.45">
      <c r="A1951" s="75"/>
      <c r="B1951" s="76"/>
      <c r="C1951" s="77"/>
      <c r="D1951" s="77"/>
      <c r="E1951" s="77"/>
      <c r="F1951" s="77"/>
      <c r="G1951" s="77"/>
      <c r="H1951" s="77"/>
      <c r="I1951" s="77"/>
      <c r="J1951" s="77"/>
      <c r="K1951" s="77"/>
      <c r="L1951" s="77"/>
      <c r="M1951" s="148"/>
      <c r="N1951" s="78"/>
      <c r="O1951" s="78"/>
      <c r="P1951" s="78"/>
      <c r="Q1951" s="78"/>
      <c r="R1951" s="78"/>
      <c r="S1951" s="78"/>
      <c r="T1951" s="78"/>
      <c r="U1951" s="78"/>
      <c r="V1951" s="78"/>
      <c r="W1951" s="78"/>
      <c r="X1951" s="78"/>
      <c r="Y1951" s="148"/>
      <c r="Z1951" s="78"/>
      <c r="AA1951" s="78"/>
      <c r="AB1951" s="78"/>
      <c r="AC1951" s="78"/>
      <c r="AD1951" s="78"/>
      <c r="AE1951" s="156"/>
      <c r="AF1951" s="156"/>
      <c r="AG1951" s="78"/>
      <c r="AH1951" s="78"/>
      <c r="AI1951" s="78"/>
      <c r="AJ1951" s="78"/>
      <c r="AK1951" s="78"/>
      <c r="AL1951" s="78"/>
      <c r="AM1951" s="78"/>
      <c r="AN1951" s="78"/>
      <c r="AO1951" s="78"/>
      <c r="AP1951" s="78"/>
      <c r="AQ1951" s="78"/>
      <c r="AR1951" s="286"/>
      <c r="AS1951" s="78"/>
      <c r="AT1951" s="78"/>
      <c r="AU1951" s="8"/>
      <c r="AV1951" s="6" t="str">
        <f t="shared" si="34"/>
        <v/>
      </c>
    </row>
    <row r="1952" spans="1:48" x14ac:dyDescent="0.45">
      <c r="A1952" s="27" t="s">
        <v>2448</v>
      </c>
      <c r="I1952" s="18" t="s">
        <v>2473</v>
      </c>
      <c r="J1952" s="18" t="s">
        <v>2473</v>
      </c>
      <c r="K1952" s="18" t="s">
        <v>2473</v>
      </c>
      <c r="L1952" s="18" t="s">
        <v>2336</v>
      </c>
      <c r="AU1952" s="6"/>
      <c r="AV1952" s="6" t="str">
        <f t="shared" si="34"/>
        <v/>
      </c>
    </row>
    <row r="1953" spans="1:48" x14ac:dyDescent="0.45">
      <c r="A1953" s="323" t="s">
        <v>2536</v>
      </c>
      <c r="B1953" s="324"/>
      <c r="C1953" s="324"/>
      <c r="D1953" s="324"/>
      <c r="E1953" s="324"/>
      <c r="F1953" s="324"/>
      <c r="G1953" s="101"/>
      <c r="H1953" s="101"/>
      <c r="I1953" s="18" t="s">
        <v>2473</v>
      </c>
      <c r="J1953" s="18" t="s">
        <v>2473</v>
      </c>
      <c r="K1953" s="18" t="s">
        <v>2473</v>
      </c>
      <c r="L1953" s="18" t="s">
        <v>2336</v>
      </c>
      <c r="AU1953" s="6"/>
      <c r="AV1953" s="6" t="str">
        <f t="shared" si="34"/>
        <v/>
      </c>
    </row>
    <row r="1954" spans="1:48" ht="14.65" thickBot="1" x14ac:dyDescent="0.5">
      <c r="A1954" s="28" t="s">
        <v>1656</v>
      </c>
      <c r="I1954" s="18" t="s">
        <v>2473</v>
      </c>
      <c r="J1954" s="18" t="s">
        <v>2473</v>
      </c>
      <c r="K1954" s="18" t="s">
        <v>2473</v>
      </c>
      <c r="L1954" s="18" t="s">
        <v>2336</v>
      </c>
      <c r="AU1954" s="6"/>
      <c r="AV1954" s="6" t="str">
        <f t="shared" si="34"/>
        <v/>
      </c>
    </row>
    <row r="1955" spans="1:48" ht="14.65" thickBot="1" x14ac:dyDescent="0.5">
      <c r="A1955" s="309" t="s">
        <v>742</v>
      </c>
      <c r="B1955" s="310"/>
      <c r="C1955" s="301" t="s">
        <v>1</v>
      </c>
      <c r="D1955" s="319"/>
      <c r="E1955" s="319"/>
      <c r="F1955" s="302"/>
      <c r="G1955" s="102"/>
      <c r="H1955" s="102"/>
      <c r="I1955" s="18" t="s">
        <v>2473</v>
      </c>
      <c r="L1955" s="18" t="s">
        <v>2336</v>
      </c>
      <c r="AU1955" s="6"/>
      <c r="AV1955" s="6" t="str">
        <f t="shared" si="34"/>
        <v/>
      </c>
    </row>
    <row r="1956" spans="1:48" ht="14.65" thickBot="1" x14ac:dyDescent="0.5">
      <c r="A1956" s="311"/>
      <c r="B1956" s="312"/>
      <c r="C1956" s="301" t="s">
        <v>2</v>
      </c>
      <c r="D1956" s="302"/>
      <c r="E1956" s="301" t="s">
        <v>3</v>
      </c>
      <c r="F1956" s="302"/>
      <c r="G1956" s="301" t="s">
        <v>2896</v>
      </c>
      <c r="H1956" s="302"/>
      <c r="I1956" s="18" t="s">
        <v>2473</v>
      </c>
      <c r="L1956" s="18" t="s">
        <v>2336</v>
      </c>
      <c r="AU1956" s="6"/>
      <c r="AV1956" s="6" t="str">
        <f t="shared" si="34"/>
        <v/>
      </c>
    </row>
    <row r="1957" spans="1:48" ht="14.65" thickBot="1" x14ac:dyDescent="0.5">
      <c r="A1957" s="309" t="s">
        <v>742</v>
      </c>
      <c r="B1957" s="310"/>
      <c r="C1957" s="301" t="s">
        <v>1</v>
      </c>
      <c r="D1957" s="319"/>
      <c r="E1957" s="319"/>
      <c r="F1957" s="302"/>
      <c r="G1957" s="102"/>
      <c r="H1957" s="102"/>
      <c r="J1957" s="18" t="s">
        <v>2473</v>
      </c>
      <c r="K1957" s="18" t="s">
        <v>2473</v>
      </c>
      <c r="L1957" s="18" t="s">
        <v>2336</v>
      </c>
      <c r="AU1957" s="6"/>
      <c r="AV1957" s="6" t="str">
        <f t="shared" si="34"/>
        <v/>
      </c>
    </row>
    <row r="1958" spans="1:48" ht="14.65" thickBot="1" x14ac:dyDescent="0.5">
      <c r="A1958" s="311"/>
      <c r="B1958" s="312"/>
      <c r="C1958" s="301" t="s">
        <v>2</v>
      </c>
      <c r="D1958" s="302"/>
      <c r="E1958" s="301" t="s">
        <v>3</v>
      </c>
      <c r="F1958" s="302"/>
      <c r="G1958" s="301" t="s">
        <v>2896</v>
      </c>
      <c r="H1958" s="302"/>
      <c r="J1958" s="18" t="s">
        <v>2473</v>
      </c>
      <c r="K1958" s="18" t="s">
        <v>2473</v>
      </c>
      <c r="L1958" s="18" t="s">
        <v>2336</v>
      </c>
      <c r="AU1958" s="6"/>
      <c r="AV1958" s="6" t="str">
        <f t="shared" si="34"/>
        <v/>
      </c>
    </row>
    <row r="1959" spans="1:48" ht="14.65" thickBot="1" x14ac:dyDescent="0.5">
      <c r="A1959" s="30" t="s">
        <v>4</v>
      </c>
      <c r="B1959" s="59" t="s">
        <v>5</v>
      </c>
      <c r="C1959" s="7" t="s">
        <v>6</v>
      </c>
      <c r="D1959" s="7" t="s">
        <v>7</v>
      </c>
      <c r="E1959" s="7" t="s">
        <v>6</v>
      </c>
      <c r="F1959" s="7" t="s">
        <v>7</v>
      </c>
      <c r="G1959" s="7" t="s">
        <v>6</v>
      </c>
      <c r="H1959" s="7" t="s">
        <v>7</v>
      </c>
      <c r="I1959" s="18" t="s">
        <v>2473</v>
      </c>
      <c r="J1959" s="18" t="s">
        <v>2473</v>
      </c>
      <c r="K1959" s="18" t="s">
        <v>2473</v>
      </c>
      <c r="L1959" s="18" t="s">
        <v>2336</v>
      </c>
      <c r="AU1959" s="6"/>
      <c r="AV1959" s="6" t="str">
        <f t="shared" si="34"/>
        <v/>
      </c>
    </row>
    <row r="1960" spans="1:48" ht="23.65" thickBot="1" x14ac:dyDescent="0.5">
      <c r="A1960" s="36" t="s">
        <v>1657</v>
      </c>
      <c r="B1960" s="3" t="s">
        <v>1658</v>
      </c>
      <c r="C1960" s="4"/>
      <c r="D1960" s="4"/>
      <c r="E1960" s="4"/>
      <c r="F1960" s="4"/>
      <c r="G1960" s="4"/>
      <c r="H1960" s="4"/>
      <c r="I1960" s="18" t="s">
        <v>2473</v>
      </c>
      <c r="J1960" s="18" t="s">
        <v>2473</v>
      </c>
      <c r="K1960" s="18" t="s">
        <v>2473</v>
      </c>
      <c r="L1960" s="18" t="s">
        <v>2336</v>
      </c>
      <c r="AU1960" s="6"/>
      <c r="AV1960" s="6" t="str">
        <f t="shared" si="34"/>
        <v/>
      </c>
    </row>
    <row r="1961" spans="1:48" ht="23.65" thickBot="1" x14ac:dyDescent="0.5">
      <c r="A1961" s="36" t="s">
        <v>1659</v>
      </c>
      <c r="B1961" s="3" t="s">
        <v>1660</v>
      </c>
      <c r="C1961" s="4"/>
      <c r="D1961" s="4"/>
      <c r="E1961" s="4"/>
      <c r="F1961" s="4"/>
      <c r="G1961" s="4"/>
      <c r="H1961" s="4"/>
      <c r="I1961" s="18" t="s">
        <v>2473</v>
      </c>
      <c r="J1961" s="18" t="s">
        <v>2473</v>
      </c>
      <c r="K1961" s="18" t="s">
        <v>2473</v>
      </c>
      <c r="L1961" s="18" t="s">
        <v>2336</v>
      </c>
      <c r="AU1961" s="6"/>
      <c r="AV1961" s="6" t="str">
        <f t="shared" si="34"/>
        <v/>
      </c>
    </row>
    <row r="1962" spans="1:48" ht="14.65" thickBot="1" x14ac:dyDescent="0.5">
      <c r="A1962" s="36" t="s">
        <v>1661</v>
      </c>
      <c r="B1962" s="3" t="s">
        <v>1662</v>
      </c>
      <c r="C1962" s="4"/>
      <c r="D1962" s="4"/>
      <c r="E1962" s="4"/>
      <c r="F1962" s="4"/>
      <c r="G1962" s="4"/>
      <c r="H1962" s="4"/>
      <c r="I1962" s="18" t="s">
        <v>2473</v>
      </c>
      <c r="J1962" s="18" t="s">
        <v>2473</v>
      </c>
      <c r="K1962" s="18" t="s">
        <v>2473</v>
      </c>
      <c r="L1962" s="18" t="s">
        <v>2336</v>
      </c>
      <c r="AU1962" s="6"/>
      <c r="AV1962" s="6" t="str">
        <f t="shared" si="34"/>
        <v/>
      </c>
    </row>
    <row r="1963" spans="1:48" ht="14.65" thickBot="1" x14ac:dyDescent="0.5">
      <c r="A1963" s="36" t="s">
        <v>1663</v>
      </c>
      <c r="B1963" s="3" t="s">
        <v>1664</v>
      </c>
      <c r="C1963" s="4"/>
      <c r="D1963" s="4"/>
      <c r="E1963" s="4"/>
      <c r="F1963" s="4"/>
      <c r="G1963" s="4"/>
      <c r="H1963" s="4"/>
      <c r="I1963" s="18" t="s">
        <v>2473</v>
      </c>
      <c r="J1963" s="18" t="s">
        <v>2473</v>
      </c>
      <c r="K1963" s="18" t="s">
        <v>2473</v>
      </c>
      <c r="L1963" s="18" t="s">
        <v>2336</v>
      </c>
      <c r="AU1963" s="6"/>
      <c r="AV1963" s="6" t="str">
        <f t="shared" si="34"/>
        <v/>
      </c>
    </row>
    <row r="1964" spans="1:48" ht="14.65" thickBot="1" x14ac:dyDescent="0.5">
      <c r="A1964" s="36" t="s">
        <v>1665</v>
      </c>
      <c r="B1964" s="3" t="s">
        <v>1666</v>
      </c>
      <c r="C1964" s="4"/>
      <c r="D1964" s="4"/>
      <c r="E1964" s="4"/>
      <c r="F1964" s="4"/>
      <c r="G1964" s="4"/>
      <c r="H1964" s="4"/>
      <c r="I1964" s="18" t="s">
        <v>2473</v>
      </c>
      <c r="J1964" s="18" t="s">
        <v>2473</v>
      </c>
      <c r="K1964" s="18" t="s">
        <v>2473</v>
      </c>
      <c r="L1964" s="18" t="s">
        <v>2336</v>
      </c>
      <c r="AU1964" s="6"/>
      <c r="AV1964" s="6" t="str">
        <f t="shared" si="34"/>
        <v/>
      </c>
    </row>
    <row r="1965" spans="1:48" ht="14.65" thickBot="1" x14ac:dyDescent="0.5">
      <c r="A1965" s="36" t="s">
        <v>1667</v>
      </c>
      <c r="B1965" s="3" t="s">
        <v>1668</v>
      </c>
      <c r="C1965" s="4"/>
      <c r="D1965" s="4"/>
      <c r="E1965" s="4"/>
      <c r="F1965" s="4"/>
      <c r="G1965" s="4"/>
      <c r="H1965" s="4"/>
      <c r="I1965" s="18" t="s">
        <v>2473</v>
      </c>
      <c r="J1965" s="18" t="s">
        <v>2473</v>
      </c>
      <c r="K1965" s="18" t="s">
        <v>2473</v>
      </c>
      <c r="L1965" s="18" t="s">
        <v>2336</v>
      </c>
      <c r="AU1965" s="6"/>
      <c r="AV1965" s="6" t="str">
        <f t="shared" si="34"/>
        <v/>
      </c>
    </row>
    <row r="1966" spans="1:48" ht="14.65" thickBot="1" x14ac:dyDescent="0.5">
      <c r="A1966" s="36" t="s">
        <v>1669</v>
      </c>
      <c r="B1966" s="3" t="s">
        <v>1670</v>
      </c>
      <c r="C1966" s="4"/>
      <c r="D1966" s="4"/>
      <c r="E1966" s="4"/>
      <c r="F1966" s="4"/>
      <c r="G1966" s="4"/>
      <c r="H1966" s="4"/>
      <c r="I1966" s="18" t="s">
        <v>2473</v>
      </c>
      <c r="J1966" s="18" t="s">
        <v>2473</v>
      </c>
      <c r="K1966" s="18" t="s">
        <v>2473</v>
      </c>
      <c r="L1966" s="18" t="s">
        <v>2336</v>
      </c>
      <c r="AU1966" s="6"/>
      <c r="AV1966" s="6" t="str">
        <f t="shared" si="34"/>
        <v/>
      </c>
    </row>
    <row r="1967" spans="1:48" ht="14.65" thickBot="1" x14ac:dyDescent="0.5">
      <c r="A1967" s="36" t="s">
        <v>820</v>
      </c>
      <c r="B1967" s="3" t="s">
        <v>1671</v>
      </c>
      <c r="C1967" s="4"/>
      <c r="D1967" s="4"/>
      <c r="E1967" s="4"/>
      <c r="F1967" s="4"/>
      <c r="G1967" s="4"/>
      <c r="H1967" s="4"/>
      <c r="I1967" s="18" t="s">
        <v>2473</v>
      </c>
      <c r="J1967" s="18" t="s">
        <v>2473</v>
      </c>
      <c r="K1967" s="18" t="s">
        <v>2473</v>
      </c>
      <c r="L1967" s="18" t="s">
        <v>2336</v>
      </c>
      <c r="AU1967" s="6"/>
      <c r="AV1967" s="6" t="str">
        <f t="shared" si="34"/>
        <v/>
      </c>
    </row>
    <row r="1968" spans="1:48" ht="14.65" thickBot="1" x14ac:dyDescent="0.5">
      <c r="A1968" s="36" t="s">
        <v>1672</v>
      </c>
      <c r="B1968" s="3" t="s">
        <v>1673</v>
      </c>
      <c r="C1968" s="4"/>
      <c r="D1968" s="4"/>
      <c r="E1968" s="4"/>
      <c r="F1968" s="4"/>
      <c r="G1968" s="4"/>
      <c r="H1968" s="4"/>
      <c r="I1968" s="18" t="s">
        <v>2473</v>
      </c>
      <c r="J1968" s="18" t="s">
        <v>2473</v>
      </c>
      <c r="K1968" s="18" t="s">
        <v>2473</v>
      </c>
      <c r="L1968" s="18" t="s">
        <v>2336</v>
      </c>
      <c r="AU1968" s="6"/>
      <c r="AV1968" s="6" t="str">
        <f t="shared" si="34"/>
        <v/>
      </c>
    </row>
    <row r="1969" spans="1:48" s="79" customFormat="1" x14ac:dyDescent="0.45">
      <c r="A1969" s="75"/>
      <c r="B1969" s="76"/>
      <c r="C1969" s="77"/>
      <c r="D1969" s="77"/>
      <c r="E1969" s="77"/>
      <c r="F1969" s="77"/>
      <c r="G1969" s="77"/>
      <c r="H1969" s="77"/>
      <c r="I1969" s="77"/>
      <c r="J1969" s="77"/>
      <c r="K1969" s="77"/>
      <c r="L1969" s="77"/>
      <c r="M1969" s="148"/>
      <c r="N1969" s="78"/>
      <c r="O1969" s="78"/>
      <c r="P1969" s="78"/>
      <c r="Q1969" s="78"/>
      <c r="R1969" s="78"/>
      <c r="S1969" s="78"/>
      <c r="T1969" s="78"/>
      <c r="U1969" s="78"/>
      <c r="V1969" s="78"/>
      <c r="W1969" s="78"/>
      <c r="X1969" s="78"/>
      <c r="Y1969" s="148"/>
      <c r="Z1969" s="78"/>
      <c r="AA1969" s="78"/>
      <c r="AB1969" s="78"/>
      <c r="AC1969" s="78"/>
      <c r="AD1969" s="78"/>
      <c r="AE1969" s="156"/>
      <c r="AF1969" s="156"/>
      <c r="AG1969" s="78"/>
      <c r="AH1969" s="78"/>
      <c r="AI1969" s="78"/>
      <c r="AJ1969" s="78"/>
      <c r="AK1969" s="78"/>
      <c r="AL1969" s="78"/>
      <c r="AM1969" s="78"/>
      <c r="AN1969" s="78"/>
      <c r="AO1969" s="78"/>
      <c r="AP1969" s="78"/>
      <c r="AQ1969" s="78"/>
      <c r="AR1969" s="286"/>
      <c r="AS1969" s="78"/>
      <c r="AT1969" s="78"/>
      <c r="AU1969" s="8"/>
      <c r="AV1969" s="6" t="str">
        <f t="shared" si="34"/>
        <v/>
      </c>
    </row>
    <row r="1970" spans="1:48" x14ac:dyDescent="0.45">
      <c r="A1970" s="27" t="s">
        <v>2449</v>
      </c>
      <c r="I1970" s="18" t="s">
        <v>2473</v>
      </c>
      <c r="J1970" s="18" t="s">
        <v>2473</v>
      </c>
      <c r="K1970" s="18" t="s">
        <v>2473</v>
      </c>
      <c r="L1970" s="18" t="s">
        <v>2336</v>
      </c>
      <c r="AU1970" s="6"/>
      <c r="AV1970" s="6" t="str">
        <f t="shared" si="34"/>
        <v/>
      </c>
    </row>
    <row r="1971" spans="1:48" x14ac:dyDescent="0.45">
      <c r="A1971" s="323" t="s">
        <v>2632</v>
      </c>
      <c r="B1971" s="324"/>
      <c r="C1971" s="324"/>
      <c r="D1971" s="324"/>
      <c r="E1971" s="324"/>
      <c r="F1971" s="324"/>
      <c r="G1971" s="101"/>
      <c r="H1971" s="101"/>
      <c r="I1971" s="18" t="s">
        <v>2473</v>
      </c>
      <c r="J1971" s="18" t="s">
        <v>2473</v>
      </c>
      <c r="K1971" s="18" t="s">
        <v>2473</v>
      </c>
      <c r="L1971" s="18" t="s">
        <v>2336</v>
      </c>
      <c r="AU1971" s="6"/>
      <c r="AV1971" s="6" t="str">
        <f t="shared" si="34"/>
        <v/>
      </c>
    </row>
    <row r="1972" spans="1:48" ht="14.65" thickBot="1" x14ac:dyDescent="0.5">
      <c r="A1972" s="28" t="s">
        <v>1674</v>
      </c>
      <c r="I1972" s="18" t="s">
        <v>2473</v>
      </c>
      <c r="J1972" s="18" t="s">
        <v>2473</v>
      </c>
      <c r="K1972" s="18" t="s">
        <v>2473</v>
      </c>
      <c r="L1972" s="18" t="s">
        <v>2336</v>
      </c>
      <c r="AU1972" s="6"/>
      <c r="AV1972" s="6" t="str">
        <f t="shared" si="34"/>
        <v/>
      </c>
    </row>
    <row r="1973" spans="1:48" ht="14.65" thickBot="1" x14ac:dyDescent="0.5">
      <c r="A1973" s="309" t="s">
        <v>1675</v>
      </c>
      <c r="B1973" s="310"/>
      <c r="C1973" s="301" t="s">
        <v>1</v>
      </c>
      <c r="D1973" s="319"/>
      <c r="E1973" s="319"/>
      <c r="F1973" s="302"/>
      <c r="G1973" s="102"/>
      <c r="H1973" s="102"/>
      <c r="I1973" s="18" t="s">
        <v>2473</v>
      </c>
      <c r="J1973" s="18" t="s">
        <v>2473</v>
      </c>
      <c r="K1973" s="18" t="s">
        <v>2473</v>
      </c>
      <c r="L1973" s="18" t="s">
        <v>2336</v>
      </c>
      <c r="AU1973" s="6"/>
      <c r="AV1973" s="6" t="str">
        <f t="shared" si="34"/>
        <v/>
      </c>
    </row>
    <row r="1974" spans="1:48" ht="14.65" thickBot="1" x14ac:dyDescent="0.5">
      <c r="A1974" s="311"/>
      <c r="B1974" s="312"/>
      <c r="C1974" s="301" t="s">
        <v>2</v>
      </c>
      <c r="D1974" s="302"/>
      <c r="E1974" s="301" t="s">
        <v>3</v>
      </c>
      <c r="F1974" s="302"/>
      <c r="G1974" s="301" t="s">
        <v>2896</v>
      </c>
      <c r="H1974" s="302"/>
      <c r="I1974" s="18" t="s">
        <v>2473</v>
      </c>
      <c r="J1974" s="18" t="s">
        <v>2473</v>
      </c>
      <c r="K1974" s="18" t="s">
        <v>2473</v>
      </c>
      <c r="L1974" s="18" t="s">
        <v>2336</v>
      </c>
      <c r="AU1974" s="6"/>
      <c r="AV1974" s="6" t="str">
        <f t="shared" si="34"/>
        <v/>
      </c>
    </row>
    <row r="1975" spans="1:48" ht="14.65" thickBot="1" x14ac:dyDescent="0.5">
      <c r="A1975" s="30" t="s">
        <v>4</v>
      </c>
      <c r="B1975" s="59" t="s">
        <v>5</v>
      </c>
      <c r="C1975" s="7" t="s">
        <v>6</v>
      </c>
      <c r="D1975" s="7" t="s">
        <v>7</v>
      </c>
      <c r="E1975" s="7" t="s">
        <v>6</v>
      </c>
      <c r="F1975" s="7" t="s">
        <v>7</v>
      </c>
      <c r="G1975" s="7" t="s">
        <v>6</v>
      </c>
      <c r="H1975" s="7" t="s">
        <v>7</v>
      </c>
      <c r="I1975" s="18" t="s">
        <v>2473</v>
      </c>
      <c r="J1975" s="18" t="s">
        <v>2473</v>
      </c>
      <c r="K1975" s="18" t="s">
        <v>2473</v>
      </c>
      <c r="L1975" s="18" t="s">
        <v>2336</v>
      </c>
      <c r="AU1975" s="6"/>
      <c r="AV1975" s="6" t="str">
        <f t="shared" si="34"/>
        <v/>
      </c>
    </row>
    <row r="1976" spans="1:48" ht="23.65" thickBot="1" x14ac:dyDescent="0.5">
      <c r="A1976" s="36" t="s">
        <v>1676</v>
      </c>
      <c r="B1976" s="3" t="s">
        <v>1677</v>
      </c>
      <c r="C1976" s="4"/>
      <c r="D1976" s="4"/>
      <c r="E1976" s="4"/>
      <c r="F1976" s="4"/>
      <c r="G1976" s="4"/>
      <c r="H1976" s="4"/>
      <c r="I1976" s="18" t="s">
        <v>2473</v>
      </c>
      <c r="J1976" s="18" t="s">
        <v>2473</v>
      </c>
      <c r="K1976" s="18" t="s">
        <v>2473</v>
      </c>
      <c r="L1976" s="18" t="s">
        <v>2336</v>
      </c>
      <c r="AU1976" s="6"/>
      <c r="AV1976" s="6" t="str">
        <f t="shared" si="34"/>
        <v/>
      </c>
    </row>
    <row r="1977" spans="1:48" ht="23.65" thickBot="1" x14ac:dyDescent="0.5">
      <c r="A1977" s="36" t="s">
        <v>1631</v>
      </c>
      <c r="B1977" s="3" t="s">
        <v>1632</v>
      </c>
      <c r="C1977" s="4"/>
      <c r="D1977" s="4"/>
      <c r="E1977" s="4"/>
      <c r="F1977" s="4"/>
      <c r="G1977" s="4"/>
      <c r="H1977" s="4"/>
      <c r="I1977" s="18" t="s">
        <v>2473</v>
      </c>
      <c r="J1977" s="18" t="s">
        <v>2473</v>
      </c>
      <c r="K1977" s="18" t="s">
        <v>2473</v>
      </c>
      <c r="L1977" s="18" t="s">
        <v>2336</v>
      </c>
      <c r="AU1977" s="6"/>
      <c r="AV1977" s="6" t="str">
        <f t="shared" si="34"/>
        <v/>
      </c>
    </row>
    <row r="1978" spans="1:48" ht="14.65" thickBot="1" x14ac:dyDescent="0.5">
      <c r="A1978" s="35" t="s">
        <v>33</v>
      </c>
      <c r="B1978" s="3" t="s">
        <v>84</v>
      </c>
      <c r="C1978" s="4"/>
      <c r="D1978" s="4"/>
      <c r="E1978" s="4"/>
      <c r="F1978" s="4"/>
      <c r="G1978" s="4"/>
      <c r="H1978" s="4"/>
      <c r="I1978" s="18" t="s">
        <v>2473</v>
      </c>
      <c r="J1978" s="18" t="s">
        <v>2473</v>
      </c>
      <c r="K1978" s="18" t="s">
        <v>2473</v>
      </c>
      <c r="L1978" s="18" t="s">
        <v>2336</v>
      </c>
      <c r="AU1978" s="6"/>
      <c r="AV1978" s="6" t="str">
        <f t="shared" si="34"/>
        <v/>
      </c>
    </row>
    <row r="1979" spans="1:48" ht="23.65" thickBot="1" x14ac:dyDescent="0.5">
      <c r="A1979" s="36" t="s">
        <v>1156</v>
      </c>
      <c r="B1979" s="3" t="s">
        <v>1678</v>
      </c>
      <c r="C1979" s="4"/>
      <c r="D1979" s="4"/>
      <c r="E1979" s="4"/>
      <c r="F1979" s="4"/>
      <c r="G1979" s="4"/>
      <c r="H1979" s="4"/>
      <c r="I1979" s="18" t="s">
        <v>2473</v>
      </c>
      <c r="J1979" s="18" t="s">
        <v>2473</v>
      </c>
      <c r="K1979" s="18" t="s">
        <v>2473</v>
      </c>
      <c r="L1979" s="18" t="s">
        <v>2336</v>
      </c>
      <c r="AU1979" s="6"/>
      <c r="AV1979" s="6" t="str">
        <f t="shared" si="34"/>
        <v/>
      </c>
    </row>
    <row r="1980" spans="1:48" ht="23.65" thickBot="1" x14ac:dyDescent="0.5">
      <c r="A1980" s="36" t="s">
        <v>1679</v>
      </c>
      <c r="B1980" s="3" t="s">
        <v>1680</v>
      </c>
      <c r="C1980" s="4"/>
      <c r="D1980" s="4"/>
      <c r="E1980" s="4"/>
      <c r="F1980" s="4"/>
      <c r="G1980" s="4"/>
      <c r="H1980" s="4"/>
      <c r="I1980" s="18" t="s">
        <v>2473</v>
      </c>
      <c r="J1980" s="18" t="s">
        <v>2473</v>
      </c>
      <c r="K1980" s="18" t="s">
        <v>2473</v>
      </c>
      <c r="L1980" s="18" t="s">
        <v>2336</v>
      </c>
      <c r="AU1980" s="6"/>
      <c r="AV1980" s="6" t="str">
        <f t="shared" si="34"/>
        <v/>
      </c>
    </row>
    <row r="1981" spans="1:48" ht="14.65" thickBot="1" x14ac:dyDescent="0.5">
      <c r="A1981" s="35" t="s">
        <v>33</v>
      </c>
      <c r="B1981" s="3" t="s">
        <v>84</v>
      </c>
      <c r="C1981" s="4"/>
      <c r="D1981" s="4"/>
      <c r="E1981" s="4"/>
      <c r="F1981" s="4"/>
      <c r="G1981" s="4"/>
      <c r="H1981" s="4"/>
      <c r="I1981" s="18" t="s">
        <v>2473</v>
      </c>
      <c r="J1981" s="18" t="s">
        <v>2473</v>
      </c>
      <c r="K1981" s="18" t="s">
        <v>2473</v>
      </c>
      <c r="L1981" s="18" t="s">
        <v>2336</v>
      </c>
      <c r="AU1981" s="6"/>
      <c r="AV1981" s="6" t="str">
        <f t="shared" si="34"/>
        <v/>
      </c>
    </row>
    <row r="1982" spans="1:48" ht="14.65" thickBot="1" x14ac:dyDescent="0.5">
      <c r="A1982" s="36" t="s">
        <v>1681</v>
      </c>
      <c r="B1982" s="3" t="s">
        <v>1682</v>
      </c>
      <c r="C1982" s="4"/>
      <c r="D1982" s="4"/>
      <c r="E1982" s="4"/>
      <c r="F1982" s="4"/>
      <c r="G1982" s="4"/>
      <c r="H1982" s="4"/>
      <c r="I1982" s="18" t="s">
        <v>2473</v>
      </c>
      <c r="J1982" s="18" t="s">
        <v>2473</v>
      </c>
      <c r="K1982" s="18" t="s">
        <v>2473</v>
      </c>
      <c r="L1982" s="18" t="s">
        <v>2336</v>
      </c>
      <c r="AU1982" s="6"/>
      <c r="AV1982" s="6" t="str">
        <f t="shared" si="34"/>
        <v/>
      </c>
    </row>
    <row r="1983" spans="1:48" ht="14.65" thickBot="1" x14ac:dyDescent="0.5">
      <c r="A1983" s="36" t="s">
        <v>1683</v>
      </c>
      <c r="B1983" s="3" t="s">
        <v>1684</v>
      </c>
      <c r="C1983" s="4"/>
      <c r="D1983" s="4"/>
      <c r="E1983" s="4"/>
      <c r="F1983" s="4"/>
      <c r="G1983" s="4"/>
      <c r="H1983" s="4"/>
      <c r="I1983" s="18" t="s">
        <v>2473</v>
      </c>
      <c r="J1983" s="18" t="s">
        <v>2473</v>
      </c>
      <c r="K1983" s="18" t="s">
        <v>2473</v>
      </c>
      <c r="L1983" s="18" t="s">
        <v>2336</v>
      </c>
      <c r="AU1983" s="6"/>
      <c r="AV1983" s="6" t="str">
        <f t="shared" si="34"/>
        <v/>
      </c>
    </row>
    <row r="1984" spans="1:48" s="79" customFormat="1" x14ac:dyDescent="0.45">
      <c r="A1984" s="75"/>
      <c r="B1984" s="76"/>
      <c r="C1984" s="77"/>
      <c r="D1984" s="77"/>
      <c r="E1984" s="77"/>
      <c r="F1984" s="77"/>
      <c r="G1984" s="77"/>
      <c r="H1984" s="77"/>
      <c r="I1984" s="77"/>
      <c r="J1984" s="77"/>
      <c r="K1984" s="77"/>
      <c r="L1984" s="77"/>
      <c r="M1984" s="148"/>
      <c r="N1984" s="78"/>
      <c r="O1984" s="78"/>
      <c r="P1984" s="78"/>
      <c r="Q1984" s="78"/>
      <c r="R1984" s="78"/>
      <c r="S1984" s="78"/>
      <c r="T1984" s="78"/>
      <c r="U1984" s="78"/>
      <c r="V1984" s="78"/>
      <c r="W1984" s="78"/>
      <c r="X1984" s="78"/>
      <c r="Y1984" s="148"/>
      <c r="Z1984" s="78"/>
      <c r="AA1984" s="78"/>
      <c r="AB1984" s="78"/>
      <c r="AC1984" s="78"/>
      <c r="AD1984" s="78"/>
      <c r="AE1984" s="156"/>
      <c r="AF1984" s="156"/>
      <c r="AG1984" s="78"/>
      <c r="AH1984" s="78"/>
      <c r="AI1984" s="78"/>
      <c r="AJ1984" s="78"/>
      <c r="AK1984" s="78"/>
      <c r="AL1984" s="78"/>
      <c r="AM1984" s="78"/>
      <c r="AN1984" s="78"/>
      <c r="AO1984" s="78"/>
      <c r="AP1984" s="78"/>
      <c r="AQ1984" s="78"/>
      <c r="AR1984" s="286"/>
      <c r="AS1984" s="78"/>
      <c r="AT1984" s="78"/>
      <c r="AU1984" s="8"/>
      <c r="AV1984" s="6" t="str">
        <f t="shared" si="34"/>
        <v/>
      </c>
    </row>
    <row r="1985" spans="1:48" x14ac:dyDescent="0.45">
      <c r="A1985" s="27" t="s">
        <v>2450</v>
      </c>
      <c r="I1985" s="18" t="s">
        <v>2473</v>
      </c>
      <c r="J1985" s="18" t="s">
        <v>2473</v>
      </c>
      <c r="K1985" s="18" t="s">
        <v>2473</v>
      </c>
      <c r="L1985" s="18" t="s">
        <v>2335</v>
      </c>
      <c r="AU1985" s="8"/>
      <c r="AV1985" s="6" t="str">
        <f t="shared" si="34"/>
        <v/>
      </c>
    </row>
    <row r="1986" spans="1:48" ht="47.25" x14ac:dyDescent="0.45">
      <c r="A1986" s="323" t="s">
        <v>5341</v>
      </c>
      <c r="B1986" s="324"/>
      <c r="C1986" s="324"/>
      <c r="D1986" s="324"/>
      <c r="E1986" s="324"/>
      <c r="F1986" s="324"/>
      <c r="G1986" s="101"/>
      <c r="H1986" s="101"/>
      <c r="I1986" s="18" t="s">
        <v>2473</v>
      </c>
      <c r="J1986" s="18" t="s">
        <v>2473</v>
      </c>
      <c r="K1986" s="18" t="s">
        <v>2473</v>
      </c>
      <c r="L1986" s="18" t="s">
        <v>2335</v>
      </c>
      <c r="AT1986" s="233" t="s">
        <v>5318</v>
      </c>
      <c r="AU1986" s="8"/>
      <c r="AV1986" s="6" t="str">
        <f t="shared" si="34"/>
        <v/>
      </c>
    </row>
    <row r="1987" spans="1:48" ht="14.65" thickBot="1" x14ac:dyDescent="0.5">
      <c r="A1987" s="28" t="s">
        <v>1685</v>
      </c>
      <c r="I1987" s="18" t="s">
        <v>2473</v>
      </c>
      <c r="J1987" s="18" t="s">
        <v>2473</v>
      </c>
      <c r="K1987" s="18" t="s">
        <v>2473</v>
      </c>
      <c r="L1987" s="18" t="s">
        <v>2335</v>
      </c>
      <c r="AA1987" s="183" t="s">
        <v>2322</v>
      </c>
      <c r="AB1987" s="183" t="s">
        <v>1697</v>
      </c>
      <c r="AC1987" s="183" t="s">
        <v>5</v>
      </c>
      <c r="AU1987" s="8"/>
      <c r="AV1987" s="6" t="str">
        <f t="shared" si="34"/>
        <v/>
      </c>
    </row>
    <row r="1988" spans="1:48" ht="244.5" thickBot="1" x14ac:dyDescent="0.5">
      <c r="A1988" s="309" t="s">
        <v>1686</v>
      </c>
      <c r="B1988" s="310"/>
      <c r="C1988" s="301" t="s">
        <v>1</v>
      </c>
      <c r="D1988" s="319"/>
      <c r="E1988" s="319"/>
      <c r="F1988" s="302"/>
      <c r="G1988" s="102"/>
      <c r="H1988" s="102"/>
      <c r="I1988" s="18" t="s">
        <v>2473</v>
      </c>
      <c r="L1988" s="18" t="s">
        <v>2335</v>
      </c>
      <c r="AA1988" s="183" t="str">
        <f>LEFT($A1988,FIND(" ",$A1988)-1)</f>
        <v>SoftwareInventory</v>
      </c>
      <c r="AB1988" s="183" t="str">
        <f>MID($A1988,FIND("(",$A1988)+1,LEN($A1988)-FIND("(",$A1988)-1)</f>
        <v>1.2.1</v>
      </c>
      <c r="AC1988" s="101" t="str">
        <f>A1986</f>
        <v>A SoftwareInventory resource is an inventory of software or firmware components.  See SoftwareInventory and FirmwareInventory properties in the UpdateService resource for guidance on what software components should be included in the inventories.</v>
      </c>
      <c r="AU1988" s="8"/>
      <c r="AV1988" s="6" t="str">
        <f t="shared" si="34"/>
        <v/>
      </c>
    </row>
    <row r="1989" spans="1:48" ht="14.65" thickBot="1" x14ac:dyDescent="0.5">
      <c r="A1989" s="311"/>
      <c r="B1989" s="312"/>
      <c r="C1989" s="301" t="s">
        <v>2</v>
      </c>
      <c r="D1989" s="302"/>
      <c r="E1989" s="301" t="s">
        <v>3</v>
      </c>
      <c r="F1989" s="302"/>
      <c r="G1989" s="301" t="s">
        <v>2896</v>
      </c>
      <c r="H1989" s="302"/>
      <c r="I1989" s="18" t="s">
        <v>2473</v>
      </c>
      <c r="L1989" s="18" t="s">
        <v>2335</v>
      </c>
      <c r="AA1989" s="183" t="s">
        <v>2322</v>
      </c>
      <c r="AB1989" s="183" t="s">
        <v>1697</v>
      </c>
      <c r="AC1989" s="183" t="s">
        <v>5</v>
      </c>
      <c r="AU1989" s="8"/>
      <c r="AV1989" s="6" t="str">
        <f t="shared" si="34"/>
        <v/>
      </c>
    </row>
    <row r="1990" spans="1:48" ht="244.5" thickBot="1" x14ac:dyDescent="0.5">
      <c r="A1990" s="309" t="s">
        <v>3318</v>
      </c>
      <c r="B1990" s="310"/>
      <c r="C1990" s="301" t="s">
        <v>1</v>
      </c>
      <c r="D1990" s="319"/>
      <c r="E1990" s="319"/>
      <c r="F1990" s="302"/>
      <c r="G1990" s="102"/>
      <c r="H1990" s="102"/>
      <c r="J1990" s="18" t="s">
        <v>2473</v>
      </c>
      <c r="K1990" s="18" t="s">
        <v>2473</v>
      </c>
      <c r="L1990" s="18" t="s">
        <v>2335</v>
      </c>
      <c r="AA1990" s="183" t="str">
        <f>LEFT($A1990,FIND(" ",$A1990)-1)</f>
        <v>SoftwareInventory</v>
      </c>
      <c r="AB1990" s="183" t="str">
        <f>MID($A1990,FIND("(",$A1990)+1,LEN($A1990)-FIND("(",$A1990)-1)</f>
        <v>1.2.2</v>
      </c>
      <c r="AC1990" s="101" t="str">
        <f>AC1988</f>
        <v>A SoftwareInventory resource is an inventory of software or firmware components.  See SoftwareInventory and FirmwareInventory properties in the UpdateService resource for guidance on what software components should be included in the inventories.</v>
      </c>
      <c r="AU1990" s="8"/>
      <c r="AV1990" s="6" t="str">
        <f t="shared" si="34"/>
        <v/>
      </c>
    </row>
    <row r="1991" spans="1:48" ht="14.65" thickBot="1" x14ac:dyDescent="0.5">
      <c r="A1991" s="311"/>
      <c r="B1991" s="312"/>
      <c r="C1991" s="301" t="s">
        <v>2</v>
      </c>
      <c r="D1991" s="302"/>
      <c r="E1991" s="301" t="s">
        <v>3</v>
      </c>
      <c r="F1991" s="302"/>
      <c r="G1991" s="301" t="s">
        <v>2896</v>
      </c>
      <c r="H1991" s="302"/>
      <c r="J1991" s="18" t="s">
        <v>2473</v>
      </c>
      <c r="K1991" s="18" t="s">
        <v>2473</v>
      </c>
      <c r="L1991" s="18" t="s">
        <v>2335</v>
      </c>
      <c r="AM1991" s="8" t="str">
        <f>C1991</f>
        <v>OSM-Redfish</v>
      </c>
      <c r="AN1991" s="8" t="str">
        <f>E1991</f>
        <v>OSM-RedfishBMC</v>
      </c>
      <c r="AO1991" s="8" t="str">
        <f>G1991</f>
        <v>OSM-RedfishDCN</v>
      </c>
      <c r="AU1991" s="8"/>
      <c r="AV1991" s="6" t="str">
        <f t="shared" ref="AV1991:AV2058" si="35">IF(A1991&lt;&gt;"",IF(T1991&lt;&gt;"",IF(LEFT(R1991,3)="Has",IF(TRIM(A1991)&lt;&gt;T1991,"ERROR","OK"),""),""),"")</f>
        <v/>
      </c>
    </row>
    <row r="1992" spans="1:48" ht="36" thickBot="1" x14ac:dyDescent="0.5">
      <c r="A1992" s="46" t="s">
        <v>2377</v>
      </c>
      <c r="B1992" s="47"/>
      <c r="C1992" s="303" t="s">
        <v>13</v>
      </c>
      <c r="D1992" s="304"/>
      <c r="E1992" s="303" t="s">
        <v>13</v>
      </c>
      <c r="F1992" s="304"/>
      <c r="G1992" s="303" t="s">
        <v>13</v>
      </c>
      <c r="H1992" s="304"/>
      <c r="I1992" s="18" t="s">
        <v>2473</v>
      </c>
      <c r="J1992" s="18" t="s">
        <v>2473</v>
      </c>
      <c r="K1992" s="18" t="s">
        <v>2473</v>
      </c>
      <c r="AM1992" s="8" t="str">
        <f>IF(C1992&lt;&gt;"","CRQ-P5-"&amp;(AM$2+$AP1992*$AP$3),"")</f>
        <v>CRQ-P5-1228</v>
      </c>
      <c r="AN1992" s="8" t="str">
        <f>IF(E1992&lt;&gt;"","CRQ-P5-"&amp;(AN$2+$AP1992*$AP$3),"")</f>
        <v>CRQ-P5-1528</v>
      </c>
      <c r="AO1992" s="8" t="str">
        <f>IF(G1992&lt;&gt;"","CRQ-P5-"&amp;(AO$2+$AP1992*$AP$3),"")</f>
        <v>CRQ-P5-1828</v>
      </c>
      <c r="AP1992" s="8">
        <v>57</v>
      </c>
      <c r="AT1992" s="233" t="s">
        <v>5316</v>
      </c>
      <c r="AU1992" s="6"/>
      <c r="AV1992" s="6" t="str">
        <f t="shared" si="35"/>
        <v/>
      </c>
    </row>
    <row r="1993" spans="1:48" ht="14.65" thickBot="1" x14ac:dyDescent="0.5">
      <c r="A1993" s="29" t="s">
        <v>3394</v>
      </c>
      <c r="B1993" s="9"/>
      <c r="C1993" s="305" t="str">
        <f>MID($A1988,FIND("(",$A1988)+1,5)</f>
        <v>1.2.1</v>
      </c>
      <c r="D1993" s="306"/>
      <c r="E1993" s="305" t="s">
        <v>3412</v>
      </c>
      <c r="F1993" s="306"/>
      <c r="G1993" s="305" t="str">
        <f>MID($A1988,FIND("(",$A1988)+1,5)</f>
        <v>1.2.1</v>
      </c>
      <c r="H1993" s="306"/>
      <c r="I1993" s="18" t="s">
        <v>2473</v>
      </c>
      <c r="J1993" s="18" t="s">
        <v>2473</v>
      </c>
      <c r="K1993" s="18" t="s">
        <v>2473</v>
      </c>
      <c r="L1993" s="18" t="s">
        <v>2336</v>
      </c>
      <c r="AU1993" s="6"/>
      <c r="AV1993" s="6" t="str">
        <f t="shared" si="35"/>
        <v/>
      </c>
    </row>
    <row r="1994" spans="1:48" ht="14.65" thickBot="1" x14ac:dyDescent="0.5">
      <c r="A1994" s="30" t="s">
        <v>4</v>
      </c>
      <c r="B1994" s="59" t="s">
        <v>5</v>
      </c>
      <c r="C1994" s="7" t="s">
        <v>6</v>
      </c>
      <c r="D1994" s="7" t="s">
        <v>7</v>
      </c>
      <c r="E1994" s="7" t="s">
        <v>6</v>
      </c>
      <c r="F1994" s="7" t="s">
        <v>7</v>
      </c>
      <c r="G1994" s="7" t="s">
        <v>6</v>
      </c>
      <c r="H1994" s="7" t="s">
        <v>7</v>
      </c>
      <c r="I1994" s="18" t="s">
        <v>2473</v>
      </c>
      <c r="J1994" s="18" t="s">
        <v>2473</v>
      </c>
      <c r="K1994" s="18" t="s">
        <v>2473</v>
      </c>
      <c r="L1994" s="18" t="s">
        <v>2335</v>
      </c>
      <c r="AU1994" s="6"/>
      <c r="AV1994" s="6" t="str">
        <f t="shared" si="35"/>
        <v/>
      </c>
    </row>
    <row r="1995" spans="1:48" ht="14.65" thickBot="1" x14ac:dyDescent="0.5">
      <c r="A1995" s="36" t="s">
        <v>8</v>
      </c>
      <c r="B1995" s="3" t="s">
        <v>9</v>
      </c>
      <c r="C1995" s="4"/>
      <c r="D1995" s="4"/>
      <c r="E1995" s="4"/>
      <c r="F1995" s="4"/>
      <c r="G1995" s="4"/>
      <c r="H1995" s="4"/>
      <c r="I1995" s="18" t="s">
        <v>2473</v>
      </c>
      <c r="J1995" s="18" t="s">
        <v>2473</v>
      </c>
      <c r="K1995" s="18" t="s">
        <v>2473</v>
      </c>
      <c r="L1995" s="18" t="s">
        <v>2335</v>
      </c>
      <c r="AU1995" s="6"/>
      <c r="AV1995" s="6" t="str">
        <f t="shared" si="35"/>
        <v/>
      </c>
    </row>
    <row r="1996" spans="1:48" ht="14.65" thickBot="1" x14ac:dyDescent="0.5">
      <c r="A1996" s="36" t="s">
        <v>1687</v>
      </c>
      <c r="B1996" s="3" t="s">
        <v>1688</v>
      </c>
      <c r="C1996" s="4" t="s">
        <v>13</v>
      </c>
      <c r="D1996" s="4"/>
      <c r="E1996" s="4" t="s">
        <v>13</v>
      </c>
      <c r="F1996" s="4"/>
      <c r="G1996" s="4" t="s">
        <v>13</v>
      </c>
      <c r="H1996" s="4"/>
      <c r="I1996" s="18" t="s">
        <v>2473</v>
      </c>
      <c r="J1996" s="18" t="s">
        <v>2473</v>
      </c>
      <c r="K1996" s="18" t="s">
        <v>2473</v>
      </c>
      <c r="AU1996" s="6"/>
      <c r="AV1996" s="6" t="str">
        <f t="shared" si="35"/>
        <v/>
      </c>
    </row>
    <row r="1997" spans="1:48" ht="14.65" thickBot="1" x14ac:dyDescent="0.5">
      <c r="A1997" s="36" t="s">
        <v>99</v>
      </c>
      <c r="B1997" s="3" t="s">
        <v>1689</v>
      </c>
      <c r="C1997" s="4" t="s">
        <v>13</v>
      </c>
      <c r="D1997" s="4"/>
      <c r="E1997" s="4" t="s">
        <v>13</v>
      </c>
      <c r="F1997" s="4"/>
      <c r="G1997" s="4" t="s">
        <v>13</v>
      </c>
      <c r="H1997" s="4"/>
      <c r="I1997" s="18" t="s">
        <v>2473</v>
      </c>
      <c r="J1997" s="18" t="s">
        <v>2473</v>
      </c>
      <c r="K1997" s="18" t="s">
        <v>2473</v>
      </c>
      <c r="AU1997" s="6"/>
      <c r="AV1997" s="6" t="str">
        <f t="shared" si="35"/>
        <v/>
      </c>
    </row>
    <row r="1998" spans="1:48" ht="14.65" thickBot="1" x14ac:dyDescent="0.5">
      <c r="A1998" s="36" t="s">
        <v>1124</v>
      </c>
      <c r="B1998" s="3" t="s">
        <v>1690</v>
      </c>
      <c r="C1998" s="4" t="s">
        <v>13</v>
      </c>
      <c r="D1998" s="4"/>
      <c r="E1998" s="4" t="s">
        <v>13</v>
      </c>
      <c r="F1998" s="4"/>
      <c r="G1998" s="4" t="s">
        <v>13</v>
      </c>
      <c r="H1998" s="4"/>
      <c r="I1998" s="18" t="s">
        <v>2473</v>
      </c>
      <c r="J1998" s="18" t="s">
        <v>2473</v>
      </c>
      <c r="K1998" s="18" t="s">
        <v>2473</v>
      </c>
      <c r="AU1998" s="6"/>
      <c r="AV1998" s="6" t="str">
        <f t="shared" si="35"/>
        <v/>
      </c>
    </row>
    <row r="1999" spans="1:48" ht="14.65" thickBot="1" x14ac:dyDescent="0.5">
      <c r="A1999" s="35" t="s">
        <v>33</v>
      </c>
      <c r="B1999" s="3" t="s">
        <v>84</v>
      </c>
      <c r="C1999" s="4"/>
      <c r="D1999" s="4"/>
      <c r="E1999" s="4"/>
      <c r="F1999" s="4"/>
      <c r="G1999" s="4"/>
      <c r="H1999" s="2"/>
      <c r="I1999" s="18" t="s">
        <v>2473</v>
      </c>
      <c r="J1999" s="18" t="s">
        <v>2473</v>
      </c>
      <c r="K1999" s="18" t="s">
        <v>2473</v>
      </c>
      <c r="AU1999" s="6"/>
      <c r="AV1999" s="6" t="str">
        <f t="shared" si="35"/>
        <v/>
      </c>
    </row>
    <row r="2000" spans="1:48" ht="14.65" thickBot="1" x14ac:dyDescent="0.5">
      <c r="A2000" s="36" t="s">
        <v>2873</v>
      </c>
      <c r="B2000" s="3" t="s">
        <v>2874</v>
      </c>
      <c r="C2000" s="4" t="s">
        <v>13</v>
      </c>
      <c r="D2000" s="4"/>
      <c r="E2000" s="4" t="s">
        <v>13</v>
      </c>
      <c r="F2000" s="4"/>
      <c r="G2000" s="4" t="s">
        <v>13</v>
      </c>
      <c r="H2000" s="4"/>
      <c r="I2000" s="18" t="s">
        <v>2473</v>
      </c>
      <c r="J2000" s="18" t="s">
        <v>2473</v>
      </c>
      <c r="K2000" s="18" t="s">
        <v>2473</v>
      </c>
      <c r="AU2000" s="6"/>
      <c r="AV2000" s="6" t="str">
        <f t="shared" si="35"/>
        <v/>
      </c>
    </row>
    <row r="2001" spans="1:48" ht="23.65" thickBot="1" x14ac:dyDescent="0.5">
      <c r="A2001" s="36" t="s">
        <v>1691</v>
      </c>
      <c r="B2001" s="3" t="s">
        <v>1692</v>
      </c>
      <c r="C2001" s="4" t="s">
        <v>13</v>
      </c>
      <c r="D2001" s="4"/>
      <c r="E2001" s="4" t="s">
        <v>13</v>
      </c>
      <c r="F2001" s="4"/>
      <c r="G2001" s="4" t="s">
        <v>13</v>
      </c>
      <c r="H2001" s="4"/>
      <c r="I2001" s="18" t="s">
        <v>2473</v>
      </c>
      <c r="J2001" s="18" t="s">
        <v>2473</v>
      </c>
      <c r="K2001" s="18" t="s">
        <v>2473</v>
      </c>
      <c r="AU2001" s="6"/>
      <c r="AV2001" s="6" t="str">
        <f t="shared" si="35"/>
        <v/>
      </c>
    </row>
    <row r="2002" spans="1:48" ht="105.75" thickBot="1" x14ac:dyDescent="0.5">
      <c r="A2002" s="36" t="s">
        <v>145</v>
      </c>
      <c r="B2002" s="3" t="s">
        <v>3968</v>
      </c>
      <c r="C2002" s="4" t="s">
        <v>10</v>
      </c>
      <c r="D2002" s="4"/>
      <c r="E2002" s="4" t="s">
        <v>10</v>
      </c>
      <c r="F2002" s="4"/>
      <c r="G2002" s="4" t="s">
        <v>10</v>
      </c>
      <c r="H2002" s="4"/>
      <c r="I2002" s="18" t="s">
        <v>2473</v>
      </c>
      <c r="J2002" s="18" t="s">
        <v>2473</v>
      </c>
      <c r="K2002" s="18" t="s">
        <v>2473</v>
      </c>
      <c r="AS2002" s="206" t="s">
        <v>5861</v>
      </c>
      <c r="AU2002" s="6"/>
      <c r="AV2002" s="6" t="str">
        <f t="shared" si="35"/>
        <v/>
      </c>
    </row>
    <row r="2003" spans="1:48" ht="47.65" thickBot="1" x14ac:dyDescent="0.5">
      <c r="A2003" s="35" t="s">
        <v>5361</v>
      </c>
      <c r="B2003" s="3" t="s">
        <v>5352</v>
      </c>
      <c r="C2003" s="4" t="s">
        <v>10</v>
      </c>
      <c r="D2003" s="4"/>
      <c r="E2003" s="4" t="s">
        <v>10</v>
      </c>
      <c r="F2003" s="4"/>
      <c r="G2003" s="4" t="s">
        <v>10</v>
      </c>
      <c r="H2003" s="4"/>
      <c r="I2003" s="18" t="s">
        <v>2473</v>
      </c>
      <c r="J2003" s="18" t="s">
        <v>2473</v>
      </c>
      <c r="K2003" s="18" t="s">
        <v>2473</v>
      </c>
      <c r="Q2003" s="131"/>
      <c r="R2003" s="131"/>
      <c r="S2003" s="131"/>
      <c r="T2003" s="131"/>
      <c r="U2003" s="131"/>
      <c r="V2003" s="131"/>
      <c r="W2003" s="131"/>
      <c r="X2003" s="131"/>
      <c r="AS2003" s="139" t="s">
        <v>5355</v>
      </c>
      <c r="AU2003" s="6"/>
      <c r="AV2003" s="6"/>
    </row>
    <row r="2004" spans="1:48" ht="82.5" thickBot="1" x14ac:dyDescent="0.5">
      <c r="A2004" s="35" t="s">
        <v>5360</v>
      </c>
      <c r="B2004" s="3" t="s">
        <v>5353</v>
      </c>
      <c r="C2004" s="4"/>
      <c r="D2004" s="4"/>
      <c r="E2004" s="4"/>
      <c r="F2004" s="4"/>
      <c r="G2004" s="4"/>
      <c r="H2004" s="4"/>
      <c r="I2004" s="18" t="s">
        <v>2473</v>
      </c>
      <c r="J2004" s="18" t="s">
        <v>2473</v>
      </c>
      <c r="K2004" s="18" t="s">
        <v>2473</v>
      </c>
      <c r="Q2004" s="131"/>
      <c r="R2004" s="131"/>
      <c r="S2004" s="131"/>
      <c r="T2004" s="131"/>
      <c r="U2004" s="131"/>
      <c r="V2004" s="131"/>
      <c r="W2004" s="131"/>
      <c r="X2004" s="131"/>
      <c r="AS2004" s="139" t="s">
        <v>5356</v>
      </c>
      <c r="AU2004" s="6"/>
      <c r="AV2004" s="6"/>
    </row>
    <row r="2005" spans="1:48" ht="23.65" thickBot="1" x14ac:dyDescent="0.5">
      <c r="A2005" s="36" t="s">
        <v>1693</v>
      </c>
      <c r="B2005" s="3" t="s">
        <v>1694</v>
      </c>
      <c r="C2005" s="4" t="s">
        <v>13</v>
      </c>
      <c r="D2005" s="4"/>
      <c r="E2005" s="4" t="s">
        <v>13</v>
      </c>
      <c r="F2005" s="4"/>
      <c r="G2005" s="4" t="s">
        <v>13</v>
      </c>
      <c r="H2005" s="4"/>
      <c r="I2005" s="18" t="s">
        <v>2473</v>
      </c>
      <c r="J2005" s="18" t="s">
        <v>2473</v>
      </c>
      <c r="K2005" s="18" t="s">
        <v>2473</v>
      </c>
      <c r="AU2005" s="6"/>
      <c r="AV2005" s="6" t="str">
        <f t="shared" si="35"/>
        <v/>
      </c>
    </row>
    <row r="2006" spans="1:48" ht="23.65" thickBot="1" x14ac:dyDescent="0.5">
      <c r="A2006" s="36" t="s">
        <v>1695</v>
      </c>
      <c r="B2006" s="3" t="s">
        <v>1696</v>
      </c>
      <c r="C2006" s="4" t="s">
        <v>13</v>
      </c>
      <c r="D2006" s="4"/>
      <c r="E2006" s="4" t="s">
        <v>13</v>
      </c>
      <c r="F2006" s="4"/>
      <c r="G2006" s="4" t="s">
        <v>13</v>
      </c>
      <c r="H2006" s="4"/>
      <c r="I2006" s="18" t="s">
        <v>2473</v>
      </c>
      <c r="J2006" s="18" t="s">
        <v>2473</v>
      </c>
      <c r="K2006" s="18" t="s">
        <v>2473</v>
      </c>
      <c r="AU2006" s="140" t="s">
        <v>4151</v>
      </c>
      <c r="AV2006" s="6" t="str">
        <f t="shared" si="35"/>
        <v/>
      </c>
    </row>
    <row r="2007" spans="1:48" ht="14.65" thickBot="1" x14ac:dyDescent="0.5">
      <c r="A2007" s="36" t="s">
        <v>1697</v>
      </c>
      <c r="B2007" s="3" t="s">
        <v>1698</v>
      </c>
      <c r="C2007" s="4" t="s">
        <v>10</v>
      </c>
      <c r="D2007" s="4"/>
      <c r="E2007" s="4" t="s">
        <v>10</v>
      </c>
      <c r="F2007" s="4"/>
      <c r="G2007" s="4" t="s">
        <v>10</v>
      </c>
      <c r="H2007" s="4"/>
      <c r="I2007" s="18" t="s">
        <v>2473</v>
      </c>
      <c r="J2007" s="18" t="s">
        <v>2473</v>
      </c>
      <c r="K2007" s="18" t="s">
        <v>2473</v>
      </c>
      <c r="AU2007" s="6"/>
      <c r="AV2007" s="6" t="str">
        <f t="shared" si="35"/>
        <v/>
      </c>
    </row>
    <row r="2008" spans="1:48" x14ac:dyDescent="0.45">
      <c r="A2008" s="33" t="s">
        <v>1699</v>
      </c>
      <c r="I2008" s="18" t="s">
        <v>2473</v>
      </c>
      <c r="J2008" s="18" t="s">
        <v>2473</v>
      </c>
      <c r="K2008" s="18" t="s">
        <v>2473</v>
      </c>
      <c r="AU2008" s="6"/>
      <c r="AV2008" s="6" t="str">
        <f t="shared" si="35"/>
        <v/>
      </c>
    </row>
    <row r="2009" spans="1:48" x14ac:dyDescent="0.45">
      <c r="A2009" s="34" t="s">
        <v>1700</v>
      </c>
      <c r="I2009" s="18" t="s">
        <v>2473</v>
      </c>
      <c r="J2009" s="18" t="s">
        <v>2473</v>
      </c>
      <c r="K2009" s="18" t="s">
        <v>2473</v>
      </c>
      <c r="L2009" s="18" t="s">
        <v>2335</v>
      </c>
      <c r="AU2009" s="6"/>
      <c r="AV2009" s="6" t="str">
        <f t="shared" si="35"/>
        <v/>
      </c>
    </row>
    <row r="2010" spans="1:48" x14ac:dyDescent="0.45">
      <c r="A2010" s="34" t="s">
        <v>1701</v>
      </c>
      <c r="I2010" s="18" t="s">
        <v>2473</v>
      </c>
      <c r="J2010" s="18" t="s">
        <v>2473</v>
      </c>
      <c r="K2010" s="18" t="s">
        <v>2473</v>
      </c>
      <c r="L2010" s="18" t="s">
        <v>2335</v>
      </c>
      <c r="AU2010" s="6"/>
      <c r="AV2010" s="6" t="str">
        <f t="shared" si="35"/>
        <v/>
      </c>
    </row>
    <row r="2011" spans="1:48" s="79" customFormat="1" x14ac:dyDescent="0.45">
      <c r="A2011" s="75"/>
      <c r="B2011" s="76"/>
      <c r="C2011" s="77"/>
      <c r="D2011" s="77"/>
      <c r="E2011" s="77"/>
      <c r="F2011" s="77"/>
      <c r="G2011" s="77"/>
      <c r="H2011" s="77"/>
      <c r="I2011" s="77"/>
      <c r="J2011" s="77"/>
      <c r="K2011" s="77"/>
      <c r="L2011" s="77"/>
      <c r="M2011" s="148"/>
      <c r="N2011" s="78"/>
      <c r="O2011" s="78"/>
      <c r="P2011" s="78"/>
      <c r="Q2011" s="78"/>
      <c r="R2011" s="78"/>
      <c r="S2011" s="78"/>
      <c r="T2011" s="78"/>
      <c r="U2011" s="78"/>
      <c r="V2011" s="78"/>
      <c r="W2011" s="78"/>
      <c r="X2011" s="78"/>
      <c r="Y2011" s="148"/>
      <c r="Z2011" s="78"/>
      <c r="AA2011" s="78"/>
      <c r="AB2011" s="78"/>
      <c r="AC2011" s="78"/>
      <c r="AD2011" s="78"/>
      <c r="AE2011" s="156"/>
      <c r="AF2011" s="156"/>
      <c r="AG2011" s="78"/>
      <c r="AH2011" s="78"/>
      <c r="AI2011" s="78"/>
      <c r="AJ2011" s="78"/>
      <c r="AK2011" s="78"/>
      <c r="AL2011" s="78"/>
      <c r="AM2011" s="78"/>
      <c r="AN2011" s="78"/>
      <c r="AO2011" s="78"/>
      <c r="AP2011" s="78"/>
      <c r="AQ2011" s="78"/>
      <c r="AR2011" s="286"/>
      <c r="AS2011" s="78"/>
      <c r="AT2011" s="78"/>
      <c r="AU2011" s="8"/>
      <c r="AV2011" s="6" t="str">
        <f t="shared" si="35"/>
        <v/>
      </c>
    </row>
    <row r="2012" spans="1:48" x14ac:dyDescent="0.45">
      <c r="A2012" s="27" t="s">
        <v>2451</v>
      </c>
      <c r="I2012" s="18" t="s">
        <v>2473</v>
      </c>
      <c r="J2012" s="18" t="s">
        <v>2473</v>
      </c>
      <c r="K2012" s="18" t="s">
        <v>2473</v>
      </c>
      <c r="L2012" s="18" t="s">
        <v>2336</v>
      </c>
      <c r="AU2012" s="6"/>
      <c r="AV2012" s="6" t="str">
        <f t="shared" si="35"/>
        <v/>
      </c>
    </row>
    <row r="2013" spans="1:48" x14ac:dyDescent="0.45">
      <c r="A2013" s="323" t="s">
        <v>2537</v>
      </c>
      <c r="B2013" s="324"/>
      <c r="C2013" s="324"/>
      <c r="D2013" s="324"/>
      <c r="E2013" s="324"/>
      <c r="F2013" s="324"/>
      <c r="G2013" s="101"/>
      <c r="H2013" s="101"/>
      <c r="I2013" s="18" t="s">
        <v>2473</v>
      </c>
      <c r="J2013" s="18" t="s">
        <v>2473</v>
      </c>
      <c r="K2013" s="18" t="s">
        <v>2473</v>
      </c>
      <c r="L2013" s="18" t="s">
        <v>2336</v>
      </c>
      <c r="AU2013" s="6"/>
      <c r="AV2013" s="6" t="str">
        <f t="shared" si="35"/>
        <v/>
      </c>
    </row>
    <row r="2014" spans="1:48" ht="14.65" thickBot="1" x14ac:dyDescent="0.5">
      <c r="A2014" s="28" t="s">
        <v>1702</v>
      </c>
      <c r="I2014" s="18" t="s">
        <v>2473</v>
      </c>
      <c r="J2014" s="18" t="s">
        <v>2473</v>
      </c>
      <c r="K2014" s="18" t="s">
        <v>2473</v>
      </c>
      <c r="L2014" s="18" t="s">
        <v>2336</v>
      </c>
      <c r="AA2014" s="183" t="s">
        <v>2322</v>
      </c>
      <c r="AB2014" s="183" t="s">
        <v>1697</v>
      </c>
      <c r="AC2014" s="183" t="s">
        <v>5</v>
      </c>
      <c r="AU2014" s="6"/>
      <c r="AV2014" s="6" t="str">
        <f t="shared" si="35"/>
        <v/>
      </c>
    </row>
    <row r="2015" spans="1:48" ht="116.65" thickBot="1" x14ac:dyDescent="0.5">
      <c r="A2015" s="309" t="s">
        <v>1703</v>
      </c>
      <c r="B2015" s="310"/>
      <c r="C2015" s="301" t="s">
        <v>1</v>
      </c>
      <c r="D2015" s="319"/>
      <c r="E2015" s="319"/>
      <c r="F2015" s="302"/>
      <c r="G2015" s="102"/>
      <c r="H2015" s="102"/>
      <c r="I2015" s="18" t="s">
        <v>2473</v>
      </c>
      <c r="L2015" s="18" t="s">
        <v>2336</v>
      </c>
      <c r="AA2015" s="183" t="str">
        <f>LEFT($A2015,FIND(" ",$A2015)-1)</f>
        <v>Task</v>
      </c>
      <c r="AB2015" s="183" t="str">
        <f>MID($A2015,FIND("(",$A2015)+1,LEN($A2015)-FIND("(",$A2015)-1)</f>
        <v>1.3.0</v>
      </c>
      <c r="AC2015" s="101" t="str">
        <f>A2013</f>
        <v>A Task resource contains information about a specific task scheduled by or being executed by a Redfish service’s task service.</v>
      </c>
      <c r="AU2015" s="6"/>
      <c r="AV2015" s="6" t="str">
        <f t="shared" si="35"/>
        <v/>
      </c>
    </row>
    <row r="2016" spans="1:48" ht="14.65" thickBot="1" x14ac:dyDescent="0.5">
      <c r="A2016" s="311"/>
      <c r="B2016" s="312"/>
      <c r="C2016" s="301" t="s">
        <v>2</v>
      </c>
      <c r="D2016" s="302"/>
      <c r="E2016" s="301" t="s">
        <v>3</v>
      </c>
      <c r="F2016" s="302"/>
      <c r="G2016" s="301" t="s">
        <v>2896</v>
      </c>
      <c r="H2016" s="302"/>
      <c r="I2016" s="18" t="s">
        <v>2473</v>
      </c>
      <c r="L2016" s="18" t="s">
        <v>2336</v>
      </c>
      <c r="AA2016" s="183" t="s">
        <v>2322</v>
      </c>
      <c r="AB2016" s="183" t="s">
        <v>1697</v>
      </c>
      <c r="AC2016" s="183" t="s">
        <v>5</v>
      </c>
      <c r="AU2016" s="6"/>
      <c r="AV2016" s="6" t="str">
        <f t="shared" si="35"/>
        <v/>
      </c>
    </row>
    <row r="2017" spans="1:48" ht="116.65" thickBot="1" x14ac:dyDescent="0.5">
      <c r="A2017" s="309" t="s">
        <v>3227</v>
      </c>
      <c r="B2017" s="310"/>
      <c r="C2017" s="301" t="s">
        <v>1</v>
      </c>
      <c r="D2017" s="319"/>
      <c r="E2017" s="319"/>
      <c r="F2017" s="302"/>
      <c r="G2017" s="102"/>
      <c r="H2017" s="102"/>
      <c r="J2017" s="18" t="s">
        <v>2473</v>
      </c>
      <c r="K2017" s="18" t="s">
        <v>2473</v>
      </c>
      <c r="L2017" s="18" t="s">
        <v>2336</v>
      </c>
      <c r="AA2017" s="183" t="str">
        <f>LEFT($A2017,FIND(" ",$A2017)-1)</f>
        <v>Task</v>
      </c>
      <c r="AB2017" s="183" t="str">
        <f>MID($A2017,FIND("(",$A2017)+1,LEN($A2017)-FIND("(",$A2017)-1)</f>
        <v>1.4.1</v>
      </c>
      <c r="AC2017" s="101" t="str">
        <f>AC2015</f>
        <v>A Task resource contains information about a specific task scheduled by or being executed by a Redfish service’s task service.</v>
      </c>
      <c r="AU2017" s="6"/>
      <c r="AV2017" s="6" t="str">
        <f t="shared" si="35"/>
        <v/>
      </c>
    </row>
    <row r="2018" spans="1:48" ht="14.65" thickBot="1" x14ac:dyDescent="0.5">
      <c r="A2018" s="311"/>
      <c r="B2018" s="312"/>
      <c r="C2018" s="301" t="s">
        <v>2</v>
      </c>
      <c r="D2018" s="302"/>
      <c r="E2018" s="301" t="s">
        <v>3</v>
      </c>
      <c r="F2018" s="302"/>
      <c r="G2018" s="301" t="s">
        <v>2896</v>
      </c>
      <c r="H2018" s="302"/>
      <c r="J2018" s="18" t="s">
        <v>2473</v>
      </c>
      <c r="K2018" s="18" t="s">
        <v>2473</v>
      </c>
      <c r="L2018" s="18" t="s">
        <v>2336</v>
      </c>
      <c r="AM2018" s="8" t="str">
        <f>C2018</f>
        <v>OSM-Redfish</v>
      </c>
      <c r="AN2018" s="8" t="str">
        <f>E2018</f>
        <v>OSM-RedfishBMC</v>
      </c>
      <c r="AO2018" s="8" t="str">
        <f>G2018</f>
        <v>OSM-RedfishDCN</v>
      </c>
      <c r="AU2018" s="6"/>
      <c r="AV2018" s="6" t="str">
        <f t="shared" si="35"/>
        <v/>
      </c>
    </row>
    <row r="2019" spans="1:48" ht="14.65" thickBot="1" x14ac:dyDescent="0.5">
      <c r="A2019" s="46" t="s">
        <v>2377</v>
      </c>
      <c r="B2019" s="47"/>
      <c r="C2019" s="303" t="s">
        <v>37</v>
      </c>
      <c r="D2019" s="304"/>
      <c r="E2019" s="303" t="s">
        <v>37</v>
      </c>
      <c r="F2019" s="304"/>
      <c r="G2019" s="303" t="s">
        <v>37</v>
      </c>
      <c r="H2019" s="304"/>
      <c r="I2019" s="18" t="s">
        <v>2473</v>
      </c>
      <c r="J2019" s="18" t="s">
        <v>2473</v>
      </c>
      <c r="K2019" s="18" t="s">
        <v>2473</v>
      </c>
      <c r="L2019" s="18" t="s">
        <v>2336</v>
      </c>
      <c r="AM2019" s="8" t="str">
        <f>IF(C2019&lt;&gt;"","CRQ-P5-"&amp;(AM$2+$AP2019*$AP$3),"")</f>
        <v>CRQ-P5-1236</v>
      </c>
      <c r="AN2019" s="8" t="str">
        <f>IF(E2019&lt;&gt;"","CRQ-P5-"&amp;(AN$2+$AP2019*$AP$3),"")</f>
        <v>CRQ-P5-1536</v>
      </c>
      <c r="AO2019" s="8" t="str">
        <f>IF(G2019&lt;&gt;"","CRQ-P5-"&amp;(AO$2+$AP2019*$AP$3),"")</f>
        <v>CRQ-P5-1836</v>
      </c>
      <c r="AP2019" s="8">
        <v>59</v>
      </c>
      <c r="AU2019" s="6"/>
      <c r="AV2019" s="6" t="str">
        <f t="shared" si="35"/>
        <v/>
      </c>
    </row>
    <row r="2020" spans="1:48" ht="14.65" thickBot="1" x14ac:dyDescent="0.5">
      <c r="A2020" s="29" t="s">
        <v>3394</v>
      </c>
      <c r="B2020" s="9"/>
      <c r="C2020" s="305" t="str">
        <f>MID($A2015,FIND("(",$A2015)+1,5)</f>
        <v>1.3.0</v>
      </c>
      <c r="D2020" s="306"/>
      <c r="E2020" s="305" t="s">
        <v>3407</v>
      </c>
      <c r="F2020" s="306"/>
      <c r="G2020" s="305" t="str">
        <f>MID($A2015,FIND("(",$A2015)+1,5)</f>
        <v>1.3.0</v>
      </c>
      <c r="H2020" s="306"/>
      <c r="I2020" s="18" t="s">
        <v>2473</v>
      </c>
      <c r="J2020" s="18" t="s">
        <v>2473</v>
      </c>
      <c r="K2020" s="18" t="s">
        <v>2473</v>
      </c>
      <c r="L2020" s="18" t="s">
        <v>2336</v>
      </c>
      <c r="AU2020" s="6"/>
      <c r="AV2020" s="6" t="str">
        <f t="shared" si="35"/>
        <v/>
      </c>
    </row>
    <row r="2021" spans="1:48" ht="14.65" thickBot="1" x14ac:dyDescent="0.5">
      <c r="A2021" s="30" t="s">
        <v>4</v>
      </c>
      <c r="B2021" s="59" t="s">
        <v>5</v>
      </c>
      <c r="C2021" s="7" t="s">
        <v>6</v>
      </c>
      <c r="D2021" s="7" t="s">
        <v>7</v>
      </c>
      <c r="E2021" s="7" t="s">
        <v>6</v>
      </c>
      <c r="F2021" s="7" t="s">
        <v>7</v>
      </c>
      <c r="G2021" s="7" t="s">
        <v>6</v>
      </c>
      <c r="H2021" s="7" t="s">
        <v>7</v>
      </c>
      <c r="I2021" s="18" t="s">
        <v>2473</v>
      </c>
      <c r="J2021" s="18" t="s">
        <v>2473</v>
      </c>
      <c r="K2021" s="18" t="s">
        <v>2473</v>
      </c>
      <c r="L2021" s="18" t="s">
        <v>2336</v>
      </c>
      <c r="AU2021" s="6"/>
      <c r="AV2021" s="6" t="str">
        <f t="shared" si="35"/>
        <v/>
      </c>
    </row>
    <row r="2022" spans="1:48" ht="14.65" thickBot="1" x14ac:dyDescent="0.5">
      <c r="A2022" s="36" t="s">
        <v>8</v>
      </c>
      <c r="B2022" s="3" t="s">
        <v>9</v>
      </c>
      <c r="C2022" s="4"/>
      <c r="D2022" s="4"/>
      <c r="E2022" s="4"/>
      <c r="F2022" s="4"/>
      <c r="G2022" s="4"/>
      <c r="H2022" s="4"/>
      <c r="I2022" s="18" t="s">
        <v>2473</v>
      </c>
      <c r="J2022" s="18" t="s">
        <v>2473</v>
      </c>
      <c r="K2022" s="18" t="s">
        <v>2473</v>
      </c>
      <c r="L2022" s="18" t="s">
        <v>2336</v>
      </c>
      <c r="AU2022" s="6"/>
      <c r="AV2022" s="6" t="str">
        <f t="shared" si="35"/>
        <v/>
      </c>
    </row>
    <row r="2023" spans="1:48" ht="14.65" thickBot="1" x14ac:dyDescent="0.5">
      <c r="A2023" s="36" t="s">
        <v>1571</v>
      </c>
      <c r="B2023" s="3" t="s">
        <v>1704</v>
      </c>
      <c r="C2023" s="4" t="s">
        <v>10</v>
      </c>
      <c r="D2023" s="4"/>
      <c r="E2023" s="4" t="s">
        <v>10</v>
      </c>
      <c r="F2023" s="4"/>
      <c r="G2023" s="4" t="s">
        <v>10</v>
      </c>
      <c r="H2023" s="4"/>
      <c r="I2023" s="18" t="s">
        <v>2473</v>
      </c>
      <c r="J2023" s="18" t="s">
        <v>2473</v>
      </c>
      <c r="K2023" s="18" t="s">
        <v>2473</v>
      </c>
      <c r="L2023" s="18" t="s">
        <v>2336</v>
      </c>
      <c r="AU2023" s="6"/>
      <c r="AV2023" s="6" t="str">
        <f t="shared" si="35"/>
        <v/>
      </c>
    </row>
    <row r="2024" spans="1:48" ht="35.25" thickBot="1" x14ac:dyDescent="0.5">
      <c r="A2024" s="38" t="s">
        <v>1573</v>
      </c>
      <c r="B2024" s="3" t="s">
        <v>1705</v>
      </c>
      <c r="C2024" s="4"/>
      <c r="D2024" s="4"/>
      <c r="E2024" s="4"/>
      <c r="F2024" s="4"/>
      <c r="G2024" s="4"/>
      <c r="H2024" s="4"/>
      <c r="I2024" s="18" t="s">
        <v>2473</v>
      </c>
      <c r="J2024" s="18" t="s">
        <v>2473</v>
      </c>
      <c r="K2024" s="18" t="s">
        <v>2473</v>
      </c>
      <c r="L2024" s="18" t="s">
        <v>2336</v>
      </c>
      <c r="AU2024" s="6"/>
      <c r="AV2024" s="6" t="str">
        <f t="shared" si="35"/>
        <v/>
      </c>
    </row>
    <row r="2025" spans="1:48" ht="23.65" thickBot="1" x14ac:dyDescent="0.5">
      <c r="A2025" s="36" t="s">
        <v>1156</v>
      </c>
      <c r="B2025" s="3" t="s">
        <v>3794</v>
      </c>
      <c r="C2025" s="4" t="s">
        <v>10</v>
      </c>
      <c r="D2025" s="4"/>
      <c r="E2025" s="4" t="s">
        <v>10</v>
      </c>
      <c r="F2025" s="4"/>
      <c r="G2025" s="4" t="s">
        <v>10</v>
      </c>
      <c r="H2025" s="4"/>
      <c r="I2025" s="18" t="s">
        <v>2473</v>
      </c>
      <c r="J2025" s="18" t="s">
        <v>2473</v>
      </c>
      <c r="K2025" s="18" t="s">
        <v>2473</v>
      </c>
      <c r="L2025" s="18" t="s">
        <v>2336</v>
      </c>
      <c r="AU2025" s="6"/>
      <c r="AV2025" s="6" t="str">
        <f t="shared" si="35"/>
        <v/>
      </c>
    </row>
    <row r="2026" spans="1:48" ht="47.65" thickBot="1" x14ac:dyDescent="0.5">
      <c r="A2026" s="38" t="s">
        <v>1582</v>
      </c>
      <c r="B2026" s="5" t="s">
        <v>1706</v>
      </c>
      <c r="C2026" s="4" t="s">
        <v>10</v>
      </c>
      <c r="D2026" s="4"/>
      <c r="E2026" s="4" t="s">
        <v>10</v>
      </c>
      <c r="F2026" s="4"/>
      <c r="G2026" s="4" t="s">
        <v>10</v>
      </c>
      <c r="H2026" s="4"/>
      <c r="I2026" s="18" t="s">
        <v>2473</v>
      </c>
      <c r="J2026" s="18" t="s">
        <v>2473</v>
      </c>
      <c r="K2026" s="18" t="s">
        <v>2473</v>
      </c>
      <c r="L2026" s="18" t="s">
        <v>2336</v>
      </c>
      <c r="AS2026" s="206" t="s">
        <v>5860</v>
      </c>
      <c r="AU2026" s="6"/>
      <c r="AV2026" s="6" t="str">
        <f t="shared" si="35"/>
        <v/>
      </c>
    </row>
    <row r="2027" spans="1:48" ht="14.65" thickBot="1" x14ac:dyDescent="0.5">
      <c r="A2027" s="37" t="s">
        <v>1584</v>
      </c>
      <c r="B2027" s="5" t="s">
        <v>1707</v>
      </c>
      <c r="C2027" s="4" t="s">
        <v>10</v>
      </c>
      <c r="D2027" s="4"/>
      <c r="E2027" s="4" t="s">
        <v>10</v>
      </c>
      <c r="F2027" s="4"/>
      <c r="G2027" s="4" t="s">
        <v>10</v>
      </c>
      <c r="H2027" s="4"/>
      <c r="I2027" s="18" t="s">
        <v>2473</v>
      </c>
      <c r="J2027" s="18" t="s">
        <v>2473</v>
      </c>
      <c r="K2027" s="18" t="s">
        <v>2473</v>
      </c>
      <c r="L2027" s="18" t="s">
        <v>2336</v>
      </c>
      <c r="AU2027" s="6"/>
      <c r="AV2027" s="6" t="str">
        <f t="shared" si="35"/>
        <v/>
      </c>
    </row>
    <row r="2028" spans="1:48" ht="14.65" thickBot="1" x14ac:dyDescent="0.5">
      <c r="A2028" s="37" t="s">
        <v>1586</v>
      </c>
      <c r="B2028" s="5" t="s">
        <v>1708</v>
      </c>
      <c r="C2028" s="4" t="s">
        <v>10</v>
      </c>
      <c r="D2028" s="4"/>
      <c r="E2028" s="4" t="s">
        <v>10</v>
      </c>
      <c r="F2028" s="4"/>
      <c r="G2028" s="4" t="s">
        <v>10</v>
      </c>
      <c r="H2028" s="4"/>
      <c r="I2028" s="18" t="s">
        <v>2473</v>
      </c>
      <c r="J2028" s="18" t="s">
        <v>2473</v>
      </c>
      <c r="K2028" s="18" t="s">
        <v>2473</v>
      </c>
      <c r="L2028" s="18" t="s">
        <v>2336</v>
      </c>
      <c r="AU2028" s="6"/>
      <c r="AV2028" s="6" t="str">
        <f t="shared" si="35"/>
        <v/>
      </c>
    </row>
    <row r="2029" spans="1:48" ht="23.65" thickBot="1" x14ac:dyDescent="0.5">
      <c r="A2029" s="37" t="s">
        <v>1588</v>
      </c>
      <c r="B2029" s="5" t="s">
        <v>1709</v>
      </c>
      <c r="C2029" s="4" t="s">
        <v>10</v>
      </c>
      <c r="D2029" s="4"/>
      <c r="E2029" s="4" t="s">
        <v>10</v>
      </c>
      <c r="F2029" s="4"/>
      <c r="G2029" s="4" t="s">
        <v>10</v>
      </c>
      <c r="H2029" s="4"/>
      <c r="I2029" s="18" t="s">
        <v>2473</v>
      </c>
      <c r="J2029" s="18" t="s">
        <v>2473</v>
      </c>
      <c r="K2029" s="18" t="s">
        <v>2473</v>
      </c>
      <c r="L2029" s="18" t="s">
        <v>2336</v>
      </c>
      <c r="AU2029" s="6"/>
      <c r="AV2029" s="6" t="str">
        <f t="shared" si="35"/>
        <v/>
      </c>
    </row>
    <row r="2030" spans="1:48" ht="14.65" thickBot="1" x14ac:dyDescent="0.5">
      <c r="A2030" s="37" t="s">
        <v>1590</v>
      </c>
      <c r="B2030" s="5" t="s">
        <v>1710</v>
      </c>
      <c r="C2030" s="4" t="s">
        <v>10</v>
      </c>
      <c r="D2030" s="4"/>
      <c r="E2030" s="4" t="s">
        <v>10</v>
      </c>
      <c r="F2030" s="4"/>
      <c r="G2030" s="4" t="s">
        <v>10</v>
      </c>
      <c r="H2030" s="4"/>
      <c r="I2030" s="18" t="s">
        <v>2473</v>
      </c>
      <c r="J2030" s="18" t="s">
        <v>2473</v>
      </c>
      <c r="K2030" s="18" t="s">
        <v>2473</v>
      </c>
      <c r="L2030" s="18" t="s">
        <v>2336</v>
      </c>
      <c r="AU2030" s="6"/>
      <c r="AV2030" s="6" t="str">
        <f t="shared" si="35"/>
        <v/>
      </c>
    </row>
    <row r="2031" spans="1:48" ht="14.65" thickBot="1" x14ac:dyDescent="0.5">
      <c r="A2031" s="36" t="s">
        <v>1592</v>
      </c>
      <c r="B2031" s="3" t="s">
        <v>3226</v>
      </c>
      <c r="C2031" s="4" t="s">
        <v>13</v>
      </c>
      <c r="D2031" s="4"/>
      <c r="E2031" s="4" t="s">
        <v>13</v>
      </c>
      <c r="F2031" s="4"/>
      <c r="G2031" s="4" t="s">
        <v>13</v>
      </c>
      <c r="H2031" s="4"/>
      <c r="J2031" s="18" t="s">
        <v>2473</v>
      </c>
      <c r="K2031" s="18" t="s">
        <v>2473</v>
      </c>
      <c r="L2031" s="18" t="s">
        <v>2336</v>
      </c>
      <c r="AU2031" s="6"/>
      <c r="AV2031" s="6" t="str">
        <f t="shared" si="35"/>
        <v/>
      </c>
    </row>
    <row r="2032" spans="1:48" ht="14.65" thickBot="1" x14ac:dyDescent="0.5">
      <c r="A2032" s="36" t="s">
        <v>1595</v>
      </c>
      <c r="B2032" s="3" t="s">
        <v>1711</v>
      </c>
      <c r="C2032" s="4" t="s">
        <v>10</v>
      </c>
      <c r="D2032" s="4"/>
      <c r="E2032" s="4" t="s">
        <v>10</v>
      </c>
      <c r="F2032" s="4"/>
      <c r="G2032" s="4" t="s">
        <v>10</v>
      </c>
      <c r="H2032" s="4"/>
      <c r="I2032" s="18" t="s">
        <v>2473</v>
      </c>
      <c r="J2032" s="18" t="s">
        <v>2473</v>
      </c>
      <c r="K2032" s="18" t="s">
        <v>2473</v>
      </c>
      <c r="L2032" s="18" t="s">
        <v>2336</v>
      </c>
      <c r="AU2032" s="6"/>
      <c r="AV2032" s="6" t="str">
        <f t="shared" si="35"/>
        <v/>
      </c>
    </row>
    <row r="2033" spans="1:48" ht="14.65" thickBot="1" x14ac:dyDescent="0.5">
      <c r="A2033" s="36" t="s">
        <v>1712</v>
      </c>
      <c r="B2033" s="3" t="s">
        <v>1713</v>
      </c>
      <c r="C2033" s="4" t="s">
        <v>10</v>
      </c>
      <c r="D2033" s="4"/>
      <c r="E2033" s="4" t="s">
        <v>10</v>
      </c>
      <c r="F2033" s="4"/>
      <c r="G2033" s="4" t="s">
        <v>10</v>
      </c>
      <c r="H2033" s="4"/>
      <c r="I2033" s="18" t="s">
        <v>2473</v>
      </c>
      <c r="J2033" s="18" t="s">
        <v>2473</v>
      </c>
      <c r="K2033" s="18" t="s">
        <v>2473</v>
      </c>
      <c r="L2033" s="18" t="s">
        <v>2336</v>
      </c>
      <c r="AU2033" s="6"/>
      <c r="AV2033" s="6" t="str">
        <f t="shared" si="35"/>
        <v/>
      </c>
    </row>
    <row r="2034" spans="1:48" ht="14.65" thickBot="1" x14ac:dyDescent="0.5">
      <c r="A2034" s="36" t="s">
        <v>1714</v>
      </c>
      <c r="B2034" s="3" t="s">
        <v>1715</v>
      </c>
      <c r="C2034" s="4" t="s">
        <v>10</v>
      </c>
      <c r="D2034" s="4"/>
      <c r="E2034" s="4" t="s">
        <v>10</v>
      </c>
      <c r="F2034" s="4"/>
      <c r="G2034" s="4" t="s">
        <v>10</v>
      </c>
      <c r="H2034" s="4"/>
      <c r="I2034" s="18" t="s">
        <v>2473</v>
      </c>
      <c r="J2034" s="18" t="s">
        <v>2473</v>
      </c>
      <c r="K2034" s="18" t="s">
        <v>2473</v>
      </c>
      <c r="L2034" s="18" t="s">
        <v>2336</v>
      </c>
      <c r="AU2034" s="6"/>
      <c r="AV2034" s="6" t="str">
        <f t="shared" si="35"/>
        <v/>
      </c>
    </row>
    <row r="2035" spans="1:48" ht="14.65" thickBot="1" x14ac:dyDescent="0.5">
      <c r="A2035" s="36" t="s">
        <v>1716</v>
      </c>
      <c r="B2035" s="3" t="s">
        <v>1717</v>
      </c>
      <c r="C2035" s="4" t="s">
        <v>10</v>
      </c>
      <c r="D2035" s="4"/>
      <c r="E2035" s="4" t="s">
        <v>10</v>
      </c>
      <c r="F2035" s="4"/>
      <c r="G2035" s="4" t="s">
        <v>10</v>
      </c>
      <c r="H2035" s="4"/>
      <c r="I2035" s="18" t="s">
        <v>2473</v>
      </c>
      <c r="J2035" s="18" t="s">
        <v>2473</v>
      </c>
      <c r="K2035" s="18" t="s">
        <v>2473</v>
      </c>
      <c r="L2035" s="18" t="s">
        <v>2336</v>
      </c>
      <c r="AU2035" s="6"/>
      <c r="AV2035" s="6" t="str">
        <f t="shared" si="35"/>
        <v/>
      </c>
    </row>
    <row r="2036" spans="1:48" x14ac:dyDescent="0.45">
      <c r="A2036" s="33" t="s">
        <v>1718</v>
      </c>
      <c r="I2036" s="18" t="s">
        <v>2473</v>
      </c>
      <c r="J2036" s="18" t="s">
        <v>2473</v>
      </c>
      <c r="K2036" s="18" t="s">
        <v>2473</v>
      </c>
      <c r="L2036" s="18" t="s">
        <v>2336</v>
      </c>
      <c r="AU2036" s="6"/>
      <c r="AV2036" s="6" t="str">
        <f t="shared" si="35"/>
        <v/>
      </c>
    </row>
    <row r="2037" spans="1:48" x14ac:dyDescent="0.45">
      <c r="A2037" s="34" t="s">
        <v>1719</v>
      </c>
      <c r="I2037" s="18" t="s">
        <v>2473</v>
      </c>
      <c r="J2037" s="18" t="s">
        <v>2473</v>
      </c>
      <c r="K2037" s="18" t="s">
        <v>2473</v>
      </c>
      <c r="L2037" s="18" t="s">
        <v>2336</v>
      </c>
      <c r="AU2037" s="6"/>
      <c r="AV2037" s="6" t="str">
        <f t="shared" si="35"/>
        <v/>
      </c>
    </row>
    <row r="2038" spans="1:48" s="79" customFormat="1" x14ac:dyDescent="0.45">
      <c r="A2038" s="75"/>
      <c r="B2038" s="76"/>
      <c r="C2038" s="77"/>
      <c r="D2038" s="77"/>
      <c r="E2038" s="77"/>
      <c r="F2038" s="77"/>
      <c r="G2038" s="77"/>
      <c r="H2038" s="77"/>
      <c r="I2038" s="77"/>
      <c r="J2038" s="77"/>
      <c r="K2038" s="77"/>
      <c r="L2038" s="77"/>
      <c r="M2038" s="148"/>
      <c r="N2038" s="78"/>
      <c r="O2038" s="78"/>
      <c r="P2038" s="78"/>
      <c r="Q2038" s="78"/>
      <c r="R2038" s="78"/>
      <c r="S2038" s="78"/>
      <c r="T2038" s="78"/>
      <c r="U2038" s="78"/>
      <c r="V2038" s="78"/>
      <c r="W2038" s="78"/>
      <c r="X2038" s="78"/>
      <c r="Y2038" s="148"/>
      <c r="Z2038" s="78"/>
      <c r="AA2038" s="78"/>
      <c r="AB2038" s="78"/>
      <c r="AC2038" s="78"/>
      <c r="AD2038" s="78"/>
      <c r="AE2038" s="156"/>
      <c r="AF2038" s="156"/>
      <c r="AG2038" s="78"/>
      <c r="AH2038" s="78"/>
      <c r="AI2038" s="78"/>
      <c r="AJ2038" s="78"/>
      <c r="AK2038" s="78"/>
      <c r="AL2038" s="78"/>
      <c r="AM2038" s="78"/>
      <c r="AN2038" s="78"/>
      <c r="AO2038" s="78"/>
      <c r="AP2038" s="78"/>
      <c r="AQ2038" s="78"/>
      <c r="AR2038" s="286"/>
      <c r="AS2038" s="78"/>
      <c r="AT2038" s="78"/>
      <c r="AU2038" s="8"/>
      <c r="AV2038" s="6" t="str">
        <f t="shared" si="35"/>
        <v/>
      </c>
    </row>
    <row r="2039" spans="1:48" x14ac:dyDescent="0.45">
      <c r="A2039" s="27" t="s">
        <v>2452</v>
      </c>
      <c r="I2039" s="18" t="s">
        <v>2473</v>
      </c>
      <c r="J2039" s="18" t="s">
        <v>2473</v>
      </c>
      <c r="K2039" s="18" t="s">
        <v>2473</v>
      </c>
      <c r="L2039" s="18" t="s">
        <v>2336</v>
      </c>
      <c r="AU2039" s="6"/>
      <c r="AV2039" s="6" t="str">
        <f t="shared" si="35"/>
        <v/>
      </c>
    </row>
    <row r="2040" spans="1:48" x14ac:dyDescent="0.45">
      <c r="A2040" s="323" t="s">
        <v>2538</v>
      </c>
      <c r="B2040" s="324"/>
      <c r="C2040" s="324"/>
      <c r="D2040" s="324"/>
      <c r="E2040" s="324"/>
      <c r="F2040" s="324"/>
      <c r="G2040" s="101"/>
      <c r="H2040" s="101"/>
      <c r="I2040" s="18" t="s">
        <v>2473</v>
      </c>
      <c r="J2040" s="18" t="s">
        <v>2473</v>
      </c>
      <c r="K2040" s="18" t="s">
        <v>2473</v>
      </c>
      <c r="L2040" s="18" t="s">
        <v>2336</v>
      </c>
      <c r="AU2040" s="6"/>
      <c r="AV2040" s="6" t="str">
        <f t="shared" si="35"/>
        <v/>
      </c>
    </row>
    <row r="2041" spans="1:48" ht="14.65" thickBot="1" x14ac:dyDescent="0.5">
      <c r="A2041" s="28" t="s">
        <v>1720</v>
      </c>
      <c r="I2041" s="18" t="s">
        <v>2473</v>
      </c>
      <c r="J2041" s="18" t="s">
        <v>2473</v>
      </c>
      <c r="K2041" s="18" t="s">
        <v>2473</v>
      </c>
      <c r="L2041" s="18" t="s">
        <v>2336</v>
      </c>
      <c r="AA2041" s="183" t="s">
        <v>2322</v>
      </c>
      <c r="AB2041" s="183" t="s">
        <v>1697</v>
      </c>
      <c r="AC2041" s="183" t="s">
        <v>5</v>
      </c>
      <c r="AU2041" s="6"/>
      <c r="AV2041" s="6" t="str">
        <f t="shared" si="35"/>
        <v/>
      </c>
    </row>
    <row r="2042" spans="1:48" ht="93.4" thickBot="1" x14ac:dyDescent="0.5">
      <c r="A2042" s="309" t="s">
        <v>1721</v>
      </c>
      <c r="B2042" s="310"/>
      <c r="C2042" s="301" t="s">
        <v>1</v>
      </c>
      <c r="D2042" s="319"/>
      <c r="E2042" s="319"/>
      <c r="F2042" s="302"/>
      <c r="G2042" s="102"/>
      <c r="H2042" s="102"/>
      <c r="I2042" s="18" t="s">
        <v>2473</v>
      </c>
      <c r="L2042" s="18" t="s">
        <v>2336</v>
      </c>
      <c r="AA2042" s="183" t="str">
        <f>LEFT($A2042,FIND(" ",$A2042)-1)</f>
        <v>TaskService</v>
      </c>
      <c r="AB2042" s="183" t="str">
        <f>MID($A2042,FIND("(",$A2042)+1,LEN($A2042)-FIND("(",$A2042)-1)</f>
        <v>1.1.2</v>
      </c>
      <c r="AC2042" s="101" t="str">
        <f>A2040</f>
        <v>The TaskService represents the properties for the service itself and has links to the actual list of tasks.</v>
      </c>
      <c r="AU2042" s="6"/>
      <c r="AV2042" s="6" t="str">
        <f t="shared" si="35"/>
        <v/>
      </c>
    </row>
    <row r="2043" spans="1:48" ht="14.65" thickBot="1" x14ac:dyDescent="0.5">
      <c r="A2043" s="311"/>
      <c r="B2043" s="312"/>
      <c r="C2043" s="301" t="s">
        <v>2</v>
      </c>
      <c r="D2043" s="302"/>
      <c r="E2043" s="301" t="s">
        <v>3</v>
      </c>
      <c r="F2043" s="302"/>
      <c r="G2043" s="301" t="s">
        <v>2896</v>
      </c>
      <c r="H2043" s="302"/>
      <c r="I2043" s="18" t="s">
        <v>2473</v>
      </c>
      <c r="L2043" s="18" t="s">
        <v>2336</v>
      </c>
      <c r="AA2043" s="183" t="s">
        <v>2322</v>
      </c>
      <c r="AB2043" s="183" t="s">
        <v>1697</v>
      </c>
      <c r="AC2043" s="183" t="s">
        <v>5</v>
      </c>
      <c r="AU2043" s="6"/>
      <c r="AV2043" s="6" t="str">
        <f t="shared" si="35"/>
        <v/>
      </c>
    </row>
    <row r="2044" spans="1:48" ht="93.4" thickBot="1" x14ac:dyDescent="0.5">
      <c r="A2044" s="309" t="s">
        <v>3228</v>
      </c>
      <c r="B2044" s="310"/>
      <c r="C2044" s="301" t="s">
        <v>1</v>
      </c>
      <c r="D2044" s="319"/>
      <c r="E2044" s="319"/>
      <c r="F2044" s="302"/>
      <c r="G2044" s="102"/>
      <c r="H2044" s="102"/>
      <c r="J2044" s="18" t="s">
        <v>2473</v>
      </c>
      <c r="K2044" s="18" t="s">
        <v>2473</v>
      </c>
      <c r="L2044" s="18" t="s">
        <v>2336</v>
      </c>
      <c r="AA2044" s="183" t="str">
        <f>LEFT($A2044,FIND(" ",$A2044)-1)</f>
        <v>TaskService</v>
      </c>
      <c r="AB2044" s="183" t="str">
        <f>MID($A2044,FIND("(",$A2044)+1,LEN($A2044)-FIND("(",$A2044)-1)</f>
        <v>1.1.3</v>
      </c>
      <c r="AC2044" s="101" t="str">
        <f>AC2042</f>
        <v>The TaskService represents the properties for the service itself and has links to the actual list of tasks.</v>
      </c>
      <c r="AU2044" s="6"/>
      <c r="AV2044" s="6" t="str">
        <f t="shared" si="35"/>
        <v/>
      </c>
    </row>
    <row r="2045" spans="1:48" ht="14.65" thickBot="1" x14ac:dyDescent="0.5">
      <c r="A2045" s="311"/>
      <c r="B2045" s="312"/>
      <c r="C2045" s="301" t="s">
        <v>2</v>
      </c>
      <c r="D2045" s="302"/>
      <c r="E2045" s="301" t="s">
        <v>3</v>
      </c>
      <c r="F2045" s="302"/>
      <c r="G2045" s="301" t="s">
        <v>2896</v>
      </c>
      <c r="H2045" s="302"/>
      <c r="J2045" s="18" t="s">
        <v>2473</v>
      </c>
      <c r="K2045" s="18" t="s">
        <v>2473</v>
      </c>
      <c r="L2045" s="18" t="s">
        <v>2336</v>
      </c>
      <c r="AM2045" s="8" t="str">
        <f>C2045</f>
        <v>OSM-Redfish</v>
      </c>
      <c r="AN2045" s="8" t="str">
        <f>E2045</f>
        <v>OSM-RedfishBMC</v>
      </c>
      <c r="AO2045" s="8" t="str">
        <f>G2045</f>
        <v>OSM-RedfishDCN</v>
      </c>
      <c r="AU2045" s="6"/>
      <c r="AV2045" s="6" t="str">
        <f t="shared" si="35"/>
        <v/>
      </c>
    </row>
    <row r="2046" spans="1:48" ht="14.65" thickBot="1" x14ac:dyDescent="0.5">
      <c r="A2046" s="46" t="s">
        <v>2377</v>
      </c>
      <c r="B2046" s="47"/>
      <c r="C2046" s="303" t="s">
        <v>37</v>
      </c>
      <c r="D2046" s="304"/>
      <c r="E2046" s="303" t="s">
        <v>37</v>
      </c>
      <c r="F2046" s="304"/>
      <c r="G2046" s="303" t="s">
        <v>37</v>
      </c>
      <c r="H2046" s="304"/>
      <c r="I2046" s="18" t="s">
        <v>2473</v>
      </c>
      <c r="J2046" s="18" t="s">
        <v>2473</v>
      </c>
      <c r="K2046" s="18" t="s">
        <v>2473</v>
      </c>
      <c r="L2046" s="18" t="s">
        <v>2336</v>
      </c>
      <c r="AM2046" s="8" t="str">
        <f>IF(C2046&lt;&gt;"","CRQ-P5-"&amp;(AM$2+$AP2046*$AP$3),"")</f>
        <v>CRQ-P5-1240</v>
      </c>
      <c r="AN2046" s="8" t="str">
        <f>IF(E2046&lt;&gt;"","CRQ-P5-"&amp;(AN$2+$AP2046*$AP$3),"")</f>
        <v>CRQ-P5-1540</v>
      </c>
      <c r="AO2046" s="8" t="str">
        <f>IF(G2046&lt;&gt;"","CRQ-P5-"&amp;(AO$2+$AP2046*$AP$3),"")</f>
        <v>CRQ-P5-1840</v>
      </c>
      <c r="AP2046" s="8">
        <v>60</v>
      </c>
      <c r="AU2046" s="6"/>
      <c r="AV2046" s="6" t="str">
        <f t="shared" si="35"/>
        <v/>
      </c>
    </row>
    <row r="2047" spans="1:48" ht="14.65" thickBot="1" x14ac:dyDescent="0.5">
      <c r="A2047" s="29" t="s">
        <v>3394</v>
      </c>
      <c r="B2047" s="9"/>
      <c r="C2047" s="305" t="str">
        <f>MID($A2042,FIND("(",$A2042)+1,5)</f>
        <v>1.1.2</v>
      </c>
      <c r="D2047" s="306"/>
      <c r="E2047" s="305" t="s">
        <v>3407</v>
      </c>
      <c r="F2047" s="306"/>
      <c r="G2047" s="305" t="str">
        <f>MID($A2042,FIND("(",$A2042)+1,5)</f>
        <v>1.1.2</v>
      </c>
      <c r="H2047" s="306"/>
      <c r="I2047" s="18" t="s">
        <v>2473</v>
      </c>
      <c r="J2047" s="18" t="s">
        <v>2473</v>
      </c>
      <c r="K2047" s="18" t="s">
        <v>2473</v>
      </c>
      <c r="L2047" s="18" t="s">
        <v>2336</v>
      </c>
      <c r="AU2047" s="6"/>
      <c r="AV2047" s="6" t="str">
        <f t="shared" si="35"/>
        <v/>
      </c>
    </row>
    <row r="2048" spans="1:48" ht="14.65" thickBot="1" x14ac:dyDescent="0.5">
      <c r="A2048" s="30" t="s">
        <v>4</v>
      </c>
      <c r="B2048" s="59" t="s">
        <v>5</v>
      </c>
      <c r="C2048" s="7" t="s">
        <v>6</v>
      </c>
      <c r="D2048" s="7" t="s">
        <v>7</v>
      </c>
      <c r="E2048" s="7" t="s">
        <v>6</v>
      </c>
      <c r="F2048" s="7" t="s">
        <v>7</v>
      </c>
      <c r="G2048" s="7" t="s">
        <v>6</v>
      </c>
      <c r="H2048" s="7" t="s">
        <v>7</v>
      </c>
      <c r="I2048" s="18" t="s">
        <v>2473</v>
      </c>
      <c r="J2048" s="18" t="s">
        <v>2473</v>
      </c>
      <c r="K2048" s="18" t="s">
        <v>2473</v>
      </c>
      <c r="L2048" s="18" t="s">
        <v>2336</v>
      </c>
      <c r="AU2048" s="6"/>
      <c r="AV2048" s="6" t="str">
        <f t="shared" si="35"/>
        <v/>
      </c>
    </row>
    <row r="2049" spans="1:48" ht="14.65" thickBot="1" x14ac:dyDescent="0.5">
      <c r="A2049" s="36" t="s">
        <v>8</v>
      </c>
      <c r="B2049" s="3" t="s">
        <v>9</v>
      </c>
      <c r="C2049" s="4"/>
      <c r="D2049" s="4"/>
      <c r="E2049" s="4"/>
      <c r="F2049" s="4"/>
      <c r="G2049" s="4"/>
      <c r="H2049" s="4"/>
      <c r="I2049" s="18" t="s">
        <v>2473</v>
      </c>
      <c r="J2049" s="18" t="s">
        <v>2473</v>
      </c>
      <c r="K2049" s="18" t="s">
        <v>2473</v>
      </c>
      <c r="L2049" s="18" t="s">
        <v>2336</v>
      </c>
      <c r="AU2049" s="6"/>
      <c r="AV2049" s="6" t="str">
        <f t="shared" si="35"/>
        <v/>
      </c>
    </row>
    <row r="2050" spans="1:48" ht="14.65" thickBot="1" x14ac:dyDescent="0.5">
      <c r="A2050" s="36" t="s">
        <v>1722</v>
      </c>
      <c r="B2050" s="3" t="s">
        <v>1723</v>
      </c>
      <c r="C2050" s="4" t="s">
        <v>10</v>
      </c>
      <c r="D2050" s="4"/>
      <c r="E2050" s="4" t="s">
        <v>10</v>
      </c>
      <c r="F2050" s="4"/>
      <c r="G2050" s="4" t="s">
        <v>10</v>
      </c>
      <c r="H2050" s="4"/>
      <c r="I2050" s="18" t="s">
        <v>2473</v>
      </c>
      <c r="J2050" s="18" t="s">
        <v>2473</v>
      </c>
      <c r="K2050" s="18" t="s">
        <v>2473</v>
      </c>
      <c r="L2050" s="18" t="s">
        <v>2336</v>
      </c>
      <c r="AU2050" s="6"/>
      <c r="AV2050" s="6" t="str">
        <f t="shared" si="35"/>
        <v/>
      </c>
    </row>
    <row r="2051" spans="1:48" ht="14.65" thickBot="1" x14ac:dyDescent="0.5">
      <c r="A2051" s="36" t="s">
        <v>636</v>
      </c>
      <c r="B2051" s="3" t="s">
        <v>1724</v>
      </c>
      <c r="C2051" s="4" t="s">
        <v>10</v>
      </c>
      <c r="D2051" s="4"/>
      <c r="E2051" s="4" t="s">
        <v>10</v>
      </c>
      <c r="F2051" s="4"/>
      <c r="G2051" s="4" t="s">
        <v>10</v>
      </c>
      <c r="H2051" s="4"/>
      <c r="I2051" s="18" t="s">
        <v>2473</v>
      </c>
      <c r="J2051" s="18" t="s">
        <v>2473</v>
      </c>
      <c r="K2051" s="18" t="s">
        <v>2473</v>
      </c>
      <c r="L2051" s="18" t="s">
        <v>2336</v>
      </c>
      <c r="AU2051" s="6"/>
      <c r="AV2051" s="6" t="str">
        <f t="shared" si="35"/>
        <v/>
      </c>
    </row>
    <row r="2052" spans="1:48" ht="14.65" thickBot="1" x14ac:dyDescent="0.5">
      <c r="A2052" s="36" t="s">
        <v>1725</v>
      </c>
      <c r="B2052" s="3" t="s">
        <v>1726</v>
      </c>
      <c r="C2052" s="4" t="s">
        <v>10</v>
      </c>
      <c r="D2052" s="4"/>
      <c r="E2052" s="4" t="s">
        <v>10</v>
      </c>
      <c r="F2052" s="4"/>
      <c r="G2052" s="4" t="s">
        <v>10</v>
      </c>
      <c r="H2052" s="4"/>
      <c r="I2052" s="18" t="s">
        <v>2473</v>
      </c>
      <c r="J2052" s="18" t="s">
        <v>2473</v>
      </c>
      <c r="K2052" s="18" t="s">
        <v>2473</v>
      </c>
      <c r="L2052" s="18" t="s">
        <v>2336</v>
      </c>
      <c r="AU2052" s="6"/>
      <c r="AV2052" s="6" t="str">
        <f t="shared" si="35"/>
        <v/>
      </c>
    </row>
    <row r="2053" spans="1:48" ht="14.65" thickBot="1" x14ac:dyDescent="0.5">
      <c r="A2053" s="36" t="s">
        <v>577</v>
      </c>
      <c r="B2053" s="3" t="s">
        <v>578</v>
      </c>
      <c r="C2053" s="4" t="s">
        <v>10</v>
      </c>
      <c r="D2053" s="4" t="s">
        <v>10</v>
      </c>
      <c r="E2053" s="4" t="s">
        <v>10</v>
      </c>
      <c r="F2053" s="4" t="s">
        <v>10</v>
      </c>
      <c r="G2053" s="4" t="s">
        <v>10</v>
      </c>
      <c r="H2053" s="4" t="s">
        <v>10</v>
      </c>
      <c r="I2053" s="18" t="s">
        <v>2473</v>
      </c>
      <c r="J2053" s="18" t="s">
        <v>2473</v>
      </c>
      <c r="K2053" s="18" t="s">
        <v>2473</v>
      </c>
      <c r="L2053" s="18" t="s">
        <v>2336</v>
      </c>
      <c r="AU2053" s="6"/>
      <c r="AV2053" s="6" t="str">
        <f t="shared" si="35"/>
        <v/>
      </c>
    </row>
    <row r="2054" spans="1:48" ht="105.75" thickBot="1" x14ac:dyDescent="0.5">
      <c r="A2054" s="36" t="s">
        <v>145</v>
      </c>
      <c r="B2054" s="3" t="s">
        <v>3968</v>
      </c>
      <c r="C2054" s="4" t="s">
        <v>10</v>
      </c>
      <c r="D2054" s="4"/>
      <c r="E2054" s="4" t="s">
        <v>10</v>
      </c>
      <c r="F2054" s="4"/>
      <c r="G2054" s="4" t="s">
        <v>10</v>
      </c>
      <c r="H2054" s="4"/>
      <c r="I2054" s="18" t="s">
        <v>2473</v>
      </c>
      <c r="J2054" s="18" t="s">
        <v>2473</v>
      </c>
      <c r="K2054" s="18" t="s">
        <v>2473</v>
      </c>
      <c r="L2054" s="18" t="s">
        <v>2336</v>
      </c>
      <c r="AS2054" s="206" t="s">
        <v>5861</v>
      </c>
      <c r="AU2054" s="6"/>
      <c r="AV2054" s="6" t="str">
        <f t="shared" si="35"/>
        <v/>
      </c>
    </row>
    <row r="2055" spans="1:48" ht="47.65" thickBot="1" x14ac:dyDescent="0.5">
      <c r="A2055" s="35" t="s">
        <v>5361</v>
      </c>
      <c r="B2055" s="3" t="s">
        <v>5352</v>
      </c>
      <c r="C2055" s="4" t="s">
        <v>10</v>
      </c>
      <c r="D2055" s="4"/>
      <c r="E2055" s="4" t="s">
        <v>10</v>
      </c>
      <c r="F2055" s="4"/>
      <c r="G2055" s="4" t="s">
        <v>10</v>
      </c>
      <c r="H2055" s="4"/>
      <c r="I2055" s="18" t="s">
        <v>2473</v>
      </c>
      <c r="J2055" s="18" t="s">
        <v>2473</v>
      </c>
      <c r="K2055" s="18" t="s">
        <v>2473</v>
      </c>
      <c r="Q2055" s="131"/>
      <c r="R2055" s="131"/>
      <c r="S2055" s="131"/>
      <c r="T2055" s="131"/>
      <c r="U2055" s="131"/>
      <c r="V2055" s="131"/>
      <c r="W2055" s="131"/>
      <c r="X2055" s="131"/>
      <c r="AS2055" s="139" t="s">
        <v>5355</v>
      </c>
      <c r="AU2055" s="6"/>
      <c r="AV2055" s="6"/>
    </row>
    <row r="2056" spans="1:48" ht="82.5" thickBot="1" x14ac:dyDescent="0.5">
      <c r="A2056" s="35" t="s">
        <v>5360</v>
      </c>
      <c r="B2056" s="3" t="s">
        <v>5353</v>
      </c>
      <c r="C2056" s="4"/>
      <c r="D2056" s="4"/>
      <c r="E2056" s="4"/>
      <c r="F2056" s="4"/>
      <c r="G2056" s="4"/>
      <c r="H2056" s="4"/>
      <c r="I2056" s="18" t="s">
        <v>2473</v>
      </c>
      <c r="J2056" s="18" t="s">
        <v>2473</v>
      </c>
      <c r="K2056" s="18" t="s">
        <v>2473</v>
      </c>
      <c r="Q2056" s="131"/>
      <c r="R2056" s="131"/>
      <c r="S2056" s="131"/>
      <c r="T2056" s="131"/>
      <c r="U2056" s="131"/>
      <c r="V2056" s="131"/>
      <c r="W2056" s="131"/>
      <c r="X2056" s="131"/>
      <c r="AS2056" s="139" t="s">
        <v>5356</v>
      </c>
      <c r="AU2056" s="6"/>
      <c r="AV2056" s="6"/>
    </row>
    <row r="2057" spans="1:48" ht="14.65" thickBot="1" x14ac:dyDescent="0.5">
      <c r="A2057" s="36" t="s">
        <v>1016</v>
      </c>
      <c r="B2057" s="3" t="s">
        <v>1727</v>
      </c>
      <c r="C2057" s="4" t="s">
        <v>10</v>
      </c>
      <c r="D2057" s="4"/>
      <c r="E2057" s="4" t="s">
        <v>10</v>
      </c>
      <c r="F2057" s="4"/>
      <c r="G2057" s="4" t="s">
        <v>10</v>
      </c>
      <c r="H2057" s="4"/>
      <c r="I2057" s="18" t="s">
        <v>2473</v>
      </c>
      <c r="J2057" s="18" t="s">
        <v>2473</v>
      </c>
      <c r="K2057" s="18" t="s">
        <v>2473</v>
      </c>
      <c r="L2057" s="18" t="s">
        <v>2336</v>
      </c>
      <c r="AU2057" s="6"/>
      <c r="AV2057" s="6" t="str">
        <f t="shared" si="35"/>
        <v/>
      </c>
    </row>
    <row r="2058" spans="1:48" ht="14.65" thickBot="1" x14ac:dyDescent="0.5">
      <c r="A2058" s="35" t="s">
        <v>33</v>
      </c>
      <c r="B2058" s="3" t="s">
        <v>1728</v>
      </c>
      <c r="C2058" s="4"/>
      <c r="D2058" s="4"/>
      <c r="E2058" s="4"/>
      <c r="F2058" s="4"/>
      <c r="G2058" s="4"/>
      <c r="H2058" s="4"/>
      <c r="I2058" s="18" t="s">
        <v>2473</v>
      </c>
      <c r="J2058" s="18" t="s">
        <v>2473</v>
      </c>
      <c r="K2058" s="18" t="s">
        <v>2473</v>
      </c>
      <c r="L2058" s="18" t="s">
        <v>2336</v>
      </c>
      <c r="AU2058" s="6"/>
      <c r="AV2058" s="6" t="str">
        <f t="shared" si="35"/>
        <v/>
      </c>
    </row>
    <row r="2059" spans="1:48" x14ac:dyDescent="0.45">
      <c r="A2059" s="33" t="s">
        <v>1729</v>
      </c>
      <c r="I2059" s="18" t="s">
        <v>2473</v>
      </c>
      <c r="J2059" s="18" t="s">
        <v>2473</v>
      </c>
      <c r="K2059" s="18" t="s">
        <v>2473</v>
      </c>
      <c r="L2059" s="18" t="s">
        <v>2336</v>
      </c>
      <c r="AU2059" s="6"/>
      <c r="AV2059" s="6" t="str">
        <f t="shared" ref="AV2059:AV2124" si="36">IF(A2059&lt;&gt;"",IF(T2059&lt;&gt;"",IF(LEFT(R2059,3)="Has",IF(TRIM(A2059)&lt;&gt;T2059,"ERROR","OK"),""),""),"")</f>
        <v/>
      </c>
    </row>
    <row r="2060" spans="1:48" x14ac:dyDescent="0.45">
      <c r="A2060" s="34" t="s">
        <v>1730</v>
      </c>
      <c r="I2060" s="18" t="s">
        <v>2473</v>
      </c>
      <c r="J2060" s="18" t="s">
        <v>2473</v>
      </c>
      <c r="K2060" s="18" t="s">
        <v>2473</v>
      </c>
      <c r="L2060" s="18" t="s">
        <v>2336</v>
      </c>
      <c r="AU2060" s="6"/>
      <c r="AV2060" s="6" t="str">
        <f t="shared" si="36"/>
        <v/>
      </c>
    </row>
    <row r="2061" spans="1:48" s="79" customFormat="1" x14ac:dyDescent="0.45">
      <c r="A2061" s="75"/>
      <c r="B2061" s="76"/>
      <c r="C2061" s="77"/>
      <c r="D2061" s="77"/>
      <c r="E2061" s="77"/>
      <c r="F2061" s="77"/>
      <c r="G2061" s="77"/>
      <c r="H2061" s="77"/>
      <c r="I2061" s="77"/>
      <c r="J2061" s="77"/>
      <c r="K2061" s="77"/>
      <c r="L2061" s="77"/>
      <c r="M2061" s="148"/>
      <c r="N2061" s="78"/>
      <c r="O2061" s="78"/>
      <c r="P2061" s="78"/>
      <c r="Q2061" s="78"/>
      <c r="R2061" s="78"/>
      <c r="S2061" s="78"/>
      <c r="T2061" s="78"/>
      <c r="U2061" s="78"/>
      <c r="V2061" s="78"/>
      <c r="W2061" s="78"/>
      <c r="X2061" s="78"/>
      <c r="Y2061" s="148"/>
      <c r="Z2061" s="78"/>
      <c r="AA2061" s="78"/>
      <c r="AB2061" s="78"/>
      <c r="AC2061" s="78"/>
      <c r="AD2061" s="78"/>
      <c r="AE2061" s="156"/>
      <c r="AF2061" s="156"/>
      <c r="AG2061" s="78"/>
      <c r="AH2061" s="78"/>
      <c r="AI2061" s="78"/>
      <c r="AJ2061" s="78"/>
      <c r="AK2061" s="78"/>
      <c r="AL2061" s="78"/>
      <c r="AM2061" s="78"/>
      <c r="AN2061" s="78"/>
      <c r="AO2061" s="78"/>
      <c r="AP2061" s="78"/>
      <c r="AQ2061" s="78"/>
      <c r="AR2061" s="286"/>
      <c r="AS2061" s="78"/>
      <c r="AT2061" s="78"/>
      <c r="AU2061" s="8"/>
      <c r="AV2061" s="6" t="str">
        <f t="shared" si="36"/>
        <v/>
      </c>
    </row>
    <row r="2062" spans="1:48" x14ac:dyDescent="0.45">
      <c r="A2062" s="27" t="s">
        <v>2453</v>
      </c>
      <c r="I2062" s="18" t="s">
        <v>2473</v>
      </c>
      <c r="J2062" s="18" t="s">
        <v>2473</v>
      </c>
      <c r="K2062" s="18" t="s">
        <v>2473</v>
      </c>
      <c r="L2062" s="18" t="s">
        <v>2335</v>
      </c>
      <c r="AU2062" s="6"/>
      <c r="AV2062" s="6" t="str">
        <f t="shared" si="36"/>
        <v/>
      </c>
    </row>
    <row r="2063" spans="1:48" x14ac:dyDescent="0.45">
      <c r="A2063" s="323" t="s">
        <v>2539</v>
      </c>
      <c r="B2063" s="324"/>
      <c r="C2063" s="324"/>
      <c r="D2063" s="324"/>
      <c r="E2063" s="324"/>
      <c r="F2063" s="324"/>
      <c r="G2063" s="101"/>
      <c r="H2063" s="101"/>
      <c r="I2063" s="18" t="s">
        <v>2473</v>
      </c>
      <c r="J2063" s="18" t="s">
        <v>2473</v>
      </c>
      <c r="K2063" s="18" t="s">
        <v>2473</v>
      </c>
      <c r="L2063" s="18" t="s">
        <v>2335</v>
      </c>
      <c r="AU2063" s="6"/>
      <c r="AV2063" s="6" t="str">
        <f t="shared" si="36"/>
        <v/>
      </c>
    </row>
    <row r="2064" spans="1:48" ht="14.65" thickBot="1" x14ac:dyDescent="0.5">
      <c r="A2064" s="28" t="s">
        <v>1731</v>
      </c>
      <c r="I2064" s="18" t="s">
        <v>2473</v>
      </c>
      <c r="J2064" s="18" t="s">
        <v>2473</v>
      </c>
      <c r="K2064" s="18" t="s">
        <v>2473</v>
      </c>
      <c r="L2064" s="18" t="s">
        <v>2335</v>
      </c>
      <c r="AA2064" s="183" t="s">
        <v>2322</v>
      </c>
      <c r="AB2064" s="183" t="s">
        <v>1697</v>
      </c>
      <c r="AC2064" s="183" t="s">
        <v>5</v>
      </c>
      <c r="AU2064" s="6"/>
      <c r="AV2064" s="6" t="str">
        <f t="shared" si="36"/>
        <v/>
      </c>
    </row>
    <row r="2065" spans="1:48" ht="116.65" thickBot="1" x14ac:dyDescent="0.5">
      <c r="A2065" s="309" t="s">
        <v>1732</v>
      </c>
      <c r="B2065" s="310"/>
      <c r="C2065" s="301" t="s">
        <v>1</v>
      </c>
      <c r="D2065" s="319"/>
      <c r="E2065" s="319"/>
      <c r="F2065" s="302"/>
      <c r="G2065" s="102"/>
      <c r="H2065" s="102"/>
      <c r="I2065" s="18" t="s">
        <v>2473</v>
      </c>
      <c r="L2065" s="18" t="s">
        <v>2335</v>
      </c>
      <c r="AA2065" s="183" t="str">
        <f>LEFT($A2065,FIND(" ",$A2065)-1)</f>
        <v>UpdateService</v>
      </c>
      <c r="AB2065" s="183" t="str">
        <f>MID($A2065,FIND("(",$A2065)+1,LEN($A2065)-FIND("(",$A2065)-1)</f>
        <v>1.3.0</v>
      </c>
      <c r="AC2065" s="101" t="str">
        <f>A2063</f>
        <v>The UpdateService represents the properties for the service itself and has links to collections of firmware and software inventory.</v>
      </c>
      <c r="AU2065" s="6"/>
      <c r="AV2065" s="6" t="str">
        <f t="shared" si="36"/>
        <v/>
      </c>
    </row>
    <row r="2066" spans="1:48" ht="14.65" thickBot="1" x14ac:dyDescent="0.5">
      <c r="A2066" s="311"/>
      <c r="B2066" s="312"/>
      <c r="C2066" s="301" t="s">
        <v>2</v>
      </c>
      <c r="D2066" s="302"/>
      <c r="E2066" s="301" t="s">
        <v>3</v>
      </c>
      <c r="F2066" s="302"/>
      <c r="G2066" s="301" t="s">
        <v>2896</v>
      </c>
      <c r="H2066" s="302"/>
      <c r="I2066" s="18" t="s">
        <v>2473</v>
      </c>
      <c r="L2066" s="18" t="s">
        <v>2335</v>
      </c>
      <c r="AA2066" s="183" t="s">
        <v>2322</v>
      </c>
      <c r="AB2066" s="183" t="s">
        <v>1697</v>
      </c>
      <c r="AC2066" s="183" t="s">
        <v>5</v>
      </c>
      <c r="AU2066" s="6"/>
      <c r="AV2066" s="6" t="str">
        <f t="shared" si="36"/>
        <v/>
      </c>
    </row>
    <row r="2067" spans="1:48" ht="116.65" thickBot="1" x14ac:dyDescent="0.5">
      <c r="A2067" s="309" t="s">
        <v>3319</v>
      </c>
      <c r="B2067" s="310"/>
      <c r="C2067" s="301" t="s">
        <v>1</v>
      </c>
      <c r="D2067" s="319"/>
      <c r="E2067" s="319"/>
      <c r="F2067" s="302"/>
      <c r="G2067" s="102"/>
      <c r="H2067" s="102"/>
      <c r="J2067" s="18" t="s">
        <v>2473</v>
      </c>
      <c r="K2067" s="18" t="s">
        <v>2473</v>
      </c>
      <c r="L2067" s="18" t="s">
        <v>2335</v>
      </c>
      <c r="AA2067" s="183" t="str">
        <f>LEFT($A2067,FIND(" ",$A2067)-1)</f>
        <v>UpdateService</v>
      </c>
      <c r="AB2067" s="183" t="str">
        <f>MID($A2067,FIND("(",$A2067)+1,LEN($A2067)-FIND("(",$A2067)-1)</f>
        <v>1.5.0</v>
      </c>
      <c r="AC2067" s="101" t="str">
        <f>AC2065</f>
        <v>The UpdateService represents the properties for the service itself and has links to collections of firmware and software inventory.</v>
      </c>
      <c r="AU2067" s="6"/>
      <c r="AV2067" s="6" t="str">
        <f t="shared" si="36"/>
        <v/>
      </c>
    </row>
    <row r="2068" spans="1:48" ht="14.65" thickBot="1" x14ac:dyDescent="0.5">
      <c r="A2068" s="311"/>
      <c r="B2068" s="312"/>
      <c r="C2068" s="301" t="s">
        <v>2</v>
      </c>
      <c r="D2068" s="302"/>
      <c r="E2068" s="301" t="s">
        <v>3</v>
      </c>
      <c r="F2068" s="302"/>
      <c r="G2068" s="301" t="s">
        <v>2896</v>
      </c>
      <c r="H2068" s="302"/>
      <c r="J2068" s="18" t="s">
        <v>2473</v>
      </c>
      <c r="K2068" s="18" t="s">
        <v>2473</v>
      </c>
      <c r="L2068" s="18" t="s">
        <v>2335</v>
      </c>
      <c r="AM2068" s="8" t="str">
        <f>C2068</f>
        <v>OSM-Redfish</v>
      </c>
      <c r="AN2068" s="8" t="str">
        <f>E2068</f>
        <v>OSM-RedfishBMC</v>
      </c>
      <c r="AO2068" s="8" t="str">
        <f>G2068</f>
        <v>OSM-RedfishDCN</v>
      </c>
      <c r="AU2068" s="6"/>
      <c r="AV2068" s="6" t="str">
        <f t="shared" si="36"/>
        <v/>
      </c>
    </row>
    <row r="2069" spans="1:48" ht="70.900000000000006" thickBot="1" x14ac:dyDescent="0.5">
      <c r="A2069" s="46" t="s">
        <v>2377</v>
      </c>
      <c r="B2069" s="47"/>
      <c r="C2069" s="342" t="s">
        <v>13</v>
      </c>
      <c r="D2069" s="343"/>
      <c r="E2069" s="342" t="s">
        <v>13</v>
      </c>
      <c r="F2069" s="343"/>
      <c r="G2069" s="342" t="s">
        <v>13</v>
      </c>
      <c r="H2069" s="343"/>
      <c r="I2069" s="18" t="s">
        <v>2473</v>
      </c>
      <c r="J2069" s="18" t="s">
        <v>2473</v>
      </c>
      <c r="K2069" s="18" t="s">
        <v>2473</v>
      </c>
      <c r="AM2069" s="8" t="str">
        <f>IF(C2069&lt;&gt;"","CRQ-P5-"&amp;(AM$2+$AP2069*$AP$3),"")</f>
        <v>CRQ-P5-1256</v>
      </c>
      <c r="AN2069" s="8" t="str">
        <f>IF(E2069&lt;&gt;"","CRQ-P5-"&amp;(AN$2+$AP2069*$AP$3),"")</f>
        <v>CRQ-P5-1556</v>
      </c>
      <c r="AO2069" s="8" t="str">
        <f>IF(G2069&lt;&gt;"","CRQ-P5-"&amp;(AO$2+$AP2069*$AP$3),"")</f>
        <v>CRQ-P5-1856</v>
      </c>
      <c r="AP2069" s="8">
        <v>64</v>
      </c>
      <c r="AS2069" s="233" t="s">
        <v>5859</v>
      </c>
      <c r="AU2069" s="6"/>
      <c r="AV2069" s="6" t="str">
        <f t="shared" si="36"/>
        <v/>
      </c>
    </row>
    <row r="2070" spans="1:48" ht="14.65" thickBot="1" x14ac:dyDescent="0.5">
      <c r="A2070" s="29" t="s">
        <v>3394</v>
      </c>
      <c r="B2070" s="9"/>
      <c r="C2070" s="305" t="str">
        <f>MID($A2065,FIND("(",$A2065)+1,5)</f>
        <v>1.3.0</v>
      </c>
      <c r="D2070" s="306"/>
      <c r="E2070" s="305" t="s">
        <v>3405</v>
      </c>
      <c r="F2070" s="306"/>
      <c r="G2070" s="305" t="str">
        <f>MID($A2065,FIND("(",$A2065)+1,5)</f>
        <v>1.3.0</v>
      </c>
      <c r="H2070" s="306"/>
      <c r="I2070" s="18" t="s">
        <v>2473</v>
      </c>
      <c r="J2070" s="18" t="s">
        <v>2473</v>
      </c>
      <c r="K2070" s="18" t="s">
        <v>2473</v>
      </c>
      <c r="L2070" s="18" t="s">
        <v>2336</v>
      </c>
      <c r="AU2070" s="6"/>
      <c r="AV2070" s="6" t="str">
        <f t="shared" si="36"/>
        <v/>
      </c>
    </row>
    <row r="2071" spans="1:48" ht="14.65" thickBot="1" x14ac:dyDescent="0.5">
      <c r="A2071" s="30" t="s">
        <v>4</v>
      </c>
      <c r="B2071" s="59" t="s">
        <v>5</v>
      </c>
      <c r="C2071" s="7" t="s">
        <v>6</v>
      </c>
      <c r="D2071" s="7" t="s">
        <v>7</v>
      </c>
      <c r="E2071" s="7" t="s">
        <v>6</v>
      </c>
      <c r="F2071" s="7" t="s">
        <v>7</v>
      </c>
      <c r="G2071" s="7" t="s">
        <v>6</v>
      </c>
      <c r="H2071" s="7" t="s">
        <v>7</v>
      </c>
      <c r="I2071" s="18" t="s">
        <v>2473</v>
      </c>
      <c r="J2071" s="18" t="s">
        <v>2473</v>
      </c>
      <c r="K2071" s="18" t="s">
        <v>2473</v>
      </c>
      <c r="L2071" s="18" t="s">
        <v>2335</v>
      </c>
      <c r="AU2071" s="6"/>
      <c r="AV2071" s="6" t="str">
        <f t="shared" si="36"/>
        <v/>
      </c>
    </row>
    <row r="2072" spans="1:48" ht="47.65" thickBot="1" x14ac:dyDescent="0.5">
      <c r="A2072" s="36" t="s">
        <v>8</v>
      </c>
      <c r="B2072" s="3" t="s">
        <v>9</v>
      </c>
      <c r="C2072" s="4" t="s">
        <v>10</v>
      </c>
      <c r="D2072" s="4"/>
      <c r="E2072" s="4" t="s">
        <v>10</v>
      </c>
      <c r="F2072" s="4"/>
      <c r="G2072" s="4" t="s">
        <v>10</v>
      </c>
      <c r="H2072" s="4"/>
      <c r="I2072" s="18" t="s">
        <v>2473</v>
      </c>
      <c r="J2072" s="18" t="s">
        <v>2473</v>
      </c>
      <c r="K2072" s="18" t="s">
        <v>2473</v>
      </c>
      <c r="L2072" s="18" t="s">
        <v>2335</v>
      </c>
      <c r="AS2072" s="206" t="s">
        <v>5885</v>
      </c>
      <c r="AU2072" s="6"/>
      <c r="AV2072" s="6" t="str">
        <f t="shared" si="36"/>
        <v/>
      </c>
    </row>
    <row r="2073" spans="1:48" ht="14.65" thickBot="1" x14ac:dyDescent="0.5">
      <c r="A2073" s="35" t="s">
        <v>1733</v>
      </c>
      <c r="B2073" s="3" t="s">
        <v>1734</v>
      </c>
      <c r="C2073" s="4" t="s">
        <v>10</v>
      </c>
      <c r="D2073" s="4"/>
      <c r="E2073" s="4" t="s">
        <v>10</v>
      </c>
      <c r="F2073" s="4"/>
      <c r="G2073" s="4" t="s">
        <v>10</v>
      </c>
      <c r="H2073" s="4"/>
      <c r="I2073" s="18" t="s">
        <v>2473</v>
      </c>
      <c r="J2073" s="18" t="s">
        <v>2473</v>
      </c>
      <c r="K2073" s="18" t="s">
        <v>2473</v>
      </c>
      <c r="L2073" s="18" t="s">
        <v>2336</v>
      </c>
      <c r="AU2073" s="6"/>
      <c r="AV2073" s="6" t="str">
        <f t="shared" si="36"/>
        <v/>
      </c>
    </row>
    <row r="2074" spans="1:48" ht="47.65" thickBot="1" x14ac:dyDescent="0.5">
      <c r="A2074" s="36" t="s">
        <v>1735</v>
      </c>
      <c r="B2074" s="3" t="s">
        <v>5319</v>
      </c>
      <c r="C2074" s="4" t="s">
        <v>13</v>
      </c>
      <c r="D2074" s="4"/>
      <c r="E2074" s="4" t="s">
        <v>13</v>
      </c>
      <c r="F2074" s="4"/>
      <c r="G2074" s="4" t="s">
        <v>13</v>
      </c>
      <c r="H2074" s="4"/>
      <c r="I2074" s="18" t="s">
        <v>2473</v>
      </c>
      <c r="J2074" s="18" t="s">
        <v>2473</v>
      </c>
      <c r="K2074" s="18" t="s">
        <v>2473</v>
      </c>
      <c r="L2074" s="18" t="s">
        <v>2334</v>
      </c>
      <c r="AT2074" s="233" t="s">
        <v>5317</v>
      </c>
      <c r="AU2074" s="6"/>
      <c r="AV2074" s="6" t="str">
        <f t="shared" si="36"/>
        <v/>
      </c>
    </row>
    <row r="2075" spans="1:48" ht="14.65" thickBot="1" x14ac:dyDescent="0.5">
      <c r="A2075" s="35" t="s">
        <v>33</v>
      </c>
      <c r="B2075" s="3" t="s">
        <v>1736</v>
      </c>
      <c r="C2075" s="4"/>
      <c r="D2075" s="4"/>
      <c r="E2075" s="4"/>
      <c r="F2075" s="4"/>
      <c r="G2075" s="4"/>
      <c r="H2075" s="4"/>
      <c r="I2075" s="18" t="s">
        <v>2473</v>
      </c>
      <c r="J2075" s="18" t="s">
        <v>2473</v>
      </c>
      <c r="K2075" s="18" t="s">
        <v>2473</v>
      </c>
      <c r="L2075" s="18" t="s">
        <v>2335</v>
      </c>
      <c r="AU2075" s="6"/>
      <c r="AV2075" s="6" t="str">
        <f t="shared" si="36"/>
        <v/>
      </c>
    </row>
    <row r="2076" spans="1:48" ht="23.65" thickBot="1" x14ac:dyDescent="0.5">
      <c r="A2076" s="36" t="s">
        <v>1737</v>
      </c>
      <c r="B2076" s="3" t="s">
        <v>1738</v>
      </c>
      <c r="C2076" s="4" t="s">
        <v>13</v>
      </c>
      <c r="D2076" s="4"/>
      <c r="E2076" s="4" t="s">
        <v>13</v>
      </c>
      <c r="F2076" s="4"/>
      <c r="G2076" s="4" t="s">
        <v>13</v>
      </c>
      <c r="H2076" s="4"/>
      <c r="I2076" s="18" t="s">
        <v>2473</v>
      </c>
      <c r="J2076" s="18" t="s">
        <v>2473</v>
      </c>
      <c r="K2076" s="18" t="s">
        <v>2473</v>
      </c>
      <c r="L2076" s="18" t="s">
        <v>2336</v>
      </c>
      <c r="AU2076" s="6"/>
      <c r="AV2076" s="6" t="str">
        <f t="shared" si="36"/>
        <v/>
      </c>
    </row>
    <row r="2077" spans="1:48" ht="14.65" thickBot="1" x14ac:dyDescent="0.5">
      <c r="A2077" s="36" t="s">
        <v>3320</v>
      </c>
      <c r="B2077" s="3" t="s">
        <v>3321</v>
      </c>
      <c r="C2077" s="4" t="s">
        <v>37</v>
      </c>
      <c r="D2077" s="4" t="s">
        <v>37</v>
      </c>
      <c r="E2077" s="4" t="s">
        <v>37</v>
      </c>
      <c r="F2077" s="4" t="s">
        <v>37</v>
      </c>
      <c r="G2077" s="4" t="s">
        <v>37</v>
      </c>
      <c r="H2077" s="4" t="s">
        <v>37</v>
      </c>
      <c r="J2077" s="18" t="s">
        <v>2473</v>
      </c>
      <c r="K2077" s="18" t="s">
        <v>2473</v>
      </c>
      <c r="L2077" s="18" t="s">
        <v>2336</v>
      </c>
      <c r="AU2077" s="6"/>
      <c r="AV2077" s="6" t="str">
        <f t="shared" si="36"/>
        <v/>
      </c>
    </row>
    <row r="2078" spans="1:48" ht="23.65" thickBot="1" x14ac:dyDescent="0.5">
      <c r="A2078" s="35" t="s">
        <v>3327</v>
      </c>
      <c r="B2078" s="3" t="s">
        <v>3322</v>
      </c>
      <c r="C2078" s="4"/>
      <c r="D2078" s="4"/>
      <c r="E2078" s="4"/>
      <c r="F2078" s="4"/>
      <c r="G2078" s="4"/>
      <c r="H2078" s="4"/>
      <c r="J2078" s="18" t="s">
        <v>2473</v>
      </c>
      <c r="K2078" s="18" t="s">
        <v>2473</v>
      </c>
      <c r="L2078" s="18" t="s">
        <v>2336</v>
      </c>
      <c r="AU2078" s="6"/>
      <c r="AV2078" s="6" t="str">
        <f t="shared" si="36"/>
        <v/>
      </c>
    </row>
    <row r="2079" spans="1:48" ht="23.65" thickBot="1" x14ac:dyDescent="0.5">
      <c r="A2079" s="35" t="s">
        <v>3328</v>
      </c>
      <c r="B2079" s="3" t="s">
        <v>3323</v>
      </c>
      <c r="C2079" s="4" t="s">
        <v>13</v>
      </c>
      <c r="D2079" s="4" t="s">
        <v>13</v>
      </c>
      <c r="E2079" s="4" t="s">
        <v>13</v>
      </c>
      <c r="F2079" s="4" t="s">
        <v>13</v>
      </c>
      <c r="G2079" s="4" t="s">
        <v>13</v>
      </c>
      <c r="H2079" s="4" t="s">
        <v>13</v>
      </c>
      <c r="J2079" s="18" t="s">
        <v>2473</v>
      </c>
      <c r="K2079" s="18" t="s">
        <v>2473</v>
      </c>
      <c r="L2079" s="18" t="s">
        <v>2336</v>
      </c>
      <c r="AU2079" s="6"/>
      <c r="AV2079" s="6" t="str">
        <f t="shared" si="36"/>
        <v/>
      </c>
    </row>
    <row r="2080" spans="1:48" ht="35.25" thickBot="1" x14ac:dyDescent="0.5">
      <c r="A2080" s="35" t="s">
        <v>3329</v>
      </c>
      <c r="B2080" s="3" t="s">
        <v>3324</v>
      </c>
      <c r="C2080" s="4" t="s">
        <v>13</v>
      </c>
      <c r="D2080" s="4" t="s">
        <v>13</v>
      </c>
      <c r="E2080" s="4" t="s">
        <v>13</v>
      </c>
      <c r="F2080" s="4" t="s">
        <v>13</v>
      </c>
      <c r="G2080" s="4" t="s">
        <v>13</v>
      </c>
      <c r="H2080" s="4" t="s">
        <v>13</v>
      </c>
      <c r="J2080" s="18" t="s">
        <v>2473</v>
      </c>
      <c r="K2080" s="18" t="s">
        <v>2473</v>
      </c>
      <c r="L2080" s="18" t="s">
        <v>2336</v>
      </c>
      <c r="AU2080" s="6"/>
      <c r="AV2080" s="6" t="str">
        <f t="shared" si="36"/>
        <v/>
      </c>
    </row>
    <row r="2081" spans="1:48" ht="23.65" thickBot="1" x14ac:dyDescent="0.5">
      <c r="A2081" s="35" t="s">
        <v>3330</v>
      </c>
      <c r="B2081" s="3" t="s">
        <v>1641</v>
      </c>
      <c r="C2081" s="4" t="s">
        <v>13</v>
      </c>
      <c r="D2081" s="4" t="s">
        <v>13</v>
      </c>
      <c r="E2081" s="4" t="s">
        <v>13</v>
      </c>
      <c r="F2081" s="4" t="s">
        <v>13</v>
      </c>
      <c r="G2081" s="4" t="s">
        <v>13</v>
      </c>
      <c r="H2081" s="4" t="s">
        <v>13</v>
      </c>
      <c r="J2081" s="18" t="s">
        <v>2473</v>
      </c>
      <c r="K2081" s="18" t="s">
        <v>2473</v>
      </c>
      <c r="L2081" s="18" t="s">
        <v>2336</v>
      </c>
      <c r="AU2081" s="6"/>
      <c r="AV2081" s="6" t="str">
        <f t="shared" si="36"/>
        <v/>
      </c>
    </row>
    <row r="2082" spans="1:48" ht="23.65" thickBot="1" x14ac:dyDescent="0.5">
      <c r="A2082" s="36" t="s">
        <v>3325</v>
      </c>
      <c r="B2082" s="3" t="s">
        <v>3326</v>
      </c>
      <c r="C2082" s="4" t="s">
        <v>13</v>
      </c>
      <c r="D2082" s="4" t="s">
        <v>13</v>
      </c>
      <c r="E2082" s="4" t="s">
        <v>13</v>
      </c>
      <c r="F2082" s="4" t="s">
        <v>13</v>
      </c>
      <c r="G2082" s="4" t="s">
        <v>13</v>
      </c>
      <c r="H2082" s="4" t="s">
        <v>13</v>
      </c>
      <c r="J2082" s="18" t="s">
        <v>2473</v>
      </c>
      <c r="K2082" s="18" t="s">
        <v>2473</v>
      </c>
      <c r="L2082" s="18" t="s">
        <v>2336</v>
      </c>
      <c r="AU2082" s="6"/>
      <c r="AV2082" s="6" t="str">
        <f t="shared" si="36"/>
        <v/>
      </c>
    </row>
    <row r="2083" spans="1:48" ht="14.65" thickBot="1" x14ac:dyDescent="0.5">
      <c r="A2083" s="36" t="s">
        <v>1739</v>
      </c>
      <c r="B2083" s="3" t="s">
        <v>1740</v>
      </c>
      <c r="C2083" s="4" t="s">
        <v>13</v>
      </c>
      <c r="D2083" s="4" t="s">
        <v>13</v>
      </c>
      <c r="E2083" s="4" t="s">
        <v>13</v>
      </c>
      <c r="F2083" s="4" t="s">
        <v>13</v>
      </c>
      <c r="G2083" s="4" t="s">
        <v>13</v>
      </c>
      <c r="H2083" s="4" t="s">
        <v>13</v>
      </c>
      <c r="I2083" s="18" t="s">
        <v>2473</v>
      </c>
      <c r="J2083" s="18" t="s">
        <v>2473</v>
      </c>
      <c r="K2083" s="18" t="s">
        <v>2473</v>
      </c>
      <c r="L2083" s="18" t="s">
        <v>2336</v>
      </c>
      <c r="AU2083" s="6"/>
      <c r="AV2083" s="6" t="str">
        <f t="shared" si="36"/>
        <v/>
      </c>
    </row>
    <row r="2084" spans="1:48" ht="23.65" thickBot="1" x14ac:dyDescent="0.5">
      <c r="A2084" s="36" t="s">
        <v>1741</v>
      </c>
      <c r="B2084" s="3" t="s">
        <v>1742</v>
      </c>
      <c r="C2084" s="4" t="s">
        <v>13</v>
      </c>
      <c r="D2084" s="4" t="s">
        <v>13</v>
      </c>
      <c r="E2084" s="4" t="s">
        <v>13</v>
      </c>
      <c r="F2084" s="4" t="s">
        <v>13</v>
      </c>
      <c r="G2084" s="4" t="s">
        <v>13</v>
      </c>
      <c r="H2084" s="4" t="s">
        <v>13</v>
      </c>
      <c r="I2084" s="18" t="s">
        <v>2473</v>
      </c>
      <c r="J2084" s="18" t="s">
        <v>2473</v>
      </c>
      <c r="K2084" s="18" t="s">
        <v>2473</v>
      </c>
      <c r="L2084" s="18" t="s">
        <v>2336</v>
      </c>
      <c r="AU2084" s="6"/>
      <c r="AV2084" s="6" t="str">
        <f t="shared" si="36"/>
        <v/>
      </c>
    </row>
    <row r="2085" spans="1:48" ht="23.65" thickBot="1" x14ac:dyDescent="0.5">
      <c r="A2085" s="36" t="s">
        <v>3331</v>
      </c>
      <c r="B2085" s="3" t="s">
        <v>3332</v>
      </c>
      <c r="C2085" s="4" t="s">
        <v>13</v>
      </c>
      <c r="D2085" s="4"/>
      <c r="E2085" s="4" t="s">
        <v>13</v>
      </c>
      <c r="F2085" s="4"/>
      <c r="G2085" s="4" t="s">
        <v>13</v>
      </c>
      <c r="H2085" s="4"/>
      <c r="J2085" s="18" t="s">
        <v>2473</v>
      </c>
      <c r="K2085" s="18" t="s">
        <v>2473</v>
      </c>
      <c r="L2085" s="18" t="s">
        <v>2336</v>
      </c>
      <c r="AU2085" s="8"/>
      <c r="AV2085" s="6" t="str">
        <f t="shared" si="36"/>
        <v/>
      </c>
    </row>
    <row r="2086" spans="1:48" ht="36" thickBot="1" x14ac:dyDescent="0.5">
      <c r="A2086" s="36" t="s">
        <v>4162</v>
      </c>
      <c r="B2086" s="3" t="s">
        <v>4161</v>
      </c>
      <c r="C2086" s="4" t="s">
        <v>13</v>
      </c>
      <c r="D2086" s="4"/>
      <c r="E2086" s="4" t="s">
        <v>13</v>
      </c>
      <c r="F2086" s="4"/>
      <c r="G2086" s="4" t="s">
        <v>13</v>
      </c>
      <c r="H2086" s="4"/>
      <c r="I2086" s="18" t="s">
        <v>2473</v>
      </c>
      <c r="J2086" s="18" t="s">
        <v>2473</v>
      </c>
      <c r="K2086" s="18" t="s">
        <v>2473</v>
      </c>
      <c r="L2086" s="18" t="s">
        <v>2336</v>
      </c>
      <c r="AU2086" s="139" t="s">
        <v>4163</v>
      </c>
      <c r="AV2086" s="6" t="str">
        <f t="shared" si="36"/>
        <v/>
      </c>
    </row>
    <row r="2087" spans="1:48" ht="14.65" thickBot="1" x14ac:dyDescent="0.5">
      <c r="A2087" s="36" t="s">
        <v>577</v>
      </c>
      <c r="B2087" s="3" t="s">
        <v>578</v>
      </c>
      <c r="C2087" s="4" t="s">
        <v>10</v>
      </c>
      <c r="D2087" s="4" t="s">
        <v>10</v>
      </c>
      <c r="E2087" s="4" t="s">
        <v>10</v>
      </c>
      <c r="F2087" s="4" t="s">
        <v>10</v>
      </c>
      <c r="G2087" s="4" t="s">
        <v>10</v>
      </c>
      <c r="H2087" s="4" t="s">
        <v>10</v>
      </c>
      <c r="I2087" s="18" t="s">
        <v>2473</v>
      </c>
      <c r="J2087" s="18" t="s">
        <v>2473</v>
      </c>
      <c r="K2087" s="18" t="s">
        <v>2473</v>
      </c>
      <c r="L2087" s="18" t="s">
        <v>2336</v>
      </c>
      <c r="AU2087" s="8"/>
      <c r="AV2087" s="6" t="str">
        <f t="shared" si="36"/>
        <v/>
      </c>
    </row>
    <row r="2088" spans="1:48" ht="70.150000000000006" thickBot="1" x14ac:dyDescent="0.5">
      <c r="A2088" s="36" t="s">
        <v>1743</v>
      </c>
      <c r="B2088" s="3" t="s">
        <v>5320</v>
      </c>
      <c r="C2088" s="4" t="s">
        <v>13</v>
      </c>
      <c r="D2088" s="4"/>
      <c r="E2088" s="4" t="s">
        <v>13</v>
      </c>
      <c r="F2088" s="4"/>
      <c r="G2088" s="4" t="s">
        <v>13</v>
      </c>
      <c r="H2088" s="4"/>
      <c r="I2088" s="18" t="s">
        <v>2473</v>
      </c>
      <c r="J2088" s="18" t="s">
        <v>2473</v>
      </c>
      <c r="K2088" s="18" t="s">
        <v>2473</v>
      </c>
      <c r="L2088" s="18" t="s">
        <v>2334</v>
      </c>
      <c r="AT2088" s="233" t="s">
        <v>5317</v>
      </c>
      <c r="AU2088" s="8"/>
      <c r="AV2088" s="6" t="str">
        <f t="shared" si="36"/>
        <v/>
      </c>
    </row>
    <row r="2089" spans="1:48" ht="14.65" thickBot="1" x14ac:dyDescent="0.5">
      <c r="A2089" s="35" t="s">
        <v>33</v>
      </c>
      <c r="B2089" s="3" t="s">
        <v>1736</v>
      </c>
      <c r="C2089" s="4"/>
      <c r="D2089" s="4"/>
      <c r="E2089" s="4"/>
      <c r="F2089" s="4"/>
      <c r="G2089" s="4"/>
      <c r="H2089" s="4"/>
      <c r="I2089" s="18" t="s">
        <v>2473</v>
      </c>
      <c r="J2089" s="18" t="s">
        <v>2473</v>
      </c>
      <c r="K2089" s="18" t="s">
        <v>2473</v>
      </c>
      <c r="L2089" s="18" t="s">
        <v>2335</v>
      </c>
      <c r="AU2089" s="6"/>
      <c r="AV2089" s="6" t="str">
        <f t="shared" si="36"/>
        <v/>
      </c>
    </row>
    <row r="2090" spans="1:48" ht="24.4" thickBot="1" x14ac:dyDescent="0.5">
      <c r="A2090" s="36" t="s">
        <v>145</v>
      </c>
      <c r="B2090" s="3" t="s">
        <v>3968</v>
      </c>
      <c r="C2090" s="4" t="s">
        <v>13</v>
      </c>
      <c r="D2090" s="4"/>
      <c r="E2090" s="4" t="s">
        <v>13</v>
      </c>
      <c r="F2090" s="4"/>
      <c r="G2090" s="4" t="s">
        <v>13</v>
      </c>
      <c r="H2090" s="4"/>
      <c r="I2090" s="18" t="s">
        <v>2473</v>
      </c>
      <c r="J2090" s="18" t="s">
        <v>2473</v>
      </c>
      <c r="K2090" s="18" t="s">
        <v>2473</v>
      </c>
      <c r="L2090" s="18" t="s">
        <v>2336</v>
      </c>
      <c r="AS2090" s="139" t="s">
        <v>5372</v>
      </c>
      <c r="AU2090" s="6"/>
      <c r="AV2090" s="6" t="str">
        <f t="shared" si="36"/>
        <v/>
      </c>
    </row>
    <row r="2091" spans="1:48" ht="47.65" thickBot="1" x14ac:dyDescent="0.5">
      <c r="A2091" s="35" t="s">
        <v>5361</v>
      </c>
      <c r="B2091" s="3" t="s">
        <v>5352</v>
      </c>
      <c r="C2091" s="4" t="s">
        <v>10</v>
      </c>
      <c r="D2091" s="4"/>
      <c r="E2091" s="4" t="s">
        <v>10</v>
      </c>
      <c r="F2091" s="4"/>
      <c r="G2091" s="4" t="s">
        <v>10</v>
      </c>
      <c r="H2091" s="4"/>
      <c r="I2091" s="18" t="s">
        <v>2473</v>
      </c>
      <c r="J2091" s="18" t="s">
        <v>2473</v>
      </c>
      <c r="K2091" s="18" t="s">
        <v>2473</v>
      </c>
      <c r="Q2091" s="131"/>
      <c r="R2091" s="131"/>
      <c r="S2091" s="131"/>
      <c r="T2091" s="131"/>
      <c r="U2091" s="131"/>
      <c r="V2091" s="131"/>
      <c r="W2091" s="131"/>
      <c r="X2091" s="131"/>
      <c r="AS2091" s="139" t="s">
        <v>5355</v>
      </c>
      <c r="AU2091" s="6"/>
      <c r="AV2091" s="6"/>
    </row>
    <row r="2092" spans="1:48" ht="82.5" thickBot="1" x14ac:dyDescent="0.5">
      <c r="A2092" s="35" t="s">
        <v>5360</v>
      </c>
      <c r="B2092" s="3" t="s">
        <v>5353</v>
      </c>
      <c r="C2092" s="4"/>
      <c r="D2092" s="4"/>
      <c r="E2092" s="4"/>
      <c r="F2092" s="4"/>
      <c r="G2092" s="4"/>
      <c r="H2092" s="4"/>
      <c r="I2092" s="18" t="s">
        <v>2473</v>
      </c>
      <c r="J2092" s="18" t="s">
        <v>2473</v>
      </c>
      <c r="K2092" s="18" t="s">
        <v>2473</v>
      </c>
      <c r="Q2092" s="131"/>
      <c r="R2092" s="131"/>
      <c r="S2092" s="131"/>
      <c r="T2092" s="131"/>
      <c r="U2092" s="131"/>
      <c r="V2092" s="131"/>
      <c r="W2092" s="131"/>
      <c r="X2092" s="131"/>
      <c r="AS2092" s="139" t="s">
        <v>5356</v>
      </c>
      <c r="AU2092" s="6"/>
      <c r="AV2092" s="6"/>
    </row>
    <row r="2093" spans="1:48" x14ac:dyDescent="0.45">
      <c r="A2093" s="33" t="s">
        <v>1744</v>
      </c>
      <c r="I2093" s="18" t="s">
        <v>2473</v>
      </c>
      <c r="J2093" s="18" t="s">
        <v>2473</v>
      </c>
      <c r="K2093" s="18" t="s">
        <v>2473</v>
      </c>
      <c r="L2093" s="18" t="s">
        <v>2335</v>
      </c>
      <c r="AU2093" s="6"/>
      <c r="AV2093" s="6" t="str">
        <f t="shared" si="36"/>
        <v/>
      </c>
    </row>
    <row r="2094" spans="1:48" x14ac:dyDescent="0.45">
      <c r="A2094" s="34" t="s">
        <v>1745</v>
      </c>
      <c r="I2094" s="18" t="s">
        <v>2473</v>
      </c>
      <c r="J2094" s="18" t="s">
        <v>2473</v>
      </c>
      <c r="K2094" s="18" t="s">
        <v>2473</v>
      </c>
      <c r="L2094" s="18" t="s">
        <v>2335</v>
      </c>
      <c r="AU2094" s="6"/>
      <c r="AV2094" s="6" t="str">
        <f t="shared" si="36"/>
        <v/>
      </c>
    </row>
    <row r="2095" spans="1:48" s="79" customFormat="1" x14ac:dyDescent="0.45">
      <c r="A2095" s="75"/>
      <c r="B2095" s="76"/>
      <c r="C2095" s="77"/>
      <c r="D2095" s="77"/>
      <c r="E2095" s="77"/>
      <c r="F2095" s="77"/>
      <c r="G2095" s="77"/>
      <c r="H2095" s="77"/>
      <c r="I2095" s="77"/>
      <c r="J2095" s="77"/>
      <c r="K2095" s="77"/>
      <c r="L2095" s="77"/>
      <c r="M2095" s="148"/>
      <c r="N2095" s="78"/>
      <c r="O2095" s="78"/>
      <c r="P2095" s="78"/>
      <c r="Q2095" s="78"/>
      <c r="R2095" s="78"/>
      <c r="S2095" s="78"/>
      <c r="T2095" s="78"/>
      <c r="U2095" s="78"/>
      <c r="V2095" s="78"/>
      <c r="W2095" s="78"/>
      <c r="X2095" s="78"/>
      <c r="Y2095" s="148"/>
      <c r="Z2095" s="78"/>
      <c r="AA2095" s="78"/>
      <c r="AB2095" s="78"/>
      <c r="AC2095" s="78"/>
      <c r="AD2095" s="78"/>
      <c r="AE2095" s="156"/>
      <c r="AF2095" s="156"/>
      <c r="AG2095" s="78"/>
      <c r="AH2095" s="78"/>
      <c r="AI2095" s="78"/>
      <c r="AJ2095" s="78"/>
      <c r="AK2095" s="78"/>
      <c r="AL2095" s="78"/>
      <c r="AM2095" s="78"/>
      <c r="AN2095" s="78"/>
      <c r="AO2095" s="78"/>
      <c r="AP2095" s="78"/>
      <c r="AQ2095" s="78"/>
      <c r="AR2095" s="286"/>
      <c r="AS2095" s="78"/>
      <c r="AT2095" s="78"/>
      <c r="AU2095" s="8"/>
      <c r="AV2095" s="6" t="str">
        <f t="shared" si="36"/>
        <v/>
      </c>
    </row>
    <row r="2096" spans="1:48" x14ac:dyDescent="0.45">
      <c r="A2096" s="28" t="s">
        <v>2454</v>
      </c>
      <c r="I2096" s="18" t="s">
        <v>2473</v>
      </c>
      <c r="J2096" s="18" t="s">
        <v>2473</v>
      </c>
      <c r="K2096" s="18" t="s">
        <v>2473</v>
      </c>
      <c r="L2096" s="18" t="s">
        <v>2335</v>
      </c>
      <c r="AU2096" s="6"/>
      <c r="AV2096" s="6" t="str">
        <f t="shared" si="36"/>
        <v/>
      </c>
    </row>
    <row r="2097" spans="1:48" x14ac:dyDescent="0.45">
      <c r="A2097" s="27" t="s">
        <v>2455</v>
      </c>
      <c r="I2097" s="18" t="s">
        <v>2473</v>
      </c>
      <c r="J2097" s="18" t="s">
        <v>2473</v>
      </c>
      <c r="K2097" s="18" t="s">
        <v>2473</v>
      </c>
      <c r="L2097" s="18" t="s">
        <v>2335</v>
      </c>
      <c r="AU2097" s="6"/>
      <c r="AV2097" s="6" t="str">
        <f t="shared" si="36"/>
        <v/>
      </c>
    </row>
    <row r="2098" spans="1:48" x14ac:dyDescent="0.45">
      <c r="A2098" s="323" t="s">
        <v>1746</v>
      </c>
      <c r="B2098" s="324"/>
      <c r="C2098" s="324"/>
      <c r="D2098" s="324"/>
      <c r="E2098" s="324"/>
      <c r="F2098" s="324"/>
      <c r="G2098" s="101"/>
      <c r="H2098" s="101"/>
      <c r="I2098" s="18" t="s">
        <v>2473</v>
      </c>
      <c r="J2098" s="18" t="s">
        <v>2473</v>
      </c>
      <c r="K2098" s="18" t="s">
        <v>2473</v>
      </c>
      <c r="L2098" s="18" t="s">
        <v>2335</v>
      </c>
      <c r="AU2098" s="6"/>
      <c r="AV2098" s="6" t="str">
        <f t="shared" si="36"/>
        <v/>
      </c>
    </row>
    <row r="2099" spans="1:48" x14ac:dyDescent="0.45">
      <c r="A2099" s="323" t="s">
        <v>1747</v>
      </c>
      <c r="B2099" s="324"/>
      <c r="C2099" s="324"/>
      <c r="D2099" s="324"/>
      <c r="E2099" s="324"/>
      <c r="F2099" s="324"/>
      <c r="G2099" s="101"/>
      <c r="H2099" s="101"/>
      <c r="I2099" s="18" t="s">
        <v>2473</v>
      </c>
      <c r="J2099" s="18" t="s">
        <v>2473</v>
      </c>
      <c r="K2099" s="18" t="s">
        <v>2473</v>
      </c>
      <c r="L2099" s="18" t="s">
        <v>2335</v>
      </c>
      <c r="AU2099" s="6"/>
      <c r="AV2099" s="6" t="str">
        <f t="shared" si="36"/>
        <v/>
      </c>
    </row>
    <row r="2100" spans="1:48" s="79" customFormat="1" x14ac:dyDescent="0.45">
      <c r="A2100" s="75"/>
      <c r="B2100" s="76"/>
      <c r="C2100" s="77"/>
      <c r="D2100" s="77"/>
      <c r="E2100" s="77"/>
      <c r="F2100" s="77"/>
      <c r="G2100" s="77"/>
      <c r="H2100" s="77"/>
      <c r="I2100" s="77"/>
      <c r="J2100" s="77"/>
      <c r="K2100" s="77"/>
      <c r="L2100" s="77"/>
      <c r="M2100" s="148"/>
      <c r="N2100" s="78"/>
      <c r="O2100" s="78"/>
      <c r="P2100" s="78"/>
      <c r="Q2100" s="78"/>
      <c r="R2100" s="78"/>
      <c r="S2100" s="78"/>
      <c r="T2100" s="78"/>
      <c r="U2100" s="78"/>
      <c r="V2100" s="78"/>
      <c r="W2100" s="78"/>
      <c r="X2100" s="78"/>
      <c r="Y2100" s="148"/>
      <c r="Z2100" s="78"/>
      <c r="AA2100" s="78"/>
      <c r="AB2100" s="78"/>
      <c r="AC2100" s="78"/>
      <c r="AD2100" s="78"/>
      <c r="AE2100" s="156"/>
      <c r="AF2100" s="156"/>
      <c r="AG2100" s="78"/>
      <c r="AH2100" s="78"/>
      <c r="AI2100" s="78"/>
      <c r="AJ2100" s="78"/>
      <c r="AK2100" s="78"/>
      <c r="AL2100" s="78"/>
      <c r="AM2100" s="78"/>
      <c r="AN2100" s="78"/>
      <c r="AO2100" s="78"/>
      <c r="AP2100" s="78"/>
      <c r="AQ2100" s="78"/>
      <c r="AR2100" s="286"/>
      <c r="AS2100" s="78"/>
      <c r="AT2100" s="78"/>
      <c r="AU2100" s="8"/>
      <c r="AV2100" s="6" t="str">
        <f t="shared" si="36"/>
        <v/>
      </c>
    </row>
    <row r="2101" spans="1:48" x14ac:dyDescent="0.45">
      <c r="A2101" s="27" t="s">
        <v>2800</v>
      </c>
      <c r="I2101" s="18" t="s">
        <v>2473</v>
      </c>
      <c r="J2101" s="18" t="s">
        <v>2473</v>
      </c>
      <c r="K2101" s="18" t="s">
        <v>2473</v>
      </c>
      <c r="L2101" s="18" t="s">
        <v>2335</v>
      </c>
      <c r="AU2101" s="6"/>
      <c r="AV2101" s="6" t="str">
        <f t="shared" si="36"/>
        <v/>
      </c>
    </row>
    <row r="2102" spans="1:48" x14ac:dyDescent="0.45">
      <c r="A2102" s="323" t="s">
        <v>2801</v>
      </c>
      <c r="B2102" s="324"/>
      <c r="C2102" s="324"/>
      <c r="D2102" s="324"/>
      <c r="E2102" s="324"/>
      <c r="F2102" s="324"/>
      <c r="G2102" s="101"/>
      <c r="H2102" s="101"/>
      <c r="I2102" s="18" t="s">
        <v>2473</v>
      </c>
      <c r="J2102" s="18" t="s">
        <v>2473</v>
      </c>
      <c r="K2102" s="18" t="s">
        <v>2473</v>
      </c>
      <c r="L2102" s="18" t="s">
        <v>2335</v>
      </c>
      <c r="AU2102" s="6"/>
      <c r="AV2102" s="6" t="str">
        <f t="shared" si="36"/>
        <v/>
      </c>
    </row>
    <row r="2103" spans="1:48" ht="14.65" thickBot="1" x14ac:dyDescent="0.5">
      <c r="A2103" s="28" t="s">
        <v>2802</v>
      </c>
      <c r="I2103" s="18" t="s">
        <v>2473</v>
      </c>
      <c r="J2103" s="18" t="s">
        <v>2473</v>
      </c>
      <c r="K2103" s="18" t="s">
        <v>2473</v>
      </c>
      <c r="L2103" s="18" t="s">
        <v>2335</v>
      </c>
      <c r="AU2103" s="6"/>
      <c r="AV2103" s="6" t="str">
        <f t="shared" si="36"/>
        <v/>
      </c>
    </row>
    <row r="2104" spans="1:48" ht="14.65" thickBot="1" x14ac:dyDescent="0.5">
      <c r="A2104" s="309" t="s">
        <v>2803</v>
      </c>
      <c r="B2104" s="310"/>
      <c r="C2104" s="301" t="s">
        <v>1</v>
      </c>
      <c r="D2104" s="319"/>
      <c r="E2104" s="319"/>
      <c r="F2104" s="302"/>
      <c r="G2104" s="102"/>
      <c r="H2104" s="102"/>
      <c r="I2104" s="18" t="s">
        <v>2473</v>
      </c>
      <c r="J2104" s="18" t="s">
        <v>2473</v>
      </c>
      <c r="K2104" s="18" t="s">
        <v>2473</v>
      </c>
      <c r="L2104" s="18" t="s">
        <v>2335</v>
      </c>
      <c r="AU2104" s="6"/>
      <c r="AV2104" s="6" t="str">
        <f t="shared" si="36"/>
        <v/>
      </c>
    </row>
    <row r="2105" spans="1:48" ht="14.65" thickBot="1" x14ac:dyDescent="0.5">
      <c r="A2105" s="311"/>
      <c r="B2105" s="312"/>
      <c r="C2105" s="301" t="s">
        <v>2</v>
      </c>
      <c r="D2105" s="302"/>
      <c r="E2105" s="301" t="s">
        <v>3</v>
      </c>
      <c r="F2105" s="302"/>
      <c r="G2105" s="301" t="s">
        <v>2896</v>
      </c>
      <c r="H2105" s="302"/>
      <c r="I2105" s="18" t="s">
        <v>2473</v>
      </c>
      <c r="J2105" s="18" t="s">
        <v>2473</v>
      </c>
      <c r="K2105" s="18" t="s">
        <v>2473</v>
      </c>
      <c r="L2105" s="18" t="s">
        <v>2335</v>
      </c>
      <c r="AU2105" s="6"/>
      <c r="AV2105" s="6" t="str">
        <f t="shared" si="36"/>
        <v/>
      </c>
    </row>
    <row r="2106" spans="1:48" ht="14.65" thickBot="1" x14ac:dyDescent="0.5">
      <c r="A2106" s="46" t="s">
        <v>2377</v>
      </c>
      <c r="B2106" s="47"/>
      <c r="C2106" s="303" t="s">
        <v>10</v>
      </c>
      <c r="D2106" s="304"/>
      <c r="E2106" s="303" t="s">
        <v>10</v>
      </c>
      <c r="F2106" s="304"/>
      <c r="G2106" s="303" t="s">
        <v>10</v>
      </c>
      <c r="H2106" s="304"/>
      <c r="I2106" s="18" t="s">
        <v>2473</v>
      </c>
      <c r="J2106" s="18" t="s">
        <v>2473</v>
      </c>
      <c r="K2106" s="18" t="s">
        <v>2473</v>
      </c>
      <c r="M2106" s="145" t="s">
        <v>2797</v>
      </c>
      <c r="AU2106" s="6"/>
      <c r="AV2106" s="6" t="str">
        <f t="shared" si="36"/>
        <v/>
      </c>
    </row>
    <row r="2107" spans="1:48" ht="14.65" thickBot="1" x14ac:dyDescent="0.5">
      <c r="A2107" s="30" t="s">
        <v>4</v>
      </c>
      <c r="B2107" s="59" t="s">
        <v>5</v>
      </c>
      <c r="C2107" s="7" t="s">
        <v>6</v>
      </c>
      <c r="D2107" s="7" t="s">
        <v>7</v>
      </c>
      <c r="E2107" s="7" t="s">
        <v>6</v>
      </c>
      <c r="F2107" s="7" t="s">
        <v>7</v>
      </c>
      <c r="G2107" s="7" t="s">
        <v>6</v>
      </c>
      <c r="H2107" s="7" t="s">
        <v>7</v>
      </c>
      <c r="I2107" s="18" t="s">
        <v>2473</v>
      </c>
      <c r="J2107" s="18" t="s">
        <v>2473</v>
      </c>
      <c r="K2107" s="18" t="s">
        <v>2473</v>
      </c>
      <c r="L2107" s="18" t="s">
        <v>2335</v>
      </c>
      <c r="AU2107" s="6"/>
      <c r="AV2107" s="6" t="str">
        <f t="shared" si="36"/>
        <v/>
      </c>
    </row>
    <row r="2108" spans="1:48" ht="23.65" thickBot="1" x14ac:dyDescent="0.5">
      <c r="A2108" s="36" t="s">
        <v>2792</v>
      </c>
      <c r="B2108" s="3" t="s">
        <v>3599</v>
      </c>
      <c r="C2108" s="4"/>
      <c r="D2108" s="4"/>
      <c r="E2108" s="4"/>
      <c r="F2108" s="4"/>
      <c r="G2108" s="4"/>
      <c r="H2108" s="4"/>
      <c r="I2108" s="18" t="s">
        <v>2473</v>
      </c>
      <c r="J2108" s="18" t="s">
        <v>2473</v>
      </c>
      <c r="K2108" s="18" t="s">
        <v>2473</v>
      </c>
      <c r="AU2108" s="6"/>
      <c r="AV2108" s="6" t="str">
        <f t="shared" si="36"/>
        <v/>
      </c>
    </row>
    <row r="2109" spans="1:48" ht="14.65" thickBot="1" x14ac:dyDescent="0.5">
      <c r="A2109" s="35" t="s">
        <v>33</v>
      </c>
      <c r="B2109" s="3" t="s">
        <v>2806</v>
      </c>
      <c r="C2109" s="2"/>
      <c r="D2109" s="2"/>
      <c r="E2109" s="2"/>
      <c r="F2109" s="2"/>
      <c r="G2109" s="2"/>
      <c r="H2109" s="2"/>
      <c r="I2109" s="18" t="s">
        <v>2473</v>
      </c>
      <c r="J2109" s="18" t="s">
        <v>2473</v>
      </c>
      <c r="K2109" s="18" t="s">
        <v>2473</v>
      </c>
      <c r="L2109" s="18" t="s">
        <v>2335</v>
      </c>
      <c r="AU2109" s="6"/>
      <c r="AV2109" s="6" t="str">
        <f t="shared" si="36"/>
        <v/>
      </c>
    </row>
    <row r="2110" spans="1:48" x14ac:dyDescent="0.45">
      <c r="A2110" s="33" t="s">
        <v>2804</v>
      </c>
      <c r="I2110" s="18" t="s">
        <v>2473</v>
      </c>
      <c r="J2110" s="18" t="s">
        <v>2473</v>
      </c>
      <c r="K2110" s="18" t="s">
        <v>2473</v>
      </c>
      <c r="L2110" s="18" t="s">
        <v>2335</v>
      </c>
      <c r="AU2110" s="6"/>
      <c r="AV2110" s="6" t="str">
        <f t="shared" si="36"/>
        <v/>
      </c>
    </row>
    <row r="2111" spans="1:48" x14ac:dyDescent="0.45">
      <c r="A2111" s="34" t="s">
        <v>2870</v>
      </c>
      <c r="I2111" s="18" t="s">
        <v>2473</v>
      </c>
      <c r="J2111" s="18" t="s">
        <v>2473</v>
      </c>
      <c r="K2111" s="18" t="s">
        <v>2473</v>
      </c>
      <c r="L2111" s="18" t="s">
        <v>2335</v>
      </c>
      <c r="AU2111" s="6"/>
      <c r="AV2111" s="6" t="str">
        <f t="shared" si="36"/>
        <v/>
      </c>
    </row>
    <row r="2112" spans="1:48" s="79" customFormat="1" ht="14.65" thickBot="1" x14ac:dyDescent="0.5">
      <c r="A2112" s="75"/>
      <c r="B2112" s="76"/>
      <c r="C2112" s="77"/>
      <c r="D2112" s="77"/>
      <c r="E2112" s="77"/>
      <c r="F2112" s="77"/>
      <c r="G2112" s="77"/>
      <c r="H2112" s="77"/>
      <c r="I2112" s="77"/>
      <c r="J2112" s="77"/>
      <c r="K2112" s="77"/>
      <c r="L2112" s="77"/>
      <c r="M2112" s="148"/>
      <c r="N2112" s="78"/>
      <c r="O2112" s="78"/>
      <c r="P2112" s="78"/>
      <c r="Q2112" s="78"/>
      <c r="R2112" s="78"/>
      <c r="S2112" s="78"/>
      <c r="T2112" s="78"/>
      <c r="U2112" s="78"/>
      <c r="V2112" s="78"/>
      <c r="W2112" s="78"/>
      <c r="X2112" s="78"/>
      <c r="Y2112" s="148"/>
      <c r="Z2112" s="78"/>
      <c r="AA2112" s="78"/>
      <c r="AB2112" s="78"/>
      <c r="AC2112" s="78"/>
      <c r="AD2112" s="78"/>
      <c r="AE2112" s="156"/>
      <c r="AF2112" s="156"/>
      <c r="AG2112" s="78"/>
      <c r="AH2112" s="78"/>
      <c r="AI2112" s="78"/>
      <c r="AJ2112" s="78"/>
      <c r="AK2112" s="78"/>
      <c r="AL2112" s="78"/>
      <c r="AM2112" s="78"/>
      <c r="AN2112" s="78"/>
      <c r="AO2112" s="78"/>
      <c r="AP2112" s="78"/>
      <c r="AQ2112" s="78"/>
      <c r="AR2112" s="286"/>
      <c r="AS2112" s="78"/>
      <c r="AT2112" s="78"/>
      <c r="AU2112" s="8"/>
      <c r="AV2112" s="6" t="str">
        <f t="shared" si="36"/>
        <v/>
      </c>
    </row>
    <row r="2113" spans="1:48" ht="14.65" thickBot="1" x14ac:dyDescent="0.5">
      <c r="A2113" s="27" t="s">
        <v>2456</v>
      </c>
      <c r="I2113" s="18" t="s">
        <v>2473</v>
      </c>
      <c r="J2113" s="18" t="s">
        <v>2473</v>
      </c>
      <c r="K2113" s="18" t="s">
        <v>2473</v>
      </c>
      <c r="L2113" s="18" t="s">
        <v>2334</v>
      </c>
      <c r="R2113" s="111" t="s">
        <v>3426</v>
      </c>
      <c r="S2113" s="349" t="s">
        <v>823</v>
      </c>
      <c r="T2113" s="350"/>
      <c r="U2113" s="350"/>
      <c r="V2113" s="350"/>
      <c r="W2113" s="350"/>
      <c r="X2113" s="351"/>
      <c r="Y2113" s="118"/>
      <c r="Z2113" s="185"/>
      <c r="AA2113" s="185"/>
      <c r="AB2113" s="185"/>
      <c r="AC2113" s="185"/>
      <c r="AD2113" s="185"/>
      <c r="AE2113" s="186"/>
      <c r="AF2113" s="186"/>
      <c r="AG2113" s="185"/>
      <c r="AH2113" s="185"/>
      <c r="AI2113" s="185"/>
      <c r="AJ2113" s="185"/>
      <c r="AK2113" s="185"/>
      <c r="AL2113" s="185"/>
      <c r="AM2113" s="185"/>
      <c r="AN2113" s="117"/>
      <c r="AO2113" s="117"/>
      <c r="AP2113" s="117"/>
      <c r="AQ2113" s="117"/>
      <c r="AR2113" s="287"/>
      <c r="AS2113" s="258"/>
      <c r="AT2113" s="185"/>
      <c r="AU2113" s="6"/>
      <c r="AV2113" s="6" t="str">
        <f t="shared" si="36"/>
        <v/>
      </c>
    </row>
    <row r="2114" spans="1:48" ht="14.65" thickBot="1" x14ac:dyDescent="0.5">
      <c r="A2114" s="323" t="s">
        <v>2540</v>
      </c>
      <c r="B2114" s="324"/>
      <c r="C2114" s="324"/>
      <c r="D2114" s="324"/>
      <c r="E2114" s="324"/>
      <c r="F2114" s="324"/>
      <c r="G2114" s="101"/>
      <c r="H2114" s="101"/>
      <c r="I2114" s="18" t="s">
        <v>2473</v>
      </c>
      <c r="J2114" s="18" t="s">
        <v>2473</v>
      </c>
      <c r="K2114" s="18" t="s">
        <v>2473</v>
      </c>
      <c r="L2114" s="18" t="s">
        <v>2334</v>
      </c>
      <c r="R2114" s="122" t="s">
        <v>3427</v>
      </c>
      <c r="S2114" s="352" t="s">
        <v>3448</v>
      </c>
      <c r="T2114" s="353"/>
      <c r="U2114" s="353"/>
      <c r="V2114" s="353"/>
      <c r="W2114" s="353"/>
      <c r="X2114" s="354"/>
      <c r="Y2114" s="149"/>
      <c r="Z2114" s="183"/>
      <c r="AA2114" s="183"/>
      <c r="AB2114" s="183"/>
      <c r="AC2114" s="183"/>
      <c r="AD2114" s="183"/>
      <c r="AE2114" s="184"/>
      <c r="AF2114" s="184"/>
      <c r="AG2114" s="183"/>
      <c r="AH2114" s="183"/>
      <c r="AI2114" s="183"/>
      <c r="AJ2114" s="183"/>
      <c r="AK2114" s="183"/>
      <c r="AL2114" s="183"/>
      <c r="AM2114" s="183"/>
      <c r="AN2114" s="131"/>
      <c r="AO2114" s="131"/>
      <c r="AP2114" s="131"/>
      <c r="AQ2114" s="131"/>
      <c r="AR2114" s="288"/>
      <c r="AS2114" s="259"/>
      <c r="AT2114" s="183"/>
      <c r="AU2114" s="6"/>
      <c r="AV2114" s="6" t="str">
        <f t="shared" si="36"/>
        <v/>
      </c>
    </row>
    <row r="2115" spans="1:48" ht="14.65" thickBot="1" x14ac:dyDescent="0.5">
      <c r="A2115" s="28" t="s">
        <v>1748</v>
      </c>
      <c r="I2115" s="18" t="s">
        <v>2473</v>
      </c>
      <c r="J2115" s="18" t="s">
        <v>2473</v>
      </c>
      <c r="K2115" s="18" t="s">
        <v>2473</v>
      </c>
      <c r="L2115" s="18" t="s">
        <v>2334</v>
      </c>
      <c r="R2115" s="122" t="s">
        <v>3428</v>
      </c>
      <c r="S2115" s="352" t="b">
        <v>0</v>
      </c>
      <c r="T2115" s="353"/>
      <c r="U2115" s="353"/>
      <c r="V2115" s="353"/>
      <c r="W2115" s="353"/>
      <c r="X2115" s="354"/>
      <c r="Y2115" s="149"/>
      <c r="Z2115" s="183"/>
      <c r="AA2115" s="183" t="s">
        <v>2322</v>
      </c>
      <c r="AB2115" s="183" t="s">
        <v>1697</v>
      </c>
      <c r="AC2115" s="183" t="s">
        <v>5</v>
      </c>
      <c r="AD2115" s="183"/>
      <c r="AE2115" s="184"/>
      <c r="AF2115" s="184"/>
      <c r="AG2115" s="183"/>
      <c r="AH2115" s="183"/>
      <c r="AI2115" s="183"/>
      <c r="AJ2115" s="183"/>
      <c r="AK2115" s="183"/>
      <c r="AL2115" s="183"/>
      <c r="AM2115" s="183"/>
      <c r="AN2115" s="131"/>
      <c r="AO2115" s="131"/>
      <c r="AP2115" s="131"/>
      <c r="AQ2115" s="131"/>
      <c r="AR2115" s="288"/>
      <c r="AS2115" s="259"/>
      <c r="AT2115" s="183"/>
      <c r="AU2115" s="6"/>
      <c r="AV2115" s="6" t="str">
        <f t="shared" si="36"/>
        <v/>
      </c>
    </row>
    <row r="2116" spans="1:48" ht="395.65" thickBot="1" x14ac:dyDescent="0.5">
      <c r="A2116" s="309" t="s">
        <v>1749</v>
      </c>
      <c r="B2116" s="310"/>
      <c r="C2116" s="301" t="s">
        <v>1</v>
      </c>
      <c r="D2116" s="319"/>
      <c r="E2116" s="319"/>
      <c r="F2116" s="302"/>
      <c r="G2116" s="102"/>
      <c r="H2116" s="102"/>
      <c r="I2116" s="18" t="s">
        <v>2473</v>
      </c>
      <c r="R2116"/>
      <c r="S2116"/>
      <c r="T2116"/>
      <c r="U2116"/>
      <c r="V2116"/>
      <c r="W2116"/>
      <c r="X2116"/>
      <c r="Y2116" s="147"/>
      <c r="Z2116" s="17"/>
      <c r="AA2116" s="183" t="str">
        <f>LEFT($A2116,FIND(" ",$A2116)-1)</f>
        <v>Chassis</v>
      </c>
      <c r="AB2116" s="183" t="str">
        <f>MID($A2116,FIND("(",$A2116)+1,LEN($A2116)-FIND("(",$A2116)-1)</f>
        <v>1.8.0</v>
      </c>
      <c r="AC2116" s="101" t="str">
        <f>A2114</f>
        <v>The Chassis resource represents the physical components of a system. This resource represents the sheet-metal confined spaces and logical zones such as racks, enclosures, chassis, and all other containers. Subsystems (like sensors) that operate outside of a system’s data plane (meaning the resources are not accessible to software running on the system) are linked either directly or indirectly through this resource.</v>
      </c>
      <c r="AD2116" s="17"/>
      <c r="AE2116" s="187"/>
      <c r="AF2116" s="187"/>
      <c r="AG2116" s="17"/>
      <c r="AH2116" s="17"/>
      <c r="AI2116" s="17"/>
      <c r="AJ2116" s="17"/>
      <c r="AK2116" s="17"/>
      <c r="AL2116" s="17"/>
      <c r="AM2116" s="17"/>
      <c r="AN2116"/>
      <c r="AO2116"/>
      <c r="AP2116"/>
      <c r="AQ2116"/>
      <c r="AR2116" s="289"/>
      <c r="AS2116" s="261"/>
      <c r="AT2116" s="17"/>
      <c r="AU2116" s="6"/>
      <c r="AV2116" s="6" t="str">
        <f t="shared" si="36"/>
        <v/>
      </c>
    </row>
    <row r="2117" spans="1:48" ht="14.65" thickBot="1" x14ac:dyDescent="0.5">
      <c r="A2117" s="311"/>
      <c r="B2117" s="312"/>
      <c r="C2117" s="301" t="s">
        <v>2</v>
      </c>
      <c r="D2117" s="302"/>
      <c r="E2117" s="301" t="s">
        <v>3</v>
      </c>
      <c r="F2117" s="302"/>
      <c r="G2117" s="301" t="s">
        <v>2896</v>
      </c>
      <c r="H2117" s="302"/>
      <c r="I2117" s="18" t="s">
        <v>2473</v>
      </c>
      <c r="R2117"/>
      <c r="S2117"/>
      <c r="T2117"/>
      <c r="U2117"/>
      <c r="V2117"/>
      <c r="W2117"/>
      <c r="X2117"/>
      <c r="Y2117" s="147"/>
      <c r="Z2117" s="17"/>
      <c r="AA2117" s="183" t="s">
        <v>2322</v>
      </c>
      <c r="AB2117" s="183" t="s">
        <v>1697</v>
      </c>
      <c r="AC2117" s="183" t="s">
        <v>5</v>
      </c>
      <c r="AD2117" s="17"/>
      <c r="AE2117" s="187"/>
      <c r="AF2117" s="187"/>
      <c r="AG2117" s="17"/>
      <c r="AH2117" s="17"/>
      <c r="AI2117" s="17"/>
      <c r="AJ2117" s="17"/>
      <c r="AK2117" s="17"/>
      <c r="AL2117" s="17"/>
      <c r="AM2117" s="17"/>
      <c r="AN2117"/>
      <c r="AO2117"/>
      <c r="AP2117"/>
      <c r="AQ2117"/>
      <c r="AR2117" s="289"/>
      <c r="AS2117" s="261"/>
      <c r="AT2117" s="17"/>
      <c r="AU2117" s="6"/>
      <c r="AV2117" s="6" t="str">
        <f t="shared" si="36"/>
        <v/>
      </c>
    </row>
    <row r="2118" spans="1:48" ht="395.65" thickBot="1" x14ac:dyDescent="0.5">
      <c r="A2118" s="309" t="s">
        <v>3019</v>
      </c>
      <c r="B2118" s="310"/>
      <c r="C2118" s="301" t="s">
        <v>1</v>
      </c>
      <c r="D2118" s="319"/>
      <c r="E2118" s="319"/>
      <c r="F2118" s="302"/>
      <c r="G2118" s="102"/>
      <c r="H2118" s="102"/>
      <c r="J2118" s="18" t="s">
        <v>2473</v>
      </c>
      <c r="K2118" s="18" t="s">
        <v>2473</v>
      </c>
      <c r="AA2118" s="183" t="str">
        <f>LEFT($A2118,FIND(" ",$A2118)-1)</f>
        <v>Chassis</v>
      </c>
      <c r="AB2118" s="183" t="str">
        <f>MID($A2118,FIND("(",$A2118)+1,LEN($A2118)-FIND("(",$A2118)-1)</f>
        <v>1.9.0</v>
      </c>
      <c r="AC2118" s="101" t="str">
        <f>AC2116</f>
        <v>The Chassis resource represents the physical components of a system. This resource represents the sheet-metal confined spaces and logical zones such as racks, enclosures, chassis, and all other containers. Subsystems (like sensors) that operate outside of a system’s data plane (meaning the resources are not accessible to software running on the system) are linked either directly or indirectly through this resource.</v>
      </c>
      <c r="AU2118" s="6"/>
      <c r="AV2118" s="6" t="str">
        <f t="shared" si="36"/>
        <v/>
      </c>
    </row>
    <row r="2119" spans="1:48" ht="14.65" thickBot="1" x14ac:dyDescent="0.5">
      <c r="A2119" s="311"/>
      <c r="B2119" s="312"/>
      <c r="C2119" s="301" t="s">
        <v>2</v>
      </c>
      <c r="D2119" s="302"/>
      <c r="E2119" s="301" t="s">
        <v>3</v>
      </c>
      <c r="F2119" s="302"/>
      <c r="G2119" s="301" t="s">
        <v>2896</v>
      </c>
      <c r="H2119" s="302"/>
      <c r="J2119" s="18" t="s">
        <v>2473</v>
      </c>
      <c r="K2119" s="18" t="s">
        <v>2473</v>
      </c>
      <c r="L2119" s="18" t="s">
        <v>2335</v>
      </c>
      <c r="AM2119" s="8" t="str">
        <f>C2119</f>
        <v>OSM-Redfish</v>
      </c>
      <c r="AN2119" s="8" t="str">
        <f>E2119</f>
        <v>OSM-RedfishBMC</v>
      </c>
      <c r="AO2119" s="8" t="str">
        <f>G2119</f>
        <v>OSM-RedfishDCN</v>
      </c>
      <c r="AU2119" s="6"/>
      <c r="AV2119" s="6" t="str">
        <f t="shared" si="36"/>
        <v/>
      </c>
    </row>
    <row r="2120" spans="1:48" ht="14.65" thickBot="1" x14ac:dyDescent="0.5">
      <c r="A2120" s="46" t="s">
        <v>2377</v>
      </c>
      <c r="B2120" s="47"/>
      <c r="C2120" s="303" t="s">
        <v>10</v>
      </c>
      <c r="D2120" s="304"/>
      <c r="E2120" s="303" t="s">
        <v>10</v>
      </c>
      <c r="F2120" s="304"/>
      <c r="G2120" s="303" t="s">
        <v>10</v>
      </c>
      <c r="H2120" s="304"/>
      <c r="I2120" s="18" t="s">
        <v>2473</v>
      </c>
      <c r="J2120" s="18" t="s">
        <v>2473</v>
      </c>
      <c r="K2120" s="18" t="s">
        <v>2473</v>
      </c>
      <c r="R2120" s="129"/>
      <c r="S2120" s="117"/>
      <c r="T2120" s="117"/>
      <c r="U2120" s="117"/>
      <c r="V2120" s="117"/>
      <c r="W2120" s="117"/>
      <c r="X2120" s="216"/>
      <c r="Y2120" s="118"/>
      <c r="Z2120" s="185"/>
      <c r="AA2120" s="185"/>
      <c r="AB2120" s="185"/>
      <c r="AC2120" s="185"/>
      <c r="AD2120" s="185"/>
      <c r="AE2120" s="186"/>
      <c r="AF2120" s="186"/>
      <c r="AG2120" s="185"/>
      <c r="AH2120" s="185"/>
      <c r="AI2120" s="185"/>
      <c r="AJ2120" s="185"/>
      <c r="AK2120" s="185"/>
      <c r="AL2120" s="185"/>
      <c r="AM2120" s="8" t="str">
        <f>IF(C2120&lt;&gt;"","CRQ-P5-"&amp;(AM$2+$AP2120*$AP$3),"")</f>
        <v>CRQ-P5-1032</v>
      </c>
      <c r="AN2120" s="8" t="str">
        <f>IF(E2120&lt;&gt;"","CRQ-P5-"&amp;(AN$2+$AP2120*$AP$3),"")</f>
        <v>CRQ-P5-1332</v>
      </c>
      <c r="AO2120" s="8" t="str">
        <f>IF(G2120&lt;&gt;"","CRQ-P5-"&amp;(AO$2+$AP2120*$AP$3),"")</f>
        <v>CRQ-P5-1632</v>
      </c>
      <c r="AP2120" s="117">
        <v>8</v>
      </c>
      <c r="AQ2120" s="117"/>
      <c r="AR2120" s="287"/>
      <c r="AS2120" s="258"/>
      <c r="AT2120" s="185"/>
      <c r="AU2120" s="6"/>
      <c r="AV2120" s="6" t="str">
        <f t="shared" si="36"/>
        <v/>
      </c>
    </row>
    <row r="2121" spans="1:48" ht="14.65" thickBot="1" x14ac:dyDescent="0.5">
      <c r="A2121" s="29" t="s">
        <v>3394</v>
      </c>
      <c r="B2121" s="9"/>
      <c r="C2121" s="305" t="str">
        <f>MID($A2116,FIND("(",$A2116)+1,5)</f>
        <v>1.8.0</v>
      </c>
      <c r="D2121" s="306"/>
      <c r="E2121" s="305" t="s">
        <v>3413</v>
      </c>
      <c r="F2121" s="306"/>
      <c r="G2121" s="305" t="str">
        <f>MID($A2116,FIND("(",$A2116)+1,5)</f>
        <v>1.8.0</v>
      </c>
      <c r="H2121" s="306"/>
      <c r="I2121" s="18" t="s">
        <v>2473</v>
      </c>
      <c r="J2121" s="18" t="s">
        <v>2473</v>
      </c>
      <c r="K2121" s="18" t="s">
        <v>2473</v>
      </c>
      <c r="L2121" s="18" t="s">
        <v>2334</v>
      </c>
      <c r="R2121" s="111" t="s">
        <v>3429</v>
      </c>
      <c r="S2121" s="111" t="s">
        <v>3430</v>
      </c>
      <c r="T2121" s="111" t="s">
        <v>3427</v>
      </c>
      <c r="U2121" s="111" t="s">
        <v>3431</v>
      </c>
      <c r="V2121" s="111" t="s">
        <v>3432</v>
      </c>
      <c r="W2121" s="111" t="s">
        <v>3433</v>
      </c>
      <c r="X2121" s="217" t="s">
        <v>3434</v>
      </c>
      <c r="Y2121" s="118" t="s">
        <v>3965</v>
      </c>
      <c r="Z2121" s="185"/>
      <c r="AA2121" s="185"/>
      <c r="AB2121" s="185"/>
      <c r="AC2121" s="185"/>
      <c r="AD2121" s="185"/>
      <c r="AE2121" s="186"/>
      <c r="AF2121" s="186"/>
      <c r="AG2121" s="185"/>
      <c r="AH2121" s="185"/>
      <c r="AI2121" s="185"/>
      <c r="AJ2121" s="185"/>
      <c r="AK2121" s="185"/>
      <c r="AL2121" s="185"/>
      <c r="AM2121" s="185"/>
      <c r="AN2121" s="117"/>
      <c r="AO2121" s="117"/>
      <c r="AP2121" s="117"/>
      <c r="AQ2121" s="117"/>
      <c r="AR2121" s="287"/>
      <c r="AS2121" s="258"/>
      <c r="AT2121" s="185"/>
      <c r="AU2121" s="6"/>
      <c r="AV2121" s="6" t="str">
        <f t="shared" si="36"/>
        <v/>
      </c>
    </row>
    <row r="2122" spans="1:48" ht="15" customHeight="1" thickBot="1" x14ac:dyDescent="0.5">
      <c r="A2122" s="30" t="s">
        <v>4</v>
      </c>
      <c r="B2122" s="59" t="s">
        <v>5</v>
      </c>
      <c r="C2122" s="7" t="s">
        <v>6</v>
      </c>
      <c r="D2122" s="7" t="s">
        <v>7</v>
      </c>
      <c r="E2122" s="7" t="s">
        <v>6</v>
      </c>
      <c r="F2122" s="7" t="s">
        <v>7</v>
      </c>
      <c r="G2122" s="7" t="s">
        <v>6</v>
      </c>
      <c r="H2122" s="7" t="s">
        <v>7</v>
      </c>
      <c r="I2122" s="18" t="s">
        <v>2473</v>
      </c>
      <c r="J2122" s="18" t="s">
        <v>2473</v>
      </c>
      <c r="K2122" s="18" t="s">
        <v>2473</v>
      </c>
      <c r="L2122" s="18" t="s">
        <v>2334</v>
      </c>
      <c r="R2122" s="352" t="s">
        <v>4040</v>
      </c>
      <c r="S2122" s="353"/>
      <c r="T2122" s="353"/>
      <c r="U2122" s="353"/>
      <c r="V2122" s="353"/>
      <c r="W2122" s="353"/>
      <c r="X2122" s="357"/>
      <c r="Y2122" s="149"/>
      <c r="Z2122" s="183"/>
      <c r="AA2122" s="183"/>
      <c r="AB2122" s="183"/>
      <c r="AC2122" s="183"/>
      <c r="AD2122" s="183"/>
      <c r="AE2122" s="184"/>
      <c r="AF2122" s="184"/>
      <c r="AG2122" s="183"/>
      <c r="AH2122" s="183"/>
      <c r="AI2122" s="183"/>
      <c r="AJ2122" s="183"/>
      <c r="AK2122" s="183"/>
      <c r="AL2122" s="183"/>
      <c r="AM2122" s="183"/>
      <c r="AN2122" s="131"/>
      <c r="AO2122" s="131"/>
      <c r="AP2122" s="131"/>
      <c r="AQ2122" s="131"/>
      <c r="AR2122" s="288"/>
      <c r="AS2122" s="259"/>
      <c r="AT2122" s="183"/>
      <c r="AU2122" s="6"/>
      <c r="AV2122" s="6" t="str">
        <f t="shared" si="36"/>
        <v/>
      </c>
    </row>
    <row r="2123" spans="1:48" ht="14.65" thickBot="1" x14ac:dyDescent="0.5">
      <c r="A2123" s="36" t="s">
        <v>8</v>
      </c>
      <c r="B2123" s="3" t="s">
        <v>9</v>
      </c>
      <c r="C2123" s="4"/>
      <c r="D2123" s="4"/>
      <c r="E2123" s="4" t="s">
        <v>13</v>
      </c>
      <c r="F2123" s="4"/>
      <c r="G2123" s="4"/>
      <c r="H2123" s="4"/>
      <c r="I2123" s="18" t="s">
        <v>2473</v>
      </c>
      <c r="J2123" s="18" t="s">
        <v>2473</v>
      </c>
      <c r="K2123" s="18" t="s">
        <v>2473</v>
      </c>
      <c r="L2123" s="18" t="s">
        <v>2335</v>
      </c>
      <c r="AU2123" s="6"/>
      <c r="AV2123" s="6" t="str">
        <f t="shared" si="36"/>
        <v/>
      </c>
    </row>
    <row r="2124" spans="1:48" ht="35.25" thickBot="1" x14ac:dyDescent="0.5">
      <c r="A2124" s="35" t="s">
        <v>1750</v>
      </c>
      <c r="B2124" s="3" t="s">
        <v>1751</v>
      </c>
      <c r="C2124" s="4"/>
      <c r="D2124" s="4"/>
      <c r="E2124" s="4" t="s">
        <v>13</v>
      </c>
      <c r="F2124" s="4"/>
      <c r="G2124" s="4"/>
      <c r="H2124" s="4"/>
      <c r="I2124" s="18" t="s">
        <v>2473</v>
      </c>
      <c r="J2124" s="18" t="s">
        <v>2473</v>
      </c>
      <c r="K2124" s="18" t="s">
        <v>2473</v>
      </c>
      <c r="L2124" s="18" t="s">
        <v>2336</v>
      </c>
      <c r="AU2124" s="6"/>
      <c r="AV2124" s="6" t="str">
        <f t="shared" si="36"/>
        <v/>
      </c>
    </row>
    <row r="2125" spans="1:48" ht="14.65" thickBot="1" x14ac:dyDescent="0.5">
      <c r="A2125" s="36" t="s">
        <v>181</v>
      </c>
      <c r="B2125" s="3" t="s">
        <v>4063</v>
      </c>
      <c r="C2125" s="4"/>
      <c r="D2125" s="4"/>
      <c r="E2125" s="4"/>
      <c r="F2125" s="4"/>
      <c r="G2125" s="4"/>
      <c r="H2125" s="4"/>
      <c r="I2125" s="18" t="s">
        <v>2473</v>
      </c>
      <c r="J2125" s="18" t="s">
        <v>2473</v>
      </c>
      <c r="K2125" s="18" t="s">
        <v>2473</v>
      </c>
      <c r="L2125" s="18" t="s">
        <v>2335</v>
      </c>
      <c r="AU2125" s="6"/>
      <c r="AV2125" s="6" t="str">
        <f t="shared" ref="AV2125:AV2197" si="37">IF(A2125&lt;&gt;"",IF(T2125&lt;&gt;"",IF(LEFT(R2125,3)="Has",IF(TRIM(A2125)&lt;&gt;T2125,"ERROR","OK"),""),""),"")</f>
        <v/>
      </c>
    </row>
    <row r="2126" spans="1:48" ht="14.65" thickBot="1" x14ac:dyDescent="0.5">
      <c r="A2126" s="35" t="s">
        <v>33</v>
      </c>
      <c r="B2126" s="3" t="s">
        <v>183</v>
      </c>
      <c r="C2126" s="4"/>
      <c r="D2126" s="4"/>
      <c r="E2126" s="4"/>
      <c r="F2126" s="4"/>
      <c r="G2126" s="4"/>
      <c r="H2126" s="4"/>
      <c r="I2126" s="18" t="s">
        <v>2473</v>
      </c>
      <c r="J2126" s="18" t="s">
        <v>2473</v>
      </c>
      <c r="K2126" s="18" t="s">
        <v>2473</v>
      </c>
      <c r="L2126" s="18" t="s">
        <v>2335</v>
      </c>
      <c r="AU2126" s="6"/>
      <c r="AV2126" s="6" t="str">
        <f t="shared" si="37"/>
        <v/>
      </c>
    </row>
    <row r="2127" spans="1:48" ht="36" thickBot="1" x14ac:dyDescent="0.5">
      <c r="A2127" s="36" t="s">
        <v>30</v>
      </c>
      <c r="B2127" s="3" t="s">
        <v>4041</v>
      </c>
      <c r="C2127" s="4" t="s">
        <v>10</v>
      </c>
      <c r="D2127" s="4" t="s">
        <v>10</v>
      </c>
      <c r="E2127" s="4" t="s">
        <v>13</v>
      </c>
      <c r="F2127" s="4" t="s">
        <v>13</v>
      </c>
      <c r="G2127" s="4" t="s">
        <v>10</v>
      </c>
      <c r="H2127" s="4" t="s">
        <v>10</v>
      </c>
      <c r="I2127" s="18" t="s">
        <v>2473</v>
      </c>
      <c r="J2127" s="18" t="s">
        <v>2473</v>
      </c>
      <c r="K2127" s="18" t="s">
        <v>2473</v>
      </c>
      <c r="L2127" s="18" t="s">
        <v>2334</v>
      </c>
      <c r="R2127" s="122" t="s">
        <v>3529</v>
      </c>
      <c r="S2127" s="114" t="s">
        <v>4</v>
      </c>
      <c r="T2127" s="114" t="s">
        <v>30</v>
      </c>
      <c r="U2127" s="114" t="s">
        <v>3521</v>
      </c>
      <c r="V2127" s="114" t="s">
        <v>3530</v>
      </c>
      <c r="W2127" s="114" t="s">
        <v>3436</v>
      </c>
      <c r="X2127" s="114" t="s">
        <v>13</v>
      </c>
      <c r="Y2127" s="149"/>
      <c r="Z2127" s="183"/>
      <c r="AA2127" s="183"/>
      <c r="AB2127" s="183"/>
      <c r="AC2127" s="183"/>
      <c r="AD2127" s="183"/>
      <c r="AE2127" s="184"/>
      <c r="AF2127" s="184"/>
      <c r="AG2127" s="183"/>
      <c r="AH2127" s="183"/>
      <c r="AI2127" s="183"/>
      <c r="AJ2127" s="183"/>
      <c r="AK2127" s="183"/>
      <c r="AL2127" s="183"/>
      <c r="AM2127" s="183"/>
      <c r="AN2127" s="131"/>
      <c r="AO2127" s="131"/>
      <c r="AP2127" s="131"/>
      <c r="AQ2127" s="131"/>
      <c r="AR2127" s="288"/>
      <c r="AS2127" s="259"/>
      <c r="AT2127" s="183"/>
      <c r="AU2127" s="139" t="s">
        <v>4093</v>
      </c>
      <c r="AV2127" s="6" t="str">
        <f t="shared" si="37"/>
        <v>OK</v>
      </c>
    </row>
    <row r="2128" spans="1:48" ht="35.25" thickBot="1" x14ac:dyDescent="0.5">
      <c r="A2128" s="36" t="s">
        <v>1752</v>
      </c>
      <c r="B2128" s="3" t="s">
        <v>1753</v>
      </c>
      <c r="C2128" s="4" t="s">
        <v>10</v>
      </c>
      <c r="D2128" s="4"/>
      <c r="E2128" s="4" t="s">
        <v>10</v>
      </c>
      <c r="F2128" s="4"/>
      <c r="G2128" s="4" t="s">
        <v>10</v>
      </c>
      <c r="H2128" s="4"/>
      <c r="I2128" s="18" t="s">
        <v>2473</v>
      </c>
      <c r="J2128" s="18" t="s">
        <v>2473</v>
      </c>
      <c r="K2128" s="18" t="s">
        <v>2473</v>
      </c>
      <c r="L2128" s="18" t="s">
        <v>2334</v>
      </c>
      <c r="R2128" s="122" t="s">
        <v>3529</v>
      </c>
      <c r="S2128" s="114" t="s">
        <v>4</v>
      </c>
      <c r="T2128" s="114" t="s">
        <v>1752</v>
      </c>
      <c r="U2128" s="114" t="s">
        <v>3521</v>
      </c>
      <c r="V2128" s="114" t="s">
        <v>3530</v>
      </c>
      <c r="W2128" s="114" t="s">
        <v>3436</v>
      </c>
      <c r="X2128" s="114" t="s">
        <v>13</v>
      </c>
      <c r="AU2128" s="201" t="s">
        <v>4188</v>
      </c>
      <c r="AV2128" s="6" t="str">
        <f t="shared" si="37"/>
        <v>OK</v>
      </c>
    </row>
    <row r="2129" spans="1:48" ht="81.75" thickBot="1" x14ac:dyDescent="0.5">
      <c r="A2129" s="36" t="s">
        <v>1754</v>
      </c>
      <c r="B2129" s="3" t="s">
        <v>1755</v>
      </c>
      <c r="C2129" s="4"/>
      <c r="D2129" s="4"/>
      <c r="E2129" s="4" t="s">
        <v>13</v>
      </c>
      <c r="F2129" s="4"/>
      <c r="G2129" s="4"/>
      <c r="H2129" s="4"/>
      <c r="I2129" s="18" t="s">
        <v>2473</v>
      </c>
      <c r="J2129" s="18" t="s">
        <v>2473</v>
      </c>
      <c r="K2129" s="18" t="s">
        <v>2473</v>
      </c>
      <c r="R2129" s="122" t="s">
        <v>3529</v>
      </c>
      <c r="S2129" s="114" t="s">
        <v>4</v>
      </c>
      <c r="T2129" s="114" t="s">
        <v>1754</v>
      </c>
      <c r="U2129" s="114" t="s">
        <v>3521</v>
      </c>
      <c r="V2129" s="114" t="s">
        <v>3530</v>
      </c>
      <c r="W2129" s="114" t="s">
        <v>3436</v>
      </c>
      <c r="X2129" s="114" t="s">
        <v>13</v>
      </c>
      <c r="AU2129" s="140" t="s">
        <v>4292</v>
      </c>
      <c r="AV2129" s="6" t="str">
        <f t="shared" si="37"/>
        <v>OK</v>
      </c>
    </row>
    <row r="2130" spans="1:48" ht="35.25" thickBot="1" x14ac:dyDescent="0.5">
      <c r="A2130" s="36" t="s">
        <v>2901</v>
      </c>
      <c r="B2130" s="3" t="s">
        <v>4042</v>
      </c>
      <c r="C2130" s="4" t="s">
        <v>13</v>
      </c>
      <c r="D2130" s="4"/>
      <c r="E2130" s="4" t="s">
        <v>13</v>
      </c>
      <c r="F2130" s="4"/>
      <c r="G2130" s="4" t="s">
        <v>13</v>
      </c>
      <c r="H2130" s="4"/>
      <c r="J2130" s="18" t="s">
        <v>2473</v>
      </c>
      <c r="K2130" s="18" t="s">
        <v>2473</v>
      </c>
      <c r="L2130" s="18" t="s">
        <v>2334</v>
      </c>
      <c r="R2130" s="122" t="s">
        <v>3529</v>
      </c>
      <c r="S2130" s="114" t="s">
        <v>4</v>
      </c>
      <c r="T2130" s="114" t="s">
        <v>2901</v>
      </c>
      <c r="U2130" s="114" t="s">
        <v>3521</v>
      </c>
      <c r="V2130" s="114" t="s">
        <v>3530</v>
      </c>
      <c r="W2130" s="114" t="s">
        <v>3436</v>
      </c>
      <c r="X2130" s="114" t="s">
        <v>13</v>
      </c>
      <c r="AU2130" s="201" t="s">
        <v>4188</v>
      </c>
      <c r="AV2130" s="6" t="str">
        <f t="shared" si="37"/>
        <v>OK</v>
      </c>
    </row>
    <row r="2131" spans="1:48" ht="81.75" thickBot="1" x14ac:dyDescent="0.5">
      <c r="A2131" s="36" t="s">
        <v>1756</v>
      </c>
      <c r="B2131" s="3" t="s">
        <v>1757</v>
      </c>
      <c r="C2131" s="4"/>
      <c r="D2131" s="4"/>
      <c r="E2131" s="4" t="s">
        <v>13</v>
      </c>
      <c r="F2131" s="4"/>
      <c r="G2131" s="4"/>
      <c r="H2131" s="4"/>
      <c r="I2131" s="18" t="s">
        <v>2473</v>
      </c>
      <c r="J2131" s="18" t="s">
        <v>2473</v>
      </c>
      <c r="K2131" s="18" t="s">
        <v>2473</v>
      </c>
      <c r="R2131" s="122" t="s">
        <v>3529</v>
      </c>
      <c r="S2131" s="114" t="s">
        <v>4</v>
      </c>
      <c r="T2131" s="114" t="s">
        <v>1756</v>
      </c>
      <c r="U2131" s="114" t="s">
        <v>3521</v>
      </c>
      <c r="V2131" s="114" t="s">
        <v>3530</v>
      </c>
      <c r="W2131" s="114" t="s">
        <v>3436</v>
      </c>
      <c r="X2131" s="114" t="s">
        <v>13</v>
      </c>
      <c r="AU2131" s="140" t="s">
        <v>4292</v>
      </c>
      <c r="AV2131" s="6" t="str">
        <f t="shared" si="37"/>
        <v>OK</v>
      </c>
    </row>
    <row r="2132" spans="1:48" ht="46.9" thickBot="1" x14ac:dyDescent="0.5">
      <c r="A2132" s="36" t="s">
        <v>74</v>
      </c>
      <c r="B2132" s="3" t="s">
        <v>5383</v>
      </c>
      <c r="C2132" s="4" t="s">
        <v>37</v>
      </c>
      <c r="D2132" s="4" t="s">
        <v>13</v>
      </c>
      <c r="E2132" s="4" t="s">
        <v>37</v>
      </c>
      <c r="F2132" s="4" t="s">
        <v>13</v>
      </c>
      <c r="G2132" s="4" t="s">
        <v>37</v>
      </c>
      <c r="H2132" s="4" t="s">
        <v>13</v>
      </c>
      <c r="I2132" s="18" t="s">
        <v>2473</v>
      </c>
      <c r="J2132" s="18" t="s">
        <v>2473</v>
      </c>
      <c r="K2132" s="18" t="s">
        <v>2473</v>
      </c>
      <c r="M2132" s="244" t="s">
        <v>5379</v>
      </c>
      <c r="AS2132" s="240" t="s">
        <v>5399</v>
      </c>
      <c r="AU2132" s="6"/>
      <c r="AV2132" s="6" t="str">
        <f t="shared" ref="AV2132" si="38">IF(A2132&lt;&gt;"",IF(T2132&lt;&gt;"",IF(LEFT(R2132,3)="Has",IF(TRIM(A2132)&lt;&gt;T2132,"ERROR","OK"),""),""),"")</f>
        <v/>
      </c>
    </row>
    <row r="2133" spans="1:48" ht="36" thickBot="1" x14ac:dyDescent="0.5">
      <c r="A2133" s="36" t="s">
        <v>5381</v>
      </c>
      <c r="B2133" s="3" t="s">
        <v>5382</v>
      </c>
      <c r="C2133" s="4" t="s">
        <v>37</v>
      </c>
      <c r="D2133" s="4" t="s">
        <v>13</v>
      </c>
      <c r="E2133" s="4" t="s">
        <v>37</v>
      </c>
      <c r="F2133" s="4" t="s">
        <v>13</v>
      </c>
      <c r="G2133" s="4" t="s">
        <v>37</v>
      </c>
      <c r="H2133" s="4" t="s">
        <v>13</v>
      </c>
      <c r="J2133" s="18" t="s">
        <v>2473</v>
      </c>
      <c r="K2133" s="18" t="s">
        <v>2473</v>
      </c>
      <c r="M2133" s="244" t="s">
        <v>5380</v>
      </c>
      <c r="AS2133" s="240" t="s">
        <v>5839</v>
      </c>
      <c r="AU2133" s="6"/>
      <c r="AV2133" s="6" t="str">
        <f t="shared" si="37"/>
        <v/>
      </c>
    </row>
    <row r="2134" spans="1:48" ht="47.65" thickBot="1" x14ac:dyDescent="0.5">
      <c r="A2134" s="36" t="s">
        <v>75</v>
      </c>
      <c r="B2134" s="3" t="s">
        <v>76</v>
      </c>
      <c r="C2134" s="4" t="s">
        <v>10</v>
      </c>
      <c r="D2134" s="4"/>
      <c r="E2134" s="4" t="s">
        <v>10</v>
      </c>
      <c r="F2134" s="4"/>
      <c r="G2134" s="4" t="s">
        <v>10</v>
      </c>
      <c r="H2134" s="4"/>
      <c r="I2134" s="18" t="s">
        <v>2473</v>
      </c>
      <c r="J2134" s="18" t="s">
        <v>2473</v>
      </c>
      <c r="K2134" s="18" t="s">
        <v>2473</v>
      </c>
      <c r="L2134" s="18" t="s">
        <v>2335</v>
      </c>
      <c r="AS2134" s="206" t="s">
        <v>5860</v>
      </c>
      <c r="AU2134" s="6"/>
      <c r="AV2134" s="6" t="str">
        <f t="shared" si="37"/>
        <v/>
      </c>
    </row>
    <row r="2135" spans="1:48" ht="35.25" thickBot="1" x14ac:dyDescent="0.5">
      <c r="A2135" s="35" t="s">
        <v>865</v>
      </c>
      <c r="B2135" s="3" t="s">
        <v>4043</v>
      </c>
      <c r="C2135" s="4" t="s">
        <v>10</v>
      </c>
      <c r="D2135" s="4"/>
      <c r="E2135" s="4" t="s">
        <v>10</v>
      </c>
      <c r="F2135" s="4"/>
      <c r="G2135" s="4" t="s">
        <v>10</v>
      </c>
      <c r="H2135" s="4"/>
      <c r="I2135" s="18" t="s">
        <v>2473</v>
      </c>
      <c r="J2135" s="18" t="s">
        <v>2473</v>
      </c>
      <c r="K2135" s="18" t="s">
        <v>2473</v>
      </c>
      <c r="AU2135" s="6"/>
      <c r="AV2135" s="6" t="str">
        <f t="shared" si="37"/>
        <v/>
      </c>
    </row>
    <row r="2136" spans="1:48" ht="14.65" thickBot="1" x14ac:dyDescent="0.5">
      <c r="A2136" s="35" t="s">
        <v>43</v>
      </c>
      <c r="B2136" s="3" t="s">
        <v>867</v>
      </c>
      <c r="C2136" s="4"/>
      <c r="D2136" s="4"/>
      <c r="E2136" s="4"/>
      <c r="F2136" s="4"/>
      <c r="G2136" s="4"/>
      <c r="H2136" s="4"/>
      <c r="I2136" s="18" t="s">
        <v>2473</v>
      </c>
      <c r="J2136" s="18" t="s">
        <v>2473</v>
      </c>
      <c r="K2136" s="18" t="s">
        <v>2473</v>
      </c>
      <c r="L2136" s="18" t="s">
        <v>2335</v>
      </c>
      <c r="AU2136" s="6"/>
      <c r="AV2136" s="6" t="str">
        <f t="shared" si="37"/>
        <v/>
      </c>
    </row>
    <row r="2137" spans="1:48" ht="14.65" thickBot="1" x14ac:dyDescent="0.5">
      <c r="A2137" s="35" t="s">
        <v>1758</v>
      </c>
      <c r="B2137" s="3" t="s">
        <v>4044</v>
      </c>
      <c r="C2137" s="4"/>
      <c r="D2137" s="4"/>
      <c r="E2137" s="4"/>
      <c r="F2137" s="4"/>
      <c r="G2137" s="4"/>
      <c r="H2137" s="4"/>
      <c r="I2137" s="18" t="s">
        <v>2473</v>
      </c>
      <c r="J2137" s="18" t="s">
        <v>2473</v>
      </c>
      <c r="K2137" s="18" t="s">
        <v>2473</v>
      </c>
      <c r="L2137" s="18" t="s">
        <v>2335</v>
      </c>
      <c r="AU2137" s="6"/>
      <c r="AV2137" s="6" t="str">
        <f t="shared" si="37"/>
        <v/>
      </c>
    </row>
    <row r="2138" spans="1:48" ht="14.65" thickBot="1" x14ac:dyDescent="0.5">
      <c r="A2138" s="35" t="s">
        <v>43</v>
      </c>
      <c r="B2138" s="3" t="s">
        <v>1759</v>
      </c>
      <c r="C2138" s="4"/>
      <c r="D2138" s="4"/>
      <c r="E2138" s="4"/>
      <c r="F2138" s="4"/>
      <c r="G2138" s="4"/>
      <c r="H2138" s="4"/>
      <c r="I2138" s="18" t="s">
        <v>2473</v>
      </c>
      <c r="J2138" s="18" t="s">
        <v>2473</v>
      </c>
      <c r="K2138" s="18" t="s">
        <v>2473</v>
      </c>
      <c r="L2138" s="18" t="s">
        <v>2335</v>
      </c>
      <c r="AU2138" s="6"/>
      <c r="AV2138" s="6" t="str">
        <f t="shared" si="37"/>
        <v/>
      </c>
    </row>
    <row r="2139" spans="1:48" ht="14.65" thickBot="1" x14ac:dyDescent="0.5">
      <c r="A2139" s="35" t="s">
        <v>1760</v>
      </c>
      <c r="B2139" s="3" t="s">
        <v>4045</v>
      </c>
      <c r="C2139" s="4"/>
      <c r="D2139" s="4"/>
      <c r="E2139" s="4"/>
      <c r="F2139" s="4"/>
      <c r="G2139" s="4"/>
      <c r="H2139" s="4"/>
      <c r="I2139" s="18" t="s">
        <v>2473</v>
      </c>
      <c r="J2139" s="18" t="s">
        <v>2473</v>
      </c>
      <c r="K2139" s="18" t="s">
        <v>2473</v>
      </c>
      <c r="L2139" s="18" t="s">
        <v>2335</v>
      </c>
      <c r="AU2139" s="6"/>
      <c r="AV2139" s="6" t="str">
        <f t="shared" si="37"/>
        <v/>
      </c>
    </row>
    <row r="2140" spans="1:48" ht="14.65" thickBot="1" x14ac:dyDescent="0.5">
      <c r="A2140" s="35" t="s">
        <v>43</v>
      </c>
      <c r="B2140" s="3" t="s">
        <v>1759</v>
      </c>
      <c r="C2140" s="4"/>
      <c r="D2140" s="4"/>
      <c r="E2140" s="4"/>
      <c r="F2140" s="4"/>
      <c r="G2140" s="4"/>
      <c r="H2140" s="4"/>
      <c r="I2140" s="18" t="s">
        <v>2473</v>
      </c>
      <c r="J2140" s="18" t="s">
        <v>2473</v>
      </c>
      <c r="K2140" s="18" t="s">
        <v>2473</v>
      </c>
      <c r="L2140" s="18" t="s">
        <v>2335</v>
      </c>
      <c r="AU2140" s="6"/>
      <c r="AV2140" s="6" t="str">
        <f t="shared" si="37"/>
        <v/>
      </c>
    </row>
    <row r="2141" spans="1:48" ht="23.65" thickBot="1" x14ac:dyDescent="0.5">
      <c r="A2141" s="35" t="s">
        <v>83</v>
      </c>
      <c r="B2141" s="3" t="s">
        <v>4046</v>
      </c>
      <c r="C2141" s="4"/>
      <c r="D2141" s="4"/>
      <c r="E2141" s="4"/>
      <c r="F2141" s="4"/>
      <c r="G2141" s="4"/>
      <c r="H2141" s="4"/>
      <c r="I2141" s="18" t="s">
        <v>2473</v>
      </c>
      <c r="J2141" s="18" t="s">
        <v>2473</v>
      </c>
      <c r="K2141" s="18" t="s">
        <v>2473</v>
      </c>
      <c r="L2141" s="18" t="s">
        <v>2335</v>
      </c>
      <c r="AU2141" s="6"/>
      <c r="AV2141" s="6" t="str">
        <f t="shared" si="37"/>
        <v/>
      </c>
    </row>
    <row r="2142" spans="1:48" ht="14.65" thickBot="1" x14ac:dyDescent="0.5">
      <c r="A2142" s="35" t="s">
        <v>43</v>
      </c>
      <c r="B2142" s="3" t="s">
        <v>1761</v>
      </c>
      <c r="C2142" s="4"/>
      <c r="D2142" s="4"/>
      <c r="E2142" s="4"/>
      <c r="F2142" s="4"/>
      <c r="G2142" s="4"/>
      <c r="H2142" s="4"/>
      <c r="I2142" s="18" t="s">
        <v>2473</v>
      </c>
      <c r="J2142" s="18" t="s">
        <v>2473</v>
      </c>
      <c r="K2142" s="18" t="s">
        <v>2473</v>
      </c>
      <c r="L2142" s="18" t="s">
        <v>2335</v>
      </c>
      <c r="AU2142" s="6"/>
      <c r="AV2142" s="6" t="str">
        <f t="shared" si="37"/>
        <v/>
      </c>
    </row>
    <row r="2143" spans="1:48" ht="14.65" thickBot="1" x14ac:dyDescent="0.5">
      <c r="A2143" s="35" t="s">
        <v>353</v>
      </c>
      <c r="B2143" s="3" t="s">
        <v>4047</v>
      </c>
      <c r="C2143" s="4"/>
      <c r="D2143" s="4"/>
      <c r="E2143" s="4"/>
      <c r="F2143" s="4"/>
      <c r="G2143" s="4"/>
      <c r="H2143" s="4"/>
      <c r="I2143" s="18" t="s">
        <v>2473</v>
      </c>
      <c r="J2143" s="18" t="s">
        <v>2473</v>
      </c>
      <c r="K2143" s="18" t="s">
        <v>2473</v>
      </c>
      <c r="L2143" s="18" t="s">
        <v>2335</v>
      </c>
      <c r="AU2143" s="6"/>
      <c r="AV2143" s="6" t="str">
        <f t="shared" si="37"/>
        <v/>
      </c>
    </row>
    <row r="2144" spans="1:48" ht="14.65" thickBot="1" x14ac:dyDescent="0.5">
      <c r="A2144" s="35" t="s">
        <v>43</v>
      </c>
      <c r="B2144" s="3" t="s">
        <v>1762</v>
      </c>
      <c r="C2144" s="4"/>
      <c r="D2144" s="4"/>
      <c r="E2144" s="4"/>
      <c r="F2144" s="4"/>
      <c r="G2144" s="4"/>
      <c r="H2144" s="4"/>
      <c r="I2144" s="18" t="s">
        <v>2473</v>
      </c>
      <c r="J2144" s="18" t="s">
        <v>2473</v>
      </c>
      <c r="K2144" s="18" t="s">
        <v>2473</v>
      </c>
      <c r="L2144" s="18" t="s">
        <v>2335</v>
      </c>
      <c r="AU2144" s="6"/>
      <c r="AV2144" s="6" t="str">
        <f t="shared" si="37"/>
        <v/>
      </c>
    </row>
    <row r="2145" spans="1:48" ht="23.65" thickBot="1" x14ac:dyDescent="0.5">
      <c r="A2145" s="35" t="s">
        <v>88</v>
      </c>
      <c r="B2145" s="3" t="s">
        <v>4048</v>
      </c>
      <c r="C2145" s="4" t="s">
        <v>10</v>
      </c>
      <c r="D2145" s="4"/>
      <c r="E2145" s="4" t="s">
        <v>10</v>
      </c>
      <c r="F2145" s="4"/>
      <c r="G2145" s="4" t="s">
        <v>10</v>
      </c>
      <c r="H2145" s="4"/>
      <c r="I2145" s="18" t="s">
        <v>2473</v>
      </c>
      <c r="J2145" s="18" t="s">
        <v>2473</v>
      </c>
      <c r="K2145" s="18" t="s">
        <v>2473</v>
      </c>
      <c r="AU2145" s="6"/>
      <c r="AV2145" s="6" t="str">
        <f t="shared" si="37"/>
        <v/>
      </c>
    </row>
    <row r="2146" spans="1:48" ht="14.65" thickBot="1" x14ac:dyDescent="0.5">
      <c r="A2146" s="35" t="s">
        <v>43</v>
      </c>
      <c r="B2146" s="3" t="s">
        <v>90</v>
      </c>
      <c r="C2146" s="4"/>
      <c r="D2146" s="4"/>
      <c r="E2146" s="4"/>
      <c r="F2146" s="4"/>
      <c r="G2146" s="4"/>
      <c r="H2146" s="4"/>
      <c r="I2146" s="18" t="s">
        <v>2473</v>
      </c>
      <c r="J2146" s="18" t="s">
        <v>2473</v>
      </c>
      <c r="K2146" s="18" t="s">
        <v>2473</v>
      </c>
      <c r="L2146" s="18" t="s">
        <v>2335</v>
      </c>
      <c r="AU2146" s="6"/>
      <c r="AV2146" s="6" t="str">
        <f t="shared" si="37"/>
        <v/>
      </c>
    </row>
    <row r="2147" spans="1:48" ht="14.65" thickBot="1" x14ac:dyDescent="0.5">
      <c r="A2147" s="35" t="s">
        <v>1763</v>
      </c>
      <c r="B2147" s="3" t="s">
        <v>4049</v>
      </c>
      <c r="C2147" s="4"/>
      <c r="D2147" s="4"/>
      <c r="E2147" s="4"/>
      <c r="F2147" s="4"/>
      <c r="G2147" s="4"/>
      <c r="H2147" s="4"/>
      <c r="I2147" s="18" t="s">
        <v>2473</v>
      </c>
      <c r="J2147" s="18" t="s">
        <v>2473</v>
      </c>
      <c r="K2147" s="18" t="s">
        <v>2473</v>
      </c>
      <c r="L2147" s="18" t="s">
        <v>2335</v>
      </c>
      <c r="AU2147" s="6"/>
      <c r="AV2147" s="6" t="str">
        <f t="shared" si="37"/>
        <v/>
      </c>
    </row>
    <row r="2148" spans="1:48" ht="14.65" thickBot="1" x14ac:dyDescent="0.5">
      <c r="A2148" s="35" t="s">
        <v>43</v>
      </c>
      <c r="B2148" s="3" t="s">
        <v>90</v>
      </c>
      <c r="C2148" s="4"/>
      <c r="D2148" s="4"/>
      <c r="E2148" s="4"/>
      <c r="F2148" s="4"/>
      <c r="G2148" s="4"/>
      <c r="H2148" s="4"/>
      <c r="I2148" s="18" t="s">
        <v>2473</v>
      </c>
      <c r="J2148" s="18" t="s">
        <v>2473</v>
      </c>
      <c r="K2148" s="18" t="s">
        <v>2473</v>
      </c>
      <c r="L2148" s="18" t="s">
        <v>2335</v>
      </c>
      <c r="AU2148" s="6"/>
      <c r="AV2148" s="6" t="str">
        <f t="shared" si="37"/>
        <v/>
      </c>
    </row>
    <row r="2149" spans="1:48" ht="14.65" thickBot="1" x14ac:dyDescent="0.5">
      <c r="A2149" s="35" t="s">
        <v>59</v>
      </c>
      <c r="B2149" s="3" t="s">
        <v>60</v>
      </c>
      <c r="C2149" s="4"/>
      <c r="D2149" s="4"/>
      <c r="E2149" s="4"/>
      <c r="F2149" s="4"/>
      <c r="G2149" s="4"/>
      <c r="H2149" s="4"/>
      <c r="I2149" s="18" t="s">
        <v>2473</v>
      </c>
      <c r="J2149" s="18" t="s">
        <v>2473</v>
      </c>
      <c r="K2149" s="18" t="s">
        <v>2473</v>
      </c>
      <c r="L2149" s="18" t="s">
        <v>2335</v>
      </c>
      <c r="AU2149" s="6"/>
      <c r="AV2149" s="6" t="str">
        <f t="shared" si="37"/>
        <v/>
      </c>
    </row>
    <row r="2150" spans="1:48" ht="14.65" thickBot="1" x14ac:dyDescent="0.5">
      <c r="A2150" s="35" t="s">
        <v>1764</v>
      </c>
      <c r="B2150" s="3" t="s">
        <v>4050</v>
      </c>
      <c r="C2150" s="4"/>
      <c r="D2150" s="4"/>
      <c r="E2150" s="4"/>
      <c r="F2150" s="4"/>
      <c r="G2150" s="4"/>
      <c r="H2150" s="4"/>
      <c r="I2150" s="18" t="s">
        <v>2473</v>
      </c>
      <c r="J2150" s="18" t="s">
        <v>2473</v>
      </c>
      <c r="K2150" s="18" t="s">
        <v>2473</v>
      </c>
      <c r="L2150" s="18" t="s">
        <v>2335</v>
      </c>
      <c r="AU2150" s="6"/>
      <c r="AV2150" s="6" t="str">
        <f t="shared" si="37"/>
        <v/>
      </c>
    </row>
    <row r="2151" spans="1:48" ht="14.65" thickBot="1" x14ac:dyDescent="0.5">
      <c r="A2151" s="35" t="s">
        <v>43</v>
      </c>
      <c r="B2151" s="3" t="s">
        <v>364</v>
      </c>
      <c r="C2151" s="4"/>
      <c r="D2151" s="4"/>
      <c r="E2151" s="4"/>
      <c r="F2151" s="4"/>
      <c r="G2151" s="4"/>
      <c r="H2151" s="4"/>
      <c r="I2151" s="18" t="s">
        <v>2473</v>
      </c>
      <c r="J2151" s="18" t="s">
        <v>2473</v>
      </c>
      <c r="K2151" s="18" t="s">
        <v>2473</v>
      </c>
      <c r="L2151" s="18" t="s">
        <v>2335</v>
      </c>
      <c r="AU2151" s="6"/>
      <c r="AV2151" s="6" t="str">
        <f t="shared" si="37"/>
        <v/>
      </c>
    </row>
    <row r="2152" spans="1:48" ht="14.65" thickBot="1" x14ac:dyDescent="0.5">
      <c r="A2152" s="35" t="s">
        <v>2484</v>
      </c>
      <c r="B2152" s="3" t="s">
        <v>4051</v>
      </c>
      <c r="C2152" s="4"/>
      <c r="D2152" s="4"/>
      <c r="E2152" s="4"/>
      <c r="F2152" s="4"/>
      <c r="G2152" s="4"/>
      <c r="H2152" s="4"/>
      <c r="J2152" s="18" t="s">
        <v>2473</v>
      </c>
      <c r="K2152" s="18" t="s">
        <v>2473</v>
      </c>
      <c r="L2152" s="18" t="s">
        <v>2335</v>
      </c>
      <c r="AU2152" s="6"/>
      <c r="AV2152" s="6" t="str">
        <f t="shared" si="37"/>
        <v/>
      </c>
    </row>
    <row r="2153" spans="1:48" ht="14.65" thickBot="1" x14ac:dyDescent="0.5">
      <c r="A2153" s="35" t="s">
        <v>43</v>
      </c>
      <c r="B2153" s="3" t="s">
        <v>2902</v>
      </c>
      <c r="C2153" s="4"/>
      <c r="D2153" s="4"/>
      <c r="E2153" s="4"/>
      <c r="F2153" s="4"/>
      <c r="G2153" s="4"/>
      <c r="H2153" s="4"/>
      <c r="J2153" s="18" t="s">
        <v>2473</v>
      </c>
      <c r="K2153" s="18" t="s">
        <v>2473</v>
      </c>
      <c r="L2153" s="18" t="s">
        <v>2335</v>
      </c>
      <c r="AU2153" s="6"/>
      <c r="AV2153" s="6" t="str">
        <f t="shared" si="37"/>
        <v/>
      </c>
    </row>
    <row r="2154" spans="1:48" ht="23.65" thickBot="1" x14ac:dyDescent="0.5">
      <c r="A2154" s="35" t="s">
        <v>91</v>
      </c>
      <c r="B2154" s="3" t="s">
        <v>4052</v>
      </c>
      <c r="C2154" s="4"/>
      <c r="D2154" s="4"/>
      <c r="E2154" s="4"/>
      <c r="F2154" s="4"/>
      <c r="G2154" s="4"/>
      <c r="H2154" s="4"/>
      <c r="I2154" s="18" t="s">
        <v>2473</v>
      </c>
      <c r="J2154" s="18" t="s">
        <v>2473</v>
      </c>
      <c r="K2154" s="18" t="s">
        <v>2473</v>
      </c>
      <c r="L2154" s="18" t="s">
        <v>2335</v>
      </c>
      <c r="AU2154" s="6"/>
      <c r="AV2154" s="6" t="str">
        <f t="shared" si="37"/>
        <v/>
      </c>
    </row>
    <row r="2155" spans="1:48" ht="14.65" thickBot="1" x14ac:dyDescent="0.5">
      <c r="A2155" s="35" t="s">
        <v>43</v>
      </c>
      <c r="B2155" s="3" t="s">
        <v>84</v>
      </c>
      <c r="C2155" s="4"/>
      <c r="D2155" s="4"/>
      <c r="E2155" s="4"/>
      <c r="F2155" s="4"/>
      <c r="G2155" s="4"/>
      <c r="H2155" s="4"/>
      <c r="I2155" s="18" t="s">
        <v>2473</v>
      </c>
      <c r="J2155" s="18" t="s">
        <v>2473</v>
      </c>
      <c r="K2155" s="18" t="s">
        <v>2473</v>
      </c>
      <c r="L2155" s="18" t="s">
        <v>2335</v>
      </c>
      <c r="AU2155" s="6"/>
      <c r="AV2155" s="6" t="str">
        <f t="shared" si="37"/>
        <v/>
      </c>
    </row>
    <row r="2156" spans="1:48" ht="14.65" thickBot="1" x14ac:dyDescent="0.5">
      <c r="A2156" s="35" t="s">
        <v>92</v>
      </c>
      <c r="B2156" s="3" t="s">
        <v>4053</v>
      </c>
      <c r="C2156" s="4"/>
      <c r="D2156" s="4"/>
      <c r="E2156" s="4"/>
      <c r="F2156" s="4"/>
      <c r="G2156" s="4"/>
      <c r="H2156" s="4"/>
      <c r="I2156" s="18" t="s">
        <v>2473</v>
      </c>
      <c r="J2156" s="18" t="s">
        <v>2473</v>
      </c>
      <c r="K2156" s="18" t="s">
        <v>2473</v>
      </c>
      <c r="L2156" s="18" t="s">
        <v>2335</v>
      </c>
      <c r="AU2156" s="6"/>
      <c r="AV2156" s="6" t="str">
        <f t="shared" si="37"/>
        <v/>
      </c>
    </row>
    <row r="2157" spans="1:48" ht="14.65" thickBot="1" x14ac:dyDescent="0.5">
      <c r="A2157" s="35" t="s">
        <v>43</v>
      </c>
      <c r="B2157" s="3" t="s">
        <v>94</v>
      </c>
      <c r="C2157" s="4"/>
      <c r="D2157" s="4"/>
      <c r="E2157" s="4"/>
      <c r="F2157" s="4"/>
      <c r="G2157" s="4"/>
      <c r="H2157" s="4"/>
      <c r="I2157" s="18" t="s">
        <v>2473</v>
      </c>
      <c r="J2157" s="18" t="s">
        <v>2473</v>
      </c>
      <c r="K2157" s="18" t="s">
        <v>2473</v>
      </c>
      <c r="L2157" s="18" t="s">
        <v>2335</v>
      </c>
      <c r="AU2157" s="6"/>
      <c r="AV2157" s="6" t="str">
        <f t="shared" si="37"/>
        <v/>
      </c>
    </row>
    <row r="2158" spans="1:48" ht="23.65" thickBot="1" x14ac:dyDescent="0.5">
      <c r="A2158" s="35" t="s">
        <v>1765</v>
      </c>
      <c r="B2158" s="3" t="s">
        <v>4054</v>
      </c>
      <c r="C2158" s="4"/>
      <c r="D2158" s="4"/>
      <c r="E2158" s="4"/>
      <c r="F2158" s="4"/>
      <c r="G2158" s="4"/>
      <c r="H2158" s="4"/>
      <c r="I2158" s="18" t="s">
        <v>2473</v>
      </c>
      <c r="J2158" s="18" t="s">
        <v>2473</v>
      </c>
      <c r="K2158" s="18" t="s">
        <v>2473</v>
      </c>
      <c r="L2158" s="18" t="s">
        <v>2335</v>
      </c>
      <c r="AU2158" s="8"/>
      <c r="AV2158" s="6" t="str">
        <f t="shared" si="37"/>
        <v/>
      </c>
    </row>
    <row r="2159" spans="1:48" ht="14.65" thickBot="1" x14ac:dyDescent="0.5">
      <c r="A2159" s="35" t="s">
        <v>43</v>
      </c>
      <c r="B2159" s="3" t="s">
        <v>1766</v>
      </c>
      <c r="C2159" s="4"/>
      <c r="D2159" s="4"/>
      <c r="E2159" s="4"/>
      <c r="F2159" s="4"/>
      <c r="G2159" s="4"/>
      <c r="H2159" s="4"/>
      <c r="I2159" s="18" t="s">
        <v>2473</v>
      </c>
      <c r="J2159" s="18" t="s">
        <v>2473</v>
      </c>
      <c r="K2159" s="18" t="s">
        <v>2473</v>
      </c>
      <c r="L2159" s="18" t="s">
        <v>2335</v>
      </c>
      <c r="AU2159" s="8"/>
      <c r="AV2159" s="6" t="str">
        <f t="shared" si="37"/>
        <v/>
      </c>
    </row>
    <row r="2160" spans="1:48" ht="14.65" thickBot="1" x14ac:dyDescent="0.5">
      <c r="A2160" s="35" t="s">
        <v>1767</v>
      </c>
      <c r="B2160" s="3" t="s">
        <v>4055</v>
      </c>
      <c r="C2160" s="4"/>
      <c r="D2160" s="4"/>
      <c r="E2160" s="4"/>
      <c r="F2160" s="4"/>
      <c r="G2160" s="4"/>
      <c r="H2160" s="4"/>
      <c r="I2160" s="18" t="s">
        <v>2473</v>
      </c>
      <c r="J2160" s="18" t="s">
        <v>2473</v>
      </c>
      <c r="K2160" s="18" t="s">
        <v>2473</v>
      </c>
      <c r="L2160" s="18" t="s">
        <v>2335</v>
      </c>
      <c r="AU2160" s="8"/>
      <c r="AV2160" s="6" t="str">
        <f t="shared" si="37"/>
        <v/>
      </c>
    </row>
    <row r="2161" spans="1:48" ht="14.65" thickBot="1" x14ac:dyDescent="0.5">
      <c r="A2161" s="35" t="s">
        <v>43</v>
      </c>
      <c r="B2161" s="3" t="s">
        <v>910</v>
      </c>
      <c r="C2161" s="4"/>
      <c r="D2161" s="4"/>
      <c r="E2161" s="4"/>
      <c r="F2161" s="4"/>
      <c r="G2161" s="4"/>
      <c r="H2161" s="4"/>
      <c r="I2161" s="18" t="s">
        <v>2473</v>
      </c>
      <c r="J2161" s="18" t="s">
        <v>2473</v>
      </c>
      <c r="K2161" s="18" t="s">
        <v>2473</v>
      </c>
      <c r="L2161" s="18" t="s">
        <v>2335</v>
      </c>
      <c r="AU2161" s="8"/>
      <c r="AV2161" s="6" t="str">
        <f t="shared" si="37"/>
        <v/>
      </c>
    </row>
    <row r="2162" spans="1:48" ht="14.65" thickBot="1" x14ac:dyDescent="0.5">
      <c r="A2162" s="36" t="s">
        <v>208</v>
      </c>
      <c r="B2162" s="3" t="s">
        <v>1768</v>
      </c>
      <c r="C2162" s="4" t="s">
        <v>13</v>
      </c>
      <c r="D2162" s="4" t="s">
        <v>13</v>
      </c>
      <c r="E2162" s="4" t="s">
        <v>13</v>
      </c>
      <c r="F2162" s="4" t="s">
        <v>13</v>
      </c>
      <c r="G2162" s="4" t="s">
        <v>13</v>
      </c>
      <c r="H2162" s="4" t="s">
        <v>13</v>
      </c>
      <c r="I2162" s="18" t="s">
        <v>2473</v>
      </c>
      <c r="J2162" s="18" t="s">
        <v>2473</v>
      </c>
      <c r="K2162" s="18" t="s">
        <v>2473</v>
      </c>
      <c r="AU2162" s="8"/>
      <c r="AV2162" s="6" t="str">
        <f t="shared" si="37"/>
        <v/>
      </c>
    </row>
    <row r="2163" spans="1:48" ht="14.65" thickBot="1" x14ac:dyDescent="0.5">
      <c r="A2163" s="36" t="s">
        <v>97</v>
      </c>
      <c r="B2163" s="3" t="s">
        <v>4056</v>
      </c>
      <c r="C2163" s="4" t="s">
        <v>13</v>
      </c>
      <c r="D2163" s="4" t="s">
        <v>13</v>
      </c>
      <c r="E2163" s="4" t="s">
        <v>13</v>
      </c>
      <c r="F2163" s="4" t="s">
        <v>13</v>
      </c>
      <c r="G2163" s="4" t="s">
        <v>13</v>
      </c>
      <c r="H2163" s="4" t="s">
        <v>13</v>
      </c>
      <c r="I2163" s="18" t="s">
        <v>2473</v>
      </c>
      <c r="J2163" s="18" t="s">
        <v>2473</v>
      </c>
      <c r="K2163" s="18" t="s">
        <v>2473</v>
      </c>
      <c r="L2163" s="18" t="s">
        <v>2335</v>
      </c>
      <c r="AU2163" s="6"/>
      <c r="AV2163" s="6" t="str">
        <f t="shared" si="37"/>
        <v/>
      </c>
    </row>
    <row r="2164" spans="1:48" ht="14.65" thickBot="1" x14ac:dyDescent="0.5">
      <c r="A2164" s="35" t="s">
        <v>33</v>
      </c>
      <c r="B2164" s="3" t="s">
        <v>98</v>
      </c>
      <c r="C2164" s="4"/>
      <c r="D2164" s="4"/>
      <c r="E2164" s="4"/>
      <c r="F2164" s="4"/>
      <c r="G2164" s="4"/>
      <c r="H2164" s="4"/>
      <c r="I2164" s="18" t="s">
        <v>2473</v>
      </c>
      <c r="J2164" s="18" t="s">
        <v>2473</v>
      </c>
      <c r="K2164" s="18" t="s">
        <v>2473</v>
      </c>
      <c r="L2164" s="18" t="s">
        <v>2335</v>
      </c>
      <c r="AU2164" s="6"/>
      <c r="AV2164" s="6" t="str">
        <f t="shared" si="37"/>
        <v/>
      </c>
    </row>
    <row r="2165" spans="1:48" ht="14.65" thickBot="1" x14ac:dyDescent="0.5">
      <c r="A2165" s="36" t="s">
        <v>99</v>
      </c>
      <c r="B2165" s="3" t="s">
        <v>4057</v>
      </c>
      <c r="C2165" s="4" t="s">
        <v>10</v>
      </c>
      <c r="D2165" s="4"/>
      <c r="E2165" s="4" t="s">
        <v>10</v>
      </c>
      <c r="F2165" s="4"/>
      <c r="G2165" s="4" t="s">
        <v>10</v>
      </c>
      <c r="H2165" s="4"/>
      <c r="I2165" s="18" t="s">
        <v>2473</v>
      </c>
      <c r="J2165" s="18" t="s">
        <v>2473</v>
      </c>
      <c r="K2165" s="18" t="s">
        <v>2473</v>
      </c>
      <c r="L2165" s="18" t="s">
        <v>2334</v>
      </c>
      <c r="R2165" s="122" t="s">
        <v>3529</v>
      </c>
      <c r="S2165" s="114" t="s">
        <v>4</v>
      </c>
      <c r="T2165" s="114" t="s">
        <v>99</v>
      </c>
      <c r="U2165" s="114" t="s">
        <v>3521</v>
      </c>
      <c r="V2165" s="114" t="s">
        <v>3530</v>
      </c>
      <c r="W2165" s="114" t="s">
        <v>3436</v>
      </c>
      <c r="X2165" s="114" t="s">
        <v>13</v>
      </c>
      <c r="Y2165" s="149"/>
      <c r="Z2165" s="183"/>
      <c r="AA2165" s="183"/>
      <c r="AB2165" s="183"/>
      <c r="AC2165" s="183"/>
      <c r="AD2165" s="183"/>
      <c r="AE2165" s="184"/>
      <c r="AF2165" s="184"/>
      <c r="AG2165" s="183"/>
      <c r="AH2165" s="183"/>
      <c r="AI2165" s="183"/>
      <c r="AJ2165" s="183"/>
      <c r="AK2165" s="183"/>
      <c r="AL2165" s="183"/>
      <c r="AM2165" s="183"/>
      <c r="AN2165" s="131"/>
      <c r="AO2165" s="131"/>
      <c r="AP2165" s="131"/>
      <c r="AQ2165" s="131"/>
      <c r="AR2165" s="288"/>
      <c r="AS2165" s="259"/>
      <c r="AT2165" s="183"/>
      <c r="AU2165" s="6"/>
      <c r="AV2165" s="6" t="str">
        <f t="shared" si="37"/>
        <v>OK</v>
      </c>
    </row>
    <row r="2166" spans="1:48" ht="14.65" thickBot="1" x14ac:dyDescent="0.5">
      <c r="A2166" s="36" t="s">
        <v>114</v>
      </c>
      <c r="B2166" s="3" t="s">
        <v>1769</v>
      </c>
      <c r="C2166" s="4" t="s">
        <v>10</v>
      </c>
      <c r="D2166" s="4"/>
      <c r="E2166" s="4" t="s">
        <v>10</v>
      </c>
      <c r="F2166" s="4"/>
      <c r="G2166" s="4" t="s">
        <v>10</v>
      </c>
      <c r="H2166" s="4"/>
      <c r="I2166" s="18" t="s">
        <v>2473</v>
      </c>
      <c r="J2166" s="18" t="s">
        <v>2473</v>
      </c>
      <c r="K2166" s="18" t="s">
        <v>2473</v>
      </c>
      <c r="L2166" s="18" t="s">
        <v>2334</v>
      </c>
      <c r="R2166" s="122" t="s">
        <v>3529</v>
      </c>
      <c r="S2166" s="114" t="s">
        <v>4</v>
      </c>
      <c r="T2166" s="114" t="s">
        <v>114</v>
      </c>
      <c r="U2166" s="114" t="s">
        <v>3521</v>
      </c>
      <c r="V2166" s="114" t="s">
        <v>3530</v>
      </c>
      <c r="W2166" s="114" t="s">
        <v>3436</v>
      </c>
      <c r="X2166" s="114" t="s">
        <v>13</v>
      </c>
      <c r="Y2166" s="149"/>
      <c r="Z2166" s="183"/>
      <c r="AA2166" s="183"/>
      <c r="AB2166" s="183"/>
      <c r="AC2166" s="183"/>
      <c r="AD2166" s="183"/>
      <c r="AE2166" s="184"/>
      <c r="AF2166" s="184"/>
      <c r="AG2166" s="183"/>
      <c r="AH2166" s="183"/>
      <c r="AI2166" s="183"/>
      <c r="AJ2166" s="183"/>
      <c r="AK2166" s="183"/>
      <c r="AL2166" s="183"/>
      <c r="AM2166" s="183"/>
      <c r="AN2166" s="131"/>
      <c r="AO2166" s="131"/>
      <c r="AP2166" s="131"/>
      <c r="AQ2166" s="131"/>
      <c r="AR2166" s="288"/>
      <c r="AS2166" s="259"/>
      <c r="AT2166" s="183"/>
      <c r="AU2166" s="6"/>
      <c r="AV2166" s="6" t="str">
        <f t="shared" si="37"/>
        <v>OK</v>
      </c>
    </row>
    <row r="2167" spans="1:48" ht="23.65" thickBot="1" x14ac:dyDescent="0.5">
      <c r="A2167" s="36" t="s">
        <v>1770</v>
      </c>
      <c r="B2167" s="3" t="s">
        <v>4058</v>
      </c>
      <c r="C2167" s="4" t="s">
        <v>37</v>
      </c>
      <c r="D2167" s="4"/>
      <c r="E2167" s="4" t="s">
        <v>37</v>
      </c>
      <c r="F2167" s="4"/>
      <c r="G2167" s="4" t="s">
        <v>37</v>
      </c>
      <c r="H2167" s="4"/>
      <c r="I2167" s="18" t="s">
        <v>2473</v>
      </c>
      <c r="J2167" s="18" t="s">
        <v>2473</v>
      </c>
      <c r="K2167" s="18" t="s">
        <v>2473</v>
      </c>
      <c r="AU2167" s="6"/>
      <c r="AV2167" s="6" t="str">
        <f t="shared" si="37"/>
        <v/>
      </c>
    </row>
    <row r="2168" spans="1:48" ht="14.65" thickBot="1" x14ac:dyDescent="0.5">
      <c r="A2168" s="35" t="s">
        <v>33</v>
      </c>
      <c r="B2168" s="3" t="s">
        <v>1771</v>
      </c>
      <c r="C2168" s="4"/>
      <c r="D2168" s="4"/>
      <c r="E2168" s="4"/>
      <c r="F2168" s="4"/>
      <c r="G2168" s="4"/>
      <c r="H2168" s="4"/>
      <c r="I2168" s="18" t="s">
        <v>2473</v>
      </c>
      <c r="J2168" s="18" t="s">
        <v>2473</v>
      </c>
      <c r="K2168" s="18" t="s">
        <v>2473</v>
      </c>
      <c r="L2168" s="18" t="s">
        <v>2335</v>
      </c>
      <c r="AU2168" s="6"/>
      <c r="AV2168" s="6" t="str">
        <f t="shared" si="37"/>
        <v/>
      </c>
    </row>
    <row r="2169" spans="1:48" ht="35.25" thickBot="1" x14ac:dyDescent="0.5">
      <c r="A2169" s="36" t="s">
        <v>244</v>
      </c>
      <c r="B2169" s="3" t="s">
        <v>1772</v>
      </c>
      <c r="C2169" s="4" t="s">
        <v>5056</v>
      </c>
      <c r="D2169" s="4"/>
      <c r="E2169" s="4" t="s">
        <v>5056</v>
      </c>
      <c r="F2169" s="4"/>
      <c r="G2169" s="4" t="s">
        <v>5056</v>
      </c>
      <c r="H2169" s="4"/>
      <c r="I2169" s="18" t="s">
        <v>2473</v>
      </c>
      <c r="J2169" s="18" t="s">
        <v>2473</v>
      </c>
      <c r="K2169" s="18" t="s">
        <v>2473</v>
      </c>
      <c r="L2169" s="18" t="s">
        <v>2334</v>
      </c>
      <c r="R2169" s="122" t="s">
        <v>3529</v>
      </c>
      <c r="S2169" s="114" t="s">
        <v>4</v>
      </c>
      <c r="T2169" s="114" t="s">
        <v>244</v>
      </c>
      <c r="U2169" s="114" t="s">
        <v>3521</v>
      </c>
      <c r="V2169" s="114" t="s">
        <v>3530</v>
      </c>
      <c r="W2169" s="114" t="s">
        <v>3436</v>
      </c>
      <c r="X2169" s="114" t="s">
        <v>13</v>
      </c>
      <c r="Y2169" s="149"/>
      <c r="Z2169" s="183"/>
      <c r="AA2169" s="183"/>
      <c r="AB2169" s="183"/>
      <c r="AC2169" s="183"/>
      <c r="AD2169" s="183"/>
      <c r="AE2169" s="184"/>
      <c r="AF2169" s="184"/>
      <c r="AG2169" s="183"/>
      <c r="AH2169" s="183"/>
      <c r="AI2169" s="183"/>
      <c r="AJ2169" s="183"/>
      <c r="AK2169" s="183"/>
      <c r="AL2169" s="183"/>
      <c r="AM2169" s="183"/>
      <c r="AN2169" s="131"/>
      <c r="AO2169" s="131"/>
      <c r="AP2169" s="131"/>
      <c r="AQ2169" s="131"/>
      <c r="AR2169" s="288"/>
      <c r="AS2169" s="259"/>
      <c r="AT2169" s="183"/>
      <c r="AU2169" s="140" t="s">
        <v>5063</v>
      </c>
      <c r="AV2169" s="6" t="str">
        <f t="shared" si="37"/>
        <v>OK</v>
      </c>
    </row>
    <row r="2170" spans="1:48" ht="14.65" thickBot="1" x14ac:dyDescent="0.5">
      <c r="A2170" s="38" t="s">
        <v>1773</v>
      </c>
      <c r="B2170" s="5" t="s">
        <v>4059</v>
      </c>
      <c r="C2170" s="4"/>
      <c r="D2170" s="4"/>
      <c r="E2170" s="4"/>
      <c r="F2170" s="4"/>
      <c r="G2170" s="4"/>
      <c r="H2170" s="4"/>
      <c r="I2170" s="18" t="s">
        <v>2473</v>
      </c>
      <c r="J2170" s="18" t="s">
        <v>2473</v>
      </c>
      <c r="K2170" s="18" t="s">
        <v>2473</v>
      </c>
      <c r="L2170" s="18" t="s">
        <v>2335</v>
      </c>
      <c r="AU2170" s="6"/>
      <c r="AV2170" s="6" t="str">
        <f t="shared" si="37"/>
        <v/>
      </c>
    </row>
    <row r="2171" spans="1:48" ht="14.65" thickBot="1" x14ac:dyDescent="0.5">
      <c r="A2171" s="35" t="s">
        <v>33</v>
      </c>
      <c r="B2171" s="5" t="s">
        <v>1774</v>
      </c>
      <c r="C2171" s="4"/>
      <c r="D2171" s="4"/>
      <c r="E2171" s="4"/>
      <c r="F2171" s="4"/>
      <c r="G2171" s="4"/>
      <c r="H2171" s="4"/>
      <c r="I2171" s="18" t="s">
        <v>2473</v>
      </c>
      <c r="J2171" s="18" t="s">
        <v>2473</v>
      </c>
      <c r="K2171" s="18" t="s">
        <v>2473</v>
      </c>
      <c r="L2171" s="18" t="s">
        <v>2335</v>
      </c>
      <c r="AU2171" s="6"/>
      <c r="AV2171" s="6" t="str">
        <f t="shared" si="37"/>
        <v/>
      </c>
    </row>
    <row r="2172" spans="1:48" ht="20.65" thickBot="1" x14ac:dyDescent="0.5">
      <c r="A2172" s="36" t="s">
        <v>1775</v>
      </c>
      <c r="B2172" s="3" t="s">
        <v>1776</v>
      </c>
      <c r="C2172" s="4" t="s">
        <v>37</v>
      </c>
      <c r="D2172" s="4" t="s">
        <v>37</v>
      </c>
      <c r="E2172" s="4" t="s">
        <v>37</v>
      </c>
      <c r="F2172" s="4" t="s">
        <v>37</v>
      </c>
      <c r="G2172" s="4" t="s">
        <v>37</v>
      </c>
      <c r="H2172" s="4" t="s">
        <v>37</v>
      </c>
      <c r="I2172" s="18" t="s">
        <v>2473</v>
      </c>
      <c r="J2172" s="18" t="s">
        <v>2473</v>
      </c>
      <c r="K2172" s="18" t="s">
        <v>2473</v>
      </c>
      <c r="L2172" s="18" t="s">
        <v>2334</v>
      </c>
      <c r="R2172" s="122" t="s">
        <v>3435</v>
      </c>
      <c r="S2172" s="114" t="s">
        <v>3437</v>
      </c>
      <c r="T2172" s="114" t="s">
        <v>1775</v>
      </c>
      <c r="U2172" s="114"/>
      <c r="V2172" s="114" t="s">
        <v>4189</v>
      </c>
      <c r="W2172" s="114" t="s">
        <v>3436</v>
      </c>
      <c r="X2172" s="114" t="s">
        <v>13</v>
      </c>
      <c r="AU2172" s="6"/>
      <c r="AV2172" s="6" t="str">
        <f t="shared" si="37"/>
        <v>OK</v>
      </c>
    </row>
    <row r="2173" spans="1:48" ht="24.4" thickBot="1" x14ac:dyDescent="0.5">
      <c r="A2173" s="35" t="s">
        <v>1777</v>
      </c>
      <c r="B2173" s="3" t="s">
        <v>1778</v>
      </c>
      <c r="C2173" s="4" t="s">
        <v>10</v>
      </c>
      <c r="D2173" s="4" t="s">
        <v>13</v>
      </c>
      <c r="E2173" s="4" t="s">
        <v>10</v>
      </c>
      <c r="F2173" s="4" t="s">
        <v>13</v>
      </c>
      <c r="G2173" s="4" t="s">
        <v>10</v>
      </c>
      <c r="H2173" s="4" t="s">
        <v>13</v>
      </c>
      <c r="I2173" s="18" t="s">
        <v>2473</v>
      </c>
      <c r="J2173" s="18" t="s">
        <v>2473</v>
      </c>
      <c r="K2173" s="18" t="s">
        <v>2473</v>
      </c>
      <c r="L2173" s="18" t="s">
        <v>2334</v>
      </c>
      <c r="Q2173" s="8" t="s">
        <v>4189</v>
      </c>
      <c r="R2173" s="122" t="s">
        <v>3529</v>
      </c>
      <c r="S2173" s="114" t="s">
        <v>4</v>
      </c>
      <c r="T2173" s="114" t="s">
        <v>4332</v>
      </c>
      <c r="U2173" s="114" t="s">
        <v>4190</v>
      </c>
      <c r="V2173" s="114" t="s">
        <v>3530</v>
      </c>
      <c r="W2173" s="114" t="s">
        <v>3436</v>
      </c>
      <c r="X2173" s="114" t="s">
        <v>13</v>
      </c>
      <c r="AU2173" s="6"/>
      <c r="AV2173" s="6" t="str">
        <f t="shared" si="37"/>
        <v>OK</v>
      </c>
    </row>
    <row r="2174" spans="1:48" ht="24.4" thickBot="1" x14ac:dyDescent="0.5">
      <c r="A2174" s="35" t="s">
        <v>1779</v>
      </c>
      <c r="B2174" s="3" t="s">
        <v>1780</v>
      </c>
      <c r="C2174" s="4" t="s">
        <v>10</v>
      </c>
      <c r="D2174" s="4"/>
      <c r="E2174" s="4" t="s">
        <v>10</v>
      </c>
      <c r="F2174" s="4"/>
      <c r="G2174" s="4" t="s">
        <v>10</v>
      </c>
      <c r="H2174" s="4"/>
      <c r="I2174" s="18" t="s">
        <v>2473</v>
      </c>
      <c r="J2174" s="18" t="s">
        <v>2473</v>
      </c>
      <c r="K2174" s="18" t="s">
        <v>2473</v>
      </c>
      <c r="L2174" s="18" t="s">
        <v>2334</v>
      </c>
      <c r="Q2174" s="8" t="s">
        <v>4189</v>
      </c>
      <c r="R2174" s="122" t="s">
        <v>3529</v>
      </c>
      <c r="S2174" s="114" t="s">
        <v>4</v>
      </c>
      <c r="T2174" s="114" t="s">
        <v>4333</v>
      </c>
      <c r="U2174" s="114" t="s">
        <v>3524</v>
      </c>
      <c r="V2174" s="114" t="s">
        <v>3530</v>
      </c>
      <c r="W2174" s="114" t="s">
        <v>3436</v>
      </c>
      <c r="X2174" s="114" t="s">
        <v>13</v>
      </c>
      <c r="AU2174" s="6"/>
      <c r="AV2174" s="6" t="str">
        <f t="shared" si="37"/>
        <v>OK</v>
      </c>
    </row>
    <row r="2175" spans="1:48" ht="24.4" thickBot="1" x14ac:dyDescent="0.5">
      <c r="A2175" s="35" t="s">
        <v>1781</v>
      </c>
      <c r="B2175" s="3" t="s">
        <v>1782</v>
      </c>
      <c r="C2175" s="4" t="s">
        <v>10</v>
      </c>
      <c r="D2175" s="4"/>
      <c r="E2175" s="4" t="s">
        <v>10</v>
      </c>
      <c r="F2175" s="4"/>
      <c r="G2175" s="4" t="s">
        <v>10</v>
      </c>
      <c r="H2175" s="4"/>
      <c r="I2175" s="18" t="s">
        <v>2473</v>
      </c>
      <c r="J2175" s="18" t="s">
        <v>2473</v>
      </c>
      <c r="K2175" s="18" t="s">
        <v>2473</v>
      </c>
      <c r="Q2175" s="8" t="s">
        <v>4189</v>
      </c>
      <c r="R2175" s="122" t="s">
        <v>3529</v>
      </c>
      <c r="S2175" s="114" t="s">
        <v>4</v>
      </c>
      <c r="T2175" s="114" t="s">
        <v>4334</v>
      </c>
      <c r="U2175" s="114" t="s">
        <v>4191</v>
      </c>
      <c r="V2175" s="114" t="s">
        <v>3530</v>
      </c>
      <c r="W2175" s="114" t="s">
        <v>3436</v>
      </c>
      <c r="X2175" s="114" t="s">
        <v>13</v>
      </c>
      <c r="AU2175" s="6"/>
      <c r="AV2175" s="6" t="str">
        <f t="shared" si="37"/>
        <v>OK</v>
      </c>
    </row>
    <row r="2176" spans="1:48" ht="46.9" thickBot="1" x14ac:dyDescent="0.5">
      <c r="A2176" s="36" t="s">
        <v>1783</v>
      </c>
      <c r="B2176" s="3" t="s">
        <v>5388</v>
      </c>
      <c r="C2176" s="4" t="s">
        <v>37</v>
      </c>
      <c r="D2176" s="4"/>
      <c r="E2176" s="4" t="s">
        <v>37</v>
      </c>
      <c r="F2176" s="4"/>
      <c r="G2176" s="4" t="s">
        <v>37</v>
      </c>
      <c r="H2176" s="4"/>
      <c r="I2176" s="18" t="s">
        <v>2473</v>
      </c>
      <c r="J2176" s="18" t="s">
        <v>2473</v>
      </c>
      <c r="K2176" s="18" t="s">
        <v>2473</v>
      </c>
      <c r="L2176" s="18" t="s">
        <v>2334</v>
      </c>
      <c r="M2176" s="244" t="s">
        <v>5384</v>
      </c>
      <c r="R2176" s="122" t="s">
        <v>3435</v>
      </c>
      <c r="S2176" s="114" t="s">
        <v>3437</v>
      </c>
      <c r="T2176" s="114" t="s">
        <v>1783</v>
      </c>
      <c r="U2176" s="114"/>
      <c r="V2176" s="114" t="s">
        <v>3566</v>
      </c>
      <c r="W2176" s="114" t="s">
        <v>3436</v>
      </c>
      <c r="X2176" s="114" t="s">
        <v>13</v>
      </c>
      <c r="Y2176" s="149"/>
      <c r="Z2176" s="183"/>
      <c r="AA2176" s="183"/>
      <c r="AB2176" s="183"/>
      <c r="AC2176" s="183"/>
      <c r="AD2176" s="183"/>
      <c r="AE2176" s="184"/>
      <c r="AF2176" s="184"/>
      <c r="AG2176" s="183"/>
      <c r="AH2176" s="183"/>
      <c r="AI2176" s="183"/>
      <c r="AJ2176" s="183"/>
      <c r="AK2176" s="183"/>
      <c r="AL2176" s="183"/>
      <c r="AM2176" s="183"/>
      <c r="AN2176" s="131"/>
      <c r="AO2176" s="131"/>
      <c r="AP2176" s="131"/>
      <c r="AQ2176" s="131"/>
      <c r="AR2176" s="288"/>
      <c r="AS2176" s="262" t="s">
        <v>5840</v>
      </c>
      <c r="AT2176" s="183"/>
      <c r="AU2176" s="6"/>
      <c r="AV2176" s="6" t="str">
        <f t="shared" ref="AV2176:AV2177" si="39">IF(A2176&lt;&gt;"",IF(T2176&lt;&gt;"",IF(LEFT(R2176,3)="Has",IF(TRIM(A2176)&lt;&gt;T2176,"ERROR","OK"),""),""),"")</f>
        <v>OK</v>
      </c>
    </row>
    <row r="2177" spans="1:48" ht="14.65" thickBot="1" x14ac:dyDescent="0.5">
      <c r="A2177" s="35" t="s">
        <v>33</v>
      </c>
      <c r="B2177" s="3" t="s">
        <v>1784</v>
      </c>
      <c r="C2177" s="4"/>
      <c r="D2177" s="4"/>
      <c r="E2177" s="4"/>
      <c r="F2177" s="4"/>
      <c r="G2177" s="4"/>
      <c r="H2177" s="4"/>
      <c r="I2177" s="18" t="s">
        <v>2473</v>
      </c>
      <c r="J2177" s="18" t="s">
        <v>2473</v>
      </c>
      <c r="K2177" s="18" t="s">
        <v>2473</v>
      </c>
      <c r="L2177" s="18" t="s">
        <v>2335</v>
      </c>
      <c r="AU2177" s="6"/>
      <c r="AV2177" s="6" t="str">
        <f t="shared" si="39"/>
        <v/>
      </c>
    </row>
    <row r="2178" spans="1:48" ht="23.65" thickBot="1" x14ac:dyDescent="0.5">
      <c r="A2178" s="36" t="s">
        <v>3928</v>
      </c>
      <c r="B2178" s="3" t="s">
        <v>5387</v>
      </c>
      <c r="C2178" s="4" t="s">
        <v>37</v>
      </c>
      <c r="D2178" s="4"/>
      <c r="E2178" s="4" t="s">
        <v>37</v>
      </c>
      <c r="F2178" s="4"/>
      <c r="G2178" s="4" t="s">
        <v>37</v>
      </c>
      <c r="H2178" s="4"/>
      <c r="J2178" s="18" t="s">
        <v>2473</v>
      </c>
      <c r="K2178" s="18" t="s">
        <v>2473</v>
      </c>
      <c r="L2178" s="18" t="s">
        <v>2334</v>
      </c>
      <c r="M2178" s="244" t="s">
        <v>5385</v>
      </c>
      <c r="R2178" s="122" t="s">
        <v>3435</v>
      </c>
      <c r="S2178" s="114" t="s">
        <v>3437</v>
      </c>
      <c r="T2178" s="114" t="s">
        <v>1783</v>
      </c>
      <c r="U2178" s="114"/>
      <c r="V2178" s="114" t="s">
        <v>3566</v>
      </c>
      <c r="W2178" s="114" t="s">
        <v>3436</v>
      </c>
      <c r="X2178" s="114" t="s">
        <v>13</v>
      </c>
      <c r="Y2178" s="149"/>
      <c r="Z2178" s="183"/>
      <c r="AA2178" s="183"/>
      <c r="AB2178" s="183"/>
      <c r="AC2178" s="183"/>
      <c r="AD2178" s="183"/>
      <c r="AE2178" s="184"/>
      <c r="AF2178" s="184"/>
      <c r="AG2178" s="183"/>
      <c r="AH2178" s="183"/>
      <c r="AI2178" s="183"/>
      <c r="AJ2178" s="183"/>
      <c r="AK2178" s="183"/>
      <c r="AL2178" s="183"/>
      <c r="AM2178" s="183"/>
      <c r="AN2178" s="131"/>
      <c r="AO2178" s="131"/>
      <c r="AP2178" s="131"/>
      <c r="AQ2178" s="131"/>
      <c r="AR2178" s="288"/>
      <c r="AS2178" s="262" t="s">
        <v>5398</v>
      </c>
      <c r="AT2178" s="183"/>
      <c r="AU2178" s="6"/>
      <c r="AV2178" s="6" t="str">
        <f t="shared" si="37"/>
        <v>ERROR</v>
      </c>
    </row>
    <row r="2179" spans="1:48" ht="20.65" thickBot="1" x14ac:dyDescent="0.5">
      <c r="A2179" s="35" t="s">
        <v>33</v>
      </c>
      <c r="B2179" s="3" t="s">
        <v>1784</v>
      </c>
      <c r="C2179" s="4"/>
      <c r="D2179" s="4"/>
      <c r="E2179" s="4"/>
      <c r="F2179" s="4"/>
      <c r="G2179" s="4"/>
      <c r="H2179" s="4"/>
      <c r="J2179" s="18" t="s">
        <v>2473</v>
      </c>
      <c r="K2179" s="18" t="s">
        <v>2473</v>
      </c>
      <c r="L2179" s="18" t="s">
        <v>2335</v>
      </c>
      <c r="M2179" s="244"/>
      <c r="AS2179" s="262" t="s">
        <v>5398</v>
      </c>
      <c r="AU2179" s="6"/>
      <c r="AV2179" s="6" t="str">
        <f t="shared" si="37"/>
        <v/>
      </c>
    </row>
    <row r="2180" spans="1:48" ht="14.65" thickBot="1" x14ac:dyDescent="0.5">
      <c r="A2180" s="36" t="s">
        <v>122</v>
      </c>
      <c r="B2180" s="3" t="s">
        <v>1785</v>
      </c>
      <c r="C2180" s="4"/>
      <c r="D2180" s="4"/>
      <c r="E2180" s="4" t="s">
        <v>10</v>
      </c>
      <c r="F2180" s="4"/>
      <c r="G2180" s="4"/>
      <c r="H2180" s="4"/>
      <c r="I2180" s="18" t="s">
        <v>2473</v>
      </c>
      <c r="J2180" s="18" t="s">
        <v>2473</v>
      </c>
      <c r="K2180" s="18" t="s">
        <v>2473</v>
      </c>
      <c r="L2180" s="18" t="s">
        <v>2334</v>
      </c>
      <c r="AU2180" s="6"/>
      <c r="AV2180" s="6" t="str">
        <f t="shared" si="37"/>
        <v/>
      </c>
    </row>
    <row r="2181" spans="1:48" ht="35.25" thickBot="1" x14ac:dyDescent="0.5">
      <c r="A2181" s="36" t="s">
        <v>136</v>
      </c>
      <c r="B2181" s="3" t="s">
        <v>1786</v>
      </c>
      <c r="C2181" s="4" t="s">
        <v>5056</v>
      </c>
      <c r="D2181" s="4"/>
      <c r="E2181" s="4" t="s">
        <v>5056</v>
      </c>
      <c r="F2181" s="4"/>
      <c r="G2181" s="4" t="s">
        <v>5056</v>
      </c>
      <c r="H2181" s="4"/>
      <c r="I2181" s="18" t="s">
        <v>2473</v>
      </c>
      <c r="J2181" s="18" t="s">
        <v>2473</v>
      </c>
      <c r="K2181" s="18" t="s">
        <v>2473</v>
      </c>
      <c r="L2181" s="18" t="s">
        <v>2334</v>
      </c>
      <c r="R2181" s="122" t="s">
        <v>3529</v>
      </c>
      <c r="S2181" s="114" t="s">
        <v>4</v>
      </c>
      <c r="T2181" s="114" t="s">
        <v>136</v>
      </c>
      <c r="U2181" s="114" t="s">
        <v>3521</v>
      </c>
      <c r="V2181" s="114" t="s">
        <v>3530</v>
      </c>
      <c r="W2181" s="114" t="s">
        <v>3436</v>
      </c>
      <c r="X2181" s="114" t="s">
        <v>13</v>
      </c>
      <c r="AU2181" s="140" t="s">
        <v>5063</v>
      </c>
      <c r="AV2181" s="6" t="str">
        <f t="shared" si="37"/>
        <v>OK</v>
      </c>
    </row>
    <row r="2182" spans="1:48" ht="23.65" thickBot="1" x14ac:dyDescent="0.5">
      <c r="A2182" s="36" t="s">
        <v>2903</v>
      </c>
      <c r="B2182" s="3" t="s">
        <v>3795</v>
      </c>
      <c r="C2182" s="4"/>
      <c r="D2182" s="4"/>
      <c r="E2182" s="4"/>
      <c r="F2182" s="4"/>
      <c r="G2182" s="4"/>
      <c r="H2182" s="4"/>
      <c r="J2182" s="18" t="s">
        <v>2473</v>
      </c>
      <c r="K2182" s="18" t="s">
        <v>2473</v>
      </c>
      <c r="AU2182" s="6"/>
      <c r="AV2182" s="6" t="str">
        <f t="shared" si="37"/>
        <v/>
      </c>
    </row>
    <row r="2183" spans="1:48" ht="14.65" thickBot="1" x14ac:dyDescent="0.5">
      <c r="A2183" s="35" t="s">
        <v>33</v>
      </c>
      <c r="B2183" s="3" t="s">
        <v>2904</v>
      </c>
      <c r="C2183" s="4"/>
      <c r="D2183" s="4"/>
      <c r="E2183" s="4"/>
      <c r="F2183" s="4"/>
      <c r="G2183" s="4"/>
      <c r="H2183" s="4"/>
      <c r="J2183" s="18" t="s">
        <v>2473</v>
      </c>
      <c r="K2183" s="18" t="s">
        <v>2473</v>
      </c>
      <c r="L2183" s="18" t="s">
        <v>2335</v>
      </c>
      <c r="AU2183" s="6"/>
      <c r="AV2183" s="6" t="str">
        <f t="shared" si="37"/>
        <v/>
      </c>
    </row>
    <row r="2184" spans="1:48" ht="14.65" thickBot="1" x14ac:dyDescent="0.5">
      <c r="A2184" s="36" t="s">
        <v>140</v>
      </c>
      <c r="B2184" s="3" t="s">
        <v>1787</v>
      </c>
      <c r="C2184" s="4" t="s">
        <v>10</v>
      </c>
      <c r="D2184" s="4"/>
      <c r="E2184" s="4" t="s">
        <v>10</v>
      </c>
      <c r="F2184" s="4"/>
      <c r="G2184" s="4" t="s">
        <v>10</v>
      </c>
      <c r="H2184" s="4"/>
      <c r="I2184" s="18" t="s">
        <v>2473</v>
      </c>
      <c r="J2184" s="18" t="s">
        <v>2473</v>
      </c>
      <c r="K2184" s="18" t="s">
        <v>2473</v>
      </c>
      <c r="L2184" s="18" t="s">
        <v>2334</v>
      </c>
      <c r="R2184" s="122" t="s">
        <v>3529</v>
      </c>
      <c r="S2184" s="114" t="s">
        <v>4</v>
      </c>
      <c r="T2184" s="114" t="s">
        <v>140</v>
      </c>
      <c r="U2184" s="114" t="s">
        <v>3521</v>
      </c>
      <c r="V2184" s="114" t="s">
        <v>3530</v>
      </c>
      <c r="W2184" s="114" t="s">
        <v>3436</v>
      </c>
      <c r="X2184" s="114" t="s">
        <v>13</v>
      </c>
      <c r="Y2184" s="149"/>
      <c r="Z2184" s="183"/>
      <c r="AA2184" s="183"/>
      <c r="AB2184" s="183"/>
      <c r="AC2184" s="183"/>
      <c r="AD2184" s="183"/>
      <c r="AE2184" s="184"/>
      <c r="AF2184" s="184"/>
      <c r="AG2184" s="183"/>
      <c r="AH2184" s="183"/>
      <c r="AI2184" s="183"/>
      <c r="AJ2184" s="183"/>
      <c r="AK2184" s="183"/>
      <c r="AL2184" s="183"/>
      <c r="AM2184" s="183"/>
      <c r="AN2184" s="131"/>
      <c r="AO2184" s="131"/>
      <c r="AP2184" s="131"/>
      <c r="AQ2184" s="131"/>
      <c r="AR2184" s="288"/>
      <c r="AS2184" s="259"/>
      <c r="AT2184" s="183"/>
      <c r="AU2184" s="6"/>
      <c r="AV2184" s="6" t="str">
        <f t="shared" si="37"/>
        <v>OK</v>
      </c>
    </row>
    <row r="2185" spans="1:48" ht="105.75" thickBot="1" x14ac:dyDescent="0.5">
      <c r="A2185" s="36" t="s">
        <v>145</v>
      </c>
      <c r="B2185" s="3" t="s">
        <v>3968</v>
      </c>
      <c r="C2185" s="4" t="s">
        <v>10</v>
      </c>
      <c r="D2185" s="4"/>
      <c r="E2185" s="4" t="s">
        <v>10</v>
      </c>
      <c r="F2185" s="4"/>
      <c r="G2185" s="4" t="s">
        <v>10</v>
      </c>
      <c r="H2185" s="4"/>
      <c r="I2185" s="18" t="s">
        <v>2473</v>
      </c>
      <c r="J2185" s="18" t="s">
        <v>2473</v>
      </c>
      <c r="K2185" s="18" t="s">
        <v>2473</v>
      </c>
      <c r="L2185" s="18" t="s">
        <v>2334</v>
      </c>
      <c r="AS2185" s="206" t="s">
        <v>5870</v>
      </c>
      <c r="AU2185" s="6"/>
      <c r="AV2185" s="6" t="str">
        <f t="shared" si="37"/>
        <v/>
      </c>
    </row>
    <row r="2186" spans="1:48" ht="47.65" thickBot="1" x14ac:dyDescent="0.5">
      <c r="A2186" s="35" t="s">
        <v>5361</v>
      </c>
      <c r="B2186" s="3" t="s">
        <v>5352</v>
      </c>
      <c r="C2186" s="4" t="s">
        <v>10</v>
      </c>
      <c r="D2186" s="4"/>
      <c r="E2186" s="4" t="s">
        <v>10</v>
      </c>
      <c r="F2186" s="4"/>
      <c r="G2186" s="4" t="s">
        <v>10</v>
      </c>
      <c r="H2186" s="4"/>
      <c r="I2186" s="18" t="s">
        <v>2473</v>
      </c>
      <c r="J2186" s="18" t="s">
        <v>2473</v>
      </c>
      <c r="K2186" s="18" t="s">
        <v>2473</v>
      </c>
      <c r="Q2186" s="131"/>
      <c r="R2186" s="131"/>
      <c r="S2186" s="131"/>
      <c r="T2186" s="131"/>
      <c r="U2186" s="131"/>
      <c r="V2186" s="131"/>
      <c r="W2186" s="131"/>
      <c r="X2186" s="131"/>
      <c r="AS2186" s="139" t="s">
        <v>5355</v>
      </c>
      <c r="AU2186" s="6"/>
      <c r="AV2186" s="6"/>
    </row>
    <row r="2187" spans="1:48" ht="82.5" thickBot="1" x14ac:dyDescent="0.5">
      <c r="A2187" s="35" t="s">
        <v>5360</v>
      </c>
      <c r="B2187" s="3" t="s">
        <v>5353</v>
      </c>
      <c r="C2187" s="4"/>
      <c r="D2187" s="4"/>
      <c r="E2187" s="4"/>
      <c r="F2187" s="4"/>
      <c r="G2187" s="4"/>
      <c r="H2187" s="4"/>
      <c r="I2187" s="18" t="s">
        <v>2473</v>
      </c>
      <c r="J2187" s="18" t="s">
        <v>2473</v>
      </c>
      <c r="K2187" s="18" t="s">
        <v>2473</v>
      </c>
      <c r="Q2187" s="131"/>
      <c r="R2187" s="131"/>
      <c r="S2187" s="131"/>
      <c r="T2187" s="131"/>
      <c r="U2187" s="131"/>
      <c r="V2187" s="131"/>
      <c r="W2187" s="131"/>
      <c r="X2187" s="131"/>
      <c r="AS2187" s="139" t="s">
        <v>5356</v>
      </c>
      <c r="AU2187" s="6"/>
      <c r="AV2187" s="6"/>
    </row>
    <row r="2188" spans="1:48" ht="46.9" thickBot="1" x14ac:dyDescent="0.5">
      <c r="A2188" s="36" t="s">
        <v>1788</v>
      </c>
      <c r="B2188" s="3" t="s">
        <v>5841</v>
      </c>
      <c r="C2188" s="4" t="s">
        <v>37</v>
      </c>
      <c r="D2188" s="4"/>
      <c r="E2188" s="4" t="s">
        <v>37</v>
      </c>
      <c r="F2188" s="4"/>
      <c r="G2188" s="4" t="s">
        <v>37</v>
      </c>
      <c r="H2188" s="4"/>
      <c r="I2188" s="18" t="s">
        <v>2473</v>
      </c>
      <c r="J2188" s="18" t="s">
        <v>2473</v>
      </c>
      <c r="K2188" s="18" t="s">
        <v>2473</v>
      </c>
      <c r="L2188" s="18" t="s">
        <v>2334</v>
      </c>
      <c r="M2188" s="244" t="s">
        <v>5389</v>
      </c>
      <c r="R2188" s="122" t="s">
        <v>3435</v>
      </c>
      <c r="S2188" s="114" t="s">
        <v>3437</v>
      </c>
      <c r="T2188" s="114" t="s">
        <v>1788</v>
      </c>
      <c r="U2188" s="114"/>
      <c r="V2188" s="114" t="s">
        <v>3565</v>
      </c>
      <c r="W2188" s="114" t="s">
        <v>3436</v>
      </c>
      <c r="X2188" s="114" t="s">
        <v>13</v>
      </c>
      <c r="Y2188" s="149"/>
      <c r="Z2188" s="183"/>
      <c r="AA2188" s="183"/>
      <c r="AB2188" s="183"/>
      <c r="AC2188" s="183"/>
      <c r="AD2188" s="183"/>
      <c r="AE2188" s="184"/>
      <c r="AF2188" s="184"/>
      <c r="AG2188" s="183"/>
      <c r="AH2188" s="183"/>
      <c r="AI2188" s="183"/>
      <c r="AJ2188" s="183"/>
      <c r="AK2188" s="183"/>
      <c r="AL2188" s="183"/>
      <c r="AM2188" s="183"/>
      <c r="AN2188" s="131"/>
      <c r="AO2188" s="131"/>
      <c r="AP2188" s="131"/>
      <c r="AQ2188" s="131"/>
      <c r="AR2188" s="288"/>
      <c r="AS2188" s="262" t="s">
        <v>5397</v>
      </c>
      <c r="AT2188" s="183"/>
      <c r="AU2188" s="6"/>
      <c r="AV2188" s="6" t="str">
        <f t="shared" ref="AV2188:AV2189" si="40">IF(A2188&lt;&gt;"",IF(T2188&lt;&gt;"",IF(LEFT(R2188,3)="Has",IF(TRIM(A2188)&lt;&gt;T2188,"ERROR","OK"),""),""),"")</f>
        <v>OK</v>
      </c>
    </row>
    <row r="2189" spans="1:48" ht="14.65" thickBot="1" x14ac:dyDescent="0.5">
      <c r="A2189" s="35" t="s">
        <v>33</v>
      </c>
      <c r="B2189" s="3" t="s">
        <v>1789</v>
      </c>
      <c r="C2189" s="4"/>
      <c r="D2189" s="4"/>
      <c r="E2189" s="4"/>
      <c r="F2189" s="4"/>
      <c r="G2189" s="4"/>
      <c r="H2189" s="4"/>
      <c r="I2189" s="18" t="s">
        <v>2473</v>
      </c>
      <c r="J2189" s="18" t="s">
        <v>2473</v>
      </c>
      <c r="K2189" s="18" t="s">
        <v>2473</v>
      </c>
      <c r="L2189" s="18" t="s">
        <v>2335</v>
      </c>
      <c r="AU2189" s="6"/>
      <c r="AV2189" s="6" t="str">
        <f t="shared" si="40"/>
        <v/>
      </c>
    </row>
    <row r="2190" spans="1:48" ht="30.75" thickBot="1" x14ac:dyDescent="0.5">
      <c r="A2190" s="36" t="s">
        <v>5386</v>
      </c>
      <c r="B2190" s="3" t="s">
        <v>5391</v>
      </c>
      <c r="C2190" s="4" t="s">
        <v>37</v>
      </c>
      <c r="D2190" s="4"/>
      <c r="E2190" s="4" t="s">
        <v>37</v>
      </c>
      <c r="F2190" s="4"/>
      <c r="G2190" s="4" t="s">
        <v>37</v>
      </c>
      <c r="H2190" s="4"/>
      <c r="J2190" s="18" t="s">
        <v>2473</v>
      </c>
      <c r="K2190" s="18" t="s">
        <v>2473</v>
      </c>
      <c r="L2190" s="18" t="s">
        <v>2334</v>
      </c>
      <c r="M2190" s="244" t="s">
        <v>5390</v>
      </c>
      <c r="R2190" s="122" t="s">
        <v>3435</v>
      </c>
      <c r="S2190" s="114" t="s">
        <v>3437</v>
      </c>
      <c r="T2190" s="114" t="s">
        <v>1788</v>
      </c>
      <c r="U2190" s="114"/>
      <c r="V2190" s="114" t="s">
        <v>3565</v>
      </c>
      <c r="W2190" s="114" t="s">
        <v>3436</v>
      </c>
      <c r="X2190" s="114" t="s">
        <v>13</v>
      </c>
      <c r="Y2190" s="149"/>
      <c r="Z2190" s="183"/>
      <c r="AA2190" s="183"/>
      <c r="AB2190" s="183"/>
      <c r="AC2190" s="183"/>
      <c r="AD2190" s="183"/>
      <c r="AE2190" s="184"/>
      <c r="AF2190" s="184"/>
      <c r="AG2190" s="183"/>
      <c r="AH2190" s="183"/>
      <c r="AI2190" s="183"/>
      <c r="AJ2190" s="183"/>
      <c r="AK2190" s="183"/>
      <c r="AL2190" s="183"/>
      <c r="AM2190" s="183"/>
      <c r="AN2190" s="131"/>
      <c r="AO2190" s="131"/>
      <c r="AP2190" s="131"/>
      <c r="AQ2190" s="131"/>
      <c r="AR2190" s="288"/>
      <c r="AS2190" s="262" t="s">
        <v>5396</v>
      </c>
      <c r="AT2190" s="183"/>
      <c r="AU2190" s="6"/>
      <c r="AV2190" s="6" t="str">
        <f t="shared" si="37"/>
        <v>ERROR</v>
      </c>
    </row>
    <row r="2191" spans="1:48" ht="30.75" thickBot="1" x14ac:dyDescent="0.5">
      <c r="A2191" s="35" t="s">
        <v>33</v>
      </c>
      <c r="B2191" s="3" t="s">
        <v>1789</v>
      </c>
      <c r="C2191" s="4"/>
      <c r="D2191" s="4"/>
      <c r="E2191" s="4"/>
      <c r="F2191" s="4"/>
      <c r="G2191" s="4"/>
      <c r="H2191" s="4"/>
      <c r="J2191" s="18" t="s">
        <v>2473</v>
      </c>
      <c r="K2191" s="18" t="s">
        <v>2473</v>
      </c>
      <c r="L2191" s="18" t="s">
        <v>2335</v>
      </c>
      <c r="M2191" s="244"/>
      <c r="AS2191" s="262" t="s">
        <v>5396</v>
      </c>
      <c r="AU2191" s="6"/>
      <c r="AV2191" s="6" t="str">
        <f t="shared" si="37"/>
        <v/>
      </c>
    </row>
    <row r="2192" spans="1:48" ht="14.65" thickBot="1" x14ac:dyDescent="0.5">
      <c r="A2192" s="36" t="s">
        <v>161</v>
      </c>
      <c r="B2192" s="3" t="s">
        <v>4060</v>
      </c>
      <c r="C2192" s="4" t="s">
        <v>13</v>
      </c>
      <c r="D2192" s="4"/>
      <c r="E2192" s="4" t="s">
        <v>13</v>
      </c>
      <c r="F2192" s="4"/>
      <c r="G2192" s="4" t="s">
        <v>13</v>
      </c>
      <c r="H2192" s="4"/>
      <c r="I2192" s="18" t="s">
        <v>2473</v>
      </c>
      <c r="J2192" s="18" t="s">
        <v>2473</v>
      </c>
      <c r="K2192" s="18" t="s">
        <v>2473</v>
      </c>
      <c r="L2192" s="18" t="s">
        <v>2334</v>
      </c>
      <c r="R2192" s="122" t="s">
        <v>3529</v>
      </c>
      <c r="S2192" s="114" t="s">
        <v>4</v>
      </c>
      <c r="T2192" s="114" t="s">
        <v>161</v>
      </c>
      <c r="U2192" s="114" t="s">
        <v>3521</v>
      </c>
      <c r="V2192" s="114" t="s">
        <v>3530</v>
      </c>
      <c r="W2192" s="114" t="s">
        <v>3436</v>
      </c>
      <c r="X2192" s="114" t="s">
        <v>13</v>
      </c>
      <c r="Y2192" s="149"/>
      <c r="Z2192" s="183"/>
      <c r="AA2192" s="183"/>
      <c r="AB2192" s="183"/>
      <c r="AC2192" s="183"/>
      <c r="AD2192" s="183"/>
      <c r="AE2192" s="184"/>
      <c r="AF2192" s="184"/>
      <c r="AG2192" s="183"/>
      <c r="AH2192" s="183"/>
      <c r="AI2192" s="183"/>
      <c r="AJ2192" s="183"/>
      <c r="AK2192" s="183"/>
      <c r="AL2192" s="183"/>
      <c r="AM2192" s="183"/>
      <c r="AN2192" s="131"/>
      <c r="AO2192" s="131"/>
      <c r="AP2192" s="131"/>
      <c r="AQ2192" s="131"/>
      <c r="AR2192" s="288"/>
      <c r="AS2192" s="259"/>
      <c r="AT2192" s="183"/>
      <c r="AU2192" s="6"/>
      <c r="AV2192" s="6" t="str">
        <f t="shared" ref="AV2192" si="41">IF(A2192&lt;&gt;"",IF(T2192&lt;&gt;"",IF(LEFT(R2192,3)="Has",IF(TRIM(A2192)&lt;&gt;T2192,"ERROR","OK"),""),""),"")</f>
        <v>OK</v>
      </c>
    </row>
    <row r="2193" spans="1:48" ht="30.75" thickBot="1" x14ac:dyDescent="0.5">
      <c r="A2193" s="36" t="s">
        <v>5392</v>
      </c>
      <c r="B2193" s="3" t="s">
        <v>5395</v>
      </c>
      <c r="C2193" s="4"/>
      <c r="D2193" s="4"/>
      <c r="E2193" s="4"/>
      <c r="F2193" s="4"/>
      <c r="G2193" s="4"/>
      <c r="H2193" s="4"/>
      <c r="J2193" s="18" t="s">
        <v>2473</v>
      </c>
      <c r="K2193" s="18" t="s">
        <v>2473</v>
      </c>
      <c r="M2193" s="244"/>
      <c r="R2193" s="122" t="s">
        <v>3529</v>
      </c>
      <c r="S2193" s="114" t="s">
        <v>4</v>
      </c>
      <c r="T2193" s="114" t="s">
        <v>161</v>
      </c>
      <c r="U2193" s="114" t="s">
        <v>3521</v>
      </c>
      <c r="V2193" s="114" t="s">
        <v>3530</v>
      </c>
      <c r="W2193" s="114" t="s">
        <v>3436</v>
      </c>
      <c r="X2193" s="114" t="s">
        <v>13</v>
      </c>
      <c r="Y2193" s="149"/>
      <c r="Z2193" s="183"/>
      <c r="AA2193" s="183"/>
      <c r="AB2193" s="183"/>
      <c r="AC2193" s="183"/>
      <c r="AD2193" s="183"/>
      <c r="AE2193" s="184"/>
      <c r="AF2193" s="184"/>
      <c r="AG2193" s="183"/>
      <c r="AH2193" s="183"/>
      <c r="AI2193" s="183"/>
      <c r="AJ2193" s="183"/>
      <c r="AK2193" s="183"/>
      <c r="AL2193" s="183"/>
      <c r="AM2193" s="183"/>
      <c r="AN2193" s="131"/>
      <c r="AO2193" s="131"/>
      <c r="AP2193" s="131"/>
      <c r="AQ2193" s="131"/>
      <c r="AR2193" s="288"/>
      <c r="AS2193" s="262" t="s">
        <v>5393</v>
      </c>
      <c r="AT2193" s="183"/>
      <c r="AU2193" s="6"/>
      <c r="AV2193" s="6" t="str">
        <f t="shared" si="37"/>
        <v>ERROR</v>
      </c>
    </row>
    <row r="2194" spans="1:48" ht="30.75" thickBot="1" x14ac:dyDescent="0.5">
      <c r="A2194" s="35" t="s">
        <v>33</v>
      </c>
      <c r="B2194" s="3" t="s">
        <v>5394</v>
      </c>
      <c r="C2194" s="4"/>
      <c r="D2194" s="4"/>
      <c r="E2194" s="4"/>
      <c r="F2194" s="4"/>
      <c r="G2194" s="4"/>
      <c r="H2194" s="4"/>
      <c r="J2194" s="18" t="s">
        <v>2473</v>
      </c>
      <c r="K2194" s="18" t="s">
        <v>2473</v>
      </c>
      <c r="L2194" s="18" t="s">
        <v>2335</v>
      </c>
      <c r="M2194" s="244"/>
      <c r="AS2194" s="262" t="s">
        <v>5393</v>
      </c>
      <c r="AU2194" s="6"/>
      <c r="AV2194" s="6" t="str">
        <f t="shared" ref="AV2194" si="42">IF(A2194&lt;&gt;"",IF(T2194&lt;&gt;"",IF(LEFT(R2194,3)="Has",IF(TRIM(A2194)&lt;&gt;T2194,"ERROR","OK"),""),""),"")</f>
        <v/>
      </c>
    </row>
    <row r="2195" spans="1:48" ht="14.65" thickBot="1" x14ac:dyDescent="0.5">
      <c r="A2195" s="36" t="s">
        <v>1790</v>
      </c>
      <c r="B2195" s="3" t="s">
        <v>1791</v>
      </c>
      <c r="C2195" s="4"/>
      <c r="D2195" s="4"/>
      <c r="E2195" s="4" t="s">
        <v>13</v>
      </c>
      <c r="F2195" s="4"/>
      <c r="G2195" s="4"/>
      <c r="H2195" s="4"/>
      <c r="I2195" s="18" t="s">
        <v>2473</v>
      </c>
      <c r="J2195" s="18" t="s">
        <v>2473</v>
      </c>
      <c r="K2195" s="18" t="s">
        <v>2473</v>
      </c>
      <c r="L2195" s="18" t="s">
        <v>2335</v>
      </c>
      <c r="R2195" s="122" t="s">
        <v>3529</v>
      </c>
      <c r="S2195" s="114" t="s">
        <v>4</v>
      </c>
      <c r="T2195" s="114" t="s">
        <v>1790</v>
      </c>
      <c r="U2195" s="114" t="s">
        <v>3521</v>
      </c>
      <c r="V2195" s="114" t="s">
        <v>3530</v>
      </c>
      <c r="W2195" s="114" t="s">
        <v>3436</v>
      </c>
      <c r="X2195" s="114" t="s">
        <v>13</v>
      </c>
      <c r="AU2195" s="6"/>
      <c r="AV2195" s="6" t="str">
        <f t="shared" si="37"/>
        <v>OK</v>
      </c>
    </row>
    <row r="2196" spans="1:48" ht="14.65" thickBot="1" x14ac:dyDescent="0.5">
      <c r="A2196" s="36" t="s">
        <v>1792</v>
      </c>
      <c r="B2196" s="3" t="s">
        <v>1793</v>
      </c>
      <c r="C2196" s="4"/>
      <c r="D2196" s="4"/>
      <c r="E2196" s="4" t="s">
        <v>13</v>
      </c>
      <c r="F2196" s="4"/>
      <c r="G2196" s="4"/>
      <c r="H2196" s="4"/>
      <c r="I2196" s="18" t="s">
        <v>2473</v>
      </c>
      <c r="J2196" s="18" t="s">
        <v>2473</v>
      </c>
      <c r="K2196" s="18" t="s">
        <v>2473</v>
      </c>
      <c r="L2196" s="18" t="s">
        <v>2335</v>
      </c>
      <c r="R2196" s="122" t="s">
        <v>3529</v>
      </c>
      <c r="S2196" s="114" t="s">
        <v>4</v>
      </c>
      <c r="T2196" s="114" t="s">
        <v>1792</v>
      </c>
      <c r="U2196" s="114" t="s">
        <v>3521</v>
      </c>
      <c r="V2196" s="114" t="s">
        <v>3530</v>
      </c>
      <c r="W2196" s="114" t="s">
        <v>3436</v>
      </c>
      <c r="X2196" s="114" t="s">
        <v>13</v>
      </c>
      <c r="AU2196" s="6"/>
      <c r="AV2196" s="6" t="str">
        <f t="shared" si="37"/>
        <v>OK</v>
      </c>
    </row>
    <row r="2197" spans="1:48" x14ac:dyDescent="0.45">
      <c r="A2197" s="33" t="s">
        <v>1794</v>
      </c>
      <c r="I2197" s="18" t="s">
        <v>2473</v>
      </c>
      <c r="J2197" s="18" t="s">
        <v>2473</v>
      </c>
      <c r="K2197" s="18" t="s">
        <v>2473</v>
      </c>
      <c r="L2197" s="18" t="s">
        <v>2335</v>
      </c>
      <c r="AU2197" s="6"/>
      <c r="AV2197" s="6" t="str">
        <f t="shared" si="37"/>
        <v/>
      </c>
    </row>
    <row r="2198" spans="1:48" x14ac:dyDescent="0.45">
      <c r="A2198" s="34" t="s">
        <v>1795</v>
      </c>
      <c r="I2198" s="18" t="s">
        <v>2473</v>
      </c>
      <c r="J2198" s="18" t="s">
        <v>2473</v>
      </c>
      <c r="K2198" s="18" t="s">
        <v>2473</v>
      </c>
      <c r="L2198" s="18" t="s">
        <v>2335</v>
      </c>
      <c r="AU2198" s="6"/>
      <c r="AV2198" s="6" t="str">
        <f t="shared" ref="AV2198:AV2766" si="43">IF(A2198&lt;&gt;"",IF(T2198&lt;&gt;"",IF(LEFT(R2198,3)="Has",IF(TRIM(A2198)&lt;&gt;T2198,"ERROR","OK"),""),""),"")</f>
        <v/>
      </c>
    </row>
    <row r="2199" spans="1:48" s="79" customFormat="1" x14ac:dyDescent="0.45">
      <c r="A2199" s="75"/>
      <c r="B2199" s="76"/>
      <c r="C2199" s="77"/>
      <c r="D2199" s="77"/>
      <c r="E2199" s="77"/>
      <c r="F2199" s="77"/>
      <c r="G2199" s="77"/>
      <c r="H2199" s="77"/>
      <c r="I2199" s="77"/>
      <c r="J2199" s="77"/>
      <c r="K2199" s="77"/>
      <c r="L2199" s="77"/>
      <c r="M2199" s="148"/>
      <c r="N2199" s="78"/>
      <c r="O2199" s="78"/>
      <c r="P2199" s="78"/>
      <c r="Q2199" s="78"/>
      <c r="R2199" s="78"/>
      <c r="S2199" s="78"/>
      <c r="T2199" s="78"/>
      <c r="U2199" s="78"/>
      <c r="V2199" s="78"/>
      <c r="W2199" s="78"/>
      <c r="X2199" s="78"/>
      <c r="Y2199" s="148"/>
      <c r="Z2199" s="78"/>
      <c r="AA2199" s="78"/>
      <c r="AB2199" s="78"/>
      <c r="AC2199" s="78"/>
      <c r="AD2199" s="78"/>
      <c r="AE2199" s="156"/>
      <c r="AF2199" s="156"/>
      <c r="AG2199" s="78"/>
      <c r="AH2199" s="78"/>
      <c r="AI2199" s="78"/>
      <c r="AJ2199" s="78"/>
      <c r="AK2199" s="78"/>
      <c r="AL2199" s="78"/>
      <c r="AM2199" s="78"/>
      <c r="AN2199" s="78"/>
      <c r="AO2199" s="78"/>
      <c r="AP2199" s="78"/>
      <c r="AQ2199" s="78"/>
      <c r="AR2199" s="286"/>
      <c r="AS2199" s="78"/>
      <c r="AT2199" s="78"/>
      <c r="AU2199" s="8"/>
      <c r="AV2199" s="6" t="str">
        <f t="shared" si="43"/>
        <v/>
      </c>
    </row>
    <row r="2200" spans="1:48" x14ac:dyDescent="0.45">
      <c r="A2200" s="27" t="s">
        <v>5723</v>
      </c>
      <c r="J2200" s="18" t="s">
        <v>2473</v>
      </c>
      <c r="K2200" s="18" t="s">
        <v>2473</v>
      </c>
      <c r="Z2200" s="185"/>
      <c r="AA2200" s="185"/>
      <c r="AB2200" s="185"/>
      <c r="AC2200" s="185"/>
      <c r="AD2200" s="185"/>
      <c r="AE2200" s="186"/>
      <c r="AF2200" s="186"/>
      <c r="AG2200" s="185"/>
      <c r="AH2200" s="185"/>
      <c r="AI2200" s="185"/>
      <c r="AJ2200" s="185"/>
      <c r="AK2200" s="185"/>
      <c r="AL2200" s="185"/>
      <c r="AM2200" s="185"/>
      <c r="AN2200" s="117"/>
      <c r="AO2200" s="117"/>
      <c r="AP2200" s="117"/>
      <c r="AQ2200" s="117"/>
      <c r="AR2200" s="287"/>
      <c r="AS2200" s="262" t="s">
        <v>5751</v>
      </c>
      <c r="AT2200" s="185"/>
      <c r="AU2200" s="6"/>
      <c r="AV2200" s="6" t="str">
        <f t="shared" si="43"/>
        <v/>
      </c>
    </row>
    <row r="2201" spans="1:48" ht="16.05" customHeight="1" x14ac:dyDescent="0.45">
      <c r="A2201" s="323" t="s">
        <v>5410</v>
      </c>
      <c r="B2201" s="324"/>
      <c r="C2201" s="324"/>
      <c r="D2201" s="324"/>
      <c r="E2201" s="324"/>
      <c r="F2201" s="324"/>
      <c r="G2201" s="101"/>
      <c r="H2201" s="101"/>
      <c r="J2201" s="18" t="s">
        <v>2473</v>
      </c>
      <c r="K2201" s="18" t="s">
        <v>2473</v>
      </c>
      <c r="Z2201" s="183"/>
      <c r="AA2201" s="183"/>
      <c r="AB2201" s="183"/>
      <c r="AC2201" s="183"/>
      <c r="AD2201" s="183"/>
      <c r="AE2201" s="184"/>
      <c r="AF2201" s="184"/>
      <c r="AG2201" s="183"/>
      <c r="AH2201" s="183"/>
      <c r="AI2201" s="183"/>
      <c r="AJ2201" s="183"/>
      <c r="AK2201" s="183"/>
      <c r="AL2201" s="183"/>
      <c r="AM2201" s="183"/>
      <c r="AN2201" s="131"/>
      <c r="AO2201" s="131"/>
      <c r="AP2201" s="131"/>
      <c r="AQ2201" s="131"/>
      <c r="AR2201" s="288"/>
      <c r="AS2201" s="262" t="s">
        <v>5751</v>
      </c>
      <c r="AT2201" s="183"/>
      <c r="AU2201" s="6"/>
      <c r="AV2201" s="6" t="str">
        <f t="shared" si="43"/>
        <v/>
      </c>
    </row>
    <row r="2202" spans="1:48" ht="14.65" thickBot="1" x14ac:dyDescent="0.5">
      <c r="A2202" s="28" t="s">
        <v>1748</v>
      </c>
      <c r="J2202" s="18" t="s">
        <v>2473</v>
      </c>
      <c r="K2202" s="18" t="s">
        <v>2473</v>
      </c>
      <c r="Z2202" s="183"/>
      <c r="AA2202" s="183" t="s">
        <v>2322</v>
      </c>
      <c r="AB2202" s="183" t="s">
        <v>1697</v>
      </c>
      <c r="AC2202" s="183" t="s">
        <v>5</v>
      </c>
      <c r="AD2202" s="183"/>
      <c r="AE2202" s="184"/>
      <c r="AF2202" s="184"/>
      <c r="AG2202" s="183"/>
      <c r="AH2202" s="183"/>
      <c r="AI2202" s="183"/>
      <c r="AJ2202" s="183"/>
      <c r="AK2202" s="183"/>
      <c r="AL2202" s="183"/>
      <c r="AM2202" s="183"/>
      <c r="AN2202" s="131"/>
      <c r="AO2202" s="131"/>
      <c r="AP2202" s="131"/>
      <c r="AQ2202" s="131"/>
      <c r="AR2202" s="288"/>
      <c r="AS2202" s="262" t="s">
        <v>5751</v>
      </c>
      <c r="AT2202" s="183"/>
      <c r="AU2202" s="6"/>
      <c r="AV2202" s="6" t="str">
        <f t="shared" si="43"/>
        <v/>
      </c>
    </row>
    <row r="2203" spans="1:48" ht="70.150000000000006" thickBot="1" x14ac:dyDescent="0.5">
      <c r="A2203" s="309" t="s">
        <v>5724</v>
      </c>
      <c r="B2203" s="310"/>
      <c r="C2203" s="301" t="s">
        <v>1</v>
      </c>
      <c r="D2203" s="319"/>
      <c r="E2203" s="319"/>
      <c r="F2203" s="302"/>
      <c r="G2203" s="102"/>
      <c r="H2203" s="102"/>
      <c r="J2203" s="18" t="s">
        <v>2473</v>
      </c>
      <c r="K2203" s="18" t="s">
        <v>2473</v>
      </c>
      <c r="AA2203" s="183" t="str">
        <f>LEFT($A2203,FIND(" ",$A2203)-1)</f>
        <v>TrustedComponent</v>
      </c>
      <c r="AB2203" s="183" t="str">
        <f>MID($A2203,FIND("(",$A2203)+1,LEN($A2203)-FIND("(",$A2203)-1)</f>
        <v>1.1.0</v>
      </c>
      <c r="AC2203" s="101" t="str">
        <f>A2201</f>
        <v>The TrustedComponent resource represents a trusted device, such as a TPM.</v>
      </c>
      <c r="AS2203" s="262" t="s">
        <v>5751</v>
      </c>
      <c r="AU2203" s="6"/>
      <c r="AV2203" s="6" t="str">
        <f t="shared" si="43"/>
        <v/>
      </c>
    </row>
    <row r="2204" spans="1:48" ht="14.65" thickBot="1" x14ac:dyDescent="0.5">
      <c r="A2204" s="311"/>
      <c r="B2204" s="312"/>
      <c r="C2204" s="301" t="s">
        <v>2</v>
      </c>
      <c r="D2204" s="302"/>
      <c r="E2204" s="301" t="s">
        <v>3</v>
      </c>
      <c r="F2204" s="302"/>
      <c r="G2204" s="301" t="s">
        <v>2896</v>
      </c>
      <c r="H2204" s="302"/>
      <c r="J2204" s="18" t="s">
        <v>2473</v>
      </c>
      <c r="K2204" s="18" t="s">
        <v>2473</v>
      </c>
      <c r="AM2204" s="8" t="str">
        <f>C2204</f>
        <v>OSM-Redfish</v>
      </c>
      <c r="AN2204" s="8" t="str">
        <f>E2204</f>
        <v>OSM-RedfishBMC</v>
      </c>
      <c r="AO2204" s="8" t="str">
        <f>G2204</f>
        <v>OSM-RedfishDCN</v>
      </c>
      <c r="AS2204" s="262" t="s">
        <v>5751</v>
      </c>
      <c r="AU2204" s="6"/>
      <c r="AV2204" s="6" t="str">
        <f t="shared" si="43"/>
        <v/>
      </c>
    </row>
    <row r="2205" spans="1:48" ht="14.65" thickBot="1" x14ac:dyDescent="0.5">
      <c r="A2205" s="46" t="s">
        <v>2377</v>
      </c>
      <c r="B2205" s="47"/>
      <c r="C2205" s="303" t="s">
        <v>13</v>
      </c>
      <c r="D2205" s="304"/>
      <c r="E2205" s="303" t="s">
        <v>13</v>
      </c>
      <c r="F2205" s="304"/>
      <c r="G2205" s="303" t="s">
        <v>13</v>
      </c>
      <c r="H2205" s="304"/>
      <c r="J2205" s="18" t="s">
        <v>2473</v>
      </c>
      <c r="K2205" s="18" t="s">
        <v>2473</v>
      </c>
      <c r="Z2205" s="185"/>
      <c r="AA2205" s="185"/>
      <c r="AB2205" s="185"/>
      <c r="AC2205" s="185"/>
      <c r="AD2205" s="185"/>
      <c r="AE2205" s="186"/>
      <c r="AF2205" s="186"/>
      <c r="AG2205" s="185"/>
      <c r="AH2205" s="185"/>
      <c r="AI2205" s="185"/>
      <c r="AJ2205" s="185"/>
      <c r="AK2205" s="185"/>
      <c r="AL2205" s="185"/>
      <c r="AM2205" s="8" t="str">
        <f>IF(C2205&lt;&gt;"","CRQ-P5-"&amp;(AM$2+$AP2205*$AP$3),"")</f>
        <v>CRQ-P5-1032</v>
      </c>
      <c r="AN2205" s="8" t="str">
        <f>IF(E2205&lt;&gt;"","CRQ-P5-"&amp;(AN$2+$AP2205*$AP$3),"")</f>
        <v>CRQ-P5-1332</v>
      </c>
      <c r="AO2205" s="8" t="str">
        <f>IF(G2205&lt;&gt;"","CRQ-P5-"&amp;(AO$2+$AP2205*$AP$3),"")</f>
        <v>CRQ-P5-1632</v>
      </c>
      <c r="AP2205" s="117">
        <v>8</v>
      </c>
      <c r="AQ2205" s="117"/>
      <c r="AR2205" s="287"/>
      <c r="AS2205" s="262" t="s">
        <v>5751</v>
      </c>
      <c r="AT2205" s="185"/>
      <c r="AU2205" s="6"/>
      <c r="AV2205" s="6" t="str">
        <f t="shared" si="43"/>
        <v/>
      </c>
    </row>
    <row r="2206" spans="1:48" ht="14.65" thickBot="1" x14ac:dyDescent="0.5">
      <c r="A2206" s="29" t="s">
        <v>3394</v>
      </c>
      <c r="B2206" s="9"/>
      <c r="C2206" s="305" t="str">
        <f>MID(A2203,FIND("(",A2203)+1,5)</f>
        <v>1.1.0</v>
      </c>
      <c r="D2206" s="306"/>
      <c r="E2206" s="305" t="str">
        <f>MID(A2203,FIND("(",A2203)+1,5)</f>
        <v>1.1.0</v>
      </c>
      <c r="F2206" s="306"/>
      <c r="G2206" s="305" t="str">
        <f>MID(A2203,FIND("(",A2203)+1,5)</f>
        <v>1.1.0</v>
      </c>
      <c r="H2206" s="306"/>
      <c r="J2206" s="18" t="s">
        <v>2473</v>
      </c>
      <c r="K2206" s="18" t="s">
        <v>2473</v>
      </c>
      <c r="Z2206" s="185"/>
      <c r="AA2206" s="185"/>
      <c r="AB2206" s="185"/>
      <c r="AC2206" s="185"/>
      <c r="AD2206" s="185"/>
      <c r="AE2206" s="186"/>
      <c r="AF2206" s="186"/>
      <c r="AG2206" s="185"/>
      <c r="AH2206" s="185"/>
      <c r="AI2206" s="185"/>
      <c r="AJ2206" s="185"/>
      <c r="AK2206" s="185"/>
      <c r="AL2206" s="185"/>
      <c r="AM2206" s="185"/>
      <c r="AN2206" s="117"/>
      <c r="AO2206" s="117"/>
      <c r="AP2206" s="117"/>
      <c r="AQ2206" s="117"/>
      <c r="AR2206" s="287"/>
      <c r="AS2206" s="262" t="s">
        <v>5751</v>
      </c>
      <c r="AT2206" s="185"/>
      <c r="AU2206" s="6"/>
      <c r="AV2206" s="6" t="str">
        <f t="shared" si="43"/>
        <v/>
      </c>
    </row>
    <row r="2207" spans="1:48" ht="15" customHeight="1" thickBot="1" x14ac:dyDescent="0.5">
      <c r="A2207" s="30" t="s">
        <v>4</v>
      </c>
      <c r="B2207" s="59" t="s">
        <v>5</v>
      </c>
      <c r="C2207" s="7" t="s">
        <v>6</v>
      </c>
      <c r="D2207" s="7" t="s">
        <v>7</v>
      </c>
      <c r="E2207" s="7" t="s">
        <v>6</v>
      </c>
      <c r="F2207" s="7" t="s">
        <v>7</v>
      </c>
      <c r="G2207" s="7" t="s">
        <v>6</v>
      </c>
      <c r="H2207" s="7" t="s">
        <v>7</v>
      </c>
      <c r="J2207" s="18" t="s">
        <v>2473</v>
      </c>
      <c r="K2207" s="18" t="s">
        <v>2473</v>
      </c>
      <c r="Z2207" s="183"/>
      <c r="AA2207" s="183"/>
      <c r="AB2207" s="183"/>
      <c r="AC2207" s="183"/>
      <c r="AD2207" s="183"/>
      <c r="AE2207" s="184"/>
      <c r="AF2207" s="184"/>
      <c r="AG2207" s="183"/>
      <c r="AH2207" s="183"/>
      <c r="AI2207" s="183"/>
      <c r="AJ2207" s="183"/>
      <c r="AK2207" s="183"/>
      <c r="AL2207" s="183"/>
      <c r="AM2207" s="183"/>
      <c r="AN2207" s="131"/>
      <c r="AO2207" s="131"/>
      <c r="AP2207" s="131"/>
      <c r="AQ2207" s="131"/>
      <c r="AR2207" s="288"/>
      <c r="AS2207" s="262" t="s">
        <v>5751</v>
      </c>
      <c r="AT2207" s="183"/>
      <c r="AU2207" s="6"/>
      <c r="AV2207" s="6" t="str">
        <f t="shared" si="43"/>
        <v/>
      </c>
    </row>
    <row r="2208" spans="1:48" s="17" customFormat="1" ht="23.65" thickBot="1" x14ac:dyDescent="0.4">
      <c r="A2208" s="255" t="s">
        <v>2603</v>
      </c>
      <c r="B2208" s="50" t="s">
        <v>5411</v>
      </c>
      <c r="C2208" s="21"/>
      <c r="D2208" s="21"/>
      <c r="E2208" s="21"/>
      <c r="F2208" s="21"/>
      <c r="G2208" s="21"/>
      <c r="H2208" s="21"/>
      <c r="J2208" s="18" t="s">
        <v>2473</v>
      </c>
      <c r="K2208" s="18" t="s">
        <v>2473</v>
      </c>
      <c r="M2208" s="248"/>
      <c r="R2208" s="8"/>
      <c r="S2208" s="8"/>
      <c r="T2208" s="8"/>
      <c r="U2208" s="8"/>
      <c r="V2208" s="8"/>
      <c r="W2208" s="8"/>
      <c r="X2208" s="8"/>
      <c r="Y2208" s="145"/>
      <c r="AR2208" s="290"/>
      <c r="AS2208" s="262" t="s">
        <v>5751</v>
      </c>
    </row>
    <row r="2209" spans="1:45" s="17" customFormat="1" ht="12" thickBot="1" x14ac:dyDescent="0.4">
      <c r="A2209" s="256" t="s">
        <v>33</v>
      </c>
      <c r="B2209" s="50" t="s">
        <v>2628</v>
      </c>
      <c r="C2209" s="21"/>
      <c r="D2209" s="21"/>
      <c r="E2209" s="21"/>
      <c r="F2209" s="21"/>
      <c r="G2209" s="21"/>
      <c r="H2209" s="21"/>
      <c r="J2209" s="18" t="s">
        <v>2473</v>
      </c>
      <c r="K2209" s="18" t="s">
        <v>2473</v>
      </c>
      <c r="M2209" s="248"/>
      <c r="R2209" s="8"/>
      <c r="S2209" s="8"/>
      <c r="T2209" s="8"/>
      <c r="U2209" s="8"/>
      <c r="V2209" s="8"/>
      <c r="W2209" s="8"/>
      <c r="X2209" s="8"/>
      <c r="Y2209" s="145"/>
      <c r="AR2209" s="290"/>
      <c r="AS2209" s="262" t="s">
        <v>5751</v>
      </c>
    </row>
    <row r="2210" spans="1:45" s="17" customFormat="1" ht="40.9" thickBot="1" x14ac:dyDescent="0.4">
      <c r="A2210" s="255" t="s">
        <v>897</v>
      </c>
      <c r="B2210" s="50" t="s">
        <v>5412</v>
      </c>
      <c r="C2210" s="21"/>
      <c r="D2210" s="21"/>
      <c r="E2210" s="21" t="s">
        <v>10</v>
      </c>
      <c r="F2210" s="21"/>
      <c r="G2210" s="21" t="s">
        <v>10</v>
      </c>
      <c r="H2210" s="21"/>
      <c r="J2210" s="18" t="s">
        <v>2473</v>
      </c>
      <c r="K2210" s="18" t="s">
        <v>2473</v>
      </c>
      <c r="M2210" s="248"/>
      <c r="R2210" s="8"/>
      <c r="S2210" s="8"/>
      <c r="T2210" s="8"/>
      <c r="U2210" s="8"/>
      <c r="V2210" s="8"/>
      <c r="W2210" s="8"/>
      <c r="X2210" s="8"/>
      <c r="Y2210" s="145"/>
      <c r="AR2210" s="290"/>
      <c r="AS2210" s="262" t="s">
        <v>5843</v>
      </c>
    </row>
    <row r="2211" spans="1:45" s="17" customFormat="1" ht="12" thickBot="1" x14ac:dyDescent="0.4">
      <c r="A2211" s="255" t="s">
        <v>75</v>
      </c>
      <c r="B2211" s="50" t="s">
        <v>5413</v>
      </c>
      <c r="C2211" s="21"/>
      <c r="D2211" s="21"/>
      <c r="E2211" s="21"/>
      <c r="F2211" s="21"/>
      <c r="G2211" s="21"/>
      <c r="H2211" s="21"/>
      <c r="J2211" s="18" t="s">
        <v>2473</v>
      </c>
      <c r="K2211" s="18" t="s">
        <v>2473</v>
      </c>
      <c r="M2211" s="248"/>
      <c r="R2211" s="8"/>
      <c r="S2211" s="8"/>
      <c r="T2211" s="8"/>
      <c r="U2211" s="8"/>
      <c r="V2211" s="8"/>
      <c r="W2211" s="8"/>
      <c r="X2211" s="8"/>
      <c r="Y2211" s="145"/>
      <c r="AR2211" s="290"/>
      <c r="AS2211" s="262" t="s">
        <v>5751</v>
      </c>
    </row>
    <row r="2212" spans="1:45" s="17" customFormat="1" ht="35.25" thickBot="1" x14ac:dyDescent="0.4">
      <c r="A2212" s="256" t="s">
        <v>4108</v>
      </c>
      <c r="B2212" s="50" t="s">
        <v>5414</v>
      </c>
      <c r="C2212" s="21"/>
      <c r="D2212" s="21"/>
      <c r="E2212" s="21"/>
      <c r="F2212" s="21"/>
      <c r="G2212" s="21"/>
      <c r="H2212" s="21"/>
      <c r="J2212" s="18" t="s">
        <v>2473</v>
      </c>
      <c r="K2212" s="18" t="s">
        <v>2473</v>
      </c>
      <c r="M2212" s="248"/>
      <c r="R2212" s="8"/>
      <c r="S2212" s="8"/>
      <c r="T2212" s="8"/>
      <c r="U2212" s="8"/>
      <c r="V2212" s="8"/>
      <c r="W2212" s="8"/>
      <c r="X2212" s="8"/>
      <c r="Y2212" s="145"/>
      <c r="AR2212" s="290"/>
      <c r="AS2212" s="262" t="s">
        <v>5751</v>
      </c>
    </row>
    <row r="2213" spans="1:45" s="17" customFormat="1" ht="23.65" thickBot="1" x14ac:dyDescent="0.4">
      <c r="A2213" s="256" t="s">
        <v>43</v>
      </c>
      <c r="B2213" s="72" t="s">
        <v>5425</v>
      </c>
      <c r="C2213" s="21"/>
      <c r="D2213" s="21"/>
      <c r="E2213" s="21"/>
      <c r="F2213" s="21"/>
      <c r="G2213" s="21"/>
      <c r="H2213" s="21"/>
      <c r="J2213" s="18" t="s">
        <v>2473</v>
      </c>
      <c r="K2213" s="18" t="s">
        <v>2473</v>
      </c>
      <c r="M2213" s="248"/>
      <c r="R2213" s="8"/>
      <c r="S2213" s="8"/>
      <c r="T2213" s="8"/>
      <c r="U2213" s="8"/>
      <c r="V2213" s="8"/>
      <c r="W2213" s="8"/>
      <c r="X2213" s="8"/>
      <c r="Y2213" s="145"/>
      <c r="AR2213" s="290"/>
      <c r="AS2213" s="262" t="s">
        <v>5751</v>
      </c>
    </row>
    <row r="2214" spans="1:45" s="17" customFormat="1" ht="23.65" thickBot="1" x14ac:dyDescent="0.4">
      <c r="A2214" s="256" t="s">
        <v>5416</v>
      </c>
      <c r="B2214" s="50" t="s">
        <v>5417</v>
      </c>
      <c r="C2214" s="21"/>
      <c r="D2214" s="21"/>
      <c r="E2214" s="21"/>
      <c r="F2214" s="21"/>
      <c r="G2214" s="21"/>
      <c r="H2214" s="21"/>
      <c r="J2214" s="18" t="s">
        <v>2473</v>
      </c>
      <c r="K2214" s="18" t="s">
        <v>2473</v>
      </c>
      <c r="M2214" s="248"/>
      <c r="R2214" s="8"/>
      <c r="S2214" s="8"/>
      <c r="T2214" s="8"/>
      <c r="U2214" s="8"/>
      <c r="V2214" s="8"/>
      <c r="W2214" s="8"/>
      <c r="X2214" s="8"/>
      <c r="Y2214" s="145"/>
      <c r="AR2214" s="290"/>
      <c r="AS2214" s="262" t="s">
        <v>5751</v>
      </c>
    </row>
    <row r="2215" spans="1:45" s="17" customFormat="1" ht="23.65" thickBot="1" x14ac:dyDescent="0.4">
      <c r="A2215" s="256" t="s">
        <v>43</v>
      </c>
      <c r="B2215" s="50" t="s">
        <v>5418</v>
      </c>
      <c r="C2215" s="21"/>
      <c r="D2215" s="21"/>
      <c r="E2215" s="21"/>
      <c r="F2215" s="21"/>
      <c r="G2215" s="21"/>
      <c r="H2215" s="21"/>
      <c r="J2215" s="18" t="s">
        <v>2473</v>
      </c>
      <c r="K2215" s="18" t="s">
        <v>2473</v>
      </c>
      <c r="M2215" s="248"/>
      <c r="R2215" s="8"/>
      <c r="S2215" s="8"/>
      <c r="T2215" s="8"/>
      <c r="U2215" s="8"/>
      <c r="V2215" s="8"/>
      <c r="W2215" s="8"/>
      <c r="X2215" s="8"/>
      <c r="Y2215" s="145"/>
      <c r="AR2215" s="290"/>
      <c r="AS2215" s="262" t="s">
        <v>5751</v>
      </c>
    </row>
    <row r="2216" spans="1:45" s="17" customFormat="1" ht="12" thickBot="1" x14ac:dyDescent="0.4">
      <c r="A2216" s="256" t="s">
        <v>5419</v>
      </c>
      <c r="B2216" s="50" t="s">
        <v>5420</v>
      </c>
      <c r="C2216" s="21"/>
      <c r="D2216" s="21"/>
      <c r="E2216" s="21"/>
      <c r="F2216" s="21"/>
      <c r="G2216" s="21"/>
      <c r="H2216" s="21"/>
      <c r="J2216" s="18" t="s">
        <v>2473</v>
      </c>
      <c r="K2216" s="18" t="s">
        <v>2473</v>
      </c>
      <c r="M2216" s="248"/>
      <c r="R2216" s="8"/>
      <c r="S2216" s="8"/>
      <c r="T2216" s="8"/>
      <c r="U2216" s="8"/>
      <c r="V2216" s="8"/>
      <c r="W2216" s="8"/>
      <c r="X2216" s="8"/>
      <c r="Y2216" s="145"/>
      <c r="AR2216" s="290"/>
      <c r="AS2216" s="262" t="s">
        <v>5751</v>
      </c>
    </row>
    <row r="2217" spans="1:45" s="17" customFormat="1" ht="12" thickBot="1" x14ac:dyDescent="0.4">
      <c r="A2217" s="256" t="s">
        <v>43</v>
      </c>
      <c r="B2217" s="50" t="s">
        <v>84</v>
      </c>
      <c r="C2217" s="21"/>
      <c r="D2217" s="21"/>
      <c r="E2217" s="21"/>
      <c r="F2217" s="21"/>
      <c r="G2217" s="21"/>
      <c r="H2217" s="21"/>
      <c r="J2217" s="18" t="s">
        <v>2473</v>
      </c>
      <c r="K2217" s="18" t="s">
        <v>2473</v>
      </c>
      <c r="M2217" s="248"/>
      <c r="R2217" s="8"/>
      <c r="S2217" s="8"/>
      <c r="T2217" s="8"/>
      <c r="U2217" s="8"/>
      <c r="V2217" s="8"/>
      <c r="W2217" s="8"/>
      <c r="X2217" s="8"/>
      <c r="Y2217" s="145"/>
      <c r="AR2217" s="290"/>
      <c r="AS2217" s="262" t="s">
        <v>5751</v>
      </c>
    </row>
    <row r="2218" spans="1:45" s="17" customFormat="1" ht="12" thickBot="1" x14ac:dyDescent="0.4">
      <c r="A2218" s="256" t="s">
        <v>5421</v>
      </c>
      <c r="B2218" s="50" t="s">
        <v>5422</v>
      </c>
      <c r="C2218" s="21"/>
      <c r="D2218" s="21"/>
      <c r="E2218" s="21"/>
      <c r="F2218" s="21"/>
      <c r="G2218" s="21"/>
      <c r="H2218" s="21"/>
      <c r="J2218" s="18" t="s">
        <v>2473</v>
      </c>
      <c r="K2218" s="18" t="s">
        <v>2473</v>
      </c>
      <c r="M2218" s="248"/>
      <c r="R2218" s="8"/>
      <c r="S2218" s="8"/>
      <c r="T2218" s="8"/>
      <c r="U2218" s="8"/>
      <c r="V2218" s="8"/>
      <c r="W2218" s="8"/>
      <c r="X2218" s="8"/>
      <c r="Y2218" s="145"/>
      <c r="AR2218" s="290"/>
      <c r="AS2218" s="262" t="s">
        <v>5751</v>
      </c>
    </row>
    <row r="2219" spans="1:45" s="17" customFormat="1" ht="12" thickBot="1" x14ac:dyDescent="0.4">
      <c r="A2219" s="256" t="s">
        <v>43</v>
      </c>
      <c r="B2219" s="50" t="s">
        <v>84</v>
      </c>
      <c r="C2219" s="21"/>
      <c r="D2219" s="21"/>
      <c r="E2219" s="21"/>
      <c r="F2219" s="21"/>
      <c r="G2219" s="21"/>
      <c r="H2219" s="21"/>
      <c r="J2219" s="18" t="s">
        <v>2473</v>
      </c>
      <c r="K2219" s="18" t="s">
        <v>2473</v>
      </c>
      <c r="M2219" s="248"/>
      <c r="R2219" s="8"/>
      <c r="S2219" s="8"/>
      <c r="T2219" s="8"/>
      <c r="U2219" s="8"/>
      <c r="V2219" s="8"/>
      <c r="W2219" s="8"/>
      <c r="X2219" s="8"/>
      <c r="Y2219" s="145"/>
      <c r="AR2219" s="290"/>
      <c r="AS2219" s="262" t="s">
        <v>5751</v>
      </c>
    </row>
    <row r="2220" spans="1:45" s="17" customFormat="1" ht="12" thickBot="1" x14ac:dyDescent="0.4">
      <c r="A2220" s="256" t="s">
        <v>59</v>
      </c>
      <c r="B2220" s="50" t="s">
        <v>5423</v>
      </c>
      <c r="C2220" s="21"/>
      <c r="D2220" s="21"/>
      <c r="E2220" s="21"/>
      <c r="F2220" s="21"/>
      <c r="G2220" s="21"/>
      <c r="H2220" s="21"/>
      <c r="J2220" s="18" t="s">
        <v>2473</v>
      </c>
      <c r="K2220" s="18" t="s">
        <v>2473</v>
      </c>
      <c r="M2220" s="248"/>
      <c r="R2220" s="8"/>
      <c r="S2220" s="8"/>
      <c r="T2220" s="8"/>
      <c r="U2220" s="8"/>
      <c r="V2220" s="8"/>
      <c r="W2220" s="8"/>
      <c r="X2220" s="8"/>
      <c r="Y2220" s="145"/>
      <c r="AR2220" s="290"/>
      <c r="AS2220" s="262" t="s">
        <v>5751</v>
      </c>
    </row>
    <row r="2221" spans="1:45" s="17" customFormat="1" ht="12" thickBot="1" x14ac:dyDescent="0.4">
      <c r="A2221" s="256" t="s">
        <v>4112</v>
      </c>
      <c r="B2221" s="50" t="s">
        <v>5424</v>
      </c>
      <c r="C2221" s="21"/>
      <c r="D2221" s="21"/>
      <c r="E2221" s="21"/>
      <c r="F2221" s="21"/>
      <c r="G2221" s="21"/>
      <c r="H2221" s="21"/>
      <c r="J2221" s="18" t="s">
        <v>2473</v>
      </c>
      <c r="K2221" s="18" t="s">
        <v>2473</v>
      </c>
      <c r="M2221" s="248"/>
      <c r="R2221" s="8"/>
      <c r="S2221" s="8"/>
      <c r="T2221" s="8"/>
      <c r="U2221" s="8"/>
      <c r="V2221" s="8"/>
      <c r="W2221" s="8"/>
      <c r="X2221" s="8"/>
      <c r="Y2221" s="145"/>
      <c r="AR2221" s="290"/>
      <c r="AS2221" s="262" t="s">
        <v>5751</v>
      </c>
    </row>
    <row r="2222" spans="1:45" s="17" customFormat="1" ht="23.65" thickBot="1" x14ac:dyDescent="0.4">
      <c r="A2222" s="256" t="s">
        <v>43</v>
      </c>
      <c r="B2222" s="50" t="s">
        <v>5425</v>
      </c>
      <c r="C2222" s="21"/>
      <c r="D2222" s="21"/>
      <c r="E2222" s="21"/>
      <c r="F2222" s="21"/>
      <c r="G2222" s="21"/>
      <c r="H2222" s="21"/>
      <c r="J2222" s="18" t="s">
        <v>2473</v>
      </c>
      <c r="K2222" s="18" t="s">
        <v>2473</v>
      </c>
      <c r="M2222" s="248"/>
      <c r="R2222" s="8"/>
      <c r="S2222" s="8"/>
      <c r="T2222" s="8"/>
      <c r="U2222" s="8"/>
      <c r="V2222" s="8"/>
      <c r="W2222" s="8"/>
      <c r="X2222" s="8"/>
      <c r="Y2222" s="145"/>
      <c r="AR2222" s="290"/>
      <c r="AS2222" s="262" t="s">
        <v>5751</v>
      </c>
    </row>
    <row r="2223" spans="1:45" s="17" customFormat="1" ht="12" thickBot="1" x14ac:dyDescent="0.4">
      <c r="A2223" s="255" t="s">
        <v>99</v>
      </c>
      <c r="B2223" s="50" t="s">
        <v>5426</v>
      </c>
      <c r="C2223" s="21"/>
      <c r="D2223" s="21"/>
      <c r="E2223" s="21"/>
      <c r="F2223" s="21"/>
      <c r="G2223" s="21"/>
      <c r="H2223" s="21"/>
      <c r="J2223" s="18" t="s">
        <v>2473</v>
      </c>
      <c r="K2223" s="18" t="s">
        <v>2473</v>
      </c>
      <c r="M2223" s="248"/>
      <c r="R2223" s="8"/>
      <c r="S2223" s="8"/>
      <c r="T2223" s="8"/>
      <c r="U2223" s="8"/>
      <c r="V2223" s="8"/>
      <c r="W2223" s="8"/>
      <c r="X2223" s="8"/>
      <c r="Y2223" s="145"/>
      <c r="AR2223" s="290"/>
      <c r="AS2223" s="262" t="s">
        <v>5751</v>
      </c>
    </row>
    <row r="2224" spans="1:45" s="17" customFormat="1" ht="12" thickBot="1" x14ac:dyDescent="0.4">
      <c r="A2224" s="255" t="s">
        <v>114</v>
      </c>
      <c r="B2224" s="50" t="s">
        <v>5427</v>
      </c>
      <c r="C2224" s="21"/>
      <c r="D2224" s="21"/>
      <c r="E2224" s="21"/>
      <c r="F2224" s="21"/>
      <c r="G2224" s="21"/>
      <c r="H2224" s="21"/>
      <c r="J2224" s="18" t="s">
        <v>2473</v>
      </c>
      <c r="K2224" s="18" t="s">
        <v>2473</v>
      </c>
      <c r="M2224" s="248"/>
      <c r="R2224" s="8"/>
      <c r="S2224" s="8"/>
      <c r="T2224" s="8"/>
      <c r="U2224" s="8"/>
      <c r="V2224" s="8"/>
      <c r="W2224" s="8"/>
      <c r="X2224" s="8"/>
      <c r="Y2224" s="145"/>
      <c r="AR2224" s="290"/>
      <c r="AS2224" s="262" t="s">
        <v>5751</v>
      </c>
    </row>
    <row r="2225" spans="1:45" s="17" customFormat="1" ht="12" thickBot="1" x14ac:dyDescent="0.4">
      <c r="A2225" s="255" t="s">
        <v>244</v>
      </c>
      <c r="B2225" s="50" t="s">
        <v>5428</v>
      </c>
      <c r="C2225" s="21"/>
      <c r="D2225" s="21"/>
      <c r="E2225" s="21"/>
      <c r="F2225" s="21"/>
      <c r="G2225" s="21"/>
      <c r="H2225" s="21"/>
      <c r="J2225" s="18" t="s">
        <v>2473</v>
      </c>
      <c r="K2225" s="18" t="s">
        <v>2473</v>
      </c>
      <c r="M2225" s="248"/>
      <c r="R2225" s="8"/>
      <c r="S2225" s="8"/>
      <c r="T2225" s="8"/>
      <c r="U2225" s="8"/>
      <c r="V2225" s="8"/>
      <c r="W2225" s="8"/>
      <c r="X2225" s="8"/>
      <c r="Y2225" s="145"/>
      <c r="AR2225" s="290"/>
      <c r="AS2225" s="262" t="s">
        <v>5751</v>
      </c>
    </row>
    <row r="2226" spans="1:45" s="17" customFormat="1" ht="12" thickBot="1" x14ac:dyDescent="0.4">
      <c r="A2226" s="255" t="s">
        <v>140</v>
      </c>
      <c r="B2226" s="50" t="s">
        <v>5429</v>
      </c>
      <c r="C2226" s="21"/>
      <c r="D2226" s="21"/>
      <c r="E2226" s="21"/>
      <c r="F2226" s="21"/>
      <c r="G2226" s="21"/>
      <c r="H2226" s="21"/>
      <c r="J2226" s="18" t="s">
        <v>2473</v>
      </c>
      <c r="K2226" s="18" t="s">
        <v>2473</v>
      </c>
      <c r="M2226" s="248"/>
      <c r="R2226" s="8"/>
      <c r="S2226" s="8"/>
      <c r="T2226" s="8"/>
      <c r="U2226" s="8"/>
      <c r="V2226" s="8"/>
      <c r="W2226" s="8"/>
      <c r="X2226" s="8"/>
      <c r="Y2226" s="145"/>
      <c r="AR2226" s="290"/>
      <c r="AS2226" s="262" t="s">
        <v>5751</v>
      </c>
    </row>
    <row r="2227" spans="1:45" s="17" customFormat="1" ht="12" thickBot="1" x14ac:dyDescent="0.4">
      <c r="A2227" s="255" t="s">
        <v>136</v>
      </c>
      <c r="B2227" s="50" t="s">
        <v>5430</v>
      </c>
      <c r="C2227" s="21"/>
      <c r="D2227" s="21"/>
      <c r="E2227" s="21"/>
      <c r="F2227" s="21"/>
      <c r="G2227" s="21"/>
      <c r="H2227" s="21"/>
      <c r="J2227" s="18" t="s">
        <v>2473</v>
      </c>
      <c r="K2227" s="18" t="s">
        <v>2473</v>
      </c>
      <c r="M2227" s="248"/>
      <c r="R2227" s="8"/>
      <c r="S2227" s="8"/>
      <c r="T2227" s="8"/>
      <c r="U2227" s="8"/>
      <c r="V2227" s="8"/>
      <c r="W2227" s="8"/>
      <c r="X2227" s="8"/>
      <c r="Y2227" s="145"/>
      <c r="AR2227" s="290"/>
      <c r="AS2227" s="262" t="s">
        <v>5751</v>
      </c>
    </row>
    <row r="2228" spans="1:45" s="17" customFormat="1" ht="51" thickBot="1" x14ac:dyDescent="0.4">
      <c r="A2228" s="255" t="s">
        <v>145</v>
      </c>
      <c r="B2228" s="50" t="s">
        <v>5431</v>
      </c>
      <c r="C2228" s="21"/>
      <c r="D2228" s="21"/>
      <c r="E2228" s="21" t="s">
        <v>10</v>
      </c>
      <c r="F2228" s="21"/>
      <c r="G2228" s="21" t="s">
        <v>10</v>
      </c>
      <c r="H2228" s="21"/>
      <c r="J2228" s="18" t="s">
        <v>2473</v>
      </c>
      <c r="K2228" s="18" t="s">
        <v>2473</v>
      </c>
      <c r="M2228" s="248"/>
      <c r="R2228" s="8"/>
      <c r="S2228" s="8"/>
      <c r="T2228" s="8"/>
      <c r="U2228" s="8"/>
      <c r="V2228" s="8"/>
      <c r="W2228" s="8"/>
      <c r="X2228" s="8"/>
      <c r="Y2228" s="145"/>
      <c r="AR2228" s="290"/>
      <c r="AS2228" s="263" t="s">
        <v>5862</v>
      </c>
    </row>
    <row r="2229" spans="1:45" s="17" customFormat="1" ht="12" thickBot="1" x14ac:dyDescent="0.4">
      <c r="A2229" s="256" t="s">
        <v>5432</v>
      </c>
      <c r="B2229" s="50" t="s">
        <v>5433</v>
      </c>
      <c r="C2229" s="21"/>
      <c r="D2229" s="21"/>
      <c r="E2229" s="21"/>
      <c r="F2229" s="21"/>
      <c r="G2229" s="21"/>
      <c r="H2229" s="21"/>
      <c r="J2229" s="18" t="s">
        <v>2473</v>
      </c>
      <c r="K2229" s="18" t="s">
        <v>2473</v>
      </c>
      <c r="M2229" s="248"/>
      <c r="R2229" s="8"/>
      <c r="S2229" s="8"/>
      <c r="T2229" s="8"/>
      <c r="U2229" s="8"/>
      <c r="V2229" s="8"/>
      <c r="W2229" s="8"/>
      <c r="X2229" s="8"/>
      <c r="Y2229" s="145"/>
      <c r="AR2229" s="290"/>
      <c r="AS2229" s="262" t="s">
        <v>5751</v>
      </c>
    </row>
    <row r="2230" spans="1:45" s="17" customFormat="1" ht="12" thickBot="1" x14ac:dyDescent="0.4">
      <c r="A2230" s="256" t="s">
        <v>5434</v>
      </c>
      <c r="B2230" s="50" t="s">
        <v>5435</v>
      </c>
      <c r="C2230" s="21"/>
      <c r="D2230" s="21"/>
      <c r="E2230" s="21"/>
      <c r="F2230" s="21"/>
      <c r="G2230" s="21"/>
      <c r="H2230" s="21"/>
      <c r="J2230" s="18" t="s">
        <v>2473</v>
      </c>
      <c r="K2230" s="18" t="s">
        <v>2473</v>
      </c>
      <c r="M2230" s="248"/>
      <c r="R2230" s="8"/>
      <c r="S2230" s="8"/>
      <c r="T2230" s="8"/>
      <c r="U2230" s="8"/>
      <c r="V2230" s="8"/>
      <c r="W2230" s="8"/>
      <c r="X2230" s="8"/>
      <c r="Y2230" s="145"/>
      <c r="AR2230" s="290"/>
      <c r="AS2230" s="262" t="s">
        <v>5751</v>
      </c>
    </row>
    <row r="2231" spans="1:45" s="17" customFormat="1" ht="12" thickBot="1" x14ac:dyDescent="0.4">
      <c r="A2231" s="256" t="s">
        <v>1994</v>
      </c>
      <c r="B2231" s="50" t="s">
        <v>5436</v>
      </c>
      <c r="C2231" s="21"/>
      <c r="D2231" s="21"/>
      <c r="E2231" s="21"/>
      <c r="F2231" s="21"/>
      <c r="G2231" s="21"/>
      <c r="H2231" s="21"/>
      <c r="J2231" s="18" t="s">
        <v>2473</v>
      </c>
      <c r="K2231" s="18" t="s">
        <v>2473</v>
      </c>
      <c r="M2231" s="248"/>
      <c r="R2231" s="8"/>
      <c r="S2231" s="8"/>
      <c r="T2231" s="8"/>
      <c r="U2231" s="8"/>
      <c r="V2231" s="8"/>
      <c r="W2231" s="8"/>
      <c r="X2231" s="8"/>
      <c r="Y2231" s="145"/>
      <c r="AR2231" s="290"/>
      <c r="AS2231" s="262" t="s">
        <v>5751</v>
      </c>
    </row>
    <row r="2232" spans="1:45" s="17" customFormat="1" ht="12" thickBot="1" x14ac:dyDescent="0.4">
      <c r="A2232" s="256" t="s">
        <v>5437</v>
      </c>
      <c r="B2232" s="50" t="s">
        <v>5438</v>
      </c>
      <c r="C2232" s="21"/>
      <c r="D2232" s="21"/>
      <c r="E2232" s="21"/>
      <c r="F2232" s="21"/>
      <c r="G2232" s="21"/>
      <c r="H2232" s="21"/>
      <c r="J2232" s="18" t="s">
        <v>2473</v>
      </c>
      <c r="K2232" s="18" t="s">
        <v>2473</v>
      </c>
      <c r="M2232" s="248"/>
      <c r="R2232" s="8"/>
      <c r="S2232" s="8"/>
      <c r="T2232" s="8"/>
      <c r="U2232" s="8"/>
      <c r="V2232" s="8"/>
      <c r="W2232" s="8"/>
      <c r="X2232" s="8"/>
      <c r="Y2232" s="145"/>
      <c r="AR2232" s="290"/>
      <c r="AS2232" s="262" t="s">
        <v>5751</v>
      </c>
    </row>
    <row r="2233" spans="1:45" s="17" customFormat="1" ht="23.65" thickBot="1" x14ac:dyDescent="0.4">
      <c r="A2233" s="256" t="s">
        <v>5439</v>
      </c>
      <c r="B2233" s="50" t="s">
        <v>5440</v>
      </c>
      <c r="C2233" s="21"/>
      <c r="D2233" s="21"/>
      <c r="E2233" s="21"/>
      <c r="F2233" s="21"/>
      <c r="G2233" s="21"/>
      <c r="H2233" s="21"/>
      <c r="J2233" s="18" t="s">
        <v>2473</v>
      </c>
      <c r="K2233" s="18" t="s">
        <v>2473</v>
      </c>
      <c r="M2233" s="248"/>
      <c r="R2233" s="8"/>
      <c r="S2233" s="8"/>
      <c r="T2233" s="8"/>
      <c r="U2233" s="8"/>
      <c r="V2233" s="8"/>
      <c r="W2233" s="8"/>
      <c r="X2233" s="8"/>
      <c r="Y2233" s="145"/>
      <c r="AR2233" s="290"/>
      <c r="AS2233" s="262" t="s">
        <v>5751</v>
      </c>
    </row>
    <row r="2234" spans="1:45" s="17" customFormat="1" ht="12" thickBot="1" x14ac:dyDescent="0.4">
      <c r="A2234" s="256" t="s">
        <v>5441</v>
      </c>
      <c r="B2234" s="50" t="s">
        <v>5442</v>
      </c>
      <c r="C2234" s="21"/>
      <c r="D2234" s="21"/>
      <c r="E2234" s="21"/>
      <c r="F2234" s="21"/>
      <c r="G2234" s="21"/>
      <c r="H2234" s="21"/>
      <c r="J2234" s="18" t="s">
        <v>2473</v>
      </c>
      <c r="K2234" s="18" t="s">
        <v>2473</v>
      </c>
      <c r="M2234" s="248"/>
      <c r="R2234" s="8"/>
      <c r="S2234" s="8"/>
      <c r="T2234" s="8"/>
      <c r="U2234" s="8"/>
      <c r="V2234" s="8"/>
      <c r="W2234" s="8"/>
      <c r="X2234" s="8"/>
      <c r="Y2234" s="145"/>
      <c r="AR2234" s="290"/>
      <c r="AS2234" s="262" t="s">
        <v>5751</v>
      </c>
    </row>
    <row r="2235" spans="1:45" s="17" customFormat="1" ht="12" thickBot="1" x14ac:dyDescent="0.4">
      <c r="A2235" s="256" t="s">
        <v>5443</v>
      </c>
      <c r="B2235" s="50" t="s">
        <v>5444</v>
      </c>
      <c r="C2235" s="21"/>
      <c r="D2235" s="21"/>
      <c r="E2235" s="21"/>
      <c r="F2235" s="21"/>
      <c r="G2235" s="21"/>
      <c r="H2235" s="21"/>
      <c r="J2235" s="18" t="s">
        <v>2473</v>
      </c>
      <c r="K2235" s="18" t="s">
        <v>2473</v>
      </c>
      <c r="M2235" s="248"/>
      <c r="R2235" s="8"/>
      <c r="S2235" s="8"/>
      <c r="T2235" s="8"/>
      <c r="U2235" s="8"/>
      <c r="V2235" s="8"/>
      <c r="W2235" s="8"/>
      <c r="X2235" s="8"/>
      <c r="Y2235" s="145"/>
      <c r="AR2235" s="290"/>
      <c r="AS2235" s="262" t="s">
        <v>5751</v>
      </c>
    </row>
    <row r="2236" spans="1:45" s="17" customFormat="1" ht="12" thickBot="1" x14ac:dyDescent="0.4">
      <c r="A2236" s="256" t="s">
        <v>1994</v>
      </c>
      <c r="B2236" s="50" t="s">
        <v>84</v>
      </c>
      <c r="C2236" s="21"/>
      <c r="D2236" s="21"/>
      <c r="E2236" s="21"/>
      <c r="F2236" s="21"/>
      <c r="G2236" s="21"/>
      <c r="H2236" s="21"/>
      <c r="J2236" s="18" t="s">
        <v>2473</v>
      </c>
      <c r="K2236" s="18" t="s">
        <v>2473</v>
      </c>
      <c r="M2236" s="248"/>
      <c r="R2236" s="8"/>
      <c r="S2236" s="8"/>
      <c r="T2236" s="8"/>
      <c r="U2236" s="8"/>
      <c r="V2236" s="8"/>
      <c r="W2236" s="8"/>
      <c r="X2236" s="8"/>
      <c r="Y2236" s="145"/>
      <c r="AR2236" s="290"/>
      <c r="AS2236" s="262" t="s">
        <v>5751</v>
      </c>
    </row>
    <row r="2237" spans="1:45" s="17" customFormat="1" ht="12" thickBot="1" x14ac:dyDescent="0.4">
      <c r="A2237" s="256" t="s">
        <v>5445</v>
      </c>
      <c r="B2237" s="50" t="s">
        <v>5446</v>
      </c>
      <c r="C2237" s="21"/>
      <c r="D2237" s="21"/>
      <c r="E2237" s="21"/>
      <c r="F2237" s="21"/>
      <c r="G2237" s="21"/>
      <c r="H2237" s="21"/>
      <c r="J2237" s="18" t="s">
        <v>2473</v>
      </c>
      <c r="K2237" s="18" t="s">
        <v>2473</v>
      </c>
      <c r="M2237" s="248"/>
      <c r="R2237" s="8"/>
      <c r="S2237" s="8"/>
      <c r="T2237" s="8"/>
      <c r="U2237" s="8"/>
      <c r="V2237" s="8"/>
      <c r="W2237" s="8"/>
      <c r="X2237" s="8"/>
      <c r="Y2237" s="145"/>
      <c r="AR2237" s="290"/>
      <c r="AS2237" s="262" t="s">
        <v>5751</v>
      </c>
    </row>
    <row r="2238" spans="1:45" s="17" customFormat="1" ht="23.65" thickBot="1" x14ac:dyDescent="0.4">
      <c r="A2238" s="256" t="s">
        <v>5447</v>
      </c>
      <c r="B2238" s="50" t="s">
        <v>5448</v>
      </c>
      <c r="C2238" s="21"/>
      <c r="D2238" s="21"/>
      <c r="E2238" s="21"/>
      <c r="F2238" s="21"/>
      <c r="G2238" s="21"/>
      <c r="H2238" s="21"/>
      <c r="J2238" s="18" t="s">
        <v>2473</v>
      </c>
      <c r="K2238" s="18" t="s">
        <v>2473</v>
      </c>
      <c r="M2238" s="248"/>
      <c r="R2238" s="8"/>
      <c r="S2238" s="8"/>
      <c r="T2238" s="8"/>
      <c r="U2238" s="8"/>
      <c r="V2238" s="8"/>
      <c r="W2238" s="8"/>
      <c r="X2238" s="8"/>
      <c r="Y2238" s="145"/>
      <c r="AR2238" s="290"/>
      <c r="AS2238" s="262" t="s">
        <v>5751</v>
      </c>
    </row>
    <row r="2239" spans="1:45" s="17" customFormat="1" ht="12" thickBot="1" x14ac:dyDescent="0.4">
      <c r="A2239" s="256" t="s">
        <v>5449</v>
      </c>
      <c r="B2239" s="50" t="s">
        <v>5450</v>
      </c>
      <c r="C2239" s="21"/>
      <c r="D2239" s="21"/>
      <c r="E2239" s="21"/>
      <c r="F2239" s="21"/>
      <c r="G2239" s="21"/>
      <c r="H2239" s="21"/>
      <c r="J2239" s="18" t="s">
        <v>2473</v>
      </c>
      <c r="K2239" s="18" t="s">
        <v>2473</v>
      </c>
      <c r="M2239" s="248"/>
      <c r="R2239" s="8"/>
      <c r="S2239" s="8"/>
      <c r="T2239" s="8"/>
      <c r="U2239" s="8"/>
      <c r="V2239" s="8"/>
      <c r="W2239" s="8"/>
      <c r="X2239" s="8"/>
      <c r="Y2239" s="145"/>
      <c r="AR2239" s="290"/>
      <c r="AS2239" s="262" t="s">
        <v>5751</v>
      </c>
    </row>
    <row r="2240" spans="1:45" s="17" customFormat="1" ht="40.9" thickBot="1" x14ac:dyDescent="0.4">
      <c r="A2240" s="256" t="s">
        <v>5361</v>
      </c>
      <c r="B2240" s="50" t="s">
        <v>5451</v>
      </c>
      <c r="C2240" s="21"/>
      <c r="D2240" s="21"/>
      <c r="E2240" s="21" t="s">
        <v>10</v>
      </c>
      <c r="F2240" s="21"/>
      <c r="G2240" s="21" t="s">
        <v>10</v>
      </c>
      <c r="H2240" s="21"/>
      <c r="J2240" s="18" t="s">
        <v>2473</v>
      </c>
      <c r="K2240" s="18" t="s">
        <v>2473</v>
      </c>
      <c r="M2240" s="248"/>
      <c r="R2240" s="8"/>
      <c r="S2240" s="8"/>
      <c r="T2240" s="8"/>
      <c r="U2240" s="8"/>
      <c r="V2240" s="8"/>
      <c r="W2240" s="8"/>
      <c r="X2240" s="8"/>
      <c r="Y2240" s="145"/>
      <c r="AR2240" s="290"/>
      <c r="AS2240" s="262" t="s">
        <v>5843</v>
      </c>
    </row>
    <row r="2241" spans="1:48" s="17" customFormat="1" ht="23.65" thickBot="1" x14ac:dyDescent="0.4">
      <c r="A2241" s="256" t="s">
        <v>5360</v>
      </c>
      <c r="B2241" s="50" t="s">
        <v>5452</v>
      </c>
      <c r="C2241" s="21"/>
      <c r="D2241" s="21"/>
      <c r="E2241" s="21"/>
      <c r="F2241" s="21"/>
      <c r="G2241" s="21"/>
      <c r="H2241" s="21"/>
      <c r="J2241" s="18" t="s">
        <v>2473</v>
      </c>
      <c r="K2241" s="18" t="s">
        <v>2473</v>
      </c>
      <c r="M2241" s="248"/>
      <c r="R2241" s="8"/>
      <c r="S2241" s="8"/>
      <c r="T2241" s="8"/>
      <c r="U2241" s="8"/>
      <c r="V2241" s="8"/>
      <c r="W2241" s="8"/>
      <c r="X2241" s="8"/>
      <c r="Y2241" s="145"/>
      <c r="AR2241" s="290"/>
      <c r="AS2241" s="262" t="s">
        <v>5751</v>
      </c>
    </row>
    <row r="2242" spans="1:48" s="17" customFormat="1" ht="12" thickBot="1" x14ac:dyDescent="0.4">
      <c r="A2242" s="256" t="s">
        <v>59</v>
      </c>
      <c r="B2242" s="50" t="s">
        <v>5423</v>
      </c>
      <c r="C2242" s="21"/>
      <c r="D2242" s="21"/>
      <c r="E2242" s="21"/>
      <c r="F2242" s="21"/>
      <c r="G2242" s="21"/>
      <c r="H2242" s="21"/>
      <c r="J2242" s="18" t="s">
        <v>2473</v>
      </c>
      <c r="K2242" s="18" t="s">
        <v>2473</v>
      </c>
      <c r="M2242" s="248"/>
      <c r="R2242" s="8"/>
      <c r="S2242" s="8"/>
      <c r="T2242" s="8"/>
      <c r="U2242" s="8"/>
      <c r="V2242" s="8"/>
      <c r="W2242" s="8"/>
      <c r="X2242" s="8"/>
      <c r="Y2242" s="145"/>
      <c r="AR2242" s="290"/>
      <c r="AS2242" s="262" t="s">
        <v>5751</v>
      </c>
    </row>
    <row r="2243" spans="1:48" s="17" customFormat="1" ht="23.65" thickBot="1" x14ac:dyDescent="0.4">
      <c r="A2243" s="256" t="s">
        <v>2575</v>
      </c>
      <c r="B2243" s="50" t="s">
        <v>5453</v>
      </c>
      <c r="C2243" s="21"/>
      <c r="D2243" s="21"/>
      <c r="E2243" s="21"/>
      <c r="F2243" s="21"/>
      <c r="G2243" s="21"/>
      <c r="H2243" s="21"/>
      <c r="J2243" s="18" t="s">
        <v>2473</v>
      </c>
      <c r="K2243" s="18" t="s">
        <v>2473</v>
      </c>
      <c r="M2243" s="248"/>
      <c r="R2243" s="8"/>
      <c r="S2243" s="8"/>
      <c r="T2243" s="8"/>
      <c r="U2243" s="8"/>
      <c r="V2243" s="8"/>
      <c r="W2243" s="8"/>
      <c r="X2243" s="8"/>
      <c r="Y2243" s="145"/>
      <c r="AR2243" s="290"/>
      <c r="AS2243" s="262" t="s">
        <v>5751</v>
      </c>
    </row>
    <row r="2244" spans="1:48" s="17" customFormat="1" ht="12" thickBot="1" x14ac:dyDescent="0.4">
      <c r="A2244" s="255" t="s">
        <v>5454</v>
      </c>
      <c r="B2244" s="50" t="s">
        <v>5455</v>
      </c>
      <c r="C2244" s="21"/>
      <c r="D2244" s="21"/>
      <c r="E2244" s="21"/>
      <c r="F2244" s="21"/>
      <c r="G2244" s="21"/>
      <c r="H2244" s="21"/>
      <c r="J2244" s="18" t="s">
        <v>2473</v>
      </c>
      <c r="K2244" s="18" t="s">
        <v>2473</v>
      </c>
      <c r="M2244" s="248"/>
      <c r="R2244" s="8"/>
      <c r="S2244" s="8"/>
      <c r="T2244" s="8"/>
      <c r="U2244" s="8"/>
      <c r="V2244" s="8"/>
      <c r="W2244" s="8"/>
      <c r="X2244" s="8"/>
      <c r="Y2244" s="145"/>
      <c r="AR2244" s="290"/>
      <c r="AS2244" s="262" t="s">
        <v>5751</v>
      </c>
    </row>
    <row r="2245" spans="1:48" s="17" customFormat="1" ht="12" thickBot="1" x14ac:dyDescent="0.4">
      <c r="A2245" s="256" t="s">
        <v>5456</v>
      </c>
      <c r="B2245" s="50" t="s">
        <v>5457</v>
      </c>
      <c r="C2245" s="21"/>
      <c r="D2245" s="21"/>
      <c r="E2245" s="21"/>
      <c r="F2245" s="21"/>
      <c r="G2245" s="21"/>
      <c r="H2245" s="21"/>
      <c r="J2245" s="18" t="s">
        <v>2473</v>
      </c>
      <c r="K2245" s="18" t="s">
        <v>2473</v>
      </c>
      <c r="M2245" s="248"/>
      <c r="R2245" s="8"/>
      <c r="S2245" s="8"/>
      <c r="T2245" s="8"/>
      <c r="U2245" s="8"/>
      <c r="V2245" s="8"/>
      <c r="W2245" s="8"/>
      <c r="X2245" s="8"/>
      <c r="Y2245" s="145"/>
      <c r="AR2245" s="290"/>
      <c r="AS2245" s="262" t="s">
        <v>5751</v>
      </c>
    </row>
    <row r="2246" spans="1:48" s="17" customFormat="1" ht="12" thickBot="1" x14ac:dyDescent="0.4">
      <c r="A2246" s="256" t="s">
        <v>5458</v>
      </c>
      <c r="B2246" s="50" t="s">
        <v>5459</v>
      </c>
      <c r="C2246" s="21"/>
      <c r="D2246" s="21"/>
      <c r="E2246" s="21"/>
      <c r="F2246" s="21"/>
      <c r="G2246" s="21"/>
      <c r="H2246" s="21"/>
      <c r="J2246" s="18" t="s">
        <v>2473</v>
      </c>
      <c r="K2246" s="18" t="s">
        <v>2473</v>
      </c>
      <c r="M2246" s="248"/>
      <c r="R2246" s="8"/>
      <c r="S2246" s="8"/>
      <c r="T2246" s="8"/>
      <c r="U2246" s="8"/>
      <c r="V2246" s="8"/>
      <c r="W2246" s="8"/>
      <c r="X2246" s="8"/>
      <c r="Y2246" s="145"/>
      <c r="AR2246" s="290"/>
      <c r="AS2246" s="262" t="s">
        <v>5751</v>
      </c>
    </row>
    <row r="2247" spans="1:48" s="17" customFormat="1" ht="35.25" thickBot="1" x14ac:dyDescent="0.4">
      <c r="A2247" s="255" t="s">
        <v>5460</v>
      </c>
      <c r="B2247" s="50" t="s">
        <v>5461</v>
      </c>
      <c r="C2247" s="21"/>
      <c r="D2247" s="21"/>
      <c r="E2247" s="21"/>
      <c r="F2247" s="21"/>
      <c r="G2247" s="21"/>
      <c r="H2247" s="21"/>
      <c r="J2247" s="18" t="s">
        <v>2473</v>
      </c>
      <c r="K2247" s="18" t="s">
        <v>2473</v>
      </c>
      <c r="M2247" s="248"/>
      <c r="R2247" s="8"/>
      <c r="S2247" s="8"/>
      <c r="T2247" s="8"/>
      <c r="U2247" s="8"/>
      <c r="V2247" s="8"/>
      <c r="W2247" s="8"/>
      <c r="X2247" s="8"/>
      <c r="Y2247" s="145"/>
      <c r="AR2247" s="290"/>
      <c r="AS2247" s="262" t="s">
        <v>5751</v>
      </c>
    </row>
    <row r="2248" spans="1:48" s="17" customFormat="1" ht="12" thickBot="1" x14ac:dyDescent="0.4">
      <c r="A2248" s="255" t="s">
        <v>161</v>
      </c>
      <c r="B2248" s="50" t="s">
        <v>5462</v>
      </c>
      <c r="C2248" s="21"/>
      <c r="D2248" s="21"/>
      <c r="E2248" s="21"/>
      <c r="F2248" s="21"/>
      <c r="G2248" s="21"/>
      <c r="H2248" s="21"/>
      <c r="J2248" s="18" t="s">
        <v>2473</v>
      </c>
      <c r="K2248" s="18" t="s">
        <v>2473</v>
      </c>
      <c r="M2248" s="248"/>
      <c r="R2248" s="8"/>
      <c r="S2248" s="8"/>
      <c r="T2248" s="8"/>
      <c r="U2248" s="8"/>
      <c r="V2248" s="8"/>
      <c r="W2248" s="8"/>
      <c r="X2248" s="8"/>
      <c r="Y2248" s="145"/>
      <c r="AR2248" s="290"/>
      <c r="AS2248" s="262" t="s">
        <v>5751</v>
      </c>
    </row>
    <row r="2249" spans="1:48" s="17" customFormat="1" ht="11.65" x14ac:dyDescent="0.35">
      <c r="A2249" s="33" t="s">
        <v>5873</v>
      </c>
      <c r="C2249" s="18"/>
      <c r="D2249" s="18"/>
      <c r="E2249" s="18"/>
      <c r="F2249" s="18"/>
      <c r="G2249" s="18"/>
      <c r="H2249" s="18"/>
      <c r="I2249" s="18"/>
      <c r="J2249" s="18" t="s">
        <v>2473</v>
      </c>
      <c r="K2249" s="18" t="s">
        <v>2473</v>
      </c>
      <c r="L2249" s="18" t="s">
        <v>2335</v>
      </c>
      <c r="M2249" s="145"/>
      <c r="N2249" s="8"/>
      <c r="O2249" s="8"/>
      <c r="P2249" s="8"/>
      <c r="Q2249" s="8"/>
      <c r="R2249" s="8"/>
      <c r="S2249" s="8"/>
      <c r="T2249" s="8"/>
      <c r="U2249" s="8"/>
      <c r="V2249" s="8"/>
      <c r="W2249" s="8"/>
      <c r="X2249" s="8"/>
      <c r="Y2249" s="145"/>
      <c r="Z2249" s="8"/>
      <c r="AA2249" s="8"/>
      <c r="AB2249" s="8"/>
      <c r="AC2249" s="8"/>
      <c r="AD2249" s="8"/>
      <c r="AE2249" s="154"/>
      <c r="AF2249" s="154"/>
      <c r="AG2249" s="8"/>
      <c r="AH2249" s="8"/>
      <c r="AI2249" s="8"/>
      <c r="AJ2249" s="8"/>
      <c r="AK2249" s="8"/>
      <c r="AL2249" s="8"/>
      <c r="AM2249" s="8"/>
      <c r="AN2249" s="8"/>
      <c r="AO2249" s="8"/>
      <c r="AP2249" s="8"/>
      <c r="AQ2249" s="8"/>
      <c r="AR2249" s="284"/>
      <c r="AS2249" s="262" t="s">
        <v>5751</v>
      </c>
      <c r="AT2249" s="8"/>
      <c r="AU2249" s="6"/>
      <c r="AV2249" s="6" t="str">
        <f t="shared" ref="AV2249:AV2259" si="44">IF(A2249&lt;&gt;"",IF(T2249&lt;&gt;"",IF(LEFT(R2249,3)="Has",IF(TRIM(A2249)&lt;&gt;T2249,"ERROR","OK"),""),""),"")</f>
        <v/>
      </c>
    </row>
    <row r="2250" spans="1:48" s="17" customFormat="1" ht="11.65" x14ac:dyDescent="0.35">
      <c r="A2250" s="34" t="s">
        <v>5740</v>
      </c>
      <c r="C2250" s="18"/>
      <c r="D2250" s="18"/>
      <c r="E2250" s="18"/>
      <c r="F2250" s="18"/>
      <c r="G2250" s="18"/>
      <c r="H2250" s="18"/>
      <c r="I2250" s="18"/>
      <c r="J2250" s="18" t="s">
        <v>2473</v>
      </c>
      <c r="K2250" s="18" t="s">
        <v>2473</v>
      </c>
      <c r="L2250" s="18" t="s">
        <v>2335</v>
      </c>
      <c r="M2250" s="145"/>
      <c r="N2250" s="8"/>
      <c r="O2250" s="8"/>
      <c r="P2250" s="8"/>
      <c r="Q2250" s="8"/>
      <c r="R2250" s="8"/>
      <c r="S2250" s="8"/>
      <c r="T2250" s="8"/>
      <c r="U2250" s="8"/>
      <c r="V2250" s="8"/>
      <c r="W2250" s="8"/>
      <c r="X2250" s="8"/>
      <c r="Y2250" s="145"/>
      <c r="Z2250" s="8"/>
      <c r="AA2250" s="8"/>
      <c r="AB2250" s="8"/>
      <c r="AC2250" s="8"/>
      <c r="AD2250" s="8"/>
      <c r="AE2250" s="154"/>
      <c r="AF2250" s="154"/>
      <c r="AG2250" s="8"/>
      <c r="AH2250" s="8"/>
      <c r="AI2250" s="8"/>
      <c r="AJ2250" s="8"/>
      <c r="AK2250" s="8"/>
      <c r="AL2250" s="8"/>
      <c r="AM2250" s="8"/>
      <c r="AN2250" s="8"/>
      <c r="AO2250" s="8"/>
      <c r="AP2250" s="8"/>
      <c r="AQ2250" s="8"/>
      <c r="AR2250" s="284"/>
      <c r="AS2250" s="262" t="s">
        <v>5751</v>
      </c>
      <c r="AT2250" s="8"/>
      <c r="AU2250" s="6"/>
      <c r="AV2250" s="6" t="str">
        <f t="shared" si="44"/>
        <v/>
      </c>
    </row>
    <row r="2251" spans="1:48" s="76" customFormat="1" ht="11.65" x14ac:dyDescent="0.35">
      <c r="A2251" s="75"/>
      <c r="C2251" s="77"/>
      <c r="D2251" s="77"/>
      <c r="E2251" s="77"/>
      <c r="F2251" s="77"/>
      <c r="G2251" s="77"/>
      <c r="H2251" s="77"/>
      <c r="I2251" s="77"/>
      <c r="J2251" s="77"/>
      <c r="K2251" s="77"/>
      <c r="L2251" s="77"/>
      <c r="M2251" s="148"/>
      <c r="N2251" s="78"/>
      <c r="O2251" s="78"/>
      <c r="P2251" s="78"/>
      <c r="Q2251" s="78"/>
      <c r="R2251" s="78"/>
      <c r="S2251" s="78"/>
      <c r="T2251" s="78"/>
      <c r="U2251" s="78"/>
      <c r="V2251" s="78"/>
      <c r="W2251" s="78"/>
      <c r="X2251" s="78"/>
      <c r="Y2251" s="148"/>
      <c r="Z2251" s="78"/>
      <c r="AA2251" s="78"/>
      <c r="AB2251" s="78"/>
      <c r="AC2251" s="78"/>
      <c r="AD2251" s="78"/>
      <c r="AE2251" s="156"/>
      <c r="AF2251" s="156"/>
      <c r="AG2251" s="78"/>
      <c r="AH2251" s="78"/>
      <c r="AI2251" s="78"/>
      <c r="AJ2251" s="78"/>
      <c r="AK2251" s="78"/>
      <c r="AL2251" s="78"/>
      <c r="AM2251" s="78"/>
      <c r="AN2251" s="78"/>
      <c r="AO2251" s="78"/>
      <c r="AP2251" s="78"/>
      <c r="AQ2251" s="78"/>
      <c r="AR2251" s="286"/>
      <c r="AS2251" s="78"/>
      <c r="AT2251" s="78"/>
      <c r="AU2251" s="8"/>
      <c r="AV2251" s="6" t="str">
        <f t="shared" si="44"/>
        <v/>
      </c>
    </row>
    <row r="2252" spans="1:48" s="17" customFormat="1" ht="11.65" x14ac:dyDescent="0.35">
      <c r="A2252" s="27" t="s">
        <v>5842</v>
      </c>
      <c r="C2252" s="18"/>
      <c r="D2252" s="18"/>
      <c r="E2252" s="18"/>
      <c r="F2252" s="18"/>
      <c r="G2252" s="18"/>
      <c r="H2252" s="18"/>
      <c r="J2252" s="18" t="s">
        <v>2473</v>
      </c>
      <c r="K2252" s="18" t="s">
        <v>2473</v>
      </c>
      <c r="M2252" s="145"/>
      <c r="N2252" s="8"/>
      <c r="O2252" s="8"/>
      <c r="P2252" s="8"/>
      <c r="Q2252" s="8"/>
      <c r="R2252" s="8"/>
      <c r="S2252" s="8"/>
      <c r="T2252" s="8"/>
      <c r="U2252" s="8"/>
      <c r="V2252" s="8"/>
      <c r="W2252" s="8"/>
      <c r="X2252" s="8"/>
      <c r="Y2252" s="145"/>
      <c r="Z2252" s="185"/>
      <c r="AA2252" s="185"/>
      <c r="AB2252" s="185"/>
      <c r="AC2252" s="185"/>
      <c r="AD2252" s="185"/>
      <c r="AE2252" s="186"/>
      <c r="AF2252" s="186"/>
      <c r="AG2252" s="185"/>
      <c r="AH2252" s="185"/>
      <c r="AI2252" s="185"/>
      <c r="AJ2252" s="185"/>
      <c r="AK2252" s="185"/>
      <c r="AL2252" s="185"/>
      <c r="AM2252" s="185"/>
      <c r="AN2252" s="185"/>
      <c r="AO2252" s="185"/>
      <c r="AP2252" s="185"/>
      <c r="AQ2252" s="185"/>
      <c r="AR2252" s="291"/>
      <c r="AS2252" s="262" t="s">
        <v>5751</v>
      </c>
      <c r="AT2252" s="185"/>
      <c r="AU2252" s="6"/>
      <c r="AV2252" s="6" t="str">
        <f t="shared" si="44"/>
        <v/>
      </c>
    </row>
    <row r="2253" spans="1:48" s="17" customFormat="1" ht="14" customHeight="1" x14ac:dyDescent="0.35">
      <c r="A2253" s="323" t="s">
        <v>5464</v>
      </c>
      <c r="B2253" s="324"/>
      <c r="C2253" s="324"/>
      <c r="D2253" s="324"/>
      <c r="E2253" s="324"/>
      <c r="F2253" s="324"/>
      <c r="G2253" s="101"/>
      <c r="H2253" s="101"/>
      <c r="J2253" s="18" t="s">
        <v>2473</v>
      </c>
      <c r="K2253" s="18" t="s">
        <v>2473</v>
      </c>
      <c r="M2253" s="145"/>
      <c r="N2253" s="8"/>
      <c r="O2253" s="8"/>
      <c r="P2253" s="8"/>
      <c r="Q2253" s="8"/>
      <c r="R2253" s="8"/>
      <c r="S2253" s="8"/>
      <c r="T2253" s="8"/>
      <c r="U2253" s="8"/>
      <c r="V2253" s="8"/>
      <c r="W2253" s="8"/>
      <c r="X2253" s="8"/>
      <c r="Y2253" s="145"/>
      <c r="Z2253" s="183"/>
      <c r="AA2253" s="183"/>
      <c r="AB2253" s="183"/>
      <c r="AC2253" s="183"/>
      <c r="AD2253" s="183"/>
      <c r="AE2253" s="184"/>
      <c r="AF2253" s="184"/>
      <c r="AG2253" s="183"/>
      <c r="AH2253" s="183"/>
      <c r="AI2253" s="183"/>
      <c r="AJ2253" s="183"/>
      <c r="AK2253" s="183"/>
      <c r="AL2253" s="183"/>
      <c r="AM2253" s="183"/>
      <c r="AN2253" s="183"/>
      <c r="AO2253" s="183"/>
      <c r="AP2253" s="183"/>
      <c r="AQ2253" s="183"/>
      <c r="AR2253" s="292"/>
      <c r="AS2253" s="262" t="s">
        <v>5751</v>
      </c>
      <c r="AT2253" s="183"/>
      <c r="AU2253" s="6"/>
      <c r="AV2253" s="6" t="str">
        <f t="shared" si="44"/>
        <v/>
      </c>
    </row>
    <row r="2254" spans="1:48" s="17" customFormat="1" ht="12" thickBot="1" x14ac:dyDescent="0.4">
      <c r="A2254" s="28" t="s">
        <v>1748</v>
      </c>
      <c r="C2254" s="18"/>
      <c r="D2254" s="18"/>
      <c r="E2254" s="18"/>
      <c r="F2254" s="18"/>
      <c r="G2254" s="18"/>
      <c r="H2254" s="18"/>
      <c r="J2254" s="18" t="s">
        <v>2473</v>
      </c>
      <c r="K2254" s="18" t="s">
        <v>2473</v>
      </c>
      <c r="M2254" s="145"/>
      <c r="N2254" s="8"/>
      <c r="O2254" s="8"/>
      <c r="P2254" s="8"/>
      <c r="Q2254" s="8"/>
      <c r="R2254" s="8"/>
      <c r="S2254" s="8"/>
      <c r="T2254" s="8"/>
      <c r="U2254" s="8"/>
      <c r="V2254" s="8"/>
      <c r="W2254" s="8"/>
      <c r="X2254" s="8"/>
      <c r="Y2254" s="145"/>
      <c r="Z2254" s="183"/>
      <c r="AA2254" s="183" t="s">
        <v>2322</v>
      </c>
      <c r="AB2254" s="183" t="s">
        <v>1697</v>
      </c>
      <c r="AC2254" s="183" t="s">
        <v>5</v>
      </c>
      <c r="AD2254" s="183"/>
      <c r="AE2254" s="184"/>
      <c r="AF2254" s="184"/>
      <c r="AG2254" s="183"/>
      <c r="AH2254" s="183"/>
      <c r="AI2254" s="183"/>
      <c r="AJ2254" s="183"/>
      <c r="AK2254" s="183"/>
      <c r="AL2254" s="183"/>
      <c r="AM2254" s="183"/>
      <c r="AN2254" s="183"/>
      <c r="AO2254" s="183"/>
      <c r="AP2254" s="183"/>
      <c r="AQ2254" s="183"/>
      <c r="AR2254" s="292"/>
      <c r="AS2254" s="262" t="s">
        <v>5751</v>
      </c>
      <c r="AT2254" s="183"/>
      <c r="AU2254" s="6"/>
      <c r="AV2254" s="6" t="str">
        <f t="shared" si="44"/>
        <v/>
      </c>
    </row>
    <row r="2255" spans="1:48" s="17" customFormat="1" ht="93.4" thickBot="1" x14ac:dyDescent="0.4">
      <c r="A2255" s="309" t="s">
        <v>5725</v>
      </c>
      <c r="B2255" s="310"/>
      <c r="C2255" s="301" t="s">
        <v>1</v>
      </c>
      <c r="D2255" s="319"/>
      <c r="E2255" s="319"/>
      <c r="F2255" s="302"/>
      <c r="G2255" s="102"/>
      <c r="H2255" s="102"/>
      <c r="J2255" s="18" t="s">
        <v>2473</v>
      </c>
      <c r="K2255" s="18" t="s">
        <v>2473</v>
      </c>
      <c r="M2255" s="145"/>
      <c r="N2255" s="8"/>
      <c r="O2255" s="8"/>
      <c r="P2255" s="8"/>
      <c r="Q2255" s="8"/>
      <c r="R2255" s="8"/>
      <c r="S2255" s="8"/>
      <c r="T2255" s="8"/>
      <c r="U2255" s="8"/>
      <c r="V2255" s="8"/>
      <c r="W2255" s="8"/>
      <c r="X2255" s="8"/>
      <c r="Y2255" s="145"/>
      <c r="Z2255" s="8"/>
      <c r="AA2255" s="183" t="str">
        <f>LEFT($A2255,FIND(" ",$A2255)-1)</f>
        <v>PowerSubsystem</v>
      </c>
      <c r="AB2255" s="183" t="str">
        <f>MID($A2255,FIND("(",$A2255)+1,LEN($A2255)-FIND("(",$A2255)-1)</f>
        <v>1.1.0</v>
      </c>
      <c r="AC2255" s="101" t="str">
        <f>A2253</f>
        <v>This PowerSubsystem schema contains the definition for the power subsystem of a chassis.</v>
      </c>
      <c r="AD2255" s="8"/>
      <c r="AE2255" s="154"/>
      <c r="AF2255" s="154"/>
      <c r="AG2255" s="8"/>
      <c r="AH2255" s="8"/>
      <c r="AI2255" s="8"/>
      <c r="AJ2255" s="8"/>
      <c r="AK2255" s="8"/>
      <c r="AL2255" s="8"/>
      <c r="AM2255" s="8"/>
      <c r="AN2255" s="8"/>
      <c r="AO2255" s="8"/>
      <c r="AP2255" s="8"/>
      <c r="AQ2255" s="8"/>
      <c r="AR2255" s="284"/>
      <c r="AS2255" s="262" t="s">
        <v>5751</v>
      </c>
      <c r="AT2255" s="8"/>
      <c r="AU2255" s="6"/>
      <c r="AV2255" s="6" t="str">
        <f t="shared" si="44"/>
        <v/>
      </c>
    </row>
    <row r="2256" spans="1:48" s="17" customFormat="1" ht="12" thickBot="1" x14ac:dyDescent="0.4">
      <c r="A2256" s="311"/>
      <c r="B2256" s="312"/>
      <c r="C2256" s="301" t="s">
        <v>2</v>
      </c>
      <c r="D2256" s="302"/>
      <c r="E2256" s="301" t="s">
        <v>3</v>
      </c>
      <c r="F2256" s="302"/>
      <c r="G2256" s="301" t="s">
        <v>2896</v>
      </c>
      <c r="H2256" s="302"/>
      <c r="I2256" s="18"/>
      <c r="J2256" s="18" t="s">
        <v>2473</v>
      </c>
      <c r="K2256" s="18" t="s">
        <v>2473</v>
      </c>
      <c r="L2256" s="18"/>
      <c r="M2256" s="145"/>
      <c r="N2256" s="8"/>
      <c r="O2256" s="8"/>
      <c r="P2256" s="8"/>
      <c r="Q2256" s="8"/>
      <c r="R2256" s="8"/>
      <c r="S2256" s="8"/>
      <c r="T2256" s="8"/>
      <c r="U2256" s="8"/>
      <c r="V2256" s="8"/>
      <c r="W2256" s="8"/>
      <c r="X2256" s="8"/>
      <c r="Y2256" s="145"/>
      <c r="Z2256" s="8"/>
      <c r="AA2256" s="8"/>
      <c r="AB2256" s="8"/>
      <c r="AC2256" s="8"/>
      <c r="AD2256" s="8"/>
      <c r="AE2256" s="154"/>
      <c r="AF2256" s="154"/>
      <c r="AG2256" s="8"/>
      <c r="AH2256" s="8"/>
      <c r="AI2256" s="8"/>
      <c r="AJ2256" s="8"/>
      <c r="AK2256" s="8"/>
      <c r="AL2256" s="8"/>
      <c r="AM2256" s="8" t="str">
        <f>C2256</f>
        <v>OSM-Redfish</v>
      </c>
      <c r="AN2256" s="8" t="str">
        <f>E2256</f>
        <v>OSM-RedfishBMC</v>
      </c>
      <c r="AO2256" s="8" t="str">
        <f>G2256</f>
        <v>OSM-RedfishDCN</v>
      </c>
      <c r="AP2256" s="8"/>
      <c r="AQ2256" s="8"/>
      <c r="AR2256" s="284"/>
      <c r="AS2256" s="262" t="s">
        <v>5751</v>
      </c>
      <c r="AT2256" s="8"/>
      <c r="AU2256" s="6"/>
      <c r="AV2256" s="6" t="str">
        <f t="shared" si="44"/>
        <v/>
      </c>
    </row>
    <row r="2257" spans="1:48" s="17" customFormat="1" ht="12" thickBot="1" x14ac:dyDescent="0.4">
      <c r="A2257" s="46" t="s">
        <v>2377</v>
      </c>
      <c r="B2257" s="47"/>
      <c r="C2257" s="303" t="s">
        <v>13</v>
      </c>
      <c r="D2257" s="304"/>
      <c r="E2257" s="303" t="s">
        <v>13</v>
      </c>
      <c r="F2257" s="304"/>
      <c r="G2257" s="303" t="s">
        <v>13</v>
      </c>
      <c r="H2257" s="304"/>
      <c r="I2257" s="18"/>
      <c r="J2257" s="18" t="s">
        <v>2473</v>
      </c>
      <c r="K2257" s="18" t="s">
        <v>2473</v>
      </c>
      <c r="L2257" s="18"/>
      <c r="M2257" s="145"/>
      <c r="N2257" s="8"/>
      <c r="O2257" s="8"/>
      <c r="P2257" s="8"/>
      <c r="Q2257" s="8"/>
      <c r="R2257" s="8"/>
      <c r="S2257" s="8"/>
      <c r="T2257" s="8"/>
      <c r="U2257" s="8"/>
      <c r="V2257" s="8"/>
      <c r="W2257" s="8"/>
      <c r="X2257" s="8"/>
      <c r="Y2257" s="145"/>
      <c r="Z2257" s="185"/>
      <c r="AA2257" s="185"/>
      <c r="AB2257" s="185"/>
      <c r="AC2257" s="185"/>
      <c r="AD2257" s="185"/>
      <c r="AE2257" s="186"/>
      <c r="AF2257" s="186"/>
      <c r="AG2257" s="185"/>
      <c r="AH2257" s="185"/>
      <c r="AI2257" s="185"/>
      <c r="AJ2257" s="185"/>
      <c r="AK2257" s="185"/>
      <c r="AL2257" s="185"/>
      <c r="AM2257" s="8" t="str">
        <f>IF(C2257&lt;&gt;"","CRQ-P5-"&amp;(AM$2+$AP2257*$AP$3),"")</f>
        <v>CRQ-P5-1032</v>
      </c>
      <c r="AN2257" s="8" t="str">
        <f>IF(E2257&lt;&gt;"","CRQ-P5-"&amp;(AN$2+$AP2257*$AP$3),"")</f>
        <v>CRQ-P5-1332</v>
      </c>
      <c r="AO2257" s="8" t="str">
        <f>IF(G2257&lt;&gt;"","CRQ-P5-"&amp;(AO$2+$AP2257*$AP$3),"")</f>
        <v>CRQ-P5-1632</v>
      </c>
      <c r="AP2257" s="185">
        <v>8</v>
      </c>
      <c r="AQ2257" s="185"/>
      <c r="AR2257" s="291"/>
      <c r="AS2257" s="262" t="s">
        <v>5751</v>
      </c>
      <c r="AT2257" s="185"/>
      <c r="AU2257" s="6"/>
      <c r="AV2257" s="6" t="str">
        <f t="shared" si="44"/>
        <v/>
      </c>
    </row>
    <row r="2258" spans="1:48" s="17" customFormat="1" ht="12" thickBot="1" x14ac:dyDescent="0.4">
      <c r="A2258" s="29" t="s">
        <v>3394</v>
      </c>
      <c r="B2258" s="9"/>
      <c r="C2258" s="305" t="str">
        <f>MID(A2255,FIND("(",A2255)+1,5)</f>
        <v>1.1.0</v>
      </c>
      <c r="D2258" s="306"/>
      <c r="E2258" s="305" t="str">
        <f>MID(A2255,FIND("(",A2255)+1,5)</f>
        <v>1.1.0</v>
      </c>
      <c r="F2258" s="306"/>
      <c r="G2258" s="305" t="str">
        <f>MID(A2255,FIND("(",A2255)+1,5)</f>
        <v>1.1.0</v>
      </c>
      <c r="H2258" s="306"/>
      <c r="I2258" s="18"/>
      <c r="J2258" s="18" t="s">
        <v>2473</v>
      </c>
      <c r="K2258" s="18" t="s">
        <v>2473</v>
      </c>
      <c r="L2258" s="18"/>
      <c r="M2258" s="145"/>
      <c r="N2258" s="8"/>
      <c r="O2258" s="8"/>
      <c r="P2258" s="8"/>
      <c r="Q2258" s="8"/>
      <c r="R2258" s="8"/>
      <c r="S2258" s="8"/>
      <c r="T2258" s="8"/>
      <c r="U2258" s="8"/>
      <c r="V2258" s="8"/>
      <c r="W2258" s="8"/>
      <c r="X2258" s="8"/>
      <c r="Y2258" s="145"/>
      <c r="Z2258" s="185"/>
      <c r="AA2258" s="185"/>
      <c r="AB2258" s="185"/>
      <c r="AC2258" s="185"/>
      <c r="AD2258" s="185"/>
      <c r="AE2258" s="186"/>
      <c r="AF2258" s="186"/>
      <c r="AG2258" s="185"/>
      <c r="AH2258" s="185"/>
      <c r="AI2258" s="185"/>
      <c r="AJ2258" s="185"/>
      <c r="AK2258" s="185"/>
      <c r="AL2258" s="185"/>
      <c r="AM2258" s="185"/>
      <c r="AN2258" s="185"/>
      <c r="AO2258" s="185"/>
      <c r="AP2258" s="185"/>
      <c r="AQ2258" s="185"/>
      <c r="AR2258" s="291"/>
      <c r="AS2258" s="262" t="s">
        <v>5751</v>
      </c>
      <c r="AT2258" s="185"/>
      <c r="AU2258" s="6"/>
      <c r="AV2258" s="6" t="str">
        <f t="shared" si="44"/>
        <v/>
      </c>
    </row>
    <row r="2259" spans="1:48" s="17" customFormat="1" ht="15" customHeight="1" thickBot="1" x14ac:dyDescent="0.4">
      <c r="A2259" s="30" t="s">
        <v>4</v>
      </c>
      <c r="B2259" s="59" t="s">
        <v>5</v>
      </c>
      <c r="C2259" s="7" t="s">
        <v>6</v>
      </c>
      <c r="D2259" s="7" t="s">
        <v>7</v>
      </c>
      <c r="E2259" s="7" t="s">
        <v>6</v>
      </c>
      <c r="F2259" s="7" t="s">
        <v>7</v>
      </c>
      <c r="G2259" s="7" t="s">
        <v>6</v>
      </c>
      <c r="H2259" s="7" t="s">
        <v>7</v>
      </c>
      <c r="I2259" s="18"/>
      <c r="J2259" s="18" t="s">
        <v>2473</v>
      </c>
      <c r="K2259" s="18" t="s">
        <v>2473</v>
      </c>
      <c r="L2259" s="18"/>
      <c r="M2259" s="145"/>
      <c r="N2259" s="8"/>
      <c r="O2259" s="8"/>
      <c r="P2259" s="8"/>
      <c r="Q2259" s="8"/>
      <c r="R2259" s="8"/>
      <c r="S2259" s="8"/>
      <c r="T2259" s="8"/>
      <c r="U2259" s="8"/>
      <c r="V2259" s="8"/>
      <c r="W2259" s="8"/>
      <c r="X2259" s="8"/>
      <c r="Y2259" s="145"/>
      <c r="Z2259" s="183"/>
      <c r="AA2259" s="183"/>
      <c r="AB2259" s="183"/>
      <c r="AC2259" s="183"/>
      <c r="AD2259" s="183"/>
      <c r="AE2259" s="184"/>
      <c r="AF2259" s="184"/>
      <c r="AG2259" s="183"/>
      <c r="AH2259" s="183"/>
      <c r="AI2259" s="183"/>
      <c r="AJ2259" s="183"/>
      <c r="AK2259" s="183"/>
      <c r="AL2259" s="183"/>
      <c r="AM2259" s="183"/>
      <c r="AN2259" s="183"/>
      <c r="AO2259" s="183"/>
      <c r="AP2259" s="183"/>
      <c r="AQ2259" s="183"/>
      <c r="AR2259" s="292"/>
      <c r="AS2259" s="262" t="s">
        <v>5751</v>
      </c>
      <c r="AT2259" s="183"/>
      <c r="AU2259" s="6"/>
      <c r="AV2259" s="6" t="str">
        <f t="shared" si="44"/>
        <v/>
      </c>
    </row>
    <row r="2260" spans="1:48" s="17" customFormat="1" ht="51" thickBot="1" x14ac:dyDescent="0.4">
      <c r="A2260" s="255" t="s">
        <v>5465</v>
      </c>
      <c r="B2260" s="50" t="s">
        <v>5466</v>
      </c>
      <c r="C2260" s="21"/>
      <c r="D2260" s="21"/>
      <c r="E2260" s="21" t="s">
        <v>13</v>
      </c>
      <c r="F2260" s="21"/>
      <c r="G2260" s="21" t="s">
        <v>13</v>
      </c>
      <c r="H2260" s="21"/>
      <c r="I2260" s="18"/>
      <c r="J2260" s="18" t="s">
        <v>2473</v>
      </c>
      <c r="K2260" s="18" t="s">
        <v>2473</v>
      </c>
      <c r="L2260" s="18"/>
      <c r="M2260" s="248"/>
      <c r="R2260" s="8"/>
      <c r="S2260" s="8"/>
      <c r="T2260" s="8"/>
      <c r="U2260" s="8"/>
      <c r="V2260" s="8"/>
      <c r="W2260" s="8"/>
      <c r="X2260" s="8"/>
      <c r="Y2260" s="145"/>
      <c r="AR2260" s="290"/>
      <c r="AS2260" s="263" t="s">
        <v>5862</v>
      </c>
    </row>
    <row r="2261" spans="1:48" s="17" customFormat="1" ht="40.9" thickBot="1" x14ac:dyDescent="0.4">
      <c r="A2261" s="256" t="s">
        <v>5467</v>
      </c>
      <c r="B2261" s="50" t="s">
        <v>5468</v>
      </c>
      <c r="C2261" s="21"/>
      <c r="D2261" s="21"/>
      <c r="E2261" s="21" t="s">
        <v>13</v>
      </c>
      <c r="F2261" s="21"/>
      <c r="G2261" s="21" t="s">
        <v>13</v>
      </c>
      <c r="H2261" s="21"/>
      <c r="I2261" s="18"/>
      <c r="J2261" s="18" t="s">
        <v>2473</v>
      </c>
      <c r="K2261" s="18" t="s">
        <v>2473</v>
      </c>
      <c r="L2261" s="18"/>
      <c r="M2261" s="248"/>
      <c r="R2261" s="8"/>
      <c r="S2261" s="8"/>
      <c r="T2261" s="8"/>
      <c r="U2261" s="8"/>
      <c r="V2261" s="8"/>
      <c r="W2261" s="8"/>
      <c r="X2261" s="8"/>
      <c r="Y2261" s="145"/>
      <c r="AR2261" s="290"/>
      <c r="AS2261" s="262" t="s">
        <v>5845</v>
      </c>
    </row>
    <row r="2262" spans="1:48" s="17" customFormat="1" ht="35.25" thickBot="1" x14ac:dyDescent="0.4">
      <c r="A2262" s="256" t="s">
        <v>5469</v>
      </c>
      <c r="B2262" s="50" t="s">
        <v>5470</v>
      </c>
      <c r="C2262" s="21"/>
      <c r="D2262" s="21"/>
      <c r="E2262" s="21"/>
      <c r="F2262" s="21"/>
      <c r="G2262" s="21"/>
      <c r="H2262" s="21"/>
      <c r="I2262" s="18"/>
      <c r="J2262" s="18" t="s">
        <v>2473</v>
      </c>
      <c r="K2262" s="18" t="s">
        <v>2473</v>
      </c>
      <c r="L2262" s="18"/>
      <c r="M2262" s="248"/>
      <c r="R2262" s="8"/>
      <c r="S2262" s="8"/>
      <c r="T2262" s="8"/>
      <c r="U2262" s="8"/>
      <c r="V2262" s="8"/>
      <c r="W2262" s="8"/>
      <c r="X2262" s="8"/>
      <c r="Y2262" s="145"/>
      <c r="AR2262" s="290"/>
      <c r="AS2262" s="262" t="s">
        <v>5751</v>
      </c>
    </row>
    <row r="2263" spans="1:48" s="17" customFormat="1" ht="23.65" thickBot="1" x14ac:dyDescent="0.4">
      <c r="A2263" s="255" t="s">
        <v>3610</v>
      </c>
      <c r="B2263" s="50" t="s">
        <v>5471</v>
      </c>
      <c r="C2263" s="256" t="s">
        <v>5472</v>
      </c>
      <c r="D2263" s="21"/>
      <c r="E2263" s="21"/>
      <c r="F2263" s="21"/>
      <c r="G2263" s="21"/>
      <c r="H2263" s="21"/>
      <c r="I2263" s="18"/>
      <c r="J2263" s="18" t="s">
        <v>2473</v>
      </c>
      <c r="K2263" s="18" t="s">
        <v>2473</v>
      </c>
      <c r="L2263" s="18"/>
      <c r="M2263" s="248"/>
      <c r="R2263" s="8"/>
      <c r="S2263" s="8"/>
      <c r="T2263" s="8"/>
      <c r="U2263" s="8"/>
      <c r="V2263" s="8"/>
      <c r="W2263" s="8"/>
      <c r="X2263" s="8"/>
      <c r="Y2263" s="145"/>
      <c r="AR2263" s="290"/>
      <c r="AS2263" s="262" t="s">
        <v>5751</v>
      </c>
    </row>
    <row r="2264" spans="1:48" s="17" customFormat="1" ht="12" thickBot="1" x14ac:dyDescent="0.4">
      <c r="A2264" s="256" t="s">
        <v>33</v>
      </c>
      <c r="B2264" s="50" t="s">
        <v>5473</v>
      </c>
      <c r="C2264" s="21"/>
      <c r="D2264" s="21"/>
      <c r="E2264" s="21"/>
      <c r="F2264" s="21"/>
      <c r="G2264" s="21"/>
      <c r="H2264" s="21"/>
      <c r="I2264" s="18"/>
      <c r="J2264" s="18" t="s">
        <v>2473</v>
      </c>
      <c r="K2264" s="18" t="s">
        <v>2473</v>
      </c>
      <c r="L2264" s="18"/>
      <c r="M2264" s="248"/>
      <c r="R2264" s="8"/>
      <c r="S2264" s="8"/>
      <c r="T2264" s="8"/>
      <c r="U2264" s="8"/>
      <c r="V2264" s="8"/>
      <c r="W2264" s="8"/>
      <c r="X2264" s="8"/>
      <c r="Y2264" s="145"/>
      <c r="AR2264" s="290"/>
      <c r="AS2264" s="262" t="s">
        <v>5751</v>
      </c>
    </row>
    <row r="2265" spans="1:48" s="17" customFormat="1" ht="40.9" thickBot="1" x14ac:dyDescent="0.4">
      <c r="A2265" s="255" t="s">
        <v>5474</v>
      </c>
      <c r="B2265" s="50" t="s">
        <v>5475</v>
      </c>
      <c r="C2265" s="21"/>
      <c r="D2265" s="21"/>
      <c r="E2265" s="21" t="s">
        <v>10</v>
      </c>
      <c r="F2265" s="21"/>
      <c r="G2265" s="21" t="s">
        <v>10</v>
      </c>
      <c r="H2265" s="21"/>
      <c r="I2265" s="18"/>
      <c r="J2265" s="18" t="s">
        <v>2473</v>
      </c>
      <c r="K2265" s="18" t="s">
        <v>2473</v>
      </c>
      <c r="L2265" s="18"/>
      <c r="M2265" s="248"/>
      <c r="R2265" s="8"/>
      <c r="S2265" s="8"/>
      <c r="T2265" s="8"/>
      <c r="U2265" s="8"/>
      <c r="V2265" s="8"/>
      <c r="W2265" s="8"/>
      <c r="X2265" s="8"/>
      <c r="Y2265" s="145"/>
      <c r="AR2265" s="290"/>
      <c r="AS2265" s="262" t="s">
        <v>5845</v>
      </c>
    </row>
    <row r="2266" spans="1:48" s="17" customFormat="1" ht="40.9" thickBot="1" x14ac:dyDescent="0.4">
      <c r="A2266" s="255" t="s">
        <v>2081</v>
      </c>
      <c r="B2266" s="50" t="s">
        <v>5476</v>
      </c>
      <c r="C2266" s="21"/>
      <c r="D2266" s="21"/>
      <c r="E2266" s="21" t="s">
        <v>10</v>
      </c>
      <c r="F2266" s="21"/>
      <c r="G2266" s="21" t="s">
        <v>10</v>
      </c>
      <c r="H2266" s="21"/>
      <c r="I2266" s="18"/>
      <c r="J2266" s="18" t="s">
        <v>2473</v>
      </c>
      <c r="K2266" s="18" t="s">
        <v>2473</v>
      </c>
      <c r="L2266" s="18"/>
      <c r="M2266" s="248"/>
      <c r="R2266" s="8"/>
      <c r="S2266" s="8"/>
      <c r="T2266" s="8"/>
      <c r="U2266" s="8"/>
      <c r="V2266" s="8"/>
      <c r="W2266" s="8"/>
      <c r="X2266" s="8"/>
      <c r="Y2266" s="145"/>
      <c r="AR2266" s="290"/>
      <c r="AS2266" s="262" t="s">
        <v>5845</v>
      </c>
    </row>
    <row r="2267" spans="1:48" s="17" customFormat="1" ht="23.65" thickBot="1" x14ac:dyDescent="0.4">
      <c r="A2267" s="256" t="s">
        <v>33</v>
      </c>
      <c r="B2267" s="50" t="s">
        <v>5477</v>
      </c>
      <c r="C2267" s="21"/>
      <c r="D2267" s="21"/>
      <c r="E2267" s="21"/>
      <c r="F2267" s="21"/>
      <c r="G2267" s="21"/>
      <c r="H2267" s="21"/>
      <c r="I2267" s="18"/>
      <c r="J2267" s="18" t="s">
        <v>2473</v>
      </c>
      <c r="K2267" s="18" t="s">
        <v>2473</v>
      </c>
      <c r="L2267" s="18"/>
      <c r="M2267" s="248"/>
      <c r="R2267" s="8"/>
      <c r="S2267" s="8"/>
      <c r="T2267" s="8"/>
      <c r="U2267" s="8"/>
      <c r="V2267" s="8"/>
      <c r="W2267" s="8"/>
      <c r="X2267" s="8"/>
      <c r="Y2267" s="145"/>
      <c r="AR2267" s="290"/>
      <c r="AS2267" s="262" t="s">
        <v>5751</v>
      </c>
    </row>
    <row r="2268" spans="1:48" s="17" customFormat="1" ht="23.65" thickBot="1" x14ac:dyDescent="0.4">
      <c r="A2268" s="255" t="s">
        <v>5478</v>
      </c>
      <c r="B2268" s="50" t="s">
        <v>5479</v>
      </c>
      <c r="C2268" s="21"/>
      <c r="D2268" s="21"/>
      <c r="E2268" s="21"/>
      <c r="F2268" s="21"/>
      <c r="G2268" s="21"/>
      <c r="H2268" s="21"/>
      <c r="I2268" s="18"/>
      <c r="J2268" s="18" t="s">
        <v>2473</v>
      </c>
      <c r="K2268" s="18" t="s">
        <v>2473</v>
      </c>
      <c r="L2268" s="18"/>
      <c r="M2268" s="248"/>
      <c r="R2268" s="8"/>
      <c r="S2268" s="8"/>
      <c r="T2268" s="8"/>
      <c r="U2268" s="8"/>
      <c r="V2268" s="8"/>
      <c r="W2268" s="8"/>
      <c r="X2268" s="8"/>
      <c r="Y2268" s="145"/>
      <c r="AR2268" s="290"/>
      <c r="AS2268" s="262" t="s">
        <v>5751</v>
      </c>
    </row>
    <row r="2269" spans="1:48" s="17" customFormat="1" ht="23.65" thickBot="1" x14ac:dyDescent="0.4">
      <c r="A2269" s="256" t="s">
        <v>5480</v>
      </c>
      <c r="B2269" s="50" t="s">
        <v>5481</v>
      </c>
      <c r="C2269" s="21"/>
      <c r="D2269" s="21"/>
      <c r="E2269" s="21"/>
      <c r="F2269" s="21"/>
      <c r="G2269" s="21"/>
      <c r="H2269" s="21"/>
      <c r="I2269" s="18"/>
      <c r="J2269" s="18" t="s">
        <v>2473</v>
      </c>
      <c r="K2269" s="18" t="s">
        <v>2473</v>
      </c>
      <c r="L2269" s="18"/>
      <c r="M2269" s="248"/>
      <c r="R2269" s="8"/>
      <c r="S2269" s="8"/>
      <c r="T2269" s="8"/>
      <c r="U2269" s="8"/>
      <c r="V2269" s="8"/>
      <c r="W2269" s="8"/>
      <c r="X2269" s="8"/>
      <c r="Y2269" s="145"/>
      <c r="AR2269" s="290"/>
      <c r="AS2269" s="262" t="s">
        <v>5751</v>
      </c>
    </row>
    <row r="2270" spans="1:48" s="17" customFormat="1" ht="23.65" thickBot="1" x14ac:dyDescent="0.4">
      <c r="A2270" s="256" t="s">
        <v>5482</v>
      </c>
      <c r="B2270" s="50" t="s">
        <v>5483</v>
      </c>
      <c r="C2270" s="21"/>
      <c r="D2270" s="21"/>
      <c r="E2270" s="21"/>
      <c r="F2270" s="21"/>
      <c r="G2270" s="21"/>
      <c r="H2270" s="21"/>
      <c r="I2270" s="18"/>
      <c r="J2270" s="18" t="s">
        <v>2473</v>
      </c>
      <c r="K2270" s="18" t="s">
        <v>2473</v>
      </c>
      <c r="L2270" s="18"/>
      <c r="M2270" s="248"/>
      <c r="R2270" s="8"/>
      <c r="S2270" s="8"/>
      <c r="T2270" s="8"/>
      <c r="U2270" s="8"/>
      <c r="V2270" s="8"/>
      <c r="W2270" s="8"/>
      <c r="X2270" s="8"/>
      <c r="Y2270" s="145"/>
      <c r="AR2270" s="290"/>
      <c r="AS2270" s="262" t="s">
        <v>5751</v>
      </c>
    </row>
    <row r="2271" spans="1:48" s="17" customFormat="1" ht="12" thickBot="1" x14ac:dyDescent="0.4">
      <c r="A2271" s="255" t="s">
        <v>5484</v>
      </c>
      <c r="B2271" s="50" t="s">
        <v>5485</v>
      </c>
      <c r="C2271" s="21"/>
      <c r="D2271" s="21"/>
      <c r="E2271" s="21" t="s">
        <v>37</v>
      </c>
      <c r="F2271" s="21"/>
      <c r="G2271" s="21" t="s">
        <v>37</v>
      </c>
      <c r="H2271" s="21"/>
      <c r="I2271" s="18"/>
      <c r="J2271" s="18" t="s">
        <v>2473</v>
      </c>
      <c r="K2271" s="18" t="s">
        <v>2473</v>
      </c>
      <c r="L2271" s="18"/>
      <c r="M2271" s="248"/>
      <c r="R2271" s="8"/>
      <c r="S2271" s="8"/>
      <c r="T2271" s="8"/>
      <c r="U2271" s="8"/>
      <c r="V2271" s="8"/>
      <c r="W2271" s="8"/>
      <c r="X2271" s="8"/>
      <c r="Y2271" s="145"/>
      <c r="AR2271" s="290"/>
      <c r="AS2271" s="262" t="s">
        <v>5751</v>
      </c>
    </row>
    <row r="2272" spans="1:48" s="17" customFormat="1" ht="12" thickBot="1" x14ac:dyDescent="0.4">
      <c r="A2272" s="256" t="s">
        <v>43</v>
      </c>
      <c r="B2272" s="50" t="s">
        <v>5486</v>
      </c>
      <c r="C2272" s="21"/>
      <c r="D2272" s="21"/>
      <c r="E2272" s="21"/>
      <c r="F2272" s="21"/>
      <c r="G2272" s="21"/>
      <c r="H2272" s="21"/>
      <c r="I2272" s="18"/>
      <c r="J2272" s="18" t="s">
        <v>2473</v>
      </c>
      <c r="K2272" s="18" t="s">
        <v>2473</v>
      </c>
      <c r="L2272" s="18"/>
      <c r="M2272" s="248"/>
      <c r="R2272" s="8"/>
      <c r="S2272" s="8"/>
      <c r="T2272" s="8"/>
      <c r="U2272" s="8"/>
      <c r="V2272" s="8"/>
      <c r="W2272" s="8"/>
      <c r="X2272" s="8"/>
      <c r="Y2272" s="145"/>
      <c r="AR2272" s="290"/>
      <c r="AS2272" s="262" t="s">
        <v>5751</v>
      </c>
    </row>
    <row r="2273" spans="1:45" s="17" customFormat="1" ht="23.65" thickBot="1" x14ac:dyDescent="0.4">
      <c r="A2273" s="256" t="s">
        <v>5487</v>
      </c>
      <c r="B2273" s="50" t="s">
        <v>5488</v>
      </c>
      <c r="C2273" s="21"/>
      <c r="D2273" s="21"/>
      <c r="E2273" s="21"/>
      <c r="F2273" s="21"/>
      <c r="G2273" s="21"/>
      <c r="H2273" s="21"/>
      <c r="I2273" s="18"/>
      <c r="J2273" s="18" t="s">
        <v>2473</v>
      </c>
      <c r="K2273" s="18" t="s">
        <v>2473</v>
      </c>
      <c r="L2273" s="18"/>
      <c r="M2273" s="248"/>
      <c r="R2273" s="8"/>
      <c r="S2273" s="8"/>
      <c r="T2273" s="8"/>
      <c r="U2273" s="8"/>
      <c r="V2273" s="8"/>
      <c r="W2273" s="8"/>
      <c r="X2273" s="8"/>
      <c r="Y2273" s="145"/>
      <c r="AR2273" s="290"/>
      <c r="AS2273" s="262" t="s">
        <v>5751</v>
      </c>
    </row>
    <row r="2274" spans="1:45" s="17" customFormat="1" ht="23.65" thickBot="1" x14ac:dyDescent="0.4">
      <c r="A2274" s="255" t="s">
        <v>145</v>
      </c>
      <c r="B2274" s="50" t="s">
        <v>5489</v>
      </c>
      <c r="C2274" s="21"/>
      <c r="D2274" s="21"/>
      <c r="E2274" s="21"/>
      <c r="F2274" s="21"/>
      <c r="G2274" s="21"/>
      <c r="H2274" s="21"/>
      <c r="I2274" s="18"/>
      <c r="J2274" s="18" t="s">
        <v>2473</v>
      </c>
      <c r="K2274" s="18" t="s">
        <v>2473</v>
      </c>
      <c r="L2274" s="18"/>
      <c r="M2274" s="248"/>
      <c r="R2274" s="8"/>
      <c r="S2274" s="8"/>
      <c r="T2274" s="8"/>
      <c r="U2274" s="8"/>
      <c r="V2274" s="8"/>
      <c r="W2274" s="8"/>
      <c r="X2274" s="8"/>
      <c r="Y2274" s="145"/>
      <c r="AR2274" s="290"/>
      <c r="AS2274" s="262" t="s">
        <v>5751</v>
      </c>
    </row>
    <row r="2275" spans="1:45" s="17" customFormat="1" ht="12" thickBot="1" x14ac:dyDescent="0.4">
      <c r="A2275" s="256" t="s">
        <v>5432</v>
      </c>
      <c r="B2275" s="50" t="s">
        <v>5433</v>
      </c>
      <c r="C2275" s="21"/>
      <c r="D2275" s="21"/>
      <c r="E2275" s="21"/>
      <c r="F2275" s="21"/>
      <c r="G2275" s="21"/>
      <c r="H2275" s="21"/>
      <c r="I2275" s="18"/>
      <c r="J2275" s="18" t="s">
        <v>2473</v>
      </c>
      <c r="K2275" s="18" t="s">
        <v>2473</v>
      </c>
      <c r="L2275" s="18"/>
      <c r="M2275" s="248"/>
      <c r="R2275" s="8"/>
      <c r="S2275" s="8"/>
      <c r="T2275" s="8"/>
      <c r="U2275" s="8"/>
      <c r="V2275" s="8"/>
      <c r="W2275" s="8"/>
      <c r="X2275" s="8"/>
      <c r="Y2275" s="145"/>
      <c r="AR2275" s="290"/>
      <c r="AS2275" s="262" t="s">
        <v>5751</v>
      </c>
    </row>
    <row r="2276" spans="1:45" s="17" customFormat="1" ht="12" thickBot="1" x14ac:dyDescent="0.4">
      <c r="A2276" s="256" t="s">
        <v>5434</v>
      </c>
      <c r="B2276" s="50" t="s">
        <v>5435</v>
      </c>
      <c r="C2276" s="21"/>
      <c r="D2276" s="21"/>
      <c r="E2276" s="21"/>
      <c r="F2276" s="21"/>
      <c r="G2276" s="21"/>
      <c r="H2276" s="21"/>
      <c r="I2276" s="18"/>
      <c r="J2276" s="18" t="s">
        <v>2473</v>
      </c>
      <c r="K2276" s="18" t="s">
        <v>2473</v>
      </c>
      <c r="L2276" s="18"/>
      <c r="M2276" s="248"/>
      <c r="R2276" s="8"/>
      <c r="S2276" s="8"/>
      <c r="T2276" s="8"/>
      <c r="U2276" s="8"/>
      <c r="V2276" s="8"/>
      <c r="W2276" s="8"/>
      <c r="X2276" s="8"/>
      <c r="Y2276" s="145"/>
      <c r="AR2276" s="290"/>
      <c r="AS2276" s="262" t="s">
        <v>5751</v>
      </c>
    </row>
    <row r="2277" spans="1:45" s="17" customFormat="1" ht="12" thickBot="1" x14ac:dyDescent="0.4">
      <c r="A2277" s="256" t="s">
        <v>1994</v>
      </c>
      <c r="B2277" s="50" t="s">
        <v>5436</v>
      </c>
      <c r="C2277" s="21"/>
      <c r="D2277" s="21"/>
      <c r="E2277" s="21"/>
      <c r="F2277" s="21"/>
      <c r="G2277" s="21"/>
      <c r="H2277" s="21"/>
      <c r="I2277" s="18"/>
      <c r="J2277" s="18" t="s">
        <v>2473</v>
      </c>
      <c r="K2277" s="18" t="s">
        <v>2473</v>
      </c>
      <c r="L2277" s="18"/>
      <c r="M2277" s="248"/>
      <c r="R2277" s="8"/>
      <c r="S2277" s="8"/>
      <c r="T2277" s="8"/>
      <c r="U2277" s="8"/>
      <c r="V2277" s="8"/>
      <c r="W2277" s="8"/>
      <c r="X2277" s="8"/>
      <c r="Y2277" s="145"/>
      <c r="AR2277" s="290"/>
      <c r="AS2277" s="262" t="s">
        <v>5751</v>
      </c>
    </row>
    <row r="2278" spans="1:45" s="17" customFormat="1" ht="12" thickBot="1" x14ac:dyDescent="0.4">
      <c r="A2278" s="256" t="s">
        <v>5437</v>
      </c>
      <c r="B2278" s="50" t="s">
        <v>5438</v>
      </c>
      <c r="C2278" s="21"/>
      <c r="D2278" s="21"/>
      <c r="E2278" s="21"/>
      <c r="F2278" s="21"/>
      <c r="G2278" s="21"/>
      <c r="H2278" s="21"/>
      <c r="I2278" s="18"/>
      <c r="J2278" s="18" t="s">
        <v>2473</v>
      </c>
      <c r="K2278" s="18" t="s">
        <v>2473</v>
      </c>
      <c r="L2278" s="18"/>
      <c r="M2278" s="248"/>
      <c r="R2278" s="8"/>
      <c r="S2278" s="8"/>
      <c r="T2278" s="8"/>
      <c r="U2278" s="8"/>
      <c r="V2278" s="8"/>
      <c r="W2278" s="8"/>
      <c r="X2278" s="8"/>
      <c r="Y2278" s="145"/>
      <c r="AR2278" s="290"/>
      <c r="AS2278" s="262" t="s">
        <v>5751</v>
      </c>
    </row>
    <row r="2279" spans="1:45" s="17" customFormat="1" ht="23.65" thickBot="1" x14ac:dyDescent="0.4">
      <c r="A2279" s="256" t="s">
        <v>5439</v>
      </c>
      <c r="B2279" s="50" t="s">
        <v>5440</v>
      </c>
      <c r="C2279" s="21"/>
      <c r="D2279" s="21"/>
      <c r="E2279" s="21"/>
      <c r="F2279" s="21"/>
      <c r="G2279" s="21"/>
      <c r="H2279" s="21"/>
      <c r="I2279" s="18"/>
      <c r="J2279" s="18" t="s">
        <v>2473</v>
      </c>
      <c r="K2279" s="18" t="s">
        <v>2473</v>
      </c>
      <c r="L2279" s="18"/>
      <c r="M2279" s="248"/>
      <c r="R2279" s="8"/>
      <c r="S2279" s="8"/>
      <c r="T2279" s="8"/>
      <c r="U2279" s="8"/>
      <c r="V2279" s="8"/>
      <c r="W2279" s="8"/>
      <c r="X2279" s="8"/>
      <c r="Y2279" s="145"/>
      <c r="AR2279" s="290"/>
      <c r="AS2279" s="262" t="s">
        <v>5751</v>
      </c>
    </row>
    <row r="2280" spans="1:45" s="17" customFormat="1" ht="12" thickBot="1" x14ac:dyDescent="0.4">
      <c r="A2280" s="256" t="s">
        <v>5441</v>
      </c>
      <c r="B2280" s="50" t="s">
        <v>5442</v>
      </c>
      <c r="C2280" s="21"/>
      <c r="D2280" s="21"/>
      <c r="E2280" s="21"/>
      <c r="F2280" s="21"/>
      <c r="G2280" s="21"/>
      <c r="H2280" s="21"/>
      <c r="I2280" s="18"/>
      <c r="J2280" s="18" t="s">
        <v>2473</v>
      </c>
      <c r="K2280" s="18" t="s">
        <v>2473</v>
      </c>
      <c r="L2280" s="18"/>
      <c r="M2280" s="248"/>
      <c r="R2280" s="8"/>
      <c r="S2280" s="8"/>
      <c r="T2280" s="8"/>
      <c r="U2280" s="8"/>
      <c r="V2280" s="8"/>
      <c r="W2280" s="8"/>
      <c r="X2280" s="8"/>
      <c r="Y2280" s="145"/>
      <c r="AR2280" s="290"/>
      <c r="AS2280" s="262" t="s">
        <v>5751</v>
      </c>
    </row>
    <row r="2281" spans="1:45" s="17" customFormat="1" ht="12" thickBot="1" x14ac:dyDescent="0.4">
      <c r="A2281" s="256" t="s">
        <v>5443</v>
      </c>
      <c r="B2281" s="50" t="s">
        <v>5444</v>
      </c>
      <c r="C2281" s="21"/>
      <c r="D2281" s="21"/>
      <c r="E2281" s="21"/>
      <c r="F2281" s="21"/>
      <c r="G2281" s="21"/>
      <c r="H2281" s="21"/>
      <c r="I2281" s="18"/>
      <c r="J2281" s="18" t="s">
        <v>2473</v>
      </c>
      <c r="K2281" s="18" t="s">
        <v>2473</v>
      </c>
      <c r="L2281" s="18"/>
      <c r="M2281" s="248"/>
      <c r="R2281" s="8"/>
      <c r="S2281" s="8"/>
      <c r="T2281" s="8"/>
      <c r="U2281" s="8"/>
      <c r="V2281" s="8"/>
      <c r="W2281" s="8"/>
      <c r="X2281" s="8"/>
      <c r="Y2281" s="145"/>
      <c r="AR2281" s="290"/>
      <c r="AS2281" s="262" t="s">
        <v>5751</v>
      </c>
    </row>
    <row r="2282" spans="1:45" s="17" customFormat="1" ht="12" thickBot="1" x14ac:dyDescent="0.4">
      <c r="A2282" s="256" t="s">
        <v>1994</v>
      </c>
      <c r="B2282" s="50" t="s">
        <v>84</v>
      </c>
      <c r="C2282" s="21"/>
      <c r="D2282" s="21"/>
      <c r="E2282" s="21"/>
      <c r="F2282" s="21"/>
      <c r="G2282" s="21"/>
      <c r="H2282" s="21"/>
      <c r="I2282" s="18"/>
      <c r="J2282" s="18" t="s">
        <v>2473</v>
      </c>
      <c r="K2282" s="18" t="s">
        <v>2473</v>
      </c>
      <c r="L2282" s="18"/>
      <c r="M2282" s="248"/>
      <c r="R2282" s="8"/>
      <c r="S2282" s="8"/>
      <c r="T2282" s="8"/>
      <c r="U2282" s="8"/>
      <c r="V2282" s="8"/>
      <c r="W2282" s="8"/>
      <c r="X2282" s="8"/>
      <c r="Y2282" s="145"/>
      <c r="AR2282" s="290"/>
      <c r="AS2282" s="262" t="s">
        <v>5751</v>
      </c>
    </row>
    <row r="2283" spans="1:45" s="17" customFormat="1" ht="12" thickBot="1" x14ac:dyDescent="0.4">
      <c r="A2283" s="256" t="s">
        <v>5445</v>
      </c>
      <c r="B2283" s="50" t="s">
        <v>5446</v>
      </c>
      <c r="C2283" s="21"/>
      <c r="D2283" s="21"/>
      <c r="E2283" s="21"/>
      <c r="F2283" s="21"/>
      <c r="G2283" s="21"/>
      <c r="H2283" s="21"/>
      <c r="I2283" s="18"/>
      <c r="J2283" s="18" t="s">
        <v>2473</v>
      </c>
      <c r="K2283" s="18" t="s">
        <v>2473</v>
      </c>
      <c r="L2283" s="18"/>
      <c r="M2283" s="248"/>
      <c r="R2283" s="8"/>
      <c r="S2283" s="8"/>
      <c r="T2283" s="8"/>
      <c r="U2283" s="8"/>
      <c r="V2283" s="8"/>
      <c r="W2283" s="8"/>
      <c r="X2283" s="8"/>
      <c r="Y2283" s="145"/>
      <c r="AR2283" s="290"/>
      <c r="AS2283" s="262" t="s">
        <v>5751</v>
      </c>
    </row>
    <row r="2284" spans="1:45" s="17" customFormat="1" ht="23.65" thickBot="1" x14ac:dyDescent="0.4">
      <c r="A2284" s="256" t="s">
        <v>5447</v>
      </c>
      <c r="B2284" s="50" t="s">
        <v>5448</v>
      </c>
      <c r="C2284" s="21"/>
      <c r="D2284" s="21"/>
      <c r="E2284" s="21"/>
      <c r="F2284" s="21"/>
      <c r="G2284" s="21"/>
      <c r="H2284" s="21"/>
      <c r="I2284" s="18"/>
      <c r="J2284" s="18" t="s">
        <v>2473</v>
      </c>
      <c r="K2284" s="18" t="s">
        <v>2473</v>
      </c>
      <c r="L2284" s="18"/>
      <c r="M2284" s="248"/>
      <c r="R2284" s="8"/>
      <c r="S2284" s="8"/>
      <c r="T2284" s="8"/>
      <c r="U2284" s="8"/>
      <c r="V2284" s="8"/>
      <c r="W2284" s="8"/>
      <c r="X2284" s="8"/>
      <c r="Y2284" s="145"/>
      <c r="AR2284" s="290"/>
      <c r="AS2284" s="262" t="s">
        <v>5751</v>
      </c>
    </row>
    <row r="2285" spans="1:45" s="17" customFormat="1" ht="12" thickBot="1" x14ac:dyDescent="0.4">
      <c r="A2285" s="256" t="s">
        <v>5449</v>
      </c>
      <c r="B2285" s="50" t="s">
        <v>5450</v>
      </c>
      <c r="C2285" s="21"/>
      <c r="D2285" s="21"/>
      <c r="E2285" s="21"/>
      <c r="F2285" s="21"/>
      <c r="G2285" s="21"/>
      <c r="H2285" s="21"/>
      <c r="I2285" s="18"/>
      <c r="J2285" s="18" t="s">
        <v>2473</v>
      </c>
      <c r="K2285" s="18" t="s">
        <v>2473</v>
      </c>
      <c r="L2285" s="18"/>
      <c r="M2285" s="248"/>
      <c r="R2285" s="8"/>
      <c r="S2285" s="8"/>
      <c r="T2285" s="8"/>
      <c r="U2285" s="8"/>
      <c r="V2285" s="8"/>
      <c r="W2285" s="8"/>
      <c r="X2285" s="8"/>
      <c r="Y2285" s="145"/>
      <c r="AR2285" s="290"/>
      <c r="AS2285" s="262" t="s">
        <v>5751</v>
      </c>
    </row>
    <row r="2286" spans="1:45" s="17" customFormat="1" ht="23.65" thickBot="1" x14ac:dyDescent="0.4">
      <c r="A2286" s="256" t="s">
        <v>5361</v>
      </c>
      <c r="B2286" s="50" t="s">
        <v>5451</v>
      </c>
      <c r="C2286" s="21"/>
      <c r="D2286" s="21"/>
      <c r="E2286" s="21"/>
      <c r="F2286" s="21"/>
      <c r="G2286" s="21"/>
      <c r="H2286" s="21"/>
      <c r="I2286" s="18"/>
      <c r="J2286" s="18" t="s">
        <v>2473</v>
      </c>
      <c r="K2286" s="18" t="s">
        <v>2473</v>
      </c>
      <c r="L2286" s="18"/>
      <c r="M2286" s="248"/>
      <c r="R2286" s="8"/>
      <c r="S2286" s="8"/>
      <c r="T2286" s="8"/>
      <c r="U2286" s="8"/>
      <c r="V2286" s="8"/>
      <c r="W2286" s="8"/>
      <c r="X2286" s="8"/>
      <c r="Y2286" s="145"/>
      <c r="AR2286" s="290"/>
      <c r="AS2286" s="262" t="s">
        <v>5751</v>
      </c>
    </row>
    <row r="2287" spans="1:45" s="17" customFormat="1" ht="23.65" thickBot="1" x14ac:dyDescent="0.4">
      <c r="A2287" s="256" t="s">
        <v>5360</v>
      </c>
      <c r="B2287" s="50" t="s">
        <v>5452</v>
      </c>
      <c r="C2287" s="21"/>
      <c r="D2287" s="21"/>
      <c r="E2287" s="21"/>
      <c r="F2287" s="21"/>
      <c r="G2287" s="21"/>
      <c r="H2287" s="21"/>
      <c r="I2287" s="18"/>
      <c r="J2287" s="18" t="s">
        <v>2473</v>
      </c>
      <c r="K2287" s="18" t="s">
        <v>2473</v>
      </c>
      <c r="L2287" s="18"/>
      <c r="M2287" s="248"/>
      <c r="R2287" s="8"/>
      <c r="S2287" s="8"/>
      <c r="T2287" s="8"/>
      <c r="U2287" s="8"/>
      <c r="V2287" s="8"/>
      <c r="W2287" s="8"/>
      <c r="X2287" s="8"/>
      <c r="Y2287" s="145"/>
      <c r="AR2287" s="290"/>
      <c r="AS2287" s="262" t="s">
        <v>5751</v>
      </c>
    </row>
    <row r="2288" spans="1:45" s="17" customFormat="1" ht="12" thickBot="1" x14ac:dyDescent="0.4">
      <c r="A2288" s="256" t="s">
        <v>59</v>
      </c>
      <c r="B2288" s="50" t="s">
        <v>5423</v>
      </c>
      <c r="C2288" s="21"/>
      <c r="D2288" s="21"/>
      <c r="E2288" s="21"/>
      <c r="F2288" s="21"/>
      <c r="G2288" s="21"/>
      <c r="H2288" s="21"/>
      <c r="I2288" s="18"/>
      <c r="J2288" s="18" t="s">
        <v>2473</v>
      </c>
      <c r="K2288" s="18" t="s">
        <v>2473</v>
      </c>
      <c r="L2288" s="18"/>
      <c r="M2288" s="248"/>
      <c r="R2288" s="8"/>
      <c r="S2288" s="8"/>
      <c r="T2288" s="8"/>
      <c r="U2288" s="8"/>
      <c r="V2288" s="8"/>
      <c r="W2288" s="8"/>
      <c r="X2288" s="8"/>
      <c r="Y2288" s="145"/>
      <c r="AR2288" s="290"/>
      <c r="AS2288" s="262" t="s">
        <v>5751</v>
      </c>
    </row>
    <row r="2289" spans="1:48" s="17" customFormat="1" ht="23.65" thickBot="1" x14ac:dyDescent="0.4">
      <c r="A2289" s="256" t="s">
        <v>2575</v>
      </c>
      <c r="B2289" s="50" t="s">
        <v>5453</v>
      </c>
      <c r="C2289" s="21"/>
      <c r="D2289" s="21"/>
      <c r="E2289" s="21"/>
      <c r="F2289" s="21"/>
      <c r="G2289" s="21"/>
      <c r="H2289" s="21"/>
      <c r="I2289" s="18"/>
      <c r="J2289" s="18" t="s">
        <v>2473</v>
      </c>
      <c r="K2289" s="18" t="s">
        <v>2473</v>
      </c>
      <c r="L2289" s="18"/>
      <c r="M2289" s="248"/>
      <c r="R2289" s="8"/>
      <c r="S2289" s="8"/>
      <c r="T2289" s="8"/>
      <c r="U2289" s="8"/>
      <c r="V2289" s="8"/>
      <c r="W2289" s="8"/>
      <c r="X2289" s="8"/>
      <c r="Y2289" s="145"/>
      <c r="AR2289" s="290"/>
      <c r="AS2289" s="262" t="s">
        <v>5751</v>
      </c>
    </row>
    <row r="2290" spans="1:48" s="17" customFormat="1" ht="11.65" x14ac:dyDescent="0.35">
      <c r="A2290" s="33" t="s">
        <v>5874</v>
      </c>
      <c r="C2290" s="18"/>
      <c r="D2290" s="18"/>
      <c r="E2290" s="18"/>
      <c r="F2290" s="18"/>
      <c r="G2290" s="18"/>
      <c r="H2290" s="18"/>
      <c r="I2290" s="18"/>
      <c r="J2290" s="18" t="s">
        <v>2473</v>
      </c>
      <c r="K2290" s="18" t="s">
        <v>2473</v>
      </c>
      <c r="L2290" s="18"/>
      <c r="M2290" s="145"/>
      <c r="N2290" s="8"/>
      <c r="O2290" s="8"/>
      <c r="P2290" s="8"/>
      <c r="Q2290" s="8"/>
      <c r="R2290" s="8"/>
      <c r="S2290" s="8"/>
      <c r="T2290" s="8"/>
      <c r="U2290" s="8"/>
      <c r="V2290" s="8"/>
      <c r="W2290" s="8"/>
      <c r="X2290" s="8"/>
      <c r="Y2290" s="145"/>
      <c r="Z2290" s="8"/>
      <c r="AA2290" s="8"/>
      <c r="AB2290" s="8"/>
      <c r="AC2290" s="8"/>
      <c r="AD2290" s="8"/>
      <c r="AE2290" s="154"/>
      <c r="AF2290" s="154"/>
      <c r="AG2290" s="8"/>
      <c r="AH2290" s="8"/>
      <c r="AI2290" s="8"/>
      <c r="AJ2290" s="8"/>
      <c r="AK2290" s="8"/>
      <c r="AL2290" s="8"/>
      <c r="AM2290" s="8"/>
      <c r="AN2290" s="8"/>
      <c r="AO2290" s="8"/>
      <c r="AP2290" s="8"/>
      <c r="AQ2290" s="8"/>
      <c r="AR2290" s="284"/>
      <c r="AS2290" s="262" t="s">
        <v>5751</v>
      </c>
      <c r="AT2290" s="8"/>
      <c r="AU2290" s="6"/>
      <c r="AV2290" s="6" t="str">
        <f t="shared" ref="AV2290:AV2300" si="45">IF(A2290&lt;&gt;"",IF(T2290&lt;&gt;"",IF(LEFT(R2290,3)="Has",IF(TRIM(A2290)&lt;&gt;T2290,"ERROR","OK"),""),""),"")</f>
        <v/>
      </c>
    </row>
    <row r="2291" spans="1:48" s="17" customFormat="1" ht="11.65" x14ac:dyDescent="0.35">
      <c r="A2291" s="34" t="s">
        <v>5741</v>
      </c>
      <c r="C2291" s="18"/>
      <c r="D2291" s="18"/>
      <c r="E2291" s="18"/>
      <c r="F2291" s="18"/>
      <c r="G2291" s="18"/>
      <c r="H2291" s="18"/>
      <c r="I2291" s="18"/>
      <c r="J2291" s="18" t="s">
        <v>2473</v>
      </c>
      <c r="K2291" s="18" t="s">
        <v>2473</v>
      </c>
      <c r="L2291" s="18"/>
      <c r="M2291" s="145"/>
      <c r="N2291" s="8"/>
      <c r="O2291" s="8"/>
      <c r="P2291" s="8"/>
      <c r="Q2291" s="8"/>
      <c r="R2291" s="8"/>
      <c r="S2291" s="8"/>
      <c r="T2291" s="8"/>
      <c r="U2291" s="8"/>
      <c r="V2291" s="8"/>
      <c r="W2291" s="8"/>
      <c r="X2291" s="8"/>
      <c r="Y2291" s="145"/>
      <c r="Z2291" s="8"/>
      <c r="AA2291" s="8"/>
      <c r="AB2291" s="8"/>
      <c r="AC2291" s="8"/>
      <c r="AD2291" s="8"/>
      <c r="AE2291" s="154"/>
      <c r="AF2291" s="154"/>
      <c r="AG2291" s="8"/>
      <c r="AH2291" s="8"/>
      <c r="AI2291" s="8"/>
      <c r="AJ2291" s="8"/>
      <c r="AK2291" s="8"/>
      <c r="AL2291" s="8"/>
      <c r="AM2291" s="8"/>
      <c r="AN2291" s="8"/>
      <c r="AO2291" s="8"/>
      <c r="AP2291" s="8"/>
      <c r="AQ2291" s="8"/>
      <c r="AR2291" s="284"/>
      <c r="AS2291" s="262" t="s">
        <v>5751</v>
      </c>
      <c r="AT2291" s="8"/>
      <c r="AU2291" s="6"/>
      <c r="AV2291" s="6" t="str">
        <f t="shared" si="45"/>
        <v/>
      </c>
    </row>
    <row r="2292" spans="1:48" s="76" customFormat="1" ht="11.65" x14ac:dyDescent="0.35">
      <c r="A2292" s="75"/>
      <c r="C2292" s="77"/>
      <c r="D2292" s="77"/>
      <c r="E2292" s="77"/>
      <c r="F2292" s="77"/>
      <c r="G2292" s="77"/>
      <c r="H2292" s="77"/>
      <c r="I2292" s="77"/>
      <c r="J2292" s="77"/>
      <c r="K2292" s="77"/>
      <c r="L2292" s="77"/>
      <c r="M2292" s="148"/>
      <c r="N2292" s="78"/>
      <c r="O2292" s="78"/>
      <c r="P2292" s="78"/>
      <c r="Q2292" s="78"/>
      <c r="R2292" s="78"/>
      <c r="S2292" s="78"/>
      <c r="T2292" s="78"/>
      <c r="U2292" s="78"/>
      <c r="V2292" s="78"/>
      <c r="W2292" s="78"/>
      <c r="X2292" s="78"/>
      <c r="Y2292" s="148"/>
      <c r="Z2292" s="78"/>
      <c r="AA2292" s="78"/>
      <c r="AB2292" s="78"/>
      <c r="AC2292" s="78"/>
      <c r="AD2292" s="78"/>
      <c r="AE2292" s="156"/>
      <c r="AF2292" s="156"/>
      <c r="AG2292" s="78"/>
      <c r="AH2292" s="78"/>
      <c r="AI2292" s="78"/>
      <c r="AJ2292" s="78"/>
      <c r="AK2292" s="78"/>
      <c r="AL2292" s="78"/>
      <c r="AM2292" s="78"/>
      <c r="AN2292" s="78"/>
      <c r="AO2292" s="78"/>
      <c r="AP2292" s="78"/>
      <c r="AQ2292" s="78"/>
      <c r="AR2292" s="286"/>
      <c r="AS2292" s="78"/>
      <c r="AT2292" s="78"/>
      <c r="AU2292" s="8"/>
      <c r="AV2292" s="6" t="str">
        <f t="shared" si="45"/>
        <v/>
      </c>
    </row>
    <row r="2293" spans="1:48" s="17" customFormat="1" ht="11.65" x14ac:dyDescent="0.35">
      <c r="A2293" s="27" t="s">
        <v>5726</v>
      </c>
      <c r="C2293" s="18"/>
      <c r="D2293" s="18"/>
      <c r="E2293" s="18"/>
      <c r="F2293" s="18"/>
      <c r="G2293" s="18"/>
      <c r="H2293" s="18"/>
      <c r="J2293" s="18" t="s">
        <v>2473</v>
      </c>
      <c r="K2293" s="18" t="s">
        <v>2473</v>
      </c>
      <c r="M2293" s="145"/>
      <c r="N2293" s="8"/>
      <c r="O2293" s="8"/>
      <c r="P2293" s="8"/>
      <c r="Q2293" s="8"/>
      <c r="R2293" s="8"/>
      <c r="S2293" s="8"/>
      <c r="T2293" s="8"/>
      <c r="U2293" s="8"/>
      <c r="V2293" s="8"/>
      <c r="W2293" s="8"/>
      <c r="X2293" s="8"/>
      <c r="Y2293" s="145"/>
      <c r="Z2293" s="185"/>
      <c r="AA2293" s="185"/>
      <c r="AB2293" s="185"/>
      <c r="AC2293" s="185"/>
      <c r="AD2293" s="185"/>
      <c r="AE2293" s="186"/>
      <c r="AF2293" s="186"/>
      <c r="AG2293" s="185"/>
      <c r="AH2293" s="185"/>
      <c r="AI2293" s="185"/>
      <c r="AJ2293" s="185"/>
      <c r="AK2293" s="185"/>
      <c r="AL2293" s="185"/>
      <c r="AM2293" s="185"/>
      <c r="AN2293" s="185"/>
      <c r="AO2293" s="185"/>
      <c r="AP2293" s="185"/>
      <c r="AQ2293" s="185"/>
      <c r="AR2293" s="291"/>
      <c r="AS2293" s="262" t="s">
        <v>5751</v>
      </c>
      <c r="AT2293" s="185"/>
      <c r="AU2293" s="6"/>
      <c r="AV2293" s="6" t="str">
        <f t="shared" si="45"/>
        <v/>
      </c>
    </row>
    <row r="2294" spans="1:48" s="17" customFormat="1" ht="27" customHeight="1" x14ac:dyDescent="0.35">
      <c r="A2294" s="323" t="s">
        <v>5491</v>
      </c>
      <c r="B2294" s="324"/>
      <c r="C2294" s="324"/>
      <c r="D2294" s="324"/>
      <c r="E2294" s="324"/>
      <c r="F2294" s="324"/>
      <c r="G2294" s="101"/>
      <c r="H2294" s="101"/>
      <c r="J2294" s="18" t="s">
        <v>2473</v>
      </c>
      <c r="K2294" s="18" t="s">
        <v>2473</v>
      </c>
      <c r="M2294" s="145"/>
      <c r="N2294" s="8"/>
      <c r="O2294" s="8"/>
      <c r="P2294" s="8"/>
      <c r="Q2294" s="8"/>
      <c r="R2294" s="8"/>
      <c r="S2294" s="8"/>
      <c r="T2294" s="8"/>
      <c r="U2294" s="8"/>
      <c r="V2294" s="8"/>
      <c r="W2294" s="8"/>
      <c r="X2294" s="8"/>
      <c r="Y2294" s="145"/>
      <c r="Z2294" s="183"/>
      <c r="AA2294" s="183"/>
      <c r="AB2294" s="183"/>
      <c r="AC2294" s="183"/>
      <c r="AD2294" s="183"/>
      <c r="AE2294" s="184"/>
      <c r="AF2294" s="184"/>
      <c r="AG2294" s="183"/>
      <c r="AH2294" s="183"/>
      <c r="AI2294" s="183"/>
      <c r="AJ2294" s="183"/>
      <c r="AK2294" s="183"/>
      <c r="AL2294" s="183"/>
      <c r="AM2294" s="183"/>
      <c r="AN2294" s="183"/>
      <c r="AO2294" s="183"/>
      <c r="AP2294" s="183"/>
      <c r="AQ2294" s="183"/>
      <c r="AR2294" s="292"/>
      <c r="AS2294" s="262" t="s">
        <v>5751</v>
      </c>
      <c r="AT2294" s="183"/>
      <c r="AU2294" s="6"/>
      <c r="AV2294" s="6" t="str">
        <f t="shared" si="45"/>
        <v/>
      </c>
    </row>
    <row r="2295" spans="1:48" s="17" customFormat="1" ht="12" thickBot="1" x14ac:dyDescent="0.4">
      <c r="A2295" s="28" t="s">
        <v>1748</v>
      </c>
      <c r="C2295" s="18"/>
      <c r="D2295" s="18"/>
      <c r="E2295" s="18"/>
      <c r="F2295" s="18"/>
      <c r="G2295" s="18"/>
      <c r="H2295" s="18"/>
      <c r="J2295" s="18" t="s">
        <v>2473</v>
      </c>
      <c r="K2295" s="18" t="s">
        <v>2473</v>
      </c>
      <c r="M2295" s="145"/>
      <c r="N2295" s="8"/>
      <c r="O2295" s="8"/>
      <c r="P2295" s="8"/>
      <c r="Q2295" s="8"/>
      <c r="R2295" s="8"/>
      <c r="S2295" s="8"/>
      <c r="T2295" s="8"/>
      <c r="U2295" s="8"/>
      <c r="V2295" s="8"/>
      <c r="W2295" s="8"/>
      <c r="X2295" s="8"/>
      <c r="Y2295" s="145"/>
      <c r="Z2295" s="183"/>
      <c r="AA2295" s="183" t="s">
        <v>2322</v>
      </c>
      <c r="AB2295" s="183" t="s">
        <v>1697</v>
      </c>
      <c r="AC2295" s="183" t="s">
        <v>5</v>
      </c>
      <c r="AD2295" s="183"/>
      <c r="AE2295" s="184"/>
      <c r="AF2295" s="184"/>
      <c r="AG2295" s="183"/>
      <c r="AH2295" s="183"/>
      <c r="AI2295" s="183"/>
      <c r="AJ2295" s="183"/>
      <c r="AK2295" s="183"/>
      <c r="AL2295" s="183"/>
      <c r="AM2295" s="183"/>
      <c r="AN2295" s="183"/>
      <c r="AO2295" s="183"/>
      <c r="AP2295" s="183"/>
      <c r="AQ2295" s="183"/>
      <c r="AR2295" s="292"/>
      <c r="AS2295" s="262" t="s">
        <v>5751</v>
      </c>
      <c r="AT2295" s="183"/>
      <c r="AU2295" s="6"/>
      <c r="AV2295" s="6" t="str">
        <f t="shared" si="45"/>
        <v/>
      </c>
    </row>
    <row r="2296" spans="1:48" s="17" customFormat="1" ht="209.65" thickBot="1" x14ac:dyDescent="0.4">
      <c r="A2296" s="309" t="s">
        <v>5727</v>
      </c>
      <c r="B2296" s="310"/>
      <c r="C2296" s="301" t="s">
        <v>1</v>
      </c>
      <c r="D2296" s="319"/>
      <c r="E2296" s="319"/>
      <c r="F2296" s="302"/>
      <c r="G2296" s="102"/>
      <c r="H2296" s="102"/>
      <c r="J2296" s="18" t="s">
        <v>2473</v>
      </c>
      <c r="K2296" s="18" t="s">
        <v>2473</v>
      </c>
      <c r="M2296" s="145"/>
      <c r="N2296" s="8"/>
      <c r="O2296" s="8"/>
      <c r="P2296" s="8"/>
      <c r="Q2296" s="8"/>
      <c r="R2296" s="8"/>
      <c r="S2296" s="8"/>
      <c r="T2296" s="8"/>
      <c r="U2296" s="8"/>
      <c r="V2296" s="8"/>
      <c r="W2296" s="8"/>
      <c r="X2296" s="8"/>
      <c r="Y2296" s="145"/>
      <c r="Z2296" s="8"/>
      <c r="AA2296" s="183" t="str">
        <f>LEFT($A2296,FIND(" ",$A2296)-1)</f>
        <v>PowerSupply</v>
      </c>
      <c r="AB2296" s="183" t="str">
        <f>MID($A2296,FIND("(",$A2296)+1,LEN($A2296)-FIND("(",$A2296)-1)</f>
        <v>1.5.1</v>
      </c>
      <c r="AC2296" s="101" t="str">
        <f>A2294</f>
        <v>The PowerSupply schema describes a power supply unit. It also describes the location, such as a slot, socket, or bay, where a unit can be installed, by populating a resource instance with an absent state if a unit is not present.</v>
      </c>
      <c r="AD2296" s="8"/>
      <c r="AE2296" s="154"/>
      <c r="AF2296" s="154"/>
      <c r="AG2296" s="8"/>
      <c r="AH2296" s="8"/>
      <c r="AI2296" s="8"/>
      <c r="AJ2296" s="8"/>
      <c r="AK2296" s="8"/>
      <c r="AL2296" s="8"/>
      <c r="AM2296" s="8"/>
      <c r="AN2296" s="8"/>
      <c r="AO2296" s="8"/>
      <c r="AP2296" s="8"/>
      <c r="AQ2296" s="8"/>
      <c r="AR2296" s="284"/>
      <c r="AS2296" s="262" t="s">
        <v>5751</v>
      </c>
      <c r="AT2296" s="8"/>
      <c r="AU2296" s="6"/>
      <c r="AV2296" s="6" t="str">
        <f t="shared" si="45"/>
        <v/>
      </c>
    </row>
    <row r="2297" spans="1:48" s="17" customFormat="1" ht="12" thickBot="1" x14ac:dyDescent="0.4">
      <c r="A2297" s="311"/>
      <c r="B2297" s="312"/>
      <c r="C2297" s="301" t="s">
        <v>2</v>
      </c>
      <c r="D2297" s="302"/>
      <c r="E2297" s="301" t="s">
        <v>3</v>
      </c>
      <c r="F2297" s="302"/>
      <c r="G2297" s="301" t="s">
        <v>2896</v>
      </c>
      <c r="H2297" s="302"/>
      <c r="J2297" s="18" t="s">
        <v>2473</v>
      </c>
      <c r="K2297" s="18" t="s">
        <v>2473</v>
      </c>
      <c r="M2297" s="145"/>
      <c r="N2297" s="8"/>
      <c r="O2297" s="8"/>
      <c r="P2297" s="8"/>
      <c r="Q2297" s="8"/>
      <c r="R2297" s="8"/>
      <c r="S2297" s="8"/>
      <c r="T2297" s="8"/>
      <c r="U2297" s="8"/>
      <c r="V2297" s="8"/>
      <c r="W2297" s="8"/>
      <c r="X2297" s="8"/>
      <c r="Y2297" s="145"/>
      <c r="Z2297" s="8"/>
      <c r="AA2297" s="8"/>
      <c r="AB2297" s="8"/>
      <c r="AC2297" s="8"/>
      <c r="AD2297" s="8"/>
      <c r="AE2297" s="154"/>
      <c r="AF2297" s="154"/>
      <c r="AG2297" s="8"/>
      <c r="AH2297" s="8"/>
      <c r="AI2297" s="8"/>
      <c r="AJ2297" s="8"/>
      <c r="AK2297" s="8"/>
      <c r="AL2297" s="8"/>
      <c r="AM2297" s="8" t="str">
        <f>C2297</f>
        <v>OSM-Redfish</v>
      </c>
      <c r="AN2297" s="8" t="str">
        <f>E2297</f>
        <v>OSM-RedfishBMC</v>
      </c>
      <c r="AO2297" s="8" t="str">
        <f>G2297</f>
        <v>OSM-RedfishDCN</v>
      </c>
      <c r="AP2297" s="8"/>
      <c r="AQ2297" s="8"/>
      <c r="AR2297" s="284"/>
      <c r="AS2297" s="262" t="s">
        <v>5751</v>
      </c>
      <c r="AT2297" s="8"/>
      <c r="AU2297" s="6"/>
      <c r="AV2297" s="6" t="str">
        <f t="shared" si="45"/>
        <v/>
      </c>
    </row>
    <row r="2298" spans="1:48" s="17" customFormat="1" ht="12" thickBot="1" x14ac:dyDescent="0.4">
      <c r="A2298" s="46" t="s">
        <v>2377</v>
      </c>
      <c r="B2298" s="47"/>
      <c r="C2298" s="303" t="s">
        <v>13</v>
      </c>
      <c r="D2298" s="304"/>
      <c r="E2298" s="303" t="s">
        <v>13</v>
      </c>
      <c r="F2298" s="304"/>
      <c r="G2298" s="303" t="s">
        <v>13</v>
      </c>
      <c r="H2298" s="304"/>
      <c r="J2298" s="18" t="s">
        <v>2473</v>
      </c>
      <c r="K2298" s="18" t="s">
        <v>2473</v>
      </c>
      <c r="M2298" s="145"/>
      <c r="N2298" s="8"/>
      <c r="O2298" s="8"/>
      <c r="P2298" s="8"/>
      <c r="Q2298" s="8"/>
      <c r="R2298" s="247"/>
      <c r="S2298" s="185"/>
      <c r="T2298" s="185"/>
      <c r="U2298" s="185"/>
      <c r="V2298" s="185"/>
      <c r="W2298" s="185"/>
      <c r="X2298" s="8"/>
      <c r="Y2298" s="246"/>
      <c r="Z2298" s="185"/>
      <c r="AA2298" s="185"/>
      <c r="AB2298" s="185"/>
      <c r="AC2298" s="185"/>
      <c r="AD2298" s="185"/>
      <c r="AE2298" s="186"/>
      <c r="AF2298" s="186"/>
      <c r="AG2298" s="185"/>
      <c r="AH2298" s="185"/>
      <c r="AI2298" s="185"/>
      <c r="AJ2298" s="185"/>
      <c r="AK2298" s="185"/>
      <c r="AL2298" s="185"/>
      <c r="AM2298" s="8" t="str">
        <f>IF(C2298&lt;&gt;"","CRQ-P5-"&amp;(AM$2+$AP2298*$AP$3),"")</f>
        <v>CRQ-P5-1032</v>
      </c>
      <c r="AN2298" s="8" t="str">
        <f>IF(E2298&lt;&gt;"","CRQ-P5-"&amp;(AN$2+$AP2298*$AP$3),"")</f>
        <v>CRQ-P5-1332</v>
      </c>
      <c r="AO2298" s="8" t="str">
        <f>IF(G2298&lt;&gt;"","CRQ-P5-"&amp;(AO$2+$AP2298*$AP$3),"")</f>
        <v>CRQ-P5-1632</v>
      </c>
      <c r="AP2298" s="185">
        <v>8</v>
      </c>
      <c r="AQ2298" s="185"/>
      <c r="AR2298" s="291"/>
      <c r="AS2298" s="262" t="s">
        <v>5751</v>
      </c>
      <c r="AT2298" s="185"/>
      <c r="AU2298" s="6"/>
      <c r="AV2298" s="6" t="str">
        <f t="shared" si="45"/>
        <v/>
      </c>
    </row>
    <row r="2299" spans="1:48" s="17" customFormat="1" ht="12" thickBot="1" x14ac:dyDescent="0.4">
      <c r="A2299" s="29" t="s">
        <v>3394</v>
      </c>
      <c r="B2299" s="9"/>
      <c r="C2299" s="305" t="str">
        <f>MID(A2296,FIND("(",A2296)+1,5)</f>
        <v>1.5.1</v>
      </c>
      <c r="D2299" s="306"/>
      <c r="E2299" s="305" t="str">
        <f>MID(A2296,FIND("(",A2296)+1,5)</f>
        <v>1.5.1</v>
      </c>
      <c r="F2299" s="306"/>
      <c r="G2299" s="305" t="str">
        <f>MID(A2296,FIND("(",A2296)+1,5)</f>
        <v>1.5.1</v>
      </c>
      <c r="H2299" s="306"/>
      <c r="J2299" s="18" t="s">
        <v>2473</v>
      </c>
      <c r="K2299" s="18" t="s">
        <v>2473</v>
      </c>
      <c r="M2299" s="145"/>
      <c r="N2299" s="8"/>
      <c r="O2299" s="8"/>
      <c r="P2299" s="8"/>
      <c r="Q2299" s="8"/>
      <c r="R2299" s="8"/>
      <c r="S2299" s="8"/>
      <c r="T2299" s="8"/>
      <c r="U2299" s="8"/>
      <c r="V2299" s="8"/>
      <c r="W2299" s="8"/>
      <c r="X2299" s="8"/>
      <c r="Y2299" s="145"/>
      <c r="Z2299" s="185"/>
      <c r="AA2299" s="185"/>
      <c r="AB2299" s="185"/>
      <c r="AC2299" s="185"/>
      <c r="AD2299" s="185"/>
      <c r="AE2299" s="186"/>
      <c r="AF2299" s="186"/>
      <c r="AG2299" s="185"/>
      <c r="AH2299" s="185"/>
      <c r="AI2299" s="185"/>
      <c r="AJ2299" s="185"/>
      <c r="AK2299" s="185"/>
      <c r="AL2299" s="185"/>
      <c r="AM2299" s="185"/>
      <c r="AN2299" s="185"/>
      <c r="AO2299" s="185"/>
      <c r="AP2299" s="185"/>
      <c r="AQ2299" s="185"/>
      <c r="AR2299" s="291"/>
      <c r="AS2299" s="262" t="s">
        <v>5751</v>
      </c>
      <c r="AT2299" s="185"/>
      <c r="AU2299" s="6"/>
      <c r="AV2299" s="6" t="str">
        <f t="shared" si="45"/>
        <v/>
      </c>
    </row>
    <row r="2300" spans="1:48" s="17" customFormat="1" ht="15" customHeight="1" thickBot="1" x14ac:dyDescent="0.4">
      <c r="A2300" s="30" t="s">
        <v>4</v>
      </c>
      <c r="B2300" s="59" t="s">
        <v>5</v>
      </c>
      <c r="C2300" s="7" t="s">
        <v>6</v>
      </c>
      <c r="D2300" s="7" t="s">
        <v>7</v>
      </c>
      <c r="E2300" s="7" t="s">
        <v>6</v>
      </c>
      <c r="F2300" s="7" t="s">
        <v>7</v>
      </c>
      <c r="G2300" s="7" t="s">
        <v>6</v>
      </c>
      <c r="H2300" s="7" t="s">
        <v>7</v>
      </c>
      <c r="J2300" s="18" t="s">
        <v>2473</v>
      </c>
      <c r="K2300" s="18" t="s">
        <v>2473</v>
      </c>
      <c r="M2300" s="145"/>
      <c r="N2300" s="8"/>
      <c r="O2300" s="8"/>
      <c r="P2300" s="8"/>
      <c r="Q2300" s="8"/>
      <c r="R2300" s="8"/>
      <c r="S2300" s="8"/>
      <c r="T2300" s="8"/>
      <c r="U2300" s="8"/>
      <c r="V2300" s="8"/>
      <c r="W2300" s="8"/>
      <c r="X2300" s="8"/>
      <c r="Y2300" s="145"/>
      <c r="Z2300" s="183"/>
      <c r="AA2300" s="183"/>
      <c r="AB2300" s="183"/>
      <c r="AC2300" s="183"/>
      <c r="AD2300" s="183"/>
      <c r="AE2300" s="184"/>
      <c r="AF2300" s="184"/>
      <c r="AG2300" s="183"/>
      <c r="AH2300" s="183"/>
      <c r="AI2300" s="183"/>
      <c r="AJ2300" s="183"/>
      <c r="AK2300" s="183"/>
      <c r="AL2300" s="183"/>
      <c r="AM2300" s="183"/>
      <c r="AN2300" s="183"/>
      <c r="AO2300" s="183"/>
      <c r="AP2300" s="183"/>
      <c r="AQ2300" s="183"/>
      <c r="AR2300" s="292"/>
      <c r="AS2300" s="262" t="s">
        <v>5751</v>
      </c>
      <c r="AT2300" s="183"/>
      <c r="AU2300" s="6"/>
      <c r="AV2300" s="6" t="str">
        <f t="shared" si="45"/>
        <v/>
      </c>
    </row>
    <row r="2301" spans="1:48" s="17" customFormat="1" ht="23.65" thickBot="1" x14ac:dyDescent="0.4">
      <c r="A2301" s="255" t="s">
        <v>181</v>
      </c>
      <c r="B2301" s="50" t="s">
        <v>5492</v>
      </c>
      <c r="C2301" s="21"/>
      <c r="D2301" s="21"/>
      <c r="E2301" s="21"/>
      <c r="F2301" s="21"/>
      <c r="G2301" s="21"/>
      <c r="H2301" s="21"/>
      <c r="J2301" s="18" t="s">
        <v>2473</v>
      </c>
      <c r="K2301" s="18" t="s">
        <v>2473</v>
      </c>
      <c r="M2301" s="248"/>
      <c r="Y2301" s="145"/>
      <c r="AR2301" s="290"/>
      <c r="AS2301" s="262" t="s">
        <v>5751</v>
      </c>
    </row>
    <row r="2302" spans="1:48" s="17" customFormat="1" ht="23.65" thickBot="1" x14ac:dyDescent="0.4">
      <c r="A2302" s="256" t="s">
        <v>33</v>
      </c>
      <c r="B2302" s="50" t="s">
        <v>5493</v>
      </c>
      <c r="C2302" s="21"/>
      <c r="D2302" s="21"/>
      <c r="E2302" s="21"/>
      <c r="F2302" s="21"/>
      <c r="G2302" s="21"/>
      <c r="H2302" s="21"/>
      <c r="J2302" s="18" t="s">
        <v>2473</v>
      </c>
      <c r="K2302" s="18" t="s">
        <v>2473</v>
      </c>
      <c r="M2302" s="248"/>
      <c r="Y2302" s="145"/>
      <c r="AR2302" s="290"/>
      <c r="AS2302" s="262" t="s">
        <v>5751</v>
      </c>
    </row>
    <row r="2303" spans="1:48" s="17" customFormat="1" ht="12" thickBot="1" x14ac:dyDescent="0.4">
      <c r="A2303" s="255" t="s">
        <v>5494</v>
      </c>
      <c r="B2303" s="50" t="s">
        <v>5495</v>
      </c>
      <c r="C2303" s="21"/>
      <c r="D2303" s="21"/>
      <c r="E2303" s="21"/>
      <c r="F2303" s="21"/>
      <c r="G2303" s="21"/>
      <c r="H2303" s="21"/>
      <c r="J2303" s="18" t="s">
        <v>2473</v>
      </c>
      <c r="K2303" s="18" t="s">
        <v>2473</v>
      </c>
      <c r="M2303" s="248"/>
      <c r="Y2303" s="145"/>
      <c r="AR2303" s="290"/>
      <c r="AS2303" s="262" t="s">
        <v>5751</v>
      </c>
    </row>
    <row r="2304" spans="1:48" s="17" customFormat="1" ht="12" thickBot="1" x14ac:dyDescent="0.4">
      <c r="A2304" s="256" t="s">
        <v>2084</v>
      </c>
      <c r="B2304" s="50" t="s">
        <v>5496</v>
      </c>
      <c r="C2304" s="21"/>
      <c r="D2304" s="21"/>
      <c r="E2304" s="21"/>
      <c r="F2304" s="21"/>
      <c r="G2304" s="21"/>
      <c r="H2304" s="21"/>
      <c r="J2304" s="18" t="s">
        <v>2473</v>
      </c>
      <c r="K2304" s="18" t="s">
        <v>2473</v>
      </c>
      <c r="M2304" s="248"/>
      <c r="Y2304" s="145"/>
      <c r="AR2304" s="290"/>
      <c r="AS2304" s="262" t="s">
        <v>5751</v>
      </c>
    </row>
    <row r="2305" spans="1:45" s="17" customFormat="1" ht="12" thickBot="1" x14ac:dyDescent="0.4">
      <c r="A2305" s="256" t="s">
        <v>5497</v>
      </c>
      <c r="B2305" s="50" t="s">
        <v>5498</v>
      </c>
      <c r="C2305" s="21"/>
      <c r="D2305" s="21"/>
      <c r="E2305" s="21"/>
      <c r="F2305" s="21"/>
      <c r="G2305" s="21"/>
      <c r="H2305" s="21"/>
      <c r="J2305" s="18" t="s">
        <v>2473</v>
      </c>
      <c r="K2305" s="18" t="s">
        <v>2473</v>
      </c>
      <c r="M2305" s="248"/>
      <c r="Y2305" s="145"/>
      <c r="AR2305" s="290"/>
      <c r="AS2305" s="262" t="s">
        <v>5751</v>
      </c>
    </row>
    <row r="2306" spans="1:45" s="17" customFormat="1" ht="23.65" thickBot="1" x14ac:dyDescent="0.4">
      <c r="A2306" s="255" t="s">
        <v>5499</v>
      </c>
      <c r="B2306" s="50" t="s">
        <v>5500</v>
      </c>
      <c r="C2306" s="21"/>
      <c r="D2306" s="21"/>
      <c r="E2306" s="21"/>
      <c r="F2306" s="21"/>
      <c r="G2306" s="21"/>
      <c r="H2306" s="21"/>
      <c r="J2306" s="18" t="s">
        <v>2473</v>
      </c>
      <c r="K2306" s="18" t="s">
        <v>2473</v>
      </c>
      <c r="M2306" s="248"/>
      <c r="Y2306" s="145"/>
      <c r="AR2306" s="290"/>
      <c r="AS2306" s="262" t="s">
        <v>5751</v>
      </c>
    </row>
    <row r="2307" spans="1:45" s="17" customFormat="1" ht="23.65" thickBot="1" x14ac:dyDescent="0.4">
      <c r="A2307" s="255" t="s">
        <v>5501</v>
      </c>
      <c r="B2307" s="50" t="s">
        <v>5502</v>
      </c>
      <c r="C2307" s="21"/>
      <c r="D2307" s="21"/>
      <c r="E2307" s="21"/>
      <c r="F2307" s="21"/>
      <c r="G2307" s="21"/>
      <c r="H2307" s="21"/>
      <c r="J2307" s="18" t="s">
        <v>2473</v>
      </c>
      <c r="K2307" s="18" t="s">
        <v>2473</v>
      </c>
      <c r="M2307" s="248"/>
      <c r="Y2307" s="145"/>
      <c r="AR2307" s="290"/>
      <c r="AS2307" s="262" t="s">
        <v>5751</v>
      </c>
    </row>
    <row r="2308" spans="1:45" s="17" customFormat="1" ht="12" thickBot="1" x14ac:dyDescent="0.4">
      <c r="A2308" s="255" t="s">
        <v>897</v>
      </c>
      <c r="B2308" s="50" t="s">
        <v>2086</v>
      </c>
      <c r="C2308" s="21"/>
      <c r="D2308" s="21"/>
      <c r="E2308" s="21"/>
      <c r="F2308" s="21"/>
      <c r="G2308" s="21"/>
      <c r="H2308" s="21"/>
      <c r="J2308" s="18" t="s">
        <v>2473</v>
      </c>
      <c r="K2308" s="18" t="s">
        <v>2473</v>
      </c>
      <c r="M2308" s="248"/>
      <c r="Y2308" s="145"/>
      <c r="AR2308" s="290"/>
      <c r="AS2308" s="262" t="s">
        <v>5751</v>
      </c>
    </row>
    <row r="2309" spans="1:45" s="17" customFormat="1" ht="23.65" thickBot="1" x14ac:dyDescent="0.4">
      <c r="A2309" s="255" t="s">
        <v>3101</v>
      </c>
      <c r="B2309" s="50" t="s">
        <v>5503</v>
      </c>
      <c r="C2309" s="21"/>
      <c r="D2309" s="21"/>
      <c r="E2309" s="21"/>
      <c r="F2309" s="21"/>
      <c r="G2309" s="21"/>
      <c r="H2309" s="21"/>
      <c r="J2309" s="18" t="s">
        <v>2473</v>
      </c>
      <c r="K2309" s="18" t="s">
        <v>2473</v>
      </c>
      <c r="M2309" s="248"/>
      <c r="Y2309" s="145"/>
      <c r="AR2309" s="290"/>
      <c r="AS2309" s="262" t="s">
        <v>5751</v>
      </c>
    </row>
    <row r="2310" spans="1:45" s="17" customFormat="1" ht="40.9" thickBot="1" x14ac:dyDescent="0.4">
      <c r="A2310" s="255" t="s">
        <v>5504</v>
      </c>
      <c r="B2310" s="50" t="s">
        <v>5505</v>
      </c>
      <c r="C2310" s="21"/>
      <c r="D2310" s="21"/>
      <c r="E2310" s="21" t="s">
        <v>10</v>
      </c>
      <c r="F2310" s="21"/>
      <c r="G2310" s="21" t="s">
        <v>10</v>
      </c>
      <c r="H2310" s="21"/>
      <c r="J2310" s="18" t="s">
        <v>2473</v>
      </c>
      <c r="K2310" s="18" t="s">
        <v>2473</v>
      </c>
      <c r="M2310" s="248"/>
      <c r="Y2310" s="145"/>
      <c r="AR2310" s="290"/>
      <c r="AS2310" s="262" t="s">
        <v>5844</v>
      </c>
    </row>
    <row r="2311" spans="1:45" s="17" customFormat="1" ht="12" thickBot="1" x14ac:dyDescent="0.4">
      <c r="A2311" s="255" t="s">
        <v>5506</v>
      </c>
      <c r="B2311" s="50" t="s">
        <v>2092</v>
      </c>
      <c r="C2311" s="21"/>
      <c r="D2311" s="21"/>
      <c r="E2311" s="21"/>
      <c r="F2311" s="21"/>
      <c r="G2311" s="21"/>
      <c r="H2311" s="21"/>
      <c r="J2311" s="18" t="s">
        <v>2473</v>
      </c>
      <c r="K2311" s="18" t="s">
        <v>2473</v>
      </c>
      <c r="M2311" s="248"/>
      <c r="Y2311" s="145"/>
      <c r="AR2311" s="290"/>
      <c r="AS2311" s="262" t="s">
        <v>5751</v>
      </c>
    </row>
    <row r="2312" spans="1:45" s="17" customFormat="1" ht="23.65" thickBot="1" x14ac:dyDescent="0.4">
      <c r="A2312" s="256" t="s">
        <v>5507</v>
      </c>
      <c r="B2312" s="50" t="s">
        <v>5508</v>
      </c>
      <c r="C2312" s="21"/>
      <c r="D2312" s="21"/>
      <c r="E2312" s="21"/>
      <c r="F2312" s="21"/>
      <c r="G2312" s="21"/>
      <c r="H2312" s="21"/>
      <c r="J2312" s="18" t="s">
        <v>2473</v>
      </c>
      <c r="K2312" s="18" t="s">
        <v>2473</v>
      </c>
      <c r="M2312" s="248"/>
      <c r="Y2312" s="145"/>
      <c r="AR2312" s="290"/>
      <c r="AS2312" s="262" t="s">
        <v>5751</v>
      </c>
    </row>
    <row r="2313" spans="1:45" s="17" customFormat="1" ht="23.65" thickBot="1" x14ac:dyDescent="0.4">
      <c r="A2313" s="256" t="s">
        <v>5509</v>
      </c>
      <c r="B2313" s="50" t="s">
        <v>5510</v>
      </c>
      <c r="C2313" s="21"/>
      <c r="D2313" s="21"/>
      <c r="E2313" s="21"/>
      <c r="F2313" s="21"/>
      <c r="G2313" s="21"/>
      <c r="H2313" s="21"/>
      <c r="J2313" s="18" t="s">
        <v>2473</v>
      </c>
      <c r="K2313" s="18" t="s">
        <v>2473</v>
      </c>
      <c r="M2313" s="248"/>
      <c r="Y2313" s="145"/>
      <c r="AR2313" s="290"/>
      <c r="AS2313" s="262" t="s">
        <v>5751</v>
      </c>
    </row>
    <row r="2314" spans="1:45" s="17" customFormat="1" ht="23.65" thickBot="1" x14ac:dyDescent="0.4">
      <c r="A2314" s="255" t="s">
        <v>5511</v>
      </c>
      <c r="B2314" s="50" t="s">
        <v>5512</v>
      </c>
      <c r="C2314" s="21"/>
      <c r="D2314" s="21"/>
      <c r="E2314" s="21"/>
      <c r="F2314" s="21"/>
      <c r="G2314" s="21"/>
      <c r="H2314" s="21"/>
      <c r="J2314" s="18" t="s">
        <v>2473</v>
      </c>
      <c r="K2314" s="18" t="s">
        <v>2473</v>
      </c>
      <c r="M2314" s="248"/>
      <c r="Y2314" s="145"/>
      <c r="AR2314" s="290"/>
      <c r="AS2314" s="262" t="s">
        <v>5751</v>
      </c>
    </row>
    <row r="2315" spans="1:45" s="17" customFormat="1" ht="12" thickBot="1" x14ac:dyDescent="0.4">
      <c r="A2315" s="255" t="s">
        <v>75</v>
      </c>
      <c r="B2315" s="50" t="s">
        <v>5413</v>
      </c>
      <c r="C2315" s="21"/>
      <c r="D2315" s="21"/>
      <c r="E2315" s="21"/>
      <c r="F2315" s="21"/>
      <c r="G2315" s="21"/>
      <c r="H2315" s="21"/>
      <c r="J2315" s="18" t="s">
        <v>2473</v>
      </c>
      <c r="K2315" s="18" t="s">
        <v>2473</v>
      </c>
      <c r="M2315" s="248"/>
      <c r="Y2315" s="145"/>
      <c r="AR2315" s="290"/>
      <c r="AS2315" s="262" t="s">
        <v>5751</v>
      </c>
    </row>
    <row r="2316" spans="1:45" s="17" customFormat="1" ht="12" thickBot="1" x14ac:dyDescent="0.4">
      <c r="A2316" s="256" t="s">
        <v>59</v>
      </c>
      <c r="B2316" s="72" t="s">
        <v>5423</v>
      </c>
      <c r="C2316" s="21"/>
      <c r="D2316" s="21"/>
      <c r="E2316" s="21"/>
      <c r="F2316" s="21"/>
      <c r="G2316" s="21"/>
      <c r="H2316" s="21"/>
      <c r="J2316" s="18" t="s">
        <v>2473</v>
      </c>
      <c r="K2316" s="18" t="s">
        <v>2473</v>
      </c>
      <c r="M2316" s="248"/>
      <c r="Y2316" s="145"/>
      <c r="AR2316" s="290"/>
      <c r="AS2316" s="262" t="s">
        <v>5751</v>
      </c>
    </row>
    <row r="2317" spans="1:45" s="17" customFormat="1" ht="58.5" thickBot="1" x14ac:dyDescent="0.4">
      <c r="A2317" s="256" t="s">
        <v>5514</v>
      </c>
      <c r="B2317" s="50" t="s">
        <v>5515</v>
      </c>
      <c r="C2317" s="21"/>
      <c r="D2317" s="21"/>
      <c r="E2317" s="21"/>
      <c r="F2317" s="21"/>
      <c r="G2317" s="21"/>
      <c r="H2317" s="21"/>
      <c r="J2317" s="18" t="s">
        <v>2473</v>
      </c>
      <c r="K2317" s="18" t="s">
        <v>2473</v>
      </c>
      <c r="M2317" s="248"/>
      <c r="Y2317" s="145"/>
      <c r="AR2317" s="290"/>
      <c r="AS2317" s="262" t="s">
        <v>5751</v>
      </c>
    </row>
    <row r="2318" spans="1:45" s="17" customFormat="1" ht="23.65" thickBot="1" x14ac:dyDescent="0.4">
      <c r="A2318" s="256" t="s">
        <v>43</v>
      </c>
      <c r="B2318" s="50" t="s">
        <v>5516</v>
      </c>
      <c r="C2318" s="21"/>
      <c r="D2318" s="21"/>
      <c r="E2318" s="21"/>
      <c r="F2318" s="21"/>
      <c r="G2318" s="21"/>
      <c r="H2318" s="21"/>
      <c r="J2318" s="18" t="s">
        <v>2473</v>
      </c>
      <c r="K2318" s="18" t="s">
        <v>2473</v>
      </c>
      <c r="M2318" s="248"/>
      <c r="Y2318" s="145"/>
      <c r="AR2318" s="290"/>
      <c r="AS2318" s="262" t="s">
        <v>5751</v>
      </c>
    </row>
    <row r="2319" spans="1:45" s="17" customFormat="1" ht="23.65" thickBot="1" x14ac:dyDescent="0.4">
      <c r="A2319" s="256" t="s">
        <v>5517</v>
      </c>
      <c r="B2319" s="50" t="s">
        <v>5518</v>
      </c>
      <c r="C2319" s="21"/>
      <c r="D2319" s="21"/>
      <c r="E2319" s="21"/>
      <c r="F2319" s="21"/>
      <c r="G2319" s="21"/>
      <c r="H2319" s="21"/>
      <c r="J2319" s="18" t="s">
        <v>2473</v>
      </c>
      <c r="K2319" s="18" t="s">
        <v>2473</v>
      </c>
      <c r="M2319" s="248"/>
      <c r="Y2319" s="145"/>
      <c r="AR2319" s="290"/>
      <c r="AS2319" s="262" t="s">
        <v>5751</v>
      </c>
    </row>
    <row r="2320" spans="1:45" s="17" customFormat="1" ht="23.65" thickBot="1" x14ac:dyDescent="0.4">
      <c r="A2320" s="256" t="s">
        <v>43</v>
      </c>
      <c r="B2320" s="50" t="s">
        <v>5519</v>
      </c>
      <c r="C2320" s="21"/>
      <c r="D2320" s="21"/>
      <c r="E2320" s="21"/>
      <c r="F2320" s="21"/>
      <c r="G2320" s="21"/>
      <c r="H2320" s="21"/>
      <c r="J2320" s="18" t="s">
        <v>2473</v>
      </c>
      <c r="K2320" s="18" t="s">
        <v>2473</v>
      </c>
      <c r="M2320" s="248"/>
      <c r="Y2320" s="145"/>
      <c r="AR2320" s="290"/>
      <c r="AS2320" s="262" t="s">
        <v>5751</v>
      </c>
    </row>
    <row r="2321" spans="1:45" s="17" customFormat="1" ht="23.65" thickBot="1" x14ac:dyDescent="0.4">
      <c r="A2321" s="256" t="s">
        <v>5520</v>
      </c>
      <c r="B2321" s="50" t="s">
        <v>5521</v>
      </c>
      <c r="C2321" s="21"/>
      <c r="D2321" s="21"/>
      <c r="E2321" s="21"/>
      <c r="F2321" s="21"/>
      <c r="G2321" s="21"/>
      <c r="H2321" s="21"/>
      <c r="J2321" s="18" t="s">
        <v>2473</v>
      </c>
      <c r="K2321" s="18" t="s">
        <v>2473</v>
      </c>
      <c r="M2321" s="248"/>
      <c r="Y2321" s="145"/>
      <c r="AR2321" s="290"/>
      <c r="AS2321" s="262" t="s">
        <v>5751</v>
      </c>
    </row>
    <row r="2322" spans="1:45" s="17" customFormat="1" ht="12" thickBot="1" x14ac:dyDescent="0.4">
      <c r="A2322" s="255" t="s">
        <v>208</v>
      </c>
      <c r="B2322" s="50" t="s">
        <v>5522</v>
      </c>
      <c r="C2322" s="21"/>
      <c r="D2322" s="21"/>
      <c r="E2322" s="21"/>
      <c r="F2322" s="21"/>
      <c r="G2322" s="21"/>
      <c r="H2322" s="21"/>
      <c r="J2322" s="18" t="s">
        <v>2473</v>
      </c>
      <c r="K2322" s="18" t="s">
        <v>2473</v>
      </c>
      <c r="M2322" s="248"/>
      <c r="Y2322" s="145"/>
      <c r="AR2322" s="290"/>
      <c r="AS2322" s="262" t="s">
        <v>5751</v>
      </c>
    </row>
    <row r="2323" spans="1:45" s="17" customFormat="1" ht="12" thickBot="1" x14ac:dyDescent="0.4">
      <c r="A2323" s="255" t="s">
        <v>5381</v>
      </c>
      <c r="B2323" s="50" t="s">
        <v>5382</v>
      </c>
      <c r="C2323" s="21"/>
      <c r="D2323" s="21"/>
      <c r="E2323" s="21"/>
      <c r="F2323" s="21"/>
      <c r="G2323" s="21"/>
      <c r="H2323" s="21"/>
      <c r="J2323" s="18" t="s">
        <v>2473</v>
      </c>
      <c r="K2323" s="18" t="s">
        <v>2473</v>
      </c>
      <c r="M2323" s="248"/>
      <c r="Y2323" s="145"/>
      <c r="AR2323" s="290"/>
      <c r="AS2323" s="262" t="s">
        <v>5751</v>
      </c>
    </row>
    <row r="2324" spans="1:45" s="17" customFormat="1" ht="40.9" thickBot="1" x14ac:dyDescent="0.4">
      <c r="A2324" s="255" t="s">
        <v>99</v>
      </c>
      <c r="B2324" s="50" t="s">
        <v>2110</v>
      </c>
      <c r="C2324" s="21"/>
      <c r="D2324" s="21"/>
      <c r="E2324" s="21" t="s">
        <v>10</v>
      </c>
      <c r="F2324" s="21"/>
      <c r="G2324" s="21" t="s">
        <v>10</v>
      </c>
      <c r="H2324" s="21"/>
      <c r="J2324" s="18" t="s">
        <v>2473</v>
      </c>
      <c r="K2324" s="18" t="s">
        <v>2473</v>
      </c>
      <c r="M2324" s="248"/>
      <c r="Y2324" s="145"/>
      <c r="AR2324" s="290"/>
      <c r="AS2324" s="262" t="s">
        <v>5844</v>
      </c>
    </row>
    <row r="2325" spans="1:45" s="17" customFormat="1" ht="40.9" thickBot="1" x14ac:dyDescent="0.4">
      <c r="A2325" s="255" t="s">
        <v>231</v>
      </c>
      <c r="B2325" s="50" t="s">
        <v>5523</v>
      </c>
      <c r="C2325" s="21"/>
      <c r="D2325" s="21"/>
      <c r="E2325" s="21" t="s">
        <v>13</v>
      </c>
      <c r="F2325" s="21"/>
      <c r="G2325" s="21" t="s">
        <v>13</v>
      </c>
      <c r="H2325" s="21"/>
      <c r="J2325" s="18" t="s">
        <v>2473</v>
      </c>
      <c r="K2325" s="18" t="s">
        <v>2473</v>
      </c>
      <c r="M2325" s="248"/>
      <c r="Y2325" s="145"/>
      <c r="AR2325" s="290"/>
      <c r="AS2325" s="262" t="s">
        <v>5844</v>
      </c>
    </row>
    <row r="2326" spans="1:45" s="17" customFormat="1" ht="23.65" thickBot="1" x14ac:dyDescent="0.4">
      <c r="A2326" s="256" t="s">
        <v>33</v>
      </c>
      <c r="B2326" s="50" t="s">
        <v>5524</v>
      </c>
      <c r="C2326" s="21"/>
      <c r="D2326" s="21"/>
      <c r="E2326" s="21"/>
      <c r="F2326" s="21"/>
      <c r="G2326" s="21"/>
      <c r="H2326" s="21"/>
      <c r="J2326" s="18" t="s">
        <v>2473</v>
      </c>
      <c r="K2326" s="18" t="s">
        <v>2473</v>
      </c>
      <c r="M2326" s="248"/>
      <c r="Y2326" s="145"/>
      <c r="AR2326" s="290"/>
      <c r="AS2326" s="262" t="s">
        <v>5751</v>
      </c>
    </row>
    <row r="2327" spans="1:45" s="17" customFormat="1" ht="40.9" thickBot="1" x14ac:dyDescent="0.4">
      <c r="A2327" s="255" t="s">
        <v>114</v>
      </c>
      <c r="B2327" s="50" t="s">
        <v>2111</v>
      </c>
      <c r="C2327" s="21"/>
      <c r="D2327" s="21"/>
      <c r="E2327" s="21" t="s">
        <v>10</v>
      </c>
      <c r="F2327" s="21"/>
      <c r="G2327" s="21" t="s">
        <v>10</v>
      </c>
      <c r="H2327" s="21"/>
      <c r="J2327" s="18" t="s">
        <v>2473</v>
      </c>
      <c r="K2327" s="18" t="s">
        <v>2473</v>
      </c>
      <c r="M2327" s="248"/>
      <c r="Y2327" s="145"/>
      <c r="AR2327" s="290"/>
      <c r="AS2327" s="262" t="s">
        <v>5844</v>
      </c>
    </row>
    <row r="2328" spans="1:45" s="17" customFormat="1" ht="35.25" thickBot="1" x14ac:dyDescent="0.4">
      <c r="A2328" s="255" t="s">
        <v>5525</v>
      </c>
      <c r="B2328" s="50" t="s">
        <v>5526</v>
      </c>
      <c r="C2328" s="21"/>
      <c r="D2328" s="21"/>
      <c r="E2328" s="21"/>
      <c r="F2328" s="21"/>
      <c r="G2328" s="21"/>
      <c r="H2328" s="21"/>
      <c r="J2328" s="18" t="s">
        <v>2473</v>
      </c>
      <c r="K2328" s="18" t="s">
        <v>2473</v>
      </c>
      <c r="M2328" s="248"/>
      <c r="Y2328" s="145"/>
      <c r="AR2328" s="290"/>
      <c r="AS2328" s="262" t="s">
        <v>5751</v>
      </c>
    </row>
    <row r="2329" spans="1:45" s="17" customFormat="1" ht="12" thickBot="1" x14ac:dyDescent="0.4">
      <c r="A2329" s="255" t="s">
        <v>5527</v>
      </c>
      <c r="B2329" s="50" t="s">
        <v>5528</v>
      </c>
      <c r="C2329" s="21"/>
      <c r="D2329" s="21"/>
      <c r="E2329" s="21"/>
      <c r="F2329" s="21"/>
      <c r="G2329" s="21"/>
      <c r="H2329" s="21"/>
      <c r="J2329" s="18" t="s">
        <v>2473</v>
      </c>
      <c r="K2329" s="18" t="s">
        <v>2473</v>
      </c>
      <c r="M2329" s="248"/>
      <c r="Y2329" s="145"/>
      <c r="AR2329" s="290"/>
      <c r="AS2329" s="262" t="s">
        <v>5751</v>
      </c>
    </row>
    <row r="2330" spans="1:45" s="17" customFormat="1" ht="12" thickBot="1" x14ac:dyDescent="0.4">
      <c r="A2330" s="256" t="s">
        <v>5529</v>
      </c>
      <c r="B2330" s="50" t="s">
        <v>5530</v>
      </c>
      <c r="C2330" s="21"/>
      <c r="D2330" s="21"/>
      <c r="E2330" s="21"/>
      <c r="F2330" s="21"/>
      <c r="G2330" s="21"/>
      <c r="H2330" s="21"/>
      <c r="J2330" s="18" t="s">
        <v>2473</v>
      </c>
      <c r="K2330" s="18" t="s">
        <v>2473</v>
      </c>
      <c r="M2330" s="248"/>
      <c r="Y2330" s="145"/>
      <c r="AR2330" s="290"/>
      <c r="AS2330" s="262" t="s">
        <v>5751</v>
      </c>
    </row>
    <row r="2331" spans="1:45" s="17" customFormat="1" ht="23.65" thickBot="1" x14ac:dyDescent="0.4">
      <c r="A2331" s="256" t="s">
        <v>2051</v>
      </c>
      <c r="B2331" s="50" t="s">
        <v>5531</v>
      </c>
      <c r="C2331" s="21"/>
      <c r="D2331" s="21"/>
      <c r="E2331" s="21"/>
      <c r="F2331" s="21"/>
      <c r="G2331" s="21"/>
      <c r="H2331" s="21"/>
      <c r="J2331" s="18" t="s">
        <v>2473</v>
      </c>
      <c r="K2331" s="18" t="s">
        <v>2473</v>
      </c>
      <c r="M2331" s="248"/>
      <c r="Y2331" s="145"/>
      <c r="AR2331" s="290"/>
      <c r="AS2331" s="262" t="s">
        <v>5751</v>
      </c>
    </row>
    <row r="2332" spans="1:45" s="17" customFormat="1" ht="40.9" thickBot="1" x14ac:dyDescent="0.4">
      <c r="A2332" s="255" t="s">
        <v>244</v>
      </c>
      <c r="B2332" s="50" t="s">
        <v>2113</v>
      </c>
      <c r="C2332" s="21"/>
      <c r="D2332" s="21"/>
      <c r="E2332" s="21" t="s">
        <v>13</v>
      </c>
      <c r="F2332" s="21"/>
      <c r="G2332" s="21" t="s">
        <v>13</v>
      </c>
      <c r="H2332" s="21"/>
      <c r="J2332" s="18" t="s">
        <v>2473</v>
      </c>
      <c r="K2332" s="18" t="s">
        <v>2473</v>
      </c>
      <c r="M2332" s="248"/>
      <c r="Y2332" s="145"/>
      <c r="AR2332" s="290"/>
      <c r="AS2332" s="262" t="s">
        <v>5844</v>
      </c>
    </row>
    <row r="2333" spans="1:45" s="17" customFormat="1" ht="46.9" thickBot="1" x14ac:dyDescent="0.4">
      <c r="A2333" s="255" t="s">
        <v>5532</v>
      </c>
      <c r="B2333" s="50" t="s">
        <v>5533</v>
      </c>
      <c r="C2333" s="21"/>
      <c r="D2333" s="21"/>
      <c r="E2333" s="21"/>
      <c r="F2333" s="21"/>
      <c r="G2333" s="21"/>
      <c r="H2333" s="21"/>
      <c r="J2333" s="18" t="s">
        <v>2473</v>
      </c>
      <c r="K2333" s="18" t="s">
        <v>2473</v>
      </c>
      <c r="M2333" s="248"/>
      <c r="Y2333" s="145"/>
      <c r="AR2333" s="290"/>
      <c r="AS2333" s="262" t="s">
        <v>5751</v>
      </c>
    </row>
    <row r="2334" spans="1:45" s="17" customFormat="1" ht="23.65" thickBot="1" x14ac:dyDescent="0.4">
      <c r="A2334" s="255" t="s">
        <v>5534</v>
      </c>
      <c r="B2334" s="50" t="s">
        <v>5535</v>
      </c>
      <c r="C2334" s="21"/>
      <c r="D2334" s="21"/>
      <c r="E2334" s="21"/>
      <c r="F2334" s="21"/>
      <c r="G2334" s="21"/>
      <c r="H2334" s="21"/>
      <c r="J2334" s="18" t="s">
        <v>2473</v>
      </c>
      <c r="K2334" s="18" t="s">
        <v>2473</v>
      </c>
      <c r="M2334" s="248"/>
      <c r="Y2334" s="145"/>
      <c r="AR2334" s="290"/>
      <c r="AS2334" s="262" t="s">
        <v>5751</v>
      </c>
    </row>
    <row r="2335" spans="1:45" s="17" customFormat="1" ht="40.9" thickBot="1" x14ac:dyDescent="0.4">
      <c r="A2335" s="255" t="s">
        <v>3838</v>
      </c>
      <c r="B2335" s="50" t="s">
        <v>2114</v>
      </c>
      <c r="C2335" s="21"/>
      <c r="D2335" s="21"/>
      <c r="E2335" s="21" t="s">
        <v>10</v>
      </c>
      <c r="F2335" s="21"/>
      <c r="G2335" s="21" t="s">
        <v>10</v>
      </c>
      <c r="H2335" s="21"/>
      <c r="J2335" s="18" t="s">
        <v>2473</v>
      </c>
      <c r="K2335" s="18" t="s">
        <v>2473</v>
      </c>
      <c r="M2335" s="248"/>
      <c r="Y2335" s="145"/>
      <c r="AR2335" s="290"/>
      <c r="AS2335" s="262" t="s">
        <v>5844</v>
      </c>
    </row>
    <row r="2336" spans="1:45" s="17" customFormat="1" ht="40.9" thickBot="1" x14ac:dyDescent="0.4">
      <c r="A2336" s="255" t="s">
        <v>3841</v>
      </c>
      <c r="B2336" s="50" t="s">
        <v>5536</v>
      </c>
      <c r="C2336" s="21"/>
      <c r="D2336" s="21"/>
      <c r="E2336" s="21" t="s">
        <v>13</v>
      </c>
      <c r="F2336" s="21"/>
      <c r="G2336" s="21" t="s">
        <v>13</v>
      </c>
      <c r="H2336" s="21"/>
      <c r="J2336" s="18" t="s">
        <v>2473</v>
      </c>
      <c r="K2336" s="18" t="s">
        <v>2473</v>
      </c>
      <c r="M2336" s="248"/>
      <c r="Y2336" s="145"/>
      <c r="AR2336" s="290"/>
      <c r="AS2336" s="262" t="s">
        <v>5844</v>
      </c>
    </row>
    <row r="2337" spans="1:45" s="17" customFormat="1" ht="12" thickBot="1" x14ac:dyDescent="0.4">
      <c r="A2337" s="255" t="s">
        <v>5537</v>
      </c>
      <c r="B2337" s="50" t="s">
        <v>5538</v>
      </c>
      <c r="C2337" s="21"/>
      <c r="D2337" s="21"/>
      <c r="E2337" s="21"/>
      <c r="F2337" s="21"/>
      <c r="G2337" s="21"/>
      <c r="H2337" s="21"/>
      <c r="J2337" s="18" t="s">
        <v>2473</v>
      </c>
      <c r="K2337" s="18" t="s">
        <v>2473</v>
      </c>
      <c r="M2337" s="248"/>
      <c r="Y2337" s="145"/>
      <c r="AR2337" s="290"/>
      <c r="AS2337" s="262" t="s">
        <v>5751</v>
      </c>
    </row>
    <row r="2338" spans="1:45" s="17" customFormat="1" ht="23.65" thickBot="1" x14ac:dyDescent="0.4">
      <c r="A2338" s="255" t="s">
        <v>5539</v>
      </c>
      <c r="B2338" s="50" t="s">
        <v>5540</v>
      </c>
      <c r="C2338" s="21"/>
      <c r="D2338" s="21"/>
      <c r="E2338" s="21"/>
      <c r="F2338" s="21"/>
      <c r="G2338" s="21"/>
      <c r="H2338" s="21"/>
      <c r="J2338" s="18" t="s">
        <v>2473</v>
      </c>
      <c r="K2338" s="18" t="s">
        <v>2473</v>
      </c>
      <c r="M2338" s="248"/>
      <c r="Y2338" s="145"/>
      <c r="AR2338" s="290"/>
      <c r="AS2338" s="262" t="s">
        <v>5751</v>
      </c>
    </row>
    <row r="2339" spans="1:45" s="17" customFormat="1" ht="40.9" thickBot="1" x14ac:dyDescent="0.4">
      <c r="A2339" s="255" t="s">
        <v>140</v>
      </c>
      <c r="B2339" s="50" t="s">
        <v>2123</v>
      </c>
      <c r="C2339" s="21"/>
      <c r="D2339" s="21"/>
      <c r="E2339" s="21" t="s">
        <v>13</v>
      </c>
      <c r="F2339" s="21"/>
      <c r="G2339" s="21" t="s">
        <v>13</v>
      </c>
      <c r="H2339" s="21"/>
      <c r="J2339" s="18" t="s">
        <v>2473</v>
      </c>
      <c r="K2339" s="18" t="s">
        <v>2473</v>
      </c>
      <c r="M2339" s="248"/>
      <c r="Y2339" s="145"/>
      <c r="AR2339" s="290"/>
      <c r="AS2339" s="262" t="s">
        <v>5844</v>
      </c>
    </row>
    <row r="2340" spans="1:45" s="17" customFormat="1" ht="40.9" thickBot="1" x14ac:dyDescent="0.4">
      <c r="A2340" s="255" t="s">
        <v>5541</v>
      </c>
      <c r="B2340" s="50" t="s">
        <v>2125</v>
      </c>
      <c r="C2340" s="21"/>
      <c r="D2340" s="21"/>
      <c r="E2340" s="21" t="s">
        <v>13</v>
      </c>
      <c r="F2340" s="21"/>
      <c r="G2340" s="21" t="s">
        <v>13</v>
      </c>
      <c r="H2340" s="21"/>
      <c r="J2340" s="18" t="s">
        <v>2473</v>
      </c>
      <c r="K2340" s="18" t="s">
        <v>2473</v>
      </c>
      <c r="M2340" s="248"/>
      <c r="Y2340" s="145"/>
      <c r="AR2340" s="290"/>
      <c r="AS2340" s="262" t="s">
        <v>5844</v>
      </c>
    </row>
    <row r="2341" spans="1:45" s="17" customFormat="1" ht="51" thickBot="1" x14ac:dyDescent="0.4">
      <c r="A2341" s="255" t="s">
        <v>145</v>
      </c>
      <c r="B2341" s="50" t="s">
        <v>5542</v>
      </c>
      <c r="C2341" s="21"/>
      <c r="D2341" s="21"/>
      <c r="E2341" s="21" t="s">
        <v>10</v>
      </c>
      <c r="F2341" s="21"/>
      <c r="G2341" s="21" t="s">
        <v>10</v>
      </c>
      <c r="H2341" s="21"/>
      <c r="J2341" s="18" t="s">
        <v>2473</v>
      </c>
      <c r="K2341" s="18" t="s">
        <v>2473</v>
      </c>
      <c r="M2341" s="248"/>
      <c r="Y2341" s="145"/>
      <c r="AR2341" s="290"/>
      <c r="AS2341" s="263" t="s">
        <v>5862</v>
      </c>
    </row>
    <row r="2342" spans="1:45" s="17" customFormat="1" ht="12" thickBot="1" x14ac:dyDescent="0.4">
      <c r="A2342" s="256" t="s">
        <v>5432</v>
      </c>
      <c r="B2342" s="50" t="s">
        <v>5433</v>
      </c>
      <c r="C2342" s="21"/>
      <c r="D2342" s="21"/>
      <c r="E2342" s="21"/>
      <c r="F2342" s="21"/>
      <c r="G2342" s="21"/>
      <c r="H2342" s="21"/>
      <c r="J2342" s="18" t="s">
        <v>2473</v>
      </c>
      <c r="K2342" s="18" t="s">
        <v>2473</v>
      </c>
      <c r="M2342" s="248"/>
      <c r="Y2342" s="145"/>
      <c r="AR2342" s="290"/>
      <c r="AS2342" s="262" t="s">
        <v>5751</v>
      </c>
    </row>
    <row r="2343" spans="1:45" s="17" customFormat="1" ht="12" thickBot="1" x14ac:dyDescent="0.4">
      <c r="A2343" s="256" t="s">
        <v>5434</v>
      </c>
      <c r="B2343" s="50" t="s">
        <v>5435</v>
      </c>
      <c r="C2343" s="21"/>
      <c r="D2343" s="21"/>
      <c r="E2343" s="21"/>
      <c r="F2343" s="21"/>
      <c r="G2343" s="21"/>
      <c r="H2343" s="21"/>
      <c r="J2343" s="18" t="s">
        <v>2473</v>
      </c>
      <c r="K2343" s="18" t="s">
        <v>2473</v>
      </c>
      <c r="M2343" s="248"/>
      <c r="Y2343" s="145"/>
      <c r="AR2343" s="290"/>
      <c r="AS2343" s="262" t="s">
        <v>5751</v>
      </c>
    </row>
    <row r="2344" spans="1:45" s="17" customFormat="1" ht="12" thickBot="1" x14ac:dyDescent="0.4">
      <c r="A2344" s="256" t="s">
        <v>1994</v>
      </c>
      <c r="B2344" s="50" t="s">
        <v>5436</v>
      </c>
      <c r="C2344" s="21"/>
      <c r="D2344" s="21"/>
      <c r="E2344" s="21"/>
      <c r="F2344" s="21"/>
      <c r="G2344" s="21"/>
      <c r="H2344" s="21"/>
      <c r="J2344" s="18" t="s">
        <v>2473</v>
      </c>
      <c r="K2344" s="18" t="s">
        <v>2473</v>
      </c>
      <c r="M2344" s="248"/>
      <c r="Y2344" s="145"/>
      <c r="AR2344" s="290"/>
      <c r="AS2344" s="262" t="s">
        <v>5751</v>
      </c>
    </row>
    <row r="2345" spans="1:45" s="17" customFormat="1" ht="12" thickBot="1" x14ac:dyDescent="0.4">
      <c r="A2345" s="256" t="s">
        <v>5437</v>
      </c>
      <c r="B2345" s="50" t="s">
        <v>5438</v>
      </c>
      <c r="C2345" s="21"/>
      <c r="D2345" s="21"/>
      <c r="E2345" s="21"/>
      <c r="F2345" s="21"/>
      <c r="G2345" s="21"/>
      <c r="H2345" s="21"/>
      <c r="J2345" s="18" t="s">
        <v>2473</v>
      </c>
      <c r="K2345" s="18" t="s">
        <v>2473</v>
      </c>
      <c r="M2345" s="248"/>
      <c r="Y2345" s="145"/>
      <c r="AR2345" s="290"/>
      <c r="AS2345" s="262" t="s">
        <v>5751</v>
      </c>
    </row>
    <row r="2346" spans="1:45" s="17" customFormat="1" ht="23.65" thickBot="1" x14ac:dyDescent="0.4">
      <c r="A2346" s="256" t="s">
        <v>5439</v>
      </c>
      <c r="B2346" s="50" t="s">
        <v>5440</v>
      </c>
      <c r="C2346" s="21"/>
      <c r="D2346" s="21"/>
      <c r="E2346" s="21"/>
      <c r="F2346" s="21"/>
      <c r="G2346" s="21"/>
      <c r="H2346" s="21"/>
      <c r="J2346" s="18" t="s">
        <v>2473</v>
      </c>
      <c r="K2346" s="18" t="s">
        <v>2473</v>
      </c>
      <c r="M2346" s="248"/>
      <c r="Y2346" s="145"/>
      <c r="AR2346" s="290"/>
      <c r="AS2346" s="262" t="s">
        <v>5751</v>
      </c>
    </row>
    <row r="2347" spans="1:45" s="17" customFormat="1" ht="12" thickBot="1" x14ac:dyDescent="0.4">
      <c r="A2347" s="256" t="s">
        <v>5441</v>
      </c>
      <c r="B2347" s="50" t="s">
        <v>5442</v>
      </c>
      <c r="C2347" s="21"/>
      <c r="D2347" s="21"/>
      <c r="E2347" s="21"/>
      <c r="F2347" s="21"/>
      <c r="G2347" s="21"/>
      <c r="H2347" s="21"/>
      <c r="J2347" s="18" t="s">
        <v>2473</v>
      </c>
      <c r="K2347" s="18" t="s">
        <v>2473</v>
      </c>
      <c r="M2347" s="248"/>
      <c r="Y2347" s="145"/>
      <c r="AR2347" s="290"/>
      <c r="AS2347" s="262" t="s">
        <v>5751</v>
      </c>
    </row>
    <row r="2348" spans="1:45" s="17" customFormat="1" ht="12" thickBot="1" x14ac:dyDescent="0.4">
      <c r="A2348" s="256" t="s">
        <v>5443</v>
      </c>
      <c r="B2348" s="50" t="s">
        <v>5444</v>
      </c>
      <c r="C2348" s="21"/>
      <c r="D2348" s="21"/>
      <c r="E2348" s="21"/>
      <c r="F2348" s="21"/>
      <c r="G2348" s="21"/>
      <c r="H2348" s="21"/>
      <c r="J2348" s="18" t="s">
        <v>2473</v>
      </c>
      <c r="K2348" s="18" t="s">
        <v>2473</v>
      </c>
      <c r="M2348" s="248"/>
      <c r="Y2348" s="145"/>
      <c r="AR2348" s="290"/>
      <c r="AS2348" s="262" t="s">
        <v>5751</v>
      </c>
    </row>
    <row r="2349" spans="1:45" s="17" customFormat="1" ht="12" thickBot="1" x14ac:dyDescent="0.4">
      <c r="A2349" s="256" t="s">
        <v>1994</v>
      </c>
      <c r="B2349" s="50" t="s">
        <v>84</v>
      </c>
      <c r="C2349" s="21"/>
      <c r="D2349" s="21"/>
      <c r="E2349" s="21"/>
      <c r="F2349" s="21"/>
      <c r="G2349" s="21"/>
      <c r="H2349" s="21"/>
      <c r="J2349" s="18" t="s">
        <v>2473</v>
      </c>
      <c r="K2349" s="18" t="s">
        <v>2473</v>
      </c>
      <c r="M2349" s="248"/>
      <c r="Y2349" s="145"/>
      <c r="AR2349" s="290"/>
      <c r="AS2349" s="262" t="s">
        <v>5751</v>
      </c>
    </row>
    <row r="2350" spans="1:45" s="17" customFormat="1" ht="12" thickBot="1" x14ac:dyDescent="0.4">
      <c r="A2350" s="256" t="s">
        <v>5445</v>
      </c>
      <c r="B2350" s="50" t="s">
        <v>5446</v>
      </c>
      <c r="C2350" s="21"/>
      <c r="D2350" s="21"/>
      <c r="E2350" s="21"/>
      <c r="F2350" s="21"/>
      <c r="G2350" s="21"/>
      <c r="H2350" s="21"/>
      <c r="J2350" s="18" t="s">
        <v>2473</v>
      </c>
      <c r="K2350" s="18" t="s">
        <v>2473</v>
      </c>
      <c r="M2350" s="248"/>
      <c r="Y2350" s="145"/>
      <c r="AR2350" s="290"/>
      <c r="AS2350" s="262" t="s">
        <v>5751</v>
      </c>
    </row>
    <row r="2351" spans="1:45" s="17" customFormat="1" ht="23.65" thickBot="1" x14ac:dyDescent="0.4">
      <c r="A2351" s="256" t="s">
        <v>5447</v>
      </c>
      <c r="B2351" s="50" t="s">
        <v>5448</v>
      </c>
      <c r="C2351" s="21"/>
      <c r="D2351" s="21"/>
      <c r="E2351" s="21"/>
      <c r="F2351" s="21"/>
      <c r="G2351" s="21"/>
      <c r="H2351" s="21"/>
      <c r="J2351" s="18" t="s">
        <v>2473</v>
      </c>
      <c r="K2351" s="18" t="s">
        <v>2473</v>
      </c>
      <c r="M2351" s="248"/>
      <c r="Y2351" s="145"/>
      <c r="AR2351" s="290"/>
      <c r="AS2351" s="262" t="s">
        <v>5751</v>
      </c>
    </row>
    <row r="2352" spans="1:45" s="17" customFormat="1" ht="12" thickBot="1" x14ac:dyDescent="0.4">
      <c r="A2352" s="256" t="s">
        <v>5449</v>
      </c>
      <c r="B2352" s="50" t="s">
        <v>5450</v>
      </c>
      <c r="C2352" s="21"/>
      <c r="D2352" s="21"/>
      <c r="E2352" s="21"/>
      <c r="F2352" s="21"/>
      <c r="G2352" s="21"/>
      <c r="H2352" s="21"/>
      <c r="J2352" s="18" t="s">
        <v>2473</v>
      </c>
      <c r="K2352" s="18" t="s">
        <v>2473</v>
      </c>
      <c r="M2352" s="248"/>
      <c r="Y2352" s="145"/>
      <c r="AR2352" s="290"/>
      <c r="AS2352" s="262" t="s">
        <v>5751</v>
      </c>
    </row>
    <row r="2353" spans="1:48" s="17" customFormat="1" ht="40.9" thickBot="1" x14ac:dyDescent="0.4">
      <c r="A2353" s="256" t="s">
        <v>5361</v>
      </c>
      <c r="B2353" s="50" t="s">
        <v>5451</v>
      </c>
      <c r="C2353" s="21"/>
      <c r="D2353" s="21"/>
      <c r="E2353" s="21" t="s">
        <v>10</v>
      </c>
      <c r="F2353" s="21"/>
      <c r="G2353" s="21" t="s">
        <v>10</v>
      </c>
      <c r="H2353" s="21"/>
      <c r="J2353" s="18" t="s">
        <v>2473</v>
      </c>
      <c r="K2353" s="18" t="s">
        <v>2473</v>
      </c>
      <c r="M2353" s="248"/>
      <c r="Y2353" s="145"/>
      <c r="AR2353" s="290"/>
      <c r="AS2353" s="262" t="s">
        <v>5844</v>
      </c>
    </row>
    <row r="2354" spans="1:48" s="17" customFormat="1" ht="23.65" thickBot="1" x14ac:dyDescent="0.4">
      <c r="A2354" s="256" t="s">
        <v>5360</v>
      </c>
      <c r="B2354" s="50" t="s">
        <v>5452</v>
      </c>
      <c r="C2354" s="21"/>
      <c r="D2354" s="21"/>
      <c r="E2354" s="21"/>
      <c r="F2354" s="21"/>
      <c r="G2354" s="21"/>
      <c r="H2354" s="21"/>
      <c r="J2354" s="18" t="s">
        <v>2473</v>
      </c>
      <c r="K2354" s="18" t="s">
        <v>2473</v>
      </c>
      <c r="M2354" s="248"/>
      <c r="Y2354" s="145"/>
      <c r="AR2354" s="290"/>
      <c r="AS2354" s="262" t="s">
        <v>5751</v>
      </c>
    </row>
    <row r="2355" spans="1:48" s="17" customFormat="1" ht="12" thickBot="1" x14ac:dyDescent="0.4">
      <c r="A2355" s="256" t="s">
        <v>59</v>
      </c>
      <c r="B2355" s="50" t="s">
        <v>5423</v>
      </c>
      <c r="C2355" s="21"/>
      <c r="D2355" s="21"/>
      <c r="E2355" s="21"/>
      <c r="F2355" s="21"/>
      <c r="G2355" s="21"/>
      <c r="H2355" s="21"/>
      <c r="J2355" s="18" t="s">
        <v>2473</v>
      </c>
      <c r="K2355" s="18" t="s">
        <v>2473</v>
      </c>
      <c r="M2355" s="248"/>
      <c r="Y2355" s="145"/>
      <c r="AR2355" s="290"/>
      <c r="AS2355" s="262" t="s">
        <v>5751</v>
      </c>
    </row>
    <row r="2356" spans="1:48" s="17" customFormat="1" ht="23.65" thickBot="1" x14ac:dyDescent="0.4">
      <c r="A2356" s="256" t="s">
        <v>2575</v>
      </c>
      <c r="B2356" s="50" t="s">
        <v>5453</v>
      </c>
      <c r="C2356" s="21"/>
      <c r="D2356" s="21"/>
      <c r="E2356" s="21"/>
      <c r="F2356" s="21"/>
      <c r="G2356" s="21"/>
      <c r="H2356" s="21"/>
      <c r="J2356" s="18" t="s">
        <v>2473</v>
      </c>
      <c r="K2356" s="18" t="s">
        <v>2473</v>
      </c>
      <c r="M2356" s="248"/>
      <c r="Y2356" s="145"/>
      <c r="AR2356" s="290"/>
      <c r="AS2356" s="262" t="s">
        <v>5751</v>
      </c>
    </row>
    <row r="2357" spans="1:48" s="17" customFormat="1" ht="12" thickBot="1" x14ac:dyDescent="0.4">
      <c r="A2357" s="255" t="s">
        <v>1697</v>
      </c>
      <c r="B2357" s="50" t="s">
        <v>5543</v>
      </c>
      <c r="C2357" s="21"/>
      <c r="D2357" s="21"/>
      <c r="E2357" s="21"/>
      <c r="F2357" s="21"/>
      <c r="G2357" s="21"/>
      <c r="H2357" s="21"/>
      <c r="J2357" s="18" t="s">
        <v>2473</v>
      </c>
      <c r="K2357" s="18" t="s">
        <v>2473</v>
      </c>
      <c r="M2357" s="248"/>
      <c r="Y2357" s="145"/>
      <c r="AR2357" s="290"/>
      <c r="AS2357" s="262" t="s">
        <v>5751</v>
      </c>
    </row>
    <row r="2358" spans="1:48" s="17" customFormat="1" ht="11.65" x14ac:dyDescent="0.35">
      <c r="A2358" s="33" t="s">
        <v>5875</v>
      </c>
      <c r="C2358" s="18"/>
      <c r="D2358" s="18"/>
      <c r="E2358" s="18"/>
      <c r="F2358" s="18"/>
      <c r="G2358" s="18"/>
      <c r="H2358" s="18"/>
      <c r="J2358" s="18" t="s">
        <v>2473</v>
      </c>
      <c r="K2358" s="18" t="s">
        <v>2473</v>
      </c>
      <c r="M2358" s="145"/>
      <c r="N2358" s="8"/>
      <c r="O2358" s="8"/>
      <c r="P2358" s="8"/>
      <c r="Q2358" s="8"/>
      <c r="R2358" s="8"/>
      <c r="S2358" s="8"/>
      <c r="T2358" s="8"/>
      <c r="U2358" s="8"/>
      <c r="V2358" s="8"/>
      <c r="W2358" s="8"/>
      <c r="X2358" s="8"/>
      <c r="Y2358" s="145"/>
      <c r="Z2358" s="8"/>
      <c r="AA2358" s="8"/>
      <c r="AB2358" s="8"/>
      <c r="AC2358" s="8"/>
      <c r="AD2358" s="8"/>
      <c r="AE2358" s="154"/>
      <c r="AF2358" s="154"/>
      <c r="AG2358" s="8"/>
      <c r="AH2358" s="8"/>
      <c r="AI2358" s="8"/>
      <c r="AJ2358" s="8"/>
      <c r="AK2358" s="8"/>
      <c r="AL2358" s="8"/>
      <c r="AM2358" s="8"/>
      <c r="AN2358" s="8"/>
      <c r="AO2358" s="8"/>
      <c r="AP2358" s="8"/>
      <c r="AQ2358" s="8"/>
      <c r="AR2358" s="284"/>
      <c r="AS2358" s="262" t="s">
        <v>5751</v>
      </c>
      <c r="AT2358" s="8"/>
      <c r="AU2358" s="6"/>
      <c r="AV2358" s="6" t="str">
        <f t="shared" ref="AV2358:AV2369" si="46">IF(A2358&lt;&gt;"",IF(T2358&lt;&gt;"",IF(LEFT(R2358,3)="Has",IF(TRIM(A2358)&lt;&gt;T2358,"ERROR","OK"),""),""),"")</f>
        <v/>
      </c>
    </row>
    <row r="2359" spans="1:48" s="17" customFormat="1" ht="11.65" x14ac:dyDescent="0.35">
      <c r="A2359" s="74" t="s">
        <v>5742</v>
      </c>
      <c r="C2359" s="18"/>
      <c r="D2359" s="18"/>
      <c r="E2359" s="18"/>
      <c r="F2359" s="18"/>
      <c r="G2359" s="18"/>
      <c r="H2359" s="18"/>
      <c r="J2359" s="18" t="s">
        <v>2473</v>
      </c>
      <c r="K2359" s="18" t="s">
        <v>2473</v>
      </c>
      <c r="M2359" s="145"/>
      <c r="N2359" s="8"/>
      <c r="O2359" s="8"/>
      <c r="P2359" s="8"/>
      <c r="Q2359" s="8"/>
      <c r="R2359" s="8"/>
      <c r="S2359" s="8"/>
      <c r="T2359" s="8"/>
      <c r="U2359" s="8"/>
      <c r="V2359" s="8"/>
      <c r="W2359" s="8"/>
      <c r="X2359" s="8"/>
      <c r="Y2359" s="145"/>
      <c r="Z2359" s="8"/>
      <c r="AA2359" s="8"/>
      <c r="AB2359" s="8"/>
      <c r="AC2359" s="8"/>
      <c r="AD2359" s="8"/>
      <c r="AE2359" s="154"/>
      <c r="AF2359" s="154"/>
      <c r="AG2359" s="8"/>
      <c r="AH2359" s="8"/>
      <c r="AI2359" s="8"/>
      <c r="AJ2359" s="8"/>
      <c r="AK2359" s="8"/>
      <c r="AL2359" s="8"/>
      <c r="AM2359" s="8"/>
      <c r="AN2359" s="8"/>
      <c r="AO2359" s="8"/>
      <c r="AP2359" s="8"/>
      <c r="AQ2359" s="8"/>
      <c r="AR2359" s="284"/>
      <c r="AS2359" s="262" t="s">
        <v>5751</v>
      </c>
      <c r="AT2359" s="8"/>
      <c r="AU2359" s="6"/>
      <c r="AV2359" s="6"/>
    </row>
    <row r="2360" spans="1:48" s="17" customFormat="1" ht="11.65" x14ac:dyDescent="0.35">
      <c r="A2360" s="34" t="s">
        <v>5743</v>
      </c>
      <c r="C2360" s="18"/>
      <c r="D2360" s="18"/>
      <c r="E2360" s="18"/>
      <c r="F2360" s="18"/>
      <c r="G2360" s="18"/>
      <c r="H2360" s="18"/>
      <c r="J2360" s="18" t="s">
        <v>2473</v>
      </c>
      <c r="K2360" s="18" t="s">
        <v>2473</v>
      </c>
      <c r="M2360" s="145"/>
      <c r="N2360" s="8"/>
      <c r="O2360" s="8"/>
      <c r="P2360" s="8"/>
      <c r="Q2360" s="8"/>
      <c r="R2360" s="8"/>
      <c r="S2360" s="8"/>
      <c r="T2360" s="8"/>
      <c r="U2360" s="8"/>
      <c r="V2360" s="8"/>
      <c r="W2360" s="8"/>
      <c r="X2360" s="8"/>
      <c r="Y2360" s="145"/>
      <c r="Z2360" s="8"/>
      <c r="AA2360" s="8"/>
      <c r="AB2360" s="8"/>
      <c r="AC2360" s="8"/>
      <c r="AD2360" s="8"/>
      <c r="AE2360" s="154"/>
      <c r="AF2360" s="154"/>
      <c r="AG2360" s="8"/>
      <c r="AH2360" s="8"/>
      <c r="AI2360" s="8"/>
      <c r="AJ2360" s="8"/>
      <c r="AK2360" s="8"/>
      <c r="AL2360" s="8"/>
      <c r="AM2360" s="8"/>
      <c r="AN2360" s="8"/>
      <c r="AO2360" s="8"/>
      <c r="AP2360" s="8"/>
      <c r="AQ2360" s="8"/>
      <c r="AR2360" s="284"/>
      <c r="AS2360" s="262" t="s">
        <v>5751</v>
      </c>
      <c r="AT2360" s="8"/>
      <c r="AU2360" s="6"/>
      <c r="AV2360" s="6" t="str">
        <f t="shared" si="46"/>
        <v/>
      </c>
    </row>
    <row r="2361" spans="1:48" s="76" customFormat="1" ht="11.65" x14ac:dyDescent="0.35">
      <c r="A2361" s="75"/>
      <c r="C2361" s="77"/>
      <c r="D2361" s="77"/>
      <c r="E2361" s="77"/>
      <c r="F2361" s="77"/>
      <c r="G2361" s="77"/>
      <c r="H2361" s="77"/>
      <c r="I2361" s="77"/>
      <c r="J2361" s="77"/>
      <c r="K2361" s="77"/>
      <c r="L2361" s="77"/>
      <c r="M2361" s="148"/>
      <c r="N2361" s="78"/>
      <c r="O2361" s="78"/>
      <c r="P2361" s="78"/>
      <c r="Q2361" s="78"/>
      <c r="R2361" s="78"/>
      <c r="S2361" s="78"/>
      <c r="T2361" s="78"/>
      <c r="U2361" s="78"/>
      <c r="V2361" s="78"/>
      <c r="W2361" s="78"/>
      <c r="X2361" s="78"/>
      <c r="Y2361" s="148"/>
      <c r="Z2361" s="78"/>
      <c r="AA2361" s="78"/>
      <c r="AB2361" s="78"/>
      <c r="AC2361" s="78"/>
      <c r="AD2361" s="78"/>
      <c r="AE2361" s="156"/>
      <c r="AF2361" s="156"/>
      <c r="AG2361" s="78"/>
      <c r="AH2361" s="78"/>
      <c r="AI2361" s="78"/>
      <c r="AJ2361" s="78"/>
      <c r="AK2361" s="78"/>
      <c r="AL2361" s="78"/>
      <c r="AM2361" s="78"/>
      <c r="AN2361" s="78"/>
      <c r="AO2361" s="78"/>
      <c r="AP2361" s="78"/>
      <c r="AQ2361" s="78"/>
      <c r="AR2361" s="286"/>
      <c r="AS2361" s="78"/>
      <c r="AT2361" s="78"/>
      <c r="AU2361" s="8"/>
      <c r="AV2361" s="6" t="str">
        <f t="shared" si="46"/>
        <v/>
      </c>
    </row>
    <row r="2362" spans="1:48" s="17" customFormat="1" ht="11.65" x14ac:dyDescent="0.35">
      <c r="A2362" s="27" t="s">
        <v>5729</v>
      </c>
      <c r="C2362" s="18"/>
      <c r="D2362" s="18"/>
      <c r="E2362" s="18"/>
      <c r="F2362" s="18"/>
      <c r="G2362" s="18"/>
      <c r="H2362" s="18"/>
      <c r="J2362" s="18" t="s">
        <v>2473</v>
      </c>
      <c r="K2362" s="18" t="s">
        <v>2473</v>
      </c>
      <c r="M2362" s="145"/>
      <c r="N2362" s="8"/>
      <c r="O2362" s="8"/>
      <c r="P2362" s="8"/>
      <c r="Q2362" s="8"/>
      <c r="R2362" s="8"/>
      <c r="S2362" s="8"/>
      <c r="T2362" s="8"/>
      <c r="U2362" s="8"/>
      <c r="V2362" s="8"/>
      <c r="W2362" s="8"/>
      <c r="X2362" s="8"/>
      <c r="Y2362" s="145"/>
      <c r="Z2362" s="185"/>
      <c r="AA2362" s="185"/>
      <c r="AB2362" s="185"/>
      <c r="AC2362" s="185"/>
      <c r="AD2362" s="185"/>
      <c r="AE2362" s="186"/>
      <c r="AF2362" s="186"/>
      <c r="AG2362" s="185"/>
      <c r="AH2362" s="185"/>
      <c r="AI2362" s="185"/>
      <c r="AJ2362" s="185"/>
      <c r="AK2362" s="185"/>
      <c r="AL2362" s="185"/>
      <c r="AM2362" s="185"/>
      <c r="AN2362" s="185"/>
      <c r="AO2362" s="185"/>
      <c r="AP2362" s="185"/>
      <c r="AQ2362" s="185"/>
      <c r="AR2362" s="291"/>
      <c r="AS2362" s="262" t="s">
        <v>5751</v>
      </c>
      <c r="AT2362" s="185"/>
      <c r="AU2362" s="6"/>
      <c r="AV2362" s="6" t="str">
        <f t="shared" si="46"/>
        <v/>
      </c>
    </row>
    <row r="2363" spans="1:48" s="17" customFormat="1" ht="14" customHeight="1" x14ac:dyDescent="0.35">
      <c r="A2363" s="323" t="s">
        <v>5545</v>
      </c>
      <c r="B2363" s="324"/>
      <c r="C2363" s="324"/>
      <c r="D2363" s="324"/>
      <c r="E2363" s="324"/>
      <c r="F2363" s="324"/>
      <c r="G2363" s="101"/>
      <c r="H2363" s="101"/>
      <c r="J2363" s="18" t="s">
        <v>2473</v>
      </c>
      <c r="K2363" s="18" t="s">
        <v>2473</v>
      </c>
      <c r="M2363" s="145"/>
      <c r="N2363" s="8"/>
      <c r="O2363" s="8"/>
      <c r="P2363" s="8"/>
      <c r="Q2363" s="8"/>
      <c r="R2363" s="8"/>
      <c r="S2363" s="8"/>
      <c r="T2363" s="8"/>
      <c r="U2363" s="8"/>
      <c r="V2363" s="8"/>
      <c r="W2363" s="8"/>
      <c r="X2363" s="8"/>
      <c r="Y2363" s="145"/>
      <c r="Z2363" s="183"/>
      <c r="AA2363" s="183"/>
      <c r="AB2363" s="183"/>
      <c r="AC2363" s="183"/>
      <c r="AD2363" s="183"/>
      <c r="AE2363" s="184"/>
      <c r="AF2363" s="184"/>
      <c r="AG2363" s="183"/>
      <c r="AH2363" s="183"/>
      <c r="AI2363" s="183"/>
      <c r="AJ2363" s="183"/>
      <c r="AK2363" s="183"/>
      <c r="AL2363" s="183"/>
      <c r="AM2363" s="183"/>
      <c r="AN2363" s="183"/>
      <c r="AO2363" s="183"/>
      <c r="AP2363" s="183"/>
      <c r="AQ2363" s="183"/>
      <c r="AR2363" s="292"/>
      <c r="AS2363" s="262" t="s">
        <v>5751</v>
      </c>
      <c r="AT2363" s="183"/>
      <c r="AU2363" s="6"/>
      <c r="AV2363" s="6" t="str">
        <f t="shared" si="46"/>
        <v/>
      </c>
    </row>
    <row r="2364" spans="1:48" s="17" customFormat="1" ht="12" thickBot="1" x14ac:dyDescent="0.4">
      <c r="A2364" s="28" t="s">
        <v>1748</v>
      </c>
      <c r="C2364" s="18"/>
      <c r="D2364" s="18"/>
      <c r="E2364" s="18"/>
      <c r="F2364" s="18"/>
      <c r="G2364" s="18"/>
      <c r="H2364" s="18"/>
      <c r="J2364" s="18" t="s">
        <v>2473</v>
      </c>
      <c r="K2364" s="18" t="s">
        <v>2473</v>
      </c>
      <c r="M2364" s="145"/>
      <c r="N2364" s="8"/>
      <c r="O2364" s="8"/>
      <c r="P2364" s="8"/>
      <c r="Q2364" s="8"/>
      <c r="R2364" s="8"/>
      <c r="S2364" s="8"/>
      <c r="T2364" s="8"/>
      <c r="U2364" s="8"/>
      <c r="V2364" s="8"/>
      <c r="W2364" s="8"/>
      <c r="X2364" s="8"/>
      <c r="Y2364" s="145"/>
      <c r="Z2364" s="183"/>
      <c r="AA2364" s="183" t="s">
        <v>2322</v>
      </c>
      <c r="AB2364" s="183" t="s">
        <v>1697</v>
      </c>
      <c r="AC2364" s="183" t="s">
        <v>5</v>
      </c>
      <c r="AD2364" s="183"/>
      <c r="AE2364" s="184"/>
      <c r="AF2364" s="184"/>
      <c r="AG2364" s="183"/>
      <c r="AH2364" s="183"/>
      <c r="AI2364" s="183"/>
      <c r="AJ2364" s="183"/>
      <c r="AK2364" s="183"/>
      <c r="AL2364" s="183"/>
      <c r="AM2364" s="183"/>
      <c r="AN2364" s="183"/>
      <c r="AO2364" s="183"/>
      <c r="AP2364" s="183"/>
      <c r="AQ2364" s="183"/>
      <c r="AR2364" s="292"/>
      <c r="AS2364" s="262" t="s">
        <v>5751</v>
      </c>
      <c r="AT2364" s="183"/>
      <c r="AU2364" s="6"/>
      <c r="AV2364" s="6" t="str">
        <f t="shared" si="46"/>
        <v/>
      </c>
    </row>
    <row r="2365" spans="1:48" s="17" customFormat="1" ht="81.75" thickBot="1" x14ac:dyDescent="0.4">
      <c r="A2365" s="309" t="s">
        <v>5728</v>
      </c>
      <c r="B2365" s="310"/>
      <c r="C2365" s="301" t="s">
        <v>1</v>
      </c>
      <c r="D2365" s="319"/>
      <c r="E2365" s="319"/>
      <c r="F2365" s="302"/>
      <c r="G2365" s="102"/>
      <c r="H2365" s="102"/>
      <c r="J2365" s="18" t="s">
        <v>2473</v>
      </c>
      <c r="K2365" s="18" t="s">
        <v>2473</v>
      </c>
      <c r="M2365" s="145"/>
      <c r="N2365" s="8"/>
      <c r="O2365" s="8"/>
      <c r="P2365" s="8"/>
      <c r="Q2365" s="8"/>
      <c r="R2365" s="8"/>
      <c r="S2365" s="8"/>
      <c r="T2365" s="8"/>
      <c r="U2365" s="8"/>
      <c r="V2365" s="8"/>
      <c r="W2365" s="8"/>
      <c r="X2365" s="8"/>
      <c r="Y2365" s="145"/>
      <c r="Z2365" s="8"/>
      <c r="AA2365" s="183" t="str">
        <f>LEFT($A2365,FIND(" ",$A2365)-1)</f>
        <v>PowerSupplyMetrics</v>
      </c>
      <c r="AB2365" s="183" t="str">
        <f>MID($A2365,FIND("(",$A2365)+1,LEN($A2365)-FIND("(",$A2365)-1)</f>
        <v>1.1.0</v>
      </c>
      <c r="AC2365" s="101" t="str">
        <f>A2363</f>
        <v>The PowerSupplyMetrics schema contains definitions for the metrics of a power supply.</v>
      </c>
      <c r="AD2365" s="8"/>
      <c r="AE2365" s="154"/>
      <c r="AF2365" s="154"/>
      <c r="AG2365" s="8"/>
      <c r="AH2365" s="8"/>
      <c r="AI2365" s="8"/>
      <c r="AJ2365" s="8"/>
      <c r="AK2365" s="8"/>
      <c r="AL2365" s="8"/>
      <c r="AM2365" s="8"/>
      <c r="AN2365" s="8"/>
      <c r="AO2365" s="8"/>
      <c r="AP2365" s="8"/>
      <c r="AQ2365" s="8"/>
      <c r="AR2365" s="284"/>
      <c r="AS2365" s="262" t="s">
        <v>5751</v>
      </c>
      <c r="AT2365" s="8"/>
      <c r="AU2365" s="6"/>
      <c r="AV2365" s="6" t="str">
        <f t="shared" si="46"/>
        <v/>
      </c>
    </row>
    <row r="2366" spans="1:48" s="17" customFormat="1" ht="12" thickBot="1" x14ac:dyDescent="0.4">
      <c r="A2366" s="311"/>
      <c r="B2366" s="312"/>
      <c r="C2366" s="301" t="s">
        <v>2</v>
      </c>
      <c r="D2366" s="302"/>
      <c r="E2366" s="301" t="s">
        <v>3</v>
      </c>
      <c r="F2366" s="302"/>
      <c r="G2366" s="301" t="s">
        <v>2896</v>
      </c>
      <c r="H2366" s="302"/>
      <c r="J2366" s="18" t="s">
        <v>2473</v>
      </c>
      <c r="K2366" s="18" t="s">
        <v>2473</v>
      </c>
      <c r="M2366" s="145"/>
      <c r="N2366" s="8"/>
      <c r="O2366" s="8"/>
      <c r="P2366" s="8"/>
      <c r="Q2366" s="8"/>
      <c r="R2366" s="8"/>
      <c r="S2366" s="8"/>
      <c r="T2366" s="8"/>
      <c r="U2366" s="8"/>
      <c r="V2366" s="8"/>
      <c r="W2366" s="8"/>
      <c r="X2366" s="8"/>
      <c r="Y2366" s="145"/>
      <c r="Z2366" s="8"/>
      <c r="AA2366" s="8"/>
      <c r="AB2366" s="8"/>
      <c r="AC2366" s="8"/>
      <c r="AD2366" s="8"/>
      <c r="AE2366" s="154"/>
      <c r="AF2366" s="154"/>
      <c r="AG2366" s="8"/>
      <c r="AH2366" s="8"/>
      <c r="AI2366" s="8"/>
      <c r="AJ2366" s="8"/>
      <c r="AK2366" s="8"/>
      <c r="AL2366" s="8"/>
      <c r="AM2366" s="8" t="str">
        <f>C2366</f>
        <v>OSM-Redfish</v>
      </c>
      <c r="AN2366" s="8" t="str">
        <f>E2366</f>
        <v>OSM-RedfishBMC</v>
      </c>
      <c r="AO2366" s="8" t="str">
        <f>G2366</f>
        <v>OSM-RedfishDCN</v>
      </c>
      <c r="AP2366" s="8"/>
      <c r="AQ2366" s="8"/>
      <c r="AR2366" s="284"/>
      <c r="AS2366" s="262" t="s">
        <v>5751</v>
      </c>
      <c r="AT2366" s="8"/>
      <c r="AU2366" s="6"/>
      <c r="AV2366" s="6" t="str">
        <f t="shared" si="46"/>
        <v/>
      </c>
    </row>
    <row r="2367" spans="1:48" s="17" customFormat="1" ht="12" thickBot="1" x14ac:dyDescent="0.4">
      <c r="A2367" s="46" t="s">
        <v>2377</v>
      </c>
      <c r="B2367" s="47"/>
      <c r="C2367" s="303" t="s">
        <v>13</v>
      </c>
      <c r="D2367" s="304"/>
      <c r="E2367" s="303" t="s">
        <v>13</v>
      </c>
      <c r="F2367" s="304"/>
      <c r="G2367" s="303" t="s">
        <v>13</v>
      </c>
      <c r="H2367" s="304"/>
      <c r="J2367" s="18" t="s">
        <v>2473</v>
      </c>
      <c r="K2367" s="18" t="s">
        <v>2473</v>
      </c>
      <c r="M2367" s="145"/>
      <c r="N2367" s="8"/>
      <c r="O2367" s="8"/>
      <c r="P2367" s="8"/>
      <c r="Q2367" s="8"/>
      <c r="R2367" s="247"/>
      <c r="S2367" s="185"/>
      <c r="T2367" s="185"/>
      <c r="U2367" s="185"/>
      <c r="V2367" s="185"/>
      <c r="W2367" s="185"/>
      <c r="X2367" s="8"/>
      <c r="Y2367" s="246"/>
      <c r="Z2367" s="185"/>
      <c r="AA2367" s="185"/>
      <c r="AB2367" s="185"/>
      <c r="AC2367" s="185"/>
      <c r="AD2367" s="185"/>
      <c r="AE2367" s="186"/>
      <c r="AF2367" s="186"/>
      <c r="AG2367" s="185"/>
      <c r="AH2367" s="185"/>
      <c r="AI2367" s="185"/>
      <c r="AJ2367" s="185"/>
      <c r="AK2367" s="185"/>
      <c r="AL2367" s="185"/>
      <c r="AM2367" s="8" t="str">
        <f>IF(C2367&lt;&gt;"","CRQ-P5-"&amp;(AM$2+$AP2367*$AP$3),"")</f>
        <v>CRQ-P5-1032</v>
      </c>
      <c r="AN2367" s="8" t="str">
        <f>IF(E2367&lt;&gt;"","CRQ-P5-"&amp;(AN$2+$AP2367*$AP$3),"")</f>
        <v>CRQ-P5-1332</v>
      </c>
      <c r="AO2367" s="8" t="str">
        <f>IF(G2367&lt;&gt;"","CRQ-P5-"&amp;(AO$2+$AP2367*$AP$3),"")</f>
        <v>CRQ-P5-1632</v>
      </c>
      <c r="AP2367" s="185">
        <v>8</v>
      </c>
      <c r="AQ2367" s="185"/>
      <c r="AR2367" s="291"/>
      <c r="AS2367" s="262" t="s">
        <v>5751</v>
      </c>
      <c r="AT2367" s="185"/>
      <c r="AU2367" s="6"/>
      <c r="AV2367" s="6" t="str">
        <f t="shared" si="46"/>
        <v/>
      </c>
    </row>
    <row r="2368" spans="1:48" s="17" customFormat="1" ht="12" thickBot="1" x14ac:dyDescent="0.4">
      <c r="A2368" s="29" t="s">
        <v>3394</v>
      </c>
      <c r="B2368" s="9"/>
      <c r="C2368" s="305" t="str">
        <f>MID(A2365,FIND("(",A2365)+1,5)</f>
        <v>1.1.0</v>
      </c>
      <c r="D2368" s="306"/>
      <c r="E2368" s="305" t="str">
        <f>MID(A2365,FIND("(",A2365)+1,5)</f>
        <v>1.1.0</v>
      </c>
      <c r="F2368" s="306"/>
      <c r="G2368" s="305" t="str">
        <f>MID(A2365,FIND("(",A2365)+1,5)</f>
        <v>1.1.0</v>
      </c>
      <c r="H2368" s="306"/>
      <c r="J2368" s="18" t="s">
        <v>2473</v>
      </c>
      <c r="K2368" s="18" t="s">
        <v>2473</v>
      </c>
      <c r="M2368" s="145"/>
      <c r="N2368" s="8"/>
      <c r="O2368" s="8"/>
      <c r="P2368" s="8"/>
      <c r="Q2368" s="8"/>
      <c r="R2368" s="8"/>
      <c r="S2368" s="8"/>
      <c r="T2368" s="8"/>
      <c r="U2368" s="8"/>
      <c r="V2368" s="8"/>
      <c r="W2368" s="8"/>
      <c r="X2368" s="8"/>
      <c r="Y2368" s="246"/>
      <c r="Z2368" s="185"/>
      <c r="AA2368" s="185"/>
      <c r="AB2368" s="185"/>
      <c r="AC2368" s="185"/>
      <c r="AD2368" s="185"/>
      <c r="AE2368" s="186"/>
      <c r="AF2368" s="186"/>
      <c r="AG2368" s="185"/>
      <c r="AH2368" s="185"/>
      <c r="AI2368" s="185"/>
      <c r="AJ2368" s="185"/>
      <c r="AK2368" s="185"/>
      <c r="AL2368" s="185"/>
      <c r="AM2368" s="185"/>
      <c r="AN2368" s="185"/>
      <c r="AO2368" s="185"/>
      <c r="AP2368" s="185"/>
      <c r="AQ2368" s="185"/>
      <c r="AR2368" s="291"/>
      <c r="AS2368" s="262" t="s">
        <v>5751</v>
      </c>
      <c r="AT2368" s="185"/>
      <c r="AU2368" s="6"/>
      <c r="AV2368" s="6" t="str">
        <f t="shared" si="46"/>
        <v/>
      </c>
    </row>
    <row r="2369" spans="1:48" s="17" customFormat="1" ht="15" customHeight="1" thickBot="1" x14ac:dyDescent="0.4">
      <c r="A2369" s="30" t="s">
        <v>4</v>
      </c>
      <c r="B2369" s="59" t="s">
        <v>5</v>
      </c>
      <c r="C2369" s="7" t="s">
        <v>6</v>
      </c>
      <c r="D2369" s="7" t="s">
        <v>7</v>
      </c>
      <c r="E2369" s="7" t="s">
        <v>6</v>
      </c>
      <c r="F2369" s="7" t="s">
        <v>7</v>
      </c>
      <c r="G2369" s="7" t="s">
        <v>6</v>
      </c>
      <c r="H2369" s="7" t="s">
        <v>7</v>
      </c>
      <c r="J2369" s="18" t="s">
        <v>2473</v>
      </c>
      <c r="K2369" s="18" t="s">
        <v>2473</v>
      </c>
      <c r="M2369" s="145"/>
      <c r="N2369" s="8"/>
      <c r="O2369" s="8"/>
      <c r="P2369" s="8"/>
      <c r="Q2369" s="8"/>
      <c r="R2369" s="8"/>
      <c r="S2369" s="8"/>
      <c r="T2369" s="8"/>
      <c r="U2369" s="8"/>
      <c r="V2369" s="8"/>
      <c r="W2369" s="8"/>
      <c r="X2369" s="8"/>
      <c r="Y2369" s="246"/>
      <c r="Z2369" s="183"/>
      <c r="AA2369" s="183"/>
      <c r="AB2369" s="183"/>
      <c r="AC2369" s="183"/>
      <c r="AD2369" s="183"/>
      <c r="AE2369" s="184"/>
      <c r="AF2369" s="184"/>
      <c r="AG2369" s="183"/>
      <c r="AH2369" s="183"/>
      <c r="AI2369" s="183"/>
      <c r="AJ2369" s="183"/>
      <c r="AK2369" s="183"/>
      <c r="AL2369" s="183"/>
      <c r="AM2369" s="183"/>
      <c r="AN2369" s="183"/>
      <c r="AO2369" s="183"/>
      <c r="AP2369" s="183"/>
      <c r="AQ2369" s="183"/>
      <c r="AR2369" s="292"/>
      <c r="AS2369" s="262" t="s">
        <v>5751</v>
      </c>
      <c r="AT2369" s="183"/>
      <c r="AU2369" s="6"/>
      <c r="AV2369" s="6" t="str">
        <f t="shared" si="46"/>
        <v/>
      </c>
    </row>
    <row r="2370" spans="1:48" s="17" customFormat="1" ht="23.65" thickBot="1" x14ac:dyDescent="0.4">
      <c r="A2370" s="255" t="s">
        <v>5546</v>
      </c>
      <c r="B2370" s="50" t="s">
        <v>5547</v>
      </c>
      <c r="C2370" s="21"/>
      <c r="D2370" s="21"/>
      <c r="E2370" s="21"/>
      <c r="F2370" s="21"/>
      <c r="G2370" s="21"/>
      <c r="H2370" s="21"/>
      <c r="J2370" s="18" t="s">
        <v>2473</v>
      </c>
      <c r="K2370" s="18" t="s">
        <v>2473</v>
      </c>
      <c r="M2370" s="248"/>
      <c r="Y2370" s="246"/>
      <c r="AR2370" s="290"/>
      <c r="AS2370" s="262" t="s">
        <v>5751</v>
      </c>
    </row>
    <row r="2371" spans="1:48" s="17" customFormat="1" ht="12" thickBot="1" x14ac:dyDescent="0.4">
      <c r="A2371" s="256" t="s">
        <v>5548</v>
      </c>
      <c r="B2371" s="50" t="s">
        <v>5549</v>
      </c>
      <c r="C2371" s="21"/>
      <c r="D2371" s="21"/>
      <c r="E2371" s="21"/>
      <c r="F2371" s="21"/>
      <c r="G2371" s="21"/>
      <c r="H2371" s="21"/>
      <c r="J2371" s="18" t="s">
        <v>2473</v>
      </c>
      <c r="K2371" s="18" t="s">
        <v>2473</v>
      </c>
      <c r="M2371" s="248"/>
      <c r="Y2371" s="246"/>
      <c r="AR2371" s="290"/>
      <c r="AS2371" s="262" t="s">
        <v>5751</v>
      </c>
    </row>
    <row r="2372" spans="1:48" s="17" customFormat="1" ht="12" thickBot="1" x14ac:dyDescent="0.4">
      <c r="A2372" s="256" t="s">
        <v>5550</v>
      </c>
      <c r="B2372" s="50" t="s">
        <v>5551</v>
      </c>
      <c r="C2372" s="21"/>
      <c r="D2372" s="21"/>
      <c r="E2372" s="21"/>
      <c r="F2372" s="21"/>
      <c r="G2372" s="21"/>
      <c r="H2372" s="21"/>
      <c r="J2372" s="18" t="s">
        <v>2473</v>
      </c>
      <c r="K2372" s="18" t="s">
        <v>2473</v>
      </c>
      <c r="M2372" s="248"/>
      <c r="Y2372" s="246"/>
      <c r="AR2372" s="290"/>
      <c r="AS2372" s="262" t="s">
        <v>5751</v>
      </c>
    </row>
    <row r="2373" spans="1:48" s="17" customFormat="1" ht="12" thickBot="1" x14ac:dyDescent="0.4">
      <c r="A2373" s="256" t="s">
        <v>5552</v>
      </c>
      <c r="B2373" s="50" t="s">
        <v>5553</v>
      </c>
      <c r="C2373" s="21"/>
      <c r="D2373" s="21"/>
      <c r="E2373" s="21"/>
      <c r="F2373" s="21"/>
      <c r="G2373" s="21"/>
      <c r="H2373" s="21"/>
      <c r="J2373" s="18" t="s">
        <v>2473</v>
      </c>
      <c r="K2373" s="18" t="s">
        <v>2473</v>
      </c>
      <c r="M2373" s="248"/>
      <c r="Y2373" s="246"/>
      <c r="AR2373" s="290"/>
      <c r="AS2373" s="262" t="s">
        <v>5751</v>
      </c>
    </row>
    <row r="2374" spans="1:48" s="17" customFormat="1" ht="12" thickBot="1" x14ac:dyDescent="0.4">
      <c r="A2374" s="256" t="s">
        <v>5554</v>
      </c>
      <c r="B2374" s="50" t="s">
        <v>5555</v>
      </c>
      <c r="C2374" s="21"/>
      <c r="D2374" s="21"/>
      <c r="E2374" s="21"/>
      <c r="F2374" s="21"/>
      <c r="G2374" s="21"/>
      <c r="H2374" s="21"/>
      <c r="J2374" s="18" t="s">
        <v>2473</v>
      </c>
      <c r="K2374" s="18" t="s">
        <v>2473</v>
      </c>
      <c r="M2374" s="248"/>
      <c r="Y2374" s="246"/>
      <c r="AR2374" s="290"/>
      <c r="AS2374" s="262" t="s">
        <v>5751</v>
      </c>
    </row>
    <row r="2375" spans="1:48" s="17" customFormat="1" ht="12" thickBot="1" x14ac:dyDescent="0.4">
      <c r="A2375" s="256" t="s">
        <v>5556</v>
      </c>
      <c r="B2375" s="50" t="s">
        <v>5557</v>
      </c>
      <c r="C2375" s="21"/>
      <c r="D2375" s="21"/>
      <c r="E2375" s="21"/>
      <c r="F2375" s="21"/>
      <c r="G2375" s="21"/>
      <c r="H2375" s="21"/>
      <c r="J2375" s="18" t="s">
        <v>2473</v>
      </c>
      <c r="K2375" s="18" t="s">
        <v>2473</v>
      </c>
      <c r="M2375" s="248"/>
      <c r="Y2375" s="246"/>
      <c r="AR2375" s="290"/>
      <c r="AS2375" s="262" t="s">
        <v>5751</v>
      </c>
    </row>
    <row r="2376" spans="1:48" s="17" customFormat="1" ht="12" thickBot="1" x14ac:dyDescent="0.4">
      <c r="A2376" s="256" t="s">
        <v>5558</v>
      </c>
      <c r="B2376" s="50" t="s">
        <v>5559</v>
      </c>
      <c r="C2376" s="21"/>
      <c r="D2376" s="21"/>
      <c r="E2376" s="21"/>
      <c r="F2376" s="21"/>
      <c r="G2376" s="21"/>
      <c r="H2376" s="21"/>
      <c r="J2376" s="18" t="s">
        <v>2473</v>
      </c>
      <c r="K2376" s="18" t="s">
        <v>2473</v>
      </c>
      <c r="M2376" s="248"/>
      <c r="Y2376" s="246"/>
      <c r="AR2376" s="290"/>
      <c r="AS2376" s="262" t="s">
        <v>5751</v>
      </c>
    </row>
    <row r="2377" spans="1:48" s="17" customFormat="1" ht="58.5" thickBot="1" x14ac:dyDescent="0.4">
      <c r="A2377" s="255" t="s">
        <v>5560</v>
      </c>
      <c r="B2377" s="50" t="s">
        <v>5561</v>
      </c>
      <c r="C2377" s="21"/>
      <c r="D2377" s="21"/>
      <c r="E2377" s="21"/>
      <c r="F2377" s="21"/>
      <c r="G2377" s="21"/>
      <c r="H2377" s="21"/>
      <c r="J2377" s="18" t="s">
        <v>2473</v>
      </c>
      <c r="K2377" s="18" t="s">
        <v>2473</v>
      </c>
      <c r="M2377" s="248"/>
      <c r="Y2377" s="246"/>
      <c r="AR2377" s="290"/>
      <c r="AS2377" s="262" t="s">
        <v>5751</v>
      </c>
    </row>
    <row r="2378" spans="1:48" s="17" customFormat="1" ht="12" thickBot="1" x14ac:dyDescent="0.4">
      <c r="A2378" s="256" t="s">
        <v>5550</v>
      </c>
      <c r="B2378" s="50" t="s">
        <v>5551</v>
      </c>
      <c r="C2378" s="21"/>
      <c r="D2378" s="21"/>
      <c r="E2378" s="21"/>
      <c r="F2378" s="21"/>
      <c r="G2378" s="21"/>
      <c r="H2378" s="21"/>
      <c r="J2378" s="18" t="s">
        <v>2473</v>
      </c>
      <c r="K2378" s="18" t="s">
        <v>2473</v>
      </c>
      <c r="M2378" s="248"/>
      <c r="Y2378" s="246"/>
      <c r="AR2378" s="290"/>
      <c r="AS2378" s="262" t="s">
        <v>5751</v>
      </c>
    </row>
    <row r="2379" spans="1:48" s="17" customFormat="1" ht="12" thickBot="1" x14ac:dyDescent="0.4">
      <c r="A2379" s="256" t="s">
        <v>2165</v>
      </c>
      <c r="B2379" s="50" t="s">
        <v>5557</v>
      </c>
      <c r="C2379" s="21"/>
      <c r="D2379" s="21"/>
      <c r="E2379" s="21"/>
      <c r="F2379" s="21"/>
      <c r="G2379" s="21"/>
      <c r="H2379" s="21"/>
      <c r="J2379" s="18" t="s">
        <v>2473</v>
      </c>
      <c r="K2379" s="18" t="s">
        <v>2473</v>
      </c>
      <c r="M2379" s="248"/>
      <c r="Y2379" s="246"/>
      <c r="AR2379" s="290"/>
      <c r="AS2379" s="262" t="s">
        <v>5751</v>
      </c>
    </row>
    <row r="2380" spans="1:48" s="17" customFormat="1" ht="12" thickBot="1" x14ac:dyDescent="0.4">
      <c r="A2380" s="256" t="s">
        <v>5562</v>
      </c>
      <c r="B2380" s="50" t="s">
        <v>5563</v>
      </c>
      <c r="C2380" s="21"/>
      <c r="D2380" s="21"/>
      <c r="E2380" s="21"/>
      <c r="F2380" s="21"/>
      <c r="G2380" s="21"/>
      <c r="H2380" s="21"/>
      <c r="J2380" s="18" t="s">
        <v>2473</v>
      </c>
      <c r="K2380" s="18" t="s">
        <v>2473</v>
      </c>
      <c r="M2380" s="248"/>
      <c r="Y2380" s="246"/>
      <c r="AR2380" s="290"/>
      <c r="AS2380" s="262" t="s">
        <v>5751</v>
      </c>
    </row>
    <row r="2381" spans="1:48" s="17" customFormat="1" ht="23.65" thickBot="1" x14ac:dyDescent="0.4">
      <c r="A2381" s="255" t="s">
        <v>5564</v>
      </c>
      <c r="B2381" s="50" t="s">
        <v>5565</v>
      </c>
      <c r="C2381" s="21"/>
      <c r="D2381" s="21"/>
      <c r="E2381" s="21"/>
      <c r="F2381" s="21"/>
      <c r="G2381" s="21"/>
      <c r="H2381" s="21"/>
      <c r="J2381" s="18" t="s">
        <v>2473</v>
      </c>
      <c r="K2381" s="18" t="s">
        <v>2473</v>
      </c>
      <c r="M2381" s="248"/>
      <c r="Y2381" s="246"/>
      <c r="AR2381" s="290"/>
      <c r="AS2381" s="262" t="s">
        <v>5751</v>
      </c>
    </row>
    <row r="2382" spans="1:48" s="17" customFormat="1" ht="12" thickBot="1" x14ac:dyDescent="0.4">
      <c r="A2382" s="256" t="s">
        <v>5550</v>
      </c>
      <c r="B2382" s="50" t="s">
        <v>5551</v>
      </c>
      <c r="C2382" s="21"/>
      <c r="D2382" s="21"/>
      <c r="E2382" s="21"/>
      <c r="F2382" s="21"/>
      <c r="G2382" s="21"/>
      <c r="H2382" s="21"/>
      <c r="J2382" s="18" t="s">
        <v>2473</v>
      </c>
      <c r="K2382" s="18" t="s">
        <v>2473</v>
      </c>
      <c r="M2382" s="248"/>
      <c r="Y2382" s="246"/>
      <c r="AR2382" s="290"/>
      <c r="AS2382" s="262" t="s">
        <v>5751</v>
      </c>
    </row>
    <row r="2383" spans="1:48" s="17" customFormat="1" ht="12" thickBot="1" x14ac:dyDescent="0.4">
      <c r="A2383" s="256" t="s">
        <v>2653</v>
      </c>
      <c r="B2383" s="50" t="s">
        <v>5566</v>
      </c>
      <c r="C2383" s="21"/>
      <c r="D2383" s="21"/>
      <c r="E2383" s="21"/>
      <c r="F2383" s="21"/>
      <c r="G2383" s="21"/>
      <c r="H2383" s="21"/>
      <c r="J2383" s="18" t="s">
        <v>2473</v>
      </c>
      <c r="K2383" s="18" t="s">
        <v>2473</v>
      </c>
      <c r="M2383" s="248"/>
      <c r="Y2383" s="246"/>
      <c r="AR2383" s="290"/>
      <c r="AS2383" s="262" t="s">
        <v>5751</v>
      </c>
    </row>
    <row r="2384" spans="1:48" s="17" customFormat="1" ht="23.65" thickBot="1" x14ac:dyDescent="0.4">
      <c r="A2384" s="256" t="s">
        <v>2051</v>
      </c>
      <c r="B2384" s="50" t="s">
        <v>5567</v>
      </c>
      <c r="C2384" s="21"/>
      <c r="D2384" s="21"/>
      <c r="E2384" s="21"/>
      <c r="F2384" s="21"/>
      <c r="G2384" s="21"/>
      <c r="H2384" s="21"/>
      <c r="J2384" s="18" t="s">
        <v>2473</v>
      </c>
      <c r="K2384" s="18" t="s">
        <v>2473</v>
      </c>
      <c r="M2384" s="248"/>
      <c r="Y2384" s="246"/>
      <c r="AR2384" s="290"/>
      <c r="AS2384" s="262" t="s">
        <v>5751</v>
      </c>
    </row>
    <row r="2385" spans="1:45" s="17" customFormat="1" ht="35.25" thickBot="1" x14ac:dyDescent="0.4">
      <c r="A2385" s="256" t="s">
        <v>5568</v>
      </c>
      <c r="B2385" s="50" t="s">
        <v>5569</v>
      </c>
      <c r="C2385" s="21"/>
      <c r="D2385" s="21"/>
      <c r="E2385" s="21"/>
      <c r="F2385" s="21"/>
      <c r="G2385" s="21"/>
      <c r="H2385" s="21"/>
      <c r="J2385" s="18" t="s">
        <v>2473</v>
      </c>
      <c r="K2385" s="18" t="s">
        <v>2473</v>
      </c>
      <c r="M2385" s="248"/>
      <c r="Y2385" s="246"/>
      <c r="AR2385" s="290"/>
      <c r="AS2385" s="262" t="s">
        <v>5751</v>
      </c>
    </row>
    <row r="2386" spans="1:45" s="17" customFormat="1" ht="12" thickBot="1" x14ac:dyDescent="0.4">
      <c r="A2386" s="256" t="s">
        <v>2165</v>
      </c>
      <c r="B2386" s="50" t="s">
        <v>5557</v>
      </c>
      <c r="C2386" s="21"/>
      <c r="D2386" s="21"/>
      <c r="E2386" s="21"/>
      <c r="F2386" s="21"/>
      <c r="G2386" s="21"/>
      <c r="H2386" s="21"/>
      <c r="J2386" s="18" t="s">
        <v>2473</v>
      </c>
      <c r="K2386" s="18" t="s">
        <v>2473</v>
      </c>
      <c r="M2386" s="248"/>
      <c r="Y2386" s="246"/>
      <c r="AR2386" s="290"/>
      <c r="AS2386" s="262" t="s">
        <v>5751</v>
      </c>
    </row>
    <row r="2387" spans="1:45" s="17" customFormat="1" ht="12" thickBot="1" x14ac:dyDescent="0.4">
      <c r="A2387" s="256" t="s">
        <v>5562</v>
      </c>
      <c r="B2387" s="50" t="s">
        <v>5563</v>
      </c>
      <c r="C2387" s="21"/>
      <c r="D2387" s="21"/>
      <c r="E2387" s="21"/>
      <c r="F2387" s="21"/>
      <c r="G2387" s="21"/>
      <c r="H2387" s="21"/>
      <c r="J2387" s="18" t="s">
        <v>2473</v>
      </c>
      <c r="K2387" s="18" t="s">
        <v>2473</v>
      </c>
      <c r="M2387" s="248"/>
      <c r="Y2387" s="246"/>
      <c r="AR2387" s="290"/>
      <c r="AS2387" s="262" t="s">
        <v>5751</v>
      </c>
    </row>
    <row r="2388" spans="1:45" s="17" customFormat="1" ht="23.65" thickBot="1" x14ac:dyDescent="0.4">
      <c r="A2388" s="255" t="s">
        <v>5570</v>
      </c>
      <c r="B2388" s="50" t="s">
        <v>5571</v>
      </c>
      <c r="C2388" s="21"/>
      <c r="D2388" s="21"/>
      <c r="E2388" s="21"/>
      <c r="F2388" s="21"/>
      <c r="G2388" s="21"/>
      <c r="H2388" s="21"/>
      <c r="J2388" s="18" t="s">
        <v>2473</v>
      </c>
      <c r="K2388" s="18" t="s">
        <v>2473</v>
      </c>
      <c r="M2388" s="248"/>
      <c r="Y2388" s="246"/>
      <c r="AR2388" s="290"/>
      <c r="AS2388" s="262" t="s">
        <v>5751</v>
      </c>
    </row>
    <row r="2389" spans="1:45" s="17" customFormat="1" ht="12" thickBot="1" x14ac:dyDescent="0.4">
      <c r="A2389" s="256" t="s">
        <v>5550</v>
      </c>
      <c r="B2389" s="50" t="s">
        <v>5551</v>
      </c>
      <c r="C2389" s="21"/>
      <c r="D2389" s="21"/>
      <c r="E2389" s="21"/>
      <c r="F2389" s="21"/>
      <c r="G2389" s="21"/>
      <c r="H2389" s="21"/>
      <c r="J2389" s="18" t="s">
        <v>2473</v>
      </c>
      <c r="K2389" s="18" t="s">
        <v>2473</v>
      </c>
      <c r="M2389" s="248"/>
      <c r="Y2389" s="246"/>
      <c r="AR2389" s="290"/>
      <c r="AS2389" s="262" t="s">
        <v>5751</v>
      </c>
    </row>
    <row r="2390" spans="1:45" s="17" customFormat="1" ht="12" thickBot="1" x14ac:dyDescent="0.4">
      <c r="A2390" s="256" t="s">
        <v>2165</v>
      </c>
      <c r="B2390" s="50" t="s">
        <v>5557</v>
      </c>
      <c r="C2390" s="21"/>
      <c r="D2390" s="21"/>
      <c r="E2390" s="21"/>
      <c r="F2390" s="21"/>
      <c r="G2390" s="21"/>
      <c r="H2390" s="21"/>
      <c r="J2390" s="18" t="s">
        <v>2473</v>
      </c>
      <c r="K2390" s="18" t="s">
        <v>2473</v>
      </c>
      <c r="M2390" s="248"/>
      <c r="Y2390" s="246"/>
      <c r="AR2390" s="290"/>
      <c r="AS2390" s="262" t="s">
        <v>5751</v>
      </c>
    </row>
    <row r="2391" spans="1:45" s="17" customFormat="1" ht="23.65" thickBot="1" x14ac:dyDescent="0.4">
      <c r="A2391" s="255" t="s">
        <v>5572</v>
      </c>
      <c r="B2391" s="50" t="s">
        <v>5573</v>
      </c>
      <c r="C2391" s="21"/>
      <c r="D2391" s="21"/>
      <c r="E2391" s="21"/>
      <c r="F2391" s="21"/>
      <c r="G2391" s="21"/>
      <c r="H2391" s="21"/>
      <c r="J2391" s="18" t="s">
        <v>2473</v>
      </c>
      <c r="K2391" s="18" t="s">
        <v>2473</v>
      </c>
      <c r="M2391" s="248"/>
      <c r="Y2391" s="246"/>
      <c r="AR2391" s="290"/>
      <c r="AS2391" s="262" t="s">
        <v>5751</v>
      </c>
    </row>
    <row r="2392" spans="1:45" s="17" customFormat="1" ht="12" thickBot="1" x14ac:dyDescent="0.4">
      <c r="A2392" s="256" t="s">
        <v>5574</v>
      </c>
      <c r="B2392" s="50" t="s">
        <v>5575</v>
      </c>
      <c r="C2392" s="21"/>
      <c r="D2392" s="21"/>
      <c r="E2392" s="21"/>
      <c r="F2392" s="21"/>
      <c r="G2392" s="21"/>
      <c r="H2392" s="21"/>
      <c r="J2392" s="18" t="s">
        <v>2473</v>
      </c>
      <c r="K2392" s="18" t="s">
        <v>2473</v>
      </c>
      <c r="M2392" s="248"/>
      <c r="Y2392" s="246"/>
      <c r="AR2392" s="290"/>
      <c r="AS2392" s="262" t="s">
        <v>5751</v>
      </c>
    </row>
    <row r="2393" spans="1:45" s="17" customFormat="1" ht="12" thickBot="1" x14ac:dyDescent="0.4">
      <c r="A2393" s="256" t="s">
        <v>5550</v>
      </c>
      <c r="B2393" s="50" t="s">
        <v>5551</v>
      </c>
      <c r="C2393" s="21"/>
      <c r="D2393" s="21"/>
      <c r="E2393" s="21"/>
      <c r="F2393" s="21"/>
      <c r="G2393" s="21"/>
      <c r="H2393" s="21"/>
      <c r="J2393" s="18" t="s">
        <v>2473</v>
      </c>
      <c r="K2393" s="18" t="s">
        <v>2473</v>
      </c>
      <c r="M2393" s="248"/>
      <c r="Y2393" s="246"/>
      <c r="AR2393" s="290"/>
      <c r="AS2393" s="262" t="s">
        <v>5751</v>
      </c>
    </row>
    <row r="2394" spans="1:45" s="17" customFormat="1" ht="12" thickBot="1" x14ac:dyDescent="0.4">
      <c r="A2394" s="256" t="s">
        <v>2165</v>
      </c>
      <c r="B2394" s="50" t="s">
        <v>5557</v>
      </c>
      <c r="C2394" s="21"/>
      <c r="D2394" s="21"/>
      <c r="E2394" s="21"/>
      <c r="F2394" s="21"/>
      <c r="G2394" s="21"/>
      <c r="H2394" s="21"/>
      <c r="J2394" s="18" t="s">
        <v>2473</v>
      </c>
      <c r="K2394" s="18" t="s">
        <v>2473</v>
      </c>
      <c r="M2394" s="248"/>
      <c r="Y2394" s="246"/>
      <c r="AR2394" s="290"/>
      <c r="AS2394" s="262" t="s">
        <v>5751</v>
      </c>
    </row>
    <row r="2395" spans="1:45" s="17" customFormat="1" ht="12" thickBot="1" x14ac:dyDescent="0.4">
      <c r="A2395" s="256" t="s">
        <v>5576</v>
      </c>
      <c r="B2395" s="50" t="s">
        <v>5577</v>
      </c>
      <c r="C2395" s="21"/>
      <c r="D2395" s="21"/>
      <c r="E2395" s="21"/>
      <c r="F2395" s="21"/>
      <c r="G2395" s="21"/>
      <c r="H2395" s="21"/>
      <c r="J2395" s="18" t="s">
        <v>2473</v>
      </c>
      <c r="K2395" s="18" t="s">
        <v>2473</v>
      </c>
      <c r="M2395" s="248"/>
      <c r="Y2395" s="246"/>
      <c r="AR2395" s="290"/>
      <c r="AS2395" s="262" t="s">
        <v>5751</v>
      </c>
    </row>
    <row r="2396" spans="1:45" s="17" customFormat="1" ht="23.65" thickBot="1" x14ac:dyDescent="0.4">
      <c r="A2396" s="255" t="s">
        <v>5578</v>
      </c>
      <c r="B2396" s="50" t="s">
        <v>5579</v>
      </c>
      <c r="C2396" s="21"/>
      <c r="D2396" s="21"/>
      <c r="E2396" s="21"/>
      <c r="F2396" s="21"/>
      <c r="G2396" s="21"/>
      <c r="H2396" s="21"/>
      <c r="J2396" s="18" t="s">
        <v>2473</v>
      </c>
      <c r="K2396" s="18" t="s">
        <v>2473</v>
      </c>
      <c r="M2396" s="248"/>
      <c r="Y2396" s="246"/>
      <c r="AR2396" s="290"/>
      <c r="AS2396" s="262" t="s">
        <v>5751</v>
      </c>
    </row>
    <row r="2397" spans="1:45" s="17" customFormat="1" ht="23.65" thickBot="1" x14ac:dyDescent="0.4">
      <c r="A2397" s="256" t="s">
        <v>5580</v>
      </c>
      <c r="B2397" s="50" t="s">
        <v>5581</v>
      </c>
      <c r="C2397" s="21"/>
      <c r="D2397" s="21"/>
      <c r="E2397" s="21"/>
      <c r="F2397" s="21"/>
      <c r="G2397" s="21"/>
      <c r="H2397" s="21"/>
      <c r="J2397" s="18" t="s">
        <v>2473</v>
      </c>
      <c r="K2397" s="18" t="s">
        <v>2473</v>
      </c>
      <c r="M2397" s="248"/>
      <c r="Y2397" s="246"/>
      <c r="AR2397" s="290"/>
      <c r="AS2397" s="262" t="s">
        <v>5751</v>
      </c>
    </row>
    <row r="2398" spans="1:45" s="17" customFormat="1" ht="12" thickBot="1" x14ac:dyDescent="0.4">
      <c r="A2398" s="256" t="s">
        <v>5550</v>
      </c>
      <c r="B2398" s="50" t="s">
        <v>5551</v>
      </c>
      <c r="C2398" s="21"/>
      <c r="D2398" s="21"/>
      <c r="E2398" s="21"/>
      <c r="F2398" s="21"/>
      <c r="G2398" s="21"/>
      <c r="H2398" s="21"/>
      <c r="J2398" s="18" t="s">
        <v>2473</v>
      </c>
      <c r="K2398" s="18" t="s">
        <v>2473</v>
      </c>
      <c r="M2398" s="248"/>
      <c r="Y2398" s="246"/>
      <c r="AR2398" s="290"/>
      <c r="AS2398" s="262" t="s">
        <v>5751</v>
      </c>
    </row>
    <row r="2399" spans="1:45" s="17" customFormat="1" ht="23.65" thickBot="1" x14ac:dyDescent="0.4">
      <c r="A2399" s="256" t="s">
        <v>5582</v>
      </c>
      <c r="B2399" s="50" t="s">
        <v>5583</v>
      </c>
      <c r="C2399" s="21"/>
      <c r="D2399" s="21"/>
      <c r="E2399" s="21"/>
      <c r="F2399" s="21"/>
      <c r="G2399" s="21"/>
      <c r="H2399" s="21"/>
      <c r="J2399" s="18" t="s">
        <v>2473</v>
      </c>
      <c r="K2399" s="18" t="s">
        <v>2473</v>
      </c>
      <c r="M2399" s="248"/>
      <c r="Y2399" s="246"/>
      <c r="AR2399" s="290"/>
      <c r="AS2399" s="262" t="s">
        <v>5751</v>
      </c>
    </row>
    <row r="2400" spans="1:45" s="17" customFormat="1" ht="12" thickBot="1" x14ac:dyDescent="0.4">
      <c r="A2400" s="256" t="s">
        <v>5584</v>
      </c>
      <c r="B2400" s="50" t="s">
        <v>5585</v>
      </c>
      <c r="C2400" s="21"/>
      <c r="D2400" s="21"/>
      <c r="E2400" s="21"/>
      <c r="F2400" s="21"/>
      <c r="G2400" s="21"/>
      <c r="H2400" s="21"/>
      <c r="J2400" s="18" t="s">
        <v>2473</v>
      </c>
      <c r="K2400" s="18" t="s">
        <v>2473</v>
      </c>
      <c r="M2400" s="248"/>
      <c r="Y2400" s="246"/>
      <c r="AR2400" s="290"/>
      <c r="AS2400" s="262" t="s">
        <v>5751</v>
      </c>
    </row>
    <row r="2401" spans="1:45" s="17" customFormat="1" ht="23.65" thickBot="1" x14ac:dyDescent="0.4">
      <c r="A2401" s="256" t="s">
        <v>5586</v>
      </c>
      <c r="B2401" s="50" t="s">
        <v>5587</v>
      </c>
      <c r="C2401" s="21"/>
      <c r="D2401" s="21"/>
      <c r="E2401" s="21"/>
      <c r="F2401" s="21"/>
      <c r="G2401" s="21"/>
      <c r="H2401" s="21"/>
      <c r="J2401" s="18" t="s">
        <v>2473</v>
      </c>
      <c r="K2401" s="18" t="s">
        <v>2473</v>
      </c>
      <c r="M2401" s="248"/>
      <c r="Y2401" s="246"/>
      <c r="AR2401" s="290"/>
      <c r="AS2401" s="262" t="s">
        <v>5751</v>
      </c>
    </row>
    <row r="2402" spans="1:45" s="17" customFormat="1" ht="12" thickBot="1" x14ac:dyDescent="0.4">
      <c r="A2402" s="256" t="s">
        <v>2165</v>
      </c>
      <c r="B2402" s="50" t="s">
        <v>5557</v>
      </c>
      <c r="C2402" s="21"/>
      <c r="D2402" s="21"/>
      <c r="E2402" s="21"/>
      <c r="F2402" s="21"/>
      <c r="G2402" s="21"/>
      <c r="H2402" s="21"/>
      <c r="J2402" s="18" t="s">
        <v>2473</v>
      </c>
      <c r="K2402" s="18" t="s">
        <v>2473</v>
      </c>
      <c r="M2402" s="248"/>
      <c r="Y2402" s="246"/>
      <c r="AR2402" s="290"/>
      <c r="AS2402" s="262" t="s">
        <v>5751</v>
      </c>
    </row>
    <row r="2403" spans="1:45" s="17" customFormat="1" ht="71.25" thickBot="1" x14ac:dyDescent="0.4">
      <c r="A2403" s="255" t="s">
        <v>5649</v>
      </c>
      <c r="B2403" s="50" t="s">
        <v>5589</v>
      </c>
      <c r="C2403" s="21"/>
      <c r="D2403" s="21"/>
      <c r="E2403" s="21" t="s">
        <v>10</v>
      </c>
      <c r="F2403" s="21"/>
      <c r="G2403" s="21" t="s">
        <v>10</v>
      </c>
      <c r="H2403" s="21"/>
      <c r="J2403" s="18" t="s">
        <v>2473</v>
      </c>
      <c r="K2403" s="18" t="s">
        <v>2473</v>
      </c>
      <c r="M2403" s="248"/>
      <c r="Y2403" s="246"/>
      <c r="AR2403" s="290"/>
      <c r="AS2403" s="263" t="s">
        <v>5863</v>
      </c>
    </row>
    <row r="2404" spans="1:45" s="17" customFormat="1" ht="12" thickBot="1" x14ac:dyDescent="0.4">
      <c r="A2404" s="256" t="s">
        <v>5574</v>
      </c>
      <c r="B2404" s="50" t="s">
        <v>5575</v>
      </c>
      <c r="C2404" s="21"/>
      <c r="D2404" s="21"/>
      <c r="E2404" s="21"/>
      <c r="F2404" s="21"/>
      <c r="G2404" s="21"/>
      <c r="H2404" s="21"/>
      <c r="J2404" s="18" t="s">
        <v>2473</v>
      </c>
      <c r="K2404" s="18" t="s">
        <v>2473</v>
      </c>
      <c r="M2404" s="248"/>
      <c r="Y2404" s="246"/>
      <c r="AR2404" s="290"/>
      <c r="AS2404" s="262" t="s">
        <v>5751</v>
      </c>
    </row>
    <row r="2405" spans="1:45" s="17" customFormat="1" ht="12" thickBot="1" x14ac:dyDescent="0.4">
      <c r="A2405" s="256" t="s">
        <v>5550</v>
      </c>
      <c r="B2405" s="50" t="s">
        <v>5551</v>
      </c>
      <c r="C2405" s="21"/>
      <c r="D2405" s="21"/>
      <c r="E2405" s="21"/>
      <c r="F2405" s="21"/>
      <c r="G2405" s="21"/>
      <c r="H2405" s="21"/>
      <c r="J2405" s="18" t="s">
        <v>2473</v>
      </c>
      <c r="K2405" s="18" t="s">
        <v>2473</v>
      </c>
      <c r="M2405" s="248"/>
      <c r="Y2405" s="246"/>
      <c r="AR2405" s="290"/>
      <c r="AS2405" s="262" t="s">
        <v>5751</v>
      </c>
    </row>
    <row r="2406" spans="1:45" s="17" customFormat="1" ht="40.9" thickBot="1" x14ac:dyDescent="0.4">
      <c r="A2406" s="256" t="s">
        <v>2165</v>
      </c>
      <c r="B2406" s="50" t="s">
        <v>5557</v>
      </c>
      <c r="C2406" s="21"/>
      <c r="D2406" s="21"/>
      <c r="E2406" s="21" t="s">
        <v>10</v>
      </c>
      <c r="F2406" s="21"/>
      <c r="G2406" s="21" t="s">
        <v>10</v>
      </c>
      <c r="H2406" s="21"/>
      <c r="J2406" s="18" t="s">
        <v>2473</v>
      </c>
      <c r="K2406" s="18" t="s">
        <v>2473</v>
      </c>
      <c r="M2406" s="248"/>
      <c r="Y2406" s="246"/>
      <c r="AR2406" s="290"/>
      <c r="AS2406" s="262" t="s">
        <v>5846</v>
      </c>
    </row>
    <row r="2407" spans="1:45" s="17" customFormat="1" ht="12" thickBot="1" x14ac:dyDescent="0.4">
      <c r="A2407" s="256" t="s">
        <v>5576</v>
      </c>
      <c r="B2407" s="50" t="s">
        <v>5577</v>
      </c>
      <c r="C2407" s="21"/>
      <c r="D2407" s="21"/>
      <c r="E2407" s="21"/>
      <c r="F2407" s="21"/>
      <c r="G2407" s="21"/>
      <c r="H2407" s="21"/>
      <c r="J2407" s="18" t="s">
        <v>2473</v>
      </c>
      <c r="K2407" s="18" t="s">
        <v>2473</v>
      </c>
      <c r="M2407" s="248"/>
      <c r="Y2407" s="246"/>
      <c r="AR2407" s="290"/>
      <c r="AS2407" s="262" t="s">
        <v>5751</v>
      </c>
    </row>
    <row r="2408" spans="1:45" s="17" customFormat="1" ht="51" thickBot="1" x14ac:dyDescent="0.4">
      <c r="A2408" s="255" t="s">
        <v>5590</v>
      </c>
      <c r="B2408" s="50" t="s">
        <v>5591</v>
      </c>
      <c r="C2408" s="21"/>
      <c r="D2408" s="21"/>
      <c r="E2408" s="21" t="s">
        <v>13</v>
      </c>
      <c r="F2408" s="21"/>
      <c r="G2408" s="21" t="s">
        <v>13</v>
      </c>
      <c r="H2408" s="21"/>
      <c r="J2408" s="18" t="s">
        <v>2473</v>
      </c>
      <c r="K2408" s="18" t="s">
        <v>2473</v>
      </c>
      <c r="M2408" s="248"/>
      <c r="Y2408" s="246"/>
      <c r="AR2408" s="290"/>
      <c r="AS2408" s="263" t="s">
        <v>5862</v>
      </c>
    </row>
    <row r="2409" spans="1:45" s="17" customFormat="1" ht="40.9" thickBot="1" x14ac:dyDescent="0.4">
      <c r="A2409" s="256" t="s">
        <v>5580</v>
      </c>
      <c r="B2409" s="50" t="s">
        <v>5581</v>
      </c>
      <c r="C2409" s="21"/>
      <c r="D2409" s="21"/>
      <c r="E2409" s="21" t="s">
        <v>13</v>
      </c>
      <c r="F2409" s="21"/>
      <c r="G2409" s="21" t="s">
        <v>13</v>
      </c>
      <c r="H2409" s="21"/>
      <c r="J2409" s="18" t="s">
        <v>2473</v>
      </c>
      <c r="K2409" s="18" t="s">
        <v>2473</v>
      </c>
      <c r="M2409" s="248"/>
      <c r="Y2409" s="246"/>
      <c r="AR2409" s="290"/>
      <c r="AS2409" s="262" t="s">
        <v>5846</v>
      </c>
    </row>
    <row r="2410" spans="1:45" s="17" customFormat="1" ht="12" thickBot="1" x14ac:dyDescent="0.4">
      <c r="A2410" s="256" t="s">
        <v>5550</v>
      </c>
      <c r="B2410" s="50" t="s">
        <v>5551</v>
      </c>
      <c r="C2410" s="21"/>
      <c r="D2410" s="21"/>
      <c r="E2410" s="21"/>
      <c r="F2410" s="21"/>
      <c r="G2410" s="21"/>
      <c r="H2410" s="21"/>
      <c r="J2410" s="18" t="s">
        <v>2473</v>
      </c>
      <c r="K2410" s="18" t="s">
        <v>2473</v>
      </c>
      <c r="M2410" s="248"/>
      <c r="Y2410" s="246"/>
      <c r="AR2410" s="290"/>
      <c r="AS2410" s="262" t="s">
        <v>5751</v>
      </c>
    </row>
    <row r="2411" spans="1:45" s="17" customFormat="1" ht="23.65" thickBot="1" x14ac:dyDescent="0.4">
      <c r="A2411" s="256" t="s">
        <v>5582</v>
      </c>
      <c r="B2411" s="50" t="s">
        <v>5583</v>
      </c>
      <c r="C2411" s="21"/>
      <c r="D2411" s="21"/>
      <c r="E2411" s="21"/>
      <c r="F2411" s="21"/>
      <c r="G2411" s="21"/>
      <c r="H2411" s="21"/>
      <c r="J2411" s="18" t="s">
        <v>2473</v>
      </c>
      <c r="K2411" s="18" t="s">
        <v>2473</v>
      </c>
      <c r="M2411" s="248"/>
      <c r="Y2411" s="246"/>
      <c r="AR2411" s="290"/>
      <c r="AS2411" s="262" t="s">
        <v>5751</v>
      </c>
    </row>
    <row r="2412" spans="1:45" s="17" customFormat="1" ht="12" thickBot="1" x14ac:dyDescent="0.4">
      <c r="A2412" s="256" t="s">
        <v>5584</v>
      </c>
      <c r="B2412" s="50" t="s">
        <v>5585</v>
      </c>
      <c r="C2412" s="21"/>
      <c r="D2412" s="21"/>
      <c r="E2412" s="21"/>
      <c r="F2412" s="21"/>
      <c r="G2412" s="21"/>
      <c r="H2412" s="21"/>
      <c r="J2412" s="18" t="s">
        <v>2473</v>
      </c>
      <c r="K2412" s="18" t="s">
        <v>2473</v>
      </c>
      <c r="M2412" s="248"/>
      <c r="Y2412" s="246"/>
      <c r="AR2412" s="290"/>
      <c r="AS2412" s="262" t="s">
        <v>5751</v>
      </c>
    </row>
    <row r="2413" spans="1:45" s="17" customFormat="1" ht="23.65" thickBot="1" x14ac:dyDescent="0.4">
      <c r="A2413" s="256" t="s">
        <v>5586</v>
      </c>
      <c r="B2413" s="50" t="s">
        <v>5587</v>
      </c>
      <c r="C2413" s="21"/>
      <c r="D2413" s="21"/>
      <c r="E2413" s="21"/>
      <c r="F2413" s="21"/>
      <c r="G2413" s="21"/>
      <c r="H2413" s="21"/>
      <c r="J2413" s="18" t="s">
        <v>2473</v>
      </c>
      <c r="K2413" s="18" t="s">
        <v>2473</v>
      </c>
      <c r="M2413" s="248"/>
      <c r="Y2413" s="246"/>
      <c r="AR2413" s="290"/>
      <c r="AS2413" s="262" t="s">
        <v>5751</v>
      </c>
    </row>
    <row r="2414" spans="1:45" s="17" customFormat="1" ht="12" thickBot="1" x14ac:dyDescent="0.4">
      <c r="A2414" s="256" t="s">
        <v>2165</v>
      </c>
      <c r="B2414" s="50" t="s">
        <v>5557</v>
      </c>
      <c r="C2414" s="21"/>
      <c r="D2414" s="21"/>
      <c r="E2414" s="21"/>
      <c r="F2414" s="21"/>
      <c r="G2414" s="21"/>
      <c r="H2414" s="21"/>
      <c r="J2414" s="18" t="s">
        <v>2473</v>
      </c>
      <c r="K2414" s="18" t="s">
        <v>2473</v>
      </c>
      <c r="M2414" s="248"/>
      <c r="Y2414" s="246"/>
      <c r="AR2414" s="290"/>
      <c r="AS2414" s="262" t="s">
        <v>5751</v>
      </c>
    </row>
    <row r="2415" spans="1:45" s="17" customFormat="1" ht="23.65" thickBot="1" x14ac:dyDescent="0.4">
      <c r="A2415" s="256" t="s">
        <v>5592</v>
      </c>
      <c r="B2415" s="50" t="s">
        <v>5593</v>
      </c>
      <c r="C2415" s="21"/>
      <c r="D2415" s="21"/>
      <c r="E2415" s="21"/>
      <c r="F2415" s="21"/>
      <c r="G2415" s="21"/>
      <c r="H2415" s="21"/>
      <c r="J2415" s="18" t="s">
        <v>2473</v>
      </c>
      <c r="K2415" s="18" t="s">
        <v>2473</v>
      </c>
      <c r="M2415" s="248"/>
      <c r="Y2415" s="246"/>
      <c r="AR2415" s="290"/>
      <c r="AS2415" s="262" t="s">
        <v>5751</v>
      </c>
    </row>
    <row r="2416" spans="1:45" s="17" customFormat="1" ht="12" thickBot="1" x14ac:dyDescent="0.4">
      <c r="A2416" s="256" t="s">
        <v>5574</v>
      </c>
      <c r="B2416" s="50" t="s">
        <v>5575</v>
      </c>
      <c r="C2416" s="21"/>
      <c r="D2416" s="21"/>
      <c r="E2416" s="21"/>
      <c r="F2416" s="21"/>
      <c r="G2416" s="21"/>
      <c r="H2416" s="21"/>
      <c r="J2416" s="18" t="s">
        <v>2473</v>
      </c>
      <c r="K2416" s="18" t="s">
        <v>2473</v>
      </c>
      <c r="M2416" s="248"/>
      <c r="Y2416" s="246"/>
      <c r="AR2416" s="290"/>
      <c r="AS2416" s="262" t="s">
        <v>5751</v>
      </c>
    </row>
    <row r="2417" spans="1:45" s="17" customFormat="1" ht="12" thickBot="1" x14ac:dyDescent="0.4">
      <c r="A2417" s="256" t="s">
        <v>5550</v>
      </c>
      <c r="B2417" s="50" t="s">
        <v>5551</v>
      </c>
      <c r="C2417" s="21"/>
      <c r="D2417" s="21"/>
      <c r="E2417" s="21"/>
      <c r="F2417" s="21"/>
      <c r="G2417" s="21"/>
      <c r="H2417" s="21"/>
      <c r="J2417" s="18" t="s">
        <v>2473</v>
      </c>
      <c r="K2417" s="18" t="s">
        <v>2473</v>
      </c>
      <c r="M2417" s="248"/>
      <c r="Y2417" s="246"/>
      <c r="AR2417" s="290"/>
      <c r="AS2417" s="262" t="s">
        <v>5751</v>
      </c>
    </row>
    <row r="2418" spans="1:45" s="17" customFormat="1" ht="12" thickBot="1" x14ac:dyDescent="0.4">
      <c r="A2418" s="256" t="s">
        <v>2165</v>
      </c>
      <c r="B2418" s="50" t="s">
        <v>5557</v>
      </c>
      <c r="C2418" s="21"/>
      <c r="D2418" s="21"/>
      <c r="E2418" s="21"/>
      <c r="F2418" s="21"/>
      <c r="G2418" s="21"/>
      <c r="H2418" s="21"/>
      <c r="J2418" s="18" t="s">
        <v>2473</v>
      </c>
      <c r="K2418" s="18" t="s">
        <v>2473</v>
      </c>
      <c r="M2418" s="248"/>
      <c r="Y2418" s="246"/>
      <c r="AR2418" s="290"/>
      <c r="AS2418" s="262" t="s">
        <v>5751</v>
      </c>
    </row>
    <row r="2419" spans="1:45" s="17" customFormat="1" ht="12" thickBot="1" x14ac:dyDescent="0.4">
      <c r="A2419" s="256" t="s">
        <v>5576</v>
      </c>
      <c r="B2419" s="50" t="s">
        <v>5577</v>
      </c>
      <c r="C2419" s="21"/>
      <c r="D2419" s="21"/>
      <c r="E2419" s="21"/>
      <c r="F2419" s="21"/>
      <c r="G2419" s="21"/>
      <c r="H2419" s="21"/>
      <c r="J2419" s="18" t="s">
        <v>2473</v>
      </c>
      <c r="K2419" s="18" t="s">
        <v>2473</v>
      </c>
      <c r="M2419" s="248"/>
      <c r="Y2419" s="246"/>
      <c r="AR2419" s="290"/>
      <c r="AS2419" s="262" t="s">
        <v>5751</v>
      </c>
    </row>
    <row r="2420" spans="1:45" s="17" customFormat="1" ht="35.25" thickBot="1" x14ac:dyDescent="0.4">
      <c r="A2420" s="255" t="s">
        <v>5594</v>
      </c>
      <c r="B2420" s="50" t="s">
        <v>5595</v>
      </c>
      <c r="C2420" s="21"/>
      <c r="D2420" s="21"/>
      <c r="E2420" s="21"/>
      <c r="F2420" s="21"/>
      <c r="G2420" s="21"/>
      <c r="H2420" s="21"/>
      <c r="J2420" s="18" t="s">
        <v>2473</v>
      </c>
      <c r="K2420" s="18" t="s">
        <v>2473</v>
      </c>
      <c r="M2420" s="248"/>
      <c r="Y2420" s="246"/>
      <c r="AR2420" s="290"/>
      <c r="AS2420" s="262" t="s">
        <v>5751</v>
      </c>
    </row>
    <row r="2421" spans="1:45" s="17" customFormat="1" ht="23.65" thickBot="1" x14ac:dyDescent="0.4">
      <c r="A2421" s="256" t="s">
        <v>5596</v>
      </c>
      <c r="B2421" s="50" t="s">
        <v>5581</v>
      </c>
      <c r="C2421" s="21"/>
      <c r="D2421" s="21"/>
      <c r="E2421" s="21"/>
      <c r="F2421" s="21"/>
      <c r="G2421" s="21"/>
      <c r="H2421" s="21"/>
      <c r="J2421" s="18" t="s">
        <v>2473</v>
      </c>
      <c r="K2421" s="18" t="s">
        <v>2473</v>
      </c>
      <c r="M2421" s="248"/>
      <c r="Y2421" s="246"/>
      <c r="AR2421" s="290"/>
      <c r="AS2421" s="262" t="s">
        <v>5751</v>
      </c>
    </row>
    <row r="2422" spans="1:45" s="17" customFormat="1" ht="12" thickBot="1" x14ac:dyDescent="0.4">
      <c r="A2422" s="256" t="s">
        <v>5550</v>
      </c>
      <c r="B2422" s="50" t="s">
        <v>5551</v>
      </c>
      <c r="C2422" s="21"/>
      <c r="D2422" s="21"/>
      <c r="E2422" s="21"/>
      <c r="F2422" s="21"/>
      <c r="G2422" s="21"/>
      <c r="H2422" s="21"/>
      <c r="J2422" s="18" t="s">
        <v>2473</v>
      </c>
      <c r="K2422" s="18" t="s">
        <v>2473</v>
      </c>
      <c r="M2422" s="248"/>
      <c r="Y2422" s="246"/>
      <c r="AR2422" s="290"/>
      <c r="AS2422" s="262" t="s">
        <v>5751</v>
      </c>
    </row>
    <row r="2423" spans="1:45" s="17" customFormat="1" ht="23.65" thickBot="1" x14ac:dyDescent="0.4">
      <c r="A2423" s="256" t="s">
        <v>5582</v>
      </c>
      <c r="B2423" s="50" t="s">
        <v>5583</v>
      </c>
      <c r="C2423" s="21"/>
      <c r="D2423" s="21"/>
      <c r="E2423" s="21"/>
      <c r="F2423" s="21"/>
      <c r="G2423" s="21"/>
      <c r="H2423" s="21"/>
      <c r="J2423" s="18" t="s">
        <v>2473</v>
      </c>
      <c r="K2423" s="18" t="s">
        <v>2473</v>
      </c>
      <c r="M2423" s="248"/>
      <c r="Y2423" s="246"/>
      <c r="AR2423" s="290"/>
      <c r="AS2423" s="262" t="s">
        <v>5751</v>
      </c>
    </row>
    <row r="2424" spans="1:45" s="17" customFormat="1" ht="12" thickBot="1" x14ac:dyDescent="0.4">
      <c r="A2424" s="256" t="s">
        <v>5584</v>
      </c>
      <c r="B2424" s="50" t="s">
        <v>5585</v>
      </c>
      <c r="C2424" s="21"/>
      <c r="D2424" s="21"/>
      <c r="E2424" s="21"/>
      <c r="F2424" s="21"/>
      <c r="G2424" s="21"/>
      <c r="H2424" s="21"/>
      <c r="J2424" s="18" t="s">
        <v>2473</v>
      </c>
      <c r="K2424" s="18" t="s">
        <v>2473</v>
      </c>
      <c r="M2424" s="248"/>
      <c r="Y2424" s="246"/>
      <c r="AR2424" s="290"/>
      <c r="AS2424" s="262" t="s">
        <v>5751</v>
      </c>
    </row>
    <row r="2425" spans="1:45" s="17" customFormat="1" ht="23.65" thickBot="1" x14ac:dyDescent="0.4">
      <c r="A2425" s="256" t="s">
        <v>5586</v>
      </c>
      <c r="B2425" s="50" t="s">
        <v>5587</v>
      </c>
      <c r="C2425" s="21"/>
      <c r="D2425" s="21"/>
      <c r="E2425" s="21"/>
      <c r="F2425" s="21"/>
      <c r="G2425" s="21"/>
      <c r="H2425" s="21"/>
      <c r="J2425" s="18" t="s">
        <v>2473</v>
      </c>
      <c r="K2425" s="18" t="s">
        <v>2473</v>
      </c>
      <c r="M2425" s="248"/>
      <c r="Y2425" s="246"/>
      <c r="AR2425" s="290"/>
      <c r="AS2425" s="262" t="s">
        <v>5751</v>
      </c>
    </row>
    <row r="2426" spans="1:45" s="17" customFormat="1" ht="12" thickBot="1" x14ac:dyDescent="0.4">
      <c r="A2426" s="256" t="s">
        <v>2165</v>
      </c>
      <c r="B2426" s="50" t="s">
        <v>5557</v>
      </c>
      <c r="C2426" s="21"/>
      <c r="D2426" s="21"/>
      <c r="E2426" s="21"/>
      <c r="F2426" s="21"/>
      <c r="G2426" s="21"/>
      <c r="H2426" s="21"/>
      <c r="J2426" s="18" t="s">
        <v>2473</v>
      </c>
      <c r="K2426" s="18" t="s">
        <v>2473</v>
      </c>
      <c r="M2426" s="248"/>
      <c r="Y2426" s="246"/>
      <c r="AR2426" s="290"/>
      <c r="AS2426" s="262" t="s">
        <v>5751</v>
      </c>
    </row>
    <row r="2427" spans="1:45" s="17" customFormat="1" ht="51" thickBot="1" x14ac:dyDescent="0.4">
      <c r="A2427" s="255" t="s">
        <v>5597</v>
      </c>
      <c r="B2427" s="50" t="s">
        <v>5598</v>
      </c>
      <c r="C2427" s="21"/>
      <c r="D2427" s="21"/>
      <c r="E2427" s="21" t="s">
        <v>10</v>
      </c>
      <c r="F2427" s="21"/>
      <c r="G2427" s="21" t="s">
        <v>10</v>
      </c>
      <c r="H2427" s="21"/>
      <c r="J2427" s="18" t="s">
        <v>2473</v>
      </c>
      <c r="K2427" s="18" t="s">
        <v>2473</v>
      </c>
      <c r="M2427" s="248"/>
      <c r="Y2427" s="246"/>
      <c r="AR2427" s="290"/>
      <c r="AS2427" s="263" t="s">
        <v>5862</v>
      </c>
    </row>
    <row r="2428" spans="1:45" s="17" customFormat="1" ht="12" thickBot="1" x14ac:dyDescent="0.4">
      <c r="A2428" s="256" t="s">
        <v>5574</v>
      </c>
      <c r="B2428" s="50" t="s">
        <v>5575</v>
      </c>
      <c r="C2428" s="21"/>
      <c r="D2428" s="21"/>
      <c r="E2428" s="21"/>
      <c r="F2428" s="21"/>
      <c r="G2428" s="21"/>
      <c r="H2428" s="21"/>
      <c r="J2428" s="18" t="s">
        <v>2473</v>
      </c>
      <c r="K2428" s="18" t="s">
        <v>2473</v>
      </c>
      <c r="M2428" s="248"/>
      <c r="Y2428" s="246"/>
      <c r="AR2428" s="290"/>
      <c r="AS2428" s="262" t="s">
        <v>5751</v>
      </c>
    </row>
    <row r="2429" spans="1:45" s="17" customFormat="1" ht="12" thickBot="1" x14ac:dyDescent="0.4">
      <c r="A2429" s="256" t="s">
        <v>5550</v>
      </c>
      <c r="B2429" s="50" t="s">
        <v>5551</v>
      </c>
      <c r="C2429" s="21"/>
      <c r="D2429" s="21"/>
      <c r="E2429" s="21"/>
      <c r="F2429" s="21"/>
      <c r="G2429" s="21"/>
      <c r="H2429" s="21"/>
      <c r="J2429" s="18" t="s">
        <v>2473</v>
      </c>
      <c r="K2429" s="18" t="s">
        <v>2473</v>
      </c>
      <c r="M2429" s="248"/>
      <c r="Y2429" s="246"/>
      <c r="AR2429" s="290"/>
      <c r="AS2429" s="262" t="s">
        <v>5751</v>
      </c>
    </row>
    <row r="2430" spans="1:45" s="17" customFormat="1" ht="40.9" thickBot="1" x14ac:dyDescent="0.4">
      <c r="A2430" s="256" t="s">
        <v>2165</v>
      </c>
      <c r="B2430" s="50" t="s">
        <v>5557</v>
      </c>
      <c r="C2430" s="21"/>
      <c r="D2430" s="21"/>
      <c r="E2430" s="21" t="s">
        <v>10</v>
      </c>
      <c r="F2430" s="21"/>
      <c r="G2430" s="21" t="s">
        <v>10</v>
      </c>
      <c r="H2430" s="21"/>
      <c r="J2430" s="18" t="s">
        <v>2473</v>
      </c>
      <c r="K2430" s="18" t="s">
        <v>2473</v>
      </c>
      <c r="M2430" s="248"/>
      <c r="Y2430" s="246"/>
      <c r="AR2430" s="290"/>
      <c r="AS2430" s="262" t="s">
        <v>5846</v>
      </c>
    </row>
    <row r="2431" spans="1:45" s="17" customFormat="1" ht="12" thickBot="1" x14ac:dyDescent="0.4">
      <c r="A2431" s="256" t="s">
        <v>5576</v>
      </c>
      <c r="B2431" s="50" t="s">
        <v>5577</v>
      </c>
      <c r="C2431" s="21"/>
      <c r="D2431" s="21"/>
      <c r="E2431" s="21"/>
      <c r="F2431" s="21"/>
      <c r="G2431" s="21"/>
      <c r="H2431" s="21"/>
      <c r="J2431" s="18" t="s">
        <v>2473</v>
      </c>
      <c r="K2431" s="18" t="s">
        <v>2473</v>
      </c>
      <c r="M2431" s="248"/>
      <c r="Y2431" s="246"/>
      <c r="AR2431" s="290"/>
      <c r="AS2431" s="262" t="s">
        <v>5751</v>
      </c>
    </row>
    <row r="2432" spans="1:45" s="17" customFormat="1" ht="51" thickBot="1" x14ac:dyDescent="0.4">
      <c r="A2432" s="255" t="s">
        <v>145</v>
      </c>
      <c r="B2432" s="50" t="s">
        <v>5431</v>
      </c>
      <c r="C2432" s="21"/>
      <c r="D2432" s="21"/>
      <c r="E2432" s="21" t="s">
        <v>10</v>
      </c>
      <c r="F2432" s="21"/>
      <c r="G2432" s="21" t="s">
        <v>10</v>
      </c>
      <c r="H2432" s="21"/>
      <c r="J2432" s="18" t="s">
        <v>2473</v>
      </c>
      <c r="K2432" s="18" t="s">
        <v>2473</v>
      </c>
      <c r="M2432" s="248"/>
      <c r="Y2432" s="246"/>
      <c r="AR2432" s="290"/>
      <c r="AS2432" s="263" t="s">
        <v>5862</v>
      </c>
    </row>
    <row r="2433" spans="1:45" s="17" customFormat="1" ht="12" thickBot="1" x14ac:dyDescent="0.4">
      <c r="A2433" s="256" t="s">
        <v>5432</v>
      </c>
      <c r="B2433" s="50" t="s">
        <v>5433</v>
      </c>
      <c r="C2433" s="21"/>
      <c r="D2433" s="21"/>
      <c r="E2433" s="21"/>
      <c r="F2433" s="21"/>
      <c r="G2433" s="21"/>
      <c r="H2433" s="21"/>
      <c r="J2433" s="18" t="s">
        <v>2473</v>
      </c>
      <c r="K2433" s="18" t="s">
        <v>2473</v>
      </c>
      <c r="M2433" s="248"/>
      <c r="Y2433" s="246"/>
      <c r="AR2433" s="290"/>
      <c r="AS2433" s="262" t="s">
        <v>5751</v>
      </c>
    </row>
    <row r="2434" spans="1:45" s="17" customFormat="1" ht="12" thickBot="1" x14ac:dyDescent="0.4">
      <c r="A2434" s="256" t="s">
        <v>5434</v>
      </c>
      <c r="B2434" s="50" t="s">
        <v>5435</v>
      </c>
      <c r="C2434" s="21"/>
      <c r="D2434" s="21"/>
      <c r="E2434" s="21"/>
      <c r="F2434" s="21"/>
      <c r="G2434" s="21"/>
      <c r="H2434" s="21"/>
      <c r="J2434" s="18" t="s">
        <v>2473</v>
      </c>
      <c r="K2434" s="18" t="s">
        <v>2473</v>
      </c>
      <c r="M2434" s="248"/>
      <c r="Y2434" s="246"/>
      <c r="AR2434" s="290"/>
      <c r="AS2434" s="262" t="s">
        <v>5751</v>
      </c>
    </row>
    <row r="2435" spans="1:45" s="17" customFormat="1" ht="12" thickBot="1" x14ac:dyDescent="0.4">
      <c r="A2435" s="256" t="s">
        <v>1994</v>
      </c>
      <c r="B2435" s="50" t="s">
        <v>5436</v>
      </c>
      <c r="C2435" s="21"/>
      <c r="D2435" s="21"/>
      <c r="E2435" s="21"/>
      <c r="F2435" s="21"/>
      <c r="G2435" s="21"/>
      <c r="H2435" s="21"/>
      <c r="J2435" s="18" t="s">
        <v>2473</v>
      </c>
      <c r="K2435" s="18" t="s">
        <v>2473</v>
      </c>
      <c r="M2435" s="248"/>
      <c r="Y2435" s="246"/>
      <c r="AR2435" s="290"/>
      <c r="AS2435" s="262" t="s">
        <v>5751</v>
      </c>
    </row>
    <row r="2436" spans="1:45" s="17" customFormat="1" ht="12" thickBot="1" x14ac:dyDescent="0.4">
      <c r="A2436" s="256" t="s">
        <v>5437</v>
      </c>
      <c r="B2436" s="50" t="s">
        <v>5438</v>
      </c>
      <c r="C2436" s="21"/>
      <c r="D2436" s="21"/>
      <c r="E2436" s="21"/>
      <c r="F2436" s="21"/>
      <c r="G2436" s="21"/>
      <c r="H2436" s="21"/>
      <c r="J2436" s="18" t="s">
        <v>2473</v>
      </c>
      <c r="K2436" s="18" t="s">
        <v>2473</v>
      </c>
      <c r="M2436" s="248"/>
      <c r="Y2436" s="246"/>
      <c r="AR2436" s="290"/>
      <c r="AS2436" s="262" t="s">
        <v>5751</v>
      </c>
    </row>
    <row r="2437" spans="1:45" s="17" customFormat="1" ht="23.65" thickBot="1" x14ac:dyDescent="0.4">
      <c r="A2437" s="256" t="s">
        <v>5439</v>
      </c>
      <c r="B2437" s="50" t="s">
        <v>5440</v>
      </c>
      <c r="C2437" s="21"/>
      <c r="D2437" s="21"/>
      <c r="E2437" s="21"/>
      <c r="F2437" s="21"/>
      <c r="G2437" s="21"/>
      <c r="H2437" s="21"/>
      <c r="J2437" s="18" t="s">
        <v>2473</v>
      </c>
      <c r="K2437" s="18" t="s">
        <v>2473</v>
      </c>
      <c r="M2437" s="248"/>
      <c r="Y2437" s="246"/>
      <c r="AR2437" s="290"/>
      <c r="AS2437" s="262" t="s">
        <v>5751</v>
      </c>
    </row>
    <row r="2438" spans="1:45" s="17" customFormat="1" ht="12" thickBot="1" x14ac:dyDescent="0.4">
      <c r="A2438" s="256" t="s">
        <v>5441</v>
      </c>
      <c r="B2438" s="50" t="s">
        <v>5442</v>
      </c>
      <c r="C2438" s="21"/>
      <c r="D2438" s="21"/>
      <c r="E2438" s="21"/>
      <c r="F2438" s="21"/>
      <c r="G2438" s="21"/>
      <c r="H2438" s="21"/>
      <c r="J2438" s="18" t="s">
        <v>2473</v>
      </c>
      <c r="K2438" s="18" t="s">
        <v>2473</v>
      </c>
      <c r="M2438" s="248"/>
      <c r="Y2438" s="246"/>
      <c r="AR2438" s="290"/>
      <c r="AS2438" s="262" t="s">
        <v>5751</v>
      </c>
    </row>
    <row r="2439" spans="1:45" s="17" customFormat="1" ht="12" thickBot="1" x14ac:dyDescent="0.4">
      <c r="A2439" s="256" t="s">
        <v>5443</v>
      </c>
      <c r="B2439" s="50" t="s">
        <v>5444</v>
      </c>
      <c r="C2439" s="21"/>
      <c r="D2439" s="21"/>
      <c r="E2439" s="21"/>
      <c r="F2439" s="21"/>
      <c r="G2439" s="21"/>
      <c r="H2439" s="21"/>
      <c r="J2439" s="18" t="s">
        <v>2473</v>
      </c>
      <c r="K2439" s="18" t="s">
        <v>2473</v>
      </c>
      <c r="M2439" s="248"/>
      <c r="Y2439" s="246"/>
      <c r="AR2439" s="290"/>
      <c r="AS2439" s="262" t="s">
        <v>5751</v>
      </c>
    </row>
    <row r="2440" spans="1:45" s="17" customFormat="1" ht="12" thickBot="1" x14ac:dyDescent="0.4">
      <c r="A2440" s="256" t="s">
        <v>1994</v>
      </c>
      <c r="B2440" s="50" t="s">
        <v>84</v>
      </c>
      <c r="C2440" s="21"/>
      <c r="D2440" s="21"/>
      <c r="E2440" s="21"/>
      <c r="F2440" s="21"/>
      <c r="G2440" s="21"/>
      <c r="H2440" s="21"/>
      <c r="J2440" s="18" t="s">
        <v>2473</v>
      </c>
      <c r="K2440" s="18" t="s">
        <v>2473</v>
      </c>
      <c r="M2440" s="248"/>
      <c r="Y2440" s="246"/>
      <c r="AR2440" s="290"/>
      <c r="AS2440" s="262" t="s">
        <v>5751</v>
      </c>
    </row>
    <row r="2441" spans="1:45" s="17" customFormat="1" ht="12" thickBot="1" x14ac:dyDescent="0.4">
      <c r="A2441" s="256" t="s">
        <v>5445</v>
      </c>
      <c r="B2441" s="50" t="s">
        <v>5446</v>
      </c>
      <c r="C2441" s="21"/>
      <c r="D2441" s="21"/>
      <c r="E2441" s="21"/>
      <c r="F2441" s="21"/>
      <c r="G2441" s="21"/>
      <c r="H2441" s="21"/>
      <c r="J2441" s="18" t="s">
        <v>2473</v>
      </c>
      <c r="K2441" s="18" t="s">
        <v>2473</v>
      </c>
      <c r="M2441" s="248"/>
      <c r="Y2441" s="246"/>
      <c r="AR2441" s="290"/>
      <c r="AS2441" s="262" t="s">
        <v>5751</v>
      </c>
    </row>
    <row r="2442" spans="1:45" s="17" customFormat="1" ht="23.65" thickBot="1" x14ac:dyDescent="0.4">
      <c r="A2442" s="256" t="s">
        <v>5447</v>
      </c>
      <c r="B2442" s="50" t="s">
        <v>5448</v>
      </c>
      <c r="C2442" s="21"/>
      <c r="D2442" s="21"/>
      <c r="E2442" s="21"/>
      <c r="F2442" s="21"/>
      <c r="G2442" s="21"/>
      <c r="H2442" s="21"/>
      <c r="J2442" s="18" t="s">
        <v>2473</v>
      </c>
      <c r="K2442" s="18" t="s">
        <v>2473</v>
      </c>
      <c r="M2442" s="248"/>
      <c r="Y2442" s="246"/>
      <c r="AR2442" s="290"/>
      <c r="AS2442" s="262" t="s">
        <v>5751</v>
      </c>
    </row>
    <row r="2443" spans="1:45" s="17" customFormat="1" ht="12" thickBot="1" x14ac:dyDescent="0.4">
      <c r="A2443" s="256" t="s">
        <v>5449</v>
      </c>
      <c r="B2443" s="50" t="s">
        <v>5450</v>
      </c>
      <c r="C2443" s="21"/>
      <c r="D2443" s="21"/>
      <c r="E2443" s="21"/>
      <c r="F2443" s="21"/>
      <c r="G2443" s="21"/>
      <c r="H2443" s="21"/>
      <c r="J2443" s="18" t="s">
        <v>2473</v>
      </c>
      <c r="K2443" s="18" t="s">
        <v>2473</v>
      </c>
      <c r="M2443" s="248"/>
      <c r="Y2443" s="246"/>
      <c r="AR2443" s="290"/>
      <c r="AS2443" s="262" t="s">
        <v>5751</v>
      </c>
    </row>
    <row r="2444" spans="1:45" s="17" customFormat="1" ht="40.9" thickBot="1" x14ac:dyDescent="0.4">
      <c r="A2444" s="256" t="s">
        <v>5361</v>
      </c>
      <c r="B2444" s="50" t="s">
        <v>5451</v>
      </c>
      <c r="C2444" s="21"/>
      <c r="D2444" s="21"/>
      <c r="E2444" s="21" t="s">
        <v>10</v>
      </c>
      <c r="F2444" s="21"/>
      <c r="G2444" s="21" t="s">
        <v>10</v>
      </c>
      <c r="H2444" s="21"/>
      <c r="J2444" s="18" t="s">
        <v>2473</v>
      </c>
      <c r="K2444" s="18" t="s">
        <v>2473</v>
      </c>
      <c r="M2444" s="248"/>
      <c r="Y2444" s="246"/>
      <c r="AR2444" s="290"/>
      <c r="AS2444" s="262" t="s">
        <v>5846</v>
      </c>
    </row>
    <row r="2445" spans="1:45" s="17" customFormat="1" ht="23.65" thickBot="1" x14ac:dyDescent="0.4">
      <c r="A2445" s="256" t="s">
        <v>5360</v>
      </c>
      <c r="B2445" s="50" t="s">
        <v>5452</v>
      </c>
      <c r="C2445" s="21"/>
      <c r="D2445" s="21"/>
      <c r="E2445" s="21"/>
      <c r="F2445" s="21"/>
      <c r="G2445" s="21"/>
      <c r="H2445" s="21"/>
      <c r="J2445" s="18" t="s">
        <v>2473</v>
      </c>
      <c r="K2445" s="18" t="s">
        <v>2473</v>
      </c>
      <c r="M2445" s="248"/>
      <c r="Y2445" s="246"/>
      <c r="AR2445" s="290"/>
      <c r="AS2445" s="262" t="s">
        <v>5751</v>
      </c>
    </row>
    <row r="2446" spans="1:45" s="17" customFormat="1" ht="12" thickBot="1" x14ac:dyDescent="0.4">
      <c r="A2446" s="256" t="s">
        <v>59</v>
      </c>
      <c r="B2446" s="50" t="s">
        <v>5423</v>
      </c>
      <c r="C2446" s="21"/>
      <c r="D2446" s="21"/>
      <c r="E2446" s="21"/>
      <c r="F2446" s="21"/>
      <c r="G2446" s="21"/>
      <c r="H2446" s="21"/>
      <c r="J2446" s="18" t="s">
        <v>2473</v>
      </c>
      <c r="K2446" s="18" t="s">
        <v>2473</v>
      </c>
      <c r="M2446" s="248"/>
      <c r="Y2446" s="246"/>
      <c r="AR2446" s="290"/>
      <c r="AS2446" s="262" t="s">
        <v>5751</v>
      </c>
    </row>
    <row r="2447" spans="1:45" s="17" customFormat="1" ht="23.65" thickBot="1" x14ac:dyDescent="0.4">
      <c r="A2447" s="256" t="s">
        <v>2575</v>
      </c>
      <c r="B2447" s="50" t="s">
        <v>5453</v>
      </c>
      <c r="C2447" s="21"/>
      <c r="D2447" s="21"/>
      <c r="E2447" s="21"/>
      <c r="F2447" s="21"/>
      <c r="G2447" s="21"/>
      <c r="H2447" s="21"/>
      <c r="J2447" s="18" t="s">
        <v>2473</v>
      </c>
      <c r="K2447" s="18" t="s">
        <v>2473</v>
      </c>
      <c r="M2447" s="248"/>
      <c r="Y2447" s="246"/>
      <c r="AR2447" s="290"/>
      <c r="AS2447" s="262" t="s">
        <v>5751</v>
      </c>
    </row>
    <row r="2448" spans="1:45" s="17" customFormat="1" ht="23.65" thickBot="1" x14ac:dyDescent="0.4">
      <c r="A2448" s="255" t="s">
        <v>3277</v>
      </c>
      <c r="B2448" s="50" t="s">
        <v>5599</v>
      </c>
      <c r="C2448" s="21"/>
      <c r="D2448" s="21"/>
      <c r="E2448" s="21"/>
      <c r="F2448" s="21"/>
      <c r="G2448" s="21"/>
      <c r="H2448" s="21"/>
      <c r="J2448" s="18" t="s">
        <v>2473</v>
      </c>
      <c r="K2448" s="18" t="s">
        <v>2473</v>
      </c>
      <c r="M2448" s="248"/>
      <c r="Y2448" s="246"/>
      <c r="AR2448" s="290"/>
      <c r="AS2448" s="262" t="s">
        <v>5751</v>
      </c>
    </row>
    <row r="2449" spans="1:48" s="17" customFormat="1" ht="12" thickBot="1" x14ac:dyDescent="0.4">
      <c r="A2449" s="256" t="s">
        <v>5550</v>
      </c>
      <c r="B2449" s="50" t="s">
        <v>5551</v>
      </c>
      <c r="C2449" s="21"/>
      <c r="D2449" s="21"/>
      <c r="E2449" s="21"/>
      <c r="F2449" s="21"/>
      <c r="G2449" s="21"/>
      <c r="H2449" s="21"/>
      <c r="J2449" s="18" t="s">
        <v>2473</v>
      </c>
      <c r="K2449" s="18" t="s">
        <v>2473</v>
      </c>
      <c r="M2449" s="248"/>
      <c r="Y2449" s="246"/>
      <c r="AR2449" s="290"/>
      <c r="AS2449" s="262" t="s">
        <v>5751</v>
      </c>
    </row>
    <row r="2450" spans="1:48" s="17" customFormat="1" ht="12" thickBot="1" x14ac:dyDescent="0.4">
      <c r="A2450" s="256" t="s">
        <v>2165</v>
      </c>
      <c r="B2450" s="50" t="s">
        <v>5557</v>
      </c>
      <c r="C2450" s="21"/>
      <c r="D2450" s="21"/>
      <c r="E2450" s="21"/>
      <c r="F2450" s="21"/>
      <c r="G2450" s="21"/>
      <c r="H2450" s="21"/>
      <c r="J2450" s="18" t="s">
        <v>2473</v>
      </c>
      <c r="K2450" s="18" t="s">
        <v>2473</v>
      </c>
      <c r="M2450" s="248"/>
      <c r="Y2450" s="246"/>
      <c r="AR2450" s="290"/>
      <c r="AS2450" s="262" t="s">
        <v>5751</v>
      </c>
    </row>
    <row r="2451" spans="1:48" s="17" customFormat="1" ht="11.65" x14ac:dyDescent="0.35">
      <c r="A2451" s="33" t="s">
        <v>5876</v>
      </c>
      <c r="C2451" s="18"/>
      <c r="D2451" s="18"/>
      <c r="E2451" s="18"/>
      <c r="F2451" s="18"/>
      <c r="G2451" s="18"/>
      <c r="H2451" s="18"/>
      <c r="J2451" s="18" t="s">
        <v>2473</v>
      </c>
      <c r="K2451" s="18" t="s">
        <v>2473</v>
      </c>
      <c r="M2451" s="145"/>
      <c r="N2451" s="8"/>
      <c r="O2451" s="8"/>
      <c r="P2451" s="8"/>
      <c r="Q2451" s="8"/>
      <c r="R2451" s="8"/>
      <c r="S2451" s="8"/>
      <c r="T2451" s="8"/>
      <c r="U2451" s="8"/>
      <c r="V2451" s="8"/>
      <c r="W2451" s="8"/>
      <c r="X2451" s="8"/>
      <c r="Y2451" s="145"/>
      <c r="Z2451" s="8"/>
      <c r="AA2451" s="8"/>
      <c r="AB2451" s="8"/>
      <c r="AC2451" s="8"/>
      <c r="AD2451" s="8"/>
      <c r="AE2451" s="154"/>
      <c r="AF2451" s="154"/>
      <c r="AG2451" s="8"/>
      <c r="AH2451" s="8"/>
      <c r="AI2451" s="8"/>
      <c r="AJ2451" s="8"/>
      <c r="AK2451" s="8"/>
      <c r="AL2451" s="8"/>
      <c r="AM2451" s="8"/>
      <c r="AN2451" s="8"/>
      <c r="AO2451" s="8"/>
      <c r="AP2451" s="8"/>
      <c r="AQ2451" s="8"/>
      <c r="AR2451" s="284"/>
      <c r="AS2451" s="262" t="s">
        <v>5751</v>
      </c>
      <c r="AT2451" s="8"/>
      <c r="AU2451" s="6"/>
      <c r="AV2451" s="6" t="str">
        <f t="shared" ref="AV2451:AV2462" si="47">IF(A2451&lt;&gt;"",IF(T2451&lt;&gt;"",IF(LEFT(R2451,3)="Has",IF(TRIM(A2451)&lt;&gt;T2451,"ERROR","OK"),""),""),"")</f>
        <v/>
      </c>
    </row>
    <row r="2452" spans="1:48" s="17" customFormat="1" ht="11.65" x14ac:dyDescent="0.35">
      <c r="A2452" s="34" t="s">
        <v>5745</v>
      </c>
      <c r="C2452" s="18"/>
      <c r="D2452" s="18"/>
      <c r="E2452" s="18"/>
      <c r="F2452" s="18"/>
      <c r="G2452" s="18"/>
      <c r="H2452" s="18"/>
      <c r="J2452" s="18" t="s">
        <v>2473</v>
      </c>
      <c r="K2452" s="18" t="s">
        <v>2473</v>
      </c>
      <c r="M2452" s="145"/>
      <c r="N2452" s="8"/>
      <c r="O2452" s="8"/>
      <c r="P2452" s="8"/>
      <c r="Q2452" s="8"/>
      <c r="R2452" s="8"/>
      <c r="S2452" s="8"/>
      <c r="T2452" s="8"/>
      <c r="U2452" s="8"/>
      <c r="V2452" s="8"/>
      <c r="W2452" s="8"/>
      <c r="X2452" s="8"/>
      <c r="Y2452" s="145"/>
      <c r="Z2452" s="8"/>
      <c r="AA2452" s="8"/>
      <c r="AB2452" s="8"/>
      <c r="AC2452" s="8"/>
      <c r="AD2452" s="8"/>
      <c r="AE2452" s="154"/>
      <c r="AF2452" s="154"/>
      <c r="AG2452" s="8"/>
      <c r="AH2452" s="8"/>
      <c r="AI2452" s="8"/>
      <c r="AJ2452" s="8"/>
      <c r="AK2452" s="8"/>
      <c r="AL2452" s="8"/>
      <c r="AM2452" s="8"/>
      <c r="AN2452" s="8"/>
      <c r="AO2452" s="8"/>
      <c r="AP2452" s="8"/>
      <c r="AQ2452" s="8"/>
      <c r="AR2452" s="284"/>
      <c r="AS2452" s="262" t="s">
        <v>5751</v>
      </c>
      <c r="AT2452" s="8"/>
      <c r="AU2452" s="6"/>
      <c r="AV2452" s="6" t="str">
        <f t="shared" ref="AV2452" si="48">IF(A2452&lt;&gt;"",IF(T2452&lt;&gt;"",IF(LEFT(R2452,3)="Has",IF(TRIM(A2452)&lt;&gt;T2452,"ERROR","OK"),""),""),"")</f>
        <v/>
      </c>
    </row>
    <row r="2453" spans="1:48" s="17" customFormat="1" ht="11.65" x14ac:dyDescent="0.35">
      <c r="A2453" s="34" t="s">
        <v>5744</v>
      </c>
      <c r="C2453" s="18"/>
      <c r="D2453" s="18"/>
      <c r="E2453" s="18"/>
      <c r="F2453" s="18"/>
      <c r="G2453" s="18"/>
      <c r="H2453" s="18"/>
      <c r="J2453" s="18" t="s">
        <v>2473</v>
      </c>
      <c r="K2453" s="18" t="s">
        <v>2473</v>
      </c>
      <c r="M2453" s="145"/>
      <c r="N2453" s="8"/>
      <c r="O2453" s="8"/>
      <c r="P2453" s="8"/>
      <c r="Q2453" s="8"/>
      <c r="R2453" s="8"/>
      <c r="S2453" s="8"/>
      <c r="T2453" s="8"/>
      <c r="U2453" s="8"/>
      <c r="V2453" s="8"/>
      <c r="W2453" s="8"/>
      <c r="X2453" s="8"/>
      <c r="Y2453" s="145"/>
      <c r="Z2453" s="8"/>
      <c r="AA2453" s="8"/>
      <c r="AB2453" s="8"/>
      <c r="AC2453" s="8"/>
      <c r="AD2453" s="8"/>
      <c r="AE2453" s="154"/>
      <c r="AF2453" s="154"/>
      <c r="AG2453" s="8"/>
      <c r="AH2453" s="8"/>
      <c r="AI2453" s="8"/>
      <c r="AJ2453" s="8"/>
      <c r="AK2453" s="8"/>
      <c r="AL2453" s="8"/>
      <c r="AM2453" s="8"/>
      <c r="AN2453" s="8"/>
      <c r="AO2453" s="8"/>
      <c r="AP2453" s="8"/>
      <c r="AQ2453" s="8"/>
      <c r="AR2453" s="284"/>
      <c r="AS2453" s="262" t="s">
        <v>5751</v>
      </c>
      <c r="AT2453" s="8"/>
      <c r="AU2453" s="6"/>
      <c r="AV2453" s="6" t="str">
        <f t="shared" si="47"/>
        <v/>
      </c>
    </row>
    <row r="2454" spans="1:48" s="76" customFormat="1" ht="11.65" x14ac:dyDescent="0.35">
      <c r="A2454" s="75"/>
      <c r="C2454" s="77"/>
      <c r="D2454" s="77"/>
      <c r="E2454" s="77"/>
      <c r="F2454" s="77"/>
      <c r="G2454" s="77"/>
      <c r="H2454" s="77"/>
      <c r="I2454" s="77"/>
      <c r="J2454" s="77"/>
      <c r="K2454" s="77"/>
      <c r="L2454" s="77"/>
      <c r="M2454" s="148"/>
      <c r="N2454" s="78"/>
      <c r="O2454" s="78"/>
      <c r="P2454" s="78"/>
      <c r="Q2454" s="78"/>
      <c r="R2454" s="78"/>
      <c r="S2454" s="78"/>
      <c r="T2454" s="78"/>
      <c r="U2454" s="78"/>
      <c r="V2454" s="78"/>
      <c r="W2454" s="78"/>
      <c r="X2454" s="78"/>
      <c r="Y2454" s="148"/>
      <c r="Z2454" s="78"/>
      <c r="AA2454" s="78"/>
      <c r="AB2454" s="78"/>
      <c r="AC2454" s="78"/>
      <c r="AD2454" s="78"/>
      <c r="AE2454" s="156"/>
      <c r="AF2454" s="156"/>
      <c r="AG2454" s="78"/>
      <c r="AH2454" s="78"/>
      <c r="AI2454" s="78"/>
      <c r="AJ2454" s="78"/>
      <c r="AK2454" s="78"/>
      <c r="AL2454" s="78"/>
      <c r="AM2454" s="78"/>
      <c r="AN2454" s="78"/>
      <c r="AO2454" s="78"/>
      <c r="AP2454" s="78"/>
      <c r="AQ2454" s="78"/>
      <c r="AR2454" s="286"/>
      <c r="AS2454" s="78"/>
      <c r="AT2454" s="78"/>
      <c r="AU2454" s="8"/>
      <c r="AV2454" s="6" t="str">
        <f t="shared" si="47"/>
        <v/>
      </c>
    </row>
    <row r="2455" spans="1:48" s="17" customFormat="1" ht="11.65" x14ac:dyDescent="0.35">
      <c r="A2455" s="27" t="s">
        <v>5730</v>
      </c>
      <c r="C2455" s="18"/>
      <c r="D2455" s="18"/>
      <c r="E2455" s="18"/>
      <c r="F2455" s="18"/>
      <c r="G2455" s="18"/>
      <c r="H2455" s="18"/>
      <c r="J2455" s="18" t="s">
        <v>2473</v>
      </c>
      <c r="K2455" s="18" t="s">
        <v>2473</v>
      </c>
      <c r="M2455" s="145"/>
      <c r="N2455" s="8"/>
      <c r="O2455" s="8"/>
      <c r="P2455" s="8"/>
      <c r="Q2455" s="8"/>
      <c r="R2455" s="8"/>
      <c r="S2455" s="8"/>
      <c r="T2455" s="8"/>
      <c r="U2455" s="8"/>
      <c r="V2455" s="8"/>
      <c r="W2455" s="8"/>
      <c r="X2455" s="8"/>
      <c r="Y2455" s="145"/>
      <c r="Z2455" s="185"/>
      <c r="AA2455" s="185"/>
      <c r="AB2455" s="185"/>
      <c r="AC2455" s="185"/>
      <c r="AD2455" s="185"/>
      <c r="AE2455" s="186"/>
      <c r="AF2455" s="186"/>
      <c r="AG2455" s="185"/>
      <c r="AH2455" s="185"/>
      <c r="AI2455" s="185"/>
      <c r="AJ2455" s="185"/>
      <c r="AK2455" s="185"/>
      <c r="AL2455" s="185"/>
      <c r="AM2455" s="185"/>
      <c r="AN2455" s="185"/>
      <c r="AO2455" s="185"/>
      <c r="AP2455" s="185"/>
      <c r="AQ2455" s="185"/>
      <c r="AR2455" s="291"/>
      <c r="AS2455" s="262" t="s">
        <v>5751</v>
      </c>
      <c r="AT2455" s="185"/>
      <c r="AU2455" s="6"/>
      <c r="AV2455" s="6" t="str">
        <f t="shared" si="47"/>
        <v/>
      </c>
    </row>
    <row r="2456" spans="1:48" s="17" customFormat="1" ht="24" customHeight="1" x14ac:dyDescent="0.35">
      <c r="A2456" s="323" t="s">
        <v>5601</v>
      </c>
      <c r="B2456" s="324"/>
      <c r="C2456" s="324"/>
      <c r="D2456" s="324"/>
      <c r="E2456" s="324"/>
      <c r="F2456" s="324"/>
      <c r="G2456" s="101"/>
      <c r="H2456" s="101"/>
      <c r="J2456" s="18" t="s">
        <v>2473</v>
      </c>
      <c r="K2456" s="18" t="s">
        <v>2473</v>
      </c>
      <c r="M2456" s="145"/>
      <c r="N2456" s="8"/>
      <c r="O2456" s="8"/>
      <c r="P2456" s="8"/>
      <c r="Q2456" s="8"/>
      <c r="R2456" s="8"/>
      <c r="S2456" s="8"/>
      <c r="T2456" s="8"/>
      <c r="U2456" s="8"/>
      <c r="V2456" s="8"/>
      <c r="W2456" s="8"/>
      <c r="X2456" s="8"/>
      <c r="Y2456" s="145"/>
      <c r="Z2456" s="183"/>
      <c r="AA2456" s="183"/>
      <c r="AB2456" s="183"/>
      <c r="AC2456" s="183"/>
      <c r="AD2456" s="183"/>
      <c r="AE2456" s="184"/>
      <c r="AF2456" s="184"/>
      <c r="AG2456" s="183"/>
      <c r="AH2456" s="183"/>
      <c r="AI2456" s="183"/>
      <c r="AJ2456" s="183"/>
      <c r="AK2456" s="183"/>
      <c r="AL2456" s="183"/>
      <c r="AM2456" s="183"/>
      <c r="AN2456" s="183"/>
      <c r="AO2456" s="183"/>
      <c r="AP2456" s="183"/>
      <c r="AQ2456" s="183"/>
      <c r="AR2456" s="292"/>
      <c r="AS2456" s="262" t="s">
        <v>5751</v>
      </c>
      <c r="AT2456" s="183"/>
      <c r="AU2456" s="6"/>
      <c r="AV2456" s="6" t="str">
        <f t="shared" si="47"/>
        <v/>
      </c>
    </row>
    <row r="2457" spans="1:48" s="17" customFormat="1" ht="12" thickBot="1" x14ac:dyDescent="0.4">
      <c r="A2457" s="28" t="s">
        <v>1748</v>
      </c>
      <c r="C2457" s="18"/>
      <c r="D2457" s="18"/>
      <c r="E2457" s="18"/>
      <c r="F2457" s="18"/>
      <c r="G2457" s="18"/>
      <c r="H2457" s="18"/>
      <c r="J2457" s="18" t="s">
        <v>2473</v>
      </c>
      <c r="K2457" s="18" t="s">
        <v>2473</v>
      </c>
      <c r="M2457" s="145"/>
      <c r="N2457" s="8"/>
      <c r="O2457" s="8"/>
      <c r="P2457" s="8"/>
      <c r="Q2457" s="8"/>
      <c r="R2457" s="8"/>
      <c r="S2457" s="8"/>
      <c r="T2457" s="8"/>
      <c r="U2457" s="8"/>
      <c r="V2457" s="8"/>
      <c r="W2457" s="8"/>
      <c r="X2457" s="8"/>
      <c r="Y2457" s="145"/>
      <c r="Z2457" s="183"/>
      <c r="AA2457" s="183" t="s">
        <v>2322</v>
      </c>
      <c r="AB2457" s="183" t="s">
        <v>1697</v>
      </c>
      <c r="AC2457" s="183" t="s">
        <v>5</v>
      </c>
      <c r="AD2457" s="183"/>
      <c r="AE2457" s="184"/>
      <c r="AF2457" s="184"/>
      <c r="AG2457" s="183"/>
      <c r="AH2457" s="183"/>
      <c r="AI2457" s="183"/>
      <c r="AJ2457" s="183"/>
      <c r="AK2457" s="183"/>
      <c r="AL2457" s="183"/>
      <c r="AM2457" s="183"/>
      <c r="AN2457" s="183"/>
      <c r="AO2457" s="183"/>
      <c r="AP2457" s="183"/>
      <c r="AQ2457" s="183"/>
      <c r="AR2457" s="292"/>
      <c r="AS2457" s="262" t="s">
        <v>5751</v>
      </c>
      <c r="AT2457" s="183"/>
      <c r="AU2457" s="6"/>
      <c r="AV2457" s="6" t="str">
        <f t="shared" si="47"/>
        <v/>
      </c>
    </row>
    <row r="2458" spans="1:48" s="17" customFormat="1" ht="256.14999999999998" thickBot="1" x14ac:dyDescent="0.4">
      <c r="A2458" s="309" t="s">
        <v>5731</v>
      </c>
      <c r="B2458" s="310"/>
      <c r="C2458" s="301" t="s">
        <v>1</v>
      </c>
      <c r="D2458" s="319"/>
      <c r="E2458" s="319"/>
      <c r="F2458" s="302"/>
      <c r="G2458" s="102"/>
      <c r="H2458" s="102"/>
      <c r="J2458" s="18" t="s">
        <v>2473</v>
      </c>
      <c r="K2458" s="18" t="s">
        <v>2473</v>
      </c>
      <c r="M2458" s="145"/>
      <c r="N2458" s="8"/>
      <c r="O2458" s="8"/>
      <c r="P2458" s="8"/>
      <c r="Q2458" s="8"/>
      <c r="R2458" s="8"/>
      <c r="S2458" s="8"/>
      <c r="T2458" s="8"/>
      <c r="U2458" s="8"/>
      <c r="V2458" s="8"/>
      <c r="W2458" s="8"/>
      <c r="X2458" s="8"/>
      <c r="Y2458" s="145"/>
      <c r="Z2458" s="8"/>
      <c r="AA2458" s="183" t="str">
        <f>LEFT($A2458,FIND(" ",$A2458)-1)</f>
        <v>Battery</v>
      </c>
      <c r="AB2458" s="183" t="str">
        <f>MID($A2458,FIND("(",$A2458)+1,LEN($A2458)-FIND("(",$A2458)-1)</f>
        <v>1.2.1</v>
      </c>
      <c r="AC2458" s="101" t="str">
        <f>A2456</f>
        <v>The Battery schema describes a battery unit, such as those used to provide systems with power during a power loss event. It also describes the location, such as a slot, socket, or bay, where a unit can be installed, by populating a resource instance with an absent state if a unit is not present.</v>
      </c>
      <c r="AD2458" s="8"/>
      <c r="AE2458" s="154"/>
      <c r="AF2458" s="154"/>
      <c r="AG2458" s="8"/>
      <c r="AH2458" s="8"/>
      <c r="AI2458" s="8"/>
      <c r="AJ2458" s="8"/>
      <c r="AK2458" s="8"/>
      <c r="AL2458" s="8"/>
      <c r="AM2458" s="8"/>
      <c r="AN2458" s="8"/>
      <c r="AO2458" s="8"/>
      <c r="AP2458" s="8"/>
      <c r="AQ2458" s="8"/>
      <c r="AR2458" s="284"/>
      <c r="AS2458" s="262" t="s">
        <v>5751</v>
      </c>
      <c r="AT2458" s="8"/>
      <c r="AU2458" s="6"/>
      <c r="AV2458" s="6" t="str">
        <f t="shared" si="47"/>
        <v/>
      </c>
    </row>
    <row r="2459" spans="1:48" s="17" customFormat="1" ht="12" thickBot="1" x14ac:dyDescent="0.4">
      <c r="A2459" s="311"/>
      <c r="B2459" s="312"/>
      <c r="C2459" s="301" t="s">
        <v>2</v>
      </c>
      <c r="D2459" s="302"/>
      <c r="E2459" s="301" t="s">
        <v>3</v>
      </c>
      <c r="F2459" s="302"/>
      <c r="G2459" s="301" t="s">
        <v>2896</v>
      </c>
      <c r="H2459" s="302"/>
      <c r="J2459" s="18" t="s">
        <v>2473</v>
      </c>
      <c r="K2459" s="18" t="s">
        <v>2473</v>
      </c>
      <c r="M2459" s="145"/>
      <c r="N2459" s="8"/>
      <c r="O2459" s="8"/>
      <c r="P2459" s="8"/>
      <c r="Q2459" s="8"/>
      <c r="R2459" s="8"/>
      <c r="S2459" s="8"/>
      <c r="T2459" s="8"/>
      <c r="U2459" s="8"/>
      <c r="V2459" s="8"/>
      <c r="W2459" s="8"/>
      <c r="X2459" s="8"/>
      <c r="Y2459" s="145"/>
      <c r="Z2459" s="8"/>
      <c r="AA2459" s="8"/>
      <c r="AB2459" s="8"/>
      <c r="AC2459" s="8"/>
      <c r="AD2459" s="8"/>
      <c r="AE2459" s="154"/>
      <c r="AF2459" s="154"/>
      <c r="AG2459" s="8"/>
      <c r="AH2459" s="8"/>
      <c r="AI2459" s="8"/>
      <c r="AJ2459" s="8"/>
      <c r="AK2459" s="8"/>
      <c r="AL2459" s="8"/>
      <c r="AM2459" s="8" t="str">
        <f>C2459</f>
        <v>OSM-Redfish</v>
      </c>
      <c r="AN2459" s="8" t="str">
        <f>E2459</f>
        <v>OSM-RedfishBMC</v>
      </c>
      <c r="AO2459" s="8" t="str">
        <f>G2459</f>
        <v>OSM-RedfishDCN</v>
      </c>
      <c r="AP2459" s="8"/>
      <c r="AQ2459" s="8"/>
      <c r="AR2459" s="284"/>
      <c r="AS2459" s="262" t="s">
        <v>5751</v>
      </c>
      <c r="AT2459" s="8"/>
      <c r="AU2459" s="6"/>
      <c r="AV2459" s="6" t="str">
        <f t="shared" si="47"/>
        <v/>
      </c>
    </row>
    <row r="2460" spans="1:48" s="17" customFormat="1" ht="12" thickBot="1" x14ac:dyDescent="0.4">
      <c r="A2460" s="46" t="s">
        <v>2377</v>
      </c>
      <c r="B2460" s="47"/>
      <c r="C2460" s="303" t="s">
        <v>13</v>
      </c>
      <c r="D2460" s="304"/>
      <c r="E2460" s="303" t="s">
        <v>13</v>
      </c>
      <c r="F2460" s="304"/>
      <c r="G2460" s="303" t="s">
        <v>13</v>
      </c>
      <c r="H2460" s="304"/>
      <c r="J2460" s="18" t="s">
        <v>2473</v>
      </c>
      <c r="K2460" s="18" t="s">
        <v>2473</v>
      </c>
      <c r="M2460" s="145"/>
      <c r="N2460" s="8"/>
      <c r="O2460" s="8"/>
      <c r="P2460" s="8"/>
      <c r="Q2460" s="8"/>
      <c r="R2460" s="8"/>
      <c r="S2460" s="8"/>
      <c r="T2460" s="8"/>
      <c r="U2460" s="8"/>
      <c r="V2460" s="8"/>
      <c r="W2460" s="8"/>
      <c r="X2460" s="8"/>
      <c r="Y2460" s="145"/>
      <c r="Z2460" s="185"/>
      <c r="AA2460" s="185"/>
      <c r="AB2460" s="185"/>
      <c r="AC2460" s="185"/>
      <c r="AD2460" s="185"/>
      <c r="AE2460" s="186"/>
      <c r="AF2460" s="186"/>
      <c r="AG2460" s="185"/>
      <c r="AH2460" s="185"/>
      <c r="AI2460" s="185"/>
      <c r="AJ2460" s="185"/>
      <c r="AK2460" s="185"/>
      <c r="AL2460" s="185"/>
      <c r="AM2460" s="8" t="str">
        <f>IF(C2460&lt;&gt;"","CRQ-P5-"&amp;(AM$2+$AP2460*$AP$3),"")</f>
        <v>CRQ-P5-1032</v>
      </c>
      <c r="AN2460" s="8" t="str">
        <f>IF(E2460&lt;&gt;"","CRQ-P5-"&amp;(AN$2+$AP2460*$AP$3),"")</f>
        <v>CRQ-P5-1332</v>
      </c>
      <c r="AO2460" s="8" t="str">
        <f>IF(G2460&lt;&gt;"","CRQ-P5-"&amp;(AO$2+$AP2460*$AP$3),"")</f>
        <v>CRQ-P5-1632</v>
      </c>
      <c r="AP2460" s="185">
        <v>8</v>
      </c>
      <c r="AQ2460" s="185"/>
      <c r="AR2460" s="291"/>
      <c r="AS2460" s="262" t="s">
        <v>5751</v>
      </c>
      <c r="AT2460" s="185"/>
      <c r="AU2460" s="6"/>
      <c r="AV2460" s="6" t="str">
        <f t="shared" si="47"/>
        <v/>
      </c>
    </row>
    <row r="2461" spans="1:48" s="17" customFormat="1" ht="12" thickBot="1" x14ac:dyDescent="0.4">
      <c r="A2461" s="29" t="s">
        <v>3394</v>
      </c>
      <c r="B2461" s="9"/>
      <c r="C2461" s="305" t="str">
        <f>MID(A2458,FIND("(",A2458)+1,5)</f>
        <v>1.2.1</v>
      </c>
      <c r="D2461" s="306"/>
      <c r="E2461" s="305" t="str">
        <f>MID(A2458,FIND("(",A2458)+1,5)</f>
        <v>1.2.1</v>
      </c>
      <c r="F2461" s="306"/>
      <c r="G2461" s="305" t="str">
        <f>MID(A2458,FIND("(",A2458)+1,5)</f>
        <v>1.2.1</v>
      </c>
      <c r="H2461" s="306"/>
      <c r="J2461" s="18" t="s">
        <v>2473</v>
      </c>
      <c r="K2461" s="18" t="s">
        <v>2473</v>
      </c>
      <c r="M2461" s="145"/>
      <c r="N2461" s="8"/>
      <c r="O2461" s="8"/>
      <c r="P2461" s="8"/>
      <c r="Q2461" s="8"/>
      <c r="R2461" s="8"/>
      <c r="S2461" s="8"/>
      <c r="T2461" s="8"/>
      <c r="U2461" s="8"/>
      <c r="V2461" s="8"/>
      <c r="W2461" s="8"/>
      <c r="X2461" s="8"/>
      <c r="Y2461" s="145"/>
      <c r="Z2461" s="185"/>
      <c r="AA2461" s="185"/>
      <c r="AB2461" s="185"/>
      <c r="AC2461" s="185"/>
      <c r="AD2461" s="185"/>
      <c r="AE2461" s="186"/>
      <c r="AF2461" s="186"/>
      <c r="AG2461" s="185"/>
      <c r="AH2461" s="185"/>
      <c r="AI2461" s="185"/>
      <c r="AJ2461" s="185"/>
      <c r="AK2461" s="185"/>
      <c r="AL2461" s="185"/>
      <c r="AM2461" s="185"/>
      <c r="AN2461" s="185"/>
      <c r="AO2461" s="185"/>
      <c r="AP2461" s="185"/>
      <c r="AQ2461" s="185"/>
      <c r="AR2461" s="291"/>
      <c r="AS2461" s="262" t="s">
        <v>5751</v>
      </c>
      <c r="AT2461" s="185"/>
      <c r="AU2461" s="6"/>
      <c r="AV2461" s="6" t="str">
        <f t="shared" si="47"/>
        <v/>
      </c>
    </row>
    <row r="2462" spans="1:48" s="17" customFormat="1" ht="15" customHeight="1" thickBot="1" x14ac:dyDescent="0.4">
      <c r="A2462" s="30" t="s">
        <v>4</v>
      </c>
      <c r="B2462" s="59" t="s">
        <v>5</v>
      </c>
      <c r="C2462" s="7" t="s">
        <v>6</v>
      </c>
      <c r="D2462" s="7" t="s">
        <v>7</v>
      </c>
      <c r="E2462" s="7" t="s">
        <v>6</v>
      </c>
      <c r="F2462" s="7" t="s">
        <v>7</v>
      </c>
      <c r="G2462" s="7" t="s">
        <v>6</v>
      </c>
      <c r="H2462" s="7" t="s">
        <v>7</v>
      </c>
      <c r="J2462" s="18" t="s">
        <v>2473</v>
      </c>
      <c r="K2462" s="18" t="s">
        <v>2473</v>
      </c>
      <c r="M2462" s="145"/>
      <c r="N2462" s="8"/>
      <c r="O2462" s="8"/>
      <c r="P2462" s="8"/>
      <c r="Q2462" s="8"/>
      <c r="R2462" s="8"/>
      <c r="S2462" s="8"/>
      <c r="T2462" s="8"/>
      <c r="U2462" s="8"/>
      <c r="V2462" s="8"/>
      <c r="W2462" s="8"/>
      <c r="X2462" s="8"/>
      <c r="Y2462" s="145"/>
      <c r="Z2462" s="183"/>
      <c r="AA2462" s="183"/>
      <c r="AB2462" s="183"/>
      <c r="AC2462" s="183"/>
      <c r="AD2462" s="183"/>
      <c r="AE2462" s="184"/>
      <c r="AF2462" s="184"/>
      <c r="AG2462" s="183"/>
      <c r="AH2462" s="183"/>
      <c r="AI2462" s="183"/>
      <c r="AJ2462" s="183"/>
      <c r="AK2462" s="183"/>
      <c r="AL2462" s="183"/>
      <c r="AM2462" s="183"/>
      <c r="AN2462" s="183"/>
      <c r="AO2462" s="183"/>
      <c r="AP2462" s="183"/>
      <c r="AQ2462" s="183"/>
      <c r="AR2462" s="292"/>
      <c r="AS2462" s="262" t="s">
        <v>5751</v>
      </c>
      <c r="AT2462" s="183"/>
      <c r="AU2462" s="6"/>
      <c r="AV2462" s="6" t="str">
        <f t="shared" si="47"/>
        <v/>
      </c>
    </row>
    <row r="2463" spans="1:48" s="17" customFormat="1" ht="23.65" thickBot="1" x14ac:dyDescent="0.4">
      <c r="A2463" s="255" t="s">
        <v>181</v>
      </c>
      <c r="B2463" s="50" t="s">
        <v>5602</v>
      </c>
      <c r="C2463" s="21"/>
      <c r="D2463" s="21"/>
      <c r="E2463" s="21"/>
      <c r="F2463" s="21"/>
      <c r="G2463" s="21"/>
      <c r="H2463" s="21"/>
      <c r="J2463" s="18" t="s">
        <v>2473</v>
      </c>
      <c r="K2463" s="18" t="s">
        <v>2473</v>
      </c>
      <c r="M2463" s="248"/>
      <c r="Y2463" s="145"/>
      <c r="AR2463" s="290"/>
      <c r="AS2463" s="262" t="s">
        <v>5751</v>
      </c>
    </row>
    <row r="2464" spans="1:48" s="17" customFormat="1" ht="23.65" thickBot="1" x14ac:dyDescent="0.4">
      <c r="A2464" s="256" t="s">
        <v>33</v>
      </c>
      <c r="B2464" s="50" t="s">
        <v>5603</v>
      </c>
      <c r="C2464" s="21"/>
      <c r="D2464" s="21"/>
      <c r="E2464" s="21"/>
      <c r="F2464" s="21"/>
      <c r="G2464" s="21"/>
      <c r="H2464" s="21"/>
      <c r="J2464" s="18" t="s">
        <v>2473</v>
      </c>
      <c r="K2464" s="18" t="s">
        <v>2473</v>
      </c>
      <c r="M2464" s="248"/>
      <c r="Y2464" s="145"/>
      <c r="AR2464" s="290"/>
      <c r="AS2464" s="262" t="s">
        <v>5751</v>
      </c>
    </row>
    <row r="2465" spans="1:45" s="17" customFormat="1" ht="12" thickBot="1" x14ac:dyDescent="0.4">
      <c r="A2465" s="255" t="s">
        <v>5604</v>
      </c>
      <c r="B2465" s="50" t="s">
        <v>5605</v>
      </c>
      <c r="C2465" s="21"/>
      <c r="D2465" s="21"/>
      <c r="E2465" s="21"/>
      <c r="F2465" s="21"/>
      <c r="G2465" s="21"/>
      <c r="H2465" s="21"/>
      <c r="J2465" s="18" t="s">
        <v>2473</v>
      </c>
      <c r="K2465" s="18" t="s">
        <v>2473</v>
      </c>
      <c r="M2465" s="248"/>
      <c r="Y2465" s="145"/>
      <c r="AR2465" s="290"/>
      <c r="AS2465" s="262" t="s">
        <v>5751</v>
      </c>
    </row>
    <row r="2466" spans="1:45" s="17" customFormat="1" ht="12" thickBot="1" x14ac:dyDescent="0.4">
      <c r="A2466" s="255" t="s">
        <v>5606</v>
      </c>
      <c r="B2466" s="50" t="s">
        <v>5607</v>
      </c>
      <c r="C2466" s="21"/>
      <c r="D2466" s="21"/>
      <c r="E2466" s="21"/>
      <c r="F2466" s="21"/>
      <c r="G2466" s="21"/>
      <c r="H2466" s="21"/>
      <c r="J2466" s="18" t="s">
        <v>2473</v>
      </c>
      <c r="K2466" s="18" t="s">
        <v>2473</v>
      </c>
      <c r="M2466" s="248"/>
      <c r="Y2466" s="145"/>
      <c r="AR2466" s="290"/>
      <c r="AS2466" s="262" t="s">
        <v>5751</v>
      </c>
    </row>
    <row r="2467" spans="1:45" s="17" customFormat="1" ht="12" thickBot="1" x14ac:dyDescent="0.4">
      <c r="A2467" s="255" t="s">
        <v>5608</v>
      </c>
      <c r="B2467" s="50" t="s">
        <v>5609</v>
      </c>
      <c r="C2467" s="21"/>
      <c r="D2467" s="21"/>
      <c r="E2467" s="21"/>
      <c r="F2467" s="21"/>
      <c r="G2467" s="21"/>
      <c r="H2467" s="21"/>
      <c r="J2467" s="18" t="s">
        <v>2473</v>
      </c>
      <c r="K2467" s="18" t="s">
        <v>2473</v>
      </c>
      <c r="M2467" s="248"/>
      <c r="Y2467" s="145"/>
      <c r="AR2467" s="290"/>
      <c r="AS2467" s="262" t="s">
        <v>5751</v>
      </c>
    </row>
    <row r="2468" spans="1:45" s="17" customFormat="1" ht="12" thickBot="1" x14ac:dyDescent="0.4">
      <c r="A2468" s="255" t="s">
        <v>5610</v>
      </c>
      <c r="B2468" s="50" t="s">
        <v>5611</v>
      </c>
      <c r="C2468" s="21"/>
      <c r="D2468" s="21"/>
      <c r="E2468" s="21"/>
      <c r="F2468" s="21"/>
      <c r="G2468" s="21"/>
      <c r="H2468" s="21"/>
      <c r="J2468" s="18" t="s">
        <v>2473</v>
      </c>
      <c r="K2468" s="18" t="s">
        <v>2473</v>
      </c>
      <c r="M2468" s="248"/>
      <c r="Y2468" s="145"/>
      <c r="AR2468" s="290"/>
      <c r="AS2468" s="262" t="s">
        <v>5751</v>
      </c>
    </row>
    <row r="2469" spans="1:45" s="17" customFormat="1" ht="23.65" thickBot="1" x14ac:dyDescent="0.4">
      <c r="A2469" s="256" t="s">
        <v>5612</v>
      </c>
      <c r="B2469" s="50" t="s">
        <v>5613</v>
      </c>
      <c r="C2469" s="21"/>
      <c r="D2469" s="21"/>
      <c r="E2469" s="21"/>
      <c r="F2469" s="21"/>
      <c r="G2469" s="21"/>
      <c r="H2469" s="21"/>
      <c r="J2469" s="18" t="s">
        <v>2473</v>
      </c>
      <c r="K2469" s="18" t="s">
        <v>2473</v>
      </c>
      <c r="M2469" s="248"/>
      <c r="Y2469" s="145"/>
      <c r="AR2469" s="290"/>
      <c r="AS2469" s="262" t="s">
        <v>5751</v>
      </c>
    </row>
    <row r="2470" spans="1:45" s="17" customFormat="1" ht="12" thickBot="1" x14ac:dyDescent="0.4">
      <c r="A2470" s="256" t="s">
        <v>897</v>
      </c>
      <c r="B2470" s="50" t="s">
        <v>5614</v>
      </c>
      <c r="C2470" s="21"/>
      <c r="D2470" s="21"/>
      <c r="E2470" s="21"/>
      <c r="F2470" s="21"/>
      <c r="G2470" s="21"/>
      <c r="H2470" s="21"/>
      <c r="J2470" s="18" t="s">
        <v>2473</v>
      </c>
      <c r="K2470" s="18" t="s">
        <v>2473</v>
      </c>
      <c r="M2470" s="248"/>
      <c r="Y2470" s="145"/>
      <c r="AR2470" s="290"/>
      <c r="AS2470" s="262" t="s">
        <v>5751</v>
      </c>
    </row>
    <row r="2471" spans="1:45" s="17" customFormat="1" ht="23.65" thickBot="1" x14ac:dyDescent="0.4">
      <c r="A2471" s="255" t="s">
        <v>3101</v>
      </c>
      <c r="B2471" s="50" t="s">
        <v>5503</v>
      </c>
      <c r="C2471" s="21"/>
      <c r="D2471" s="21"/>
      <c r="E2471" s="21"/>
      <c r="F2471" s="21"/>
      <c r="G2471" s="21"/>
      <c r="H2471" s="21"/>
      <c r="J2471" s="18" t="s">
        <v>2473</v>
      </c>
      <c r="K2471" s="18" t="s">
        <v>2473</v>
      </c>
      <c r="M2471" s="248"/>
      <c r="Y2471" s="145"/>
      <c r="AR2471" s="290"/>
      <c r="AS2471" s="262" t="s">
        <v>5751</v>
      </c>
    </row>
    <row r="2472" spans="1:45" s="17" customFormat="1" ht="12" thickBot="1" x14ac:dyDescent="0.4">
      <c r="A2472" s="255" t="s">
        <v>75</v>
      </c>
      <c r="B2472" s="50" t="s">
        <v>5615</v>
      </c>
      <c r="C2472" s="21"/>
      <c r="D2472" s="21"/>
      <c r="E2472" s="21"/>
      <c r="F2472" s="21"/>
      <c r="G2472" s="21"/>
      <c r="H2472" s="21"/>
      <c r="J2472" s="18" t="s">
        <v>2473</v>
      </c>
      <c r="K2472" s="18" t="s">
        <v>2473</v>
      </c>
      <c r="M2472" s="248"/>
      <c r="Y2472" s="145"/>
      <c r="AR2472" s="290"/>
      <c r="AS2472" s="262" t="s">
        <v>5751</v>
      </c>
    </row>
    <row r="2473" spans="1:45" s="17" customFormat="1" ht="23.65" thickBot="1" x14ac:dyDescent="0.4">
      <c r="A2473" s="256" t="s">
        <v>2485</v>
      </c>
      <c r="B2473" s="50" t="s">
        <v>5616</v>
      </c>
      <c r="C2473" s="21"/>
      <c r="D2473" s="21"/>
      <c r="E2473" s="21"/>
      <c r="F2473" s="21"/>
      <c r="G2473" s="21"/>
      <c r="H2473" s="21"/>
      <c r="J2473" s="18" t="s">
        <v>2473</v>
      </c>
      <c r="K2473" s="18" t="s">
        <v>2473</v>
      </c>
      <c r="M2473" s="248"/>
      <c r="Y2473" s="145"/>
      <c r="AR2473" s="290"/>
      <c r="AS2473" s="262" t="s">
        <v>5751</v>
      </c>
    </row>
    <row r="2474" spans="1:45" s="17" customFormat="1" ht="23.65" thickBot="1" x14ac:dyDescent="0.4">
      <c r="A2474" s="256" t="s">
        <v>43</v>
      </c>
      <c r="B2474" s="50" t="s">
        <v>5617</v>
      </c>
      <c r="C2474" s="21"/>
      <c r="D2474" s="21"/>
      <c r="E2474" s="21"/>
      <c r="F2474" s="21"/>
      <c r="G2474" s="21"/>
      <c r="H2474" s="21"/>
      <c r="J2474" s="18" t="s">
        <v>2473</v>
      </c>
      <c r="K2474" s="18" t="s">
        <v>2473</v>
      </c>
      <c r="M2474" s="248"/>
      <c r="Y2474" s="145"/>
      <c r="AR2474" s="290"/>
      <c r="AS2474" s="262" t="s">
        <v>5751</v>
      </c>
    </row>
    <row r="2475" spans="1:45" s="17" customFormat="1" ht="12" thickBot="1" x14ac:dyDescent="0.4">
      <c r="A2475" s="256" t="s">
        <v>59</v>
      </c>
      <c r="B2475" s="50" t="s">
        <v>5423</v>
      </c>
      <c r="C2475" s="21"/>
      <c r="D2475" s="21"/>
      <c r="E2475" s="21"/>
      <c r="F2475" s="21"/>
      <c r="G2475" s="21"/>
      <c r="H2475" s="21"/>
      <c r="J2475" s="18" t="s">
        <v>2473</v>
      </c>
      <c r="K2475" s="18" t="s">
        <v>2473</v>
      </c>
      <c r="M2475" s="248"/>
      <c r="Y2475" s="145"/>
      <c r="AR2475" s="290"/>
      <c r="AS2475" s="262" t="s">
        <v>5751</v>
      </c>
    </row>
    <row r="2476" spans="1:45" s="17" customFormat="1" ht="23.65" thickBot="1" x14ac:dyDescent="0.4">
      <c r="A2476" s="256" t="s">
        <v>365</v>
      </c>
      <c r="B2476" s="50" t="s">
        <v>5618</v>
      </c>
      <c r="C2476" s="21"/>
      <c r="D2476" s="21"/>
      <c r="E2476" s="21"/>
      <c r="F2476" s="21"/>
      <c r="G2476" s="21"/>
      <c r="H2476" s="21"/>
      <c r="J2476" s="18" t="s">
        <v>2473</v>
      </c>
      <c r="K2476" s="18" t="s">
        <v>2473</v>
      </c>
      <c r="M2476" s="248"/>
      <c r="Y2476" s="145"/>
      <c r="AR2476" s="290"/>
      <c r="AS2476" s="262" t="s">
        <v>5751</v>
      </c>
    </row>
    <row r="2477" spans="1:45" s="17" customFormat="1" ht="23.65" thickBot="1" x14ac:dyDescent="0.4">
      <c r="A2477" s="256" t="s">
        <v>43</v>
      </c>
      <c r="B2477" s="50" t="s">
        <v>5619</v>
      </c>
      <c r="C2477" s="21"/>
      <c r="D2477" s="21"/>
      <c r="E2477" s="21"/>
      <c r="F2477" s="21"/>
      <c r="G2477" s="21"/>
      <c r="H2477" s="21"/>
      <c r="J2477" s="18" t="s">
        <v>2473</v>
      </c>
      <c r="K2477" s="18" t="s">
        <v>2473</v>
      </c>
      <c r="M2477" s="248"/>
      <c r="Y2477" s="145"/>
      <c r="AR2477" s="290"/>
      <c r="AS2477" s="262" t="s">
        <v>5751</v>
      </c>
    </row>
    <row r="2478" spans="1:45" s="17" customFormat="1" ht="12" thickBot="1" x14ac:dyDescent="0.4">
      <c r="A2478" s="255" t="s">
        <v>208</v>
      </c>
      <c r="B2478" s="50" t="s">
        <v>5620</v>
      </c>
      <c r="C2478" s="21"/>
      <c r="D2478" s="21"/>
      <c r="E2478" s="21"/>
      <c r="F2478" s="21"/>
      <c r="G2478" s="21"/>
      <c r="H2478" s="21"/>
      <c r="J2478" s="18" t="s">
        <v>2473</v>
      </c>
      <c r="K2478" s="18" t="s">
        <v>2473</v>
      </c>
      <c r="M2478" s="248"/>
      <c r="Y2478" s="145"/>
      <c r="AR2478" s="290"/>
      <c r="AS2478" s="262" t="s">
        <v>5751</v>
      </c>
    </row>
    <row r="2479" spans="1:45" s="17" customFormat="1" ht="12" thickBot="1" x14ac:dyDescent="0.4">
      <c r="A2479" s="255" t="s">
        <v>5381</v>
      </c>
      <c r="B2479" s="50" t="s">
        <v>5382</v>
      </c>
      <c r="C2479" s="21"/>
      <c r="D2479" s="21"/>
      <c r="E2479" s="21"/>
      <c r="F2479" s="21"/>
      <c r="G2479" s="21"/>
      <c r="H2479" s="21"/>
      <c r="J2479" s="18" t="s">
        <v>2473</v>
      </c>
      <c r="K2479" s="18" t="s">
        <v>2473</v>
      </c>
      <c r="M2479" s="248"/>
      <c r="Y2479" s="145"/>
      <c r="AR2479" s="290"/>
      <c r="AS2479" s="262" t="s">
        <v>5751</v>
      </c>
    </row>
    <row r="2480" spans="1:45" s="17" customFormat="1" ht="12" thickBot="1" x14ac:dyDescent="0.4">
      <c r="A2480" s="255" t="s">
        <v>99</v>
      </c>
      <c r="B2480" s="50" t="s">
        <v>5621</v>
      </c>
      <c r="C2480" s="21"/>
      <c r="D2480" s="21"/>
      <c r="E2480" s="21"/>
      <c r="F2480" s="21"/>
      <c r="G2480" s="21"/>
      <c r="H2480" s="21"/>
      <c r="J2480" s="18" t="s">
        <v>2473</v>
      </c>
      <c r="K2480" s="18" t="s">
        <v>2473</v>
      </c>
      <c r="M2480" s="248"/>
      <c r="Y2480" s="145"/>
      <c r="AR2480" s="290"/>
      <c r="AS2480" s="262" t="s">
        <v>5751</v>
      </c>
    </row>
    <row r="2481" spans="1:45" s="17" customFormat="1" ht="12" thickBot="1" x14ac:dyDescent="0.4">
      <c r="A2481" s="255" t="s">
        <v>5622</v>
      </c>
      <c r="B2481" s="50" t="s">
        <v>5623</v>
      </c>
      <c r="C2481" s="21"/>
      <c r="D2481" s="21"/>
      <c r="E2481" s="21"/>
      <c r="F2481" s="21"/>
      <c r="G2481" s="21"/>
      <c r="H2481" s="21"/>
      <c r="J2481" s="18" t="s">
        <v>2473</v>
      </c>
      <c r="K2481" s="18" t="s">
        <v>2473</v>
      </c>
      <c r="M2481" s="248"/>
      <c r="Y2481" s="145"/>
      <c r="AR2481" s="290"/>
      <c r="AS2481" s="262" t="s">
        <v>5751</v>
      </c>
    </row>
    <row r="2482" spans="1:45" s="17" customFormat="1" ht="12" thickBot="1" x14ac:dyDescent="0.4">
      <c r="A2482" s="255" t="s">
        <v>5624</v>
      </c>
      <c r="B2482" s="50" t="s">
        <v>5625</v>
      </c>
      <c r="C2482" s="21"/>
      <c r="D2482" s="21"/>
      <c r="E2482" s="21"/>
      <c r="F2482" s="21"/>
      <c r="G2482" s="21"/>
      <c r="H2482" s="21"/>
      <c r="J2482" s="18" t="s">
        <v>2473</v>
      </c>
      <c r="K2482" s="18" t="s">
        <v>2473</v>
      </c>
      <c r="M2482" s="248"/>
      <c r="Y2482" s="145"/>
      <c r="AR2482" s="290"/>
      <c r="AS2482" s="262" t="s">
        <v>5751</v>
      </c>
    </row>
    <row r="2483" spans="1:45" s="17" customFormat="1" ht="12" thickBot="1" x14ac:dyDescent="0.4">
      <c r="A2483" s="255" t="s">
        <v>5626</v>
      </c>
      <c r="B2483" s="50" t="s">
        <v>5627</v>
      </c>
      <c r="C2483" s="21"/>
      <c r="D2483" s="21"/>
      <c r="E2483" s="21"/>
      <c r="F2483" s="21"/>
      <c r="G2483" s="21"/>
      <c r="H2483" s="21"/>
      <c r="J2483" s="18" t="s">
        <v>2473</v>
      </c>
      <c r="K2483" s="18" t="s">
        <v>2473</v>
      </c>
      <c r="M2483" s="248"/>
      <c r="Y2483" s="145"/>
      <c r="AR2483" s="290"/>
      <c r="AS2483" s="262" t="s">
        <v>5751</v>
      </c>
    </row>
    <row r="2484" spans="1:45" s="17" customFormat="1" ht="23.65" thickBot="1" x14ac:dyDescent="0.4">
      <c r="A2484" s="255" t="s">
        <v>231</v>
      </c>
      <c r="B2484" s="50" t="s">
        <v>5628</v>
      </c>
      <c r="C2484" s="21"/>
      <c r="D2484" s="21"/>
      <c r="E2484" s="21"/>
      <c r="F2484" s="21"/>
      <c r="G2484" s="21"/>
      <c r="H2484" s="21"/>
      <c r="J2484" s="18" t="s">
        <v>2473</v>
      </c>
      <c r="K2484" s="18" t="s">
        <v>2473</v>
      </c>
      <c r="M2484" s="248"/>
      <c r="Y2484" s="145"/>
      <c r="AR2484" s="290"/>
      <c r="AS2484" s="262" t="s">
        <v>5751</v>
      </c>
    </row>
    <row r="2485" spans="1:45" s="17" customFormat="1" ht="23.65" thickBot="1" x14ac:dyDescent="0.4">
      <c r="A2485" s="256" t="s">
        <v>33</v>
      </c>
      <c r="B2485" s="50" t="s">
        <v>5629</v>
      </c>
      <c r="C2485" s="21"/>
      <c r="D2485" s="21"/>
      <c r="E2485" s="21"/>
      <c r="F2485" s="21"/>
      <c r="G2485" s="21"/>
      <c r="H2485" s="21"/>
      <c r="J2485" s="18" t="s">
        <v>2473</v>
      </c>
      <c r="K2485" s="18" t="s">
        <v>2473</v>
      </c>
      <c r="M2485" s="248"/>
      <c r="Y2485" s="145"/>
      <c r="AR2485" s="290"/>
      <c r="AS2485" s="262" t="s">
        <v>5751</v>
      </c>
    </row>
    <row r="2486" spans="1:45" s="17" customFormat="1" ht="12" thickBot="1" x14ac:dyDescent="0.4">
      <c r="A2486" s="255" t="s">
        <v>114</v>
      </c>
      <c r="B2486" s="50" t="s">
        <v>5630</v>
      </c>
      <c r="C2486" s="21"/>
      <c r="D2486" s="21"/>
      <c r="E2486" s="21"/>
      <c r="F2486" s="21"/>
      <c r="G2486" s="21"/>
      <c r="H2486" s="21"/>
      <c r="J2486" s="18" t="s">
        <v>2473</v>
      </c>
      <c r="K2486" s="18" t="s">
        <v>2473</v>
      </c>
      <c r="M2486" s="248"/>
      <c r="Y2486" s="145"/>
      <c r="AR2486" s="290"/>
      <c r="AS2486" s="262" t="s">
        <v>5751</v>
      </c>
    </row>
    <row r="2487" spans="1:45" s="17" customFormat="1" ht="12" thickBot="1" x14ac:dyDescent="0.4">
      <c r="A2487" s="255" t="s">
        <v>244</v>
      </c>
      <c r="B2487" s="50" t="s">
        <v>5631</v>
      </c>
      <c r="C2487" s="21"/>
      <c r="D2487" s="21"/>
      <c r="E2487" s="21"/>
      <c r="F2487" s="21"/>
      <c r="G2487" s="21"/>
      <c r="H2487" s="21"/>
      <c r="J2487" s="18" t="s">
        <v>2473</v>
      </c>
      <c r="K2487" s="18" t="s">
        <v>2473</v>
      </c>
      <c r="M2487" s="248"/>
      <c r="Y2487" s="145"/>
      <c r="AR2487" s="290"/>
      <c r="AS2487" s="262" t="s">
        <v>5751</v>
      </c>
    </row>
    <row r="2488" spans="1:45" s="17" customFormat="1" ht="12" thickBot="1" x14ac:dyDescent="0.4">
      <c r="A2488" s="255" t="s">
        <v>5537</v>
      </c>
      <c r="B2488" s="50" t="s">
        <v>5632</v>
      </c>
      <c r="C2488" s="21"/>
      <c r="D2488" s="21"/>
      <c r="E2488" s="21"/>
      <c r="F2488" s="21"/>
      <c r="G2488" s="21"/>
      <c r="H2488" s="21"/>
      <c r="J2488" s="18" t="s">
        <v>2473</v>
      </c>
      <c r="K2488" s="18" t="s">
        <v>2473</v>
      </c>
      <c r="M2488" s="248"/>
      <c r="Y2488" s="145"/>
      <c r="AR2488" s="290"/>
      <c r="AS2488" s="262" t="s">
        <v>5751</v>
      </c>
    </row>
    <row r="2489" spans="1:45" s="17" customFormat="1" ht="23.65" thickBot="1" x14ac:dyDescent="0.4">
      <c r="A2489" s="255" t="s">
        <v>5539</v>
      </c>
      <c r="B2489" s="50" t="s">
        <v>5633</v>
      </c>
      <c r="C2489" s="21"/>
      <c r="D2489" s="21"/>
      <c r="E2489" s="21"/>
      <c r="F2489" s="21"/>
      <c r="G2489" s="21"/>
      <c r="H2489" s="21"/>
      <c r="J2489" s="18" t="s">
        <v>2473</v>
      </c>
      <c r="K2489" s="18" t="s">
        <v>2473</v>
      </c>
      <c r="M2489" s="248"/>
      <c r="Y2489" s="145"/>
      <c r="AR2489" s="290"/>
      <c r="AS2489" s="262" t="s">
        <v>5751</v>
      </c>
    </row>
    <row r="2490" spans="1:45" s="17" customFormat="1" ht="12" thickBot="1" x14ac:dyDescent="0.4">
      <c r="A2490" s="255" t="s">
        <v>140</v>
      </c>
      <c r="B2490" s="50" t="s">
        <v>5634</v>
      </c>
      <c r="C2490" s="21"/>
      <c r="D2490" s="21"/>
      <c r="E2490" s="21"/>
      <c r="F2490" s="21"/>
      <c r="G2490" s="21"/>
      <c r="H2490" s="21"/>
      <c r="J2490" s="18" t="s">
        <v>2473</v>
      </c>
      <c r="K2490" s="18" t="s">
        <v>2473</v>
      </c>
      <c r="M2490" s="248"/>
      <c r="Y2490" s="145"/>
      <c r="AR2490" s="290"/>
      <c r="AS2490" s="262" t="s">
        <v>5751</v>
      </c>
    </row>
    <row r="2491" spans="1:45" s="17" customFormat="1" ht="12" thickBot="1" x14ac:dyDescent="0.4">
      <c r="A2491" s="255" t="s">
        <v>5541</v>
      </c>
      <c r="B2491" s="50" t="s">
        <v>5635</v>
      </c>
      <c r="C2491" s="21"/>
      <c r="D2491" s="21"/>
      <c r="E2491" s="21"/>
      <c r="F2491" s="21"/>
      <c r="G2491" s="21"/>
      <c r="H2491" s="21"/>
      <c r="J2491" s="18" t="s">
        <v>2473</v>
      </c>
      <c r="K2491" s="18" t="s">
        <v>2473</v>
      </c>
      <c r="M2491" s="248"/>
      <c r="Y2491" s="145"/>
      <c r="AR2491" s="290"/>
      <c r="AS2491" s="262" t="s">
        <v>5751</v>
      </c>
    </row>
    <row r="2492" spans="1:45" s="17" customFormat="1" ht="23.65" thickBot="1" x14ac:dyDescent="0.4">
      <c r="A2492" s="255" t="s">
        <v>5636</v>
      </c>
      <c r="B2492" s="50" t="s">
        <v>5637</v>
      </c>
      <c r="C2492" s="21"/>
      <c r="D2492" s="21"/>
      <c r="E2492" s="21"/>
      <c r="F2492" s="21"/>
      <c r="G2492" s="21"/>
      <c r="H2492" s="21"/>
      <c r="J2492" s="18" t="s">
        <v>2473</v>
      </c>
      <c r="K2492" s="18" t="s">
        <v>2473</v>
      </c>
      <c r="M2492" s="248"/>
      <c r="Y2492" s="145"/>
      <c r="AR2492" s="290"/>
      <c r="AS2492" s="262" t="s">
        <v>5751</v>
      </c>
    </row>
    <row r="2493" spans="1:45" s="17" customFormat="1" ht="12" thickBot="1" x14ac:dyDescent="0.4">
      <c r="A2493" s="256" t="s">
        <v>5550</v>
      </c>
      <c r="B2493" s="50" t="s">
        <v>5551</v>
      </c>
      <c r="C2493" s="21"/>
      <c r="D2493" s="21"/>
      <c r="E2493" s="21"/>
      <c r="F2493" s="21"/>
      <c r="G2493" s="21"/>
      <c r="H2493" s="21"/>
      <c r="J2493" s="18" t="s">
        <v>2473</v>
      </c>
      <c r="K2493" s="18" t="s">
        <v>2473</v>
      </c>
      <c r="M2493" s="248"/>
      <c r="Y2493" s="145"/>
      <c r="AR2493" s="290"/>
      <c r="AS2493" s="262" t="s">
        <v>5751</v>
      </c>
    </row>
    <row r="2494" spans="1:45" s="17" customFormat="1" ht="12" thickBot="1" x14ac:dyDescent="0.4">
      <c r="A2494" s="256" t="s">
        <v>2165</v>
      </c>
      <c r="B2494" s="50" t="s">
        <v>5557</v>
      </c>
      <c r="C2494" s="21"/>
      <c r="D2494" s="21"/>
      <c r="E2494" s="21"/>
      <c r="F2494" s="21"/>
      <c r="G2494" s="21"/>
      <c r="H2494" s="21"/>
      <c r="J2494" s="18" t="s">
        <v>2473</v>
      </c>
      <c r="K2494" s="18" t="s">
        <v>2473</v>
      </c>
      <c r="M2494" s="248"/>
      <c r="Y2494" s="145"/>
      <c r="AR2494" s="290"/>
      <c r="AS2494" s="262" t="s">
        <v>5751</v>
      </c>
    </row>
    <row r="2495" spans="1:45" s="17" customFormat="1" ht="23.65" thickBot="1" x14ac:dyDescent="0.4">
      <c r="A2495" s="255" t="s">
        <v>145</v>
      </c>
      <c r="B2495" s="50" t="s">
        <v>5431</v>
      </c>
      <c r="C2495" s="21"/>
      <c r="D2495" s="21"/>
      <c r="E2495" s="21"/>
      <c r="F2495" s="21"/>
      <c r="G2495" s="21"/>
      <c r="H2495" s="21"/>
      <c r="J2495" s="18" t="s">
        <v>2473</v>
      </c>
      <c r="K2495" s="18" t="s">
        <v>2473</v>
      </c>
      <c r="M2495" s="248"/>
      <c r="Y2495" s="145"/>
      <c r="AR2495" s="290"/>
      <c r="AS2495" s="262" t="s">
        <v>5751</v>
      </c>
    </row>
    <row r="2496" spans="1:45" s="17" customFormat="1" ht="12" thickBot="1" x14ac:dyDescent="0.4">
      <c r="A2496" s="256" t="s">
        <v>5432</v>
      </c>
      <c r="B2496" s="50" t="s">
        <v>5433</v>
      </c>
      <c r="C2496" s="21"/>
      <c r="D2496" s="21"/>
      <c r="E2496" s="21"/>
      <c r="F2496" s="21"/>
      <c r="G2496" s="21"/>
      <c r="H2496" s="21"/>
      <c r="J2496" s="18" t="s">
        <v>2473</v>
      </c>
      <c r="K2496" s="18" t="s">
        <v>2473</v>
      </c>
      <c r="M2496" s="248"/>
      <c r="Y2496" s="145"/>
      <c r="AR2496" s="290"/>
      <c r="AS2496" s="262" t="s">
        <v>5751</v>
      </c>
    </row>
    <row r="2497" spans="1:48" s="17" customFormat="1" ht="12" thickBot="1" x14ac:dyDescent="0.4">
      <c r="A2497" s="256" t="s">
        <v>5434</v>
      </c>
      <c r="B2497" s="50" t="s">
        <v>5435</v>
      </c>
      <c r="C2497" s="21"/>
      <c r="D2497" s="21"/>
      <c r="E2497" s="21"/>
      <c r="F2497" s="21"/>
      <c r="G2497" s="21"/>
      <c r="H2497" s="21"/>
      <c r="J2497" s="18" t="s">
        <v>2473</v>
      </c>
      <c r="K2497" s="18" t="s">
        <v>2473</v>
      </c>
      <c r="M2497" s="248"/>
      <c r="Y2497" s="145"/>
      <c r="AR2497" s="290"/>
      <c r="AS2497" s="262" t="s">
        <v>5751</v>
      </c>
    </row>
    <row r="2498" spans="1:48" s="17" customFormat="1" ht="12" thickBot="1" x14ac:dyDescent="0.4">
      <c r="A2498" s="256" t="s">
        <v>1994</v>
      </c>
      <c r="B2498" s="50" t="s">
        <v>5436</v>
      </c>
      <c r="C2498" s="21"/>
      <c r="D2498" s="21"/>
      <c r="E2498" s="21"/>
      <c r="F2498" s="21"/>
      <c r="G2498" s="21"/>
      <c r="H2498" s="21"/>
      <c r="J2498" s="18" t="s">
        <v>2473</v>
      </c>
      <c r="K2498" s="18" t="s">
        <v>2473</v>
      </c>
      <c r="M2498" s="248"/>
      <c r="Y2498" s="145"/>
      <c r="AR2498" s="290"/>
      <c r="AS2498" s="262" t="s">
        <v>5751</v>
      </c>
    </row>
    <row r="2499" spans="1:48" s="17" customFormat="1" ht="12" thickBot="1" x14ac:dyDescent="0.4">
      <c r="A2499" s="256" t="s">
        <v>5437</v>
      </c>
      <c r="B2499" s="50" t="s">
        <v>5438</v>
      </c>
      <c r="C2499" s="21"/>
      <c r="D2499" s="21"/>
      <c r="E2499" s="21"/>
      <c r="F2499" s="21"/>
      <c r="G2499" s="21"/>
      <c r="H2499" s="21"/>
      <c r="J2499" s="18" t="s">
        <v>2473</v>
      </c>
      <c r="K2499" s="18" t="s">
        <v>2473</v>
      </c>
      <c r="M2499" s="248"/>
      <c r="Y2499" s="145"/>
      <c r="AR2499" s="290"/>
      <c r="AS2499" s="262" t="s">
        <v>5751</v>
      </c>
    </row>
    <row r="2500" spans="1:48" s="17" customFormat="1" ht="23.65" thickBot="1" x14ac:dyDescent="0.4">
      <c r="A2500" s="256" t="s">
        <v>5439</v>
      </c>
      <c r="B2500" s="50" t="s">
        <v>5440</v>
      </c>
      <c r="C2500" s="21"/>
      <c r="D2500" s="21"/>
      <c r="E2500" s="21"/>
      <c r="F2500" s="21"/>
      <c r="G2500" s="21"/>
      <c r="H2500" s="21"/>
      <c r="J2500" s="18" t="s">
        <v>2473</v>
      </c>
      <c r="K2500" s="18" t="s">
        <v>2473</v>
      </c>
      <c r="M2500" s="248"/>
      <c r="Y2500" s="145"/>
      <c r="AR2500" s="290"/>
      <c r="AS2500" s="262" t="s">
        <v>5751</v>
      </c>
    </row>
    <row r="2501" spans="1:48" s="17" customFormat="1" ht="12" thickBot="1" x14ac:dyDescent="0.4">
      <c r="A2501" s="256" t="s">
        <v>5441</v>
      </c>
      <c r="B2501" s="50" t="s">
        <v>5442</v>
      </c>
      <c r="C2501" s="21"/>
      <c r="D2501" s="21"/>
      <c r="E2501" s="21"/>
      <c r="F2501" s="21"/>
      <c r="G2501" s="21"/>
      <c r="H2501" s="21"/>
      <c r="J2501" s="18" t="s">
        <v>2473</v>
      </c>
      <c r="K2501" s="18" t="s">
        <v>2473</v>
      </c>
      <c r="M2501" s="248"/>
      <c r="Y2501" s="145"/>
      <c r="AR2501" s="290"/>
      <c r="AS2501" s="262" t="s">
        <v>5751</v>
      </c>
    </row>
    <row r="2502" spans="1:48" s="17" customFormat="1" ht="12" thickBot="1" x14ac:dyDescent="0.4">
      <c r="A2502" s="256" t="s">
        <v>5443</v>
      </c>
      <c r="B2502" s="50" t="s">
        <v>5444</v>
      </c>
      <c r="C2502" s="21"/>
      <c r="D2502" s="21"/>
      <c r="E2502" s="21"/>
      <c r="F2502" s="21"/>
      <c r="G2502" s="21"/>
      <c r="H2502" s="21"/>
      <c r="J2502" s="18" t="s">
        <v>2473</v>
      </c>
      <c r="K2502" s="18" t="s">
        <v>2473</v>
      </c>
      <c r="M2502" s="248"/>
      <c r="Y2502" s="145"/>
      <c r="AR2502" s="290"/>
      <c r="AS2502" s="262" t="s">
        <v>5751</v>
      </c>
    </row>
    <row r="2503" spans="1:48" s="17" customFormat="1" ht="12" thickBot="1" x14ac:dyDescent="0.4">
      <c r="A2503" s="256" t="s">
        <v>1994</v>
      </c>
      <c r="B2503" s="50" t="s">
        <v>84</v>
      </c>
      <c r="C2503" s="21"/>
      <c r="D2503" s="21"/>
      <c r="E2503" s="21"/>
      <c r="F2503" s="21"/>
      <c r="G2503" s="21"/>
      <c r="H2503" s="21"/>
      <c r="J2503" s="18" t="s">
        <v>2473</v>
      </c>
      <c r="K2503" s="18" t="s">
        <v>2473</v>
      </c>
      <c r="M2503" s="248"/>
      <c r="Y2503" s="145"/>
      <c r="AR2503" s="290"/>
      <c r="AS2503" s="262" t="s">
        <v>5751</v>
      </c>
    </row>
    <row r="2504" spans="1:48" s="17" customFormat="1" ht="12" thickBot="1" x14ac:dyDescent="0.4">
      <c r="A2504" s="256" t="s">
        <v>5445</v>
      </c>
      <c r="B2504" s="50" t="s">
        <v>5446</v>
      </c>
      <c r="C2504" s="21"/>
      <c r="D2504" s="21"/>
      <c r="E2504" s="21"/>
      <c r="F2504" s="21"/>
      <c r="G2504" s="21"/>
      <c r="H2504" s="21"/>
      <c r="J2504" s="18" t="s">
        <v>2473</v>
      </c>
      <c r="K2504" s="18" t="s">
        <v>2473</v>
      </c>
      <c r="M2504" s="248"/>
      <c r="Y2504" s="145"/>
      <c r="AR2504" s="290"/>
      <c r="AS2504" s="262" t="s">
        <v>5751</v>
      </c>
    </row>
    <row r="2505" spans="1:48" s="17" customFormat="1" ht="23.65" thickBot="1" x14ac:dyDescent="0.4">
      <c r="A2505" s="256" t="s">
        <v>5447</v>
      </c>
      <c r="B2505" s="50" t="s">
        <v>5448</v>
      </c>
      <c r="C2505" s="21"/>
      <c r="D2505" s="21"/>
      <c r="E2505" s="21"/>
      <c r="F2505" s="21"/>
      <c r="G2505" s="21"/>
      <c r="H2505" s="21"/>
      <c r="J2505" s="18" t="s">
        <v>2473</v>
      </c>
      <c r="K2505" s="18" t="s">
        <v>2473</v>
      </c>
      <c r="M2505" s="248"/>
      <c r="Y2505" s="145"/>
      <c r="AR2505" s="290"/>
      <c r="AS2505" s="262" t="s">
        <v>5751</v>
      </c>
    </row>
    <row r="2506" spans="1:48" s="17" customFormat="1" ht="12" thickBot="1" x14ac:dyDescent="0.4">
      <c r="A2506" s="256" t="s">
        <v>5449</v>
      </c>
      <c r="B2506" s="50" t="s">
        <v>5450</v>
      </c>
      <c r="C2506" s="21"/>
      <c r="D2506" s="21"/>
      <c r="E2506" s="21"/>
      <c r="F2506" s="21"/>
      <c r="G2506" s="21"/>
      <c r="H2506" s="21"/>
      <c r="J2506" s="18" t="s">
        <v>2473</v>
      </c>
      <c r="K2506" s="18" t="s">
        <v>2473</v>
      </c>
      <c r="M2506" s="248"/>
      <c r="Y2506" s="145"/>
      <c r="AR2506" s="290"/>
      <c r="AS2506" s="262" t="s">
        <v>5751</v>
      </c>
    </row>
    <row r="2507" spans="1:48" s="17" customFormat="1" ht="23.65" thickBot="1" x14ac:dyDescent="0.4">
      <c r="A2507" s="256" t="s">
        <v>5361</v>
      </c>
      <c r="B2507" s="50" t="s">
        <v>5451</v>
      </c>
      <c r="C2507" s="21"/>
      <c r="D2507" s="21"/>
      <c r="E2507" s="21"/>
      <c r="F2507" s="21"/>
      <c r="G2507" s="21"/>
      <c r="H2507" s="21"/>
      <c r="J2507" s="18" t="s">
        <v>2473</v>
      </c>
      <c r="K2507" s="18" t="s">
        <v>2473</v>
      </c>
      <c r="M2507" s="248"/>
      <c r="Y2507" s="145"/>
      <c r="AR2507" s="290"/>
      <c r="AS2507" s="262" t="s">
        <v>5751</v>
      </c>
    </row>
    <row r="2508" spans="1:48" s="17" customFormat="1" ht="23.65" thickBot="1" x14ac:dyDescent="0.4">
      <c r="A2508" s="256" t="s">
        <v>5360</v>
      </c>
      <c r="B2508" s="50" t="s">
        <v>5452</v>
      </c>
      <c r="C2508" s="21"/>
      <c r="D2508" s="21"/>
      <c r="E2508" s="21"/>
      <c r="F2508" s="21"/>
      <c r="G2508" s="21"/>
      <c r="H2508" s="21"/>
      <c r="J2508" s="18" t="s">
        <v>2473</v>
      </c>
      <c r="K2508" s="18" t="s">
        <v>2473</v>
      </c>
      <c r="M2508" s="248"/>
      <c r="Y2508" s="145"/>
      <c r="AR2508" s="290"/>
      <c r="AS2508" s="262" t="s">
        <v>5751</v>
      </c>
    </row>
    <row r="2509" spans="1:48" s="17" customFormat="1" ht="12" thickBot="1" x14ac:dyDescent="0.4">
      <c r="A2509" s="256" t="s">
        <v>59</v>
      </c>
      <c r="B2509" s="50" t="s">
        <v>5423</v>
      </c>
      <c r="C2509" s="21"/>
      <c r="D2509" s="21"/>
      <c r="E2509" s="21"/>
      <c r="F2509" s="21"/>
      <c r="G2509" s="21"/>
      <c r="H2509" s="21"/>
      <c r="J2509" s="18" t="s">
        <v>2473</v>
      </c>
      <c r="K2509" s="18" t="s">
        <v>2473</v>
      </c>
      <c r="M2509" s="248"/>
      <c r="Y2509" s="145"/>
      <c r="AR2509" s="290"/>
      <c r="AS2509" s="262" t="s">
        <v>5751</v>
      </c>
    </row>
    <row r="2510" spans="1:48" s="17" customFormat="1" ht="23.65" thickBot="1" x14ac:dyDescent="0.4">
      <c r="A2510" s="256" t="s">
        <v>2575</v>
      </c>
      <c r="B2510" s="50" t="s">
        <v>5453</v>
      </c>
      <c r="C2510" s="21"/>
      <c r="D2510" s="21"/>
      <c r="E2510" s="21"/>
      <c r="F2510" s="21"/>
      <c r="G2510" s="21"/>
      <c r="H2510" s="21"/>
      <c r="J2510" s="18" t="s">
        <v>2473</v>
      </c>
      <c r="K2510" s="18" t="s">
        <v>2473</v>
      </c>
      <c r="M2510" s="248"/>
      <c r="Y2510" s="145"/>
      <c r="AR2510" s="290"/>
      <c r="AS2510" s="262" t="s">
        <v>5751</v>
      </c>
    </row>
    <row r="2511" spans="1:48" s="17" customFormat="1" ht="12" thickBot="1" x14ac:dyDescent="0.4">
      <c r="A2511" s="255" t="s">
        <v>1697</v>
      </c>
      <c r="B2511" s="50" t="s">
        <v>5638</v>
      </c>
      <c r="C2511" s="21"/>
      <c r="D2511" s="21"/>
      <c r="E2511" s="21"/>
      <c r="F2511" s="21"/>
      <c r="G2511" s="21"/>
      <c r="H2511" s="21"/>
      <c r="J2511" s="18" t="s">
        <v>2473</v>
      </c>
      <c r="K2511" s="18" t="s">
        <v>2473</v>
      </c>
      <c r="M2511" s="248"/>
      <c r="Y2511" s="145"/>
      <c r="AR2511" s="290"/>
      <c r="AS2511" s="262" t="s">
        <v>5751</v>
      </c>
    </row>
    <row r="2512" spans="1:48" s="17" customFormat="1" ht="11.65" x14ac:dyDescent="0.35">
      <c r="A2512" s="33" t="s">
        <v>5877</v>
      </c>
      <c r="C2512" s="18"/>
      <c r="D2512" s="18"/>
      <c r="E2512" s="18"/>
      <c r="F2512" s="18"/>
      <c r="G2512" s="18"/>
      <c r="H2512" s="18"/>
      <c r="J2512" s="18" t="s">
        <v>2473</v>
      </c>
      <c r="K2512" s="18" t="s">
        <v>2473</v>
      </c>
      <c r="M2512" s="145"/>
      <c r="N2512" s="8"/>
      <c r="O2512" s="8"/>
      <c r="P2512" s="8"/>
      <c r="Q2512" s="8"/>
      <c r="R2512" s="8"/>
      <c r="S2512" s="8"/>
      <c r="T2512" s="8"/>
      <c r="U2512" s="8"/>
      <c r="V2512" s="8"/>
      <c r="W2512" s="8"/>
      <c r="X2512" s="8"/>
      <c r="Y2512" s="145"/>
      <c r="Z2512" s="8"/>
      <c r="AA2512" s="8"/>
      <c r="AB2512" s="8"/>
      <c r="AC2512" s="8"/>
      <c r="AD2512" s="8"/>
      <c r="AE2512" s="154"/>
      <c r="AF2512" s="154"/>
      <c r="AG2512" s="8"/>
      <c r="AH2512" s="8"/>
      <c r="AI2512" s="8"/>
      <c r="AJ2512" s="8"/>
      <c r="AK2512" s="8"/>
      <c r="AL2512" s="8"/>
      <c r="AM2512" s="8"/>
      <c r="AN2512" s="8"/>
      <c r="AO2512" s="8"/>
      <c r="AP2512" s="8"/>
      <c r="AQ2512" s="8"/>
      <c r="AR2512" s="284"/>
      <c r="AS2512" s="262" t="s">
        <v>5751</v>
      </c>
      <c r="AT2512" s="8"/>
      <c r="AU2512" s="6"/>
      <c r="AV2512" s="6" t="str">
        <f t="shared" ref="AV2512:AV2522" si="49">IF(A2512&lt;&gt;"",IF(T2512&lt;&gt;"",IF(LEFT(R2512,3)="Has",IF(TRIM(A2512)&lt;&gt;T2512,"ERROR","OK"),""),""),"")</f>
        <v/>
      </c>
    </row>
    <row r="2513" spans="1:48" s="17" customFormat="1" ht="11.65" x14ac:dyDescent="0.35">
      <c r="A2513" s="34" t="s">
        <v>5746</v>
      </c>
      <c r="C2513" s="18"/>
      <c r="D2513" s="18"/>
      <c r="E2513" s="18"/>
      <c r="F2513" s="18"/>
      <c r="G2513" s="18"/>
      <c r="H2513" s="18"/>
      <c r="J2513" s="18" t="s">
        <v>2473</v>
      </c>
      <c r="K2513" s="18" t="s">
        <v>2473</v>
      </c>
      <c r="M2513" s="145"/>
      <c r="N2513" s="8"/>
      <c r="O2513" s="8"/>
      <c r="P2513" s="8"/>
      <c r="Q2513" s="8"/>
      <c r="R2513" s="8"/>
      <c r="S2513" s="8"/>
      <c r="T2513" s="8"/>
      <c r="U2513" s="8"/>
      <c r="V2513" s="8"/>
      <c r="W2513" s="8"/>
      <c r="X2513" s="8"/>
      <c r="Y2513" s="145"/>
      <c r="Z2513" s="8"/>
      <c r="AA2513" s="8"/>
      <c r="AB2513" s="8"/>
      <c r="AC2513" s="8"/>
      <c r="AD2513" s="8"/>
      <c r="AE2513" s="154"/>
      <c r="AF2513" s="154"/>
      <c r="AG2513" s="8"/>
      <c r="AH2513" s="8"/>
      <c r="AI2513" s="8"/>
      <c r="AJ2513" s="8"/>
      <c r="AK2513" s="8"/>
      <c r="AL2513" s="8"/>
      <c r="AM2513" s="8"/>
      <c r="AN2513" s="8"/>
      <c r="AO2513" s="8"/>
      <c r="AP2513" s="8"/>
      <c r="AQ2513" s="8"/>
      <c r="AR2513" s="284"/>
      <c r="AS2513" s="262" t="s">
        <v>5751</v>
      </c>
      <c r="AT2513" s="8"/>
      <c r="AU2513" s="6"/>
      <c r="AV2513" s="6" t="str">
        <f t="shared" si="49"/>
        <v/>
      </c>
    </row>
    <row r="2514" spans="1:48" s="76" customFormat="1" ht="11.65" x14ac:dyDescent="0.35">
      <c r="A2514" s="75"/>
      <c r="C2514" s="77"/>
      <c r="D2514" s="77"/>
      <c r="E2514" s="77"/>
      <c r="F2514" s="77"/>
      <c r="G2514" s="77"/>
      <c r="H2514" s="77"/>
      <c r="I2514" s="77"/>
      <c r="J2514" s="77"/>
      <c r="K2514" s="77"/>
      <c r="L2514" s="77"/>
      <c r="M2514" s="148"/>
      <c r="N2514" s="78"/>
      <c r="O2514" s="78"/>
      <c r="P2514" s="78"/>
      <c r="Q2514" s="78"/>
      <c r="R2514" s="78"/>
      <c r="S2514" s="78"/>
      <c r="T2514" s="78"/>
      <c r="U2514" s="78"/>
      <c r="V2514" s="78"/>
      <c r="W2514" s="78"/>
      <c r="X2514" s="78"/>
      <c r="Y2514" s="148"/>
      <c r="Z2514" s="78"/>
      <c r="AA2514" s="78"/>
      <c r="AB2514" s="78"/>
      <c r="AC2514" s="78"/>
      <c r="AD2514" s="78"/>
      <c r="AE2514" s="156"/>
      <c r="AF2514" s="156"/>
      <c r="AG2514" s="78"/>
      <c r="AH2514" s="78"/>
      <c r="AI2514" s="78"/>
      <c r="AJ2514" s="78"/>
      <c r="AK2514" s="78"/>
      <c r="AL2514" s="78"/>
      <c r="AM2514" s="78"/>
      <c r="AN2514" s="78"/>
      <c r="AO2514" s="78"/>
      <c r="AP2514" s="78"/>
      <c r="AQ2514" s="78"/>
      <c r="AR2514" s="286"/>
      <c r="AS2514" s="78"/>
      <c r="AT2514" s="78"/>
      <c r="AU2514" s="8"/>
      <c r="AV2514" s="6" t="str">
        <f t="shared" si="49"/>
        <v/>
      </c>
    </row>
    <row r="2515" spans="1:48" s="17" customFormat="1" ht="11.65" x14ac:dyDescent="0.35">
      <c r="A2515" s="27" t="s">
        <v>5733</v>
      </c>
      <c r="C2515" s="18"/>
      <c r="D2515" s="18"/>
      <c r="E2515" s="18"/>
      <c r="F2515" s="18"/>
      <c r="G2515" s="18"/>
      <c r="H2515" s="18"/>
      <c r="J2515" s="18" t="s">
        <v>2473</v>
      </c>
      <c r="K2515" s="18" t="s">
        <v>2473</v>
      </c>
      <c r="M2515" s="145"/>
      <c r="N2515" s="8"/>
      <c r="O2515" s="8"/>
      <c r="P2515" s="8"/>
      <c r="Q2515" s="8"/>
      <c r="R2515" s="8"/>
      <c r="S2515" s="8"/>
      <c r="T2515" s="8"/>
      <c r="U2515" s="8"/>
      <c r="V2515" s="8"/>
      <c r="W2515" s="8"/>
      <c r="X2515" s="8"/>
      <c r="Y2515" s="145"/>
      <c r="Z2515" s="185"/>
      <c r="AA2515" s="185"/>
      <c r="AB2515" s="185"/>
      <c r="AC2515" s="185"/>
      <c r="AD2515" s="185"/>
      <c r="AE2515" s="186"/>
      <c r="AF2515" s="186"/>
      <c r="AG2515" s="185"/>
      <c r="AH2515" s="185"/>
      <c r="AI2515" s="185"/>
      <c r="AJ2515" s="185"/>
      <c r="AK2515" s="185"/>
      <c r="AL2515" s="185"/>
      <c r="AM2515" s="185"/>
      <c r="AN2515" s="185"/>
      <c r="AO2515" s="185"/>
      <c r="AP2515" s="185"/>
      <c r="AQ2515" s="185"/>
      <c r="AR2515" s="291"/>
      <c r="AS2515" s="262" t="s">
        <v>5751</v>
      </c>
      <c r="AT2515" s="185"/>
      <c r="AU2515" s="6"/>
      <c r="AV2515" s="6" t="str">
        <f t="shared" si="49"/>
        <v/>
      </c>
    </row>
    <row r="2516" spans="1:48" s="17" customFormat="1" ht="14" customHeight="1" x14ac:dyDescent="0.35">
      <c r="A2516" s="323" t="s">
        <v>5640</v>
      </c>
      <c r="B2516" s="324"/>
      <c r="C2516" s="324"/>
      <c r="D2516" s="324"/>
      <c r="E2516" s="324"/>
      <c r="F2516" s="324"/>
      <c r="G2516" s="101"/>
      <c r="H2516" s="101"/>
      <c r="J2516" s="18" t="s">
        <v>2473</v>
      </c>
      <c r="K2516" s="18" t="s">
        <v>2473</v>
      </c>
      <c r="M2516" s="145"/>
      <c r="N2516" s="8"/>
      <c r="O2516" s="8"/>
      <c r="P2516" s="8"/>
      <c r="Q2516" s="8"/>
      <c r="R2516" s="8"/>
      <c r="S2516" s="8"/>
      <c r="T2516" s="8"/>
      <c r="U2516" s="8"/>
      <c r="V2516" s="8"/>
      <c r="W2516" s="8"/>
      <c r="X2516" s="8"/>
      <c r="Y2516" s="145"/>
      <c r="Z2516" s="183"/>
      <c r="AA2516" s="183"/>
      <c r="AB2516" s="183"/>
      <c r="AC2516" s="183"/>
      <c r="AD2516" s="183"/>
      <c r="AE2516" s="184"/>
      <c r="AF2516" s="184"/>
      <c r="AG2516" s="183"/>
      <c r="AH2516" s="183"/>
      <c r="AI2516" s="183"/>
      <c r="AJ2516" s="183"/>
      <c r="AK2516" s="183"/>
      <c r="AL2516" s="183"/>
      <c r="AM2516" s="183"/>
      <c r="AN2516" s="183"/>
      <c r="AO2516" s="183"/>
      <c r="AP2516" s="183"/>
      <c r="AQ2516" s="183"/>
      <c r="AR2516" s="292"/>
      <c r="AS2516" s="262" t="s">
        <v>5751</v>
      </c>
      <c r="AT2516" s="183"/>
      <c r="AU2516" s="6"/>
      <c r="AV2516" s="6" t="str">
        <f t="shared" si="49"/>
        <v/>
      </c>
    </row>
    <row r="2517" spans="1:48" s="17" customFormat="1" ht="12" thickBot="1" x14ac:dyDescent="0.4">
      <c r="A2517" s="28" t="s">
        <v>1748</v>
      </c>
      <c r="C2517" s="18"/>
      <c r="D2517" s="18"/>
      <c r="E2517" s="18"/>
      <c r="F2517" s="18"/>
      <c r="G2517" s="18"/>
      <c r="H2517" s="18"/>
      <c r="J2517" s="18" t="s">
        <v>2473</v>
      </c>
      <c r="K2517" s="18" t="s">
        <v>2473</v>
      </c>
      <c r="M2517" s="145"/>
      <c r="N2517" s="8"/>
      <c r="O2517" s="8"/>
      <c r="P2517" s="8"/>
      <c r="Q2517" s="8"/>
      <c r="R2517" s="8"/>
      <c r="S2517" s="8"/>
      <c r="T2517" s="8"/>
      <c r="U2517" s="8"/>
      <c r="V2517" s="8"/>
      <c r="W2517" s="8"/>
      <c r="X2517" s="8"/>
      <c r="Y2517" s="145"/>
      <c r="Z2517" s="183"/>
      <c r="AA2517" s="183" t="s">
        <v>2322</v>
      </c>
      <c r="AB2517" s="183" t="s">
        <v>1697</v>
      </c>
      <c r="AC2517" s="183" t="s">
        <v>5</v>
      </c>
      <c r="AD2517" s="183"/>
      <c r="AE2517" s="184"/>
      <c r="AF2517" s="184"/>
      <c r="AG2517" s="183"/>
      <c r="AH2517" s="183"/>
      <c r="AI2517" s="183"/>
      <c r="AJ2517" s="183"/>
      <c r="AK2517" s="183"/>
      <c r="AL2517" s="183"/>
      <c r="AM2517" s="183"/>
      <c r="AN2517" s="183"/>
      <c r="AO2517" s="183"/>
      <c r="AP2517" s="183"/>
      <c r="AQ2517" s="183"/>
      <c r="AR2517" s="292"/>
      <c r="AS2517" s="262" t="s">
        <v>5751</v>
      </c>
      <c r="AT2517" s="183"/>
      <c r="AU2517" s="6"/>
      <c r="AV2517" s="6" t="str">
        <f t="shared" si="49"/>
        <v/>
      </c>
    </row>
    <row r="2518" spans="1:48" s="17" customFormat="1" ht="70.150000000000006" thickBot="1" x14ac:dyDescent="0.4">
      <c r="A2518" s="309" t="s">
        <v>5732</v>
      </c>
      <c r="B2518" s="310"/>
      <c r="C2518" s="301" t="s">
        <v>1</v>
      </c>
      <c r="D2518" s="319"/>
      <c r="E2518" s="319"/>
      <c r="F2518" s="302"/>
      <c r="G2518" s="102"/>
      <c r="H2518" s="102"/>
      <c r="J2518" s="18" t="s">
        <v>2473</v>
      </c>
      <c r="K2518" s="18" t="s">
        <v>2473</v>
      </c>
      <c r="M2518" s="145"/>
      <c r="N2518" s="8"/>
      <c r="O2518" s="8"/>
      <c r="P2518" s="8"/>
      <c r="Q2518" s="8"/>
      <c r="R2518" s="8"/>
      <c r="S2518" s="8"/>
      <c r="T2518" s="8"/>
      <c r="U2518" s="8"/>
      <c r="V2518" s="8"/>
      <c r="W2518" s="8"/>
      <c r="X2518" s="8"/>
      <c r="Y2518" s="145"/>
      <c r="Z2518" s="8"/>
      <c r="AA2518" s="183" t="str">
        <f>LEFT($A2518,FIND(" ",$A2518)-1)</f>
        <v>BatteryMetrics</v>
      </c>
      <c r="AB2518" s="183" t="str">
        <f>MID($A2518,FIND("(",$A2518)+1,LEN($A2518)-FIND("(",$A2518)-1)</f>
        <v>1.0.1</v>
      </c>
      <c r="AC2518" s="101" t="str">
        <f>A2516</f>
        <v>The BatteryMetrics schema contains definitions for the metrics of a battery unit.</v>
      </c>
      <c r="AD2518" s="8"/>
      <c r="AE2518" s="154"/>
      <c r="AF2518" s="154"/>
      <c r="AG2518" s="8"/>
      <c r="AH2518" s="8"/>
      <c r="AI2518" s="8"/>
      <c r="AJ2518" s="8"/>
      <c r="AK2518" s="8"/>
      <c r="AL2518" s="8"/>
      <c r="AM2518" s="8"/>
      <c r="AN2518" s="8"/>
      <c r="AO2518" s="8"/>
      <c r="AP2518" s="8"/>
      <c r="AQ2518" s="8"/>
      <c r="AR2518" s="284"/>
      <c r="AS2518" s="262" t="s">
        <v>5751</v>
      </c>
      <c r="AT2518" s="8"/>
      <c r="AU2518" s="6"/>
      <c r="AV2518" s="6" t="str">
        <f t="shared" si="49"/>
        <v/>
      </c>
    </row>
    <row r="2519" spans="1:48" s="17" customFormat="1" ht="12" thickBot="1" x14ac:dyDescent="0.4">
      <c r="A2519" s="311"/>
      <c r="B2519" s="312"/>
      <c r="C2519" s="301" t="s">
        <v>2</v>
      </c>
      <c r="D2519" s="302"/>
      <c r="E2519" s="301" t="s">
        <v>3</v>
      </c>
      <c r="F2519" s="302"/>
      <c r="G2519" s="301" t="s">
        <v>2896</v>
      </c>
      <c r="H2519" s="302"/>
      <c r="J2519" s="18" t="s">
        <v>2473</v>
      </c>
      <c r="K2519" s="18" t="s">
        <v>2473</v>
      </c>
      <c r="M2519" s="145"/>
      <c r="N2519" s="8"/>
      <c r="O2519" s="8"/>
      <c r="P2519" s="8"/>
      <c r="Q2519" s="8"/>
      <c r="R2519" s="8"/>
      <c r="S2519" s="8"/>
      <c r="T2519" s="8"/>
      <c r="U2519" s="8"/>
      <c r="V2519" s="8"/>
      <c r="W2519" s="8"/>
      <c r="X2519" s="8"/>
      <c r="Y2519" s="145"/>
      <c r="Z2519" s="8"/>
      <c r="AA2519" s="8"/>
      <c r="AB2519" s="8"/>
      <c r="AC2519" s="8"/>
      <c r="AD2519" s="8"/>
      <c r="AE2519" s="154"/>
      <c r="AF2519" s="154"/>
      <c r="AG2519" s="8"/>
      <c r="AH2519" s="8"/>
      <c r="AI2519" s="8"/>
      <c r="AJ2519" s="8"/>
      <c r="AK2519" s="8"/>
      <c r="AL2519" s="8"/>
      <c r="AM2519" s="8" t="str">
        <f>C2519</f>
        <v>OSM-Redfish</v>
      </c>
      <c r="AN2519" s="8" t="str">
        <f>E2519</f>
        <v>OSM-RedfishBMC</v>
      </c>
      <c r="AO2519" s="8" t="str">
        <f>G2519</f>
        <v>OSM-RedfishDCN</v>
      </c>
      <c r="AP2519" s="8"/>
      <c r="AQ2519" s="8"/>
      <c r="AR2519" s="284"/>
      <c r="AS2519" s="262" t="s">
        <v>5751</v>
      </c>
      <c r="AT2519" s="8"/>
      <c r="AU2519" s="6"/>
      <c r="AV2519" s="6" t="str">
        <f t="shared" si="49"/>
        <v/>
      </c>
    </row>
    <row r="2520" spans="1:48" s="17" customFormat="1" ht="12" thickBot="1" x14ac:dyDescent="0.4">
      <c r="A2520" s="46" t="s">
        <v>2377</v>
      </c>
      <c r="B2520" s="47"/>
      <c r="C2520" s="303" t="s">
        <v>13</v>
      </c>
      <c r="D2520" s="304"/>
      <c r="E2520" s="303" t="s">
        <v>13</v>
      </c>
      <c r="F2520" s="304"/>
      <c r="G2520" s="303" t="s">
        <v>13</v>
      </c>
      <c r="H2520" s="304"/>
      <c r="J2520" s="18" t="s">
        <v>2473</v>
      </c>
      <c r="K2520" s="18" t="s">
        <v>2473</v>
      </c>
      <c r="M2520" s="145"/>
      <c r="N2520" s="8"/>
      <c r="O2520" s="8"/>
      <c r="P2520" s="8"/>
      <c r="Q2520" s="8"/>
      <c r="R2520" s="8"/>
      <c r="S2520" s="8"/>
      <c r="T2520" s="8"/>
      <c r="U2520" s="8"/>
      <c r="V2520" s="8"/>
      <c r="W2520" s="8"/>
      <c r="X2520" s="8"/>
      <c r="Y2520" s="145"/>
      <c r="Z2520" s="185"/>
      <c r="AA2520" s="185"/>
      <c r="AB2520" s="185"/>
      <c r="AC2520" s="185"/>
      <c r="AD2520" s="185"/>
      <c r="AE2520" s="186"/>
      <c r="AF2520" s="186"/>
      <c r="AG2520" s="185"/>
      <c r="AH2520" s="185"/>
      <c r="AI2520" s="185"/>
      <c r="AJ2520" s="185"/>
      <c r="AK2520" s="185"/>
      <c r="AL2520" s="185"/>
      <c r="AM2520" s="8" t="str">
        <f>IF(C2520&lt;&gt;"","CRQ-P5-"&amp;(AM$2+$AP2520*$AP$3),"")</f>
        <v>CRQ-P5-1032</v>
      </c>
      <c r="AN2520" s="8" t="str">
        <f>IF(E2520&lt;&gt;"","CRQ-P5-"&amp;(AN$2+$AP2520*$AP$3),"")</f>
        <v>CRQ-P5-1332</v>
      </c>
      <c r="AO2520" s="8" t="str">
        <f>IF(G2520&lt;&gt;"","CRQ-P5-"&amp;(AO$2+$AP2520*$AP$3),"")</f>
        <v>CRQ-P5-1632</v>
      </c>
      <c r="AP2520" s="185">
        <v>8</v>
      </c>
      <c r="AQ2520" s="185"/>
      <c r="AR2520" s="291"/>
      <c r="AS2520" s="262" t="s">
        <v>5751</v>
      </c>
      <c r="AT2520" s="185"/>
      <c r="AU2520" s="6"/>
      <c r="AV2520" s="6" t="str">
        <f t="shared" si="49"/>
        <v/>
      </c>
    </row>
    <row r="2521" spans="1:48" s="17" customFormat="1" ht="12" thickBot="1" x14ac:dyDescent="0.4">
      <c r="A2521" s="29" t="s">
        <v>3394</v>
      </c>
      <c r="B2521" s="9"/>
      <c r="C2521" s="305" t="str">
        <f>MID(A2518,FIND("(",A2518)+1,5)</f>
        <v>1.0.1</v>
      </c>
      <c r="D2521" s="306"/>
      <c r="E2521" s="305" t="str">
        <f>MID(A2518,FIND("(",A2518)+1,5)</f>
        <v>1.0.1</v>
      </c>
      <c r="F2521" s="306"/>
      <c r="G2521" s="305" t="str">
        <f>MID(A2518,FIND("(",A2518)+1,5)</f>
        <v>1.0.1</v>
      </c>
      <c r="H2521" s="306"/>
      <c r="J2521" s="18" t="s">
        <v>2473</v>
      </c>
      <c r="K2521" s="18" t="s">
        <v>2473</v>
      </c>
      <c r="M2521" s="145"/>
      <c r="N2521" s="8"/>
      <c r="O2521" s="8"/>
      <c r="P2521" s="8"/>
      <c r="Q2521" s="8"/>
      <c r="R2521" s="8"/>
      <c r="S2521" s="8"/>
      <c r="T2521" s="8"/>
      <c r="U2521" s="8"/>
      <c r="V2521" s="8"/>
      <c r="W2521" s="8"/>
      <c r="X2521" s="8"/>
      <c r="Y2521" s="145"/>
      <c r="Z2521" s="185"/>
      <c r="AA2521" s="185"/>
      <c r="AB2521" s="185"/>
      <c r="AC2521" s="185"/>
      <c r="AD2521" s="185"/>
      <c r="AE2521" s="186"/>
      <c r="AF2521" s="186"/>
      <c r="AG2521" s="185"/>
      <c r="AH2521" s="185"/>
      <c r="AI2521" s="185"/>
      <c r="AJ2521" s="185"/>
      <c r="AK2521" s="185"/>
      <c r="AL2521" s="185"/>
      <c r="AM2521" s="185"/>
      <c r="AN2521" s="185"/>
      <c r="AO2521" s="185"/>
      <c r="AP2521" s="185"/>
      <c r="AQ2521" s="185"/>
      <c r="AR2521" s="291"/>
      <c r="AS2521" s="262" t="s">
        <v>5751</v>
      </c>
      <c r="AT2521" s="185"/>
      <c r="AU2521" s="6"/>
      <c r="AV2521" s="6" t="str">
        <f t="shared" si="49"/>
        <v/>
      </c>
    </row>
    <row r="2522" spans="1:48" s="17" customFormat="1" ht="15" customHeight="1" thickBot="1" x14ac:dyDescent="0.4">
      <c r="A2522" s="30" t="s">
        <v>4</v>
      </c>
      <c r="B2522" s="59" t="s">
        <v>5</v>
      </c>
      <c r="C2522" s="7" t="s">
        <v>6</v>
      </c>
      <c r="D2522" s="7" t="s">
        <v>7</v>
      </c>
      <c r="E2522" s="7" t="s">
        <v>6</v>
      </c>
      <c r="F2522" s="7" t="s">
        <v>7</v>
      </c>
      <c r="G2522" s="7" t="s">
        <v>6</v>
      </c>
      <c r="H2522" s="7" t="s">
        <v>7</v>
      </c>
      <c r="J2522" s="18" t="s">
        <v>2473</v>
      </c>
      <c r="K2522" s="18" t="s">
        <v>2473</v>
      </c>
      <c r="M2522" s="145"/>
      <c r="N2522" s="8"/>
      <c r="O2522" s="8"/>
      <c r="P2522" s="8"/>
      <c r="Q2522" s="8"/>
      <c r="R2522" s="8"/>
      <c r="S2522" s="8"/>
      <c r="T2522" s="8"/>
      <c r="U2522" s="8"/>
      <c r="V2522" s="8"/>
      <c r="W2522" s="8"/>
      <c r="X2522" s="8"/>
      <c r="Y2522" s="145"/>
      <c r="Z2522" s="183"/>
      <c r="AA2522" s="183"/>
      <c r="AB2522" s="183"/>
      <c r="AC2522" s="183"/>
      <c r="AD2522" s="183"/>
      <c r="AE2522" s="184"/>
      <c r="AF2522" s="184"/>
      <c r="AG2522" s="183"/>
      <c r="AH2522" s="183"/>
      <c r="AI2522" s="183"/>
      <c r="AJ2522" s="183"/>
      <c r="AK2522" s="183"/>
      <c r="AL2522" s="183"/>
      <c r="AM2522" s="183"/>
      <c r="AN2522" s="183"/>
      <c r="AO2522" s="183"/>
      <c r="AP2522" s="183"/>
      <c r="AQ2522" s="183"/>
      <c r="AR2522" s="292"/>
      <c r="AS2522" s="262" t="s">
        <v>5751</v>
      </c>
      <c r="AT2522" s="183"/>
      <c r="AU2522" s="6"/>
      <c r="AV2522" s="6" t="str">
        <f t="shared" si="49"/>
        <v/>
      </c>
    </row>
    <row r="2523" spans="1:48" s="17" customFormat="1" ht="23.65" thickBot="1" x14ac:dyDescent="0.4">
      <c r="A2523" s="255" t="s">
        <v>5864</v>
      </c>
      <c r="B2523" s="50" t="s">
        <v>5642</v>
      </c>
      <c r="C2523" s="21"/>
      <c r="D2523" s="21"/>
      <c r="E2523" s="21"/>
      <c r="F2523" s="21"/>
      <c r="G2523" s="21"/>
      <c r="H2523" s="21"/>
      <c r="J2523" s="18" t="s">
        <v>2473</v>
      </c>
      <c r="K2523" s="18" t="s">
        <v>2473</v>
      </c>
      <c r="M2523" s="248"/>
      <c r="Y2523" s="145"/>
      <c r="AR2523" s="290"/>
      <c r="AS2523" s="262" t="s">
        <v>5865</v>
      </c>
    </row>
    <row r="2524" spans="1:48" s="17" customFormat="1" ht="12" thickBot="1" x14ac:dyDescent="0.4">
      <c r="A2524" s="256" t="s">
        <v>5574</v>
      </c>
      <c r="B2524" s="50" t="s">
        <v>5575</v>
      </c>
      <c r="C2524" s="21"/>
      <c r="D2524" s="21"/>
      <c r="E2524" s="21"/>
      <c r="F2524" s="21"/>
      <c r="G2524" s="21"/>
      <c r="H2524" s="21"/>
      <c r="J2524" s="18" t="s">
        <v>2473</v>
      </c>
      <c r="K2524" s="18" t="s">
        <v>2473</v>
      </c>
      <c r="M2524" s="248"/>
      <c r="Y2524" s="145"/>
      <c r="AR2524" s="290"/>
      <c r="AS2524" s="262" t="s">
        <v>5751</v>
      </c>
    </row>
    <row r="2525" spans="1:48" s="17" customFormat="1" ht="12" thickBot="1" x14ac:dyDescent="0.4">
      <c r="A2525" s="256" t="s">
        <v>5550</v>
      </c>
      <c r="B2525" s="50" t="s">
        <v>5551</v>
      </c>
      <c r="C2525" s="21"/>
      <c r="D2525" s="21"/>
      <c r="E2525" s="21"/>
      <c r="F2525" s="21"/>
      <c r="G2525" s="21"/>
      <c r="H2525" s="21"/>
      <c r="J2525" s="18" t="s">
        <v>2473</v>
      </c>
      <c r="K2525" s="18" t="s">
        <v>2473</v>
      </c>
      <c r="M2525" s="248"/>
      <c r="Y2525" s="145"/>
      <c r="AR2525" s="290"/>
      <c r="AS2525" s="262" t="s">
        <v>5751</v>
      </c>
    </row>
    <row r="2526" spans="1:48" s="17" customFormat="1" ht="12" thickBot="1" x14ac:dyDescent="0.4">
      <c r="A2526" s="256" t="s">
        <v>2165</v>
      </c>
      <c r="B2526" s="50" t="s">
        <v>5557</v>
      </c>
      <c r="C2526" s="21"/>
      <c r="D2526" s="21"/>
      <c r="E2526" s="21"/>
      <c r="F2526" s="21"/>
      <c r="G2526" s="21"/>
      <c r="H2526" s="21"/>
      <c r="J2526" s="18" t="s">
        <v>2473</v>
      </c>
      <c r="K2526" s="18" t="s">
        <v>2473</v>
      </c>
      <c r="M2526" s="248"/>
      <c r="Y2526" s="145"/>
      <c r="AR2526" s="290"/>
      <c r="AS2526" s="262" t="s">
        <v>5751</v>
      </c>
    </row>
    <row r="2527" spans="1:48" s="17" customFormat="1" ht="12" thickBot="1" x14ac:dyDescent="0.4">
      <c r="A2527" s="256" t="s">
        <v>5576</v>
      </c>
      <c r="B2527" s="72" t="s">
        <v>5722</v>
      </c>
      <c r="C2527" s="21"/>
      <c r="D2527" s="21"/>
      <c r="E2527" s="21"/>
      <c r="F2527" s="21"/>
      <c r="G2527" s="21"/>
      <c r="H2527" s="21"/>
      <c r="J2527" s="18" t="s">
        <v>2473</v>
      </c>
      <c r="K2527" s="18" t="s">
        <v>2473</v>
      </c>
      <c r="M2527" s="248"/>
      <c r="Y2527" s="145"/>
      <c r="AR2527" s="290"/>
      <c r="AS2527" s="262" t="s">
        <v>5751</v>
      </c>
    </row>
    <row r="2528" spans="1:48" s="17" customFormat="1" ht="23.65" thickBot="1" x14ac:dyDescent="0.4">
      <c r="A2528" s="255" t="s">
        <v>5644</v>
      </c>
      <c r="B2528" s="50" t="s">
        <v>5645</v>
      </c>
      <c r="C2528" s="21"/>
      <c r="D2528" s="21"/>
      <c r="E2528" s="21"/>
      <c r="F2528" s="21"/>
      <c r="G2528" s="21"/>
      <c r="H2528" s="21"/>
      <c r="J2528" s="18" t="s">
        <v>2473</v>
      </c>
      <c r="K2528" s="18" t="s">
        <v>2473</v>
      </c>
      <c r="M2528" s="248"/>
      <c r="Y2528" s="145"/>
      <c r="AR2528" s="290"/>
      <c r="AS2528" s="262" t="s">
        <v>5751</v>
      </c>
    </row>
    <row r="2529" spans="1:45" s="17" customFormat="1" ht="12" thickBot="1" x14ac:dyDescent="0.4">
      <c r="A2529" s="255" t="s">
        <v>5646</v>
      </c>
      <c r="B2529" s="50" t="s">
        <v>5647</v>
      </c>
      <c r="C2529" s="21"/>
      <c r="D2529" s="21"/>
      <c r="E2529" s="21"/>
      <c r="F2529" s="21"/>
      <c r="G2529" s="21"/>
      <c r="H2529" s="21"/>
      <c r="J2529" s="18" t="s">
        <v>2473</v>
      </c>
      <c r="K2529" s="18" t="s">
        <v>2473</v>
      </c>
      <c r="M2529" s="248"/>
      <c r="Y2529" s="145"/>
      <c r="AR2529" s="290"/>
      <c r="AS2529" s="262" t="s">
        <v>5751</v>
      </c>
    </row>
    <row r="2530" spans="1:45" s="17" customFormat="1" ht="23.65" thickBot="1" x14ac:dyDescent="0.4">
      <c r="A2530" s="255" t="s">
        <v>5572</v>
      </c>
      <c r="B2530" s="50" t="s">
        <v>5648</v>
      </c>
      <c r="C2530" s="21"/>
      <c r="D2530" s="21"/>
      <c r="E2530" s="21"/>
      <c r="F2530" s="21"/>
      <c r="G2530" s="21"/>
      <c r="H2530" s="21"/>
      <c r="J2530" s="18" t="s">
        <v>2473</v>
      </c>
      <c r="K2530" s="18" t="s">
        <v>2473</v>
      </c>
      <c r="M2530" s="248"/>
      <c r="Y2530" s="145"/>
      <c r="AR2530" s="290"/>
      <c r="AS2530" s="262" t="s">
        <v>5751</v>
      </c>
    </row>
    <row r="2531" spans="1:45" s="17" customFormat="1" ht="12" thickBot="1" x14ac:dyDescent="0.4">
      <c r="A2531" s="256" t="s">
        <v>5574</v>
      </c>
      <c r="B2531" s="50" t="s">
        <v>5575</v>
      </c>
      <c r="C2531" s="21"/>
      <c r="D2531" s="21"/>
      <c r="E2531" s="21"/>
      <c r="F2531" s="21"/>
      <c r="G2531" s="21"/>
      <c r="H2531" s="21"/>
      <c r="J2531" s="18" t="s">
        <v>2473</v>
      </c>
      <c r="K2531" s="18" t="s">
        <v>2473</v>
      </c>
      <c r="M2531" s="248"/>
      <c r="Y2531" s="145"/>
      <c r="AR2531" s="290"/>
      <c r="AS2531" s="262" t="s">
        <v>5751</v>
      </c>
    </row>
    <row r="2532" spans="1:45" s="17" customFormat="1" ht="12" thickBot="1" x14ac:dyDescent="0.4">
      <c r="A2532" s="256" t="s">
        <v>5550</v>
      </c>
      <c r="B2532" s="50" t="s">
        <v>5551</v>
      </c>
      <c r="C2532" s="21"/>
      <c r="D2532" s="21"/>
      <c r="E2532" s="21"/>
      <c r="F2532" s="21"/>
      <c r="G2532" s="21"/>
      <c r="H2532" s="21"/>
      <c r="J2532" s="18" t="s">
        <v>2473</v>
      </c>
      <c r="K2532" s="18" t="s">
        <v>2473</v>
      </c>
      <c r="M2532" s="248"/>
      <c r="Y2532" s="145"/>
      <c r="AR2532" s="290"/>
      <c r="AS2532" s="262" t="s">
        <v>5751</v>
      </c>
    </row>
    <row r="2533" spans="1:45" s="17" customFormat="1" ht="12" thickBot="1" x14ac:dyDescent="0.4">
      <c r="A2533" s="256" t="s">
        <v>2165</v>
      </c>
      <c r="B2533" s="50" t="s">
        <v>5557</v>
      </c>
      <c r="C2533" s="21"/>
      <c r="D2533" s="21"/>
      <c r="E2533" s="21"/>
      <c r="F2533" s="21"/>
      <c r="G2533" s="21"/>
      <c r="H2533" s="21"/>
      <c r="J2533" s="18" t="s">
        <v>2473</v>
      </c>
      <c r="K2533" s="18" t="s">
        <v>2473</v>
      </c>
      <c r="M2533" s="248"/>
      <c r="Y2533" s="145"/>
      <c r="AR2533" s="290"/>
      <c r="AS2533" s="262" t="s">
        <v>5751</v>
      </c>
    </row>
    <row r="2534" spans="1:45" s="17" customFormat="1" ht="12" thickBot="1" x14ac:dyDescent="0.4">
      <c r="A2534" s="256" t="s">
        <v>5576</v>
      </c>
      <c r="B2534" s="50" t="s">
        <v>5577</v>
      </c>
      <c r="C2534" s="21"/>
      <c r="D2534" s="21"/>
      <c r="E2534" s="21"/>
      <c r="F2534" s="21"/>
      <c r="G2534" s="21"/>
      <c r="H2534" s="21"/>
      <c r="J2534" s="18" t="s">
        <v>2473</v>
      </c>
      <c r="K2534" s="18" t="s">
        <v>2473</v>
      </c>
      <c r="M2534" s="248"/>
      <c r="Y2534" s="145"/>
      <c r="AR2534" s="290"/>
      <c r="AS2534" s="262" t="s">
        <v>5751</v>
      </c>
    </row>
    <row r="2535" spans="1:45" s="17" customFormat="1" ht="23.65" thickBot="1" x14ac:dyDescent="0.4">
      <c r="A2535" s="255" t="s">
        <v>5649</v>
      </c>
      <c r="B2535" s="50" t="s">
        <v>5650</v>
      </c>
      <c r="C2535" s="21"/>
      <c r="D2535" s="21"/>
      <c r="E2535" s="21"/>
      <c r="F2535" s="21"/>
      <c r="G2535" s="21"/>
      <c r="H2535" s="21"/>
      <c r="J2535" s="18" t="s">
        <v>2473</v>
      </c>
      <c r="K2535" s="18" t="s">
        <v>2473</v>
      </c>
      <c r="M2535" s="248"/>
      <c r="Y2535" s="145"/>
      <c r="AR2535" s="290"/>
      <c r="AS2535" s="262" t="s">
        <v>5751</v>
      </c>
    </row>
    <row r="2536" spans="1:45" s="17" customFormat="1" ht="12" thickBot="1" x14ac:dyDescent="0.4">
      <c r="A2536" s="256" t="s">
        <v>5574</v>
      </c>
      <c r="B2536" s="50" t="s">
        <v>5575</v>
      </c>
      <c r="C2536" s="21"/>
      <c r="D2536" s="21"/>
      <c r="E2536" s="21"/>
      <c r="F2536" s="21"/>
      <c r="G2536" s="21"/>
      <c r="H2536" s="21"/>
      <c r="J2536" s="18" t="s">
        <v>2473</v>
      </c>
      <c r="K2536" s="18" t="s">
        <v>2473</v>
      </c>
      <c r="M2536" s="248"/>
      <c r="Y2536" s="145"/>
      <c r="AR2536" s="290"/>
      <c r="AS2536" s="262" t="s">
        <v>5751</v>
      </c>
    </row>
    <row r="2537" spans="1:45" s="17" customFormat="1" ht="12" thickBot="1" x14ac:dyDescent="0.4">
      <c r="A2537" s="256" t="s">
        <v>5550</v>
      </c>
      <c r="B2537" s="50" t="s">
        <v>5551</v>
      </c>
      <c r="C2537" s="21"/>
      <c r="D2537" s="21"/>
      <c r="E2537" s="21"/>
      <c r="F2537" s="21"/>
      <c r="G2537" s="21"/>
      <c r="H2537" s="21"/>
      <c r="J2537" s="18" t="s">
        <v>2473</v>
      </c>
      <c r="K2537" s="18" t="s">
        <v>2473</v>
      </c>
      <c r="M2537" s="248"/>
      <c r="Y2537" s="145"/>
      <c r="AR2537" s="290"/>
      <c r="AS2537" s="262" t="s">
        <v>5751</v>
      </c>
    </row>
    <row r="2538" spans="1:45" s="17" customFormat="1" ht="12" thickBot="1" x14ac:dyDescent="0.4">
      <c r="A2538" s="256" t="s">
        <v>2165</v>
      </c>
      <c r="B2538" s="50" t="s">
        <v>5557</v>
      </c>
      <c r="C2538" s="21"/>
      <c r="D2538" s="21"/>
      <c r="E2538" s="21"/>
      <c r="F2538" s="21"/>
      <c r="G2538" s="21"/>
      <c r="H2538" s="21"/>
      <c r="J2538" s="18" t="s">
        <v>2473</v>
      </c>
      <c r="K2538" s="18" t="s">
        <v>2473</v>
      </c>
      <c r="M2538" s="248"/>
      <c r="Y2538" s="145"/>
      <c r="AR2538" s="290"/>
      <c r="AS2538" s="262" t="s">
        <v>5751</v>
      </c>
    </row>
    <row r="2539" spans="1:45" s="17" customFormat="1" ht="12" thickBot="1" x14ac:dyDescent="0.4">
      <c r="A2539" s="256" t="s">
        <v>5576</v>
      </c>
      <c r="B2539" s="50" t="s">
        <v>5577</v>
      </c>
      <c r="C2539" s="21"/>
      <c r="D2539" s="21"/>
      <c r="E2539" s="21"/>
      <c r="F2539" s="21"/>
      <c r="G2539" s="21"/>
      <c r="H2539" s="21"/>
      <c r="J2539" s="18" t="s">
        <v>2473</v>
      </c>
      <c r="K2539" s="18" t="s">
        <v>2473</v>
      </c>
      <c r="M2539" s="248"/>
      <c r="Y2539" s="145"/>
      <c r="AR2539" s="290"/>
      <c r="AS2539" s="262" t="s">
        <v>5751</v>
      </c>
    </row>
    <row r="2540" spans="1:45" s="17" customFormat="1" ht="23.65" thickBot="1" x14ac:dyDescent="0.4">
      <c r="A2540" s="255" t="s">
        <v>5651</v>
      </c>
      <c r="B2540" s="50" t="s">
        <v>5652</v>
      </c>
      <c r="C2540" s="21"/>
      <c r="D2540" s="21"/>
      <c r="E2540" s="21"/>
      <c r="F2540" s="21"/>
      <c r="G2540" s="21"/>
      <c r="H2540" s="21"/>
      <c r="J2540" s="18" t="s">
        <v>2473</v>
      </c>
      <c r="K2540" s="18" t="s">
        <v>2473</v>
      </c>
      <c r="M2540" s="248"/>
      <c r="Y2540" s="145"/>
      <c r="AR2540" s="290"/>
      <c r="AS2540" s="262" t="s">
        <v>5751</v>
      </c>
    </row>
    <row r="2541" spans="1:45" s="17" customFormat="1" ht="12" thickBot="1" x14ac:dyDescent="0.4">
      <c r="A2541" s="256" t="s">
        <v>5574</v>
      </c>
      <c r="B2541" s="50" t="s">
        <v>5575</v>
      </c>
      <c r="C2541" s="21"/>
      <c r="D2541" s="21"/>
      <c r="E2541" s="21"/>
      <c r="F2541" s="21"/>
      <c r="G2541" s="21"/>
      <c r="H2541" s="21"/>
      <c r="J2541" s="18" t="s">
        <v>2473</v>
      </c>
      <c r="K2541" s="18" t="s">
        <v>2473</v>
      </c>
      <c r="M2541" s="248"/>
      <c r="Y2541" s="145"/>
      <c r="AR2541" s="290"/>
      <c r="AS2541" s="262" t="s">
        <v>5751</v>
      </c>
    </row>
    <row r="2542" spans="1:45" s="17" customFormat="1" ht="12" thickBot="1" x14ac:dyDescent="0.4">
      <c r="A2542" s="256" t="s">
        <v>5550</v>
      </c>
      <c r="B2542" s="50" t="s">
        <v>5551</v>
      </c>
      <c r="C2542" s="21"/>
      <c r="D2542" s="21"/>
      <c r="E2542" s="21"/>
      <c r="F2542" s="21"/>
      <c r="G2542" s="21"/>
      <c r="H2542" s="21"/>
      <c r="J2542" s="18" t="s">
        <v>2473</v>
      </c>
      <c r="K2542" s="18" t="s">
        <v>2473</v>
      </c>
      <c r="M2542" s="248"/>
      <c r="Y2542" s="145"/>
      <c r="AR2542" s="290"/>
      <c r="AS2542" s="262" t="s">
        <v>5751</v>
      </c>
    </row>
    <row r="2543" spans="1:45" s="17" customFormat="1" ht="12" thickBot="1" x14ac:dyDescent="0.4">
      <c r="A2543" s="256" t="s">
        <v>2165</v>
      </c>
      <c r="B2543" s="50" t="s">
        <v>5557</v>
      </c>
      <c r="C2543" s="21"/>
      <c r="D2543" s="21"/>
      <c r="E2543" s="21"/>
      <c r="F2543" s="21"/>
      <c r="G2543" s="21"/>
      <c r="H2543" s="21"/>
      <c r="J2543" s="18" t="s">
        <v>2473</v>
      </c>
      <c r="K2543" s="18" t="s">
        <v>2473</v>
      </c>
      <c r="M2543" s="248"/>
      <c r="Y2543" s="145"/>
      <c r="AR2543" s="290"/>
      <c r="AS2543" s="262" t="s">
        <v>5751</v>
      </c>
    </row>
    <row r="2544" spans="1:45" s="17" customFormat="1" ht="12" thickBot="1" x14ac:dyDescent="0.4">
      <c r="A2544" s="256" t="s">
        <v>5576</v>
      </c>
      <c r="B2544" s="50" t="s">
        <v>5577</v>
      </c>
      <c r="C2544" s="21"/>
      <c r="D2544" s="21"/>
      <c r="E2544" s="21"/>
      <c r="F2544" s="21"/>
      <c r="G2544" s="21"/>
      <c r="H2544" s="21"/>
      <c r="J2544" s="18" t="s">
        <v>2473</v>
      </c>
      <c r="K2544" s="18" t="s">
        <v>2473</v>
      </c>
      <c r="M2544" s="248"/>
      <c r="Y2544" s="145"/>
      <c r="AR2544" s="290"/>
      <c r="AS2544" s="262" t="s">
        <v>5751</v>
      </c>
    </row>
    <row r="2545" spans="1:45" s="17" customFormat="1" ht="23.65" thickBot="1" x14ac:dyDescent="0.4">
      <c r="A2545" s="255" t="s">
        <v>5653</v>
      </c>
      <c r="B2545" s="50" t="s">
        <v>5654</v>
      </c>
      <c r="C2545" s="21"/>
      <c r="D2545" s="21"/>
      <c r="E2545" s="21"/>
      <c r="F2545" s="21"/>
      <c r="G2545" s="21"/>
      <c r="H2545" s="21"/>
      <c r="J2545" s="18" t="s">
        <v>2473</v>
      </c>
      <c r="K2545" s="18" t="s">
        <v>2473</v>
      </c>
      <c r="M2545" s="248"/>
      <c r="Y2545" s="145"/>
      <c r="AR2545" s="290"/>
      <c r="AS2545" s="262" t="s">
        <v>5751</v>
      </c>
    </row>
    <row r="2546" spans="1:45" s="17" customFormat="1" ht="12" thickBot="1" x14ac:dyDescent="0.4">
      <c r="A2546" s="256" t="s">
        <v>5574</v>
      </c>
      <c r="B2546" s="50" t="s">
        <v>5575</v>
      </c>
      <c r="C2546" s="21"/>
      <c r="D2546" s="21"/>
      <c r="E2546" s="21"/>
      <c r="F2546" s="21"/>
      <c r="G2546" s="21"/>
      <c r="H2546" s="21"/>
      <c r="J2546" s="18" t="s">
        <v>2473</v>
      </c>
      <c r="K2546" s="18" t="s">
        <v>2473</v>
      </c>
      <c r="M2546" s="248"/>
      <c r="Y2546" s="145"/>
      <c r="AR2546" s="290"/>
      <c r="AS2546" s="262" t="s">
        <v>5751</v>
      </c>
    </row>
    <row r="2547" spans="1:45" s="17" customFormat="1" ht="12" thickBot="1" x14ac:dyDescent="0.4">
      <c r="A2547" s="256" t="s">
        <v>5550</v>
      </c>
      <c r="B2547" s="50" t="s">
        <v>5551</v>
      </c>
      <c r="C2547" s="21"/>
      <c r="D2547" s="21"/>
      <c r="E2547" s="21"/>
      <c r="F2547" s="21"/>
      <c r="G2547" s="21"/>
      <c r="H2547" s="21"/>
      <c r="J2547" s="18" t="s">
        <v>2473</v>
      </c>
      <c r="K2547" s="18" t="s">
        <v>2473</v>
      </c>
      <c r="M2547" s="248"/>
      <c r="Y2547" s="145"/>
      <c r="AR2547" s="290"/>
      <c r="AS2547" s="262" t="s">
        <v>5751</v>
      </c>
    </row>
    <row r="2548" spans="1:45" s="17" customFormat="1" ht="12" thickBot="1" x14ac:dyDescent="0.4">
      <c r="A2548" s="256" t="s">
        <v>2165</v>
      </c>
      <c r="B2548" s="50" t="s">
        <v>5557</v>
      </c>
      <c r="C2548" s="21"/>
      <c r="D2548" s="21"/>
      <c r="E2548" s="21"/>
      <c r="F2548" s="21"/>
      <c r="G2548" s="21"/>
      <c r="H2548" s="21"/>
      <c r="J2548" s="18" t="s">
        <v>2473</v>
      </c>
      <c r="K2548" s="18" t="s">
        <v>2473</v>
      </c>
      <c r="M2548" s="248"/>
      <c r="Y2548" s="145"/>
      <c r="AR2548" s="290"/>
      <c r="AS2548" s="262" t="s">
        <v>5751</v>
      </c>
    </row>
    <row r="2549" spans="1:45" s="17" customFormat="1" ht="12" thickBot="1" x14ac:dyDescent="0.4">
      <c r="A2549" s="256" t="s">
        <v>5576</v>
      </c>
      <c r="B2549" s="50" t="s">
        <v>5577</v>
      </c>
      <c r="C2549" s="21"/>
      <c r="D2549" s="21"/>
      <c r="E2549" s="21"/>
      <c r="F2549" s="21"/>
      <c r="G2549" s="21"/>
      <c r="H2549" s="21"/>
      <c r="J2549" s="18" t="s">
        <v>2473</v>
      </c>
      <c r="K2549" s="18" t="s">
        <v>2473</v>
      </c>
      <c r="M2549" s="248"/>
      <c r="Y2549" s="145"/>
      <c r="AR2549" s="290"/>
      <c r="AS2549" s="262" t="s">
        <v>5751</v>
      </c>
    </row>
    <row r="2550" spans="1:45" s="17" customFormat="1" ht="23.65" thickBot="1" x14ac:dyDescent="0.4">
      <c r="A2550" s="255" t="s">
        <v>145</v>
      </c>
      <c r="B2550" s="50" t="s">
        <v>5431</v>
      </c>
      <c r="C2550" s="21"/>
      <c r="D2550" s="21"/>
      <c r="E2550" s="21"/>
      <c r="F2550" s="21"/>
      <c r="G2550" s="21"/>
      <c r="H2550" s="21"/>
      <c r="J2550" s="18" t="s">
        <v>2473</v>
      </c>
      <c r="K2550" s="18" t="s">
        <v>2473</v>
      </c>
      <c r="M2550" s="248"/>
      <c r="Y2550" s="145"/>
      <c r="AR2550" s="290"/>
      <c r="AS2550" s="262" t="s">
        <v>5751</v>
      </c>
    </row>
    <row r="2551" spans="1:45" s="17" customFormat="1" ht="12" thickBot="1" x14ac:dyDescent="0.4">
      <c r="A2551" s="256" t="s">
        <v>5432</v>
      </c>
      <c r="B2551" s="50" t="s">
        <v>5433</v>
      </c>
      <c r="C2551" s="21"/>
      <c r="D2551" s="21"/>
      <c r="E2551" s="21"/>
      <c r="F2551" s="21"/>
      <c r="G2551" s="21"/>
      <c r="H2551" s="21"/>
      <c r="J2551" s="18" t="s">
        <v>2473</v>
      </c>
      <c r="K2551" s="18" t="s">
        <v>2473</v>
      </c>
      <c r="M2551" s="248"/>
      <c r="Y2551" s="145"/>
      <c r="AR2551" s="290"/>
      <c r="AS2551" s="262" t="s">
        <v>5751</v>
      </c>
    </row>
    <row r="2552" spans="1:45" s="17" customFormat="1" ht="12" thickBot="1" x14ac:dyDescent="0.4">
      <c r="A2552" s="256" t="s">
        <v>5434</v>
      </c>
      <c r="B2552" s="50" t="s">
        <v>5435</v>
      </c>
      <c r="C2552" s="21"/>
      <c r="D2552" s="21"/>
      <c r="E2552" s="21"/>
      <c r="F2552" s="21"/>
      <c r="G2552" s="21"/>
      <c r="H2552" s="21"/>
      <c r="J2552" s="18" t="s">
        <v>2473</v>
      </c>
      <c r="K2552" s="18" t="s">
        <v>2473</v>
      </c>
      <c r="M2552" s="248"/>
      <c r="Y2552" s="145"/>
      <c r="AR2552" s="290"/>
      <c r="AS2552" s="262" t="s">
        <v>5751</v>
      </c>
    </row>
    <row r="2553" spans="1:45" s="17" customFormat="1" ht="12" thickBot="1" x14ac:dyDescent="0.4">
      <c r="A2553" s="256" t="s">
        <v>1994</v>
      </c>
      <c r="B2553" s="50" t="s">
        <v>5436</v>
      </c>
      <c r="C2553" s="21"/>
      <c r="D2553" s="21"/>
      <c r="E2553" s="21"/>
      <c r="F2553" s="21"/>
      <c r="G2553" s="21"/>
      <c r="H2553" s="21"/>
      <c r="J2553" s="18" t="s">
        <v>2473</v>
      </c>
      <c r="K2553" s="18" t="s">
        <v>2473</v>
      </c>
      <c r="M2553" s="248"/>
      <c r="Y2553" s="145"/>
      <c r="AR2553" s="290"/>
      <c r="AS2553" s="262" t="s">
        <v>5751</v>
      </c>
    </row>
    <row r="2554" spans="1:45" s="17" customFormat="1" ht="12" thickBot="1" x14ac:dyDescent="0.4">
      <c r="A2554" s="256" t="s">
        <v>5437</v>
      </c>
      <c r="B2554" s="50" t="s">
        <v>5438</v>
      </c>
      <c r="C2554" s="21"/>
      <c r="D2554" s="21"/>
      <c r="E2554" s="21"/>
      <c r="F2554" s="21"/>
      <c r="G2554" s="21"/>
      <c r="H2554" s="21"/>
      <c r="J2554" s="18" t="s">
        <v>2473</v>
      </c>
      <c r="K2554" s="18" t="s">
        <v>2473</v>
      </c>
      <c r="M2554" s="248"/>
      <c r="Y2554" s="145"/>
      <c r="AR2554" s="290"/>
      <c r="AS2554" s="262" t="s">
        <v>5751</v>
      </c>
    </row>
    <row r="2555" spans="1:45" s="17" customFormat="1" ht="23.65" thickBot="1" x14ac:dyDescent="0.4">
      <c r="A2555" s="256" t="s">
        <v>5439</v>
      </c>
      <c r="B2555" s="50" t="s">
        <v>5440</v>
      </c>
      <c r="C2555" s="21"/>
      <c r="D2555" s="21"/>
      <c r="E2555" s="21"/>
      <c r="F2555" s="21"/>
      <c r="G2555" s="21"/>
      <c r="H2555" s="21"/>
      <c r="J2555" s="18" t="s">
        <v>2473</v>
      </c>
      <c r="K2555" s="18" t="s">
        <v>2473</v>
      </c>
      <c r="M2555" s="248"/>
      <c r="Y2555" s="145"/>
      <c r="AR2555" s="290"/>
      <c r="AS2555" s="262" t="s">
        <v>5751</v>
      </c>
    </row>
    <row r="2556" spans="1:45" s="17" customFormat="1" ht="12" thickBot="1" x14ac:dyDescent="0.4">
      <c r="A2556" s="256" t="s">
        <v>5441</v>
      </c>
      <c r="B2556" s="50" t="s">
        <v>5442</v>
      </c>
      <c r="C2556" s="21"/>
      <c r="D2556" s="21"/>
      <c r="E2556" s="21"/>
      <c r="F2556" s="21"/>
      <c r="G2556" s="21"/>
      <c r="H2556" s="21"/>
      <c r="J2556" s="18" t="s">
        <v>2473</v>
      </c>
      <c r="K2556" s="18" t="s">
        <v>2473</v>
      </c>
      <c r="M2556" s="248"/>
      <c r="Y2556" s="145"/>
      <c r="AR2556" s="290"/>
      <c r="AS2556" s="262" t="s">
        <v>5751</v>
      </c>
    </row>
    <row r="2557" spans="1:45" s="17" customFormat="1" ht="12" thickBot="1" x14ac:dyDescent="0.4">
      <c r="A2557" s="256" t="s">
        <v>5443</v>
      </c>
      <c r="B2557" s="50" t="s">
        <v>5444</v>
      </c>
      <c r="C2557" s="21"/>
      <c r="D2557" s="21"/>
      <c r="E2557" s="21"/>
      <c r="F2557" s="21"/>
      <c r="G2557" s="21"/>
      <c r="H2557" s="21"/>
      <c r="J2557" s="18" t="s">
        <v>2473</v>
      </c>
      <c r="K2557" s="18" t="s">
        <v>2473</v>
      </c>
      <c r="M2557" s="248"/>
      <c r="Y2557" s="145"/>
      <c r="AR2557" s="290"/>
      <c r="AS2557" s="262" t="s">
        <v>5751</v>
      </c>
    </row>
    <row r="2558" spans="1:45" s="17" customFormat="1" ht="12" thickBot="1" x14ac:dyDescent="0.4">
      <c r="A2558" s="256" t="s">
        <v>1994</v>
      </c>
      <c r="B2558" s="50" t="s">
        <v>84</v>
      </c>
      <c r="C2558" s="21"/>
      <c r="D2558" s="21"/>
      <c r="E2558" s="21"/>
      <c r="F2558" s="21"/>
      <c r="G2558" s="21"/>
      <c r="H2558" s="21"/>
      <c r="J2558" s="18" t="s">
        <v>2473</v>
      </c>
      <c r="K2558" s="18" t="s">
        <v>2473</v>
      </c>
      <c r="M2558" s="248"/>
      <c r="Y2558" s="145"/>
      <c r="AR2558" s="290"/>
      <c r="AS2558" s="262" t="s">
        <v>5751</v>
      </c>
    </row>
    <row r="2559" spans="1:45" s="17" customFormat="1" ht="12" thickBot="1" x14ac:dyDescent="0.4">
      <c r="A2559" s="256" t="s">
        <v>5445</v>
      </c>
      <c r="B2559" s="50" t="s">
        <v>5446</v>
      </c>
      <c r="C2559" s="21"/>
      <c r="D2559" s="21"/>
      <c r="E2559" s="21"/>
      <c r="F2559" s="21"/>
      <c r="G2559" s="21"/>
      <c r="H2559" s="21"/>
      <c r="J2559" s="18" t="s">
        <v>2473</v>
      </c>
      <c r="K2559" s="18" t="s">
        <v>2473</v>
      </c>
      <c r="M2559" s="248"/>
      <c r="Y2559" s="145"/>
      <c r="AR2559" s="290"/>
      <c r="AS2559" s="262" t="s">
        <v>5751</v>
      </c>
    </row>
    <row r="2560" spans="1:45" s="17" customFormat="1" ht="23.65" thickBot="1" x14ac:dyDescent="0.4">
      <c r="A2560" s="256" t="s">
        <v>5447</v>
      </c>
      <c r="B2560" s="50" t="s">
        <v>5448</v>
      </c>
      <c r="C2560" s="21"/>
      <c r="D2560" s="21"/>
      <c r="E2560" s="21"/>
      <c r="F2560" s="21"/>
      <c r="G2560" s="21"/>
      <c r="H2560" s="21"/>
      <c r="J2560" s="18" t="s">
        <v>2473</v>
      </c>
      <c r="K2560" s="18" t="s">
        <v>2473</v>
      </c>
      <c r="M2560" s="248"/>
      <c r="Y2560" s="145"/>
      <c r="AR2560" s="290"/>
      <c r="AS2560" s="262" t="s">
        <v>5751</v>
      </c>
    </row>
    <row r="2561" spans="1:48" s="17" customFormat="1" ht="12" thickBot="1" x14ac:dyDescent="0.4">
      <c r="A2561" s="256" t="s">
        <v>5449</v>
      </c>
      <c r="B2561" s="50" t="s">
        <v>5450</v>
      </c>
      <c r="C2561" s="21"/>
      <c r="D2561" s="21"/>
      <c r="E2561" s="21"/>
      <c r="F2561" s="21"/>
      <c r="G2561" s="21"/>
      <c r="H2561" s="21"/>
      <c r="J2561" s="18" t="s">
        <v>2473</v>
      </c>
      <c r="K2561" s="18" t="s">
        <v>2473</v>
      </c>
      <c r="M2561" s="248"/>
      <c r="Y2561" s="145"/>
      <c r="AR2561" s="290"/>
      <c r="AS2561" s="262" t="s">
        <v>5751</v>
      </c>
    </row>
    <row r="2562" spans="1:48" s="17" customFormat="1" ht="23.65" thickBot="1" x14ac:dyDescent="0.4">
      <c r="A2562" s="256" t="s">
        <v>5361</v>
      </c>
      <c r="B2562" s="50" t="s">
        <v>5451</v>
      </c>
      <c r="C2562" s="21"/>
      <c r="D2562" s="21"/>
      <c r="E2562" s="21"/>
      <c r="F2562" s="21"/>
      <c r="G2562" s="21"/>
      <c r="H2562" s="21"/>
      <c r="J2562" s="18" t="s">
        <v>2473</v>
      </c>
      <c r="K2562" s="18" t="s">
        <v>2473</v>
      </c>
      <c r="M2562" s="248"/>
      <c r="Y2562" s="145"/>
      <c r="AR2562" s="290"/>
      <c r="AS2562" s="262" t="s">
        <v>5751</v>
      </c>
    </row>
    <row r="2563" spans="1:48" s="17" customFormat="1" ht="23.65" thickBot="1" x14ac:dyDescent="0.4">
      <c r="A2563" s="256" t="s">
        <v>5360</v>
      </c>
      <c r="B2563" s="50" t="s">
        <v>5452</v>
      </c>
      <c r="C2563" s="21"/>
      <c r="D2563" s="21"/>
      <c r="E2563" s="21"/>
      <c r="F2563" s="21"/>
      <c r="G2563" s="21"/>
      <c r="H2563" s="21"/>
      <c r="J2563" s="18" t="s">
        <v>2473</v>
      </c>
      <c r="K2563" s="18" t="s">
        <v>2473</v>
      </c>
      <c r="M2563" s="248"/>
      <c r="Y2563" s="145"/>
      <c r="AR2563" s="290"/>
      <c r="AS2563" s="262" t="s">
        <v>5751</v>
      </c>
    </row>
    <row r="2564" spans="1:48" s="17" customFormat="1" ht="12" thickBot="1" x14ac:dyDescent="0.4">
      <c r="A2564" s="256" t="s">
        <v>59</v>
      </c>
      <c r="B2564" s="50" t="s">
        <v>5423</v>
      </c>
      <c r="C2564" s="21"/>
      <c r="D2564" s="21"/>
      <c r="E2564" s="21"/>
      <c r="F2564" s="21"/>
      <c r="G2564" s="21"/>
      <c r="H2564" s="21"/>
      <c r="J2564" s="18" t="s">
        <v>2473</v>
      </c>
      <c r="K2564" s="18" t="s">
        <v>2473</v>
      </c>
      <c r="M2564" s="248"/>
      <c r="Y2564" s="145"/>
      <c r="AR2564" s="290"/>
      <c r="AS2564" s="262" t="s">
        <v>5751</v>
      </c>
    </row>
    <row r="2565" spans="1:48" s="17" customFormat="1" ht="23.65" thickBot="1" x14ac:dyDescent="0.4">
      <c r="A2565" s="256" t="s">
        <v>2575</v>
      </c>
      <c r="B2565" s="50" t="s">
        <v>5453</v>
      </c>
      <c r="C2565" s="21"/>
      <c r="D2565" s="21"/>
      <c r="E2565" s="21"/>
      <c r="F2565" s="21"/>
      <c r="G2565" s="21"/>
      <c r="H2565" s="21"/>
      <c r="J2565" s="18" t="s">
        <v>2473</v>
      </c>
      <c r="K2565" s="18" t="s">
        <v>2473</v>
      </c>
      <c r="M2565" s="248"/>
      <c r="Y2565" s="145"/>
      <c r="AR2565" s="290"/>
      <c r="AS2565" s="262" t="s">
        <v>5751</v>
      </c>
    </row>
    <row r="2566" spans="1:48" s="17" customFormat="1" ht="23.65" thickBot="1" x14ac:dyDescent="0.4">
      <c r="A2566" s="255" t="s">
        <v>5655</v>
      </c>
      <c r="B2566" s="50" t="s">
        <v>5656</v>
      </c>
      <c r="C2566" s="21"/>
      <c r="D2566" s="21"/>
      <c r="E2566" s="21"/>
      <c r="F2566" s="21"/>
      <c r="G2566" s="21"/>
      <c r="H2566" s="21"/>
      <c r="J2566" s="18" t="s">
        <v>2473</v>
      </c>
      <c r="K2566" s="18" t="s">
        <v>2473</v>
      </c>
      <c r="M2566" s="248"/>
      <c r="Y2566" s="145"/>
      <c r="AR2566" s="290"/>
      <c r="AS2566" s="262" t="s">
        <v>5751</v>
      </c>
    </row>
    <row r="2567" spans="1:48" s="17" customFormat="1" ht="23.65" thickBot="1" x14ac:dyDescent="0.4">
      <c r="A2567" s="255" t="s">
        <v>5657</v>
      </c>
      <c r="B2567" s="50" t="s">
        <v>5658</v>
      </c>
      <c r="C2567" s="21"/>
      <c r="D2567" s="21"/>
      <c r="E2567" s="21"/>
      <c r="F2567" s="21"/>
      <c r="G2567" s="21"/>
      <c r="H2567" s="21"/>
      <c r="J2567" s="18" t="s">
        <v>2473</v>
      </c>
      <c r="K2567" s="18" t="s">
        <v>2473</v>
      </c>
      <c r="M2567" s="248"/>
      <c r="Y2567" s="145"/>
      <c r="AR2567" s="290"/>
      <c r="AS2567" s="262" t="s">
        <v>5751</v>
      </c>
    </row>
    <row r="2568" spans="1:48" s="17" customFormat="1" ht="23.65" thickBot="1" x14ac:dyDescent="0.4">
      <c r="A2568" s="255" t="s">
        <v>3277</v>
      </c>
      <c r="B2568" s="50" t="s">
        <v>5659</v>
      </c>
      <c r="C2568" s="21"/>
      <c r="D2568" s="21"/>
      <c r="E2568" s="21"/>
      <c r="F2568" s="21"/>
      <c r="G2568" s="21"/>
      <c r="H2568" s="21"/>
      <c r="J2568" s="18" t="s">
        <v>2473</v>
      </c>
      <c r="K2568" s="18" t="s">
        <v>2473</v>
      </c>
      <c r="M2568" s="248"/>
      <c r="Y2568" s="145"/>
      <c r="AR2568" s="290"/>
      <c r="AS2568" s="262" t="s">
        <v>5751</v>
      </c>
    </row>
    <row r="2569" spans="1:48" s="17" customFormat="1" ht="11.65" x14ac:dyDescent="0.35">
      <c r="A2569" s="33" t="s">
        <v>5878</v>
      </c>
      <c r="C2569" s="18"/>
      <c r="D2569" s="18"/>
      <c r="E2569" s="18"/>
      <c r="F2569" s="18"/>
      <c r="G2569" s="18"/>
      <c r="H2569" s="18"/>
      <c r="J2569" s="18" t="s">
        <v>2473</v>
      </c>
      <c r="K2569" s="18" t="s">
        <v>2473</v>
      </c>
      <c r="M2569" s="145"/>
      <c r="N2569" s="8"/>
      <c r="O2569" s="8"/>
      <c r="P2569" s="8"/>
      <c r="Q2569" s="8"/>
      <c r="R2569" s="8"/>
      <c r="S2569" s="8"/>
      <c r="T2569" s="8"/>
      <c r="U2569" s="8"/>
      <c r="V2569" s="8"/>
      <c r="W2569" s="8"/>
      <c r="X2569" s="8"/>
      <c r="Y2569" s="145"/>
      <c r="Z2569" s="8"/>
      <c r="AA2569" s="8"/>
      <c r="AB2569" s="8"/>
      <c r="AC2569" s="8"/>
      <c r="AD2569" s="8"/>
      <c r="AE2569" s="154"/>
      <c r="AF2569" s="154"/>
      <c r="AG2569" s="8"/>
      <c r="AH2569" s="8"/>
      <c r="AI2569" s="8"/>
      <c r="AJ2569" s="8"/>
      <c r="AK2569" s="8"/>
      <c r="AL2569" s="8"/>
      <c r="AM2569" s="8"/>
      <c r="AN2569" s="8"/>
      <c r="AO2569" s="8"/>
      <c r="AP2569" s="8"/>
      <c r="AQ2569" s="8"/>
      <c r="AR2569" s="284"/>
      <c r="AS2569" s="262" t="s">
        <v>5751</v>
      </c>
      <c r="AT2569" s="8"/>
      <c r="AU2569" s="6"/>
      <c r="AV2569" s="6" t="str">
        <f t="shared" ref="AV2569:AV2579" si="50">IF(A2569&lt;&gt;"",IF(T2569&lt;&gt;"",IF(LEFT(R2569,3)="Has",IF(TRIM(A2569)&lt;&gt;T2569,"ERROR","OK"),""),""),"")</f>
        <v/>
      </c>
    </row>
    <row r="2570" spans="1:48" s="17" customFormat="1" ht="11.65" x14ac:dyDescent="0.35">
      <c r="A2570" s="34" t="s">
        <v>5747</v>
      </c>
      <c r="C2570" s="18"/>
      <c r="D2570" s="18"/>
      <c r="E2570" s="18"/>
      <c r="F2570" s="18"/>
      <c r="G2570" s="18"/>
      <c r="H2570" s="18"/>
      <c r="J2570" s="18" t="s">
        <v>2473</v>
      </c>
      <c r="K2570" s="18" t="s">
        <v>2473</v>
      </c>
      <c r="M2570" s="145"/>
      <c r="N2570" s="8"/>
      <c r="O2570" s="8"/>
      <c r="P2570" s="8"/>
      <c r="Q2570" s="8"/>
      <c r="R2570" s="8"/>
      <c r="S2570" s="8"/>
      <c r="T2570" s="8"/>
      <c r="U2570" s="8"/>
      <c r="V2570" s="8"/>
      <c r="W2570" s="8"/>
      <c r="X2570" s="8"/>
      <c r="Y2570" s="145"/>
      <c r="Z2570" s="8"/>
      <c r="AA2570" s="8"/>
      <c r="AB2570" s="8"/>
      <c r="AC2570" s="8"/>
      <c r="AD2570" s="8"/>
      <c r="AE2570" s="154"/>
      <c r="AF2570" s="154"/>
      <c r="AG2570" s="8"/>
      <c r="AH2570" s="8"/>
      <c r="AI2570" s="8"/>
      <c r="AJ2570" s="8"/>
      <c r="AK2570" s="8"/>
      <c r="AL2570" s="8"/>
      <c r="AM2570" s="8"/>
      <c r="AN2570" s="8"/>
      <c r="AO2570" s="8"/>
      <c r="AP2570" s="8"/>
      <c r="AQ2570" s="8"/>
      <c r="AR2570" s="284"/>
      <c r="AS2570" s="262" t="s">
        <v>5751</v>
      </c>
      <c r="AT2570" s="8"/>
      <c r="AU2570" s="6"/>
      <c r="AV2570" s="6" t="str">
        <f t="shared" si="50"/>
        <v/>
      </c>
    </row>
    <row r="2571" spans="1:48" s="76" customFormat="1" ht="11.65" x14ac:dyDescent="0.35">
      <c r="A2571" s="75"/>
      <c r="C2571" s="77"/>
      <c r="D2571" s="77"/>
      <c r="E2571" s="77"/>
      <c r="F2571" s="77"/>
      <c r="G2571" s="77"/>
      <c r="H2571" s="77"/>
      <c r="I2571" s="77"/>
      <c r="J2571" s="77"/>
      <c r="K2571" s="77"/>
      <c r="L2571" s="77"/>
      <c r="M2571" s="148"/>
      <c r="N2571" s="78"/>
      <c r="O2571" s="78"/>
      <c r="P2571" s="78"/>
      <c r="Q2571" s="78"/>
      <c r="R2571" s="78"/>
      <c r="S2571" s="78"/>
      <c r="T2571" s="78"/>
      <c r="U2571" s="78"/>
      <c r="V2571" s="78"/>
      <c r="W2571" s="78"/>
      <c r="X2571" s="78"/>
      <c r="Y2571" s="148"/>
      <c r="Z2571" s="78"/>
      <c r="AA2571" s="78"/>
      <c r="AB2571" s="78"/>
      <c r="AC2571" s="78"/>
      <c r="AD2571" s="78"/>
      <c r="AE2571" s="156"/>
      <c r="AF2571" s="156"/>
      <c r="AG2571" s="78"/>
      <c r="AH2571" s="78"/>
      <c r="AI2571" s="78"/>
      <c r="AJ2571" s="78"/>
      <c r="AK2571" s="78"/>
      <c r="AL2571" s="78"/>
      <c r="AM2571" s="78"/>
      <c r="AN2571" s="78"/>
      <c r="AO2571" s="78"/>
      <c r="AP2571" s="78"/>
      <c r="AQ2571" s="78"/>
      <c r="AR2571" s="286"/>
      <c r="AS2571" s="78"/>
      <c r="AT2571" s="78"/>
      <c r="AU2571" s="8"/>
      <c r="AV2571" s="6" t="str">
        <f t="shared" si="50"/>
        <v/>
      </c>
    </row>
    <row r="2572" spans="1:48" s="17" customFormat="1" ht="11.65" x14ac:dyDescent="0.35">
      <c r="A2572" s="27" t="s">
        <v>5735</v>
      </c>
      <c r="C2572" s="18"/>
      <c r="D2572" s="18"/>
      <c r="E2572" s="18"/>
      <c r="F2572" s="18"/>
      <c r="G2572" s="18"/>
      <c r="H2572" s="18"/>
      <c r="J2572" s="18" t="s">
        <v>2473</v>
      </c>
      <c r="K2572" s="18" t="s">
        <v>2473</v>
      </c>
      <c r="M2572" s="145"/>
      <c r="N2572" s="8"/>
      <c r="O2572" s="8"/>
      <c r="P2572" s="8"/>
      <c r="Q2572" s="8"/>
      <c r="R2572" s="8"/>
      <c r="S2572" s="8"/>
      <c r="T2572" s="8"/>
      <c r="U2572" s="8"/>
      <c r="V2572" s="8"/>
      <c r="W2572" s="8"/>
      <c r="X2572" s="8"/>
      <c r="Y2572" s="145"/>
      <c r="Z2572" s="185"/>
      <c r="AA2572" s="185"/>
      <c r="AB2572" s="185"/>
      <c r="AC2572" s="185"/>
      <c r="AD2572" s="185"/>
      <c r="AE2572" s="186"/>
      <c r="AF2572" s="186"/>
      <c r="AG2572" s="185"/>
      <c r="AH2572" s="185"/>
      <c r="AI2572" s="185"/>
      <c r="AJ2572" s="185"/>
      <c r="AK2572" s="185"/>
      <c r="AL2572" s="185"/>
      <c r="AM2572" s="185"/>
      <c r="AN2572" s="185"/>
      <c r="AO2572" s="185"/>
      <c r="AP2572" s="185"/>
      <c r="AQ2572" s="185"/>
      <c r="AR2572" s="291"/>
      <c r="AS2572" s="262" t="s">
        <v>5751</v>
      </c>
      <c r="AT2572" s="185"/>
      <c r="AU2572" s="6"/>
      <c r="AV2572" s="6" t="str">
        <f t="shared" si="50"/>
        <v/>
      </c>
    </row>
    <row r="2573" spans="1:48" s="17" customFormat="1" ht="14" customHeight="1" x14ac:dyDescent="0.35">
      <c r="A2573" s="323" t="s">
        <v>5661</v>
      </c>
      <c r="B2573" s="324"/>
      <c r="C2573" s="324"/>
      <c r="D2573" s="324"/>
      <c r="E2573" s="324"/>
      <c r="F2573" s="324"/>
      <c r="G2573" s="101"/>
      <c r="H2573" s="101"/>
      <c r="J2573" s="18" t="s">
        <v>2473</v>
      </c>
      <c r="K2573" s="18" t="s">
        <v>2473</v>
      </c>
      <c r="M2573" s="145"/>
      <c r="N2573" s="8"/>
      <c r="O2573" s="8"/>
      <c r="P2573" s="8"/>
      <c r="Q2573" s="8"/>
      <c r="R2573" s="8"/>
      <c r="S2573" s="8"/>
      <c r="T2573" s="8"/>
      <c r="U2573" s="8"/>
      <c r="V2573" s="8"/>
      <c r="W2573" s="8"/>
      <c r="X2573" s="8"/>
      <c r="Y2573" s="145"/>
      <c r="Z2573" s="183"/>
      <c r="AA2573" s="183"/>
      <c r="AB2573" s="183"/>
      <c r="AC2573" s="183"/>
      <c r="AD2573" s="183"/>
      <c r="AE2573" s="184"/>
      <c r="AF2573" s="184"/>
      <c r="AG2573" s="183"/>
      <c r="AH2573" s="183"/>
      <c r="AI2573" s="183"/>
      <c r="AJ2573" s="183"/>
      <c r="AK2573" s="183"/>
      <c r="AL2573" s="183"/>
      <c r="AM2573" s="183"/>
      <c r="AN2573" s="183"/>
      <c r="AO2573" s="183"/>
      <c r="AP2573" s="183"/>
      <c r="AQ2573" s="183"/>
      <c r="AR2573" s="292"/>
      <c r="AS2573" s="262" t="s">
        <v>5751</v>
      </c>
      <c r="AT2573" s="183"/>
      <c r="AU2573" s="6"/>
      <c r="AV2573" s="6" t="str">
        <f t="shared" si="50"/>
        <v/>
      </c>
    </row>
    <row r="2574" spans="1:48" s="17" customFormat="1" ht="12" thickBot="1" x14ac:dyDescent="0.4">
      <c r="A2574" s="28" t="s">
        <v>1748</v>
      </c>
      <c r="C2574" s="18"/>
      <c r="D2574" s="18"/>
      <c r="E2574" s="18"/>
      <c r="F2574" s="18"/>
      <c r="G2574" s="18"/>
      <c r="H2574" s="18"/>
      <c r="J2574" s="18" t="s">
        <v>2473</v>
      </c>
      <c r="K2574" s="18" t="s">
        <v>2473</v>
      </c>
      <c r="M2574" s="145"/>
      <c r="N2574" s="8"/>
      <c r="O2574" s="8"/>
      <c r="P2574" s="8"/>
      <c r="Q2574" s="8"/>
      <c r="R2574" s="8"/>
      <c r="S2574" s="8"/>
      <c r="T2574" s="8"/>
      <c r="U2574" s="8"/>
      <c r="V2574" s="8"/>
      <c r="W2574" s="8"/>
      <c r="X2574" s="8"/>
      <c r="Y2574" s="145"/>
      <c r="Z2574" s="183"/>
      <c r="AA2574" s="183" t="s">
        <v>2322</v>
      </c>
      <c r="AB2574" s="183" t="s">
        <v>1697</v>
      </c>
      <c r="AC2574" s="183" t="s">
        <v>5</v>
      </c>
      <c r="AD2574" s="183"/>
      <c r="AE2574" s="184"/>
      <c r="AF2574" s="184"/>
      <c r="AG2574" s="183"/>
      <c r="AH2574" s="183"/>
      <c r="AI2574" s="183"/>
      <c r="AJ2574" s="183"/>
      <c r="AK2574" s="183"/>
      <c r="AL2574" s="183"/>
      <c r="AM2574" s="183"/>
      <c r="AN2574" s="183"/>
      <c r="AO2574" s="183"/>
      <c r="AP2574" s="183"/>
      <c r="AQ2574" s="183"/>
      <c r="AR2574" s="292"/>
      <c r="AS2574" s="262" t="s">
        <v>5751</v>
      </c>
      <c r="AT2574" s="183"/>
      <c r="AU2574" s="6"/>
      <c r="AV2574" s="6" t="str">
        <f t="shared" si="50"/>
        <v/>
      </c>
    </row>
    <row r="2575" spans="1:48" s="17" customFormat="1" ht="93.4" thickBot="1" x14ac:dyDescent="0.4">
      <c r="A2575" s="309" t="s">
        <v>5734</v>
      </c>
      <c r="B2575" s="310"/>
      <c r="C2575" s="301" t="s">
        <v>1</v>
      </c>
      <c r="D2575" s="319"/>
      <c r="E2575" s="319"/>
      <c r="F2575" s="302"/>
      <c r="G2575" s="102"/>
      <c r="H2575" s="102"/>
      <c r="J2575" s="18" t="s">
        <v>2473</v>
      </c>
      <c r="K2575" s="18" t="s">
        <v>2473</v>
      </c>
      <c r="M2575" s="145"/>
      <c r="N2575" s="8"/>
      <c r="O2575" s="8"/>
      <c r="P2575" s="8"/>
      <c r="Q2575" s="8"/>
      <c r="R2575" s="8"/>
      <c r="S2575" s="8"/>
      <c r="T2575" s="8"/>
      <c r="U2575" s="8"/>
      <c r="V2575" s="8"/>
      <c r="W2575" s="8"/>
      <c r="X2575" s="8"/>
      <c r="Y2575" s="145"/>
      <c r="Z2575" s="8"/>
      <c r="AA2575" s="183" t="str">
        <f>LEFT($A2575,FIND(" ",$A2575)-1)</f>
        <v>ThermalSubsystem</v>
      </c>
      <c r="AB2575" s="183" t="str">
        <f>MID($A2575,FIND("(",$A2575)+1,LEN($A2575)-FIND("(",$A2575)-1)</f>
        <v>1.2.0</v>
      </c>
      <c r="AC2575" s="101" t="str">
        <f>A2573</f>
        <v>This ThermalSubsystem schema contains the definition for the thermal subsystem of a chassis.</v>
      </c>
      <c r="AD2575" s="8"/>
      <c r="AE2575" s="154"/>
      <c r="AF2575" s="154"/>
      <c r="AG2575" s="8"/>
      <c r="AH2575" s="8"/>
      <c r="AI2575" s="8"/>
      <c r="AJ2575" s="8"/>
      <c r="AK2575" s="8"/>
      <c r="AL2575" s="8"/>
      <c r="AM2575" s="8"/>
      <c r="AN2575" s="8"/>
      <c r="AO2575" s="8"/>
      <c r="AP2575" s="8"/>
      <c r="AQ2575" s="8"/>
      <c r="AR2575" s="284"/>
      <c r="AS2575" s="262" t="s">
        <v>5751</v>
      </c>
      <c r="AT2575" s="8"/>
      <c r="AU2575" s="6"/>
      <c r="AV2575" s="6" t="str">
        <f t="shared" si="50"/>
        <v/>
      </c>
    </row>
    <row r="2576" spans="1:48" s="17" customFormat="1" ht="12" thickBot="1" x14ac:dyDescent="0.4">
      <c r="A2576" s="311"/>
      <c r="B2576" s="312"/>
      <c r="C2576" s="301" t="s">
        <v>2</v>
      </c>
      <c r="D2576" s="302"/>
      <c r="E2576" s="301" t="s">
        <v>3</v>
      </c>
      <c r="F2576" s="302"/>
      <c r="G2576" s="301" t="s">
        <v>2896</v>
      </c>
      <c r="H2576" s="302"/>
      <c r="J2576" s="18" t="s">
        <v>2473</v>
      </c>
      <c r="K2576" s="18" t="s">
        <v>2473</v>
      </c>
      <c r="M2576" s="145"/>
      <c r="N2576" s="8"/>
      <c r="O2576" s="8"/>
      <c r="P2576" s="8"/>
      <c r="Q2576" s="8"/>
      <c r="R2576" s="8"/>
      <c r="S2576" s="8"/>
      <c r="T2576" s="8"/>
      <c r="U2576" s="8"/>
      <c r="V2576" s="8"/>
      <c r="W2576" s="8"/>
      <c r="X2576" s="8"/>
      <c r="Y2576" s="145"/>
      <c r="Z2576" s="8"/>
      <c r="AA2576" s="8"/>
      <c r="AB2576" s="8"/>
      <c r="AC2576" s="8"/>
      <c r="AD2576" s="8"/>
      <c r="AE2576" s="154"/>
      <c r="AF2576" s="154"/>
      <c r="AG2576" s="8"/>
      <c r="AH2576" s="8"/>
      <c r="AI2576" s="8"/>
      <c r="AJ2576" s="8"/>
      <c r="AK2576" s="8"/>
      <c r="AL2576" s="8"/>
      <c r="AM2576" s="8" t="str">
        <f>C2576</f>
        <v>OSM-Redfish</v>
      </c>
      <c r="AN2576" s="8" t="str">
        <f>E2576</f>
        <v>OSM-RedfishBMC</v>
      </c>
      <c r="AO2576" s="8" t="str">
        <f>G2576</f>
        <v>OSM-RedfishDCN</v>
      </c>
      <c r="AP2576" s="8"/>
      <c r="AQ2576" s="8"/>
      <c r="AR2576" s="284"/>
      <c r="AS2576" s="262" t="s">
        <v>5751</v>
      </c>
      <c r="AT2576" s="8"/>
      <c r="AU2576" s="6"/>
      <c r="AV2576" s="6" t="str">
        <f t="shared" si="50"/>
        <v/>
      </c>
    </row>
    <row r="2577" spans="1:48" s="17" customFormat="1" ht="12" thickBot="1" x14ac:dyDescent="0.4">
      <c r="A2577" s="46" t="s">
        <v>2377</v>
      </c>
      <c r="B2577" s="47"/>
      <c r="C2577" s="303" t="s">
        <v>13</v>
      </c>
      <c r="D2577" s="304"/>
      <c r="E2577" s="303" t="s">
        <v>13</v>
      </c>
      <c r="F2577" s="304"/>
      <c r="G2577" s="303" t="s">
        <v>13</v>
      </c>
      <c r="H2577" s="304"/>
      <c r="J2577" s="18" t="s">
        <v>2473</v>
      </c>
      <c r="K2577" s="18" t="s">
        <v>2473</v>
      </c>
      <c r="M2577" s="145"/>
      <c r="N2577" s="8"/>
      <c r="O2577" s="8"/>
      <c r="P2577" s="8"/>
      <c r="Q2577" s="8"/>
      <c r="R2577" s="8"/>
      <c r="S2577" s="8"/>
      <c r="T2577" s="8"/>
      <c r="U2577" s="8"/>
      <c r="V2577" s="8"/>
      <c r="W2577" s="8"/>
      <c r="X2577" s="8"/>
      <c r="Y2577" s="145"/>
      <c r="Z2577" s="185"/>
      <c r="AA2577" s="185"/>
      <c r="AB2577" s="185"/>
      <c r="AC2577" s="185"/>
      <c r="AD2577" s="185"/>
      <c r="AE2577" s="186"/>
      <c r="AF2577" s="186"/>
      <c r="AG2577" s="185"/>
      <c r="AH2577" s="185"/>
      <c r="AI2577" s="185"/>
      <c r="AJ2577" s="185"/>
      <c r="AK2577" s="185"/>
      <c r="AL2577" s="185"/>
      <c r="AM2577" s="8" t="str">
        <f>IF(C2577&lt;&gt;"","CRQ-P5-"&amp;(AM$2+$AP2577*$AP$3),"")</f>
        <v>CRQ-P5-1032</v>
      </c>
      <c r="AN2577" s="8" t="str">
        <f>IF(E2577&lt;&gt;"","CRQ-P5-"&amp;(AN$2+$AP2577*$AP$3),"")</f>
        <v>CRQ-P5-1332</v>
      </c>
      <c r="AO2577" s="8" t="str">
        <f>IF(G2577&lt;&gt;"","CRQ-P5-"&amp;(AO$2+$AP2577*$AP$3),"")</f>
        <v>CRQ-P5-1632</v>
      </c>
      <c r="AP2577" s="185">
        <v>8</v>
      </c>
      <c r="AQ2577" s="185"/>
      <c r="AR2577" s="291"/>
      <c r="AS2577" s="262" t="s">
        <v>5751</v>
      </c>
      <c r="AT2577" s="185"/>
      <c r="AU2577" s="6"/>
      <c r="AV2577" s="6" t="str">
        <f t="shared" si="50"/>
        <v/>
      </c>
    </row>
    <row r="2578" spans="1:48" s="17" customFormat="1" ht="12" thickBot="1" x14ac:dyDescent="0.4">
      <c r="A2578" s="29" t="s">
        <v>3394</v>
      </c>
      <c r="B2578" s="9"/>
      <c r="C2578" s="305" t="str">
        <f>MID(A2575,FIND("(",A2575)+1,5)</f>
        <v>1.2.0</v>
      </c>
      <c r="D2578" s="306"/>
      <c r="E2578" s="305" t="str">
        <f>MID(A2575,FIND("(",A2575)+1,5)</f>
        <v>1.2.0</v>
      </c>
      <c r="F2578" s="306"/>
      <c r="G2578" s="305" t="str">
        <f>MID(A2575,FIND("(",A2575)+1,5)</f>
        <v>1.2.0</v>
      </c>
      <c r="H2578" s="306"/>
      <c r="J2578" s="18" t="s">
        <v>2473</v>
      </c>
      <c r="K2578" s="18" t="s">
        <v>2473</v>
      </c>
      <c r="M2578" s="145"/>
      <c r="N2578" s="8"/>
      <c r="O2578" s="8"/>
      <c r="P2578" s="8"/>
      <c r="Q2578" s="8"/>
      <c r="R2578" s="8"/>
      <c r="S2578" s="8"/>
      <c r="T2578" s="8"/>
      <c r="U2578" s="8"/>
      <c r="V2578" s="8"/>
      <c r="W2578" s="8"/>
      <c r="X2578" s="8"/>
      <c r="Y2578" s="145"/>
      <c r="Z2578" s="185"/>
      <c r="AA2578" s="185"/>
      <c r="AB2578" s="185"/>
      <c r="AC2578" s="185"/>
      <c r="AD2578" s="185"/>
      <c r="AE2578" s="186"/>
      <c r="AF2578" s="186"/>
      <c r="AG2578" s="185"/>
      <c r="AH2578" s="185"/>
      <c r="AI2578" s="185"/>
      <c r="AJ2578" s="185"/>
      <c r="AK2578" s="185"/>
      <c r="AL2578" s="185"/>
      <c r="AM2578" s="185"/>
      <c r="AN2578" s="185"/>
      <c r="AO2578" s="185"/>
      <c r="AP2578" s="185"/>
      <c r="AQ2578" s="185"/>
      <c r="AR2578" s="291"/>
      <c r="AS2578" s="262" t="s">
        <v>5751</v>
      </c>
      <c r="AT2578" s="185"/>
      <c r="AU2578" s="6"/>
      <c r="AV2578" s="6" t="str">
        <f t="shared" si="50"/>
        <v/>
      </c>
    </row>
    <row r="2579" spans="1:48" s="17" customFormat="1" ht="15" customHeight="1" thickBot="1" x14ac:dyDescent="0.4">
      <c r="A2579" s="30" t="s">
        <v>4</v>
      </c>
      <c r="B2579" s="59" t="s">
        <v>5</v>
      </c>
      <c r="C2579" s="7" t="s">
        <v>6</v>
      </c>
      <c r="D2579" s="7" t="s">
        <v>7</v>
      </c>
      <c r="E2579" s="7" t="s">
        <v>6</v>
      </c>
      <c r="F2579" s="7" t="s">
        <v>7</v>
      </c>
      <c r="G2579" s="7" t="s">
        <v>6</v>
      </c>
      <c r="H2579" s="7" t="s">
        <v>7</v>
      </c>
      <c r="J2579" s="18" t="s">
        <v>2473</v>
      </c>
      <c r="K2579" s="18" t="s">
        <v>2473</v>
      </c>
      <c r="M2579" s="145"/>
      <c r="N2579" s="8"/>
      <c r="O2579" s="8"/>
      <c r="P2579" s="8"/>
      <c r="Q2579" s="8"/>
      <c r="R2579" s="8"/>
      <c r="S2579" s="8"/>
      <c r="T2579" s="8"/>
      <c r="U2579" s="8"/>
      <c r="V2579" s="8"/>
      <c r="W2579" s="8"/>
      <c r="X2579" s="8"/>
      <c r="Y2579" s="145"/>
      <c r="Z2579" s="183"/>
      <c r="AA2579" s="183"/>
      <c r="AB2579" s="183"/>
      <c r="AC2579" s="183"/>
      <c r="AD2579" s="183"/>
      <c r="AE2579" s="184"/>
      <c r="AF2579" s="184"/>
      <c r="AG2579" s="183"/>
      <c r="AH2579" s="183"/>
      <c r="AI2579" s="183"/>
      <c r="AJ2579" s="183"/>
      <c r="AK2579" s="183"/>
      <c r="AL2579" s="183"/>
      <c r="AM2579" s="183"/>
      <c r="AN2579" s="183"/>
      <c r="AO2579" s="183"/>
      <c r="AP2579" s="183"/>
      <c r="AQ2579" s="183"/>
      <c r="AR2579" s="292"/>
      <c r="AS2579" s="262" t="s">
        <v>5751</v>
      </c>
      <c r="AT2579" s="183"/>
      <c r="AU2579" s="6"/>
      <c r="AV2579" s="6" t="str">
        <f t="shared" si="50"/>
        <v/>
      </c>
    </row>
    <row r="2580" spans="1:48" s="17" customFormat="1" ht="23.65" thickBot="1" x14ac:dyDescent="0.4">
      <c r="A2580" s="255" t="s">
        <v>5662</v>
      </c>
      <c r="B2580" s="50" t="s">
        <v>5663</v>
      </c>
      <c r="C2580" s="21"/>
      <c r="D2580" s="21"/>
      <c r="E2580" s="21"/>
      <c r="F2580" s="21"/>
      <c r="G2580" s="21"/>
      <c r="H2580" s="21"/>
      <c r="J2580" s="18" t="s">
        <v>2473</v>
      </c>
      <c r="K2580" s="18" t="s">
        <v>2473</v>
      </c>
      <c r="M2580" s="248"/>
      <c r="Y2580" s="145"/>
      <c r="AR2580" s="290"/>
      <c r="AS2580" s="262" t="s">
        <v>5751</v>
      </c>
    </row>
    <row r="2581" spans="1:48" s="17" customFormat="1" ht="23.65" thickBot="1" x14ac:dyDescent="0.4">
      <c r="A2581" s="256" t="s">
        <v>33</v>
      </c>
      <c r="B2581" s="50" t="s">
        <v>5664</v>
      </c>
      <c r="C2581" s="21"/>
      <c r="D2581" s="21"/>
      <c r="E2581" s="21"/>
      <c r="F2581" s="21"/>
      <c r="G2581" s="21"/>
      <c r="H2581" s="21"/>
      <c r="J2581" s="18" t="s">
        <v>2473</v>
      </c>
      <c r="K2581" s="18" t="s">
        <v>2473</v>
      </c>
      <c r="M2581" s="248"/>
      <c r="Y2581" s="145"/>
      <c r="AR2581" s="290"/>
      <c r="AS2581" s="262" t="s">
        <v>5751</v>
      </c>
    </row>
    <row r="2582" spans="1:48" s="17" customFormat="1" ht="40.9" thickBot="1" x14ac:dyDescent="0.4">
      <c r="A2582" s="255" t="s">
        <v>5665</v>
      </c>
      <c r="B2582" s="50" t="s">
        <v>5666</v>
      </c>
      <c r="C2582" s="21"/>
      <c r="D2582" s="21"/>
      <c r="E2582" s="21" t="s">
        <v>37</v>
      </c>
      <c r="F2582" s="21"/>
      <c r="G2582" s="21" t="s">
        <v>37</v>
      </c>
      <c r="H2582" s="21"/>
      <c r="J2582" s="18" t="s">
        <v>2473</v>
      </c>
      <c r="K2582" s="18" t="s">
        <v>2473</v>
      </c>
      <c r="M2582" s="248"/>
      <c r="Y2582" s="145"/>
      <c r="AR2582" s="290"/>
      <c r="AS2582" s="262" t="s">
        <v>5847</v>
      </c>
    </row>
    <row r="2583" spans="1:48" s="17" customFormat="1" ht="23.65" thickBot="1" x14ac:dyDescent="0.4">
      <c r="A2583" s="256" t="s">
        <v>5480</v>
      </c>
      <c r="B2583" s="50" t="s">
        <v>5481</v>
      </c>
      <c r="C2583" s="21"/>
      <c r="D2583" s="21"/>
      <c r="E2583" s="21"/>
      <c r="F2583" s="21"/>
      <c r="G2583" s="21"/>
      <c r="H2583" s="21"/>
      <c r="J2583" s="18" t="s">
        <v>2473</v>
      </c>
      <c r="K2583" s="18" t="s">
        <v>2473</v>
      </c>
      <c r="M2583" s="248"/>
      <c r="Y2583" s="145"/>
      <c r="AR2583" s="290"/>
      <c r="AS2583" s="262" t="s">
        <v>5751</v>
      </c>
    </row>
    <row r="2584" spans="1:48" s="17" customFormat="1" ht="23.65" thickBot="1" x14ac:dyDescent="0.4">
      <c r="A2584" s="256" t="s">
        <v>5482</v>
      </c>
      <c r="B2584" s="50" t="s">
        <v>5483</v>
      </c>
      <c r="C2584" s="21"/>
      <c r="D2584" s="21"/>
      <c r="E2584" s="21"/>
      <c r="F2584" s="21"/>
      <c r="G2584" s="21"/>
      <c r="H2584" s="21"/>
      <c r="J2584" s="18" t="s">
        <v>2473</v>
      </c>
      <c r="K2584" s="18" t="s">
        <v>2473</v>
      </c>
      <c r="M2584" s="248"/>
      <c r="Y2584" s="145"/>
      <c r="AR2584" s="290"/>
      <c r="AS2584" s="262" t="s">
        <v>5751</v>
      </c>
    </row>
    <row r="2585" spans="1:48" s="17" customFormat="1" ht="12" thickBot="1" x14ac:dyDescent="0.4">
      <c r="A2585" s="256" t="s">
        <v>5484</v>
      </c>
      <c r="B2585" s="50" t="s">
        <v>5485</v>
      </c>
      <c r="C2585" s="21"/>
      <c r="D2585" s="21"/>
      <c r="E2585" s="21"/>
      <c r="F2585" s="21"/>
      <c r="G2585" s="21"/>
      <c r="H2585" s="21"/>
      <c r="J2585" s="18" t="s">
        <v>2473</v>
      </c>
      <c r="K2585" s="18" t="s">
        <v>2473</v>
      </c>
      <c r="M2585" s="248"/>
      <c r="Y2585" s="145"/>
      <c r="AR2585" s="290"/>
      <c r="AS2585" s="262" t="s">
        <v>5751</v>
      </c>
    </row>
    <row r="2586" spans="1:48" s="17" customFormat="1" ht="12" thickBot="1" x14ac:dyDescent="0.4">
      <c r="A2586" s="256" t="s">
        <v>43</v>
      </c>
      <c r="B2586" s="50" t="s">
        <v>5486</v>
      </c>
      <c r="C2586" s="21"/>
      <c r="D2586" s="21"/>
      <c r="E2586" s="21"/>
      <c r="F2586" s="21"/>
      <c r="G2586" s="21"/>
      <c r="H2586" s="21"/>
      <c r="J2586" s="18" t="s">
        <v>2473</v>
      </c>
      <c r="K2586" s="18" t="s">
        <v>2473</v>
      </c>
      <c r="M2586" s="248"/>
      <c r="Y2586" s="145"/>
      <c r="AR2586" s="290"/>
      <c r="AS2586" s="262" t="s">
        <v>5751</v>
      </c>
    </row>
    <row r="2587" spans="1:48" s="17" customFormat="1" ht="23.65" thickBot="1" x14ac:dyDescent="0.4">
      <c r="A2587" s="256" t="s">
        <v>5487</v>
      </c>
      <c r="B2587" s="50" t="s">
        <v>5667</v>
      </c>
      <c r="C2587" s="256"/>
      <c r="D2587" s="21"/>
      <c r="E2587" s="21"/>
      <c r="F2587" s="21"/>
      <c r="G2587" s="21"/>
      <c r="H2587" s="21"/>
      <c r="J2587" s="18" t="s">
        <v>2473</v>
      </c>
      <c r="K2587" s="18" t="s">
        <v>2473</v>
      </c>
      <c r="M2587" s="248"/>
      <c r="Y2587" s="145"/>
      <c r="AR2587" s="290"/>
      <c r="AS2587" s="262" t="s">
        <v>5751</v>
      </c>
    </row>
    <row r="2588" spans="1:48" s="17" customFormat="1" ht="12" thickBot="1" x14ac:dyDescent="0.4">
      <c r="A2588" s="256" t="s">
        <v>33</v>
      </c>
      <c r="B2588" s="50" t="s">
        <v>5669</v>
      </c>
      <c r="C2588" s="21"/>
      <c r="D2588" s="21"/>
      <c r="E2588" s="21"/>
      <c r="F2588" s="21"/>
      <c r="G2588" s="21"/>
      <c r="H2588" s="21"/>
      <c r="J2588" s="18" t="s">
        <v>2473</v>
      </c>
      <c r="K2588" s="18" t="s">
        <v>2473</v>
      </c>
      <c r="M2588" s="248"/>
      <c r="Y2588" s="145"/>
      <c r="AR2588" s="290"/>
      <c r="AS2588" s="262" t="s">
        <v>5751</v>
      </c>
    </row>
    <row r="2589" spans="1:48" s="17" customFormat="1" ht="40.9" thickBot="1" x14ac:dyDescent="0.4">
      <c r="A2589" s="255" t="s">
        <v>2154</v>
      </c>
      <c r="B2589" s="50" t="s">
        <v>5668</v>
      </c>
      <c r="C2589" s="21"/>
      <c r="D2589" s="21"/>
      <c r="E2589" s="21" t="s">
        <v>37</v>
      </c>
      <c r="F2589" s="21"/>
      <c r="G2589" s="21" t="s">
        <v>37</v>
      </c>
      <c r="H2589" s="21"/>
      <c r="J2589" s="18" t="s">
        <v>2473</v>
      </c>
      <c r="K2589" s="18" t="s">
        <v>2473</v>
      </c>
      <c r="M2589" s="248"/>
      <c r="Y2589" s="145"/>
      <c r="AR2589" s="290"/>
      <c r="AS2589" s="262" t="s">
        <v>5847</v>
      </c>
    </row>
    <row r="2590" spans="1:48" s="17" customFormat="1" ht="23.65" thickBot="1" x14ac:dyDescent="0.4">
      <c r="A2590" s="255" t="s">
        <v>5670</v>
      </c>
      <c r="B2590" s="50" t="s">
        <v>5671</v>
      </c>
      <c r="C2590" s="21"/>
      <c r="D2590" s="21"/>
      <c r="E2590" s="21"/>
      <c r="F2590" s="21"/>
      <c r="G2590" s="21"/>
      <c r="H2590" s="21"/>
      <c r="J2590" s="18" t="s">
        <v>2473</v>
      </c>
      <c r="K2590" s="18" t="s">
        <v>2473</v>
      </c>
      <c r="M2590" s="248"/>
      <c r="Y2590" s="145"/>
      <c r="AR2590" s="290"/>
      <c r="AS2590" s="262" t="s">
        <v>5751</v>
      </c>
    </row>
    <row r="2591" spans="1:48" s="17" customFormat="1" ht="12" thickBot="1" x14ac:dyDescent="0.4">
      <c r="A2591" s="256" t="s">
        <v>33</v>
      </c>
      <c r="B2591" s="72" t="s">
        <v>5721</v>
      </c>
      <c r="C2591" s="21"/>
      <c r="D2591" s="21"/>
      <c r="E2591" s="21"/>
      <c r="F2591" s="21"/>
      <c r="G2591" s="21"/>
      <c r="H2591" s="21"/>
      <c r="J2591" s="18" t="s">
        <v>2473</v>
      </c>
      <c r="K2591" s="18" t="s">
        <v>2473</v>
      </c>
      <c r="M2591" s="248"/>
      <c r="Y2591" s="145"/>
      <c r="AR2591" s="290"/>
      <c r="AS2591" s="262" t="s">
        <v>5751</v>
      </c>
    </row>
    <row r="2592" spans="1:48" s="17" customFormat="1" ht="51" thickBot="1" x14ac:dyDescent="0.4">
      <c r="A2592" s="255" t="s">
        <v>145</v>
      </c>
      <c r="B2592" s="50" t="s">
        <v>5431</v>
      </c>
      <c r="C2592" s="21"/>
      <c r="D2592" s="21"/>
      <c r="E2592" s="21" t="s">
        <v>10</v>
      </c>
      <c r="F2592" s="21"/>
      <c r="G2592" s="21" t="s">
        <v>10</v>
      </c>
      <c r="H2592" s="21"/>
      <c r="J2592" s="18" t="s">
        <v>2473</v>
      </c>
      <c r="K2592" s="18" t="s">
        <v>2473</v>
      </c>
      <c r="M2592" s="248"/>
      <c r="Y2592" s="145"/>
      <c r="AR2592" s="290"/>
      <c r="AS2592" s="263" t="s">
        <v>5871</v>
      </c>
    </row>
    <row r="2593" spans="1:45" s="17" customFormat="1" ht="12" thickBot="1" x14ac:dyDescent="0.4">
      <c r="A2593" s="256" t="s">
        <v>5432</v>
      </c>
      <c r="B2593" s="50" t="s">
        <v>5433</v>
      </c>
      <c r="C2593" s="21"/>
      <c r="D2593" s="21"/>
      <c r="E2593" s="21"/>
      <c r="F2593" s="21"/>
      <c r="G2593" s="21"/>
      <c r="H2593" s="21"/>
      <c r="J2593" s="18" t="s">
        <v>2473</v>
      </c>
      <c r="K2593" s="18" t="s">
        <v>2473</v>
      </c>
      <c r="M2593" s="248"/>
      <c r="Y2593" s="145"/>
      <c r="AR2593" s="290"/>
      <c r="AS2593" s="262" t="s">
        <v>5751</v>
      </c>
    </row>
    <row r="2594" spans="1:45" s="17" customFormat="1" ht="12" thickBot="1" x14ac:dyDescent="0.4">
      <c r="A2594" s="256" t="s">
        <v>5434</v>
      </c>
      <c r="B2594" s="50" t="s">
        <v>5435</v>
      </c>
      <c r="C2594" s="21"/>
      <c r="D2594" s="21"/>
      <c r="E2594" s="21"/>
      <c r="F2594" s="21"/>
      <c r="G2594" s="21"/>
      <c r="H2594" s="21"/>
      <c r="J2594" s="18" t="s">
        <v>2473</v>
      </c>
      <c r="K2594" s="18" t="s">
        <v>2473</v>
      </c>
      <c r="M2594" s="248"/>
      <c r="Y2594" s="145"/>
      <c r="AR2594" s="290"/>
      <c r="AS2594" s="262" t="s">
        <v>5751</v>
      </c>
    </row>
    <row r="2595" spans="1:45" s="17" customFormat="1" ht="12" thickBot="1" x14ac:dyDescent="0.4">
      <c r="A2595" s="256" t="s">
        <v>1994</v>
      </c>
      <c r="B2595" s="50" t="s">
        <v>5436</v>
      </c>
      <c r="C2595" s="21"/>
      <c r="D2595" s="21"/>
      <c r="E2595" s="21"/>
      <c r="F2595" s="21"/>
      <c r="G2595" s="21"/>
      <c r="H2595" s="21"/>
      <c r="J2595" s="18" t="s">
        <v>2473</v>
      </c>
      <c r="K2595" s="18" t="s">
        <v>2473</v>
      </c>
      <c r="M2595" s="248"/>
      <c r="Y2595" s="145"/>
      <c r="AR2595" s="290"/>
      <c r="AS2595" s="262" t="s">
        <v>5751</v>
      </c>
    </row>
    <row r="2596" spans="1:45" s="17" customFormat="1" ht="12" thickBot="1" x14ac:dyDescent="0.4">
      <c r="A2596" s="256" t="s">
        <v>5437</v>
      </c>
      <c r="B2596" s="50" t="s">
        <v>5438</v>
      </c>
      <c r="C2596" s="21"/>
      <c r="D2596" s="21"/>
      <c r="E2596" s="21"/>
      <c r="F2596" s="21"/>
      <c r="G2596" s="21"/>
      <c r="H2596" s="21"/>
      <c r="J2596" s="18" t="s">
        <v>2473</v>
      </c>
      <c r="K2596" s="18" t="s">
        <v>2473</v>
      </c>
      <c r="M2596" s="248"/>
      <c r="Y2596" s="145"/>
      <c r="AR2596" s="290"/>
      <c r="AS2596" s="262" t="s">
        <v>5751</v>
      </c>
    </row>
    <row r="2597" spans="1:45" s="17" customFormat="1" ht="23.65" thickBot="1" x14ac:dyDescent="0.4">
      <c r="A2597" s="256" t="s">
        <v>5439</v>
      </c>
      <c r="B2597" s="50" t="s">
        <v>5440</v>
      </c>
      <c r="C2597" s="21"/>
      <c r="D2597" s="21"/>
      <c r="E2597" s="21"/>
      <c r="F2597" s="21"/>
      <c r="G2597" s="21"/>
      <c r="H2597" s="21"/>
      <c r="J2597" s="18" t="s">
        <v>2473</v>
      </c>
      <c r="K2597" s="18" t="s">
        <v>2473</v>
      </c>
      <c r="M2597" s="248"/>
      <c r="Y2597" s="145"/>
      <c r="AR2597" s="290"/>
      <c r="AS2597" s="262" t="s">
        <v>5751</v>
      </c>
    </row>
    <row r="2598" spans="1:45" s="17" customFormat="1" ht="12" thickBot="1" x14ac:dyDescent="0.4">
      <c r="A2598" s="256" t="s">
        <v>5441</v>
      </c>
      <c r="B2598" s="50" t="s">
        <v>5442</v>
      </c>
      <c r="C2598" s="21"/>
      <c r="D2598" s="21"/>
      <c r="E2598" s="21"/>
      <c r="F2598" s="21"/>
      <c r="G2598" s="21"/>
      <c r="H2598" s="21"/>
      <c r="J2598" s="18" t="s">
        <v>2473</v>
      </c>
      <c r="K2598" s="18" t="s">
        <v>2473</v>
      </c>
      <c r="M2598" s="248"/>
      <c r="Y2598" s="145"/>
      <c r="AR2598" s="290"/>
      <c r="AS2598" s="262" t="s">
        <v>5751</v>
      </c>
    </row>
    <row r="2599" spans="1:45" s="17" customFormat="1" ht="12" thickBot="1" x14ac:dyDescent="0.4">
      <c r="A2599" s="256" t="s">
        <v>5443</v>
      </c>
      <c r="B2599" s="50" t="s">
        <v>5444</v>
      </c>
      <c r="C2599" s="21"/>
      <c r="D2599" s="21"/>
      <c r="E2599" s="21"/>
      <c r="F2599" s="21"/>
      <c r="G2599" s="21"/>
      <c r="H2599" s="21"/>
      <c r="J2599" s="18" t="s">
        <v>2473</v>
      </c>
      <c r="K2599" s="18" t="s">
        <v>2473</v>
      </c>
      <c r="M2599" s="248"/>
      <c r="Y2599" s="145"/>
      <c r="AR2599" s="290"/>
      <c r="AS2599" s="262" t="s">
        <v>5751</v>
      </c>
    </row>
    <row r="2600" spans="1:45" s="17" customFormat="1" ht="12" thickBot="1" x14ac:dyDescent="0.4">
      <c r="A2600" s="256" t="s">
        <v>1994</v>
      </c>
      <c r="B2600" s="50" t="s">
        <v>84</v>
      </c>
      <c r="C2600" s="21"/>
      <c r="D2600" s="21"/>
      <c r="E2600" s="21"/>
      <c r="F2600" s="21"/>
      <c r="G2600" s="21"/>
      <c r="H2600" s="21"/>
      <c r="J2600" s="18" t="s">
        <v>2473</v>
      </c>
      <c r="K2600" s="18" t="s">
        <v>2473</v>
      </c>
      <c r="M2600" s="248"/>
      <c r="Y2600" s="145"/>
      <c r="AR2600" s="290"/>
      <c r="AS2600" s="262" t="s">
        <v>5751</v>
      </c>
    </row>
    <row r="2601" spans="1:45" s="17" customFormat="1" ht="12" thickBot="1" x14ac:dyDescent="0.4">
      <c r="A2601" s="256" t="s">
        <v>5445</v>
      </c>
      <c r="B2601" s="50" t="s">
        <v>5446</v>
      </c>
      <c r="C2601" s="21"/>
      <c r="D2601" s="21"/>
      <c r="E2601" s="21"/>
      <c r="F2601" s="21"/>
      <c r="G2601" s="21"/>
      <c r="H2601" s="21"/>
      <c r="J2601" s="18" t="s">
        <v>2473</v>
      </c>
      <c r="K2601" s="18" t="s">
        <v>2473</v>
      </c>
      <c r="M2601" s="248"/>
      <c r="Y2601" s="145"/>
      <c r="AR2601" s="290"/>
      <c r="AS2601" s="262" t="s">
        <v>5751</v>
      </c>
    </row>
    <row r="2602" spans="1:45" s="17" customFormat="1" ht="23.65" thickBot="1" x14ac:dyDescent="0.4">
      <c r="A2602" s="256" t="s">
        <v>5447</v>
      </c>
      <c r="B2602" s="50" t="s">
        <v>5448</v>
      </c>
      <c r="C2602" s="21"/>
      <c r="D2602" s="21"/>
      <c r="E2602" s="21"/>
      <c r="F2602" s="21"/>
      <c r="G2602" s="21"/>
      <c r="H2602" s="21"/>
      <c r="J2602" s="18" t="s">
        <v>2473</v>
      </c>
      <c r="K2602" s="18" t="s">
        <v>2473</v>
      </c>
      <c r="M2602" s="248"/>
      <c r="Y2602" s="145"/>
      <c r="AR2602" s="290"/>
      <c r="AS2602" s="262" t="s">
        <v>5751</v>
      </c>
    </row>
    <row r="2603" spans="1:45" s="17" customFormat="1" ht="12" thickBot="1" x14ac:dyDescent="0.4">
      <c r="A2603" s="256" t="s">
        <v>5449</v>
      </c>
      <c r="B2603" s="50" t="s">
        <v>5450</v>
      </c>
      <c r="C2603" s="21"/>
      <c r="D2603" s="21"/>
      <c r="E2603" s="21"/>
      <c r="F2603" s="21"/>
      <c r="G2603" s="21"/>
      <c r="H2603" s="21"/>
      <c r="J2603" s="18" t="s">
        <v>2473</v>
      </c>
      <c r="K2603" s="18" t="s">
        <v>2473</v>
      </c>
      <c r="M2603" s="248"/>
      <c r="Y2603" s="145"/>
      <c r="AR2603" s="290"/>
      <c r="AS2603" s="262" t="s">
        <v>5751</v>
      </c>
    </row>
    <row r="2604" spans="1:45" s="17" customFormat="1" ht="40.9" thickBot="1" x14ac:dyDescent="0.4">
      <c r="A2604" s="256" t="s">
        <v>5361</v>
      </c>
      <c r="B2604" s="50" t="s">
        <v>5451</v>
      </c>
      <c r="C2604" s="21"/>
      <c r="D2604" s="21"/>
      <c r="E2604" s="21" t="s">
        <v>10</v>
      </c>
      <c r="F2604" s="21"/>
      <c r="G2604" s="21" t="s">
        <v>10</v>
      </c>
      <c r="H2604" s="21"/>
      <c r="J2604" s="18" t="s">
        <v>2473</v>
      </c>
      <c r="K2604" s="18" t="s">
        <v>2473</v>
      </c>
      <c r="M2604" s="248"/>
      <c r="Y2604" s="145"/>
      <c r="AR2604" s="290"/>
      <c r="AS2604" s="262" t="s">
        <v>5847</v>
      </c>
    </row>
    <row r="2605" spans="1:45" s="17" customFormat="1" ht="23.65" thickBot="1" x14ac:dyDescent="0.4">
      <c r="A2605" s="256" t="s">
        <v>5360</v>
      </c>
      <c r="B2605" s="50" t="s">
        <v>5452</v>
      </c>
      <c r="C2605" s="21"/>
      <c r="D2605" s="21"/>
      <c r="E2605" s="21"/>
      <c r="F2605" s="21"/>
      <c r="G2605" s="21"/>
      <c r="H2605" s="21"/>
      <c r="J2605" s="18" t="s">
        <v>2473</v>
      </c>
      <c r="K2605" s="18" t="s">
        <v>2473</v>
      </c>
      <c r="M2605" s="248"/>
      <c r="Y2605" s="145"/>
      <c r="AR2605" s="290"/>
      <c r="AS2605" s="262" t="s">
        <v>5751</v>
      </c>
    </row>
    <row r="2606" spans="1:45" s="17" customFormat="1" ht="12" thickBot="1" x14ac:dyDescent="0.4">
      <c r="A2606" s="256" t="s">
        <v>59</v>
      </c>
      <c r="B2606" s="50" t="s">
        <v>5423</v>
      </c>
      <c r="C2606" s="21"/>
      <c r="D2606" s="21"/>
      <c r="E2606" s="21"/>
      <c r="F2606" s="21"/>
      <c r="G2606" s="21"/>
      <c r="H2606" s="21"/>
      <c r="J2606" s="18" t="s">
        <v>2473</v>
      </c>
      <c r="K2606" s="18" t="s">
        <v>2473</v>
      </c>
      <c r="M2606" s="248"/>
      <c r="Y2606" s="145"/>
      <c r="AR2606" s="290"/>
      <c r="AS2606" s="262" t="s">
        <v>5751</v>
      </c>
    </row>
    <row r="2607" spans="1:45" s="17" customFormat="1" ht="23.65" thickBot="1" x14ac:dyDescent="0.4">
      <c r="A2607" s="256" t="s">
        <v>2575</v>
      </c>
      <c r="B2607" s="50" t="s">
        <v>5453</v>
      </c>
      <c r="C2607" s="21"/>
      <c r="D2607" s="21"/>
      <c r="E2607" s="21"/>
      <c r="F2607" s="21"/>
      <c r="G2607" s="21"/>
      <c r="H2607" s="21"/>
      <c r="J2607" s="18" t="s">
        <v>2473</v>
      </c>
      <c r="K2607" s="18" t="s">
        <v>2473</v>
      </c>
      <c r="M2607" s="248"/>
      <c r="Y2607" s="145"/>
      <c r="AR2607" s="290"/>
      <c r="AS2607" s="262" t="s">
        <v>5751</v>
      </c>
    </row>
    <row r="2608" spans="1:45" s="17" customFormat="1" ht="40.9" thickBot="1" x14ac:dyDescent="0.4">
      <c r="A2608" s="255" t="s">
        <v>5673</v>
      </c>
      <c r="B2608" s="50" t="s">
        <v>5674</v>
      </c>
      <c r="C2608" s="21"/>
      <c r="D2608" s="21"/>
      <c r="E2608" s="21" t="s">
        <v>13</v>
      </c>
      <c r="F2608" s="21"/>
      <c r="G2608" s="21" t="s">
        <v>13</v>
      </c>
      <c r="H2608" s="21"/>
      <c r="J2608" s="18" t="s">
        <v>2473</v>
      </c>
      <c r="K2608" s="18" t="s">
        <v>2473</v>
      </c>
      <c r="M2608" s="248"/>
      <c r="Y2608" s="145"/>
      <c r="AR2608" s="290"/>
      <c r="AS2608" s="262" t="s">
        <v>5847</v>
      </c>
    </row>
    <row r="2609" spans="1:48" s="17" customFormat="1" ht="23.65" thickBot="1" x14ac:dyDescent="0.4">
      <c r="A2609" s="256" t="s">
        <v>33</v>
      </c>
      <c r="B2609" s="50" t="s">
        <v>5675</v>
      </c>
      <c r="C2609" s="21"/>
      <c r="D2609" s="21"/>
      <c r="E2609" s="21"/>
      <c r="F2609" s="21"/>
      <c r="G2609" s="21"/>
      <c r="H2609" s="21"/>
      <c r="J2609" s="18" t="s">
        <v>2473</v>
      </c>
      <c r="K2609" s="18" t="s">
        <v>2473</v>
      </c>
      <c r="M2609" s="248"/>
      <c r="Y2609" s="145"/>
      <c r="AR2609" s="290"/>
      <c r="AS2609" s="262" t="s">
        <v>5751</v>
      </c>
    </row>
    <row r="2610" spans="1:48" s="17" customFormat="1" ht="11.65" x14ac:dyDescent="0.35">
      <c r="A2610" s="33" t="s">
        <v>5879</v>
      </c>
      <c r="C2610" s="18"/>
      <c r="D2610" s="18"/>
      <c r="E2610" s="18"/>
      <c r="F2610" s="18"/>
      <c r="G2610" s="18"/>
      <c r="H2610" s="18"/>
      <c r="J2610" s="18" t="s">
        <v>2473</v>
      </c>
      <c r="K2610" s="18" t="s">
        <v>2473</v>
      </c>
      <c r="M2610" s="145"/>
      <c r="N2610" s="8"/>
      <c r="O2610" s="8"/>
      <c r="P2610" s="8"/>
      <c r="Q2610" s="8"/>
      <c r="R2610" s="8"/>
      <c r="S2610" s="8"/>
      <c r="T2610" s="8"/>
      <c r="U2610" s="8"/>
      <c r="V2610" s="8"/>
      <c r="W2610" s="8"/>
      <c r="X2610" s="8"/>
      <c r="Y2610" s="145"/>
      <c r="Z2610" s="8"/>
      <c r="AA2610" s="8"/>
      <c r="AB2610" s="8"/>
      <c r="AC2610" s="8"/>
      <c r="AD2610" s="8"/>
      <c r="AE2610" s="154"/>
      <c r="AF2610" s="154"/>
      <c r="AG2610" s="8"/>
      <c r="AH2610" s="8"/>
      <c r="AI2610" s="8"/>
      <c r="AJ2610" s="8"/>
      <c r="AK2610" s="8"/>
      <c r="AL2610" s="8"/>
      <c r="AM2610" s="8"/>
      <c r="AN2610" s="8"/>
      <c r="AO2610" s="8"/>
      <c r="AP2610" s="8"/>
      <c r="AQ2610" s="8"/>
      <c r="AR2610" s="284"/>
      <c r="AS2610" s="262" t="s">
        <v>5751</v>
      </c>
      <c r="AT2610" s="8"/>
      <c r="AU2610" s="6"/>
      <c r="AV2610" s="6" t="str">
        <f t="shared" ref="AV2610:AV2620" si="51">IF(A2610&lt;&gt;"",IF(T2610&lt;&gt;"",IF(LEFT(R2610,3)="Has",IF(TRIM(A2610)&lt;&gt;T2610,"ERROR","OK"),""),""),"")</f>
        <v/>
      </c>
    </row>
    <row r="2611" spans="1:48" s="17" customFormat="1" ht="11.65" x14ac:dyDescent="0.35">
      <c r="A2611" s="34" t="s">
        <v>5748</v>
      </c>
      <c r="C2611" s="18"/>
      <c r="D2611" s="18"/>
      <c r="E2611" s="18"/>
      <c r="F2611" s="18"/>
      <c r="G2611" s="18"/>
      <c r="H2611" s="18"/>
      <c r="J2611" s="18" t="s">
        <v>2473</v>
      </c>
      <c r="K2611" s="18" t="s">
        <v>2473</v>
      </c>
      <c r="M2611" s="145"/>
      <c r="N2611" s="8"/>
      <c r="O2611" s="8"/>
      <c r="P2611" s="8"/>
      <c r="Q2611" s="8"/>
      <c r="R2611" s="8"/>
      <c r="S2611" s="8"/>
      <c r="T2611" s="8"/>
      <c r="U2611" s="8"/>
      <c r="V2611" s="8"/>
      <c r="W2611" s="8"/>
      <c r="X2611" s="8"/>
      <c r="Y2611" s="145"/>
      <c r="Z2611" s="8"/>
      <c r="AA2611" s="8"/>
      <c r="AB2611" s="8"/>
      <c r="AC2611" s="8"/>
      <c r="AD2611" s="8"/>
      <c r="AE2611" s="154"/>
      <c r="AF2611" s="154"/>
      <c r="AG2611" s="8"/>
      <c r="AH2611" s="8"/>
      <c r="AI2611" s="8"/>
      <c r="AJ2611" s="8"/>
      <c r="AK2611" s="8"/>
      <c r="AL2611" s="8"/>
      <c r="AM2611" s="8"/>
      <c r="AN2611" s="8"/>
      <c r="AO2611" s="8"/>
      <c r="AP2611" s="8"/>
      <c r="AQ2611" s="8"/>
      <c r="AR2611" s="284"/>
      <c r="AS2611" s="262" t="s">
        <v>5751</v>
      </c>
      <c r="AT2611" s="8"/>
      <c r="AU2611" s="6"/>
      <c r="AV2611" s="6" t="str">
        <f t="shared" si="51"/>
        <v/>
      </c>
    </row>
    <row r="2612" spans="1:48" s="76" customFormat="1" ht="11.65" x14ac:dyDescent="0.35">
      <c r="A2612" s="75"/>
      <c r="C2612" s="77"/>
      <c r="D2612" s="77"/>
      <c r="E2612" s="77"/>
      <c r="F2612" s="77"/>
      <c r="G2612" s="77"/>
      <c r="H2612" s="77"/>
      <c r="I2612" s="77"/>
      <c r="J2612" s="77"/>
      <c r="K2612" s="77"/>
      <c r="L2612" s="77"/>
      <c r="M2612" s="148"/>
      <c r="N2612" s="78"/>
      <c r="O2612" s="78"/>
      <c r="P2612" s="78"/>
      <c r="Q2612" s="78"/>
      <c r="R2612" s="78"/>
      <c r="S2612" s="78"/>
      <c r="T2612" s="78"/>
      <c r="U2612" s="78"/>
      <c r="V2612" s="78"/>
      <c r="W2612" s="78"/>
      <c r="X2612" s="78"/>
      <c r="Y2612" s="148"/>
      <c r="Z2612" s="78"/>
      <c r="AA2612" s="78"/>
      <c r="AB2612" s="78"/>
      <c r="AC2612" s="78"/>
      <c r="AD2612" s="78"/>
      <c r="AE2612" s="156"/>
      <c r="AF2612" s="156"/>
      <c r="AG2612" s="78"/>
      <c r="AH2612" s="78"/>
      <c r="AI2612" s="78"/>
      <c r="AJ2612" s="78"/>
      <c r="AK2612" s="78"/>
      <c r="AL2612" s="78"/>
      <c r="AM2612" s="78"/>
      <c r="AN2612" s="78"/>
      <c r="AO2612" s="78"/>
      <c r="AP2612" s="78"/>
      <c r="AQ2612" s="78"/>
      <c r="AR2612" s="286"/>
      <c r="AS2612" s="78"/>
      <c r="AT2612" s="78"/>
      <c r="AU2612" s="8"/>
      <c r="AV2612" s="6" t="str">
        <f t="shared" si="51"/>
        <v/>
      </c>
    </row>
    <row r="2613" spans="1:48" s="17" customFormat="1" ht="11.65" x14ac:dyDescent="0.35">
      <c r="A2613" s="27" t="s">
        <v>5737</v>
      </c>
      <c r="C2613" s="18"/>
      <c r="D2613" s="18"/>
      <c r="E2613" s="18"/>
      <c r="F2613" s="18"/>
      <c r="G2613" s="18"/>
      <c r="H2613" s="18"/>
      <c r="J2613" s="18" t="s">
        <v>2473</v>
      </c>
      <c r="K2613" s="18" t="s">
        <v>2473</v>
      </c>
      <c r="M2613" s="145"/>
      <c r="N2613" s="8"/>
      <c r="O2613" s="8"/>
      <c r="P2613" s="8"/>
      <c r="Q2613" s="8"/>
      <c r="R2613" s="8"/>
      <c r="S2613" s="8"/>
      <c r="T2613" s="8"/>
      <c r="U2613" s="8"/>
      <c r="V2613" s="8"/>
      <c r="W2613" s="8"/>
      <c r="X2613" s="8"/>
      <c r="Y2613" s="145"/>
      <c r="Z2613" s="185"/>
      <c r="AA2613" s="185"/>
      <c r="AB2613" s="185"/>
      <c r="AC2613" s="185"/>
      <c r="AD2613" s="185"/>
      <c r="AE2613" s="186"/>
      <c r="AF2613" s="186"/>
      <c r="AG2613" s="185"/>
      <c r="AH2613" s="185"/>
      <c r="AI2613" s="185"/>
      <c r="AJ2613" s="185"/>
      <c r="AK2613" s="185"/>
      <c r="AL2613" s="185"/>
      <c r="AM2613" s="185"/>
      <c r="AN2613" s="185"/>
      <c r="AO2613" s="185"/>
      <c r="AP2613" s="185"/>
      <c r="AQ2613" s="185"/>
      <c r="AR2613" s="291"/>
      <c r="AS2613" s="262" t="s">
        <v>5751</v>
      </c>
      <c r="AT2613" s="185"/>
      <c r="AU2613" s="6"/>
      <c r="AV2613" s="6" t="str">
        <f t="shared" si="51"/>
        <v/>
      </c>
    </row>
    <row r="2614" spans="1:48" s="17" customFormat="1" ht="14" customHeight="1" x14ac:dyDescent="0.35">
      <c r="A2614" s="323" t="s">
        <v>5677</v>
      </c>
      <c r="B2614" s="324"/>
      <c r="C2614" s="324"/>
      <c r="D2614" s="324"/>
      <c r="E2614" s="324"/>
      <c r="F2614" s="324"/>
      <c r="G2614" s="101"/>
      <c r="H2614" s="101"/>
      <c r="J2614" s="18" t="s">
        <v>2473</v>
      </c>
      <c r="K2614" s="18" t="s">
        <v>2473</v>
      </c>
      <c r="M2614" s="145"/>
      <c r="N2614" s="8"/>
      <c r="O2614" s="8"/>
      <c r="P2614" s="8"/>
      <c r="Q2614" s="8"/>
      <c r="R2614" s="8"/>
      <c r="S2614" s="8"/>
      <c r="T2614" s="8"/>
      <c r="U2614" s="8"/>
      <c r="V2614" s="8"/>
      <c r="W2614" s="8"/>
      <c r="X2614" s="8"/>
      <c r="Y2614" s="145"/>
      <c r="Z2614" s="183"/>
      <c r="AA2614" s="183"/>
      <c r="AB2614" s="183"/>
      <c r="AC2614" s="183"/>
      <c r="AD2614" s="183"/>
      <c r="AE2614" s="184"/>
      <c r="AF2614" s="184"/>
      <c r="AG2614" s="183"/>
      <c r="AH2614" s="183"/>
      <c r="AI2614" s="183"/>
      <c r="AJ2614" s="183"/>
      <c r="AK2614" s="183"/>
      <c r="AL2614" s="183"/>
      <c r="AM2614" s="183"/>
      <c r="AN2614" s="183"/>
      <c r="AO2614" s="183"/>
      <c r="AP2614" s="183"/>
      <c r="AQ2614" s="183"/>
      <c r="AR2614" s="292"/>
      <c r="AS2614" s="262" t="s">
        <v>5751</v>
      </c>
      <c r="AT2614" s="183"/>
      <c r="AU2614" s="6"/>
      <c r="AV2614" s="6" t="str">
        <f t="shared" si="51"/>
        <v/>
      </c>
    </row>
    <row r="2615" spans="1:48" s="17" customFormat="1" ht="12" thickBot="1" x14ac:dyDescent="0.4">
      <c r="A2615" s="28" t="s">
        <v>1748</v>
      </c>
      <c r="C2615" s="18"/>
      <c r="D2615" s="18"/>
      <c r="E2615" s="18"/>
      <c r="F2615" s="18"/>
      <c r="G2615" s="18"/>
      <c r="H2615" s="18"/>
      <c r="J2615" s="18" t="s">
        <v>2473</v>
      </c>
      <c r="K2615" s="18" t="s">
        <v>2473</v>
      </c>
      <c r="M2615" s="145"/>
      <c r="N2615" s="8"/>
      <c r="O2615" s="8"/>
      <c r="P2615" s="8"/>
      <c r="Q2615" s="8"/>
      <c r="R2615" s="8"/>
      <c r="S2615" s="8"/>
      <c r="T2615" s="8"/>
      <c r="U2615" s="8"/>
      <c r="V2615" s="8"/>
      <c r="W2615" s="8"/>
      <c r="X2615" s="8"/>
      <c r="Y2615" s="145"/>
      <c r="Z2615" s="183"/>
      <c r="AA2615" s="183" t="s">
        <v>2322</v>
      </c>
      <c r="AB2615" s="183" t="s">
        <v>1697</v>
      </c>
      <c r="AC2615" s="183" t="s">
        <v>5</v>
      </c>
      <c r="AD2615" s="183"/>
      <c r="AE2615" s="184"/>
      <c r="AF2615" s="184"/>
      <c r="AG2615" s="183"/>
      <c r="AH2615" s="183"/>
      <c r="AI2615" s="183"/>
      <c r="AJ2615" s="183"/>
      <c r="AK2615" s="183"/>
      <c r="AL2615" s="183"/>
      <c r="AM2615" s="183"/>
      <c r="AN2615" s="183"/>
      <c r="AO2615" s="183"/>
      <c r="AP2615" s="183"/>
      <c r="AQ2615" s="183"/>
      <c r="AR2615" s="292"/>
      <c r="AS2615" s="262" t="s">
        <v>5751</v>
      </c>
      <c r="AT2615" s="183"/>
      <c r="AU2615" s="6"/>
      <c r="AV2615" s="6" t="str">
        <f t="shared" si="51"/>
        <v/>
      </c>
    </row>
    <row r="2616" spans="1:48" s="17" customFormat="1" ht="70.150000000000006" thickBot="1" x14ac:dyDescent="0.4">
      <c r="A2616" s="309" t="s">
        <v>5736</v>
      </c>
      <c r="B2616" s="310"/>
      <c r="C2616" s="301" t="s">
        <v>1</v>
      </c>
      <c r="D2616" s="319"/>
      <c r="E2616" s="319"/>
      <c r="F2616" s="302"/>
      <c r="G2616" s="102"/>
      <c r="H2616" s="102"/>
      <c r="J2616" s="18" t="s">
        <v>2473</v>
      </c>
      <c r="K2616" s="18" t="s">
        <v>2473</v>
      </c>
      <c r="M2616" s="145"/>
      <c r="N2616" s="8"/>
      <c r="O2616" s="8"/>
      <c r="P2616" s="8"/>
      <c r="Q2616" s="8"/>
      <c r="R2616" s="8"/>
      <c r="S2616" s="8"/>
      <c r="T2616" s="8"/>
      <c r="U2616" s="8"/>
      <c r="V2616" s="8"/>
      <c r="W2616" s="8"/>
      <c r="X2616" s="8"/>
      <c r="Y2616" s="145"/>
      <c r="Z2616" s="8"/>
      <c r="AA2616" s="183" t="str">
        <f>LEFT($A2616,FIND(" ",$A2616)-1)</f>
        <v>ThermalMetrics</v>
      </c>
      <c r="AB2616" s="183" t="str">
        <f>MID($A2616,FIND("(",$A2616)+1,LEN($A2616)-FIND("(",$A2616)-1)</f>
        <v>1.2.0</v>
      </c>
      <c r="AC2616" s="101" t="str">
        <f>A2614</f>
        <v>The ThermalMetrics schema represents the thermal metrics of a chassis.</v>
      </c>
      <c r="AD2616" s="8"/>
      <c r="AE2616" s="154"/>
      <c r="AF2616" s="154"/>
      <c r="AG2616" s="8"/>
      <c r="AH2616" s="8"/>
      <c r="AI2616" s="8"/>
      <c r="AJ2616" s="8"/>
      <c r="AK2616" s="8"/>
      <c r="AL2616" s="8"/>
      <c r="AM2616" s="8"/>
      <c r="AN2616" s="8"/>
      <c r="AO2616" s="8"/>
      <c r="AP2616" s="8"/>
      <c r="AQ2616" s="8"/>
      <c r="AR2616" s="284"/>
      <c r="AS2616" s="262" t="s">
        <v>5751</v>
      </c>
      <c r="AT2616" s="8"/>
      <c r="AU2616" s="6"/>
      <c r="AV2616" s="6" t="str">
        <f t="shared" si="51"/>
        <v/>
      </c>
    </row>
    <row r="2617" spans="1:48" s="17" customFormat="1" ht="12" thickBot="1" x14ac:dyDescent="0.4">
      <c r="A2617" s="311"/>
      <c r="B2617" s="312"/>
      <c r="C2617" s="301" t="s">
        <v>2</v>
      </c>
      <c r="D2617" s="302"/>
      <c r="E2617" s="301" t="s">
        <v>3</v>
      </c>
      <c r="F2617" s="302"/>
      <c r="G2617" s="301" t="s">
        <v>2896</v>
      </c>
      <c r="H2617" s="302"/>
      <c r="J2617" s="18" t="s">
        <v>2473</v>
      </c>
      <c r="K2617" s="18" t="s">
        <v>2473</v>
      </c>
      <c r="M2617" s="145"/>
      <c r="N2617" s="8"/>
      <c r="O2617" s="8"/>
      <c r="P2617" s="8"/>
      <c r="Q2617" s="8"/>
      <c r="R2617" s="8"/>
      <c r="S2617" s="8"/>
      <c r="T2617" s="8"/>
      <c r="U2617" s="8"/>
      <c r="V2617" s="8"/>
      <c r="W2617" s="8"/>
      <c r="X2617" s="8"/>
      <c r="Y2617" s="145"/>
      <c r="Z2617" s="8"/>
      <c r="AA2617" s="8"/>
      <c r="AB2617" s="8"/>
      <c r="AC2617" s="8"/>
      <c r="AD2617" s="8"/>
      <c r="AE2617" s="154"/>
      <c r="AF2617" s="154"/>
      <c r="AG2617" s="8"/>
      <c r="AH2617" s="8"/>
      <c r="AI2617" s="8"/>
      <c r="AJ2617" s="8"/>
      <c r="AK2617" s="8"/>
      <c r="AL2617" s="8"/>
      <c r="AM2617" s="8" t="str">
        <f>C2617</f>
        <v>OSM-Redfish</v>
      </c>
      <c r="AN2617" s="8" t="str">
        <f>E2617</f>
        <v>OSM-RedfishBMC</v>
      </c>
      <c r="AO2617" s="8" t="str">
        <f>G2617</f>
        <v>OSM-RedfishDCN</v>
      </c>
      <c r="AP2617" s="8"/>
      <c r="AQ2617" s="8"/>
      <c r="AR2617" s="284"/>
      <c r="AS2617" s="262" t="s">
        <v>5751</v>
      </c>
      <c r="AT2617" s="8"/>
      <c r="AU2617" s="6"/>
      <c r="AV2617" s="6" t="str">
        <f t="shared" si="51"/>
        <v/>
      </c>
    </row>
    <row r="2618" spans="1:48" s="17" customFormat="1" ht="12" thickBot="1" x14ac:dyDescent="0.4">
      <c r="A2618" s="46" t="s">
        <v>2377</v>
      </c>
      <c r="B2618" s="47"/>
      <c r="C2618" s="303" t="s">
        <v>13</v>
      </c>
      <c r="D2618" s="304"/>
      <c r="E2618" s="303" t="s">
        <v>13</v>
      </c>
      <c r="F2618" s="304"/>
      <c r="G2618" s="303" t="s">
        <v>13</v>
      </c>
      <c r="H2618" s="304"/>
      <c r="J2618" s="18" t="s">
        <v>2473</v>
      </c>
      <c r="K2618" s="18" t="s">
        <v>2473</v>
      </c>
      <c r="M2618" s="145"/>
      <c r="N2618" s="8"/>
      <c r="O2618" s="8"/>
      <c r="P2618" s="8"/>
      <c r="Q2618" s="8"/>
      <c r="R2618" s="8"/>
      <c r="S2618" s="8"/>
      <c r="T2618" s="8"/>
      <c r="U2618" s="8"/>
      <c r="V2618" s="8"/>
      <c r="W2618" s="8"/>
      <c r="X2618" s="8"/>
      <c r="Y2618" s="145"/>
      <c r="Z2618" s="185"/>
      <c r="AA2618" s="185"/>
      <c r="AB2618" s="185"/>
      <c r="AC2618" s="185"/>
      <c r="AD2618" s="185"/>
      <c r="AE2618" s="186"/>
      <c r="AF2618" s="186"/>
      <c r="AG2618" s="185"/>
      <c r="AH2618" s="185"/>
      <c r="AI2618" s="185"/>
      <c r="AJ2618" s="185"/>
      <c r="AK2618" s="185"/>
      <c r="AL2618" s="185"/>
      <c r="AM2618" s="8" t="str">
        <f>IF(C2618&lt;&gt;"","CRQ-P5-"&amp;(AM$2+$AP2618*$AP$3),"")</f>
        <v>CRQ-P5-1032</v>
      </c>
      <c r="AN2618" s="8" t="str">
        <f>IF(E2618&lt;&gt;"","CRQ-P5-"&amp;(AN$2+$AP2618*$AP$3),"")</f>
        <v>CRQ-P5-1332</v>
      </c>
      <c r="AO2618" s="8" t="str">
        <f>IF(G2618&lt;&gt;"","CRQ-P5-"&amp;(AO$2+$AP2618*$AP$3),"")</f>
        <v>CRQ-P5-1632</v>
      </c>
      <c r="AP2618" s="185">
        <v>8</v>
      </c>
      <c r="AQ2618" s="185"/>
      <c r="AR2618" s="291"/>
      <c r="AS2618" s="262" t="s">
        <v>5751</v>
      </c>
      <c r="AT2618" s="185"/>
      <c r="AU2618" s="6"/>
      <c r="AV2618" s="6" t="str">
        <f t="shared" si="51"/>
        <v/>
      </c>
    </row>
    <row r="2619" spans="1:48" s="17" customFormat="1" ht="12" thickBot="1" x14ac:dyDescent="0.4">
      <c r="A2619" s="29" t="s">
        <v>3394</v>
      </c>
      <c r="B2619" s="9"/>
      <c r="C2619" s="305" t="str">
        <f>MID(A2616,FIND("(",A2616)+1,5)</f>
        <v>1.2.0</v>
      </c>
      <c r="D2619" s="306"/>
      <c r="E2619" s="305" t="str">
        <f>MID(A2616,FIND("(",A2616)+1,5)</f>
        <v>1.2.0</v>
      </c>
      <c r="F2619" s="306"/>
      <c r="G2619" s="305" t="str">
        <f>MID(A2616,FIND("(",A2616)+1,5)</f>
        <v>1.2.0</v>
      </c>
      <c r="H2619" s="306"/>
      <c r="J2619" s="18" t="s">
        <v>2473</v>
      </c>
      <c r="K2619" s="18" t="s">
        <v>2473</v>
      </c>
      <c r="M2619" s="145"/>
      <c r="N2619" s="8"/>
      <c r="O2619" s="8"/>
      <c r="P2619" s="8"/>
      <c r="Q2619" s="8"/>
      <c r="R2619" s="8"/>
      <c r="S2619" s="8"/>
      <c r="T2619" s="8"/>
      <c r="U2619" s="8"/>
      <c r="V2619" s="8"/>
      <c r="W2619" s="8"/>
      <c r="X2619" s="8"/>
      <c r="Y2619" s="145"/>
      <c r="Z2619" s="185"/>
      <c r="AA2619" s="185"/>
      <c r="AB2619" s="185"/>
      <c r="AC2619" s="185"/>
      <c r="AD2619" s="185"/>
      <c r="AE2619" s="186"/>
      <c r="AF2619" s="186"/>
      <c r="AG2619" s="185"/>
      <c r="AH2619" s="185"/>
      <c r="AI2619" s="185"/>
      <c r="AJ2619" s="185"/>
      <c r="AK2619" s="185"/>
      <c r="AL2619" s="185"/>
      <c r="AM2619" s="185"/>
      <c r="AN2619" s="185"/>
      <c r="AO2619" s="185"/>
      <c r="AP2619" s="185"/>
      <c r="AQ2619" s="185"/>
      <c r="AR2619" s="291"/>
      <c r="AS2619" s="262" t="s">
        <v>5751</v>
      </c>
      <c r="AT2619" s="185"/>
      <c r="AU2619" s="6"/>
      <c r="AV2619" s="6" t="str">
        <f t="shared" si="51"/>
        <v/>
      </c>
    </row>
    <row r="2620" spans="1:48" s="17" customFormat="1" ht="15" customHeight="1" thickBot="1" x14ac:dyDescent="0.4">
      <c r="A2620" s="30" t="s">
        <v>4</v>
      </c>
      <c r="B2620" s="59" t="s">
        <v>5</v>
      </c>
      <c r="C2620" s="7" t="s">
        <v>6</v>
      </c>
      <c r="D2620" s="7" t="s">
        <v>7</v>
      </c>
      <c r="E2620" s="7" t="s">
        <v>6</v>
      </c>
      <c r="F2620" s="7" t="s">
        <v>7</v>
      </c>
      <c r="G2620" s="7" t="s">
        <v>6</v>
      </c>
      <c r="H2620" s="7" t="s">
        <v>7</v>
      </c>
      <c r="J2620" s="18" t="s">
        <v>2473</v>
      </c>
      <c r="K2620" s="18" t="s">
        <v>2473</v>
      </c>
      <c r="M2620" s="145"/>
      <c r="N2620" s="8"/>
      <c r="O2620" s="8"/>
      <c r="P2620" s="8"/>
      <c r="Q2620" s="8"/>
      <c r="R2620" s="8"/>
      <c r="S2620" s="8"/>
      <c r="T2620" s="8"/>
      <c r="U2620" s="8"/>
      <c r="V2620" s="8"/>
      <c r="W2620" s="8"/>
      <c r="X2620" s="8"/>
      <c r="Y2620" s="145"/>
      <c r="Z2620" s="183"/>
      <c r="AA2620" s="183"/>
      <c r="AB2620" s="183"/>
      <c r="AC2620" s="183"/>
      <c r="AD2620" s="183"/>
      <c r="AE2620" s="184"/>
      <c r="AF2620" s="184"/>
      <c r="AG2620" s="183"/>
      <c r="AH2620" s="183"/>
      <c r="AI2620" s="183"/>
      <c r="AJ2620" s="183"/>
      <c r="AK2620" s="183"/>
      <c r="AL2620" s="183"/>
      <c r="AM2620" s="183"/>
      <c r="AN2620" s="183"/>
      <c r="AO2620" s="183"/>
      <c r="AP2620" s="183"/>
      <c r="AQ2620" s="183"/>
      <c r="AR2620" s="292"/>
      <c r="AS2620" s="262" t="s">
        <v>5751</v>
      </c>
      <c r="AT2620" s="183"/>
      <c r="AU2620" s="6"/>
      <c r="AV2620" s="6" t="str">
        <f t="shared" si="51"/>
        <v/>
      </c>
    </row>
    <row r="2621" spans="1:48" s="17" customFormat="1" ht="30.75" thickBot="1" x14ac:dyDescent="0.4">
      <c r="A2621" s="255" t="s">
        <v>5678</v>
      </c>
      <c r="B2621" s="50" t="s">
        <v>5866</v>
      </c>
      <c r="C2621" s="21"/>
      <c r="D2621" s="21"/>
      <c r="E2621" s="21"/>
      <c r="F2621" s="21"/>
      <c r="G2621" s="21"/>
      <c r="H2621" s="21"/>
      <c r="J2621" s="18" t="s">
        <v>2473</v>
      </c>
      <c r="K2621" s="18" t="s">
        <v>2473</v>
      </c>
      <c r="M2621" s="248"/>
      <c r="Y2621" s="145"/>
      <c r="AR2621" s="290"/>
      <c r="AS2621" s="262" t="s">
        <v>5867</v>
      </c>
    </row>
    <row r="2622" spans="1:48" s="17" customFormat="1" ht="23.65" thickBot="1" x14ac:dyDescent="0.4">
      <c r="A2622" s="255" t="s">
        <v>5681</v>
      </c>
      <c r="B2622" s="50" t="s">
        <v>5682</v>
      </c>
      <c r="C2622" s="21"/>
      <c r="D2622" s="21"/>
      <c r="E2622" s="21"/>
      <c r="F2622" s="21"/>
      <c r="G2622" s="21"/>
      <c r="H2622" s="21"/>
      <c r="J2622" s="18" t="s">
        <v>2473</v>
      </c>
      <c r="K2622" s="18" t="s">
        <v>2473</v>
      </c>
      <c r="M2622" s="248"/>
      <c r="Y2622" s="145"/>
      <c r="AR2622" s="290"/>
      <c r="AS2622" s="262" t="s">
        <v>5751</v>
      </c>
    </row>
    <row r="2623" spans="1:48" s="17" customFormat="1" ht="12" thickBot="1" x14ac:dyDescent="0.4">
      <c r="A2623" s="255" t="s">
        <v>5683</v>
      </c>
      <c r="B2623" s="50" t="s">
        <v>5684</v>
      </c>
      <c r="C2623" s="21"/>
      <c r="D2623" s="21"/>
      <c r="E2623" s="21"/>
      <c r="F2623" s="21"/>
      <c r="G2623" s="21"/>
      <c r="H2623" s="21"/>
      <c r="J2623" s="18" t="s">
        <v>2473</v>
      </c>
      <c r="K2623" s="18" t="s">
        <v>2473</v>
      </c>
      <c r="M2623" s="248"/>
      <c r="Y2623" s="145"/>
      <c r="AR2623" s="290"/>
      <c r="AS2623" s="262" t="s">
        <v>5751</v>
      </c>
    </row>
    <row r="2624" spans="1:48" s="17" customFormat="1" ht="35.25" thickBot="1" x14ac:dyDescent="0.4">
      <c r="A2624" s="256" t="s">
        <v>5685</v>
      </c>
      <c r="B2624" s="50" t="s">
        <v>5686</v>
      </c>
      <c r="C2624" s="21"/>
      <c r="D2624" s="21"/>
      <c r="E2624" s="21"/>
      <c r="F2624" s="21"/>
      <c r="G2624" s="21"/>
      <c r="H2624" s="21"/>
      <c r="J2624" s="18" t="s">
        <v>2473</v>
      </c>
      <c r="K2624" s="18" t="s">
        <v>2473</v>
      </c>
      <c r="M2624" s="248"/>
      <c r="Y2624" s="145"/>
      <c r="AR2624" s="290"/>
      <c r="AS2624" s="262" t="s">
        <v>5751</v>
      </c>
    </row>
    <row r="2625" spans="1:45" s="17" customFormat="1" ht="35.25" thickBot="1" x14ac:dyDescent="0.4">
      <c r="A2625" s="256" t="s">
        <v>5687</v>
      </c>
      <c r="B2625" s="50" t="s">
        <v>5688</v>
      </c>
      <c r="C2625" s="21"/>
      <c r="D2625" s="21"/>
      <c r="E2625" s="21"/>
      <c r="F2625" s="21"/>
      <c r="G2625" s="21"/>
      <c r="H2625" s="21"/>
      <c r="J2625" s="18" t="s">
        <v>2473</v>
      </c>
      <c r="K2625" s="18" t="s">
        <v>2473</v>
      </c>
      <c r="M2625" s="248"/>
      <c r="Y2625" s="145"/>
      <c r="AR2625" s="290"/>
      <c r="AS2625" s="262" t="s">
        <v>5751</v>
      </c>
    </row>
    <row r="2626" spans="1:45" s="17" customFormat="1" ht="51" thickBot="1" x14ac:dyDescent="0.4">
      <c r="A2626" s="255" t="s">
        <v>5689</v>
      </c>
      <c r="B2626" s="50" t="s">
        <v>5690</v>
      </c>
      <c r="C2626" s="21"/>
      <c r="D2626" s="21"/>
      <c r="E2626" s="21" t="s">
        <v>10</v>
      </c>
      <c r="F2626" s="21"/>
      <c r="G2626" s="21" t="s">
        <v>10</v>
      </c>
      <c r="H2626" s="21"/>
      <c r="J2626" s="18" t="s">
        <v>2473</v>
      </c>
      <c r="K2626" s="18" t="s">
        <v>2473</v>
      </c>
      <c r="M2626" s="248"/>
      <c r="Y2626" s="145"/>
      <c r="AR2626" s="290"/>
      <c r="AS2626" s="263" t="s">
        <v>5868</v>
      </c>
    </row>
    <row r="2627" spans="1:45" s="17" customFormat="1" ht="12" thickBot="1" x14ac:dyDescent="0.4">
      <c r="A2627" s="256" t="s">
        <v>5550</v>
      </c>
      <c r="B2627" s="50" t="s">
        <v>5551</v>
      </c>
      <c r="C2627" s="21"/>
      <c r="D2627" s="21"/>
      <c r="E2627" s="21"/>
      <c r="F2627" s="21"/>
      <c r="G2627" s="21"/>
      <c r="H2627" s="21"/>
      <c r="J2627" s="18" t="s">
        <v>2473</v>
      </c>
      <c r="K2627" s="18" t="s">
        <v>2473</v>
      </c>
      <c r="M2627" s="248"/>
      <c r="Y2627" s="145"/>
      <c r="AR2627" s="290"/>
      <c r="AS2627" s="262" t="s">
        <v>5751</v>
      </c>
    </row>
    <row r="2628" spans="1:45" s="17" customFormat="1" ht="12" thickBot="1" x14ac:dyDescent="0.4">
      <c r="A2628" s="256" t="s">
        <v>2653</v>
      </c>
      <c r="B2628" s="50" t="s">
        <v>5566</v>
      </c>
      <c r="C2628" s="21"/>
      <c r="D2628" s="21"/>
      <c r="E2628" s="21"/>
      <c r="F2628" s="21"/>
      <c r="G2628" s="21"/>
      <c r="H2628" s="21"/>
      <c r="J2628" s="18" t="s">
        <v>2473</v>
      </c>
      <c r="K2628" s="18" t="s">
        <v>2473</v>
      </c>
      <c r="M2628" s="248"/>
      <c r="Y2628" s="145"/>
      <c r="AR2628" s="290"/>
      <c r="AS2628" s="262" t="s">
        <v>5751</v>
      </c>
    </row>
    <row r="2629" spans="1:45" s="17" customFormat="1" ht="23.65" thickBot="1" x14ac:dyDescent="0.4">
      <c r="A2629" s="256" t="s">
        <v>2051</v>
      </c>
      <c r="B2629" s="50" t="s">
        <v>5567</v>
      </c>
      <c r="C2629" s="21"/>
      <c r="D2629" s="21"/>
      <c r="E2629" s="21"/>
      <c r="F2629" s="21"/>
      <c r="G2629" s="21"/>
      <c r="H2629" s="21"/>
      <c r="J2629" s="18" t="s">
        <v>2473</v>
      </c>
      <c r="K2629" s="18" t="s">
        <v>2473</v>
      </c>
      <c r="M2629" s="248"/>
      <c r="Y2629" s="145"/>
      <c r="AR2629" s="290"/>
      <c r="AS2629" s="262" t="s">
        <v>5751</v>
      </c>
    </row>
    <row r="2630" spans="1:45" s="17" customFormat="1" ht="35.25" thickBot="1" x14ac:dyDescent="0.4">
      <c r="A2630" s="256" t="s">
        <v>5568</v>
      </c>
      <c r="B2630" s="50" t="s">
        <v>5720</v>
      </c>
      <c r="C2630" s="21"/>
      <c r="D2630" s="21"/>
      <c r="E2630" s="21"/>
      <c r="F2630" s="21"/>
      <c r="G2630" s="21"/>
      <c r="H2630" s="21"/>
      <c r="J2630" s="18" t="s">
        <v>2473</v>
      </c>
      <c r="K2630" s="18" t="s">
        <v>2473</v>
      </c>
      <c r="M2630" s="248"/>
      <c r="Y2630" s="145"/>
      <c r="AR2630" s="290"/>
      <c r="AS2630" s="262" t="s">
        <v>5751</v>
      </c>
    </row>
    <row r="2631" spans="1:45" s="17" customFormat="1" ht="40.9" thickBot="1" x14ac:dyDescent="0.4">
      <c r="A2631" s="256" t="s">
        <v>2165</v>
      </c>
      <c r="B2631" s="50" t="s">
        <v>5557</v>
      </c>
      <c r="C2631" s="21"/>
      <c r="D2631" s="21"/>
      <c r="E2631" s="21" t="s">
        <v>10</v>
      </c>
      <c r="F2631" s="21"/>
      <c r="G2631" s="21" t="s">
        <v>10</v>
      </c>
      <c r="H2631" s="21"/>
      <c r="J2631" s="18" t="s">
        <v>2473</v>
      </c>
      <c r="K2631" s="18" t="s">
        <v>2473</v>
      </c>
      <c r="M2631" s="248"/>
      <c r="Y2631" s="145"/>
      <c r="AR2631" s="290"/>
      <c r="AS2631" s="262" t="s">
        <v>5847</v>
      </c>
    </row>
    <row r="2632" spans="1:45" s="17" customFormat="1" ht="12" thickBot="1" x14ac:dyDescent="0.4">
      <c r="A2632" s="255" t="s">
        <v>5695</v>
      </c>
      <c r="B2632" s="50" t="s">
        <v>5696</v>
      </c>
      <c r="C2632" s="21"/>
      <c r="D2632" s="21"/>
      <c r="E2632" s="21"/>
      <c r="F2632" s="21"/>
      <c r="G2632" s="21"/>
      <c r="H2632" s="21"/>
      <c r="J2632" s="18" t="s">
        <v>2473</v>
      </c>
      <c r="K2632" s="18" t="s">
        <v>2473</v>
      </c>
      <c r="M2632" s="248"/>
      <c r="Y2632" s="145"/>
      <c r="AR2632" s="290"/>
      <c r="AS2632" s="262" t="s">
        <v>5751</v>
      </c>
    </row>
    <row r="2633" spans="1:45" s="17" customFormat="1" ht="12" thickBot="1" x14ac:dyDescent="0.4">
      <c r="A2633" s="256" t="s">
        <v>5697</v>
      </c>
      <c r="B2633" s="50" t="s">
        <v>5698</v>
      </c>
      <c r="C2633" s="21"/>
      <c r="D2633" s="21"/>
      <c r="E2633" s="21"/>
      <c r="F2633" s="21"/>
      <c r="G2633" s="21"/>
      <c r="H2633" s="21"/>
      <c r="J2633" s="18" t="s">
        <v>2473</v>
      </c>
      <c r="K2633" s="18" t="s">
        <v>2473</v>
      </c>
      <c r="M2633" s="248"/>
      <c r="Y2633" s="145"/>
      <c r="AR2633" s="290"/>
      <c r="AS2633" s="262" t="s">
        <v>5751</v>
      </c>
    </row>
    <row r="2634" spans="1:45" s="17" customFormat="1" ht="12" thickBot="1" x14ac:dyDescent="0.4">
      <c r="A2634" s="256" t="s">
        <v>5699</v>
      </c>
      <c r="B2634" s="50" t="s">
        <v>5551</v>
      </c>
      <c r="C2634" s="21"/>
      <c r="D2634" s="21"/>
      <c r="E2634" s="21"/>
      <c r="F2634" s="21"/>
      <c r="G2634" s="21"/>
      <c r="H2634" s="21"/>
      <c r="J2634" s="18" t="s">
        <v>2473</v>
      </c>
      <c r="K2634" s="18" t="s">
        <v>2473</v>
      </c>
      <c r="M2634" s="248"/>
      <c r="Y2634" s="145"/>
      <c r="AR2634" s="290"/>
      <c r="AS2634" s="262" t="s">
        <v>5751</v>
      </c>
    </row>
    <row r="2635" spans="1:45" s="17" customFormat="1" ht="12" thickBot="1" x14ac:dyDescent="0.4">
      <c r="A2635" s="256" t="s">
        <v>5700</v>
      </c>
      <c r="B2635" s="50" t="s">
        <v>5557</v>
      </c>
      <c r="C2635" s="21"/>
      <c r="D2635" s="21"/>
      <c r="E2635" s="21"/>
      <c r="F2635" s="21"/>
      <c r="G2635" s="21"/>
      <c r="H2635" s="21"/>
      <c r="J2635" s="18" t="s">
        <v>2473</v>
      </c>
      <c r="K2635" s="18" t="s">
        <v>2473</v>
      </c>
      <c r="M2635" s="248"/>
      <c r="Y2635" s="145"/>
      <c r="AR2635" s="290"/>
      <c r="AS2635" s="262" t="s">
        <v>5751</v>
      </c>
    </row>
    <row r="2636" spans="1:45" s="17" customFormat="1" ht="12" thickBot="1" x14ac:dyDescent="0.4">
      <c r="A2636" s="256" t="s">
        <v>5701</v>
      </c>
      <c r="B2636" s="50" t="s">
        <v>5702</v>
      </c>
      <c r="C2636" s="21"/>
      <c r="D2636" s="21"/>
      <c r="E2636" s="21"/>
      <c r="F2636" s="21"/>
      <c r="G2636" s="21"/>
      <c r="H2636" s="21"/>
      <c r="J2636" s="18" t="s">
        <v>2473</v>
      </c>
      <c r="K2636" s="18" t="s">
        <v>2473</v>
      </c>
      <c r="M2636" s="248"/>
      <c r="Y2636" s="145"/>
      <c r="AR2636" s="290"/>
      <c r="AS2636" s="262" t="s">
        <v>5751</v>
      </c>
    </row>
    <row r="2637" spans="1:45" s="17" customFormat="1" ht="12" thickBot="1" x14ac:dyDescent="0.4">
      <c r="A2637" s="256" t="s">
        <v>5699</v>
      </c>
      <c r="B2637" s="50" t="s">
        <v>5551</v>
      </c>
      <c r="C2637" s="21"/>
      <c r="D2637" s="21"/>
      <c r="E2637" s="21"/>
      <c r="F2637" s="21"/>
      <c r="G2637" s="21"/>
      <c r="H2637" s="21"/>
      <c r="J2637" s="18" t="s">
        <v>2473</v>
      </c>
      <c r="K2637" s="18" t="s">
        <v>2473</v>
      </c>
      <c r="M2637" s="248"/>
      <c r="Y2637" s="145"/>
      <c r="AR2637" s="290"/>
      <c r="AS2637" s="262" t="s">
        <v>5751</v>
      </c>
    </row>
    <row r="2638" spans="1:45" s="17" customFormat="1" ht="12" thickBot="1" x14ac:dyDescent="0.4">
      <c r="A2638" s="256" t="s">
        <v>5700</v>
      </c>
      <c r="B2638" s="50" t="s">
        <v>5557</v>
      </c>
      <c r="C2638" s="21"/>
      <c r="D2638" s="21"/>
      <c r="E2638" s="21"/>
      <c r="F2638" s="21"/>
      <c r="G2638" s="21"/>
      <c r="H2638" s="21"/>
      <c r="J2638" s="18" t="s">
        <v>2473</v>
      </c>
      <c r="K2638" s="18" t="s">
        <v>2473</v>
      </c>
      <c r="M2638" s="248"/>
      <c r="Y2638" s="145"/>
      <c r="AR2638" s="290"/>
      <c r="AS2638" s="262" t="s">
        <v>5751</v>
      </c>
    </row>
    <row r="2639" spans="1:45" s="17" customFormat="1" ht="12" thickBot="1" x14ac:dyDescent="0.4">
      <c r="A2639" s="256" t="s">
        <v>5703</v>
      </c>
      <c r="B2639" s="50" t="s">
        <v>5704</v>
      </c>
      <c r="C2639" s="21"/>
      <c r="D2639" s="21"/>
      <c r="E2639" s="21"/>
      <c r="F2639" s="21"/>
      <c r="G2639" s="21"/>
      <c r="H2639" s="21"/>
      <c r="J2639" s="18" t="s">
        <v>2473</v>
      </c>
      <c r="K2639" s="18" t="s">
        <v>2473</v>
      </c>
      <c r="M2639" s="248"/>
      <c r="Y2639" s="145"/>
      <c r="AR2639" s="290"/>
      <c r="AS2639" s="262" t="s">
        <v>5751</v>
      </c>
    </row>
    <row r="2640" spans="1:45" s="17" customFormat="1" ht="12" thickBot="1" x14ac:dyDescent="0.4">
      <c r="A2640" s="256" t="s">
        <v>5699</v>
      </c>
      <c r="B2640" s="50" t="s">
        <v>5551</v>
      </c>
      <c r="C2640" s="21"/>
      <c r="D2640" s="21"/>
      <c r="E2640" s="21"/>
      <c r="F2640" s="21"/>
      <c r="G2640" s="21"/>
      <c r="H2640" s="21"/>
      <c r="J2640" s="18" t="s">
        <v>2473</v>
      </c>
      <c r="K2640" s="18" t="s">
        <v>2473</v>
      </c>
      <c r="M2640" s="248"/>
      <c r="Y2640" s="145"/>
      <c r="AR2640" s="290"/>
      <c r="AS2640" s="262" t="s">
        <v>5751</v>
      </c>
    </row>
    <row r="2641" spans="1:48" s="17" customFormat="1" ht="12" thickBot="1" x14ac:dyDescent="0.4">
      <c r="A2641" s="256" t="s">
        <v>5700</v>
      </c>
      <c r="B2641" s="50" t="s">
        <v>5557</v>
      </c>
      <c r="C2641" s="21"/>
      <c r="D2641" s="21"/>
      <c r="E2641" s="21"/>
      <c r="F2641" s="21"/>
      <c r="G2641" s="21"/>
      <c r="H2641" s="21"/>
      <c r="J2641" s="18" t="s">
        <v>2473</v>
      </c>
      <c r="K2641" s="18" t="s">
        <v>2473</v>
      </c>
      <c r="M2641" s="248"/>
      <c r="Y2641" s="145"/>
      <c r="AR2641" s="290"/>
      <c r="AS2641" s="262" t="s">
        <v>5751</v>
      </c>
    </row>
    <row r="2642" spans="1:48" s="17" customFormat="1" ht="12" thickBot="1" x14ac:dyDescent="0.4">
      <c r="A2642" s="256" t="s">
        <v>5705</v>
      </c>
      <c r="B2642" s="50" t="s">
        <v>5706</v>
      </c>
      <c r="C2642" s="21"/>
      <c r="D2642" s="21"/>
      <c r="E2642" s="21"/>
      <c r="F2642" s="21"/>
      <c r="G2642" s="21"/>
      <c r="H2642" s="21"/>
      <c r="J2642" s="18" t="s">
        <v>2473</v>
      </c>
      <c r="K2642" s="18" t="s">
        <v>2473</v>
      </c>
      <c r="M2642" s="248"/>
      <c r="Y2642" s="145"/>
      <c r="AR2642" s="290"/>
      <c r="AS2642" s="262" t="s">
        <v>5751</v>
      </c>
    </row>
    <row r="2643" spans="1:48" s="17" customFormat="1" ht="12" thickBot="1" x14ac:dyDescent="0.4">
      <c r="A2643" s="256" t="s">
        <v>5699</v>
      </c>
      <c r="B2643" s="50" t="s">
        <v>5551</v>
      </c>
      <c r="C2643" s="21"/>
      <c r="D2643" s="21"/>
      <c r="E2643" s="21"/>
      <c r="F2643" s="21"/>
      <c r="G2643" s="21"/>
      <c r="H2643" s="21"/>
      <c r="J2643" s="18" t="s">
        <v>2473</v>
      </c>
      <c r="K2643" s="18" t="s">
        <v>2473</v>
      </c>
      <c r="M2643" s="248"/>
      <c r="Y2643" s="145"/>
      <c r="AR2643" s="290"/>
      <c r="AS2643" s="262" t="s">
        <v>5751</v>
      </c>
    </row>
    <row r="2644" spans="1:48" s="17" customFormat="1" ht="12" thickBot="1" x14ac:dyDescent="0.4">
      <c r="A2644" s="256" t="s">
        <v>5700</v>
      </c>
      <c r="B2644" s="50" t="s">
        <v>5557</v>
      </c>
      <c r="C2644" s="21"/>
      <c r="D2644" s="21"/>
      <c r="E2644" s="21"/>
      <c r="F2644" s="21"/>
      <c r="G2644" s="21"/>
      <c r="H2644" s="21"/>
      <c r="J2644" s="18" t="s">
        <v>2473</v>
      </c>
      <c r="K2644" s="18" t="s">
        <v>2473</v>
      </c>
      <c r="M2644" s="248"/>
      <c r="Y2644" s="145"/>
      <c r="AR2644" s="290"/>
      <c r="AS2644" s="262" t="s">
        <v>5751</v>
      </c>
    </row>
    <row r="2645" spans="1:48" s="17" customFormat="1" ht="11.65" x14ac:dyDescent="0.35">
      <c r="A2645" s="33" t="s">
        <v>5880</v>
      </c>
      <c r="C2645" s="18"/>
      <c r="D2645" s="18"/>
      <c r="E2645" s="18"/>
      <c r="F2645" s="18"/>
      <c r="G2645" s="18"/>
      <c r="H2645" s="18"/>
      <c r="J2645" s="18" t="s">
        <v>2473</v>
      </c>
      <c r="K2645" s="18" t="s">
        <v>2473</v>
      </c>
      <c r="M2645" s="145"/>
      <c r="N2645" s="8"/>
      <c r="O2645" s="8"/>
      <c r="P2645" s="8"/>
      <c r="Q2645" s="8"/>
      <c r="R2645" s="8"/>
      <c r="S2645" s="8"/>
      <c r="T2645" s="8"/>
      <c r="U2645" s="8"/>
      <c r="V2645" s="8"/>
      <c r="W2645" s="8"/>
      <c r="X2645" s="8"/>
      <c r="Y2645" s="145"/>
      <c r="Z2645" s="8"/>
      <c r="AA2645" s="8"/>
      <c r="AB2645" s="8"/>
      <c r="AC2645" s="8"/>
      <c r="AD2645" s="8"/>
      <c r="AE2645" s="154"/>
      <c r="AF2645" s="154"/>
      <c r="AG2645" s="8"/>
      <c r="AH2645" s="8"/>
      <c r="AI2645" s="8"/>
      <c r="AJ2645" s="8"/>
      <c r="AK2645" s="8"/>
      <c r="AL2645" s="8"/>
      <c r="AM2645" s="8"/>
      <c r="AN2645" s="8"/>
      <c r="AO2645" s="8"/>
      <c r="AP2645" s="8"/>
      <c r="AQ2645" s="8"/>
      <c r="AR2645" s="284"/>
      <c r="AS2645" s="262" t="s">
        <v>5751</v>
      </c>
      <c r="AT2645" s="8"/>
      <c r="AU2645" s="6"/>
      <c r="AV2645" s="6" t="str">
        <f t="shared" ref="AV2645:AV2655" si="52">IF(A2645&lt;&gt;"",IF(T2645&lt;&gt;"",IF(LEFT(R2645,3)="Has",IF(TRIM(A2645)&lt;&gt;T2645,"ERROR","OK"),""),""),"")</f>
        <v/>
      </c>
    </row>
    <row r="2646" spans="1:48" s="17" customFormat="1" ht="11.65" x14ac:dyDescent="0.35">
      <c r="A2646" s="34" t="s">
        <v>5749</v>
      </c>
      <c r="C2646" s="18"/>
      <c r="D2646" s="18"/>
      <c r="E2646" s="18"/>
      <c r="F2646" s="18"/>
      <c r="G2646" s="18"/>
      <c r="H2646" s="18"/>
      <c r="J2646" s="18" t="s">
        <v>2473</v>
      </c>
      <c r="K2646" s="18" t="s">
        <v>2473</v>
      </c>
      <c r="M2646" s="145"/>
      <c r="N2646" s="8"/>
      <c r="O2646" s="8"/>
      <c r="P2646" s="8"/>
      <c r="Q2646" s="8"/>
      <c r="R2646" s="8"/>
      <c r="S2646" s="8"/>
      <c r="T2646" s="8"/>
      <c r="U2646" s="8"/>
      <c r="V2646" s="8"/>
      <c r="W2646" s="8"/>
      <c r="X2646" s="8"/>
      <c r="Y2646" s="145"/>
      <c r="Z2646" s="8"/>
      <c r="AA2646" s="8"/>
      <c r="AB2646" s="8"/>
      <c r="AC2646" s="8"/>
      <c r="AD2646" s="8"/>
      <c r="AE2646" s="154"/>
      <c r="AF2646" s="154"/>
      <c r="AG2646" s="8"/>
      <c r="AH2646" s="8"/>
      <c r="AI2646" s="8"/>
      <c r="AJ2646" s="8"/>
      <c r="AK2646" s="8"/>
      <c r="AL2646" s="8"/>
      <c r="AM2646" s="8"/>
      <c r="AN2646" s="8"/>
      <c r="AO2646" s="8"/>
      <c r="AP2646" s="8"/>
      <c r="AQ2646" s="8"/>
      <c r="AR2646" s="284"/>
      <c r="AS2646" s="262" t="s">
        <v>5751</v>
      </c>
      <c r="AT2646" s="8"/>
      <c r="AU2646" s="6"/>
      <c r="AV2646" s="6" t="str">
        <f t="shared" si="52"/>
        <v/>
      </c>
    </row>
    <row r="2647" spans="1:48" s="76" customFormat="1" ht="11.65" x14ac:dyDescent="0.35">
      <c r="A2647" s="75"/>
      <c r="C2647" s="77"/>
      <c r="D2647" s="77"/>
      <c r="E2647" s="77"/>
      <c r="F2647" s="77"/>
      <c r="G2647" s="77"/>
      <c r="H2647" s="77"/>
      <c r="I2647" s="77"/>
      <c r="J2647" s="77"/>
      <c r="K2647" s="77"/>
      <c r="L2647" s="77"/>
      <c r="M2647" s="148"/>
      <c r="N2647" s="78"/>
      <c r="O2647" s="78"/>
      <c r="P2647" s="78"/>
      <c r="Q2647" s="78"/>
      <c r="R2647" s="78"/>
      <c r="S2647" s="78"/>
      <c r="T2647" s="78"/>
      <c r="U2647" s="78"/>
      <c r="V2647" s="78"/>
      <c r="W2647" s="78"/>
      <c r="X2647" s="78"/>
      <c r="Y2647" s="148"/>
      <c r="Z2647" s="78"/>
      <c r="AA2647" s="78"/>
      <c r="AB2647" s="78"/>
      <c r="AC2647" s="78"/>
      <c r="AD2647" s="78"/>
      <c r="AE2647" s="156"/>
      <c r="AF2647" s="156"/>
      <c r="AG2647" s="78"/>
      <c r="AH2647" s="78"/>
      <c r="AI2647" s="78"/>
      <c r="AJ2647" s="78"/>
      <c r="AK2647" s="78"/>
      <c r="AL2647" s="78"/>
      <c r="AM2647" s="78"/>
      <c r="AN2647" s="78"/>
      <c r="AO2647" s="78"/>
      <c r="AP2647" s="78"/>
      <c r="AQ2647" s="78"/>
      <c r="AR2647" s="286"/>
      <c r="AS2647" s="78"/>
      <c r="AT2647" s="78"/>
      <c r="AU2647" s="8"/>
      <c r="AV2647" s="6" t="str">
        <f t="shared" si="52"/>
        <v/>
      </c>
    </row>
    <row r="2648" spans="1:48" s="17" customFormat="1" ht="11.65" x14ac:dyDescent="0.35">
      <c r="A2648" s="27" t="s">
        <v>5739</v>
      </c>
      <c r="C2648" s="18"/>
      <c r="D2648" s="18"/>
      <c r="E2648" s="18"/>
      <c r="F2648" s="18"/>
      <c r="G2648" s="18"/>
      <c r="H2648" s="18"/>
      <c r="J2648" s="18" t="s">
        <v>2473</v>
      </c>
      <c r="K2648" s="18" t="s">
        <v>2473</v>
      </c>
      <c r="M2648" s="145"/>
      <c r="N2648" s="8"/>
      <c r="O2648" s="8"/>
      <c r="P2648" s="8"/>
      <c r="Q2648" s="8"/>
      <c r="R2648" s="8"/>
      <c r="S2648" s="8"/>
      <c r="T2648" s="8"/>
      <c r="U2648" s="8"/>
      <c r="V2648" s="8"/>
      <c r="W2648" s="8"/>
      <c r="X2648" s="8"/>
      <c r="Y2648" s="145"/>
      <c r="Z2648" s="185"/>
      <c r="AA2648" s="185"/>
      <c r="AB2648" s="185"/>
      <c r="AC2648" s="185"/>
      <c r="AD2648" s="185"/>
      <c r="AE2648" s="186"/>
      <c r="AF2648" s="186"/>
      <c r="AG2648" s="185"/>
      <c r="AH2648" s="185"/>
      <c r="AI2648" s="185"/>
      <c r="AJ2648" s="185"/>
      <c r="AK2648" s="185"/>
      <c r="AL2648" s="185"/>
      <c r="AM2648" s="185"/>
      <c r="AN2648" s="185"/>
      <c r="AO2648" s="185"/>
      <c r="AP2648" s="185"/>
      <c r="AQ2648" s="185"/>
      <c r="AR2648" s="291"/>
      <c r="AS2648" s="262" t="s">
        <v>5751</v>
      </c>
      <c r="AT2648" s="185"/>
      <c r="AU2648" s="6"/>
      <c r="AV2648" s="6" t="str">
        <f t="shared" si="52"/>
        <v/>
      </c>
    </row>
    <row r="2649" spans="1:48" s="17" customFormat="1" ht="24" customHeight="1" x14ac:dyDescent="0.35">
      <c r="A2649" s="323" t="s">
        <v>5708</v>
      </c>
      <c r="B2649" s="324"/>
      <c r="C2649" s="324"/>
      <c r="D2649" s="324"/>
      <c r="E2649" s="324"/>
      <c r="F2649" s="324"/>
      <c r="G2649" s="101"/>
      <c r="H2649" s="101"/>
      <c r="J2649" s="18" t="s">
        <v>2473</v>
      </c>
      <c r="K2649" s="18" t="s">
        <v>2473</v>
      </c>
      <c r="M2649" s="145"/>
      <c r="N2649" s="8"/>
      <c r="O2649" s="8"/>
      <c r="P2649" s="8"/>
      <c r="Q2649" s="8"/>
      <c r="R2649" s="8"/>
      <c r="S2649" s="8"/>
      <c r="T2649" s="8"/>
      <c r="U2649" s="8"/>
      <c r="V2649" s="8"/>
      <c r="W2649" s="8"/>
      <c r="X2649" s="8"/>
      <c r="Y2649" s="145"/>
      <c r="Z2649" s="183"/>
      <c r="AA2649" s="183"/>
      <c r="AB2649" s="183"/>
      <c r="AC2649" s="183"/>
      <c r="AD2649" s="183"/>
      <c r="AE2649" s="184"/>
      <c r="AF2649" s="184"/>
      <c r="AG2649" s="183"/>
      <c r="AH2649" s="183"/>
      <c r="AI2649" s="183"/>
      <c r="AJ2649" s="183"/>
      <c r="AK2649" s="183"/>
      <c r="AL2649" s="183"/>
      <c r="AM2649" s="183"/>
      <c r="AN2649" s="183"/>
      <c r="AO2649" s="183"/>
      <c r="AP2649" s="183"/>
      <c r="AQ2649" s="183"/>
      <c r="AR2649" s="292"/>
      <c r="AS2649" s="262" t="s">
        <v>5751</v>
      </c>
      <c r="AT2649" s="183"/>
      <c r="AU2649" s="6"/>
      <c r="AV2649" s="6" t="str">
        <f t="shared" si="52"/>
        <v/>
      </c>
    </row>
    <row r="2650" spans="1:48" s="17" customFormat="1" ht="12" thickBot="1" x14ac:dyDescent="0.4">
      <c r="A2650" s="28" t="s">
        <v>1748</v>
      </c>
      <c r="C2650" s="18"/>
      <c r="D2650" s="18"/>
      <c r="E2650" s="18"/>
      <c r="F2650" s="18"/>
      <c r="G2650" s="18"/>
      <c r="H2650" s="18"/>
      <c r="J2650" s="18" t="s">
        <v>2473</v>
      </c>
      <c r="K2650" s="18" t="s">
        <v>2473</v>
      </c>
      <c r="M2650" s="145"/>
      <c r="N2650" s="8"/>
      <c r="O2650" s="8"/>
      <c r="P2650" s="8"/>
      <c r="Q2650" s="8"/>
      <c r="R2650" s="8"/>
      <c r="S2650" s="8"/>
      <c r="T2650" s="8"/>
      <c r="U2650" s="8"/>
      <c r="V2650" s="8"/>
      <c r="W2650" s="8"/>
      <c r="X2650" s="8"/>
      <c r="Y2650" s="145"/>
      <c r="Z2650" s="183"/>
      <c r="AA2650" s="183" t="s">
        <v>2322</v>
      </c>
      <c r="AB2650" s="183" t="s">
        <v>1697</v>
      </c>
      <c r="AC2650" s="183" t="s">
        <v>5</v>
      </c>
      <c r="AD2650" s="183"/>
      <c r="AE2650" s="184"/>
      <c r="AF2650" s="184"/>
      <c r="AG2650" s="183"/>
      <c r="AH2650" s="183"/>
      <c r="AI2650" s="183"/>
      <c r="AJ2650" s="183"/>
      <c r="AK2650" s="183"/>
      <c r="AL2650" s="183"/>
      <c r="AM2650" s="183"/>
      <c r="AN2650" s="183"/>
      <c r="AO2650" s="183"/>
      <c r="AP2650" s="183"/>
      <c r="AQ2650" s="183"/>
      <c r="AR2650" s="292"/>
      <c r="AS2650" s="262" t="s">
        <v>5751</v>
      </c>
      <c r="AT2650" s="183"/>
      <c r="AU2650" s="6"/>
      <c r="AV2650" s="6" t="str">
        <f t="shared" si="52"/>
        <v/>
      </c>
    </row>
    <row r="2651" spans="1:48" s="17" customFormat="1" ht="232.9" thickBot="1" x14ac:dyDescent="0.4">
      <c r="A2651" s="309" t="s">
        <v>5738</v>
      </c>
      <c r="B2651" s="310"/>
      <c r="C2651" s="301" t="s">
        <v>1</v>
      </c>
      <c r="D2651" s="319"/>
      <c r="E2651" s="319"/>
      <c r="F2651" s="302"/>
      <c r="G2651" s="102"/>
      <c r="H2651" s="102"/>
      <c r="J2651" s="18" t="s">
        <v>2473</v>
      </c>
      <c r="K2651" s="18" t="s">
        <v>2473</v>
      </c>
      <c r="M2651" s="145"/>
      <c r="N2651" s="8"/>
      <c r="O2651" s="8"/>
      <c r="P2651" s="8"/>
      <c r="Q2651" s="8"/>
      <c r="R2651" s="8"/>
      <c r="S2651" s="8"/>
      <c r="T2651" s="8"/>
      <c r="U2651" s="8"/>
      <c r="V2651" s="8"/>
      <c r="W2651" s="8"/>
      <c r="X2651" s="8"/>
      <c r="Y2651" s="145"/>
      <c r="Z2651" s="8"/>
      <c r="AA2651" s="183" t="str">
        <f>LEFT($A2651,FIND(" ",$A2651)-1)</f>
        <v>Fan</v>
      </c>
      <c r="AB2651" s="183" t="str">
        <f>MID($A2651,FIND("(",$A2651)+1,LEN($A2651)-FIND("(",$A2651)-1)</f>
        <v>1.4.0</v>
      </c>
      <c r="AC2651" s="101" t="str">
        <f>A2649</f>
        <v>The Fan schema describes a cooling fan unit for a computer system or similar devices contained within a chassis. It also describes the location, such as a slot, socket, or bay, where a unit can be installed, by populating a resource instance with an absent state if a unit is not present.</v>
      </c>
      <c r="AD2651" s="8"/>
      <c r="AE2651" s="154"/>
      <c r="AF2651" s="154"/>
      <c r="AG2651" s="8"/>
      <c r="AH2651" s="8"/>
      <c r="AI2651" s="8"/>
      <c r="AJ2651" s="8"/>
      <c r="AK2651" s="8"/>
      <c r="AL2651" s="8"/>
      <c r="AM2651" s="8"/>
      <c r="AN2651" s="8"/>
      <c r="AO2651" s="8"/>
      <c r="AP2651" s="8"/>
      <c r="AQ2651" s="8"/>
      <c r="AR2651" s="284"/>
      <c r="AS2651" s="262" t="s">
        <v>5751</v>
      </c>
      <c r="AT2651" s="8"/>
      <c r="AU2651" s="6"/>
      <c r="AV2651" s="6" t="str">
        <f t="shared" si="52"/>
        <v/>
      </c>
    </row>
    <row r="2652" spans="1:48" s="17" customFormat="1" ht="12" thickBot="1" x14ac:dyDescent="0.4">
      <c r="A2652" s="311"/>
      <c r="B2652" s="312"/>
      <c r="C2652" s="301" t="s">
        <v>2</v>
      </c>
      <c r="D2652" s="302"/>
      <c r="E2652" s="301" t="s">
        <v>3</v>
      </c>
      <c r="F2652" s="302"/>
      <c r="G2652" s="301" t="s">
        <v>2896</v>
      </c>
      <c r="H2652" s="302"/>
      <c r="J2652" s="18" t="s">
        <v>2473</v>
      </c>
      <c r="K2652" s="18" t="s">
        <v>2473</v>
      </c>
      <c r="M2652" s="145"/>
      <c r="N2652" s="8"/>
      <c r="O2652" s="8"/>
      <c r="P2652" s="8"/>
      <c r="Q2652" s="8"/>
      <c r="R2652" s="8"/>
      <c r="S2652" s="8"/>
      <c r="T2652" s="8"/>
      <c r="U2652" s="8"/>
      <c r="V2652" s="8"/>
      <c r="W2652" s="8"/>
      <c r="X2652" s="8"/>
      <c r="Y2652" s="145"/>
      <c r="Z2652" s="8"/>
      <c r="AA2652" s="8"/>
      <c r="AB2652" s="8"/>
      <c r="AC2652" s="8"/>
      <c r="AD2652" s="8"/>
      <c r="AE2652" s="154"/>
      <c r="AF2652" s="154"/>
      <c r="AG2652" s="8"/>
      <c r="AH2652" s="8"/>
      <c r="AI2652" s="8"/>
      <c r="AJ2652" s="8"/>
      <c r="AK2652" s="8"/>
      <c r="AL2652" s="8"/>
      <c r="AM2652" s="8" t="str">
        <f>C2652</f>
        <v>OSM-Redfish</v>
      </c>
      <c r="AN2652" s="8" t="str">
        <f>E2652</f>
        <v>OSM-RedfishBMC</v>
      </c>
      <c r="AO2652" s="8" t="str">
        <f>G2652</f>
        <v>OSM-RedfishDCN</v>
      </c>
      <c r="AP2652" s="8"/>
      <c r="AQ2652" s="8"/>
      <c r="AR2652" s="284"/>
      <c r="AS2652" s="262" t="s">
        <v>5751</v>
      </c>
      <c r="AT2652" s="8"/>
      <c r="AU2652" s="6"/>
      <c r="AV2652" s="6" t="str">
        <f t="shared" si="52"/>
        <v/>
      </c>
    </row>
    <row r="2653" spans="1:48" s="17" customFormat="1" ht="12" thickBot="1" x14ac:dyDescent="0.4">
      <c r="A2653" s="46" t="s">
        <v>2377</v>
      </c>
      <c r="B2653" s="47"/>
      <c r="C2653" s="303" t="s">
        <v>13</v>
      </c>
      <c r="D2653" s="304"/>
      <c r="E2653" s="303" t="s">
        <v>13</v>
      </c>
      <c r="F2653" s="304"/>
      <c r="G2653" s="303" t="s">
        <v>13</v>
      </c>
      <c r="H2653" s="304"/>
      <c r="J2653" s="18" t="s">
        <v>2473</v>
      </c>
      <c r="K2653" s="18" t="s">
        <v>2473</v>
      </c>
      <c r="M2653" s="145"/>
      <c r="N2653" s="8"/>
      <c r="O2653" s="8"/>
      <c r="P2653" s="8"/>
      <c r="Q2653" s="8"/>
      <c r="R2653" s="8"/>
      <c r="S2653" s="8"/>
      <c r="T2653" s="8"/>
      <c r="U2653" s="8"/>
      <c r="V2653" s="8"/>
      <c r="W2653" s="8"/>
      <c r="X2653" s="8"/>
      <c r="Y2653" s="145"/>
      <c r="Z2653" s="185"/>
      <c r="AA2653" s="185"/>
      <c r="AB2653" s="185"/>
      <c r="AC2653" s="185"/>
      <c r="AD2653" s="185"/>
      <c r="AE2653" s="186"/>
      <c r="AF2653" s="186"/>
      <c r="AG2653" s="185"/>
      <c r="AH2653" s="185"/>
      <c r="AI2653" s="185"/>
      <c r="AJ2653" s="185"/>
      <c r="AK2653" s="185"/>
      <c r="AL2653" s="185"/>
      <c r="AM2653" s="8" t="str">
        <f>IF(C2653&lt;&gt;"","CRQ-P5-"&amp;(AM$2+$AP2653*$AP$3),"")</f>
        <v>CRQ-P5-1032</v>
      </c>
      <c r="AN2653" s="8" t="str">
        <f>IF(E2653&lt;&gt;"","CRQ-P5-"&amp;(AN$2+$AP2653*$AP$3),"")</f>
        <v>CRQ-P5-1332</v>
      </c>
      <c r="AO2653" s="8" t="str">
        <f>IF(G2653&lt;&gt;"","CRQ-P5-"&amp;(AO$2+$AP2653*$AP$3),"")</f>
        <v>CRQ-P5-1632</v>
      </c>
      <c r="AP2653" s="185">
        <v>8</v>
      </c>
      <c r="AQ2653" s="185"/>
      <c r="AR2653" s="291"/>
      <c r="AS2653" s="262" t="s">
        <v>5751</v>
      </c>
      <c r="AT2653" s="185"/>
      <c r="AU2653" s="6"/>
      <c r="AV2653" s="6" t="str">
        <f t="shared" si="52"/>
        <v/>
      </c>
    </row>
    <row r="2654" spans="1:48" s="17" customFormat="1" ht="12" thickBot="1" x14ac:dyDescent="0.4">
      <c r="A2654" s="29" t="s">
        <v>3394</v>
      </c>
      <c r="B2654" s="9"/>
      <c r="C2654" s="305" t="str">
        <f>MID(A2651,FIND("(",A2651)+1,5)</f>
        <v>1.4.0</v>
      </c>
      <c r="D2654" s="306"/>
      <c r="E2654" s="305" t="str">
        <f>MID(A2651,FIND("(",A2651)+1,5)</f>
        <v>1.4.0</v>
      </c>
      <c r="F2654" s="306"/>
      <c r="G2654" s="305" t="str">
        <f>MID(A2651,FIND("(",A2651)+1,5)</f>
        <v>1.4.0</v>
      </c>
      <c r="H2654" s="306"/>
      <c r="J2654" s="18" t="s">
        <v>2473</v>
      </c>
      <c r="K2654" s="18" t="s">
        <v>2473</v>
      </c>
      <c r="M2654" s="145"/>
      <c r="N2654" s="8"/>
      <c r="O2654" s="8"/>
      <c r="P2654" s="8"/>
      <c r="Q2654" s="8"/>
      <c r="R2654" s="8"/>
      <c r="S2654" s="8"/>
      <c r="T2654" s="8"/>
      <c r="U2654" s="8"/>
      <c r="V2654" s="8"/>
      <c r="W2654" s="8"/>
      <c r="X2654" s="8"/>
      <c r="Y2654" s="145"/>
      <c r="Z2654" s="185"/>
      <c r="AA2654" s="185"/>
      <c r="AB2654" s="185"/>
      <c r="AC2654" s="185"/>
      <c r="AD2654" s="185"/>
      <c r="AE2654" s="186"/>
      <c r="AF2654" s="186"/>
      <c r="AG2654" s="185"/>
      <c r="AH2654" s="185"/>
      <c r="AI2654" s="185"/>
      <c r="AJ2654" s="185"/>
      <c r="AK2654" s="185"/>
      <c r="AL2654" s="185"/>
      <c r="AM2654" s="185"/>
      <c r="AN2654" s="185"/>
      <c r="AO2654" s="185"/>
      <c r="AP2654" s="185"/>
      <c r="AQ2654" s="185"/>
      <c r="AR2654" s="291"/>
      <c r="AS2654" s="262" t="s">
        <v>5751</v>
      </c>
      <c r="AT2654" s="185"/>
      <c r="AU2654" s="6"/>
      <c r="AV2654" s="6" t="str">
        <f t="shared" si="52"/>
        <v/>
      </c>
    </row>
    <row r="2655" spans="1:48" s="17" customFormat="1" ht="15" customHeight="1" thickBot="1" x14ac:dyDescent="0.4">
      <c r="A2655" s="30" t="s">
        <v>4</v>
      </c>
      <c r="B2655" s="59" t="s">
        <v>5</v>
      </c>
      <c r="C2655" s="7" t="s">
        <v>6</v>
      </c>
      <c r="D2655" s="7" t="s">
        <v>7</v>
      </c>
      <c r="E2655" s="7" t="s">
        <v>6</v>
      </c>
      <c r="F2655" s="7" t="s">
        <v>7</v>
      </c>
      <c r="G2655" s="7" t="s">
        <v>6</v>
      </c>
      <c r="H2655" s="7" t="s">
        <v>7</v>
      </c>
      <c r="J2655" s="18" t="s">
        <v>2473</v>
      </c>
      <c r="K2655" s="18" t="s">
        <v>2473</v>
      </c>
      <c r="M2655" s="145"/>
      <c r="N2655" s="8"/>
      <c r="O2655" s="8"/>
      <c r="P2655" s="8"/>
      <c r="Q2655" s="8"/>
      <c r="R2655" s="8"/>
      <c r="S2655" s="8"/>
      <c r="T2655" s="8"/>
      <c r="U2655" s="8"/>
      <c r="V2655" s="8"/>
      <c r="W2655" s="8"/>
      <c r="X2655" s="8"/>
      <c r="Y2655" s="145"/>
      <c r="Z2655" s="183"/>
      <c r="AA2655" s="183"/>
      <c r="AB2655" s="183"/>
      <c r="AC2655" s="183"/>
      <c r="AD2655" s="183"/>
      <c r="AE2655" s="184"/>
      <c r="AF2655" s="184"/>
      <c r="AG2655" s="183"/>
      <c r="AH2655" s="183"/>
      <c r="AI2655" s="183"/>
      <c r="AJ2655" s="183"/>
      <c r="AK2655" s="183"/>
      <c r="AL2655" s="183"/>
      <c r="AM2655" s="183"/>
      <c r="AN2655" s="183"/>
      <c r="AO2655" s="183"/>
      <c r="AP2655" s="183"/>
      <c r="AQ2655" s="183"/>
      <c r="AR2655" s="292"/>
      <c r="AS2655" s="262" t="s">
        <v>5751</v>
      </c>
      <c r="AT2655" s="183"/>
      <c r="AU2655" s="6"/>
      <c r="AV2655" s="6" t="str">
        <f t="shared" si="52"/>
        <v/>
      </c>
    </row>
    <row r="2656" spans="1:48" s="17" customFormat="1" ht="23.65" thickBot="1" x14ac:dyDescent="0.4">
      <c r="A2656" s="255" t="s">
        <v>181</v>
      </c>
      <c r="B2656" s="50" t="s">
        <v>5709</v>
      </c>
      <c r="C2656" s="21"/>
      <c r="D2656" s="21"/>
      <c r="E2656" s="21"/>
      <c r="F2656" s="21"/>
      <c r="G2656" s="21"/>
      <c r="H2656" s="21"/>
      <c r="J2656" s="18" t="s">
        <v>2473</v>
      </c>
      <c r="K2656" s="18" t="s">
        <v>2473</v>
      </c>
      <c r="M2656" s="248"/>
      <c r="Y2656" s="145"/>
      <c r="AR2656" s="290"/>
      <c r="AS2656" s="262" t="s">
        <v>5751</v>
      </c>
    </row>
    <row r="2657" spans="1:45" s="17" customFormat="1" ht="23.65" thickBot="1" x14ac:dyDescent="0.4">
      <c r="A2657" s="256" t="s">
        <v>33</v>
      </c>
      <c r="B2657" s="50" t="s">
        <v>5603</v>
      </c>
      <c r="C2657" s="21"/>
      <c r="D2657" s="21"/>
      <c r="E2657" s="21"/>
      <c r="F2657" s="21"/>
      <c r="G2657" s="21"/>
      <c r="H2657" s="21"/>
      <c r="J2657" s="18" t="s">
        <v>2473</v>
      </c>
      <c r="K2657" s="18" t="s">
        <v>2473</v>
      </c>
      <c r="M2657" s="248"/>
      <c r="Y2657" s="145"/>
      <c r="AR2657" s="290"/>
      <c r="AS2657" s="262" t="s">
        <v>5751</v>
      </c>
    </row>
    <row r="2658" spans="1:45" s="17" customFormat="1" ht="12" thickBot="1" x14ac:dyDescent="0.4">
      <c r="A2658" s="255" t="s">
        <v>5710</v>
      </c>
      <c r="B2658" s="50" t="s">
        <v>5711</v>
      </c>
      <c r="C2658" s="21"/>
      <c r="D2658" s="21"/>
      <c r="E2658" s="21"/>
      <c r="F2658" s="21"/>
      <c r="G2658" s="21"/>
      <c r="H2658" s="21"/>
      <c r="J2658" s="18" t="s">
        <v>2473</v>
      </c>
      <c r="K2658" s="18" t="s">
        <v>2473</v>
      </c>
      <c r="M2658" s="248"/>
      <c r="Y2658" s="145"/>
      <c r="AR2658" s="290"/>
      <c r="AS2658" s="262" t="s">
        <v>5751</v>
      </c>
    </row>
    <row r="2659" spans="1:45" s="17" customFormat="1" ht="23.65" thickBot="1" x14ac:dyDescent="0.4">
      <c r="A2659" s="255" t="s">
        <v>3101</v>
      </c>
      <c r="B2659" s="50" t="s">
        <v>5503</v>
      </c>
      <c r="C2659" s="21"/>
      <c r="D2659" s="21"/>
      <c r="E2659" s="21"/>
      <c r="F2659" s="21"/>
      <c r="G2659" s="21"/>
      <c r="H2659" s="21"/>
      <c r="J2659" s="18" t="s">
        <v>2473</v>
      </c>
      <c r="K2659" s="18" t="s">
        <v>2473</v>
      </c>
      <c r="M2659" s="248"/>
      <c r="Y2659" s="145"/>
      <c r="AR2659" s="290"/>
      <c r="AS2659" s="262" t="s">
        <v>5751</v>
      </c>
    </row>
    <row r="2660" spans="1:45" s="17" customFormat="1" ht="12" thickBot="1" x14ac:dyDescent="0.4">
      <c r="A2660" s="255" t="s">
        <v>75</v>
      </c>
      <c r="B2660" s="50" t="s">
        <v>5712</v>
      </c>
      <c r="C2660" s="21"/>
      <c r="D2660" s="21"/>
      <c r="E2660" s="21"/>
      <c r="F2660" s="21"/>
      <c r="G2660" s="21"/>
      <c r="H2660" s="21"/>
      <c r="J2660" s="18" t="s">
        <v>2473</v>
      </c>
      <c r="K2660" s="18" t="s">
        <v>2473</v>
      </c>
      <c r="M2660" s="248"/>
      <c r="Y2660" s="145"/>
      <c r="AR2660" s="290"/>
      <c r="AS2660" s="262" t="s">
        <v>5751</v>
      </c>
    </row>
    <row r="2661" spans="1:45" s="17" customFormat="1" ht="23.65" thickBot="1" x14ac:dyDescent="0.4">
      <c r="A2661" s="256" t="s">
        <v>5713</v>
      </c>
      <c r="B2661" s="50" t="s">
        <v>5714</v>
      </c>
      <c r="C2661" s="21"/>
      <c r="D2661" s="21"/>
      <c r="E2661" s="21"/>
      <c r="F2661" s="21"/>
      <c r="G2661" s="21"/>
      <c r="H2661" s="21"/>
      <c r="J2661" s="18" t="s">
        <v>2473</v>
      </c>
      <c r="K2661" s="18" t="s">
        <v>2473</v>
      </c>
      <c r="M2661" s="248"/>
      <c r="Y2661" s="145"/>
      <c r="AR2661" s="290"/>
      <c r="AS2661" s="262" t="s">
        <v>5751</v>
      </c>
    </row>
    <row r="2662" spans="1:45" s="17" customFormat="1" ht="23.65" thickBot="1" x14ac:dyDescent="0.4">
      <c r="A2662" s="256" t="s">
        <v>43</v>
      </c>
      <c r="B2662" s="50" t="s">
        <v>5519</v>
      </c>
      <c r="C2662" s="21"/>
      <c r="D2662" s="21"/>
      <c r="E2662" s="21"/>
      <c r="F2662" s="21"/>
      <c r="G2662" s="21"/>
      <c r="H2662" s="21"/>
      <c r="J2662" s="18" t="s">
        <v>2473</v>
      </c>
      <c r="K2662" s="18" t="s">
        <v>2473</v>
      </c>
      <c r="M2662" s="248"/>
      <c r="Y2662" s="145"/>
      <c r="AR2662" s="290"/>
      <c r="AS2662" s="262" t="s">
        <v>5751</v>
      </c>
    </row>
    <row r="2663" spans="1:45" s="17" customFormat="1" ht="12" thickBot="1" x14ac:dyDescent="0.4">
      <c r="A2663" s="256" t="s">
        <v>59</v>
      </c>
      <c r="B2663" s="50" t="s">
        <v>5423</v>
      </c>
      <c r="C2663" s="21"/>
      <c r="D2663" s="21"/>
      <c r="E2663" s="21"/>
      <c r="F2663" s="21"/>
      <c r="G2663" s="21"/>
      <c r="H2663" s="21"/>
      <c r="J2663" s="18" t="s">
        <v>2473</v>
      </c>
      <c r="K2663" s="18" t="s">
        <v>2473</v>
      </c>
      <c r="M2663" s="248"/>
      <c r="Y2663" s="145"/>
      <c r="AR2663" s="290"/>
      <c r="AS2663" s="262" t="s">
        <v>5751</v>
      </c>
    </row>
    <row r="2664" spans="1:45" s="17" customFormat="1" ht="12" thickBot="1" x14ac:dyDescent="0.4">
      <c r="A2664" s="255" t="s">
        <v>208</v>
      </c>
      <c r="B2664" s="50" t="s">
        <v>5715</v>
      </c>
      <c r="C2664" s="21"/>
      <c r="D2664" s="21"/>
      <c r="E2664" s="21"/>
      <c r="F2664" s="21"/>
      <c r="G2664" s="21"/>
      <c r="H2664" s="21"/>
      <c r="J2664" s="18" t="s">
        <v>2473</v>
      </c>
      <c r="K2664" s="18" t="s">
        <v>2473</v>
      </c>
      <c r="M2664" s="248"/>
      <c r="Y2664" s="145"/>
      <c r="AR2664" s="290"/>
      <c r="AS2664" s="262" t="s">
        <v>5751</v>
      </c>
    </row>
    <row r="2665" spans="1:45" s="17" customFormat="1" ht="12" thickBot="1" x14ac:dyDescent="0.4">
      <c r="A2665" s="255" t="s">
        <v>5381</v>
      </c>
      <c r="B2665" s="50" t="s">
        <v>5382</v>
      </c>
      <c r="C2665" s="21"/>
      <c r="D2665" s="21"/>
      <c r="E2665" s="21"/>
      <c r="F2665" s="21"/>
      <c r="G2665" s="21"/>
      <c r="H2665" s="21"/>
      <c r="J2665" s="18" t="s">
        <v>2473</v>
      </c>
      <c r="K2665" s="18" t="s">
        <v>2473</v>
      </c>
      <c r="M2665" s="248"/>
      <c r="Y2665" s="145"/>
      <c r="AR2665" s="290"/>
      <c r="AS2665" s="262" t="s">
        <v>5751</v>
      </c>
    </row>
    <row r="2666" spans="1:45" s="17" customFormat="1" ht="40.9" thickBot="1" x14ac:dyDescent="0.4">
      <c r="A2666" s="255" t="s">
        <v>99</v>
      </c>
      <c r="B2666" s="50" t="s">
        <v>2160</v>
      </c>
      <c r="C2666" s="21"/>
      <c r="D2666" s="21"/>
      <c r="E2666" s="21" t="s">
        <v>13</v>
      </c>
      <c r="F2666" s="21"/>
      <c r="G2666" s="21" t="s">
        <v>13</v>
      </c>
      <c r="H2666" s="21"/>
      <c r="J2666" s="18" t="s">
        <v>2473</v>
      </c>
      <c r="K2666" s="18" t="s">
        <v>2473</v>
      </c>
      <c r="M2666" s="248"/>
      <c r="Y2666" s="145"/>
      <c r="AR2666" s="290"/>
      <c r="AS2666" s="262" t="s">
        <v>5849</v>
      </c>
    </row>
    <row r="2667" spans="1:45" s="17" customFormat="1" ht="40.9" thickBot="1" x14ac:dyDescent="0.4">
      <c r="A2667" s="255" t="s">
        <v>114</v>
      </c>
      <c r="B2667" s="50" t="s">
        <v>2163</v>
      </c>
      <c r="C2667" s="21"/>
      <c r="D2667" s="21"/>
      <c r="E2667" s="21" t="s">
        <v>13</v>
      </c>
      <c r="F2667" s="21"/>
      <c r="G2667" s="21" t="s">
        <v>13</v>
      </c>
      <c r="H2667" s="21"/>
      <c r="J2667" s="18" t="s">
        <v>2473</v>
      </c>
      <c r="K2667" s="18" t="s">
        <v>2473</v>
      </c>
      <c r="M2667" s="248"/>
      <c r="Y2667" s="145"/>
      <c r="AR2667" s="290"/>
      <c r="AS2667" s="262" t="s">
        <v>5849</v>
      </c>
    </row>
    <row r="2668" spans="1:45" s="17" customFormat="1" ht="12" thickBot="1" x14ac:dyDescent="0.4">
      <c r="A2668" s="255" t="s">
        <v>244</v>
      </c>
      <c r="B2668" s="50" t="s">
        <v>2164</v>
      </c>
      <c r="C2668" s="21"/>
      <c r="D2668" s="21"/>
      <c r="E2668" s="21"/>
      <c r="F2668" s="21"/>
      <c r="G2668" s="21"/>
      <c r="H2668" s="21"/>
      <c r="J2668" s="18" t="s">
        <v>2473</v>
      </c>
      <c r="K2668" s="18" t="s">
        <v>2473</v>
      </c>
      <c r="M2668" s="248"/>
      <c r="Y2668" s="145"/>
      <c r="AR2668" s="290"/>
      <c r="AS2668" s="262" t="s">
        <v>5751</v>
      </c>
    </row>
    <row r="2669" spans="1:45" s="17" customFormat="1" ht="40.9" thickBot="1" x14ac:dyDescent="0.4">
      <c r="A2669" s="255" t="s">
        <v>686</v>
      </c>
      <c r="B2669" s="50" t="s">
        <v>5716</v>
      </c>
      <c r="C2669" s="21"/>
      <c r="D2669" s="21"/>
      <c r="E2669" s="21" t="s">
        <v>13</v>
      </c>
      <c r="F2669" s="21"/>
      <c r="G2669" s="21" t="s">
        <v>13</v>
      </c>
      <c r="H2669" s="21"/>
      <c r="J2669" s="18" t="s">
        <v>2473</v>
      </c>
      <c r="K2669" s="18" t="s">
        <v>2473</v>
      </c>
      <c r="M2669" s="248"/>
      <c r="Y2669" s="145"/>
      <c r="AR2669" s="290"/>
      <c r="AS2669" s="262" t="s">
        <v>5849</v>
      </c>
    </row>
    <row r="2670" spans="1:45" s="17" customFormat="1" ht="23.65" thickBot="1" x14ac:dyDescent="0.4">
      <c r="A2670" s="255" t="s">
        <v>3089</v>
      </c>
      <c r="B2670" s="50" t="s">
        <v>5717</v>
      </c>
      <c r="C2670" s="21"/>
      <c r="D2670" s="21"/>
      <c r="E2670" s="21"/>
      <c r="F2670" s="21"/>
      <c r="G2670" s="21"/>
      <c r="H2670" s="21"/>
      <c r="J2670" s="18" t="s">
        <v>2473</v>
      </c>
      <c r="K2670" s="18" t="s">
        <v>2473</v>
      </c>
      <c r="M2670" s="248"/>
      <c r="Y2670" s="145"/>
      <c r="AR2670" s="290"/>
      <c r="AS2670" s="262" t="s">
        <v>5751</v>
      </c>
    </row>
    <row r="2671" spans="1:45" s="17" customFormat="1" ht="23.65" thickBot="1" x14ac:dyDescent="0.4">
      <c r="A2671" s="256" t="s">
        <v>5580</v>
      </c>
      <c r="B2671" s="50" t="s">
        <v>5581</v>
      </c>
      <c r="C2671" s="21"/>
      <c r="D2671" s="21"/>
      <c r="E2671" s="21"/>
      <c r="F2671" s="21"/>
      <c r="G2671" s="21"/>
      <c r="H2671" s="21"/>
      <c r="J2671" s="18" t="s">
        <v>2473</v>
      </c>
      <c r="K2671" s="18" t="s">
        <v>2473</v>
      </c>
      <c r="M2671" s="248"/>
      <c r="Y2671" s="145"/>
      <c r="AR2671" s="290"/>
      <c r="AS2671" s="262" t="s">
        <v>5751</v>
      </c>
    </row>
    <row r="2672" spans="1:45" s="17" customFormat="1" ht="12" thickBot="1" x14ac:dyDescent="0.4">
      <c r="A2672" s="256" t="s">
        <v>5550</v>
      </c>
      <c r="B2672" s="50" t="s">
        <v>5551</v>
      </c>
      <c r="C2672" s="21"/>
      <c r="D2672" s="21"/>
      <c r="E2672" s="21"/>
      <c r="F2672" s="21"/>
      <c r="G2672" s="21"/>
      <c r="H2672" s="21"/>
      <c r="J2672" s="18" t="s">
        <v>2473</v>
      </c>
      <c r="K2672" s="18" t="s">
        <v>2473</v>
      </c>
      <c r="M2672" s="248"/>
      <c r="Y2672" s="145"/>
      <c r="AR2672" s="290"/>
      <c r="AS2672" s="262" t="s">
        <v>5751</v>
      </c>
    </row>
    <row r="2673" spans="1:45" s="17" customFormat="1" ht="23.65" thickBot="1" x14ac:dyDescent="0.4">
      <c r="A2673" s="256" t="s">
        <v>5582</v>
      </c>
      <c r="B2673" s="50" t="s">
        <v>5583</v>
      </c>
      <c r="C2673" s="21"/>
      <c r="D2673" s="21"/>
      <c r="E2673" s="21"/>
      <c r="F2673" s="21"/>
      <c r="G2673" s="21"/>
      <c r="H2673" s="21"/>
      <c r="J2673" s="18" t="s">
        <v>2473</v>
      </c>
      <c r="K2673" s="18" t="s">
        <v>2473</v>
      </c>
      <c r="M2673" s="248"/>
      <c r="Y2673" s="145"/>
      <c r="AR2673" s="290"/>
      <c r="AS2673" s="262" t="s">
        <v>5751</v>
      </c>
    </row>
    <row r="2674" spans="1:45" s="17" customFormat="1" ht="12" thickBot="1" x14ac:dyDescent="0.4">
      <c r="A2674" s="256" t="s">
        <v>5584</v>
      </c>
      <c r="B2674" s="50" t="s">
        <v>5585</v>
      </c>
      <c r="C2674" s="21"/>
      <c r="D2674" s="21"/>
      <c r="E2674" s="21"/>
      <c r="F2674" s="21"/>
      <c r="G2674" s="21"/>
      <c r="H2674" s="21"/>
      <c r="J2674" s="18" t="s">
        <v>2473</v>
      </c>
      <c r="K2674" s="18" t="s">
        <v>2473</v>
      </c>
      <c r="M2674" s="248"/>
      <c r="Y2674" s="145"/>
      <c r="AR2674" s="290"/>
      <c r="AS2674" s="262" t="s">
        <v>5751</v>
      </c>
    </row>
    <row r="2675" spans="1:45" s="17" customFormat="1" ht="23.65" thickBot="1" x14ac:dyDescent="0.4">
      <c r="A2675" s="256" t="s">
        <v>5586</v>
      </c>
      <c r="B2675" s="50" t="s">
        <v>5587</v>
      </c>
      <c r="C2675" s="21"/>
      <c r="D2675" s="21"/>
      <c r="E2675" s="21"/>
      <c r="F2675" s="21"/>
      <c r="G2675" s="21"/>
      <c r="H2675" s="21"/>
      <c r="J2675" s="18" t="s">
        <v>2473</v>
      </c>
      <c r="K2675" s="18" t="s">
        <v>2473</v>
      </c>
      <c r="M2675" s="248"/>
      <c r="Y2675" s="145"/>
      <c r="AR2675" s="290"/>
      <c r="AS2675" s="262" t="s">
        <v>5751</v>
      </c>
    </row>
    <row r="2676" spans="1:45" s="17" customFormat="1" ht="12" thickBot="1" x14ac:dyDescent="0.4">
      <c r="A2676" s="256" t="s">
        <v>2165</v>
      </c>
      <c r="B2676" s="50" t="s">
        <v>5557</v>
      </c>
      <c r="C2676" s="21"/>
      <c r="D2676" s="21"/>
      <c r="E2676" s="21"/>
      <c r="F2676" s="21"/>
      <c r="G2676" s="21"/>
      <c r="H2676" s="21"/>
      <c r="J2676" s="18" t="s">
        <v>2473</v>
      </c>
      <c r="K2676" s="18" t="s">
        <v>2473</v>
      </c>
      <c r="M2676" s="248"/>
      <c r="Y2676" s="145"/>
      <c r="AR2676" s="290"/>
      <c r="AS2676" s="262" t="s">
        <v>5751</v>
      </c>
    </row>
    <row r="2677" spans="1:45" s="17" customFormat="1" ht="23.65" thickBot="1" x14ac:dyDescent="0.4">
      <c r="A2677" s="255" t="s">
        <v>5539</v>
      </c>
      <c r="B2677" s="50" t="s">
        <v>5718</v>
      </c>
      <c r="C2677" s="21"/>
      <c r="D2677" s="21"/>
      <c r="E2677" s="21"/>
      <c r="F2677" s="21"/>
      <c r="G2677" s="21"/>
      <c r="H2677" s="21"/>
      <c r="J2677" s="18" t="s">
        <v>2473</v>
      </c>
      <c r="K2677" s="18" t="s">
        <v>2473</v>
      </c>
      <c r="M2677" s="248"/>
      <c r="Y2677" s="145"/>
      <c r="AR2677" s="290"/>
      <c r="AS2677" s="262" t="s">
        <v>5751</v>
      </c>
    </row>
    <row r="2678" spans="1:45" s="17" customFormat="1" ht="12" thickBot="1" x14ac:dyDescent="0.4">
      <c r="A2678" s="255" t="s">
        <v>140</v>
      </c>
      <c r="B2678" s="50" t="s">
        <v>2171</v>
      </c>
      <c r="C2678" s="21"/>
      <c r="D2678" s="21"/>
      <c r="E2678" s="21"/>
      <c r="F2678" s="21"/>
      <c r="G2678" s="21"/>
      <c r="H2678" s="21"/>
      <c r="J2678" s="18" t="s">
        <v>2473</v>
      </c>
      <c r="K2678" s="18" t="s">
        <v>2473</v>
      </c>
      <c r="M2678" s="248"/>
      <c r="Y2678" s="145"/>
      <c r="AR2678" s="290"/>
      <c r="AS2678" s="262" t="s">
        <v>5751</v>
      </c>
    </row>
    <row r="2679" spans="1:45" s="17" customFormat="1" ht="12" thickBot="1" x14ac:dyDescent="0.4">
      <c r="A2679" s="255" t="s">
        <v>5541</v>
      </c>
      <c r="B2679" s="50" t="s">
        <v>2172</v>
      </c>
      <c r="C2679" s="21"/>
      <c r="D2679" s="21"/>
      <c r="E2679" s="21"/>
      <c r="F2679" s="21"/>
      <c r="G2679" s="21"/>
      <c r="H2679" s="21"/>
      <c r="J2679" s="18" t="s">
        <v>2473</v>
      </c>
      <c r="K2679" s="18" t="s">
        <v>2473</v>
      </c>
      <c r="M2679" s="248"/>
      <c r="Y2679" s="145"/>
      <c r="AR2679" s="290"/>
      <c r="AS2679" s="262" t="s">
        <v>5751</v>
      </c>
    </row>
    <row r="2680" spans="1:45" s="17" customFormat="1" ht="111.75" thickBot="1" x14ac:dyDescent="0.4">
      <c r="A2680" s="255" t="s">
        <v>5848</v>
      </c>
      <c r="B2680" s="72" t="s">
        <v>5883</v>
      </c>
      <c r="C2680" s="21"/>
      <c r="D2680" s="21"/>
      <c r="E2680" s="21" t="s">
        <v>10</v>
      </c>
      <c r="F2680" s="21"/>
      <c r="G2680" s="21" t="s">
        <v>10</v>
      </c>
      <c r="H2680" s="21"/>
      <c r="J2680" s="18" t="s">
        <v>2473</v>
      </c>
      <c r="K2680" s="18" t="s">
        <v>2473</v>
      </c>
      <c r="M2680" s="248"/>
      <c r="Y2680" s="145"/>
      <c r="AR2680" s="290"/>
      <c r="AS2680" s="263" t="s">
        <v>5884</v>
      </c>
    </row>
    <row r="2681" spans="1:45" s="17" customFormat="1" ht="12" thickBot="1" x14ac:dyDescent="0.4">
      <c r="A2681" s="256" t="s">
        <v>5550</v>
      </c>
      <c r="B2681" s="50" t="s">
        <v>5551</v>
      </c>
      <c r="C2681" s="21"/>
      <c r="D2681" s="21"/>
      <c r="E2681" s="21"/>
      <c r="F2681" s="21"/>
      <c r="G2681" s="21"/>
      <c r="H2681" s="21"/>
      <c r="J2681" s="18" t="s">
        <v>2473</v>
      </c>
      <c r="K2681" s="18" t="s">
        <v>2473</v>
      </c>
      <c r="M2681" s="248"/>
      <c r="Y2681" s="145"/>
      <c r="AR2681" s="290"/>
      <c r="AS2681" s="262" t="s">
        <v>5751</v>
      </c>
    </row>
    <row r="2682" spans="1:45" s="17" customFormat="1" ht="40.9" thickBot="1" x14ac:dyDescent="0.4">
      <c r="A2682" s="256" t="s">
        <v>2165</v>
      </c>
      <c r="B2682" s="50" t="s">
        <v>5557</v>
      </c>
      <c r="C2682" s="21"/>
      <c r="D2682" s="21"/>
      <c r="E2682" s="21" t="s">
        <v>10</v>
      </c>
      <c r="F2682" s="21"/>
      <c r="G2682" s="21" t="s">
        <v>10</v>
      </c>
      <c r="H2682" s="21"/>
      <c r="J2682" s="18" t="s">
        <v>2473</v>
      </c>
      <c r="K2682" s="18" t="s">
        <v>2473</v>
      </c>
      <c r="M2682" s="248"/>
      <c r="Y2682" s="145"/>
      <c r="AR2682" s="290"/>
      <c r="AS2682" s="262" t="s">
        <v>5849</v>
      </c>
    </row>
    <row r="2683" spans="1:45" s="17" customFormat="1" ht="40.9" thickBot="1" x14ac:dyDescent="0.4">
      <c r="A2683" s="256" t="s">
        <v>5562</v>
      </c>
      <c r="B2683" s="50" t="s">
        <v>5563</v>
      </c>
      <c r="C2683" s="21"/>
      <c r="D2683" s="21"/>
      <c r="E2683" s="21" t="s">
        <v>10</v>
      </c>
      <c r="F2683" s="21"/>
      <c r="G2683" s="21" t="s">
        <v>10</v>
      </c>
      <c r="H2683" s="21"/>
      <c r="J2683" s="18" t="s">
        <v>2473</v>
      </c>
      <c r="K2683" s="18" t="s">
        <v>2473</v>
      </c>
      <c r="M2683" s="248"/>
      <c r="Y2683" s="145"/>
      <c r="AR2683" s="290"/>
      <c r="AS2683" s="262" t="s">
        <v>5849</v>
      </c>
    </row>
    <row r="2684" spans="1:45" s="17" customFormat="1" ht="23.65" thickBot="1" x14ac:dyDescent="0.4">
      <c r="A2684" s="255" t="s">
        <v>145</v>
      </c>
      <c r="B2684" s="50" t="s">
        <v>5431</v>
      </c>
      <c r="C2684" s="21"/>
      <c r="D2684" s="21"/>
      <c r="E2684" s="21"/>
      <c r="F2684" s="21"/>
      <c r="G2684" s="21"/>
      <c r="H2684" s="21"/>
      <c r="J2684" s="18" t="s">
        <v>2473</v>
      </c>
      <c r="K2684" s="18" t="s">
        <v>2473</v>
      </c>
      <c r="M2684" s="248"/>
      <c r="Y2684" s="145"/>
      <c r="AR2684" s="290"/>
      <c r="AS2684" s="262" t="s">
        <v>5751</v>
      </c>
    </row>
    <row r="2685" spans="1:45" s="17" customFormat="1" ht="12" thickBot="1" x14ac:dyDescent="0.4">
      <c r="A2685" s="256" t="s">
        <v>5432</v>
      </c>
      <c r="B2685" s="50" t="s">
        <v>5433</v>
      </c>
      <c r="C2685" s="21"/>
      <c r="D2685" s="21"/>
      <c r="E2685" s="21"/>
      <c r="F2685" s="21"/>
      <c r="G2685" s="21"/>
      <c r="H2685" s="21"/>
      <c r="J2685" s="18" t="s">
        <v>2473</v>
      </c>
      <c r="K2685" s="18" t="s">
        <v>2473</v>
      </c>
      <c r="M2685" s="248"/>
      <c r="Y2685" s="145"/>
      <c r="AR2685" s="290"/>
      <c r="AS2685" s="262" t="s">
        <v>5751</v>
      </c>
    </row>
    <row r="2686" spans="1:45" s="17" customFormat="1" ht="12" thickBot="1" x14ac:dyDescent="0.4">
      <c r="A2686" s="256" t="s">
        <v>5434</v>
      </c>
      <c r="B2686" s="50" t="s">
        <v>5435</v>
      </c>
      <c r="C2686" s="21"/>
      <c r="D2686" s="21"/>
      <c r="E2686" s="21"/>
      <c r="F2686" s="21"/>
      <c r="G2686" s="21"/>
      <c r="H2686" s="21"/>
      <c r="J2686" s="18" t="s">
        <v>2473</v>
      </c>
      <c r="K2686" s="18" t="s">
        <v>2473</v>
      </c>
      <c r="M2686" s="248"/>
      <c r="Y2686" s="145"/>
      <c r="AR2686" s="290"/>
      <c r="AS2686" s="262" t="s">
        <v>5751</v>
      </c>
    </row>
    <row r="2687" spans="1:45" s="17" customFormat="1" ht="12" thickBot="1" x14ac:dyDescent="0.4">
      <c r="A2687" s="256" t="s">
        <v>1994</v>
      </c>
      <c r="B2687" s="50" t="s">
        <v>5436</v>
      </c>
      <c r="C2687" s="21"/>
      <c r="D2687" s="21"/>
      <c r="E2687" s="21"/>
      <c r="F2687" s="21"/>
      <c r="G2687" s="21"/>
      <c r="H2687" s="21"/>
      <c r="J2687" s="18" t="s">
        <v>2473</v>
      </c>
      <c r="K2687" s="18" t="s">
        <v>2473</v>
      </c>
      <c r="M2687" s="248"/>
      <c r="Y2687" s="145"/>
      <c r="AR2687" s="290"/>
      <c r="AS2687" s="262" t="s">
        <v>5751</v>
      </c>
    </row>
    <row r="2688" spans="1:45" s="17" customFormat="1" ht="12" thickBot="1" x14ac:dyDescent="0.4">
      <c r="A2688" s="256" t="s">
        <v>5437</v>
      </c>
      <c r="B2688" s="50" t="s">
        <v>5438</v>
      </c>
      <c r="C2688" s="21"/>
      <c r="D2688" s="21"/>
      <c r="E2688" s="21"/>
      <c r="F2688" s="21"/>
      <c r="G2688" s="21"/>
      <c r="H2688" s="21"/>
      <c r="J2688" s="18" t="s">
        <v>2473</v>
      </c>
      <c r="K2688" s="18" t="s">
        <v>2473</v>
      </c>
      <c r="M2688" s="248"/>
      <c r="Y2688" s="145"/>
      <c r="AR2688" s="290"/>
      <c r="AS2688" s="262" t="s">
        <v>5751</v>
      </c>
    </row>
    <row r="2689" spans="1:48" s="17" customFormat="1" ht="23.65" thickBot="1" x14ac:dyDescent="0.4">
      <c r="A2689" s="256" t="s">
        <v>5439</v>
      </c>
      <c r="B2689" s="50" t="s">
        <v>5440</v>
      </c>
      <c r="C2689" s="21"/>
      <c r="D2689" s="21"/>
      <c r="E2689" s="21"/>
      <c r="F2689" s="21"/>
      <c r="G2689" s="21"/>
      <c r="H2689" s="21"/>
      <c r="J2689" s="18" t="s">
        <v>2473</v>
      </c>
      <c r="K2689" s="18" t="s">
        <v>2473</v>
      </c>
      <c r="M2689" s="248"/>
      <c r="Y2689" s="145"/>
      <c r="AR2689" s="290"/>
      <c r="AS2689" s="262" t="s">
        <v>5751</v>
      </c>
    </row>
    <row r="2690" spans="1:48" s="17" customFormat="1" ht="12" thickBot="1" x14ac:dyDescent="0.4">
      <c r="A2690" s="256" t="s">
        <v>5441</v>
      </c>
      <c r="B2690" s="50" t="s">
        <v>5442</v>
      </c>
      <c r="C2690" s="21"/>
      <c r="D2690" s="21"/>
      <c r="E2690" s="21"/>
      <c r="F2690" s="21"/>
      <c r="G2690" s="21"/>
      <c r="H2690" s="21"/>
      <c r="J2690" s="18" t="s">
        <v>2473</v>
      </c>
      <c r="K2690" s="18" t="s">
        <v>2473</v>
      </c>
      <c r="M2690" s="248"/>
      <c r="Y2690" s="145"/>
      <c r="AR2690" s="290"/>
      <c r="AS2690" s="262" t="s">
        <v>5751</v>
      </c>
    </row>
    <row r="2691" spans="1:48" s="17" customFormat="1" ht="12" thickBot="1" x14ac:dyDescent="0.4">
      <c r="A2691" s="256" t="s">
        <v>5443</v>
      </c>
      <c r="B2691" s="50" t="s">
        <v>5444</v>
      </c>
      <c r="C2691" s="21"/>
      <c r="D2691" s="21"/>
      <c r="E2691" s="21"/>
      <c r="F2691" s="21"/>
      <c r="G2691" s="21"/>
      <c r="H2691" s="21"/>
      <c r="J2691" s="18" t="s">
        <v>2473</v>
      </c>
      <c r="K2691" s="18" t="s">
        <v>2473</v>
      </c>
      <c r="M2691" s="248"/>
      <c r="Y2691" s="145"/>
      <c r="AR2691" s="290"/>
      <c r="AS2691" s="262" t="s">
        <v>5751</v>
      </c>
    </row>
    <row r="2692" spans="1:48" s="17" customFormat="1" ht="12" thickBot="1" x14ac:dyDescent="0.4">
      <c r="A2692" s="256" t="s">
        <v>1994</v>
      </c>
      <c r="B2692" s="50" t="s">
        <v>84</v>
      </c>
      <c r="C2692" s="21"/>
      <c r="D2692" s="21"/>
      <c r="E2692" s="21"/>
      <c r="F2692" s="21"/>
      <c r="G2692" s="21"/>
      <c r="H2692" s="21"/>
      <c r="J2692" s="18" t="s">
        <v>2473</v>
      </c>
      <c r="K2692" s="18" t="s">
        <v>2473</v>
      </c>
      <c r="M2692" s="248"/>
      <c r="Y2692" s="145"/>
      <c r="AR2692" s="290"/>
      <c r="AS2692" s="262" t="s">
        <v>5751</v>
      </c>
    </row>
    <row r="2693" spans="1:48" s="17" customFormat="1" ht="12" thickBot="1" x14ac:dyDescent="0.4">
      <c r="A2693" s="256" t="s">
        <v>5445</v>
      </c>
      <c r="B2693" s="50" t="s">
        <v>5446</v>
      </c>
      <c r="C2693" s="21"/>
      <c r="D2693" s="21"/>
      <c r="E2693" s="21"/>
      <c r="F2693" s="21"/>
      <c r="G2693" s="21"/>
      <c r="H2693" s="21"/>
      <c r="J2693" s="18" t="s">
        <v>2473</v>
      </c>
      <c r="K2693" s="18" t="s">
        <v>2473</v>
      </c>
      <c r="M2693" s="248"/>
      <c r="Y2693" s="145"/>
      <c r="AR2693" s="290"/>
      <c r="AS2693" s="262" t="s">
        <v>5751</v>
      </c>
    </row>
    <row r="2694" spans="1:48" s="17" customFormat="1" ht="23.65" thickBot="1" x14ac:dyDescent="0.4">
      <c r="A2694" s="256" t="s">
        <v>5447</v>
      </c>
      <c r="B2694" s="50" t="s">
        <v>5448</v>
      </c>
      <c r="C2694" s="21"/>
      <c r="D2694" s="21"/>
      <c r="E2694" s="21"/>
      <c r="F2694" s="21"/>
      <c r="G2694" s="21"/>
      <c r="H2694" s="21"/>
      <c r="J2694" s="18" t="s">
        <v>2473</v>
      </c>
      <c r="K2694" s="18" t="s">
        <v>2473</v>
      </c>
      <c r="M2694" s="248"/>
      <c r="Y2694" s="145"/>
      <c r="AR2694" s="290"/>
      <c r="AS2694" s="262" t="s">
        <v>5751</v>
      </c>
    </row>
    <row r="2695" spans="1:48" s="17" customFormat="1" ht="12" thickBot="1" x14ac:dyDescent="0.4">
      <c r="A2695" s="256" t="s">
        <v>5449</v>
      </c>
      <c r="B2695" s="50" t="s">
        <v>5450</v>
      </c>
      <c r="C2695" s="21"/>
      <c r="D2695" s="21"/>
      <c r="E2695" s="21"/>
      <c r="F2695" s="21"/>
      <c r="G2695" s="21"/>
      <c r="H2695" s="21"/>
      <c r="J2695" s="18" t="s">
        <v>2473</v>
      </c>
      <c r="K2695" s="18" t="s">
        <v>2473</v>
      </c>
      <c r="M2695" s="248"/>
      <c r="Y2695" s="145"/>
      <c r="AR2695" s="290"/>
      <c r="AS2695" s="262" t="s">
        <v>5751</v>
      </c>
    </row>
    <row r="2696" spans="1:48" s="17" customFormat="1" ht="23.65" thickBot="1" x14ac:dyDescent="0.4">
      <c r="A2696" s="256" t="s">
        <v>5361</v>
      </c>
      <c r="B2696" s="50" t="s">
        <v>5451</v>
      </c>
      <c r="C2696" s="21"/>
      <c r="D2696" s="21"/>
      <c r="E2696" s="21"/>
      <c r="F2696" s="21"/>
      <c r="G2696" s="21"/>
      <c r="H2696" s="21"/>
      <c r="J2696" s="18" t="s">
        <v>2473</v>
      </c>
      <c r="K2696" s="18" t="s">
        <v>2473</v>
      </c>
      <c r="M2696" s="248"/>
      <c r="Y2696" s="145"/>
      <c r="AR2696" s="290"/>
      <c r="AS2696" s="262" t="s">
        <v>5751</v>
      </c>
    </row>
    <row r="2697" spans="1:48" s="17" customFormat="1" ht="23.65" thickBot="1" x14ac:dyDescent="0.4">
      <c r="A2697" s="256" t="s">
        <v>5360</v>
      </c>
      <c r="B2697" s="50" t="s">
        <v>5452</v>
      </c>
      <c r="C2697" s="21"/>
      <c r="D2697" s="21"/>
      <c r="E2697" s="21"/>
      <c r="F2697" s="21"/>
      <c r="G2697" s="21"/>
      <c r="H2697" s="21"/>
      <c r="J2697" s="18" t="s">
        <v>2473</v>
      </c>
      <c r="K2697" s="18" t="s">
        <v>2473</v>
      </c>
      <c r="M2697" s="248"/>
      <c r="Y2697" s="145"/>
      <c r="AR2697" s="290"/>
      <c r="AS2697" s="262" t="s">
        <v>5751</v>
      </c>
    </row>
    <row r="2698" spans="1:48" s="17" customFormat="1" ht="12" thickBot="1" x14ac:dyDescent="0.4">
      <c r="A2698" s="256" t="s">
        <v>59</v>
      </c>
      <c r="B2698" s="50" t="s">
        <v>5423</v>
      </c>
      <c r="C2698" s="21"/>
      <c r="D2698" s="21"/>
      <c r="E2698" s="21"/>
      <c r="F2698" s="21"/>
      <c r="G2698" s="21"/>
      <c r="H2698" s="21"/>
      <c r="J2698" s="18" t="s">
        <v>2473</v>
      </c>
      <c r="K2698" s="18" t="s">
        <v>2473</v>
      </c>
      <c r="M2698" s="248"/>
      <c r="Y2698" s="145"/>
      <c r="AR2698" s="290"/>
      <c r="AS2698" s="262" t="s">
        <v>5751</v>
      </c>
    </row>
    <row r="2699" spans="1:48" s="17" customFormat="1" ht="23.65" thickBot="1" x14ac:dyDescent="0.4">
      <c r="A2699" s="256" t="s">
        <v>2575</v>
      </c>
      <c r="B2699" s="50" t="s">
        <v>5453</v>
      </c>
      <c r="C2699" s="21"/>
      <c r="D2699" s="21"/>
      <c r="E2699" s="21"/>
      <c r="F2699" s="21"/>
      <c r="G2699" s="21"/>
      <c r="H2699" s="21"/>
      <c r="J2699" s="18" t="s">
        <v>2473</v>
      </c>
      <c r="K2699" s="18" t="s">
        <v>2473</v>
      </c>
      <c r="M2699" s="248"/>
      <c r="Y2699" s="145"/>
      <c r="AR2699" s="290"/>
      <c r="AS2699" s="262" t="s">
        <v>5751</v>
      </c>
    </row>
    <row r="2700" spans="1:48" s="17" customFormat="1" ht="11.65" x14ac:dyDescent="0.35">
      <c r="A2700" s="33" t="s">
        <v>5881</v>
      </c>
      <c r="C2700" s="18"/>
      <c r="D2700" s="18"/>
      <c r="E2700" s="18"/>
      <c r="F2700" s="18"/>
      <c r="G2700" s="18"/>
      <c r="H2700" s="18"/>
      <c r="J2700" s="18" t="s">
        <v>2473</v>
      </c>
      <c r="K2700" s="18" t="s">
        <v>2473</v>
      </c>
      <c r="M2700" s="145"/>
      <c r="N2700" s="8"/>
      <c r="O2700" s="8"/>
      <c r="P2700" s="8"/>
      <c r="Q2700" s="8"/>
      <c r="R2700" s="8"/>
      <c r="S2700" s="8"/>
      <c r="T2700" s="8"/>
      <c r="U2700" s="8"/>
      <c r="V2700" s="8"/>
      <c r="W2700" s="8"/>
      <c r="X2700" s="8"/>
      <c r="Y2700" s="145"/>
      <c r="Z2700" s="8"/>
      <c r="AA2700" s="8"/>
      <c r="AB2700" s="8"/>
      <c r="AC2700" s="8"/>
      <c r="AD2700" s="8"/>
      <c r="AE2700" s="154"/>
      <c r="AF2700" s="154"/>
      <c r="AG2700" s="8"/>
      <c r="AH2700" s="8"/>
      <c r="AI2700" s="8"/>
      <c r="AJ2700" s="8"/>
      <c r="AK2700" s="8"/>
      <c r="AL2700" s="8"/>
      <c r="AM2700" s="8"/>
      <c r="AN2700" s="8"/>
      <c r="AO2700" s="8"/>
      <c r="AP2700" s="8"/>
      <c r="AQ2700" s="8"/>
      <c r="AR2700" s="284"/>
      <c r="AS2700" s="262" t="s">
        <v>5751</v>
      </c>
      <c r="AT2700" s="8"/>
      <c r="AU2700" s="6"/>
      <c r="AV2700" s="6" t="str">
        <f t="shared" ref="AV2700:AV2701" si="53">IF(A2700&lt;&gt;"",IF(T2700&lt;&gt;"",IF(LEFT(R2700,3)="Has",IF(TRIM(A2700)&lt;&gt;T2700,"ERROR","OK"),""),""),"")</f>
        <v/>
      </c>
    </row>
    <row r="2701" spans="1:48" s="17" customFormat="1" ht="11.65" x14ac:dyDescent="0.35">
      <c r="A2701" s="34" t="s">
        <v>5750</v>
      </c>
      <c r="C2701" s="18"/>
      <c r="D2701" s="18"/>
      <c r="E2701" s="18"/>
      <c r="F2701" s="18"/>
      <c r="G2701" s="18"/>
      <c r="H2701" s="18"/>
      <c r="J2701" s="18" t="s">
        <v>2473</v>
      </c>
      <c r="K2701" s="18" t="s">
        <v>2473</v>
      </c>
      <c r="M2701" s="145"/>
      <c r="N2701" s="8"/>
      <c r="O2701" s="8"/>
      <c r="P2701" s="8"/>
      <c r="Q2701" s="8"/>
      <c r="R2701" s="8"/>
      <c r="S2701" s="8"/>
      <c r="T2701" s="8"/>
      <c r="U2701" s="8"/>
      <c r="V2701" s="8"/>
      <c r="W2701" s="8"/>
      <c r="X2701" s="8"/>
      <c r="Y2701" s="145"/>
      <c r="Z2701" s="8"/>
      <c r="AA2701" s="8"/>
      <c r="AB2701" s="8"/>
      <c r="AC2701" s="8"/>
      <c r="AD2701" s="8"/>
      <c r="AE2701" s="154"/>
      <c r="AF2701" s="154"/>
      <c r="AG2701" s="8"/>
      <c r="AH2701" s="8"/>
      <c r="AI2701" s="8"/>
      <c r="AJ2701" s="8"/>
      <c r="AK2701" s="8"/>
      <c r="AL2701" s="8"/>
      <c r="AM2701" s="8"/>
      <c r="AN2701" s="8"/>
      <c r="AO2701" s="8"/>
      <c r="AP2701" s="8"/>
      <c r="AQ2701" s="8"/>
      <c r="AR2701" s="284"/>
      <c r="AS2701" s="262" t="s">
        <v>5751</v>
      </c>
      <c r="AT2701" s="8"/>
      <c r="AU2701" s="6"/>
      <c r="AV2701" s="6" t="str">
        <f t="shared" si="53"/>
        <v/>
      </c>
    </row>
    <row r="2702" spans="1:48" s="79" customFormat="1" x14ac:dyDescent="0.45">
      <c r="A2702" s="75"/>
      <c r="B2702" s="76"/>
      <c r="C2702" s="77"/>
      <c r="D2702" s="77"/>
      <c r="E2702" s="77"/>
      <c r="F2702" s="77"/>
      <c r="G2702" s="77"/>
      <c r="H2702" s="77"/>
      <c r="I2702" s="77"/>
      <c r="J2702" s="77"/>
      <c r="K2702" s="77"/>
      <c r="L2702" s="77"/>
      <c r="M2702" s="148"/>
      <c r="N2702" s="78"/>
      <c r="O2702" s="78"/>
      <c r="P2702" s="78"/>
      <c r="Q2702" s="78"/>
      <c r="R2702" s="78"/>
      <c r="S2702" s="78"/>
      <c r="T2702" s="78"/>
      <c r="U2702" s="78"/>
      <c r="V2702" s="78"/>
      <c r="W2702" s="78"/>
      <c r="X2702" s="78"/>
      <c r="Y2702" s="148"/>
      <c r="Z2702" s="78"/>
      <c r="AA2702" s="78"/>
      <c r="AB2702" s="78"/>
      <c r="AC2702" s="78"/>
      <c r="AD2702" s="78"/>
      <c r="AE2702" s="156"/>
      <c r="AF2702" s="156"/>
      <c r="AG2702" s="78"/>
      <c r="AH2702" s="78"/>
      <c r="AI2702" s="78"/>
      <c r="AJ2702" s="78"/>
      <c r="AK2702" s="78"/>
      <c r="AL2702" s="78"/>
      <c r="AM2702" s="78"/>
      <c r="AN2702" s="78"/>
      <c r="AO2702" s="78"/>
      <c r="AP2702" s="78"/>
      <c r="AQ2702" s="78"/>
      <c r="AR2702" s="286"/>
      <c r="AS2702" s="78"/>
      <c r="AT2702" s="78"/>
      <c r="AU2702" s="8"/>
      <c r="AV2702" s="6" t="str">
        <f t="shared" ref="AV2702" si="54">IF(A2702&lt;&gt;"",IF(T2702&lt;&gt;"",IF(LEFT(R2702,3)="Has",IF(TRIM(A2702)&lt;&gt;T2702,"ERROR","OK"),""),""),"")</f>
        <v/>
      </c>
    </row>
    <row r="2703" spans="1:48" x14ac:dyDescent="0.45">
      <c r="A2703" s="27" t="s">
        <v>2906</v>
      </c>
      <c r="AU2703" s="6"/>
      <c r="AV2703" s="6" t="str">
        <f t="shared" si="43"/>
        <v/>
      </c>
    </row>
    <row r="2704" spans="1:48" x14ac:dyDescent="0.45">
      <c r="A2704" s="323" t="s">
        <v>2905</v>
      </c>
      <c r="B2704" s="324"/>
      <c r="C2704" s="324"/>
      <c r="D2704" s="324"/>
      <c r="E2704" s="324"/>
      <c r="F2704" s="324"/>
      <c r="G2704" s="101"/>
      <c r="H2704" s="101"/>
      <c r="AU2704" s="6"/>
      <c r="AV2704" s="6" t="str">
        <f t="shared" si="43"/>
        <v/>
      </c>
    </row>
    <row r="2705" spans="1:48" ht="14.65" thickBot="1" x14ac:dyDescent="0.5">
      <c r="A2705" s="28" t="s">
        <v>3303</v>
      </c>
      <c r="AA2705" s="183" t="s">
        <v>2322</v>
      </c>
      <c r="AB2705" s="183" t="s">
        <v>1697</v>
      </c>
      <c r="AC2705" s="183" t="s">
        <v>5</v>
      </c>
      <c r="AU2705" s="6"/>
      <c r="AV2705" s="6" t="str">
        <f t="shared" si="43"/>
        <v/>
      </c>
    </row>
    <row r="2706" spans="1:48" ht="70.150000000000006" thickBot="1" x14ac:dyDescent="0.5">
      <c r="A2706" s="309" t="s">
        <v>3018</v>
      </c>
      <c r="B2706" s="310"/>
      <c r="C2706" s="301" t="s">
        <v>1</v>
      </c>
      <c r="D2706" s="319"/>
      <c r="E2706" s="319"/>
      <c r="F2706" s="302"/>
      <c r="G2706" s="102"/>
      <c r="H2706" s="102"/>
      <c r="AA2706" s="183" t="str">
        <f>LEFT($A2706,FIND(" ",$A2706)-1)</f>
        <v>Sensor</v>
      </c>
      <c r="AB2706" s="183" t="str">
        <f>MID($A2706,FIND("(",$A2706)+1,LEN($A2706)-FIND("(",$A2706)-1)</f>
        <v>1.0.0</v>
      </c>
      <c r="AC2706" s="101" t="str">
        <f>A2704</f>
        <v>Defines a Sensor to be used in conjunction with data center equipment.</v>
      </c>
      <c r="AU2706" s="6"/>
      <c r="AV2706" s="6" t="str">
        <f t="shared" si="43"/>
        <v/>
      </c>
    </row>
    <row r="2707" spans="1:48" ht="14.65" thickBot="1" x14ac:dyDescent="0.5">
      <c r="A2707" s="311"/>
      <c r="B2707" s="312"/>
      <c r="C2707" s="301" t="s">
        <v>2</v>
      </c>
      <c r="D2707" s="302"/>
      <c r="E2707" s="301" t="s">
        <v>3</v>
      </c>
      <c r="F2707" s="302"/>
      <c r="G2707" s="301" t="s">
        <v>2896</v>
      </c>
      <c r="H2707" s="302"/>
      <c r="AA2707" s="183"/>
      <c r="AB2707" s="183"/>
      <c r="AC2707" s="183"/>
      <c r="AU2707" s="6"/>
      <c r="AV2707" s="6" t="str">
        <f t="shared" si="43"/>
        <v/>
      </c>
    </row>
    <row r="2708" spans="1:48" ht="14.65" thickBot="1" x14ac:dyDescent="0.5">
      <c r="A2708" s="46" t="s">
        <v>2377</v>
      </c>
      <c r="B2708" s="47"/>
      <c r="C2708" s="303"/>
      <c r="D2708" s="304"/>
      <c r="E2708" s="303"/>
      <c r="F2708" s="304"/>
      <c r="G2708" s="303"/>
      <c r="H2708" s="304"/>
      <c r="AA2708" s="183"/>
      <c r="AB2708" s="183"/>
      <c r="AC2708" s="101"/>
      <c r="AU2708" s="6"/>
      <c r="AV2708" s="6" t="str">
        <f t="shared" si="43"/>
        <v/>
      </c>
    </row>
    <row r="2709" spans="1:48" ht="14.65" thickBot="1" x14ac:dyDescent="0.5">
      <c r="A2709" s="29" t="s">
        <v>3394</v>
      </c>
      <c r="B2709" s="9"/>
      <c r="C2709" s="305"/>
      <c r="D2709" s="306"/>
      <c r="E2709" s="305" t="s">
        <v>3395</v>
      </c>
      <c r="F2709" s="306"/>
      <c r="G2709" s="305"/>
      <c r="H2709" s="306"/>
      <c r="AU2709" s="6"/>
      <c r="AV2709" s="6" t="str">
        <f t="shared" si="43"/>
        <v/>
      </c>
    </row>
    <row r="2710" spans="1:48" ht="14.65" thickBot="1" x14ac:dyDescent="0.5">
      <c r="A2710" s="30" t="s">
        <v>4</v>
      </c>
      <c r="B2710" s="59" t="s">
        <v>5</v>
      </c>
      <c r="C2710" s="7" t="s">
        <v>6</v>
      </c>
      <c r="D2710" s="7" t="s">
        <v>7</v>
      </c>
      <c r="E2710" s="7" t="s">
        <v>6</v>
      </c>
      <c r="F2710" s="7" t="s">
        <v>7</v>
      </c>
      <c r="G2710" s="7" t="s">
        <v>6</v>
      </c>
      <c r="H2710" s="7" t="s">
        <v>7</v>
      </c>
      <c r="AU2710" s="6"/>
      <c r="AV2710" s="6" t="str">
        <f t="shared" si="43"/>
        <v/>
      </c>
    </row>
    <row r="2711" spans="1:48" ht="14.65" thickBot="1" x14ac:dyDescent="0.5">
      <c r="A2711" s="36" t="s">
        <v>654</v>
      </c>
      <c r="B2711" s="107" t="s">
        <v>2910</v>
      </c>
      <c r="C2711" s="4"/>
      <c r="D2711" s="4"/>
      <c r="E2711" s="4"/>
      <c r="F2711" s="4"/>
      <c r="G2711" s="4"/>
      <c r="H2711" s="4"/>
      <c r="AU2711" s="6"/>
      <c r="AV2711" s="6" t="str">
        <f t="shared" si="43"/>
        <v/>
      </c>
    </row>
    <row r="2712" spans="1:48" ht="14.65" thickBot="1" x14ac:dyDescent="0.5">
      <c r="A2712" s="36" t="s">
        <v>8</v>
      </c>
      <c r="B2712" s="3" t="s">
        <v>9</v>
      </c>
      <c r="C2712" s="4"/>
      <c r="D2712" s="4"/>
      <c r="E2712" s="4"/>
      <c r="F2712" s="4"/>
      <c r="G2712" s="4"/>
      <c r="H2712" s="4"/>
      <c r="AU2712" s="6"/>
      <c r="AV2712" s="6" t="str">
        <f t="shared" si="43"/>
        <v/>
      </c>
    </row>
    <row r="2713" spans="1:48" ht="14.65" thickBot="1" x14ac:dyDescent="0.5">
      <c r="A2713" s="35" t="s">
        <v>3020</v>
      </c>
      <c r="B2713" s="3" t="s">
        <v>2988</v>
      </c>
      <c r="C2713" s="4"/>
      <c r="D2713" s="4"/>
      <c r="E2713" s="4"/>
      <c r="F2713" s="4"/>
      <c r="G2713" s="4"/>
      <c r="H2713" s="4"/>
      <c r="AU2713" s="6"/>
      <c r="AV2713" s="6" t="str">
        <f t="shared" si="43"/>
        <v/>
      </c>
    </row>
    <row r="2714" spans="1:48" ht="23.65" thickBot="1" x14ac:dyDescent="0.5">
      <c r="A2714" s="36" t="s">
        <v>2989</v>
      </c>
      <c r="B2714" s="3" t="s">
        <v>2990</v>
      </c>
      <c r="C2714" s="4"/>
      <c r="D2714" s="4"/>
      <c r="E2714" s="4"/>
      <c r="F2714" s="4"/>
      <c r="G2714" s="4"/>
      <c r="H2714" s="4"/>
      <c r="AU2714" s="6"/>
      <c r="AV2714" s="6" t="str">
        <f t="shared" si="43"/>
        <v/>
      </c>
    </row>
    <row r="2715" spans="1:48" ht="23.65" thickBot="1" x14ac:dyDescent="0.5">
      <c r="A2715" s="36" t="s">
        <v>2991</v>
      </c>
      <c r="B2715" s="3" t="s">
        <v>2992</v>
      </c>
      <c r="C2715" s="4"/>
      <c r="D2715" s="4"/>
      <c r="E2715" s="4"/>
      <c r="F2715" s="4"/>
      <c r="G2715" s="4"/>
      <c r="H2715" s="4"/>
      <c r="AU2715" s="6"/>
      <c r="AV2715" s="6" t="str">
        <f t="shared" si="43"/>
        <v/>
      </c>
    </row>
    <row r="2716" spans="1:48" ht="23.65" thickBot="1" x14ac:dyDescent="0.5">
      <c r="A2716" s="36" t="s">
        <v>2993</v>
      </c>
      <c r="B2716" s="3" t="s">
        <v>2922</v>
      </c>
      <c r="C2716" s="4"/>
      <c r="D2716" s="4"/>
      <c r="E2716" s="4"/>
      <c r="F2716" s="4"/>
      <c r="G2716" s="4"/>
      <c r="H2716" s="4"/>
      <c r="AU2716" s="6"/>
      <c r="AV2716" s="6" t="str">
        <f t="shared" si="43"/>
        <v/>
      </c>
    </row>
    <row r="2717" spans="1:48" ht="14.65" thickBot="1" x14ac:dyDescent="0.5">
      <c r="A2717" s="36" t="s">
        <v>2994</v>
      </c>
      <c r="B2717" s="3" t="s">
        <v>2926</v>
      </c>
      <c r="C2717" s="4"/>
      <c r="D2717" s="4"/>
      <c r="E2717" s="4"/>
      <c r="F2717" s="4"/>
      <c r="G2717" s="4"/>
      <c r="H2717" s="4"/>
      <c r="AU2717" s="6"/>
      <c r="AV2717" s="6" t="str">
        <f t="shared" si="43"/>
        <v/>
      </c>
    </row>
    <row r="2718" spans="1:48" ht="14.65" thickBot="1" x14ac:dyDescent="0.5">
      <c r="A2718" s="35" t="s">
        <v>2995</v>
      </c>
      <c r="B2718" s="3" t="s">
        <v>2929</v>
      </c>
      <c r="C2718" s="4"/>
      <c r="D2718" s="4"/>
      <c r="E2718" s="4"/>
      <c r="F2718" s="4"/>
      <c r="G2718" s="4"/>
      <c r="H2718" s="4"/>
      <c r="AU2718" s="6"/>
      <c r="AV2718" s="6" t="str">
        <f t="shared" si="43"/>
        <v/>
      </c>
    </row>
    <row r="2719" spans="1:48" ht="14.65" thickBot="1" x14ac:dyDescent="0.5">
      <c r="A2719" s="35" t="s">
        <v>208</v>
      </c>
      <c r="B2719" s="3" t="s">
        <v>2996</v>
      </c>
      <c r="C2719" s="4"/>
      <c r="D2719" s="4"/>
      <c r="E2719" s="4"/>
      <c r="F2719" s="4"/>
      <c r="G2719" s="4"/>
      <c r="H2719" s="4"/>
      <c r="AU2719" s="6"/>
      <c r="AV2719" s="6" t="str">
        <f t="shared" si="43"/>
        <v/>
      </c>
    </row>
    <row r="2720" spans="1:48" ht="14.65" thickBot="1" x14ac:dyDescent="0.5">
      <c r="A2720" s="35" t="s">
        <v>2997</v>
      </c>
      <c r="B2720" s="3" t="s">
        <v>2932</v>
      </c>
      <c r="C2720" s="4"/>
      <c r="D2720" s="4"/>
      <c r="E2720" s="4"/>
      <c r="F2720" s="4"/>
      <c r="G2720" s="4"/>
      <c r="H2720" s="4"/>
      <c r="AU2720" s="6"/>
      <c r="AV2720" s="6" t="str">
        <f t="shared" si="43"/>
        <v/>
      </c>
    </row>
    <row r="2721" spans="1:48" ht="14.65" thickBot="1" x14ac:dyDescent="0.5">
      <c r="A2721" s="35" t="s">
        <v>2998</v>
      </c>
      <c r="B2721" s="3" t="s">
        <v>2934</v>
      </c>
      <c r="C2721" s="4"/>
      <c r="D2721" s="4"/>
      <c r="E2721" s="4"/>
      <c r="F2721" s="4"/>
      <c r="G2721" s="4"/>
      <c r="H2721" s="4"/>
      <c r="AU2721" s="6"/>
      <c r="AV2721" s="6" t="str">
        <f t="shared" si="43"/>
        <v/>
      </c>
    </row>
    <row r="2722" spans="1:48" ht="14.65" thickBot="1" x14ac:dyDescent="0.5">
      <c r="A2722" s="35" t="s">
        <v>2999</v>
      </c>
      <c r="B2722" s="3" t="s">
        <v>2936</v>
      </c>
      <c r="C2722" s="4"/>
      <c r="D2722" s="4"/>
      <c r="E2722" s="4"/>
      <c r="F2722" s="4"/>
      <c r="G2722" s="4"/>
      <c r="H2722" s="2"/>
      <c r="AU2722" s="6"/>
      <c r="AV2722" s="6" t="str">
        <f t="shared" si="43"/>
        <v/>
      </c>
    </row>
    <row r="2723" spans="1:48" ht="14.65" thickBot="1" x14ac:dyDescent="0.5">
      <c r="A2723" s="36" t="s">
        <v>3000</v>
      </c>
      <c r="B2723" s="3" t="s">
        <v>2938</v>
      </c>
      <c r="C2723" s="4"/>
      <c r="D2723" s="4"/>
      <c r="E2723" s="4"/>
      <c r="F2723" s="4"/>
      <c r="G2723" s="4"/>
      <c r="H2723" s="4"/>
      <c r="AU2723" s="6"/>
      <c r="AV2723" s="6" t="str">
        <f t="shared" si="43"/>
        <v/>
      </c>
    </row>
    <row r="2724" spans="1:48" ht="14.65" thickBot="1" x14ac:dyDescent="0.5">
      <c r="A2724" s="36" t="s">
        <v>686</v>
      </c>
      <c r="B2724" s="3" t="s">
        <v>2940</v>
      </c>
      <c r="C2724" s="4"/>
      <c r="D2724" s="4"/>
      <c r="E2724" s="4"/>
      <c r="F2724" s="4"/>
      <c r="G2724" s="4"/>
      <c r="H2724" s="4"/>
      <c r="AU2724" s="6"/>
      <c r="AV2724" s="6" t="str">
        <f t="shared" si="43"/>
        <v/>
      </c>
    </row>
    <row r="2725" spans="1:48" ht="23.65" thickBot="1" x14ac:dyDescent="0.5">
      <c r="A2725" s="36" t="s">
        <v>3001</v>
      </c>
      <c r="B2725" s="3" t="s">
        <v>2943</v>
      </c>
      <c r="C2725" s="4"/>
      <c r="D2725" s="4"/>
      <c r="E2725" s="4"/>
      <c r="F2725" s="4"/>
      <c r="G2725" s="4"/>
      <c r="H2725" s="4"/>
      <c r="AU2725" s="6"/>
      <c r="AV2725" s="6" t="str">
        <f t="shared" si="43"/>
        <v/>
      </c>
    </row>
    <row r="2726" spans="1:48" ht="14.65" thickBot="1" x14ac:dyDescent="0.5">
      <c r="A2726" s="38" t="s">
        <v>3002</v>
      </c>
      <c r="B2726" s="5" t="s">
        <v>2946</v>
      </c>
      <c r="C2726" s="4"/>
      <c r="D2726" s="4"/>
      <c r="E2726" s="4"/>
      <c r="F2726" s="4"/>
      <c r="G2726" s="4"/>
      <c r="H2726" s="4"/>
      <c r="AU2726" s="6"/>
      <c r="AV2726" s="6" t="str">
        <f t="shared" si="43"/>
        <v/>
      </c>
    </row>
    <row r="2727" spans="1:48" ht="14.65" thickBot="1" x14ac:dyDescent="0.5">
      <c r="A2727" s="38" t="s">
        <v>688</v>
      </c>
      <c r="B2727" s="5" t="s">
        <v>2948</v>
      </c>
      <c r="C2727" s="4"/>
      <c r="D2727" s="4"/>
      <c r="E2727" s="4"/>
      <c r="F2727" s="4"/>
      <c r="G2727" s="4"/>
      <c r="H2727" s="4"/>
      <c r="AU2727" s="6"/>
      <c r="AV2727" s="6" t="str">
        <f t="shared" si="43"/>
        <v/>
      </c>
    </row>
    <row r="2728" spans="1:48" ht="23.65" thickBot="1" x14ac:dyDescent="0.5">
      <c r="A2728" s="38" t="s">
        <v>3003</v>
      </c>
      <c r="B2728" s="5" t="s">
        <v>3004</v>
      </c>
      <c r="C2728" s="4"/>
      <c r="D2728" s="4"/>
      <c r="E2728" s="4"/>
      <c r="F2728" s="4"/>
      <c r="G2728" s="4"/>
      <c r="H2728" s="4"/>
      <c r="AU2728" s="6"/>
      <c r="AV2728" s="6" t="str">
        <f t="shared" si="43"/>
        <v/>
      </c>
    </row>
    <row r="2729" spans="1:48" ht="14.65" thickBot="1" x14ac:dyDescent="0.5">
      <c r="A2729" s="38" t="s">
        <v>830</v>
      </c>
      <c r="B2729" s="5" t="s">
        <v>2953</v>
      </c>
      <c r="C2729" s="4"/>
      <c r="D2729" s="4"/>
      <c r="E2729" s="4"/>
      <c r="F2729" s="4"/>
      <c r="G2729" s="4"/>
      <c r="H2729" s="4"/>
      <c r="AU2729" s="6"/>
      <c r="AV2729" s="6" t="str">
        <f t="shared" si="43"/>
        <v/>
      </c>
    </row>
    <row r="2730" spans="1:48" ht="14.65" thickBot="1" x14ac:dyDescent="0.5">
      <c r="A2730" s="38" t="s">
        <v>3005</v>
      </c>
      <c r="B2730" s="3" t="s">
        <v>2955</v>
      </c>
      <c r="C2730" s="4"/>
      <c r="D2730" s="4"/>
      <c r="E2730" s="4"/>
      <c r="F2730" s="4"/>
      <c r="G2730" s="4"/>
      <c r="H2730" s="4"/>
      <c r="AU2730" s="6"/>
      <c r="AV2730" s="6" t="str">
        <f t="shared" si="43"/>
        <v/>
      </c>
    </row>
    <row r="2731" spans="1:48" ht="14.65" thickBot="1" x14ac:dyDescent="0.5">
      <c r="A2731" s="38" t="s">
        <v>3006</v>
      </c>
      <c r="B2731" s="5" t="s">
        <v>2957</v>
      </c>
      <c r="C2731" s="4"/>
      <c r="D2731" s="4"/>
      <c r="E2731" s="4"/>
      <c r="F2731" s="4"/>
      <c r="G2731" s="4"/>
      <c r="H2731" s="4"/>
      <c r="AU2731" s="6"/>
      <c r="AV2731" s="6" t="str">
        <f t="shared" si="43"/>
        <v/>
      </c>
    </row>
    <row r="2732" spans="1:48" ht="14.65" thickBot="1" x14ac:dyDescent="0.5">
      <c r="A2732" s="36" t="s">
        <v>3007</v>
      </c>
      <c r="B2732" s="3" t="s">
        <v>2959</v>
      </c>
      <c r="C2732" s="4"/>
      <c r="D2732" s="4"/>
      <c r="E2732" s="4"/>
      <c r="F2732" s="4"/>
      <c r="G2732" s="4"/>
      <c r="H2732" s="4"/>
      <c r="AU2732" s="6"/>
      <c r="AV2732" s="6" t="str">
        <f t="shared" si="43"/>
        <v/>
      </c>
    </row>
    <row r="2733" spans="1:48" ht="14.65" thickBot="1" x14ac:dyDescent="0.5">
      <c r="A2733" s="36" t="s">
        <v>3008</v>
      </c>
      <c r="B2733" s="3" t="s">
        <v>2168</v>
      </c>
      <c r="C2733" s="4"/>
      <c r="D2733" s="4"/>
      <c r="E2733" s="4"/>
      <c r="F2733" s="4"/>
      <c r="G2733" s="4"/>
      <c r="H2733" s="4"/>
      <c r="AU2733" s="6"/>
      <c r="AV2733" s="6" t="str">
        <f t="shared" si="43"/>
        <v/>
      </c>
    </row>
    <row r="2734" spans="1:48" ht="14.65" thickBot="1" x14ac:dyDescent="0.5">
      <c r="A2734" s="36" t="s">
        <v>3009</v>
      </c>
      <c r="B2734" s="3" t="s">
        <v>2963</v>
      </c>
      <c r="C2734" s="4"/>
      <c r="D2734" s="4"/>
      <c r="E2734" s="4"/>
      <c r="F2734" s="4"/>
      <c r="G2734" s="4"/>
      <c r="H2734" s="4"/>
      <c r="AU2734" s="6"/>
      <c r="AV2734" s="6" t="str">
        <f t="shared" si="43"/>
        <v/>
      </c>
    </row>
    <row r="2735" spans="1:48" ht="14.65" thickBot="1" x14ac:dyDescent="0.5">
      <c r="A2735" s="36" t="s">
        <v>3010</v>
      </c>
      <c r="B2735" s="3" t="s">
        <v>2965</v>
      </c>
      <c r="C2735" s="4"/>
      <c r="D2735" s="4"/>
      <c r="E2735" s="4"/>
      <c r="F2735" s="4"/>
      <c r="G2735" s="4"/>
      <c r="H2735" s="4"/>
      <c r="AU2735" s="6"/>
      <c r="AV2735" s="6" t="str">
        <f t="shared" si="43"/>
        <v/>
      </c>
    </row>
    <row r="2736" spans="1:48" ht="47.65" thickBot="1" x14ac:dyDescent="0.5">
      <c r="A2736" s="36" t="s">
        <v>145</v>
      </c>
      <c r="B2736" s="3" t="s">
        <v>3011</v>
      </c>
      <c r="C2736" s="4"/>
      <c r="D2736" s="4"/>
      <c r="E2736" s="4"/>
      <c r="F2736" s="4"/>
      <c r="G2736" s="4"/>
      <c r="H2736" s="4"/>
      <c r="AS2736" s="139" t="s">
        <v>5365</v>
      </c>
      <c r="AU2736" s="6"/>
      <c r="AV2736" s="6" t="str">
        <f t="shared" si="43"/>
        <v/>
      </c>
    </row>
    <row r="2737" spans="1:48" ht="47.65" thickBot="1" x14ac:dyDescent="0.5">
      <c r="A2737" s="35" t="s">
        <v>5361</v>
      </c>
      <c r="B2737" s="3" t="s">
        <v>5352</v>
      </c>
      <c r="C2737" s="4"/>
      <c r="D2737" s="4"/>
      <c r="E2737" s="4"/>
      <c r="F2737" s="4"/>
      <c r="G2737" s="4"/>
      <c r="H2737" s="4"/>
      <c r="Q2737" s="131"/>
      <c r="R2737" s="131"/>
      <c r="S2737" s="131"/>
      <c r="T2737" s="131"/>
      <c r="U2737" s="131"/>
      <c r="V2737" s="131"/>
      <c r="W2737" s="131"/>
      <c r="X2737" s="131"/>
      <c r="AS2737" s="139" t="s">
        <v>5365</v>
      </c>
      <c r="AU2737" s="6"/>
      <c r="AV2737" s="6"/>
    </row>
    <row r="2738" spans="1:48" ht="47.65" thickBot="1" x14ac:dyDescent="0.5">
      <c r="A2738" s="35" t="s">
        <v>5360</v>
      </c>
      <c r="B2738" s="3" t="s">
        <v>5353</v>
      </c>
      <c r="C2738" s="4"/>
      <c r="D2738" s="4"/>
      <c r="E2738" s="4"/>
      <c r="F2738" s="4"/>
      <c r="G2738" s="4"/>
      <c r="H2738" s="4"/>
      <c r="Q2738" s="131"/>
      <c r="R2738" s="131"/>
      <c r="S2738" s="131"/>
      <c r="T2738" s="131"/>
      <c r="U2738" s="131"/>
      <c r="V2738" s="131"/>
      <c r="W2738" s="131"/>
      <c r="X2738" s="131"/>
      <c r="AS2738" s="139" t="s">
        <v>5365</v>
      </c>
      <c r="AU2738" s="6"/>
      <c r="AV2738" s="6"/>
    </row>
    <row r="2739" spans="1:48" ht="14.65" thickBot="1" x14ac:dyDescent="0.5">
      <c r="A2739" s="36" t="s">
        <v>3012</v>
      </c>
      <c r="B2739" s="3" t="s">
        <v>3013</v>
      </c>
      <c r="C2739" s="4"/>
      <c r="D2739" s="4"/>
      <c r="E2739" s="4"/>
      <c r="F2739" s="4"/>
      <c r="G2739" s="4"/>
      <c r="H2739" s="4"/>
      <c r="AU2739" s="6"/>
      <c r="AV2739" s="6" t="str">
        <f t="shared" si="43"/>
        <v/>
      </c>
    </row>
    <row r="2740" spans="1:48" ht="14.65" thickBot="1" x14ac:dyDescent="0.5">
      <c r="A2740" s="35" t="s">
        <v>3021</v>
      </c>
      <c r="B2740" s="3" t="s">
        <v>832</v>
      </c>
      <c r="C2740" s="4"/>
      <c r="D2740" s="4"/>
      <c r="E2740" s="4"/>
      <c r="F2740" s="4"/>
      <c r="G2740" s="4"/>
      <c r="H2740" s="4"/>
      <c r="AU2740" s="6"/>
      <c r="AV2740" s="6" t="str">
        <f t="shared" si="43"/>
        <v/>
      </c>
    </row>
    <row r="2741" spans="1:48" ht="14.65" thickBot="1" x14ac:dyDescent="0.5">
      <c r="A2741" s="35" t="s">
        <v>3024</v>
      </c>
      <c r="B2741" s="3" t="s">
        <v>828</v>
      </c>
      <c r="C2741" s="4"/>
      <c r="D2741" s="4"/>
      <c r="E2741" s="4"/>
      <c r="F2741" s="4"/>
      <c r="G2741" s="4"/>
      <c r="H2741" s="4"/>
      <c r="AU2741" s="6"/>
      <c r="AV2741" s="6" t="str">
        <f t="shared" si="43"/>
        <v/>
      </c>
    </row>
    <row r="2742" spans="1:48" ht="35.25" thickBot="1" x14ac:dyDescent="0.5">
      <c r="A2742" s="35" t="s">
        <v>3023</v>
      </c>
      <c r="B2742" s="3" t="s">
        <v>3014</v>
      </c>
      <c r="C2742" s="4"/>
      <c r="D2742" s="4"/>
      <c r="E2742" s="4"/>
      <c r="F2742" s="4"/>
      <c r="G2742" s="4"/>
      <c r="H2742" s="4"/>
      <c r="AU2742" s="6"/>
      <c r="AV2742" s="6" t="str">
        <f t="shared" si="43"/>
        <v/>
      </c>
    </row>
    <row r="2743" spans="1:48" ht="14.65" thickBot="1" x14ac:dyDescent="0.5">
      <c r="A2743" s="35" t="s">
        <v>3022</v>
      </c>
      <c r="B2743" s="3" t="s">
        <v>831</v>
      </c>
      <c r="C2743" s="4"/>
      <c r="D2743" s="4"/>
      <c r="E2743" s="4"/>
      <c r="F2743" s="4"/>
      <c r="G2743" s="4"/>
      <c r="H2743" s="4"/>
      <c r="AU2743" s="6"/>
      <c r="AV2743" s="6" t="str">
        <f t="shared" si="43"/>
        <v/>
      </c>
    </row>
    <row r="2744" spans="1:48" ht="14.65" thickBot="1" x14ac:dyDescent="0.5">
      <c r="A2744" s="35" t="s">
        <v>3029</v>
      </c>
      <c r="B2744" s="3" t="s">
        <v>2130</v>
      </c>
      <c r="C2744" s="4"/>
      <c r="D2744" s="4"/>
      <c r="E2744" s="4"/>
      <c r="F2744" s="4"/>
      <c r="G2744" s="4"/>
      <c r="H2744" s="4"/>
      <c r="AU2744" s="6"/>
      <c r="AV2744" s="6" t="str">
        <f t="shared" si="43"/>
        <v/>
      </c>
    </row>
    <row r="2745" spans="1:48" ht="14.65" thickBot="1" x14ac:dyDescent="0.5">
      <c r="A2745" s="35" t="s">
        <v>3024</v>
      </c>
      <c r="B2745" s="3" t="s">
        <v>828</v>
      </c>
      <c r="C2745" s="4"/>
      <c r="D2745" s="4"/>
      <c r="E2745" s="4"/>
      <c r="F2745" s="4"/>
      <c r="G2745" s="4"/>
      <c r="H2745" s="4"/>
      <c r="AU2745" s="6"/>
      <c r="AV2745" s="6" t="str">
        <f t="shared" si="43"/>
        <v/>
      </c>
    </row>
    <row r="2746" spans="1:48" ht="35.25" thickBot="1" x14ac:dyDescent="0.5">
      <c r="A2746" s="35" t="s">
        <v>3023</v>
      </c>
      <c r="B2746" s="3" t="s">
        <v>3014</v>
      </c>
      <c r="C2746" s="4"/>
      <c r="D2746" s="4"/>
      <c r="E2746" s="4"/>
      <c r="F2746" s="4"/>
      <c r="G2746" s="4"/>
      <c r="H2746" s="4"/>
      <c r="AU2746" s="6"/>
      <c r="AV2746" s="6" t="str">
        <f t="shared" si="43"/>
        <v/>
      </c>
    </row>
    <row r="2747" spans="1:48" ht="14.65" thickBot="1" x14ac:dyDescent="0.5">
      <c r="A2747" s="35" t="s">
        <v>3022</v>
      </c>
      <c r="B2747" s="3" t="s">
        <v>831</v>
      </c>
      <c r="C2747" s="4"/>
      <c r="D2747" s="4"/>
      <c r="E2747" s="4"/>
      <c r="F2747" s="4"/>
      <c r="G2747" s="4"/>
      <c r="H2747" s="4"/>
      <c r="AU2747" s="6"/>
      <c r="AV2747" s="6" t="str">
        <f t="shared" si="43"/>
        <v/>
      </c>
    </row>
    <row r="2748" spans="1:48" ht="14.65" thickBot="1" x14ac:dyDescent="0.5">
      <c r="A2748" s="35" t="s">
        <v>3028</v>
      </c>
      <c r="B2748" s="3" t="s">
        <v>3015</v>
      </c>
      <c r="C2748" s="4"/>
      <c r="D2748" s="4"/>
      <c r="E2748" s="4"/>
      <c r="F2748" s="4"/>
      <c r="G2748" s="4"/>
      <c r="H2748" s="4"/>
      <c r="AU2748" s="6"/>
      <c r="AV2748" s="6" t="str">
        <f t="shared" si="43"/>
        <v/>
      </c>
    </row>
    <row r="2749" spans="1:48" ht="14.65" thickBot="1" x14ac:dyDescent="0.5">
      <c r="A2749" s="35" t="s">
        <v>3024</v>
      </c>
      <c r="B2749" s="3" t="s">
        <v>828</v>
      </c>
      <c r="C2749" s="4"/>
      <c r="D2749" s="4"/>
      <c r="E2749" s="4"/>
      <c r="F2749" s="4"/>
      <c r="G2749" s="4"/>
      <c r="H2749" s="4"/>
      <c r="AU2749" s="6"/>
      <c r="AV2749" s="6" t="str">
        <f t="shared" si="43"/>
        <v/>
      </c>
    </row>
    <row r="2750" spans="1:48" ht="35.25" thickBot="1" x14ac:dyDescent="0.5">
      <c r="A2750" s="35" t="s">
        <v>3023</v>
      </c>
      <c r="B2750" s="3" t="s">
        <v>3014</v>
      </c>
      <c r="C2750" s="4"/>
      <c r="D2750" s="4"/>
      <c r="E2750" s="4"/>
      <c r="F2750" s="4"/>
      <c r="G2750" s="4"/>
      <c r="H2750" s="4"/>
      <c r="AU2750" s="6"/>
      <c r="AV2750" s="6" t="str">
        <f t="shared" si="43"/>
        <v/>
      </c>
    </row>
    <row r="2751" spans="1:48" ht="14.65" thickBot="1" x14ac:dyDescent="0.5">
      <c r="A2751" s="35" t="s">
        <v>3022</v>
      </c>
      <c r="B2751" s="3" t="s">
        <v>831</v>
      </c>
      <c r="C2751" s="4"/>
      <c r="D2751" s="4"/>
      <c r="E2751" s="4"/>
      <c r="F2751" s="4"/>
      <c r="G2751" s="4"/>
      <c r="H2751" s="4"/>
      <c r="AU2751" s="6"/>
      <c r="AV2751" s="6" t="str">
        <f t="shared" si="43"/>
        <v/>
      </c>
    </row>
    <row r="2752" spans="1:48" ht="14.65" thickBot="1" x14ac:dyDescent="0.5">
      <c r="A2752" s="35" t="s">
        <v>3027</v>
      </c>
      <c r="B2752" s="3" t="s">
        <v>834</v>
      </c>
      <c r="C2752" s="4"/>
      <c r="D2752" s="4"/>
      <c r="E2752" s="4"/>
      <c r="F2752" s="4"/>
      <c r="G2752" s="4"/>
      <c r="H2752" s="4"/>
      <c r="AU2752" s="6"/>
      <c r="AV2752" s="6" t="str">
        <f t="shared" si="43"/>
        <v/>
      </c>
    </row>
    <row r="2753" spans="1:48" ht="14.65" thickBot="1" x14ac:dyDescent="0.5">
      <c r="A2753" s="35" t="s">
        <v>3024</v>
      </c>
      <c r="B2753" s="3" t="s">
        <v>828</v>
      </c>
      <c r="C2753" s="4"/>
      <c r="D2753" s="4"/>
      <c r="E2753" s="4"/>
      <c r="F2753" s="4"/>
      <c r="G2753" s="4"/>
      <c r="H2753" s="4"/>
      <c r="AU2753" s="6"/>
      <c r="AV2753" s="6" t="str">
        <f t="shared" si="43"/>
        <v/>
      </c>
    </row>
    <row r="2754" spans="1:48" ht="35.25" thickBot="1" x14ac:dyDescent="0.5">
      <c r="A2754" s="35" t="s">
        <v>3023</v>
      </c>
      <c r="B2754" s="3" t="s">
        <v>3014</v>
      </c>
      <c r="C2754" s="4"/>
      <c r="D2754" s="4"/>
      <c r="E2754" s="4"/>
      <c r="F2754" s="4"/>
      <c r="G2754" s="4"/>
      <c r="H2754" s="4"/>
      <c r="AU2754" s="6"/>
      <c r="AV2754" s="6" t="str">
        <f t="shared" si="43"/>
        <v/>
      </c>
    </row>
    <row r="2755" spans="1:48" ht="14.65" thickBot="1" x14ac:dyDescent="0.5">
      <c r="A2755" s="35" t="s">
        <v>3022</v>
      </c>
      <c r="B2755" s="3" t="s">
        <v>831</v>
      </c>
      <c r="C2755" s="4"/>
      <c r="D2755" s="4"/>
      <c r="E2755" s="4"/>
      <c r="F2755" s="4"/>
      <c r="G2755" s="4"/>
      <c r="H2755" s="4"/>
      <c r="AU2755" s="6"/>
      <c r="AV2755" s="6" t="str">
        <f t="shared" si="43"/>
        <v/>
      </c>
    </row>
    <row r="2756" spans="1:48" ht="14.65" thickBot="1" x14ac:dyDescent="0.5">
      <c r="A2756" s="35" t="s">
        <v>3026</v>
      </c>
      <c r="B2756" s="3" t="s">
        <v>2146</v>
      </c>
      <c r="C2756" s="4"/>
      <c r="D2756" s="4"/>
      <c r="E2756" s="4"/>
      <c r="F2756" s="4"/>
      <c r="G2756" s="4"/>
      <c r="H2756" s="4"/>
      <c r="AU2756" s="6"/>
      <c r="AV2756" s="6" t="str">
        <f t="shared" si="43"/>
        <v/>
      </c>
    </row>
    <row r="2757" spans="1:48" ht="14.65" thickBot="1" x14ac:dyDescent="0.5">
      <c r="A2757" s="35" t="s">
        <v>3024</v>
      </c>
      <c r="B2757" s="3" t="s">
        <v>828</v>
      </c>
      <c r="C2757" s="4"/>
      <c r="D2757" s="4"/>
      <c r="E2757" s="4"/>
      <c r="F2757" s="4"/>
      <c r="G2757" s="4"/>
      <c r="H2757" s="4"/>
      <c r="AU2757" s="6"/>
      <c r="AV2757" s="6" t="str">
        <f t="shared" si="43"/>
        <v/>
      </c>
    </row>
    <row r="2758" spans="1:48" ht="35.25" thickBot="1" x14ac:dyDescent="0.5">
      <c r="A2758" s="35" t="s">
        <v>3023</v>
      </c>
      <c r="B2758" s="3" t="s">
        <v>3014</v>
      </c>
      <c r="C2758" s="4"/>
      <c r="D2758" s="4"/>
      <c r="E2758" s="4"/>
      <c r="F2758" s="4"/>
      <c r="G2758" s="4"/>
      <c r="H2758" s="4"/>
      <c r="AU2758" s="6"/>
      <c r="AV2758" s="6" t="str">
        <f t="shared" si="43"/>
        <v/>
      </c>
    </row>
    <row r="2759" spans="1:48" ht="14.65" thickBot="1" x14ac:dyDescent="0.5">
      <c r="A2759" s="35" t="s">
        <v>3022</v>
      </c>
      <c r="B2759" s="3" t="s">
        <v>831</v>
      </c>
      <c r="C2759" s="4"/>
      <c r="D2759" s="4"/>
      <c r="E2759" s="4"/>
      <c r="F2759" s="4"/>
      <c r="G2759" s="4"/>
      <c r="H2759" s="4"/>
      <c r="AU2759" s="6"/>
      <c r="AV2759" s="6" t="str">
        <f t="shared" si="43"/>
        <v/>
      </c>
    </row>
    <row r="2760" spans="1:48" ht="14.65" thickBot="1" x14ac:dyDescent="0.5">
      <c r="A2760" s="35" t="s">
        <v>3025</v>
      </c>
      <c r="B2760" s="3" t="s">
        <v>3016</v>
      </c>
      <c r="C2760" s="4"/>
      <c r="D2760" s="4"/>
      <c r="E2760" s="4"/>
      <c r="F2760" s="4"/>
      <c r="G2760" s="4"/>
      <c r="H2760" s="4"/>
      <c r="AU2760" s="6"/>
      <c r="AV2760" s="6" t="str">
        <f t="shared" si="43"/>
        <v/>
      </c>
    </row>
    <row r="2761" spans="1:48" ht="14.65" thickBot="1" x14ac:dyDescent="0.5">
      <c r="A2761" s="35" t="s">
        <v>3024</v>
      </c>
      <c r="B2761" s="3" t="s">
        <v>828</v>
      </c>
      <c r="C2761" s="4"/>
      <c r="D2761" s="4"/>
      <c r="E2761" s="4"/>
      <c r="F2761" s="4"/>
      <c r="G2761" s="4"/>
      <c r="H2761" s="4"/>
      <c r="AU2761" s="6"/>
      <c r="AV2761" s="6" t="str">
        <f t="shared" si="43"/>
        <v/>
      </c>
    </row>
    <row r="2762" spans="1:48" ht="35.25" thickBot="1" x14ac:dyDescent="0.5">
      <c r="A2762" s="35" t="s">
        <v>3023</v>
      </c>
      <c r="B2762" s="3" t="s">
        <v>3014</v>
      </c>
      <c r="C2762" s="4"/>
      <c r="D2762" s="4"/>
      <c r="E2762" s="4"/>
      <c r="F2762" s="4"/>
      <c r="G2762" s="4"/>
      <c r="H2762" s="4"/>
      <c r="AU2762" s="6"/>
      <c r="AV2762" s="6" t="str">
        <f t="shared" si="43"/>
        <v/>
      </c>
    </row>
    <row r="2763" spans="1:48" ht="14.65" thickBot="1" x14ac:dyDescent="0.5">
      <c r="A2763" s="35" t="s">
        <v>3022</v>
      </c>
      <c r="B2763" s="3" t="s">
        <v>831</v>
      </c>
      <c r="C2763" s="4"/>
      <c r="D2763" s="4"/>
      <c r="E2763" s="4"/>
      <c r="F2763" s="4"/>
      <c r="G2763" s="4"/>
      <c r="H2763" s="4"/>
      <c r="AU2763" s="6"/>
      <c r="AV2763" s="6" t="str">
        <f t="shared" si="43"/>
        <v/>
      </c>
    </row>
    <row r="2764" spans="1:48" ht="14.65" thickBot="1" x14ac:dyDescent="0.5">
      <c r="A2764" s="36" t="s">
        <v>3017</v>
      </c>
      <c r="B2764" s="3" t="s">
        <v>2985</v>
      </c>
      <c r="C2764" s="4"/>
      <c r="D2764" s="4"/>
      <c r="E2764" s="4"/>
      <c r="F2764" s="4"/>
      <c r="G2764" s="4"/>
      <c r="H2764" s="4"/>
      <c r="AU2764" s="6"/>
      <c r="AV2764" s="6" t="str">
        <f t="shared" si="43"/>
        <v/>
      </c>
    </row>
    <row r="2765" spans="1:48" x14ac:dyDescent="0.45">
      <c r="A2765" s="33" t="s">
        <v>2907</v>
      </c>
      <c r="AU2765" s="6"/>
      <c r="AV2765" s="6" t="str">
        <f t="shared" si="43"/>
        <v/>
      </c>
    </row>
    <row r="2766" spans="1:48" x14ac:dyDescent="0.45">
      <c r="A2766" s="34" t="s">
        <v>2908</v>
      </c>
      <c r="AU2766" s="6"/>
      <c r="AV2766" s="6" t="str">
        <f t="shared" si="43"/>
        <v/>
      </c>
    </row>
    <row r="2767" spans="1:48" s="79" customFormat="1" x14ac:dyDescent="0.45">
      <c r="A2767" s="75"/>
      <c r="B2767" s="76"/>
      <c r="C2767" s="77"/>
      <c r="D2767" s="77"/>
      <c r="E2767" s="77"/>
      <c r="F2767" s="77"/>
      <c r="G2767" s="77"/>
      <c r="H2767" s="77"/>
      <c r="I2767" s="77"/>
      <c r="J2767" s="77"/>
      <c r="K2767" s="77"/>
      <c r="L2767" s="77"/>
      <c r="M2767" s="148"/>
      <c r="N2767" s="78"/>
      <c r="O2767" s="78"/>
      <c r="P2767" s="78"/>
      <c r="Q2767" s="78"/>
      <c r="R2767" s="78"/>
      <c r="S2767" s="78"/>
      <c r="T2767" s="78"/>
      <c r="U2767" s="78"/>
      <c r="V2767" s="78"/>
      <c r="W2767" s="78"/>
      <c r="X2767" s="78"/>
      <c r="Y2767" s="148"/>
      <c r="Z2767" s="78"/>
      <c r="AA2767" s="78"/>
      <c r="AB2767" s="78"/>
      <c r="AC2767" s="78"/>
      <c r="AD2767" s="78"/>
      <c r="AE2767" s="156"/>
      <c r="AF2767" s="156"/>
      <c r="AG2767" s="78"/>
      <c r="AH2767" s="78"/>
      <c r="AI2767" s="78"/>
      <c r="AJ2767" s="78"/>
      <c r="AK2767" s="78"/>
      <c r="AL2767" s="78"/>
      <c r="AM2767" s="78"/>
      <c r="AN2767" s="78"/>
      <c r="AO2767" s="78"/>
      <c r="AP2767" s="78"/>
      <c r="AQ2767" s="78"/>
      <c r="AR2767" s="286"/>
      <c r="AS2767" s="78"/>
      <c r="AT2767" s="78"/>
      <c r="AU2767" s="8"/>
      <c r="AV2767" s="6" t="str">
        <f t="shared" ref="AV2767:AV2834" si="55">IF(A2767&lt;&gt;"",IF(T2767&lt;&gt;"",IF(LEFT(R2767,3)="Has",IF(TRIM(A2767)&lt;&gt;T2767,"ERROR","OK"),""),""),"")</f>
        <v/>
      </c>
    </row>
    <row r="2768" spans="1:48" x14ac:dyDescent="0.45">
      <c r="A2768" s="27" t="s">
        <v>2457</v>
      </c>
      <c r="I2768" s="18" t="s">
        <v>2473</v>
      </c>
      <c r="J2768" s="18" t="s">
        <v>2473</v>
      </c>
      <c r="K2768" s="18" t="s">
        <v>2473</v>
      </c>
      <c r="AU2768" s="6"/>
      <c r="AV2768" s="6" t="str">
        <f t="shared" si="55"/>
        <v/>
      </c>
    </row>
    <row r="2769" spans="1:48" x14ac:dyDescent="0.45">
      <c r="A2769" s="323" t="s">
        <v>2541</v>
      </c>
      <c r="B2769" s="324"/>
      <c r="C2769" s="324"/>
      <c r="D2769" s="324"/>
      <c r="E2769" s="324"/>
      <c r="F2769" s="324"/>
      <c r="G2769" s="101"/>
      <c r="H2769" s="101"/>
      <c r="I2769" s="18" t="s">
        <v>2473</v>
      </c>
      <c r="J2769" s="18" t="s">
        <v>2473</v>
      </c>
      <c r="K2769" s="18" t="s">
        <v>2473</v>
      </c>
      <c r="AU2769" s="6"/>
      <c r="AV2769" s="6" t="str">
        <f t="shared" si="55"/>
        <v/>
      </c>
    </row>
    <row r="2770" spans="1:48" ht="14.65" thickBot="1" x14ac:dyDescent="0.5">
      <c r="A2770" s="28" t="s">
        <v>1796</v>
      </c>
      <c r="I2770" s="18" t="s">
        <v>2473</v>
      </c>
      <c r="J2770" s="18" t="s">
        <v>2473</v>
      </c>
      <c r="K2770" s="18" t="s">
        <v>2473</v>
      </c>
      <c r="AA2770" s="183" t="s">
        <v>2322</v>
      </c>
      <c r="AB2770" s="183" t="s">
        <v>1697</v>
      </c>
      <c r="AC2770" s="183" t="s">
        <v>5</v>
      </c>
      <c r="AU2770" s="6"/>
      <c r="AV2770" s="6" t="str">
        <f t="shared" si="55"/>
        <v/>
      </c>
    </row>
    <row r="2771" spans="1:48" ht="105" thickBot="1" x14ac:dyDescent="0.5">
      <c r="A2771" s="309" t="s">
        <v>1797</v>
      </c>
      <c r="B2771" s="310"/>
      <c r="C2771" s="301" t="s">
        <v>1</v>
      </c>
      <c r="D2771" s="319"/>
      <c r="E2771" s="319"/>
      <c r="F2771" s="302"/>
      <c r="G2771" s="102"/>
      <c r="H2771" s="102"/>
      <c r="I2771" s="18" t="s">
        <v>2473</v>
      </c>
      <c r="AA2771" s="183" t="str">
        <f>LEFT($A2771,FIND(" ",$A2771)-1)</f>
        <v>Drive</v>
      </c>
      <c r="AB2771" s="183" t="str">
        <f>MID($A2771,FIND("(",$A2771)+1,LEN($A2771)-FIND("(",$A2771)-1)</f>
        <v>1.5.0</v>
      </c>
      <c r="AC2771" s="101" t="str">
        <f>A2769</f>
        <v>The Drive resource represents a single physical disk drive for a system, including links to associated Volumes.</v>
      </c>
      <c r="AU2771" s="6"/>
      <c r="AV2771" s="6" t="str">
        <f t="shared" si="55"/>
        <v/>
      </c>
    </row>
    <row r="2772" spans="1:48" ht="14.65" thickBot="1" x14ac:dyDescent="0.5">
      <c r="A2772" s="311"/>
      <c r="B2772" s="312"/>
      <c r="C2772" s="301" t="s">
        <v>2</v>
      </c>
      <c r="D2772" s="302"/>
      <c r="E2772" s="301" t="s">
        <v>3</v>
      </c>
      <c r="F2772" s="302"/>
      <c r="G2772" s="301" t="s">
        <v>2896</v>
      </c>
      <c r="H2772" s="302"/>
      <c r="I2772" s="18" t="s">
        <v>2473</v>
      </c>
      <c r="AA2772" s="183" t="s">
        <v>2322</v>
      </c>
      <c r="AB2772" s="183" t="s">
        <v>1697</v>
      </c>
      <c r="AC2772" s="183" t="s">
        <v>5</v>
      </c>
      <c r="AU2772" s="6"/>
      <c r="AV2772" s="6" t="str">
        <f t="shared" si="55"/>
        <v/>
      </c>
    </row>
    <row r="2773" spans="1:48" ht="105" thickBot="1" x14ac:dyDescent="0.5">
      <c r="A2773" s="309" t="s">
        <v>3183</v>
      </c>
      <c r="B2773" s="310"/>
      <c r="C2773" s="301" t="s">
        <v>1</v>
      </c>
      <c r="D2773" s="319"/>
      <c r="E2773" s="319"/>
      <c r="F2773" s="302"/>
      <c r="G2773" s="102"/>
      <c r="H2773" s="102"/>
      <c r="J2773" s="18" t="s">
        <v>2473</v>
      </c>
      <c r="K2773" s="18" t="s">
        <v>2473</v>
      </c>
      <c r="AA2773" s="183" t="str">
        <f>LEFT($A2773,FIND(" ",$A2773)-1)</f>
        <v>Drive</v>
      </c>
      <c r="AB2773" s="183" t="str">
        <f>MID($A2773,FIND("(",$A2773)+1,LEN($A2773)-FIND("(",$A2773)-1)</f>
        <v>1.6.0</v>
      </c>
      <c r="AC2773" s="101" t="str">
        <f>AC2771</f>
        <v>The Drive resource represents a single physical disk drive for a system, including links to associated Volumes.</v>
      </c>
      <c r="AU2773" s="6"/>
      <c r="AV2773" s="6" t="str">
        <f t="shared" si="55"/>
        <v/>
      </c>
    </row>
    <row r="2774" spans="1:48" ht="14.65" thickBot="1" x14ac:dyDescent="0.5">
      <c r="A2774" s="311"/>
      <c r="B2774" s="312"/>
      <c r="C2774" s="301" t="s">
        <v>2</v>
      </c>
      <c r="D2774" s="302"/>
      <c r="E2774" s="301" t="s">
        <v>3</v>
      </c>
      <c r="F2774" s="302"/>
      <c r="G2774" s="301" t="s">
        <v>2896</v>
      </c>
      <c r="H2774" s="302"/>
      <c r="J2774" s="18" t="s">
        <v>2473</v>
      </c>
      <c r="K2774" s="18" t="s">
        <v>2473</v>
      </c>
      <c r="AM2774" s="8" t="str">
        <f>C2774</f>
        <v>OSM-Redfish</v>
      </c>
      <c r="AN2774" s="8" t="str">
        <f>E2774</f>
        <v>OSM-RedfishBMC</v>
      </c>
      <c r="AO2774" s="8" t="str">
        <f>G2774</f>
        <v>OSM-RedfishDCN</v>
      </c>
      <c r="AU2774" s="6"/>
      <c r="AV2774" s="6" t="str">
        <f t="shared" si="55"/>
        <v/>
      </c>
    </row>
    <row r="2775" spans="1:48" ht="14.65" thickBot="1" x14ac:dyDescent="0.5">
      <c r="A2775" s="46" t="s">
        <v>2377</v>
      </c>
      <c r="B2775" s="47"/>
      <c r="C2775" s="303" t="s">
        <v>13</v>
      </c>
      <c r="D2775" s="304"/>
      <c r="E2775" s="303" t="s">
        <v>13</v>
      </c>
      <c r="F2775" s="304"/>
      <c r="G2775" s="303" t="s">
        <v>13</v>
      </c>
      <c r="H2775" s="304"/>
      <c r="I2775" s="18" t="s">
        <v>2473</v>
      </c>
      <c r="J2775" s="18" t="s">
        <v>2473</v>
      </c>
      <c r="K2775" s="18" t="s">
        <v>2473</v>
      </c>
      <c r="AM2775" s="8" t="str">
        <f>IF(C2775&lt;&gt;"","CRQ-P5-"&amp;(AM$2+$AP2775*$AP$3),"")</f>
        <v>CRQ-P5-1064</v>
      </c>
      <c r="AN2775" s="8" t="str">
        <f>IF(E2775&lt;&gt;"","CRQ-P5-"&amp;(AN$2+$AP2775*$AP$3),"")</f>
        <v>CRQ-P5-1364</v>
      </c>
      <c r="AO2775" s="8" t="str">
        <f>IF(G2775&lt;&gt;"","CRQ-P5-"&amp;(AO$2+$AP2775*$AP$3),"")</f>
        <v>CRQ-P5-1664</v>
      </c>
      <c r="AP2775" s="8">
        <v>16</v>
      </c>
      <c r="AU2775" s="6"/>
      <c r="AV2775" s="6" t="str">
        <f t="shared" si="55"/>
        <v/>
      </c>
    </row>
    <row r="2776" spans="1:48" ht="14.65" thickBot="1" x14ac:dyDescent="0.5">
      <c r="A2776" s="29" t="s">
        <v>3394</v>
      </c>
      <c r="B2776" s="9"/>
      <c r="C2776" s="305" t="str">
        <f>MID($A2771,FIND("(",$A2771)+1,5)</f>
        <v>1.5.0</v>
      </c>
      <c r="D2776" s="306"/>
      <c r="E2776" s="305" t="s">
        <v>3405</v>
      </c>
      <c r="F2776" s="306"/>
      <c r="G2776" s="305" t="str">
        <f>MID($A2771,FIND("(",$A2771)+1,5)</f>
        <v>1.5.0</v>
      </c>
      <c r="H2776" s="306"/>
      <c r="I2776" s="18" t="s">
        <v>2473</v>
      </c>
      <c r="J2776" s="18" t="s">
        <v>2473</v>
      </c>
      <c r="K2776" s="18" t="s">
        <v>2473</v>
      </c>
      <c r="AU2776" s="6"/>
      <c r="AV2776" s="6" t="str">
        <f t="shared" si="55"/>
        <v/>
      </c>
    </row>
    <row r="2777" spans="1:48" ht="14.65" thickBot="1" x14ac:dyDescent="0.5">
      <c r="A2777" s="30" t="s">
        <v>4</v>
      </c>
      <c r="B2777" s="59" t="s">
        <v>5</v>
      </c>
      <c r="C2777" s="7" t="s">
        <v>6</v>
      </c>
      <c r="D2777" s="7" t="s">
        <v>7</v>
      </c>
      <c r="E2777" s="7" t="s">
        <v>6</v>
      </c>
      <c r="F2777" s="7" t="s">
        <v>7</v>
      </c>
      <c r="G2777" s="7" t="s">
        <v>6</v>
      </c>
      <c r="H2777" s="7" t="s">
        <v>7</v>
      </c>
      <c r="I2777" s="18" t="s">
        <v>2473</v>
      </c>
      <c r="J2777" s="18" t="s">
        <v>2473</v>
      </c>
      <c r="K2777" s="18" t="s">
        <v>2473</v>
      </c>
      <c r="AU2777" s="6"/>
      <c r="AV2777" s="6" t="str">
        <f t="shared" si="55"/>
        <v/>
      </c>
    </row>
    <row r="2778" spans="1:48" ht="14.65" thickBot="1" x14ac:dyDescent="0.5">
      <c r="A2778" s="36" t="s">
        <v>8</v>
      </c>
      <c r="B2778" s="3" t="s">
        <v>9</v>
      </c>
      <c r="C2778" s="4" t="s">
        <v>13</v>
      </c>
      <c r="D2778" s="4"/>
      <c r="E2778" s="4" t="s">
        <v>13</v>
      </c>
      <c r="F2778" s="4"/>
      <c r="G2778" s="4" t="s">
        <v>13</v>
      </c>
      <c r="H2778" s="4"/>
      <c r="I2778" s="18" t="s">
        <v>2473</v>
      </c>
      <c r="J2778" s="18" t="s">
        <v>2473</v>
      </c>
      <c r="K2778" s="18" t="s">
        <v>2473</v>
      </c>
      <c r="AU2778" s="6"/>
      <c r="AV2778" s="6" t="str">
        <f t="shared" si="55"/>
        <v/>
      </c>
    </row>
    <row r="2779" spans="1:48" ht="14.65" thickBot="1" x14ac:dyDescent="0.5">
      <c r="A2779" s="35" t="s">
        <v>1798</v>
      </c>
      <c r="B2779" s="3" t="s">
        <v>1799</v>
      </c>
      <c r="C2779" s="4" t="s">
        <v>13</v>
      </c>
      <c r="D2779" s="4"/>
      <c r="E2779" s="4" t="s">
        <v>13</v>
      </c>
      <c r="F2779" s="4"/>
      <c r="G2779" s="4" t="s">
        <v>13</v>
      </c>
      <c r="H2779" s="4"/>
      <c r="I2779" s="18" t="s">
        <v>2473</v>
      </c>
      <c r="J2779" s="18" t="s">
        <v>2473</v>
      </c>
      <c r="K2779" s="18" t="s">
        <v>2473</v>
      </c>
      <c r="AU2779" s="6"/>
      <c r="AV2779" s="6" t="str">
        <f t="shared" si="55"/>
        <v/>
      </c>
    </row>
    <row r="2780" spans="1:48" ht="14.65" thickBot="1" x14ac:dyDescent="0.5">
      <c r="A2780" s="36" t="s">
        <v>181</v>
      </c>
      <c r="B2780" s="3" t="s">
        <v>1800</v>
      </c>
      <c r="C2780" s="4"/>
      <c r="D2780" s="4"/>
      <c r="E2780" s="4"/>
      <c r="F2780" s="4"/>
      <c r="G2780" s="4"/>
      <c r="H2780" s="4"/>
      <c r="I2780" s="18" t="s">
        <v>2473</v>
      </c>
      <c r="J2780" s="18" t="s">
        <v>2473</v>
      </c>
      <c r="K2780" s="18" t="s">
        <v>2473</v>
      </c>
      <c r="AU2780" s="6"/>
      <c r="AV2780" s="6" t="str">
        <f t="shared" si="55"/>
        <v/>
      </c>
    </row>
    <row r="2781" spans="1:48" ht="14.65" thickBot="1" x14ac:dyDescent="0.5">
      <c r="A2781" s="35" t="s">
        <v>33</v>
      </c>
      <c r="B2781" s="3" t="s">
        <v>183</v>
      </c>
      <c r="C2781" s="4"/>
      <c r="D2781" s="4"/>
      <c r="E2781" s="4"/>
      <c r="F2781" s="4"/>
      <c r="G2781" s="4"/>
      <c r="H2781" s="4"/>
      <c r="I2781" s="18" t="s">
        <v>2473</v>
      </c>
      <c r="J2781" s="18" t="s">
        <v>2473</v>
      </c>
      <c r="K2781" s="18" t="s">
        <v>2473</v>
      </c>
      <c r="AU2781" s="6"/>
      <c r="AV2781" s="6" t="str">
        <f t="shared" si="55"/>
        <v/>
      </c>
    </row>
    <row r="2782" spans="1:48" ht="14.65" thickBot="1" x14ac:dyDescent="0.5">
      <c r="A2782" s="36" t="s">
        <v>30</v>
      </c>
      <c r="B2782" s="3" t="s">
        <v>1801</v>
      </c>
      <c r="C2782" s="4"/>
      <c r="D2782" s="4"/>
      <c r="E2782" s="4"/>
      <c r="F2782" s="4"/>
      <c r="G2782" s="4"/>
      <c r="H2782" s="4"/>
      <c r="I2782" s="18" t="s">
        <v>2473</v>
      </c>
      <c r="J2782" s="18" t="s">
        <v>2473</v>
      </c>
      <c r="K2782" s="18" t="s">
        <v>2473</v>
      </c>
      <c r="AU2782" s="6"/>
      <c r="AV2782" s="6" t="str">
        <f t="shared" si="55"/>
        <v/>
      </c>
    </row>
    <row r="2783" spans="1:48" ht="14.65" thickBot="1" x14ac:dyDescent="0.5">
      <c r="A2783" s="36" t="s">
        <v>307</v>
      </c>
      <c r="B2783" s="3" t="s">
        <v>1802</v>
      </c>
      <c r="C2783" s="4" t="s">
        <v>13</v>
      </c>
      <c r="D2783" s="4"/>
      <c r="E2783" s="4" t="s">
        <v>13</v>
      </c>
      <c r="F2783" s="4"/>
      <c r="G2783" s="4" t="s">
        <v>13</v>
      </c>
      <c r="H2783" s="4"/>
      <c r="I2783" s="18" t="s">
        <v>2473</v>
      </c>
      <c r="J2783" s="18" t="s">
        <v>2473</v>
      </c>
      <c r="K2783" s="18" t="s">
        <v>2473</v>
      </c>
      <c r="AU2783" s="6"/>
      <c r="AV2783" s="6" t="str">
        <f t="shared" si="55"/>
        <v/>
      </c>
    </row>
    <row r="2784" spans="1:48" ht="23.65" thickBot="1" x14ac:dyDescent="0.5">
      <c r="A2784" s="36" t="s">
        <v>1803</v>
      </c>
      <c r="B2784" s="3" t="s">
        <v>1804</v>
      </c>
      <c r="C2784" s="4" t="s">
        <v>10</v>
      </c>
      <c r="D2784" s="4"/>
      <c r="E2784" s="4" t="s">
        <v>10</v>
      </c>
      <c r="F2784" s="4"/>
      <c r="G2784" s="4" t="s">
        <v>10</v>
      </c>
      <c r="H2784" s="4"/>
      <c r="I2784" s="18" t="s">
        <v>2473</v>
      </c>
      <c r="J2784" s="18" t="s">
        <v>2473</v>
      </c>
      <c r="K2784" s="18" t="s">
        <v>2473</v>
      </c>
      <c r="AU2784" s="6"/>
      <c r="AV2784" s="6" t="str">
        <f t="shared" si="55"/>
        <v/>
      </c>
    </row>
    <row r="2785" spans="1:48" ht="14.65" thickBot="1" x14ac:dyDescent="0.5">
      <c r="A2785" s="36" t="s">
        <v>490</v>
      </c>
      <c r="B2785" s="3" t="s">
        <v>1805</v>
      </c>
      <c r="C2785" s="4" t="s">
        <v>10</v>
      </c>
      <c r="D2785" s="4"/>
      <c r="E2785" s="4" t="s">
        <v>10</v>
      </c>
      <c r="F2785" s="4"/>
      <c r="G2785" s="4" t="s">
        <v>10</v>
      </c>
      <c r="H2785" s="4"/>
      <c r="I2785" s="18" t="s">
        <v>2473</v>
      </c>
      <c r="J2785" s="18" t="s">
        <v>2473</v>
      </c>
      <c r="K2785" s="18" t="s">
        <v>2473</v>
      </c>
      <c r="AU2785" s="6"/>
      <c r="AV2785" s="6" t="str">
        <f t="shared" si="55"/>
        <v/>
      </c>
    </row>
    <row r="2786" spans="1:48" ht="14.65" thickBot="1" x14ac:dyDescent="0.5">
      <c r="A2786" s="36" t="s">
        <v>1806</v>
      </c>
      <c r="B2786" s="3" t="s">
        <v>1807</v>
      </c>
      <c r="C2786" s="4" t="s">
        <v>37</v>
      </c>
      <c r="D2786" s="4"/>
      <c r="E2786" s="4" t="s">
        <v>37</v>
      </c>
      <c r="F2786" s="4"/>
      <c r="G2786" s="4" t="s">
        <v>37</v>
      </c>
      <c r="H2786" s="4"/>
      <c r="I2786" s="18" t="s">
        <v>2473</v>
      </c>
      <c r="J2786" s="18" t="s">
        <v>2473</v>
      </c>
      <c r="K2786" s="18" t="s">
        <v>2473</v>
      </c>
      <c r="AU2786" s="6"/>
      <c r="AV2786" s="6" t="str">
        <f t="shared" si="55"/>
        <v/>
      </c>
    </row>
    <row r="2787" spans="1:48" ht="14.65" thickBot="1" x14ac:dyDescent="0.5">
      <c r="A2787" s="36" t="s">
        <v>1808</v>
      </c>
      <c r="B2787" s="3" t="s">
        <v>1809</v>
      </c>
      <c r="C2787" s="4" t="s">
        <v>37</v>
      </c>
      <c r="D2787" s="4"/>
      <c r="E2787" s="4" t="s">
        <v>37</v>
      </c>
      <c r="F2787" s="4"/>
      <c r="G2787" s="4" t="s">
        <v>37</v>
      </c>
      <c r="H2787" s="4"/>
      <c r="I2787" s="18" t="s">
        <v>2473</v>
      </c>
      <c r="J2787" s="18" t="s">
        <v>2473</v>
      </c>
      <c r="K2787" s="18" t="s">
        <v>2473</v>
      </c>
      <c r="AU2787" s="6"/>
      <c r="AV2787" s="6" t="str">
        <f t="shared" si="55"/>
        <v/>
      </c>
    </row>
    <row r="2788" spans="1:48" ht="14.65" thickBot="1" x14ac:dyDescent="0.5">
      <c r="A2788" s="36" t="s">
        <v>1810</v>
      </c>
      <c r="B2788" s="3" t="s">
        <v>1811</v>
      </c>
      <c r="C2788" s="4"/>
      <c r="D2788" s="4"/>
      <c r="E2788" s="4"/>
      <c r="F2788" s="4"/>
      <c r="G2788" s="4"/>
      <c r="H2788" s="4"/>
      <c r="I2788" s="18" t="s">
        <v>2473</v>
      </c>
      <c r="J2788" s="18" t="s">
        <v>2473</v>
      </c>
      <c r="K2788" s="18" t="s">
        <v>2473</v>
      </c>
      <c r="AU2788" s="6"/>
      <c r="AV2788" s="6" t="str">
        <f t="shared" si="55"/>
        <v/>
      </c>
    </row>
    <row r="2789" spans="1:48" ht="14.65" thickBot="1" x14ac:dyDescent="0.5">
      <c r="A2789" s="36" t="s">
        <v>1812</v>
      </c>
      <c r="B2789" s="3" t="s">
        <v>1813</v>
      </c>
      <c r="C2789" s="4"/>
      <c r="D2789" s="4"/>
      <c r="E2789" s="4"/>
      <c r="F2789" s="4"/>
      <c r="G2789" s="4"/>
      <c r="H2789" s="4"/>
      <c r="I2789" s="18" t="s">
        <v>2473</v>
      </c>
      <c r="J2789" s="18" t="s">
        <v>2473</v>
      </c>
      <c r="K2789" s="18" t="s">
        <v>2473</v>
      </c>
      <c r="AU2789" s="6"/>
      <c r="AV2789" s="6" t="str">
        <f t="shared" si="55"/>
        <v/>
      </c>
    </row>
    <row r="2790" spans="1:48" ht="14.65" thickBot="1" x14ac:dyDescent="0.5">
      <c r="A2790" s="36" t="s">
        <v>496</v>
      </c>
      <c r="B2790" s="3" t="s">
        <v>1814</v>
      </c>
      <c r="C2790" s="4"/>
      <c r="D2790" s="4"/>
      <c r="E2790" s="4"/>
      <c r="F2790" s="4"/>
      <c r="G2790" s="4"/>
      <c r="H2790" s="4"/>
      <c r="I2790" s="18" t="s">
        <v>2473</v>
      </c>
      <c r="J2790" s="18" t="s">
        <v>2473</v>
      </c>
      <c r="K2790" s="18" t="s">
        <v>2473</v>
      </c>
      <c r="AU2790" s="6"/>
      <c r="AV2790" s="6" t="str">
        <f t="shared" si="55"/>
        <v/>
      </c>
    </row>
    <row r="2791" spans="1:48" ht="46.9" thickBot="1" x14ac:dyDescent="0.5">
      <c r="A2791" s="36" t="s">
        <v>74</v>
      </c>
      <c r="B2791" s="3" t="s">
        <v>5752</v>
      </c>
      <c r="C2791" s="4" t="s">
        <v>13</v>
      </c>
      <c r="D2791" s="4" t="s">
        <v>13</v>
      </c>
      <c r="E2791" s="4" t="s">
        <v>13</v>
      </c>
      <c r="F2791" s="4" t="s">
        <v>13</v>
      </c>
      <c r="G2791" s="4" t="s">
        <v>13</v>
      </c>
      <c r="H2791" s="4" t="s">
        <v>13</v>
      </c>
      <c r="I2791" s="18" t="s">
        <v>2473</v>
      </c>
      <c r="J2791" s="18" t="s">
        <v>2473</v>
      </c>
      <c r="K2791" s="18" t="s">
        <v>2473</v>
      </c>
      <c r="M2791" s="145" t="s">
        <v>5379</v>
      </c>
      <c r="AS2791" s="240" t="s">
        <v>5754</v>
      </c>
      <c r="AU2791" s="6"/>
      <c r="AV2791" s="6" t="str">
        <f t="shared" ref="AV2791" si="56">IF(A2791&lt;&gt;"",IF(T2791&lt;&gt;"",IF(LEFT(R2791,3)="Has",IF(TRIM(A2791)&lt;&gt;T2791,"ERROR","OK"),""),""),"")</f>
        <v/>
      </c>
    </row>
    <row r="2792" spans="1:48" ht="36" thickBot="1" x14ac:dyDescent="0.5">
      <c r="A2792" s="36" t="s">
        <v>5381</v>
      </c>
      <c r="B2792" s="3" t="s">
        <v>5753</v>
      </c>
      <c r="C2792" s="4" t="s">
        <v>13</v>
      </c>
      <c r="D2792" s="4" t="s">
        <v>13</v>
      </c>
      <c r="E2792" s="4" t="s">
        <v>13</v>
      </c>
      <c r="F2792" s="4" t="s">
        <v>13</v>
      </c>
      <c r="G2792" s="4" t="s">
        <v>13</v>
      </c>
      <c r="H2792" s="4" t="s">
        <v>13</v>
      </c>
      <c r="J2792" s="18" t="s">
        <v>2473</v>
      </c>
      <c r="K2792" s="18" t="s">
        <v>2473</v>
      </c>
      <c r="M2792" s="145" t="s">
        <v>5380</v>
      </c>
      <c r="AS2792" s="240" t="s">
        <v>5755</v>
      </c>
      <c r="AU2792" s="6"/>
      <c r="AV2792" s="6" t="str">
        <f t="shared" si="55"/>
        <v/>
      </c>
    </row>
    <row r="2793" spans="1:48" ht="14.65" thickBot="1" x14ac:dyDescent="0.5">
      <c r="A2793" s="36" t="s">
        <v>75</v>
      </c>
      <c r="B2793" s="3" t="s">
        <v>76</v>
      </c>
      <c r="C2793" s="4"/>
      <c r="D2793" s="4"/>
      <c r="E2793" s="4"/>
      <c r="F2793" s="4"/>
      <c r="G2793" s="4"/>
      <c r="H2793" s="4"/>
      <c r="I2793" s="18" t="s">
        <v>2473</v>
      </c>
      <c r="J2793" s="18" t="s">
        <v>2473</v>
      </c>
      <c r="K2793" s="18" t="s">
        <v>2473</v>
      </c>
      <c r="AU2793" s="6"/>
      <c r="AV2793" s="6" t="str">
        <f t="shared" si="55"/>
        <v/>
      </c>
    </row>
    <row r="2794" spans="1:48" ht="14.65" thickBot="1" x14ac:dyDescent="0.5">
      <c r="A2794" s="35" t="s">
        <v>77</v>
      </c>
      <c r="B2794" s="3" t="s">
        <v>1815</v>
      </c>
      <c r="C2794" s="4"/>
      <c r="D2794" s="4"/>
      <c r="E2794" s="4"/>
      <c r="F2794" s="4"/>
      <c r="G2794" s="4"/>
      <c r="H2794" s="4"/>
      <c r="I2794" s="18" t="s">
        <v>2473</v>
      </c>
      <c r="J2794" s="18" t="s">
        <v>2473</v>
      </c>
      <c r="K2794" s="18" t="s">
        <v>2473</v>
      </c>
      <c r="AU2794" s="6"/>
      <c r="AV2794" s="6" t="str">
        <f t="shared" si="55"/>
        <v/>
      </c>
    </row>
    <row r="2795" spans="1:48" ht="14.65" thickBot="1" x14ac:dyDescent="0.5">
      <c r="A2795" s="35" t="s">
        <v>43</v>
      </c>
      <c r="B2795" s="3" t="s">
        <v>79</v>
      </c>
      <c r="C2795" s="4"/>
      <c r="D2795" s="4"/>
      <c r="E2795" s="4"/>
      <c r="F2795" s="4"/>
      <c r="G2795" s="4"/>
      <c r="H2795" s="4"/>
      <c r="I2795" s="18" t="s">
        <v>2473</v>
      </c>
      <c r="J2795" s="18" t="s">
        <v>2473</v>
      </c>
      <c r="K2795" s="18" t="s">
        <v>2473</v>
      </c>
      <c r="AU2795" s="6"/>
      <c r="AV2795" s="6" t="str">
        <f t="shared" si="55"/>
        <v/>
      </c>
    </row>
    <row r="2796" spans="1:48" ht="14.65" thickBot="1" x14ac:dyDescent="0.5">
      <c r="A2796" s="35" t="s">
        <v>85</v>
      </c>
      <c r="B2796" s="3" t="s">
        <v>1816</v>
      </c>
      <c r="C2796" s="4"/>
      <c r="D2796" s="4"/>
      <c r="E2796" s="4"/>
      <c r="F2796" s="4"/>
      <c r="G2796" s="4"/>
      <c r="H2796" s="4"/>
      <c r="I2796" s="18" t="s">
        <v>2473</v>
      </c>
      <c r="J2796" s="18" t="s">
        <v>2473</v>
      </c>
      <c r="K2796" s="18" t="s">
        <v>2473</v>
      </c>
      <c r="AU2796" s="6"/>
      <c r="AV2796" s="6" t="str">
        <f t="shared" si="55"/>
        <v/>
      </c>
    </row>
    <row r="2797" spans="1:48" ht="14.65" thickBot="1" x14ac:dyDescent="0.5">
      <c r="A2797" s="35" t="s">
        <v>43</v>
      </c>
      <c r="B2797" s="3" t="s">
        <v>457</v>
      </c>
      <c r="C2797" s="4"/>
      <c r="D2797" s="4"/>
      <c r="E2797" s="4"/>
      <c r="F2797" s="4"/>
      <c r="G2797" s="4"/>
      <c r="H2797" s="4"/>
      <c r="I2797" s="18" t="s">
        <v>2473</v>
      </c>
      <c r="J2797" s="18" t="s">
        <v>2473</v>
      </c>
      <c r="K2797" s="18" t="s">
        <v>2473</v>
      </c>
      <c r="AU2797" s="6"/>
      <c r="AV2797" s="6" t="str">
        <f t="shared" si="55"/>
        <v/>
      </c>
    </row>
    <row r="2798" spans="1:48" ht="14.65" thickBot="1" x14ac:dyDescent="0.5">
      <c r="A2798" s="35" t="s">
        <v>59</v>
      </c>
      <c r="B2798" s="3" t="s">
        <v>60</v>
      </c>
      <c r="C2798" s="4"/>
      <c r="D2798" s="4"/>
      <c r="E2798" s="4"/>
      <c r="F2798" s="4"/>
      <c r="G2798" s="4"/>
      <c r="H2798" s="4"/>
      <c r="I2798" s="18" t="s">
        <v>2473</v>
      </c>
      <c r="J2798" s="18" t="s">
        <v>2473</v>
      </c>
      <c r="K2798" s="18" t="s">
        <v>2473</v>
      </c>
      <c r="AU2798" s="6"/>
      <c r="AV2798" s="6" t="str">
        <f t="shared" si="55"/>
        <v/>
      </c>
    </row>
    <row r="2799" spans="1:48" ht="14.65" thickBot="1" x14ac:dyDescent="0.5">
      <c r="A2799" s="35" t="s">
        <v>2012</v>
      </c>
      <c r="B2799" s="3" t="s">
        <v>3181</v>
      </c>
      <c r="C2799" s="4"/>
      <c r="D2799" s="4"/>
      <c r="E2799" s="4"/>
      <c r="F2799" s="4"/>
      <c r="G2799" s="4"/>
      <c r="H2799" s="4"/>
      <c r="J2799" s="18" t="s">
        <v>2473</v>
      </c>
      <c r="K2799" s="18" t="s">
        <v>2473</v>
      </c>
      <c r="AU2799" s="96"/>
      <c r="AV2799" s="6" t="str">
        <f t="shared" si="55"/>
        <v/>
      </c>
    </row>
    <row r="2800" spans="1:48" ht="14.65" thickBot="1" x14ac:dyDescent="0.5">
      <c r="A2800" s="35" t="s">
        <v>43</v>
      </c>
      <c r="B2800" s="3" t="s">
        <v>3182</v>
      </c>
      <c r="C2800" s="4"/>
      <c r="D2800" s="4"/>
      <c r="E2800" s="4"/>
      <c r="F2800" s="4"/>
      <c r="G2800" s="4"/>
      <c r="H2800" s="4"/>
      <c r="J2800" s="18" t="s">
        <v>2473</v>
      </c>
      <c r="K2800" s="18" t="s">
        <v>2473</v>
      </c>
      <c r="AU2800" s="96"/>
      <c r="AV2800" s="6" t="str">
        <f t="shared" si="55"/>
        <v/>
      </c>
    </row>
    <row r="2801" spans="1:48" ht="35.25" thickBot="1" x14ac:dyDescent="0.5">
      <c r="A2801" s="35" t="s">
        <v>1817</v>
      </c>
      <c r="B2801" s="3" t="s">
        <v>1818</v>
      </c>
      <c r="C2801" s="4" t="s">
        <v>37</v>
      </c>
      <c r="D2801" s="4"/>
      <c r="E2801" s="4" t="s">
        <v>37</v>
      </c>
      <c r="F2801" s="4"/>
      <c r="G2801" s="4" t="s">
        <v>37</v>
      </c>
      <c r="H2801" s="4"/>
      <c r="I2801" s="18" t="s">
        <v>2473</v>
      </c>
      <c r="J2801" s="18" t="s">
        <v>2473</v>
      </c>
      <c r="K2801" s="18" t="s">
        <v>2473</v>
      </c>
      <c r="AU2801" s="6"/>
      <c r="AV2801" s="6" t="str">
        <f t="shared" si="55"/>
        <v/>
      </c>
    </row>
    <row r="2802" spans="1:48" ht="14.65" thickBot="1" x14ac:dyDescent="0.5">
      <c r="A2802" s="35" t="s">
        <v>43</v>
      </c>
      <c r="B2802" s="3" t="s">
        <v>1819</v>
      </c>
      <c r="C2802" s="4"/>
      <c r="D2802" s="4"/>
      <c r="E2802" s="4"/>
      <c r="F2802" s="4"/>
      <c r="G2802" s="4"/>
      <c r="H2802" s="4"/>
      <c r="I2802" s="18" t="s">
        <v>2473</v>
      </c>
      <c r="J2802" s="18" t="s">
        <v>2473</v>
      </c>
      <c r="K2802" s="18" t="s">
        <v>2473</v>
      </c>
      <c r="AU2802" s="6"/>
      <c r="AV2802" s="6" t="str">
        <f t="shared" si="55"/>
        <v/>
      </c>
    </row>
    <row r="2803" spans="1:48" ht="36" thickBot="1" x14ac:dyDescent="0.5">
      <c r="A2803" s="36" t="s">
        <v>208</v>
      </c>
      <c r="B2803" s="3" t="s">
        <v>5758</v>
      </c>
      <c r="C2803" s="4" t="s">
        <v>13</v>
      </c>
      <c r="D2803" s="4"/>
      <c r="E2803" s="4" t="s">
        <v>13</v>
      </c>
      <c r="F2803" s="4"/>
      <c r="G2803" s="4" t="s">
        <v>13</v>
      </c>
      <c r="H2803" s="4"/>
      <c r="I2803" s="18" t="s">
        <v>2473</v>
      </c>
      <c r="J2803" s="18" t="s">
        <v>2473</v>
      </c>
      <c r="K2803" s="18" t="s">
        <v>2473</v>
      </c>
      <c r="M2803" s="145" t="s">
        <v>5756</v>
      </c>
      <c r="AS2803" s="240" t="s">
        <v>5760</v>
      </c>
      <c r="AU2803" s="139" t="s">
        <v>4337</v>
      </c>
      <c r="AV2803" s="6" t="str">
        <f t="shared" ref="AV2803" si="57">IF(A2803&lt;&gt;"",IF(T2803&lt;&gt;"",IF(LEFT(R2803,3)="Has",IF(TRIM(A2803)&lt;&gt;T2803,"ERROR","OK"),""),""),"")</f>
        <v/>
      </c>
    </row>
    <row r="2804" spans="1:48" ht="36" thickBot="1" x14ac:dyDescent="0.5">
      <c r="A2804" s="36" t="s">
        <v>1829</v>
      </c>
      <c r="B2804" s="3" t="s">
        <v>5759</v>
      </c>
      <c r="C2804" s="4" t="s">
        <v>13</v>
      </c>
      <c r="D2804" s="4"/>
      <c r="E2804" s="4" t="s">
        <v>13</v>
      </c>
      <c r="F2804" s="4"/>
      <c r="G2804" s="4" t="s">
        <v>13</v>
      </c>
      <c r="H2804" s="4"/>
      <c r="J2804" s="18" t="s">
        <v>2473</v>
      </c>
      <c r="K2804" s="18" t="s">
        <v>2473</v>
      </c>
      <c r="M2804" s="145" t="s">
        <v>5757</v>
      </c>
      <c r="AS2804" s="240" t="s">
        <v>5761</v>
      </c>
      <c r="AU2804" s="139" t="s">
        <v>4337</v>
      </c>
      <c r="AV2804" s="6" t="str">
        <f t="shared" si="55"/>
        <v/>
      </c>
    </row>
    <row r="2805" spans="1:48" ht="14.65" thickBot="1" x14ac:dyDescent="0.5">
      <c r="A2805" s="36" t="s">
        <v>99</v>
      </c>
      <c r="B2805" s="3" t="s">
        <v>1820</v>
      </c>
      <c r="C2805" s="4" t="s">
        <v>10</v>
      </c>
      <c r="D2805" s="4"/>
      <c r="E2805" s="4" t="s">
        <v>10</v>
      </c>
      <c r="F2805" s="4"/>
      <c r="G2805" s="4" t="s">
        <v>10</v>
      </c>
      <c r="H2805" s="4"/>
      <c r="I2805" s="18" t="s">
        <v>2473</v>
      </c>
      <c r="J2805" s="18" t="s">
        <v>2473</v>
      </c>
      <c r="K2805" s="18" t="s">
        <v>2473</v>
      </c>
      <c r="AU2805" s="6"/>
      <c r="AV2805" s="6" t="str">
        <f t="shared" si="55"/>
        <v/>
      </c>
    </row>
    <row r="2806" spans="1:48" ht="14.65" thickBot="1" x14ac:dyDescent="0.5">
      <c r="A2806" s="36" t="s">
        <v>1821</v>
      </c>
      <c r="B2806" s="3" t="s">
        <v>1822</v>
      </c>
      <c r="C2806" s="4" t="s">
        <v>13</v>
      </c>
      <c r="D2806" s="4"/>
      <c r="E2806" s="4" t="s">
        <v>13</v>
      </c>
      <c r="F2806" s="4"/>
      <c r="G2806" s="4" t="s">
        <v>13</v>
      </c>
      <c r="H2806" s="4"/>
      <c r="I2806" s="18" t="s">
        <v>2473</v>
      </c>
      <c r="J2806" s="18" t="s">
        <v>2473</v>
      </c>
      <c r="K2806" s="18" t="s">
        <v>2473</v>
      </c>
      <c r="AU2806" s="6"/>
      <c r="AV2806" s="6" t="str">
        <f t="shared" si="55"/>
        <v/>
      </c>
    </row>
    <row r="2807" spans="1:48" ht="14.65" thickBot="1" x14ac:dyDescent="0.5">
      <c r="A2807" s="36" t="s">
        <v>114</v>
      </c>
      <c r="B2807" s="3" t="s">
        <v>1823</v>
      </c>
      <c r="C2807" s="4" t="s">
        <v>10</v>
      </c>
      <c r="D2807" s="4"/>
      <c r="E2807" s="4" t="s">
        <v>10</v>
      </c>
      <c r="F2807" s="4"/>
      <c r="G2807" s="4" t="s">
        <v>10</v>
      </c>
      <c r="H2807" s="4"/>
      <c r="I2807" s="18" t="s">
        <v>2473</v>
      </c>
      <c r="J2807" s="18" t="s">
        <v>2473</v>
      </c>
      <c r="K2807" s="18" t="s">
        <v>2473</v>
      </c>
      <c r="AU2807" s="6"/>
      <c r="AV2807" s="6" t="str">
        <f t="shared" si="55"/>
        <v/>
      </c>
    </row>
    <row r="2808" spans="1:48" ht="23.65" thickBot="1" x14ac:dyDescent="0.5">
      <c r="A2808" s="36" t="s">
        <v>1824</v>
      </c>
      <c r="B2808" s="3" t="s">
        <v>1825</v>
      </c>
      <c r="C2808" s="4" t="s">
        <v>13</v>
      </c>
      <c r="D2808" s="4"/>
      <c r="E2808" s="4" t="s">
        <v>13</v>
      </c>
      <c r="F2808" s="4"/>
      <c r="G2808" s="4" t="s">
        <v>13</v>
      </c>
      <c r="H2808" s="4"/>
      <c r="I2808" s="18" t="s">
        <v>2473</v>
      </c>
      <c r="J2808" s="18" t="s">
        <v>2473</v>
      </c>
      <c r="K2808" s="18" t="s">
        <v>2473</v>
      </c>
      <c r="AU2808" s="6"/>
      <c r="AV2808" s="6" t="str">
        <f t="shared" si="55"/>
        <v/>
      </c>
    </row>
    <row r="2809" spans="1:48" ht="14.65" thickBot="1" x14ac:dyDescent="0.5">
      <c r="A2809" s="36" t="s">
        <v>499</v>
      </c>
      <c r="B2809" s="3" t="s">
        <v>1826</v>
      </c>
      <c r="C2809" s="4" t="s">
        <v>37</v>
      </c>
      <c r="D2809" s="4"/>
      <c r="E2809" s="4" t="s">
        <v>37</v>
      </c>
      <c r="F2809" s="4"/>
      <c r="G2809" s="4" t="s">
        <v>37</v>
      </c>
      <c r="H2809" s="4"/>
      <c r="I2809" s="18" t="s">
        <v>2473</v>
      </c>
      <c r="J2809" s="18" t="s">
        <v>2473</v>
      </c>
      <c r="K2809" s="18" t="s">
        <v>2473</v>
      </c>
      <c r="AU2809" s="8"/>
      <c r="AV2809" s="6" t="str">
        <f t="shared" si="55"/>
        <v/>
      </c>
    </row>
    <row r="2810" spans="1:48" ht="14.65" thickBot="1" x14ac:dyDescent="0.5">
      <c r="A2810" s="35" t="s">
        <v>501</v>
      </c>
      <c r="B2810" s="3" t="s">
        <v>1827</v>
      </c>
      <c r="C2810" s="4" t="s">
        <v>10</v>
      </c>
      <c r="D2810" s="4"/>
      <c r="E2810" s="4" t="s">
        <v>10</v>
      </c>
      <c r="F2810" s="4"/>
      <c r="G2810" s="4" t="s">
        <v>10</v>
      </c>
      <c r="H2810" s="4"/>
      <c r="I2810" s="18" t="s">
        <v>2473</v>
      </c>
      <c r="J2810" s="18" t="s">
        <v>2473</v>
      </c>
      <c r="K2810" s="18" t="s">
        <v>2473</v>
      </c>
      <c r="AU2810" s="8"/>
      <c r="AV2810" s="6" t="str">
        <f t="shared" si="55"/>
        <v/>
      </c>
    </row>
    <row r="2811" spans="1:48" ht="14.65" thickBot="1" x14ac:dyDescent="0.5">
      <c r="A2811" s="35" t="s">
        <v>43</v>
      </c>
      <c r="B2811" s="3" t="s">
        <v>503</v>
      </c>
      <c r="C2811" s="4"/>
      <c r="D2811" s="4"/>
      <c r="E2811" s="4"/>
      <c r="F2811" s="4"/>
      <c r="G2811" s="4"/>
      <c r="H2811" s="4"/>
      <c r="I2811" s="18" t="s">
        <v>2473</v>
      </c>
      <c r="J2811" s="18" t="s">
        <v>2473</v>
      </c>
      <c r="K2811" s="18" t="s">
        <v>2473</v>
      </c>
      <c r="AU2811" s="6"/>
      <c r="AV2811" s="6" t="str">
        <f t="shared" si="55"/>
        <v/>
      </c>
    </row>
    <row r="2812" spans="1:48" ht="36" thickBot="1" x14ac:dyDescent="0.5">
      <c r="A2812" s="35" t="s">
        <v>504</v>
      </c>
      <c r="B2812" s="3" t="s">
        <v>5764</v>
      </c>
      <c r="C2812" s="4" t="s">
        <v>10</v>
      </c>
      <c r="D2812" s="4"/>
      <c r="E2812" s="4" t="s">
        <v>10</v>
      </c>
      <c r="F2812" s="4"/>
      <c r="G2812" s="4" t="s">
        <v>10</v>
      </c>
      <c r="H2812" s="4"/>
      <c r="I2812" s="18" t="s">
        <v>2473</v>
      </c>
      <c r="J2812" s="18" t="s">
        <v>2473</v>
      </c>
      <c r="K2812" s="18" t="s">
        <v>2473</v>
      </c>
      <c r="M2812" s="145" t="s">
        <v>5765</v>
      </c>
      <c r="AS2812" s="240" t="s">
        <v>5767</v>
      </c>
      <c r="AU2812" s="6"/>
      <c r="AV2812" s="6" t="str">
        <f t="shared" ref="AV2812" si="58">IF(A2812&lt;&gt;"",IF(T2812&lt;&gt;"",IF(LEFT(R2812,3)="Has",IF(TRIM(A2812)&lt;&gt;T2812,"ERROR","OK"),""),""),"")</f>
        <v/>
      </c>
    </row>
    <row r="2813" spans="1:48" ht="36" thickBot="1" x14ac:dyDescent="0.5">
      <c r="A2813" s="35" t="s">
        <v>5762</v>
      </c>
      <c r="B2813" s="3" t="s">
        <v>5763</v>
      </c>
      <c r="C2813" s="4" t="s">
        <v>10</v>
      </c>
      <c r="D2813" s="4"/>
      <c r="E2813" s="4" t="s">
        <v>10</v>
      </c>
      <c r="F2813" s="4"/>
      <c r="G2813" s="4" t="s">
        <v>10</v>
      </c>
      <c r="H2813" s="4"/>
      <c r="J2813" s="18" t="s">
        <v>2473</v>
      </c>
      <c r="K2813" s="18" t="s">
        <v>2473</v>
      </c>
      <c r="M2813" s="145" t="s">
        <v>5766</v>
      </c>
      <c r="AS2813" s="240" t="s">
        <v>5768</v>
      </c>
      <c r="AU2813" s="6"/>
      <c r="AV2813" s="6" t="str">
        <f t="shared" si="55"/>
        <v/>
      </c>
    </row>
    <row r="2814" spans="1:48" ht="14.65" thickBot="1" x14ac:dyDescent="0.5">
      <c r="A2814" s="35" t="s">
        <v>506</v>
      </c>
      <c r="B2814" s="3" t="s">
        <v>507</v>
      </c>
      <c r="C2814" s="4" t="s">
        <v>10</v>
      </c>
      <c r="D2814" s="4"/>
      <c r="E2814" s="4" t="s">
        <v>10</v>
      </c>
      <c r="F2814" s="4"/>
      <c r="G2814" s="4" t="s">
        <v>10</v>
      </c>
      <c r="H2814" s="4"/>
      <c r="I2814" s="18" t="s">
        <v>2473</v>
      </c>
      <c r="J2814" s="18" t="s">
        <v>2473</v>
      </c>
      <c r="K2814" s="18" t="s">
        <v>2473</v>
      </c>
      <c r="AU2814" s="6"/>
      <c r="AV2814" s="6" t="str">
        <f t="shared" si="55"/>
        <v/>
      </c>
    </row>
    <row r="2815" spans="1:48" ht="14.65" thickBot="1" x14ac:dyDescent="0.5">
      <c r="A2815" s="36" t="s">
        <v>244</v>
      </c>
      <c r="B2815" s="3" t="s">
        <v>1828</v>
      </c>
      <c r="C2815" s="4" t="s">
        <v>10</v>
      </c>
      <c r="D2815" s="4"/>
      <c r="E2815" s="4" t="s">
        <v>10</v>
      </c>
      <c r="F2815" s="4"/>
      <c r="G2815" s="4" t="s">
        <v>10</v>
      </c>
      <c r="H2815" s="4"/>
      <c r="I2815" s="18" t="s">
        <v>2473</v>
      </c>
      <c r="J2815" s="18" t="s">
        <v>2473</v>
      </c>
      <c r="K2815" s="18" t="s">
        <v>2473</v>
      </c>
      <c r="AU2815" s="6"/>
      <c r="AV2815" s="6" t="str">
        <f t="shared" si="55"/>
        <v/>
      </c>
    </row>
    <row r="2816" spans="1:48" ht="23.65" thickBot="1" x14ac:dyDescent="0.5">
      <c r="A2816" s="36" t="s">
        <v>1830</v>
      </c>
      <c r="B2816" s="3" t="s">
        <v>331</v>
      </c>
      <c r="C2816" s="4"/>
      <c r="D2816" s="4"/>
      <c r="E2816" s="4"/>
      <c r="F2816" s="4"/>
      <c r="G2816" s="4"/>
      <c r="H2816" s="4"/>
      <c r="I2816" s="18" t="s">
        <v>2473</v>
      </c>
      <c r="J2816" s="18" t="s">
        <v>2473</v>
      </c>
      <c r="K2816" s="18" t="s">
        <v>2473</v>
      </c>
      <c r="AU2816" s="6"/>
      <c r="AV2816" s="6" t="str">
        <f t="shared" si="55"/>
        <v/>
      </c>
    </row>
    <row r="2817" spans="1:48" ht="14.65" thickBot="1" x14ac:dyDescent="0.5">
      <c r="A2817" s="36" t="s">
        <v>553</v>
      </c>
      <c r="B2817" s="3" t="s">
        <v>1831</v>
      </c>
      <c r="C2817" s="4"/>
      <c r="D2817" s="4"/>
      <c r="E2817" s="4"/>
      <c r="F2817" s="4"/>
      <c r="G2817" s="4"/>
      <c r="H2817" s="4"/>
      <c r="I2817" s="18" t="s">
        <v>2473</v>
      </c>
      <c r="J2817" s="18" t="s">
        <v>2473</v>
      </c>
      <c r="K2817" s="18" t="s">
        <v>2473</v>
      </c>
      <c r="AU2817" s="6"/>
      <c r="AV2817" s="6" t="str">
        <f t="shared" si="55"/>
        <v/>
      </c>
    </row>
    <row r="2818" spans="1:48" ht="23.65" thickBot="1" x14ac:dyDescent="0.5">
      <c r="A2818" s="36" t="s">
        <v>1832</v>
      </c>
      <c r="B2818" s="3" t="s">
        <v>1833</v>
      </c>
      <c r="C2818" s="4"/>
      <c r="D2818" s="4"/>
      <c r="E2818" s="4"/>
      <c r="F2818" s="4"/>
      <c r="G2818" s="4"/>
      <c r="H2818" s="4"/>
      <c r="I2818" s="18" t="s">
        <v>2473</v>
      </c>
      <c r="J2818" s="18" t="s">
        <v>2473</v>
      </c>
      <c r="K2818" s="18" t="s">
        <v>2473</v>
      </c>
      <c r="AU2818" s="6"/>
      <c r="AV2818" s="6" t="str">
        <f t="shared" si="55"/>
        <v/>
      </c>
    </row>
    <row r="2819" spans="1:48" ht="14.65" thickBot="1" x14ac:dyDescent="0.5">
      <c r="A2819" s="36" t="s">
        <v>1834</v>
      </c>
      <c r="B2819" s="3" t="s">
        <v>1835</v>
      </c>
      <c r="C2819" s="4" t="s">
        <v>13</v>
      </c>
      <c r="D2819" s="4"/>
      <c r="E2819" s="4" t="s">
        <v>13</v>
      </c>
      <c r="F2819" s="4"/>
      <c r="G2819" s="4" t="s">
        <v>13</v>
      </c>
      <c r="H2819" s="4"/>
      <c r="I2819" s="18" t="s">
        <v>2473</v>
      </c>
      <c r="J2819" s="18" t="s">
        <v>2473</v>
      </c>
      <c r="K2819" s="18" t="s">
        <v>2473</v>
      </c>
      <c r="AU2819" s="6"/>
      <c r="AV2819" s="6" t="str">
        <f t="shared" si="55"/>
        <v/>
      </c>
    </row>
    <row r="2820" spans="1:48" ht="14.65" thickBot="1" x14ac:dyDescent="0.5">
      <c r="A2820" s="36" t="s">
        <v>136</v>
      </c>
      <c r="B2820" s="3" t="s">
        <v>1836</v>
      </c>
      <c r="C2820" s="4"/>
      <c r="D2820" s="4"/>
      <c r="E2820" s="4"/>
      <c r="F2820" s="4"/>
      <c r="G2820" s="4"/>
      <c r="H2820" s="4"/>
      <c r="I2820" s="18" t="s">
        <v>2473</v>
      </c>
      <c r="J2820" s="18" t="s">
        <v>2473</v>
      </c>
      <c r="K2820" s="18" t="s">
        <v>2473</v>
      </c>
      <c r="AU2820" s="6"/>
      <c r="AV2820" s="6" t="str">
        <f t="shared" si="55"/>
        <v/>
      </c>
    </row>
    <row r="2821" spans="1:48" ht="14.65" thickBot="1" x14ac:dyDescent="0.5">
      <c r="A2821" s="36" t="s">
        <v>140</v>
      </c>
      <c r="B2821" s="3" t="s">
        <v>1837</v>
      </c>
      <c r="C2821" s="4" t="s">
        <v>10</v>
      </c>
      <c r="D2821" s="4"/>
      <c r="E2821" s="4" t="s">
        <v>10</v>
      </c>
      <c r="F2821" s="4"/>
      <c r="G2821" s="4" t="s">
        <v>10</v>
      </c>
      <c r="H2821" s="4"/>
      <c r="I2821" s="18" t="s">
        <v>2473</v>
      </c>
      <c r="J2821" s="18" t="s">
        <v>2473</v>
      </c>
      <c r="K2821" s="18" t="s">
        <v>2473</v>
      </c>
      <c r="AU2821" s="6"/>
      <c r="AV2821" s="6" t="str">
        <f t="shared" si="55"/>
        <v/>
      </c>
    </row>
    <row r="2822" spans="1:48" ht="105.75" thickBot="1" x14ac:dyDescent="0.5">
      <c r="A2822" s="36" t="s">
        <v>145</v>
      </c>
      <c r="B2822" s="3" t="s">
        <v>3968</v>
      </c>
      <c r="C2822" s="4" t="s">
        <v>10</v>
      </c>
      <c r="D2822" s="4"/>
      <c r="E2822" s="4" t="s">
        <v>10</v>
      </c>
      <c r="F2822" s="4"/>
      <c r="G2822" s="4" t="s">
        <v>10</v>
      </c>
      <c r="H2822" s="4"/>
      <c r="I2822" s="18" t="s">
        <v>2473</v>
      </c>
      <c r="J2822" s="18" t="s">
        <v>2473</v>
      </c>
      <c r="K2822" s="18" t="s">
        <v>2473</v>
      </c>
      <c r="AS2822" s="206" t="s">
        <v>5861</v>
      </c>
      <c r="AU2822" s="6"/>
      <c r="AV2822" s="6" t="str">
        <f t="shared" si="55"/>
        <v/>
      </c>
    </row>
    <row r="2823" spans="1:48" ht="47.65" thickBot="1" x14ac:dyDescent="0.5">
      <c r="A2823" s="35" t="s">
        <v>5361</v>
      </c>
      <c r="B2823" s="3" t="s">
        <v>5352</v>
      </c>
      <c r="C2823" s="4" t="s">
        <v>10</v>
      </c>
      <c r="D2823" s="4"/>
      <c r="E2823" s="4" t="s">
        <v>10</v>
      </c>
      <c r="F2823" s="4"/>
      <c r="G2823" s="4" t="s">
        <v>10</v>
      </c>
      <c r="H2823" s="4"/>
      <c r="I2823" s="18" t="s">
        <v>2473</v>
      </c>
      <c r="J2823" s="18" t="s">
        <v>2473</v>
      </c>
      <c r="K2823" s="18" t="s">
        <v>2473</v>
      </c>
      <c r="Q2823" s="131"/>
      <c r="R2823" s="131"/>
      <c r="S2823" s="131"/>
      <c r="T2823" s="131"/>
      <c r="U2823" s="131"/>
      <c r="V2823" s="131"/>
      <c r="W2823" s="131"/>
      <c r="X2823" s="131"/>
      <c r="AS2823" s="139" t="s">
        <v>5355</v>
      </c>
      <c r="AU2823" s="6"/>
      <c r="AV2823" s="6"/>
    </row>
    <row r="2824" spans="1:48" ht="82.5" thickBot="1" x14ac:dyDescent="0.5">
      <c r="A2824" s="35" t="s">
        <v>5360</v>
      </c>
      <c r="B2824" s="3" t="s">
        <v>5353</v>
      </c>
      <c r="C2824" s="4"/>
      <c r="D2824" s="4"/>
      <c r="E2824" s="4"/>
      <c r="F2824" s="4"/>
      <c r="G2824" s="4"/>
      <c r="H2824" s="4"/>
      <c r="I2824" s="18" t="s">
        <v>2473</v>
      </c>
      <c r="J2824" s="18" t="s">
        <v>2473</v>
      </c>
      <c r="K2824" s="18" t="s">
        <v>2473</v>
      </c>
      <c r="Q2824" s="131"/>
      <c r="R2824" s="131"/>
      <c r="S2824" s="131"/>
      <c r="T2824" s="131"/>
      <c r="U2824" s="131"/>
      <c r="V2824" s="131"/>
      <c r="W2824" s="131"/>
      <c r="X2824" s="131"/>
      <c r="AS2824" s="139" t="s">
        <v>5356</v>
      </c>
      <c r="AU2824" s="6"/>
      <c r="AV2824" s="6"/>
    </row>
    <row r="2825" spans="1:48" ht="23.65" thickBot="1" x14ac:dyDescent="0.5">
      <c r="A2825" s="36" t="s">
        <v>1838</v>
      </c>
      <c r="B2825" s="3" t="s">
        <v>1839</v>
      </c>
      <c r="C2825" s="4"/>
      <c r="D2825" s="4"/>
      <c r="E2825" s="4"/>
      <c r="F2825" s="4"/>
      <c r="G2825" s="4"/>
      <c r="H2825" s="4"/>
      <c r="I2825" s="18" t="s">
        <v>2473</v>
      </c>
      <c r="J2825" s="18" t="s">
        <v>2473</v>
      </c>
      <c r="K2825" s="18" t="s">
        <v>2473</v>
      </c>
      <c r="AU2825" s="6"/>
      <c r="AV2825" s="6" t="str">
        <f t="shared" si="55"/>
        <v/>
      </c>
    </row>
    <row r="2826" spans="1:48" x14ac:dyDescent="0.45">
      <c r="A2826" s="33" t="s">
        <v>1840</v>
      </c>
      <c r="I2826" s="18" t="s">
        <v>2473</v>
      </c>
      <c r="J2826" s="18" t="s">
        <v>2473</v>
      </c>
      <c r="K2826" s="18" t="s">
        <v>2473</v>
      </c>
      <c r="AU2826" s="6"/>
      <c r="AV2826" s="6" t="str">
        <f t="shared" si="55"/>
        <v/>
      </c>
    </row>
    <row r="2827" spans="1:48" x14ac:dyDescent="0.45">
      <c r="A2827" s="34" t="s">
        <v>1841</v>
      </c>
      <c r="I2827" s="18" t="s">
        <v>2473</v>
      </c>
      <c r="J2827" s="18" t="s">
        <v>2473</v>
      </c>
      <c r="K2827" s="18" t="s">
        <v>2473</v>
      </c>
      <c r="AU2827" s="6"/>
      <c r="AV2827" s="6" t="str">
        <f t="shared" si="55"/>
        <v/>
      </c>
    </row>
    <row r="2828" spans="1:48" x14ac:dyDescent="0.45">
      <c r="A2828" s="34" t="s">
        <v>1842</v>
      </c>
      <c r="I2828" s="18" t="s">
        <v>2473</v>
      </c>
      <c r="J2828" s="18" t="s">
        <v>2473</v>
      </c>
      <c r="K2828" s="18" t="s">
        <v>2473</v>
      </c>
      <c r="AU2828" s="6"/>
      <c r="AV2828" s="6" t="str">
        <f t="shared" si="55"/>
        <v/>
      </c>
    </row>
    <row r="2829" spans="1:48" s="79" customFormat="1" x14ac:dyDescent="0.45">
      <c r="A2829" s="75"/>
      <c r="B2829" s="76"/>
      <c r="C2829" s="77"/>
      <c r="D2829" s="77"/>
      <c r="E2829" s="77"/>
      <c r="F2829" s="77"/>
      <c r="G2829" s="77"/>
      <c r="H2829" s="77"/>
      <c r="I2829" s="77"/>
      <c r="J2829" s="77"/>
      <c r="K2829" s="77"/>
      <c r="L2829" s="77"/>
      <c r="M2829" s="148"/>
      <c r="N2829" s="78"/>
      <c r="O2829" s="78"/>
      <c r="P2829" s="78"/>
      <c r="Q2829" s="78"/>
      <c r="R2829" s="78"/>
      <c r="S2829" s="78"/>
      <c r="T2829" s="78"/>
      <c r="U2829" s="78"/>
      <c r="V2829" s="78"/>
      <c r="W2829" s="78"/>
      <c r="X2829" s="78"/>
      <c r="Y2829" s="148"/>
      <c r="Z2829" s="78"/>
      <c r="AA2829" s="78"/>
      <c r="AB2829" s="78"/>
      <c r="AC2829" s="78"/>
      <c r="AD2829" s="78"/>
      <c r="AE2829" s="156"/>
      <c r="AF2829" s="156"/>
      <c r="AG2829" s="78"/>
      <c r="AH2829" s="78"/>
      <c r="AI2829" s="78"/>
      <c r="AJ2829" s="78"/>
      <c r="AK2829" s="78"/>
      <c r="AL2829" s="78"/>
      <c r="AM2829" s="78"/>
      <c r="AN2829" s="78"/>
      <c r="AO2829" s="78"/>
      <c r="AP2829" s="78"/>
      <c r="AQ2829" s="78"/>
      <c r="AR2829" s="286"/>
      <c r="AS2829" s="78"/>
      <c r="AT2829" s="78"/>
      <c r="AU2829" s="8"/>
      <c r="AV2829" s="6" t="str">
        <f t="shared" si="55"/>
        <v/>
      </c>
    </row>
    <row r="2830" spans="1:48" x14ac:dyDescent="0.45">
      <c r="A2830" s="27" t="s">
        <v>2458</v>
      </c>
      <c r="I2830" s="18" t="s">
        <v>2473</v>
      </c>
      <c r="J2830" s="18" t="s">
        <v>2473</v>
      </c>
      <c r="K2830" s="18" t="s">
        <v>2473</v>
      </c>
      <c r="AU2830" s="6"/>
      <c r="AV2830" s="6" t="str">
        <f t="shared" si="55"/>
        <v/>
      </c>
    </row>
    <row r="2831" spans="1:48" x14ac:dyDescent="0.45">
      <c r="A2831" s="323" t="s">
        <v>2542</v>
      </c>
      <c r="B2831" s="324"/>
      <c r="C2831" s="324"/>
      <c r="D2831" s="324"/>
      <c r="E2831" s="324"/>
      <c r="F2831" s="324"/>
      <c r="G2831" s="101"/>
      <c r="H2831" s="101"/>
      <c r="I2831" s="18" t="s">
        <v>2473</v>
      </c>
      <c r="J2831" s="18" t="s">
        <v>2473</v>
      </c>
      <c r="K2831" s="18" t="s">
        <v>2473</v>
      </c>
      <c r="AU2831" s="6"/>
      <c r="AV2831" s="6" t="str">
        <f t="shared" si="55"/>
        <v/>
      </c>
    </row>
    <row r="2832" spans="1:48" ht="14.65" thickBot="1" x14ac:dyDescent="0.5">
      <c r="A2832" s="28" t="s">
        <v>1843</v>
      </c>
      <c r="I2832" s="18" t="s">
        <v>2473</v>
      </c>
      <c r="J2832" s="18" t="s">
        <v>2473</v>
      </c>
      <c r="K2832" s="18" t="s">
        <v>2473</v>
      </c>
      <c r="AU2832" s="6"/>
      <c r="AV2832" s="6" t="str">
        <f t="shared" si="55"/>
        <v/>
      </c>
    </row>
    <row r="2833" spans="1:48" ht="14.65" thickBot="1" x14ac:dyDescent="0.5">
      <c r="A2833" s="309" t="s">
        <v>208</v>
      </c>
      <c r="B2833" s="310"/>
      <c r="C2833" s="301" t="s">
        <v>1</v>
      </c>
      <c r="D2833" s="319"/>
      <c r="E2833" s="319"/>
      <c r="F2833" s="302"/>
      <c r="G2833" s="102"/>
      <c r="H2833" s="102"/>
      <c r="I2833" s="18" t="s">
        <v>2473</v>
      </c>
      <c r="J2833" s="18" t="s">
        <v>2473</v>
      </c>
      <c r="K2833" s="18" t="s">
        <v>2473</v>
      </c>
      <c r="AU2833" s="6"/>
      <c r="AV2833" s="6" t="str">
        <f t="shared" si="55"/>
        <v/>
      </c>
    </row>
    <row r="2834" spans="1:48" ht="14.65" thickBot="1" x14ac:dyDescent="0.5">
      <c r="A2834" s="311"/>
      <c r="B2834" s="312"/>
      <c r="C2834" s="301" t="s">
        <v>2</v>
      </c>
      <c r="D2834" s="302"/>
      <c r="E2834" s="301" t="s">
        <v>3</v>
      </c>
      <c r="F2834" s="302"/>
      <c r="G2834" s="301" t="s">
        <v>2896</v>
      </c>
      <c r="H2834" s="302"/>
      <c r="I2834" s="18" t="s">
        <v>2473</v>
      </c>
      <c r="J2834" s="18" t="s">
        <v>2473</v>
      </c>
      <c r="K2834" s="18" t="s">
        <v>2473</v>
      </c>
      <c r="AU2834" s="6"/>
      <c r="AV2834" s="6" t="str">
        <f t="shared" si="55"/>
        <v/>
      </c>
    </row>
    <row r="2835" spans="1:48" ht="14.65" thickBot="1" x14ac:dyDescent="0.5">
      <c r="A2835" s="30" t="s">
        <v>4</v>
      </c>
      <c r="B2835" s="59" t="s">
        <v>5</v>
      </c>
      <c r="C2835" s="7" t="s">
        <v>6</v>
      </c>
      <c r="D2835" s="7" t="s">
        <v>7</v>
      </c>
      <c r="E2835" s="7" t="s">
        <v>6</v>
      </c>
      <c r="F2835" s="7" t="s">
        <v>7</v>
      </c>
      <c r="G2835" s="7" t="s">
        <v>6</v>
      </c>
      <c r="H2835" s="7" t="s">
        <v>7</v>
      </c>
      <c r="I2835" s="18" t="s">
        <v>2473</v>
      </c>
      <c r="J2835" s="18" t="s">
        <v>2473</v>
      </c>
      <c r="K2835" s="18" t="s">
        <v>2473</v>
      </c>
      <c r="AU2835" s="6"/>
      <c r="AV2835" s="6" t="str">
        <f t="shared" ref="AV2835:AV2898" si="59">IF(A2835&lt;&gt;"",IF(T2835&lt;&gt;"",IF(LEFT(R2835,3)="Has",IF(TRIM(A2835)&lt;&gt;T2835,"ERROR","OK"),""),""),"")</f>
        <v/>
      </c>
    </row>
    <row r="2836" spans="1:48" ht="14.65" thickBot="1" x14ac:dyDescent="0.5">
      <c r="A2836" s="36" t="s">
        <v>1844</v>
      </c>
      <c r="B2836" s="3" t="s">
        <v>1845</v>
      </c>
      <c r="C2836" s="4"/>
      <c r="D2836" s="4"/>
      <c r="E2836" s="4"/>
      <c r="F2836" s="4"/>
      <c r="G2836" s="4"/>
      <c r="H2836" s="4"/>
      <c r="I2836" s="18" t="s">
        <v>2473</v>
      </c>
      <c r="J2836" s="18" t="s">
        <v>2473</v>
      </c>
      <c r="K2836" s="18" t="s">
        <v>2473</v>
      </c>
      <c r="AU2836" s="6"/>
      <c r="AV2836" s="6" t="str">
        <f t="shared" si="59"/>
        <v/>
      </c>
    </row>
    <row r="2837" spans="1:48" ht="14.65" thickBot="1" x14ac:dyDescent="0.5">
      <c r="A2837" s="38" t="s">
        <v>1846</v>
      </c>
      <c r="B2837" s="5" t="s">
        <v>1847</v>
      </c>
      <c r="C2837" s="4"/>
      <c r="D2837" s="4"/>
      <c r="E2837" s="4"/>
      <c r="F2837" s="4"/>
      <c r="G2837" s="4"/>
      <c r="H2837" s="4"/>
      <c r="I2837" s="18" t="s">
        <v>2473</v>
      </c>
      <c r="J2837" s="18" t="s">
        <v>2473</v>
      </c>
      <c r="K2837" s="18" t="s">
        <v>2473</v>
      </c>
      <c r="AU2837" s="6"/>
      <c r="AV2837" s="6" t="str">
        <f t="shared" si="59"/>
        <v/>
      </c>
    </row>
    <row r="2838" spans="1:48" ht="14.65" thickBot="1" x14ac:dyDescent="0.5">
      <c r="A2838" s="37" t="s">
        <v>1848</v>
      </c>
      <c r="B2838" s="5" t="s">
        <v>1849</v>
      </c>
      <c r="C2838" s="4"/>
      <c r="D2838" s="4"/>
      <c r="E2838" s="4"/>
      <c r="F2838" s="4"/>
      <c r="G2838" s="4"/>
      <c r="H2838" s="4"/>
      <c r="I2838" s="18" t="s">
        <v>2473</v>
      </c>
      <c r="J2838" s="18" t="s">
        <v>2473</v>
      </c>
      <c r="K2838" s="18" t="s">
        <v>2473</v>
      </c>
      <c r="AU2838" s="6"/>
      <c r="AV2838" s="6" t="str">
        <f t="shared" si="59"/>
        <v/>
      </c>
    </row>
    <row r="2839" spans="1:48" ht="14.65" thickBot="1" x14ac:dyDescent="0.5">
      <c r="A2839" s="37" t="s">
        <v>1850</v>
      </c>
      <c r="B2839" s="5" t="s">
        <v>1851</v>
      </c>
      <c r="C2839" s="4"/>
      <c r="D2839" s="4"/>
      <c r="E2839" s="4"/>
      <c r="F2839" s="4"/>
      <c r="G2839" s="4"/>
      <c r="H2839" s="4"/>
      <c r="I2839" s="18" t="s">
        <v>2473</v>
      </c>
      <c r="J2839" s="18" t="s">
        <v>2473</v>
      </c>
      <c r="K2839" s="18" t="s">
        <v>2473</v>
      </c>
      <c r="AU2839" s="6"/>
      <c r="AV2839" s="6" t="str">
        <f t="shared" si="59"/>
        <v/>
      </c>
    </row>
    <row r="2840" spans="1:48" ht="14.65" thickBot="1" x14ac:dyDescent="0.5">
      <c r="A2840" s="37" t="s">
        <v>1852</v>
      </c>
      <c r="B2840" s="5" t="s">
        <v>1853</v>
      </c>
      <c r="C2840" s="4"/>
      <c r="D2840" s="4"/>
      <c r="E2840" s="4"/>
      <c r="F2840" s="4"/>
      <c r="G2840" s="4"/>
      <c r="H2840" s="4"/>
      <c r="I2840" s="18" t="s">
        <v>2473</v>
      </c>
      <c r="J2840" s="18" t="s">
        <v>2473</v>
      </c>
      <c r="K2840" s="18" t="s">
        <v>2473</v>
      </c>
      <c r="AU2840" s="6"/>
      <c r="AV2840" s="6" t="str">
        <f t="shared" si="59"/>
        <v/>
      </c>
    </row>
    <row r="2841" spans="1:48" ht="14.65" thickBot="1" x14ac:dyDescent="0.5">
      <c r="A2841" s="36" t="s">
        <v>1854</v>
      </c>
      <c r="B2841" s="3" t="s">
        <v>1855</v>
      </c>
      <c r="C2841" s="4"/>
      <c r="D2841" s="4"/>
      <c r="E2841" s="4"/>
      <c r="F2841" s="4"/>
      <c r="G2841" s="4"/>
      <c r="H2841" s="4"/>
      <c r="I2841" s="18" t="s">
        <v>2473</v>
      </c>
      <c r="J2841" s="18" t="s">
        <v>2473</v>
      </c>
      <c r="K2841" s="18" t="s">
        <v>2473</v>
      </c>
      <c r="AU2841" s="6"/>
      <c r="AV2841" s="6" t="str">
        <f t="shared" si="59"/>
        <v/>
      </c>
    </row>
    <row r="2842" spans="1:48" ht="14.65" thickBot="1" x14ac:dyDescent="0.5">
      <c r="A2842" s="36" t="s">
        <v>1856</v>
      </c>
      <c r="B2842" s="3" t="s">
        <v>1857</v>
      </c>
      <c r="C2842" s="4"/>
      <c r="D2842" s="4"/>
      <c r="E2842" s="4"/>
      <c r="F2842" s="4"/>
      <c r="G2842" s="4"/>
      <c r="H2842" s="4"/>
      <c r="I2842" s="18" t="s">
        <v>2473</v>
      </c>
      <c r="J2842" s="18" t="s">
        <v>2473</v>
      </c>
      <c r="K2842" s="18" t="s">
        <v>2473</v>
      </c>
      <c r="AU2842" s="6"/>
      <c r="AV2842" s="6" t="str">
        <f t="shared" si="59"/>
        <v/>
      </c>
    </row>
    <row r="2843" spans="1:48" ht="14.65" thickBot="1" x14ac:dyDescent="0.5">
      <c r="A2843" s="36" t="s">
        <v>1858</v>
      </c>
      <c r="B2843" s="3" t="s">
        <v>1859</v>
      </c>
      <c r="C2843" s="4"/>
      <c r="D2843" s="4"/>
      <c r="E2843" s="4"/>
      <c r="F2843" s="4"/>
      <c r="G2843" s="4"/>
      <c r="H2843" s="4"/>
      <c r="I2843" s="18" t="s">
        <v>2473</v>
      </c>
      <c r="J2843" s="18" t="s">
        <v>2473</v>
      </c>
      <c r="K2843" s="18" t="s">
        <v>2473</v>
      </c>
      <c r="AU2843" s="6"/>
      <c r="AV2843" s="6" t="str">
        <f t="shared" si="59"/>
        <v/>
      </c>
    </row>
    <row r="2844" spans="1:48" ht="14.65" thickBot="1" x14ac:dyDescent="0.5">
      <c r="A2844" s="36" t="s">
        <v>1860</v>
      </c>
      <c r="B2844" s="3" t="s">
        <v>1861</v>
      </c>
      <c r="C2844" s="4"/>
      <c r="D2844" s="4"/>
      <c r="E2844" s="4"/>
      <c r="F2844" s="4"/>
      <c r="G2844" s="4"/>
      <c r="H2844" s="4"/>
      <c r="I2844" s="18" t="s">
        <v>2473</v>
      </c>
      <c r="J2844" s="18" t="s">
        <v>2473</v>
      </c>
      <c r="K2844" s="18" t="s">
        <v>2473</v>
      </c>
      <c r="AU2844" s="6"/>
      <c r="AV2844" s="6" t="str">
        <f t="shared" si="59"/>
        <v/>
      </c>
    </row>
    <row r="2845" spans="1:48" ht="14.65" thickBot="1" x14ac:dyDescent="0.5">
      <c r="A2845" s="36" t="s">
        <v>753</v>
      </c>
      <c r="B2845" s="3" t="s">
        <v>60</v>
      </c>
      <c r="C2845" s="4"/>
      <c r="D2845" s="4"/>
      <c r="E2845" s="4"/>
      <c r="F2845" s="4"/>
      <c r="G2845" s="4"/>
      <c r="H2845" s="4"/>
      <c r="I2845" s="18" t="s">
        <v>2473</v>
      </c>
      <c r="J2845" s="18" t="s">
        <v>2473</v>
      </c>
      <c r="K2845" s="18" t="s">
        <v>2473</v>
      </c>
      <c r="AU2845" s="6"/>
      <c r="AV2845" s="6" t="str">
        <f t="shared" si="59"/>
        <v/>
      </c>
    </row>
    <row r="2846" spans="1:48" ht="14.65" thickBot="1" x14ac:dyDescent="0.5">
      <c r="A2846" s="36" t="s">
        <v>1862</v>
      </c>
      <c r="B2846" s="3" t="s">
        <v>1863</v>
      </c>
      <c r="C2846" s="4"/>
      <c r="D2846" s="4"/>
      <c r="E2846" s="4"/>
      <c r="F2846" s="4"/>
      <c r="G2846" s="4"/>
      <c r="H2846" s="4"/>
      <c r="I2846" s="18" t="s">
        <v>2473</v>
      </c>
      <c r="J2846" s="18" t="s">
        <v>2473</v>
      </c>
      <c r="K2846" s="18" t="s">
        <v>2473</v>
      </c>
      <c r="AU2846" s="6"/>
      <c r="AV2846" s="6" t="str">
        <f t="shared" si="59"/>
        <v/>
      </c>
    </row>
    <row r="2847" spans="1:48" ht="23.65" thickBot="1" x14ac:dyDescent="0.5">
      <c r="A2847" s="35" t="s">
        <v>1864</v>
      </c>
      <c r="B2847" s="3" t="s">
        <v>1865</v>
      </c>
      <c r="C2847" s="4"/>
      <c r="D2847" s="4"/>
      <c r="E2847" s="4"/>
      <c r="F2847" s="4"/>
      <c r="G2847" s="4"/>
      <c r="H2847" s="4"/>
      <c r="I2847" s="18" t="s">
        <v>2473</v>
      </c>
      <c r="J2847" s="18" t="s">
        <v>2473</v>
      </c>
      <c r="K2847" s="18" t="s">
        <v>2473</v>
      </c>
      <c r="AU2847" s="6"/>
      <c r="AV2847" s="6" t="str">
        <f t="shared" si="59"/>
        <v/>
      </c>
    </row>
    <row r="2848" spans="1:48" ht="14.65" thickBot="1" x14ac:dyDescent="0.5">
      <c r="A2848" s="35" t="s">
        <v>1866</v>
      </c>
      <c r="B2848" s="3" t="s">
        <v>1867</v>
      </c>
      <c r="C2848" s="4"/>
      <c r="D2848" s="4"/>
      <c r="E2848" s="4"/>
      <c r="F2848" s="4"/>
      <c r="G2848" s="4"/>
      <c r="H2848" s="4"/>
      <c r="I2848" s="18" t="s">
        <v>2473</v>
      </c>
      <c r="J2848" s="18" t="s">
        <v>2473</v>
      </c>
      <c r="K2848" s="18" t="s">
        <v>2473</v>
      </c>
      <c r="AU2848" s="6"/>
      <c r="AV2848" s="6" t="str">
        <f t="shared" si="59"/>
        <v/>
      </c>
    </row>
    <row r="2849" spans="1:48" ht="23.65" thickBot="1" x14ac:dyDescent="0.5">
      <c r="A2849" s="35" t="s">
        <v>1868</v>
      </c>
      <c r="B2849" s="3" t="s">
        <v>1869</v>
      </c>
      <c r="C2849" s="4"/>
      <c r="D2849" s="4"/>
      <c r="E2849" s="4"/>
      <c r="F2849" s="4"/>
      <c r="G2849" s="4"/>
      <c r="H2849" s="4"/>
      <c r="I2849" s="18" t="s">
        <v>2473</v>
      </c>
      <c r="J2849" s="18" t="s">
        <v>2473</v>
      </c>
      <c r="K2849" s="18" t="s">
        <v>2473</v>
      </c>
      <c r="AU2849" s="6"/>
      <c r="AV2849" s="6" t="str">
        <f t="shared" si="59"/>
        <v/>
      </c>
    </row>
    <row r="2850" spans="1:48" ht="23.65" thickBot="1" x14ac:dyDescent="0.5">
      <c r="A2850" s="35" t="s">
        <v>1870</v>
      </c>
      <c r="B2850" s="3" t="s">
        <v>1871</v>
      </c>
      <c r="C2850" s="4"/>
      <c r="D2850" s="4"/>
      <c r="E2850" s="4"/>
      <c r="F2850" s="4"/>
      <c r="G2850" s="4"/>
      <c r="H2850" s="4"/>
      <c r="I2850" s="18" t="s">
        <v>2473</v>
      </c>
      <c r="J2850" s="18" t="s">
        <v>2473</v>
      </c>
      <c r="K2850" s="18" t="s">
        <v>2473</v>
      </c>
      <c r="AU2850" s="6"/>
      <c r="AV2850" s="6" t="str">
        <f t="shared" si="59"/>
        <v/>
      </c>
    </row>
    <row r="2851" spans="1:48" ht="23.65" thickBot="1" x14ac:dyDescent="0.5">
      <c r="A2851" s="35" t="s">
        <v>1872</v>
      </c>
      <c r="B2851" s="3" t="s">
        <v>1873</v>
      </c>
      <c r="C2851" s="4"/>
      <c r="D2851" s="4"/>
      <c r="E2851" s="4"/>
      <c r="F2851" s="4"/>
      <c r="G2851" s="4"/>
      <c r="H2851" s="4"/>
      <c r="I2851" s="18" t="s">
        <v>2473</v>
      </c>
      <c r="J2851" s="18" t="s">
        <v>2473</v>
      </c>
      <c r="K2851" s="18" t="s">
        <v>2473</v>
      </c>
      <c r="AU2851" s="6"/>
      <c r="AV2851" s="6" t="str">
        <f t="shared" si="59"/>
        <v/>
      </c>
    </row>
    <row r="2852" spans="1:48" ht="14.65" thickBot="1" x14ac:dyDescent="0.5">
      <c r="A2852" s="36" t="s">
        <v>1874</v>
      </c>
      <c r="B2852" s="3" t="s">
        <v>1875</v>
      </c>
      <c r="C2852" s="4"/>
      <c r="D2852" s="4"/>
      <c r="E2852" s="4"/>
      <c r="F2852" s="4"/>
      <c r="G2852" s="4"/>
      <c r="H2852" s="4"/>
      <c r="I2852" s="18" t="s">
        <v>2473</v>
      </c>
      <c r="J2852" s="18" t="s">
        <v>2473</v>
      </c>
      <c r="K2852" s="18" t="s">
        <v>2473</v>
      </c>
      <c r="AU2852" s="6"/>
      <c r="AV2852" s="6" t="str">
        <f t="shared" si="59"/>
        <v/>
      </c>
    </row>
    <row r="2853" spans="1:48" ht="14.65" thickBot="1" x14ac:dyDescent="0.5">
      <c r="A2853" s="35" t="s">
        <v>1876</v>
      </c>
      <c r="B2853" s="5" t="s">
        <v>1877</v>
      </c>
      <c r="C2853" s="4"/>
      <c r="D2853" s="4"/>
      <c r="E2853" s="4"/>
      <c r="F2853" s="4"/>
      <c r="G2853" s="4"/>
      <c r="H2853" s="4"/>
      <c r="I2853" s="18" t="s">
        <v>2473</v>
      </c>
      <c r="J2853" s="18" t="s">
        <v>2473</v>
      </c>
      <c r="K2853" s="18" t="s">
        <v>2473</v>
      </c>
      <c r="AU2853" s="6"/>
      <c r="AV2853" s="6" t="str">
        <f t="shared" si="59"/>
        <v/>
      </c>
    </row>
    <row r="2854" spans="1:48" ht="14.65" thickBot="1" x14ac:dyDescent="0.5">
      <c r="A2854" s="35" t="s">
        <v>1878</v>
      </c>
      <c r="B2854" s="3" t="s">
        <v>1879</v>
      </c>
      <c r="C2854" s="4"/>
      <c r="D2854" s="4"/>
      <c r="E2854" s="4"/>
      <c r="F2854" s="4"/>
      <c r="G2854" s="4"/>
      <c r="H2854" s="4"/>
      <c r="I2854" s="18" t="s">
        <v>2473</v>
      </c>
      <c r="J2854" s="18" t="s">
        <v>2473</v>
      </c>
      <c r="K2854" s="18" t="s">
        <v>2473</v>
      </c>
      <c r="AU2854" s="6"/>
      <c r="AV2854" s="6" t="str">
        <f t="shared" si="59"/>
        <v/>
      </c>
    </row>
    <row r="2855" spans="1:48" ht="14.65" thickBot="1" x14ac:dyDescent="0.5">
      <c r="A2855" s="35" t="s">
        <v>1880</v>
      </c>
      <c r="B2855" s="3" t="s">
        <v>1881</v>
      </c>
      <c r="C2855" s="4"/>
      <c r="D2855" s="4"/>
      <c r="E2855" s="4"/>
      <c r="F2855" s="4"/>
      <c r="G2855" s="4"/>
      <c r="H2855" s="4"/>
      <c r="I2855" s="18" t="s">
        <v>2473</v>
      </c>
      <c r="J2855" s="18" t="s">
        <v>2473</v>
      </c>
      <c r="K2855" s="18" t="s">
        <v>2473</v>
      </c>
      <c r="AU2855" s="6"/>
      <c r="AV2855" s="6" t="str">
        <f t="shared" si="59"/>
        <v/>
      </c>
    </row>
    <row r="2856" spans="1:48" ht="14.65" thickBot="1" x14ac:dyDescent="0.5">
      <c r="A2856" s="35" t="s">
        <v>1882</v>
      </c>
      <c r="B2856" s="3" t="s">
        <v>1883</v>
      </c>
      <c r="C2856" s="4"/>
      <c r="D2856" s="4"/>
      <c r="E2856" s="4"/>
      <c r="F2856" s="4"/>
      <c r="G2856" s="4"/>
      <c r="H2856" s="4"/>
      <c r="I2856" s="18" t="s">
        <v>2473</v>
      </c>
      <c r="J2856" s="18" t="s">
        <v>2473</v>
      </c>
      <c r="K2856" s="18" t="s">
        <v>2473</v>
      </c>
      <c r="AU2856" s="6"/>
      <c r="AV2856" s="6" t="str">
        <f t="shared" si="59"/>
        <v/>
      </c>
    </row>
    <row r="2857" spans="1:48" ht="14.65" thickBot="1" x14ac:dyDescent="0.5">
      <c r="A2857" s="35" t="s">
        <v>1884</v>
      </c>
      <c r="B2857" s="3" t="s">
        <v>1885</v>
      </c>
      <c r="C2857" s="4"/>
      <c r="D2857" s="4"/>
      <c r="E2857" s="4"/>
      <c r="F2857" s="4"/>
      <c r="G2857" s="4"/>
      <c r="H2857" s="4"/>
      <c r="I2857" s="18" t="s">
        <v>2473</v>
      </c>
      <c r="J2857" s="18" t="s">
        <v>2473</v>
      </c>
      <c r="K2857" s="18" t="s">
        <v>2473</v>
      </c>
      <c r="AU2857" s="6"/>
      <c r="AV2857" s="6" t="str">
        <f t="shared" si="59"/>
        <v/>
      </c>
    </row>
    <row r="2858" spans="1:48" ht="14.65" thickBot="1" x14ac:dyDescent="0.5">
      <c r="A2858" s="36" t="s">
        <v>1886</v>
      </c>
      <c r="B2858" s="3" t="s">
        <v>1863</v>
      </c>
      <c r="C2858" s="4"/>
      <c r="D2858" s="4"/>
      <c r="E2858" s="4"/>
      <c r="F2858" s="4"/>
      <c r="G2858" s="4"/>
      <c r="H2858" s="4"/>
      <c r="I2858" s="18" t="s">
        <v>2473</v>
      </c>
      <c r="J2858" s="18" t="s">
        <v>2473</v>
      </c>
      <c r="K2858" s="18" t="s">
        <v>2473</v>
      </c>
      <c r="AU2858" s="6"/>
      <c r="AV2858" s="6" t="str">
        <f t="shared" si="59"/>
        <v/>
      </c>
    </row>
    <row r="2859" spans="1:48" ht="14.65" thickBot="1" x14ac:dyDescent="0.5">
      <c r="A2859" s="35" t="s">
        <v>1887</v>
      </c>
      <c r="B2859" s="3" t="s">
        <v>1888</v>
      </c>
      <c r="C2859" s="4"/>
      <c r="D2859" s="4"/>
      <c r="E2859" s="4"/>
      <c r="F2859" s="4"/>
      <c r="G2859" s="4"/>
      <c r="H2859" s="4"/>
      <c r="I2859" s="18" t="s">
        <v>2473</v>
      </c>
      <c r="J2859" s="18" t="s">
        <v>2473</v>
      </c>
      <c r="K2859" s="18" t="s">
        <v>2473</v>
      </c>
      <c r="AU2859" s="6"/>
      <c r="AV2859" s="6" t="str">
        <f t="shared" si="59"/>
        <v/>
      </c>
    </row>
    <row r="2860" spans="1:48" ht="14.65" thickBot="1" x14ac:dyDescent="0.5">
      <c r="A2860" s="35" t="s">
        <v>1876</v>
      </c>
      <c r="B2860" s="5" t="s">
        <v>1877</v>
      </c>
      <c r="C2860" s="4"/>
      <c r="D2860" s="4"/>
      <c r="E2860" s="4"/>
      <c r="F2860" s="4"/>
      <c r="G2860" s="4"/>
      <c r="H2860" s="4"/>
      <c r="I2860" s="18" t="s">
        <v>2473</v>
      </c>
      <c r="J2860" s="18" t="s">
        <v>2473</v>
      </c>
      <c r="K2860" s="18" t="s">
        <v>2473</v>
      </c>
      <c r="AU2860" s="6"/>
      <c r="AV2860" s="6" t="str">
        <f t="shared" si="59"/>
        <v/>
      </c>
    </row>
    <row r="2861" spans="1:48" ht="14.65" thickBot="1" x14ac:dyDescent="0.5">
      <c r="A2861" s="35" t="s">
        <v>1889</v>
      </c>
      <c r="B2861" s="3" t="s">
        <v>1890</v>
      </c>
      <c r="C2861" s="4"/>
      <c r="D2861" s="4"/>
      <c r="E2861" s="4"/>
      <c r="F2861" s="4"/>
      <c r="G2861" s="4"/>
      <c r="H2861" s="4"/>
      <c r="I2861" s="18" t="s">
        <v>2473</v>
      </c>
      <c r="J2861" s="18" t="s">
        <v>2473</v>
      </c>
      <c r="K2861" s="18" t="s">
        <v>2473</v>
      </c>
      <c r="AU2861" s="6"/>
      <c r="AV2861" s="6" t="str">
        <f t="shared" si="59"/>
        <v/>
      </c>
    </row>
    <row r="2862" spans="1:48" ht="14.65" thickBot="1" x14ac:dyDescent="0.5">
      <c r="A2862" s="35" t="s">
        <v>1891</v>
      </c>
      <c r="B2862" s="3" t="s">
        <v>1892</v>
      </c>
      <c r="C2862" s="4"/>
      <c r="D2862" s="4"/>
      <c r="E2862" s="4"/>
      <c r="F2862" s="4"/>
      <c r="G2862" s="4"/>
      <c r="H2862" s="4"/>
      <c r="I2862" s="18" t="s">
        <v>2473</v>
      </c>
      <c r="J2862" s="18" t="s">
        <v>2473</v>
      </c>
      <c r="K2862" s="18" t="s">
        <v>2473</v>
      </c>
      <c r="AU2862" s="8"/>
      <c r="AV2862" s="6" t="str">
        <f t="shared" si="59"/>
        <v/>
      </c>
    </row>
    <row r="2863" spans="1:48" ht="14.65" thickBot="1" x14ac:dyDescent="0.5">
      <c r="A2863" s="35" t="s">
        <v>1893</v>
      </c>
      <c r="B2863" s="3" t="s">
        <v>1894</v>
      </c>
      <c r="C2863" s="4"/>
      <c r="D2863" s="4"/>
      <c r="E2863" s="4"/>
      <c r="F2863" s="4"/>
      <c r="G2863" s="4"/>
      <c r="H2863" s="4"/>
      <c r="I2863" s="18" t="s">
        <v>2473</v>
      </c>
      <c r="J2863" s="18" t="s">
        <v>2473</v>
      </c>
      <c r="K2863" s="18" t="s">
        <v>2473</v>
      </c>
      <c r="AU2863" s="8"/>
      <c r="AV2863" s="6" t="str">
        <f t="shared" si="59"/>
        <v/>
      </c>
    </row>
    <row r="2864" spans="1:48" ht="14.65" thickBot="1" x14ac:dyDescent="0.5">
      <c r="A2864" s="35" t="s">
        <v>1895</v>
      </c>
      <c r="B2864" s="3" t="s">
        <v>1896</v>
      </c>
      <c r="C2864" s="4"/>
      <c r="D2864" s="4"/>
      <c r="E2864" s="4"/>
      <c r="F2864" s="4"/>
      <c r="G2864" s="4"/>
      <c r="H2864" s="4"/>
      <c r="I2864" s="18" t="s">
        <v>2473</v>
      </c>
      <c r="J2864" s="18" t="s">
        <v>2473</v>
      </c>
      <c r="K2864" s="18" t="s">
        <v>2473</v>
      </c>
      <c r="AU2864" s="8"/>
      <c r="AV2864" s="6" t="str">
        <f t="shared" si="59"/>
        <v/>
      </c>
    </row>
    <row r="2865" spans="1:48" ht="14.65" thickBot="1" x14ac:dyDescent="0.5">
      <c r="A2865" s="35" t="s">
        <v>1897</v>
      </c>
      <c r="B2865" s="3" t="s">
        <v>1898</v>
      </c>
      <c r="C2865" s="4"/>
      <c r="D2865" s="4"/>
      <c r="E2865" s="4"/>
      <c r="F2865" s="4"/>
      <c r="G2865" s="4"/>
      <c r="H2865" s="4"/>
      <c r="I2865" s="18" t="s">
        <v>2473</v>
      </c>
      <c r="J2865" s="18" t="s">
        <v>2473</v>
      </c>
      <c r="K2865" s="18" t="s">
        <v>2473</v>
      </c>
      <c r="AU2865" s="8"/>
      <c r="AV2865" s="6" t="str">
        <f t="shared" si="59"/>
        <v/>
      </c>
    </row>
    <row r="2866" spans="1:48" ht="14.65" thickBot="1" x14ac:dyDescent="0.5">
      <c r="A2866" s="35" t="s">
        <v>1899</v>
      </c>
      <c r="B2866" s="3" t="s">
        <v>3796</v>
      </c>
      <c r="C2866" s="4"/>
      <c r="D2866" s="4"/>
      <c r="E2866" s="4"/>
      <c r="F2866" s="4"/>
      <c r="G2866" s="4"/>
      <c r="H2866" s="4"/>
      <c r="I2866" s="18" t="s">
        <v>2473</v>
      </c>
      <c r="J2866" s="18" t="s">
        <v>2473</v>
      </c>
      <c r="K2866" s="18" t="s">
        <v>2473</v>
      </c>
      <c r="AU2866" s="6"/>
      <c r="AV2866" s="6" t="str">
        <f t="shared" si="59"/>
        <v/>
      </c>
    </row>
    <row r="2867" spans="1:48" ht="14.65" thickBot="1" x14ac:dyDescent="0.5">
      <c r="A2867" s="35" t="s">
        <v>1900</v>
      </c>
      <c r="B2867" s="3" t="s">
        <v>1901</v>
      </c>
      <c r="C2867" s="4"/>
      <c r="D2867" s="4"/>
      <c r="E2867" s="4"/>
      <c r="F2867" s="4"/>
      <c r="G2867" s="4"/>
      <c r="H2867" s="4"/>
      <c r="I2867" s="18" t="s">
        <v>2473</v>
      </c>
      <c r="J2867" s="18" t="s">
        <v>2473</v>
      </c>
      <c r="K2867" s="18" t="s">
        <v>2473</v>
      </c>
      <c r="AU2867" s="6"/>
      <c r="AV2867" s="6" t="str">
        <f t="shared" si="59"/>
        <v/>
      </c>
    </row>
    <row r="2868" spans="1:48" ht="14.65" thickBot="1" x14ac:dyDescent="0.5">
      <c r="A2868" s="35" t="s">
        <v>1902</v>
      </c>
      <c r="B2868" s="3" t="s">
        <v>1903</v>
      </c>
      <c r="C2868" s="4"/>
      <c r="D2868" s="4"/>
      <c r="E2868" s="4"/>
      <c r="F2868" s="4"/>
      <c r="G2868" s="4"/>
      <c r="H2868" s="4"/>
      <c r="I2868" s="18" t="s">
        <v>2473</v>
      </c>
      <c r="J2868" s="18" t="s">
        <v>2473</v>
      </c>
      <c r="K2868" s="18" t="s">
        <v>2473</v>
      </c>
      <c r="AU2868" s="6"/>
      <c r="AV2868" s="6" t="str">
        <f t="shared" si="59"/>
        <v/>
      </c>
    </row>
    <row r="2869" spans="1:48" ht="14.65" thickBot="1" x14ac:dyDescent="0.5">
      <c r="A2869" s="35" t="s">
        <v>1904</v>
      </c>
      <c r="B2869" s="3" t="s">
        <v>1905</v>
      </c>
      <c r="C2869" s="4"/>
      <c r="D2869" s="4"/>
      <c r="E2869" s="4"/>
      <c r="F2869" s="4"/>
      <c r="G2869" s="4"/>
      <c r="H2869" s="4"/>
      <c r="I2869" s="18" t="s">
        <v>2473</v>
      </c>
      <c r="J2869" s="18" t="s">
        <v>2473</v>
      </c>
      <c r="K2869" s="18" t="s">
        <v>2473</v>
      </c>
      <c r="AU2869" s="6"/>
      <c r="AV2869" s="6" t="str">
        <f t="shared" si="59"/>
        <v/>
      </c>
    </row>
    <row r="2870" spans="1:48" ht="14.65" thickBot="1" x14ac:dyDescent="0.5">
      <c r="A2870" s="35" t="s">
        <v>1906</v>
      </c>
      <c r="B2870" s="3" t="s">
        <v>1907</v>
      </c>
      <c r="C2870" s="4"/>
      <c r="D2870" s="4"/>
      <c r="E2870" s="4"/>
      <c r="F2870" s="4"/>
      <c r="G2870" s="4"/>
      <c r="H2870" s="4"/>
      <c r="I2870" s="18" t="s">
        <v>2473</v>
      </c>
      <c r="J2870" s="18" t="s">
        <v>2473</v>
      </c>
      <c r="K2870" s="18" t="s">
        <v>2473</v>
      </c>
      <c r="AU2870" s="6"/>
      <c r="AV2870" s="6" t="str">
        <f t="shared" si="59"/>
        <v/>
      </c>
    </row>
    <row r="2871" spans="1:48" ht="14.65" thickBot="1" x14ac:dyDescent="0.5">
      <c r="A2871" s="35" t="s">
        <v>1908</v>
      </c>
      <c r="B2871" s="3" t="s">
        <v>1909</v>
      </c>
      <c r="C2871" s="4"/>
      <c r="D2871" s="4"/>
      <c r="E2871" s="4"/>
      <c r="F2871" s="4"/>
      <c r="G2871" s="4"/>
      <c r="H2871" s="4"/>
      <c r="I2871" s="18" t="s">
        <v>2473</v>
      </c>
      <c r="J2871" s="18" t="s">
        <v>2473</v>
      </c>
      <c r="K2871" s="18" t="s">
        <v>2473</v>
      </c>
      <c r="AU2871" s="6"/>
      <c r="AV2871" s="6" t="str">
        <f t="shared" si="59"/>
        <v/>
      </c>
    </row>
    <row r="2872" spans="1:48" ht="14.65" thickBot="1" x14ac:dyDescent="0.5">
      <c r="A2872" s="35" t="s">
        <v>1910</v>
      </c>
      <c r="B2872" s="3" t="s">
        <v>1911</v>
      </c>
      <c r="C2872" s="4"/>
      <c r="D2872" s="4"/>
      <c r="E2872" s="4"/>
      <c r="F2872" s="4"/>
      <c r="G2872" s="4"/>
      <c r="H2872" s="4"/>
      <c r="I2872" s="18" t="s">
        <v>2473</v>
      </c>
      <c r="J2872" s="18" t="s">
        <v>2473</v>
      </c>
      <c r="K2872" s="18" t="s">
        <v>2473</v>
      </c>
      <c r="AU2872" s="6"/>
      <c r="AV2872" s="6" t="str">
        <f t="shared" si="59"/>
        <v/>
      </c>
    </row>
    <row r="2873" spans="1:48" ht="14.65" thickBot="1" x14ac:dyDescent="0.5">
      <c r="A2873" s="35" t="s">
        <v>459</v>
      </c>
      <c r="B2873" s="3" t="s">
        <v>1912</v>
      </c>
      <c r="C2873" s="4"/>
      <c r="D2873" s="4"/>
      <c r="E2873" s="4"/>
      <c r="F2873" s="4"/>
      <c r="G2873" s="4"/>
      <c r="H2873" s="4"/>
      <c r="I2873" s="18" t="s">
        <v>2473</v>
      </c>
      <c r="J2873" s="18" t="s">
        <v>2473</v>
      </c>
      <c r="K2873" s="18" t="s">
        <v>2473</v>
      </c>
      <c r="AU2873" s="6"/>
      <c r="AV2873" s="6" t="str">
        <f t="shared" si="59"/>
        <v/>
      </c>
    </row>
    <row r="2874" spans="1:48" ht="14.65" thickBot="1" x14ac:dyDescent="0.5">
      <c r="A2874" s="35" t="s">
        <v>424</v>
      </c>
      <c r="B2874" s="3" t="s">
        <v>1913</v>
      </c>
      <c r="C2874" s="4"/>
      <c r="D2874" s="4"/>
      <c r="E2874" s="4"/>
      <c r="F2874" s="4"/>
      <c r="G2874" s="4"/>
      <c r="H2874" s="4"/>
      <c r="I2874" s="18" t="s">
        <v>2473</v>
      </c>
      <c r="J2874" s="18" t="s">
        <v>2473</v>
      </c>
      <c r="K2874" s="18" t="s">
        <v>2473</v>
      </c>
      <c r="AU2874" s="6"/>
      <c r="AV2874" s="6" t="str">
        <f t="shared" si="59"/>
        <v/>
      </c>
    </row>
    <row r="2875" spans="1:48" ht="14.65" thickBot="1" x14ac:dyDescent="0.5">
      <c r="A2875" s="35" t="s">
        <v>1914</v>
      </c>
      <c r="B2875" s="3" t="s">
        <v>1915</v>
      </c>
      <c r="C2875" s="4"/>
      <c r="D2875" s="4"/>
      <c r="E2875" s="4"/>
      <c r="F2875" s="4"/>
      <c r="G2875" s="4"/>
      <c r="H2875" s="4"/>
      <c r="I2875" s="18" t="s">
        <v>2473</v>
      </c>
      <c r="J2875" s="18" t="s">
        <v>2473</v>
      </c>
      <c r="K2875" s="18" t="s">
        <v>2473</v>
      </c>
      <c r="AU2875" s="6"/>
      <c r="AV2875" s="6" t="str">
        <f t="shared" si="59"/>
        <v/>
      </c>
    </row>
    <row r="2876" spans="1:48" ht="14.65" thickBot="1" x14ac:dyDescent="0.5">
      <c r="A2876" s="35" t="s">
        <v>1916</v>
      </c>
      <c r="B2876" s="3" t="s">
        <v>1917</v>
      </c>
      <c r="C2876" s="4"/>
      <c r="D2876" s="4"/>
      <c r="E2876" s="4"/>
      <c r="F2876" s="4"/>
      <c r="G2876" s="4"/>
      <c r="H2876" s="4"/>
      <c r="I2876" s="18" t="s">
        <v>2473</v>
      </c>
      <c r="J2876" s="18" t="s">
        <v>2473</v>
      </c>
      <c r="K2876" s="18" t="s">
        <v>2473</v>
      </c>
      <c r="AU2876" s="6"/>
      <c r="AV2876" s="6" t="str">
        <f t="shared" si="59"/>
        <v/>
      </c>
    </row>
    <row r="2877" spans="1:48" ht="14.65" thickBot="1" x14ac:dyDescent="0.5">
      <c r="A2877" s="35" t="s">
        <v>1918</v>
      </c>
      <c r="B2877" s="3" t="s">
        <v>1919</v>
      </c>
      <c r="C2877" s="4"/>
      <c r="D2877" s="4"/>
      <c r="E2877" s="4"/>
      <c r="F2877" s="4"/>
      <c r="G2877" s="4"/>
      <c r="H2877" s="4"/>
      <c r="I2877" s="18" t="s">
        <v>2473</v>
      </c>
      <c r="J2877" s="18" t="s">
        <v>2473</v>
      </c>
      <c r="K2877" s="18" t="s">
        <v>2473</v>
      </c>
      <c r="AU2877" s="6"/>
      <c r="AV2877" s="6" t="str">
        <f t="shared" si="59"/>
        <v/>
      </c>
    </row>
    <row r="2878" spans="1:48" ht="14.65" thickBot="1" x14ac:dyDescent="0.5">
      <c r="A2878" s="35" t="s">
        <v>1920</v>
      </c>
      <c r="B2878" s="3" t="s">
        <v>1921</v>
      </c>
      <c r="C2878" s="4"/>
      <c r="D2878" s="4"/>
      <c r="E2878" s="4"/>
      <c r="F2878" s="4"/>
      <c r="G2878" s="4"/>
      <c r="H2878" s="4"/>
      <c r="I2878" s="18" t="s">
        <v>2473</v>
      </c>
      <c r="J2878" s="18" t="s">
        <v>2473</v>
      </c>
      <c r="K2878" s="18" t="s">
        <v>2473</v>
      </c>
      <c r="AU2878" s="6"/>
      <c r="AV2878" s="6" t="str">
        <f t="shared" si="59"/>
        <v/>
      </c>
    </row>
    <row r="2879" spans="1:48" ht="14.65" thickBot="1" x14ac:dyDescent="0.5">
      <c r="A2879" s="35" t="s">
        <v>1922</v>
      </c>
      <c r="B2879" s="3" t="s">
        <v>1923</v>
      </c>
      <c r="C2879" s="4"/>
      <c r="D2879" s="4"/>
      <c r="E2879" s="4"/>
      <c r="F2879" s="4"/>
      <c r="G2879" s="4"/>
      <c r="H2879" s="4"/>
      <c r="I2879" s="18" t="s">
        <v>2473</v>
      </c>
      <c r="J2879" s="18" t="s">
        <v>2473</v>
      </c>
      <c r="K2879" s="18" t="s">
        <v>2473</v>
      </c>
      <c r="AU2879" s="6"/>
      <c r="AV2879" s="6" t="str">
        <f t="shared" si="59"/>
        <v/>
      </c>
    </row>
    <row r="2880" spans="1:48" ht="14.65" thickBot="1" x14ac:dyDescent="0.5">
      <c r="A2880" s="35" t="s">
        <v>1924</v>
      </c>
      <c r="B2880" s="3" t="s">
        <v>1925</v>
      </c>
      <c r="C2880" s="4"/>
      <c r="D2880" s="4"/>
      <c r="E2880" s="4"/>
      <c r="F2880" s="4"/>
      <c r="G2880" s="4"/>
      <c r="H2880" s="4"/>
      <c r="I2880" s="18" t="s">
        <v>2473</v>
      </c>
      <c r="J2880" s="18" t="s">
        <v>2473</v>
      </c>
      <c r="K2880" s="18" t="s">
        <v>2473</v>
      </c>
      <c r="AU2880" s="6"/>
      <c r="AV2880" s="6" t="str">
        <f t="shared" si="59"/>
        <v/>
      </c>
    </row>
    <row r="2881" spans="1:48" ht="14.65" thickBot="1" x14ac:dyDescent="0.5">
      <c r="A2881" s="35" t="s">
        <v>1926</v>
      </c>
      <c r="B2881" s="3" t="s">
        <v>1927</v>
      </c>
      <c r="C2881" s="4"/>
      <c r="D2881" s="4"/>
      <c r="E2881" s="4"/>
      <c r="F2881" s="4"/>
      <c r="G2881" s="4"/>
      <c r="H2881" s="4"/>
      <c r="I2881" s="18" t="s">
        <v>2473</v>
      </c>
      <c r="J2881" s="18" t="s">
        <v>2473</v>
      </c>
      <c r="K2881" s="18" t="s">
        <v>2473</v>
      </c>
      <c r="AU2881" s="6"/>
      <c r="AV2881" s="6" t="str">
        <f t="shared" si="59"/>
        <v/>
      </c>
    </row>
    <row r="2882" spans="1:48" ht="14.65" thickBot="1" x14ac:dyDescent="0.5">
      <c r="A2882" s="35" t="s">
        <v>1928</v>
      </c>
      <c r="B2882" s="3" t="s">
        <v>1929</v>
      </c>
      <c r="C2882" s="4"/>
      <c r="D2882" s="4"/>
      <c r="E2882" s="4"/>
      <c r="F2882" s="4"/>
      <c r="G2882" s="4"/>
      <c r="H2882" s="4"/>
      <c r="I2882" s="18" t="s">
        <v>2473</v>
      </c>
      <c r="J2882" s="18" t="s">
        <v>2473</v>
      </c>
      <c r="K2882" s="18" t="s">
        <v>2473</v>
      </c>
      <c r="AU2882" s="6"/>
      <c r="AV2882" s="6" t="str">
        <f t="shared" si="59"/>
        <v/>
      </c>
    </row>
    <row r="2883" spans="1:48" ht="14.65" thickBot="1" x14ac:dyDescent="0.5">
      <c r="A2883" s="35" t="s">
        <v>1930</v>
      </c>
      <c r="B2883" s="3" t="s">
        <v>3797</v>
      </c>
      <c r="C2883" s="4"/>
      <c r="D2883" s="4"/>
      <c r="E2883" s="4"/>
      <c r="F2883" s="4"/>
      <c r="G2883" s="4"/>
      <c r="H2883" s="4"/>
      <c r="I2883" s="18" t="s">
        <v>2473</v>
      </c>
      <c r="J2883" s="18" t="s">
        <v>2473</v>
      </c>
      <c r="K2883" s="18" t="s">
        <v>2473</v>
      </c>
      <c r="AU2883" s="6"/>
      <c r="AV2883" s="6" t="str">
        <f t="shared" si="59"/>
        <v/>
      </c>
    </row>
    <row r="2884" spans="1:48" ht="14.65" thickBot="1" x14ac:dyDescent="0.5">
      <c r="A2884" s="35" t="s">
        <v>1931</v>
      </c>
      <c r="B2884" s="3" t="s">
        <v>1932</v>
      </c>
      <c r="C2884" s="4"/>
      <c r="D2884" s="4"/>
      <c r="E2884" s="4"/>
      <c r="F2884" s="4"/>
      <c r="G2884" s="4"/>
      <c r="H2884" s="4"/>
      <c r="I2884" s="18" t="s">
        <v>2473</v>
      </c>
      <c r="J2884" s="18" t="s">
        <v>2473</v>
      </c>
      <c r="K2884" s="18" t="s">
        <v>2473</v>
      </c>
      <c r="AU2884" s="6"/>
      <c r="AV2884" s="6" t="str">
        <f t="shared" si="59"/>
        <v/>
      </c>
    </row>
    <row r="2885" spans="1:48" ht="14.65" thickBot="1" x14ac:dyDescent="0.5">
      <c r="A2885" s="35" t="s">
        <v>1933</v>
      </c>
      <c r="B2885" s="3" t="s">
        <v>1934</v>
      </c>
      <c r="C2885" s="4"/>
      <c r="D2885" s="4"/>
      <c r="E2885" s="4"/>
      <c r="F2885" s="4"/>
      <c r="G2885" s="4"/>
      <c r="H2885" s="4"/>
      <c r="I2885" s="18" t="s">
        <v>2473</v>
      </c>
      <c r="J2885" s="18" t="s">
        <v>2473</v>
      </c>
      <c r="K2885" s="18" t="s">
        <v>2473</v>
      </c>
      <c r="AU2885" s="6"/>
      <c r="AV2885" s="6" t="str">
        <f t="shared" si="59"/>
        <v/>
      </c>
    </row>
    <row r="2886" spans="1:48" ht="14.65" thickBot="1" x14ac:dyDescent="0.5">
      <c r="A2886" s="35" t="s">
        <v>1935</v>
      </c>
      <c r="B2886" s="3" t="s">
        <v>1936</v>
      </c>
      <c r="C2886" s="4"/>
      <c r="D2886" s="4"/>
      <c r="E2886" s="4"/>
      <c r="F2886" s="4"/>
      <c r="G2886" s="4"/>
      <c r="H2886" s="4"/>
      <c r="I2886" s="18" t="s">
        <v>2473</v>
      </c>
      <c r="J2886" s="18" t="s">
        <v>2473</v>
      </c>
      <c r="K2886" s="18" t="s">
        <v>2473</v>
      </c>
      <c r="AU2886" s="6"/>
      <c r="AV2886" s="6" t="str">
        <f t="shared" si="59"/>
        <v/>
      </c>
    </row>
    <row r="2887" spans="1:48" ht="14.65" thickBot="1" x14ac:dyDescent="0.5">
      <c r="A2887" s="35" t="s">
        <v>1937</v>
      </c>
      <c r="B2887" s="3" t="s">
        <v>1938</v>
      </c>
      <c r="C2887" s="4"/>
      <c r="D2887" s="4"/>
      <c r="E2887" s="4"/>
      <c r="F2887" s="4"/>
      <c r="G2887" s="4"/>
      <c r="H2887" s="4"/>
      <c r="I2887" s="18" t="s">
        <v>2473</v>
      </c>
      <c r="J2887" s="18" t="s">
        <v>2473</v>
      </c>
      <c r="K2887" s="18" t="s">
        <v>2473</v>
      </c>
      <c r="AU2887" s="6"/>
      <c r="AV2887" s="6" t="str">
        <f t="shared" si="59"/>
        <v/>
      </c>
    </row>
    <row r="2888" spans="1:48" ht="14.65" thickBot="1" x14ac:dyDescent="0.5">
      <c r="A2888" s="35" t="s">
        <v>1939</v>
      </c>
      <c r="B2888" s="3" t="s">
        <v>1940</v>
      </c>
      <c r="C2888" s="4"/>
      <c r="D2888" s="4"/>
      <c r="E2888" s="4"/>
      <c r="F2888" s="4"/>
      <c r="G2888" s="4"/>
      <c r="H2888" s="4"/>
      <c r="I2888" s="18" t="s">
        <v>2473</v>
      </c>
      <c r="J2888" s="18" t="s">
        <v>2473</v>
      </c>
      <c r="K2888" s="18" t="s">
        <v>2473</v>
      </c>
      <c r="AU2888" s="6"/>
      <c r="AV2888" s="6" t="str">
        <f t="shared" si="59"/>
        <v/>
      </c>
    </row>
    <row r="2889" spans="1:48" ht="14.65" thickBot="1" x14ac:dyDescent="0.5">
      <c r="A2889" s="35" t="s">
        <v>1941</v>
      </c>
      <c r="B2889" s="3" t="s">
        <v>1942</v>
      </c>
      <c r="C2889" s="4"/>
      <c r="D2889" s="4"/>
      <c r="E2889" s="4"/>
      <c r="F2889" s="4"/>
      <c r="G2889" s="4"/>
      <c r="H2889" s="4"/>
      <c r="I2889" s="18" t="s">
        <v>2473</v>
      </c>
      <c r="J2889" s="18" t="s">
        <v>2473</v>
      </c>
      <c r="K2889" s="18" t="s">
        <v>2473</v>
      </c>
      <c r="AU2889" s="6"/>
      <c r="AV2889" s="6" t="str">
        <f t="shared" si="59"/>
        <v/>
      </c>
    </row>
    <row r="2890" spans="1:48" ht="14.65" thickBot="1" x14ac:dyDescent="0.5">
      <c r="A2890" s="35" t="s">
        <v>1943</v>
      </c>
      <c r="B2890" s="3" t="s">
        <v>1944</v>
      </c>
      <c r="C2890" s="4"/>
      <c r="D2890" s="4"/>
      <c r="E2890" s="4"/>
      <c r="F2890" s="4"/>
      <c r="G2890" s="4"/>
      <c r="H2890" s="4"/>
      <c r="I2890" s="18" t="s">
        <v>2473</v>
      </c>
      <c r="J2890" s="18" t="s">
        <v>2473</v>
      </c>
      <c r="K2890" s="18" t="s">
        <v>2473</v>
      </c>
      <c r="AU2890" s="6"/>
      <c r="AV2890" s="6" t="str">
        <f t="shared" si="59"/>
        <v/>
      </c>
    </row>
    <row r="2891" spans="1:48" ht="14.65" thickBot="1" x14ac:dyDescent="0.5">
      <c r="A2891" s="35" t="s">
        <v>1945</v>
      </c>
      <c r="B2891" s="3" t="s">
        <v>1946</v>
      </c>
      <c r="C2891" s="4"/>
      <c r="D2891" s="4"/>
      <c r="E2891" s="4"/>
      <c r="F2891" s="4"/>
      <c r="G2891" s="4"/>
      <c r="H2891" s="4"/>
      <c r="I2891" s="18" t="s">
        <v>2473</v>
      </c>
      <c r="J2891" s="18" t="s">
        <v>2473</v>
      </c>
      <c r="K2891" s="18" t="s">
        <v>2473</v>
      </c>
      <c r="AU2891" s="6"/>
      <c r="AV2891" s="6" t="str">
        <f t="shared" si="59"/>
        <v/>
      </c>
    </row>
    <row r="2892" spans="1:48" s="79" customFormat="1" x14ac:dyDescent="0.45">
      <c r="A2892" s="75"/>
      <c r="B2892" s="76"/>
      <c r="C2892" s="77"/>
      <c r="D2892" s="77"/>
      <c r="E2892" s="77"/>
      <c r="F2892" s="77"/>
      <c r="G2892" s="77"/>
      <c r="H2892" s="77"/>
      <c r="I2892" s="77"/>
      <c r="J2892" s="77"/>
      <c r="K2892" s="77"/>
      <c r="L2892" s="77"/>
      <c r="M2892" s="148"/>
      <c r="N2892" s="78"/>
      <c r="O2892" s="78"/>
      <c r="P2892" s="78"/>
      <c r="Q2892" s="78"/>
      <c r="R2892" s="78"/>
      <c r="S2892" s="78"/>
      <c r="T2892" s="78"/>
      <c r="U2892" s="78"/>
      <c r="V2892" s="78"/>
      <c r="W2892" s="78"/>
      <c r="X2892" s="78"/>
      <c r="Y2892" s="148"/>
      <c r="Z2892" s="78"/>
      <c r="AA2892" s="78"/>
      <c r="AB2892" s="78"/>
      <c r="AC2892" s="78"/>
      <c r="AD2892" s="78"/>
      <c r="AE2892" s="156"/>
      <c r="AF2892" s="156"/>
      <c r="AG2892" s="78"/>
      <c r="AH2892" s="78"/>
      <c r="AI2892" s="78"/>
      <c r="AJ2892" s="78"/>
      <c r="AK2892" s="78"/>
      <c r="AL2892" s="78"/>
      <c r="AM2892" s="78"/>
      <c r="AN2892" s="78"/>
      <c r="AO2892" s="78"/>
      <c r="AP2892" s="78"/>
      <c r="AQ2892" s="78"/>
      <c r="AR2892" s="286"/>
      <c r="AS2892" s="78"/>
      <c r="AT2892" s="78"/>
      <c r="AU2892" s="8"/>
      <c r="AV2892" s="6" t="str">
        <f t="shared" si="59"/>
        <v/>
      </c>
    </row>
    <row r="2893" spans="1:48" x14ac:dyDescent="0.45">
      <c r="A2893" s="27" t="s">
        <v>2459</v>
      </c>
      <c r="I2893" s="18" t="s">
        <v>2473</v>
      </c>
      <c r="J2893" s="18" t="s">
        <v>2473</v>
      </c>
      <c r="K2893" s="18" t="s">
        <v>2473</v>
      </c>
      <c r="AU2893" s="6"/>
      <c r="AV2893" s="6" t="str">
        <f t="shared" si="59"/>
        <v/>
      </c>
    </row>
    <row r="2894" spans="1:48" x14ac:dyDescent="0.45">
      <c r="A2894" s="323" t="s">
        <v>2543</v>
      </c>
      <c r="B2894" s="324"/>
      <c r="C2894" s="324"/>
      <c r="D2894" s="324"/>
      <c r="E2894" s="324"/>
      <c r="F2894" s="324"/>
      <c r="G2894" s="101"/>
      <c r="H2894" s="101"/>
      <c r="I2894" s="18" t="s">
        <v>2473</v>
      </c>
      <c r="J2894" s="18" t="s">
        <v>2473</v>
      </c>
      <c r="K2894" s="18" t="s">
        <v>2473</v>
      </c>
      <c r="AU2894" s="8"/>
      <c r="AV2894" s="6" t="str">
        <f t="shared" si="59"/>
        <v/>
      </c>
    </row>
    <row r="2895" spans="1:48" ht="14.65" thickBot="1" x14ac:dyDescent="0.5">
      <c r="A2895" s="28" t="s">
        <v>1947</v>
      </c>
      <c r="I2895" s="18" t="s">
        <v>2473</v>
      </c>
      <c r="J2895" s="18" t="s">
        <v>2473</v>
      </c>
      <c r="K2895" s="18" t="s">
        <v>2473</v>
      </c>
      <c r="AA2895" s="183" t="s">
        <v>2322</v>
      </c>
      <c r="AB2895" s="183" t="s">
        <v>1697</v>
      </c>
      <c r="AC2895" s="183" t="s">
        <v>5</v>
      </c>
      <c r="AU2895" s="8"/>
      <c r="AV2895" s="6" t="str">
        <f t="shared" si="59"/>
        <v/>
      </c>
    </row>
    <row r="2896" spans="1:48" ht="174.75" thickBot="1" x14ac:dyDescent="0.5">
      <c r="A2896" s="309" t="s">
        <v>1948</v>
      </c>
      <c r="B2896" s="310"/>
      <c r="C2896" s="301" t="s">
        <v>1</v>
      </c>
      <c r="D2896" s="319"/>
      <c r="E2896" s="319"/>
      <c r="F2896" s="302"/>
      <c r="G2896" s="102"/>
      <c r="H2896" s="102"/>
      <c r="I2896" s="18" t="s">
        <v>2473</v>
      </c>
      <c r="AA2896" s="183" t="str">
        <f>LEFT($A2896,FIND(" ",$A2896)-1)</f>
        <v>NetworkAdapter</v>
      </c>
      <c r="AB2896" s="183" t="str">
        <f>MID($A2896,FIND("(",$A2896)+1,LEN($A2896)-FIND("(",$A2896)-1)</f>
        <v>1.2.0</v>
      </c>
      <c r="AC2896" s="101" t="str">
        <f>A2894</f>
        <v>The NetworkAdapter resource represents the physical network adapter capable of connecting to a computer network. Examples include but are not limited to Ethernet, FC, and CNAs.</v>
      </c>
      <c r="AU2896" s="8"/>
      <c r="AV2896" s="6" t="str">
        <f t="shared" si="59"/>
        <v/>
      </c>
    </row>
    <row r="2897" spans="1:48" ht="14.65" thickBot="1" x14ac:dyDescent="0.5">
      <c r="A2897" s="311"/>
      <c r="B2897" s="312"/>
      <c r="C2897" s="301" t="s">
        <v>2</v>
      </c>
      <c r="D2897" s="302"/>
      <c r="E2897" s="301" t="s">
        <v>3</v>
      </c>
      <c r="F2897" s="302"/>
      <c r="G2897" s="301" t="s">
        <v>2896</v>
      </c>
      <c r="H2897" s="302"/>
      <c r="I2897" s="18" t="s">
        <v>2473</v>
      </c>
      <c r="AA2897" s="183" t="s">
        <v>2322</v>
      </c>
      <c r="AB2897" s="183" t="s">
        <v>1697</v>
      </c>
      <c r="AC2897" s="183" t="s">
        <v>5</v>
      </c>
      <c r="AU2897" s="8"/>
      <c r="AV2897" s="6" t="str">
        <f t="shared" si="59"/>
        <v/>
      </c>
    </row>
    <row r="2898" spans="1:48" ht="174.75" thickBot="1" x14ac:dyDescent="0.5">
      <c r="A2898" s="309" t="s">
        <v>1948</v>
      </c>
      <c r="B2898" s="310"/>
      <c r="C2898" s="301" t="s">
        <v>1</v>
      </c>
      <c r="D2898" s="319"/>
      <c r="E2898" s="319"/>
      <c r="F2898" s="302"/>
      <c r="G2898" s="102"/>
      <c r="H2898" s="102"/>
      <c r="J2898" s="18" t="s">
        <v>2473</v>
      </c>
      <c r="K2898" s="18" t="s">
        <v>2473</v>
      </c>
      <c r="AA2898" s="183" t="str">
        <f>LEFT($A2898,FIND(" ",$A2898)-1)</f>
        <v>NetworkAdapter</v>
      </c>
      <c r="AB2898" s="183" t="str">
        <f>MID($A2898,FIND("(",$A2898)+1,LEN($A2898)-FIND("(",$A2898)-1)</f>
        <v>1.2.0</v>
      </c>
      <c r="AC2898" s="101" t="str">
        <f>AC2896</f>
        <v>The NetworkAdapter resource represents the physical network adapter capable of connecting to a computer network. Examples include but are not limited to Ethernet, FC, and CNAs.</v>
      </c>
      <c r="AU2898" s="8"/>
      <c r="AV2898" s="6" t="str">
        <f t="shared" si="59"/>
        <v/>
      </c>
    </row>
    <row r="2899" spans="1:48" ht="14.65" thickBot="1" x14ac:dyDescent="0.5">
      <c r="A2899" s="311"/>
      <c r="B2899" s="312"/>
      <c r="C2899" s="301" t="s">
        <v>2</v>
      </c>
      <c r="D2899" s="302"/>
      <c r="E2899" s="301" t="s">
        <v>3</v>
      </c>
      <c r="F2899" s="302"/>
      <c r="G2899" s="301" t="s">
        <v>2896</v>
      </c>
      <c r="H2899" s="302"/>
      <c r="J2899" s="18" t="s">
        <v>2473</v>
      </c>
      <c r="K2899" s="18" t="s">
        <v>2473</v>
      </c>
      <c r="AM2899" s="8" t="str">
        <f>C2899</f>
        <v>OSM-Redfish</v>
      </c>
      <c r="AN2899" s="8" t="str">
        <f>E2899</f>
        <v>OSM-RedfishBMC</v>
      </c>
      <c r="AO2899" s="8" t="str">
        <f>G2899</f>
        <v>OSM-RedfishDCN</v>
      </c>
      <c r="AU2899" s="8"/>
      <c r="AV2899" s="6" t="str">
        <f t="shared" ref="AV2899:AV2968" si="60">IF(A2899&lt;&gt;"",IF(T2899&lt;&gt;"",IF(LEFT(R2899,3)="Has",IF(TRIM(A2899)&lt;&gt;T2899,"ERROR","OK"),""),""),"")</f>
        <v/>
      </c>
    </row>
    <row r="2900" spans="1:48" ht="14.65" thickBot="1" x14ac:dyDescent="0.5">
      <c r="A2900" s="46" t="s">
        <v>2377</v>
      </c>
      <c r="B2900" s="47"/>
      <c r="C2900" s="303" t="s">
        <v>37</v>
      </c>
      <c r="D2900" s="304"/>
      <c r="E2900" s="303" t="s">
        <v>37</v>
      </c>
      <c r="F2900" s="304"/>
      <c r="G2900" s="303" t="s">
        <v>37</v>
      </c>
      <c r="H2900" s="304"/>
      <c r="I2900" s="18" t="s">
        <v>2473</v>
      </c>
      <c r="J2900" s="18" t="s">
        <v>2473</v>
      </c>
      <c r="K2900" s="18" t="s">
        <v>2473</v>
      </c>
      <c r="AM2900" s="8" t="str">
        <f>IF(C2900&lt;&gt;"","CRQ-P5-"&amp;(AM$2+$AP2900*$AP$3),"")</f>
        <v>CRQ-P5-1148</v>
      </c>
      <c r="AN2900" s="8" t="str">
        <f>IF(E2900&lt;&gt;"","CRQ-P5-"&amp;(AN$2+$AP2900*$AP$3),"")</f>
        <v>CRQ-P5-1448</v>
      </c>
      <c r="AO2900" s="8" t="str">
        <f>IF(G2900&lt;&gt;"","CRQ-P5-"&amp;(AO$2+$AP2900*$AP$3),"")</f>
        <v>CRQ-P5-1748</v>
      </c>
      <c r="AP2900" s="8">
        <v>37</v>
      </c>
      <c r="AU2900" s="6"/>
      <c r="AV2900" s="6" t="str">
        <f t="shared" si="60"/>
        <v/>
      </c>
    </row>
    <row r="2901" spans="1:48" ht="14.65" thickBot="1" x14ac:dyDescent="0.5">
      <c r="A2901" s="29" t="s">
        <v>3394</v>
      </c>
      <c r="B2901" s="9"/>
      <c r="C2901" s="305" t="str">
        <f>MID($A2896,FIND("(",$A2896)+1,5)</f>
        <v>1.2.0</v>
      </c>
      <c r="D2901" s="306"/>
      <c r="E2901" s="305" t="s">
        <v>3414</v>
      </c>
      <c r="F2901" s="306"/>
      <c r="G2901" s="305" t="str">
        <f>MID($A2896,FIND("(",$A2896)+1,5)</f>
        <v>1.2.0</v>
      </c>
      <c r="H2901" s="306"/>
      <c r="I2901" s="18" t="s">
        <v>2473</v>
      </c>
      <c r="J2901" s="18" t="s">
        <v>2473</v>
      </c>
      <c r="K2901" s="18" t="s">
        <v>2473</v>
      </c>
      <c r="AU2901" s="6"/>
      <c r="AV2901" s="6" t="str">
        <f t="shared" si="60"/>
        <v/>
      </c>
    </row>
    <row r="2902" spans="1:48" ht="14.65" thickBot="1" x14ac:dyDescent="0.5">
      <c r="A2902" s="30" t="s">
        <v>4</v>
      </c>
      <c r="B2902" s="59" t="s">
        <v>5</v>
      </c>
      <c r="C2902" s="7" t="s">
        <v>6</v>
      </c>
      <c r="D2902" s="7" t="s">
        <v>7</v>
      </c>
      <c r="E2902" s="7" t="s">
        <v>6</v>
      </c>
      <c r="F2902" s="7" t="s">
        <v>7</v>
      </c>
      <c r="G2902" s="7" t="s">
        <v>6</v>
      </c>
      <c r="H2902" s="7" t="s">
        <v>7</v>
      </c>
      <c r="I2902" s="18" t="s">
        <v>2473</v>
      </c>
      <c r="J2902" s="18" t="s">
        <v>2473</v>
      </c>
      <c r="K2902" s="18" t="s">
        <v>2473</v>
      </c>
      <c r="AU2902" s="8"/>
      <c r="AV2902" s="6" t="str">
        <f t="shared" si="60"/>
        <v/>
      </c>
    </row>
    <row r="2903" spans="1:48" ht="14.65" thickBot="1" x14ac:dyDescent="0.5">
      <c r="A2903" s="36" t="s">
        <v>8</v>
      </c>
      <c r="B2903" s="3" t="s">
        <v>9</v>
      </c>
      <c r="C2903" s="4" t="s">
        <v>13</v>
      </c>
      <c r="D2903" s="4"/>
      <c r="E2903" s="4" t="s">
        <v>13</v>
      </c>
      <c r="F2903" s="4"/>
      <c r="G2903" s="4" t="s">
        <v>13</v>
      </c>
      <c r="H2903" s="4"/>
      <c r="I2903" s="18" t="s">
        <v>2473</v>
      </c>
      <c r="J2903" s="18" t="s">
        <v>2473</v>
      </c>
      <c r="K2903" s="18" t="s">
        <v>2473</v>
      </c>
      <c r="AU2903" s="6"/>
      <c r="AV2903" s="6" t="str">
        <f t="shared" si="60"/>
        <v/>
      </c>
    </row>
    <row r="2904" spans="1:48" ht="35.25" thickBot="1" x14ac:dyDescent="0.5">
      <c r="A2904" s="35" t="s">
        <v>1949</v>
      </c>
      <c r="B2904" s="3" t="s">
        <v>1950</v>
      </c>
      <c r="C2904" s="4" t="s">
        <v>13</v>
      </c>
      <c r="D2904" s="4"/>
      <c r="E2904" s="4" t="s">
        <v>13</v>
      </c>
      <c r="F2904" s="4"/>
      <c r="G2904" s="4" t="s">
        <v>13</v>
      </c>
      <c r="H2904" s="4"/>
      <c r="I2904" s="18" t="s">
        <v>2473</v>
      </c>
      <c r="J2904" s="18" t="s">
        <v>2473</v>
      </c>
      <c r="K2904" s="18" t="s">
        <v>2473</v>
      </c>
      <c r="AU2904" s="6"/>
      <c r="AV2904" s="6" t="str">
        <f t="shared" si="60"/>
        <v/>
      </c>
    </row>
    <row r="2905" spans="1:48" ht="14.65" thickBot="1" x14ac:dyDescent="0.5">
      <c r="A2905" s="36" t="s">
        <v>181</v>
      </c>
      <c r="B2905" s="3" t="s">
        <v>1951</v>
      </c>
      <c r="C2905" s="4"/>
      <c r="D2905" s="4"/>
      <c r="E2905" s="4"/>
      <c r="F2905" s="4"/>
      <c r="G2905" s="4"/>
      <c r="H2905" s="4"/>
      <c r="I2905" s="18" t="s">
        <v>2473</v>
      </c>
      <c r="J2905" s="18" t="s">
        <v>2473</v>
      </c>
      <c r="K2905" s="18" t="s">
        <v>2473</v>
      </c>
      <c r="AU2905" s="6"/>
      <c r="AV2905" s="6" t="str">
        <f t="shared" si="60"/>
        <v/>
      </c>
    </row>
    <row r="2906" spans="1:48" ht="14.65" thickBot="1" x14ac:dyDescent="0.5">
      <c r="A2906" s="35" t="s">
        <v>2333</v>
      </c>
      <c r="B2906" s="3" t="s">
        <v>183</v>
      </c>
      <c r="C2906" s="4"/>
      <c r="D2906" s="4"/>
      <c r="E2906" s="4"/>
      <c r="F2906" s="4"/>
      <c r="G2906" s="4"/>
      <c r="H2906" s="4"/>
      <c r="I2906" s="18" t="s">
        <v>2473</v>
      </c>
      <c r="J2906" s="18" t="s">
        <v>2473</v>
      </c>
      <c r="K2906" s="18" t="s">
        <v>2473</v>
      </c>
      <c r="AU2906" s="6"/>
      <c r="AV2906" s="6" t="str">
        <f t="shared" si="60"/>
        <v/>
      </c>
    </row>
    <row r="2907" spans="1:48" ht="47.65" thickBot="1" x14ac:dyDescent="0.5">
      <c r="A2907" s="36" t="s">
        <v>1952</v>
      </c>
      <c r="B2907" s="3" t="s">
        <v>1953</v>
      </c>
      <c r="C2907" s="4" t="s">
        <v>13</v>
      </c>
      <c r="D2907" s="4"/>
      <c r="E2907" s="4" t="s">
        <v>13</v>
      </c>
      <c r="F2907" s="4"/>
      <c r="G2907" s="4" t="s">
        <v>13</v>
      </c>
      <c r="H2907" s="4"/>
      <c r="I2907" s="18" t="s">
        <v>2473</v>
      </c>
      <c r="J2907" s="18" t="s">
        <v>2473</v>
      </c>
      <c r="K2907" s="18" t="s">
        <v>2473</v>
      </c>
      <c r="AS2907" s="206" t="s">
        <v>5860</v>
      </c>
      <c r="AU2907" s="6"/>
      <c r="AV2907" s="6" t="str">
        <f t="shared" si="60"/>
        <v/>
      </c>
    </row>
    <row r="2908" spans="1:48" ht="47.65" thickBot="1" x14ac:dyDescent="0.5">
      <c r="A2908" s="35" t="s">
        <v>1954</v>
      </c>
      <c r="B2908" s="3" t="s">
        <v>1955</v>
      </c>
      <c r="C2908" s="4" t="s">
        <v>37</v>
      </c>
      <c r="D2908" s="4"/>
      <c r="E2908" s="4" t="s">
        <v>37</v>
      </c>
      <c r="F2908" s="4"/>
      <c r="G2908" s="4" t="s">
        <v>37</v>
      </c>
      <c r="H2908" s="4"/>
      <c r="I2908" s="18" t="s">
        <v>2473</v>
      </c>
      <c r="J2908" s="18" t="s">
        <v>2473</v>
      </c>
      <c r="K2908" s="18" t="s">
        <v>2473</v>
      </c>
      <c r="AS2908" s="206" t="s">
        <v>5860</v>
      </c>
      <c r="AU2908" s="6"/>
      <c r="AV2908" s="6" t="str">
        <f t="shared" si="60"/>
        <v/>
      </c>
    </row>
    <row r="2909" spans="1:48" ht="46.9" thickBot="1" x14ac:dyDescent="0.5">
      <c r="A2909" s="35" t="s">
        <v>1956</v>
      </c>
      <c r="B2909" s="3" t="s">
        <v>1957</v>
      </c>
      <c r="C2909" s="4"/>
      <c r="D2909" s="4"/>
      <c r="E2909" s="4"/>
      <c r="F2909" s="4"/>
      <c r="G2909" s="4"/>
      <c r="H2909" s="4"/>
      <c r="I2909" s="18" t="s">
        <v>2473</v>
      </c>
      <c r="J2909" s="18" t="s">
        <v>2473</v>
      </c>
      <c r="K2909" s="18" t="s">
        <v>2473</v>
      </c>
      <c r="AU2909" s="201" t="s">
        <v>4186</v>
      </c>
      <c r="AV2909" s="6" t="str">
        <f t="shared" si="60"/>
        <v/>
      </c>
    </row>
    <row r="2910" spans="1:48" ht="46.9" thickBot="1" x14ac:dyDescent="0.5">
      <c r="A2910" s="35" t="s">
        <v>1958</v>
      </c>
      <c r="B2910" s="3" t="s">
        <v>1959</v>
      </c>
      <c r="C2910" s="4"/>
      <c r="D2910" s="4"/>
      <c r="E2910" s="4"/>
      <c r="F2910" s="4"/>
      <c r="G2910" s="4"/>
      <c r="H2910" s="4"/>
      <c r="I2910" s="18" t="s">
        <v>2473</v>
      </c>
      <c r="J2910" s="18" t="s">
        <v>2473</v>
      </c>
      <c r="K2910" s="18" t="s">
        <v>2473</v>
      </c>
      <c r="AU2910" s="201" t="s">
        <v>4186</v>
      </c>
      <c r="AV2910" s="6" t="str">
        <f t="shared" si="60"/>
        <v/>
      </c>
    </row>
    <row r="2911" spans="1:48" ht="14.65" thickBot="1" x14ac:dyDescent="0.5">
      <c r="A2911" s="37" t="s">
        <v>1960</v>
      </c>
      <c r="B2911" s="3" t="s">
        <v>1961</v>
      </c>
      <c r="C2911" s="4" t="s">
        <v>37</v>
      </c>
      <c r="D2911" s="4"/>
      <c r="E2911" s="4" t="s">
        <v>37</v>
      </c>
      <c r="F2911" s="4"/>
      <c r="G2911" s="4" t="s">
        <v>37</v>
      </c>
      <c r="H2911" s="4"/>
      <c r="I2911" s="18" t="s">
        <v>2473</v>
      </c>
      <c r="J2911" s="18" t="s">
        <v>2473</v>
      </c>
      <c r="K2911" s="18" t="s">
        <v>2473</v>
      </c>
      <c r="AU2911" s="6"/>
      <c r="AV2911" s="6" t="str">
        <f t="shared" si="60"/>
        <v/>
      </c>
    </row>
    <row r="2912" spans="1:48" ht="23.65" thickBot="1" x14ac:dyDescent="0.5">
      <c r="A2912" s="37" t="s">
        <v>1962</v>
      </c>
      <c r="B2912" s="5" t="s">
        <v>1963</v>
      </c>
      <c r="C2912" s="4" t="s">
        <v>10</v>
      </c>
      <c r="D2912" s="4"/>
      <c r="E2912" s="4" t="s">
        <v>10</v>
      </c>
      <c r="F2912" s="4"/>
      <c r="G2912" s="4" t="s">
        <v>10</v>
      </c>
      <c r="H2912" s="4"/>
      <c r="I2912" s="18" t="s">
        <v>2473</v>
      </c>
      <c r="J2912" s="18" t="s">
        <v>2473</v>
      </c>
      <c r="K2912" s="18" t="s">
        <v>2473</v>
      </c>
      <c r="AU2912" s="6"/>
      <c r="AV2912" s="6" t="str">
        <f t="shared" si="60"/>
        <v/>
      </c>
    </row>
    <row r="2913" spans="1:48" ht="14.65" thickBot="1" x14ac:dyDescent="0.5">
      <c r="A2913" s="37" t="s">
        <v>1964</v>
      </c>
      <c r="B2913" s="5" t="s">
        <v>1965</v>
      </c>
      <c r="C2913" s="4" t="s">
        <v>10</v>
      </c>
      <c r="D2913" s="4"/>
      <c r="E2913" s="4" t="s">
        <v>10</v>
      </c>
      <c r="F2913" s="4"/>
      <c r="G2913" s="4" t="s">
        <v>10</v>
      </c>
      <c r="H2913" s="4"/>
      <c r="I2913" s="18" t="s">
        <v>2473</v>
      </c>
      <c r="J2913" s="18" t="s">
        <v>2473</v>
      </c>
      <c r="K2913" s="18" t="s">
        <v>2473</v>
      </c>
      <c r="AU2913" s="6"/>
      <c r="AV2913" s="6" t="str">
        <f t="shared" si="60"/>
        <v/>
      </c>
    </row>
    <row r="2914" spans="1:48" ht="14.65" thickBot="1" x14ac:dyDescent="0.5">
      <c r="A2914" s="35" t="s">
        <v>1966</v>
      </c>
      <c r="B2914" s="3" t="s">
        <v>1967</v>
      </c>
      <c r="C2914" s="4" t="s">
        <v>37</v>
      </c>
      <c r="D2914" s="4"/>
      <c r="E2914" s="4" t="s">
        <v>37</v>
      </c>
      <c r="F2914" s="4"/>
      <c r="G2914" s="4" t="s">
        <v>37</v>
      </c>
      <c r="H2914" s="4"/>
      <c r="I2914" s="18" t="s">
        <v>2473</v>
      </c>
      <c r="J2914" s="18" t="s">
        <v>2473</v>
      </c>
      <c r="K2914" s="18" t="s">
        <v>2473</v>
      </c>
      <c r="AU2914" s="6"/>
      <c r="AV2914" s="6" t="str">
        <f t="shared" si="60"/>
        <v/>
      </c>
    </row>
    <row r="2915" spans="1:48" ht="23.65" thickBot="1" x14ac:dyDescent="0.5">
      <c r="A2915" s="35" t="s">
        <v>1968</v>
      </c>
      <c r="B2915" s="3" t="s">
        <v>1969</v>
      </c>
      <c r="C2915" s="4" t="s">
        <v>10</v>
      </c>
      <c r="D2915" s="4"/>
      <c r="E2915" s="4" t="s">
        <v>10</v>
      </c>
      <c r="F2915" s="4"/>
      <c r="G2915" s="4" t="s">
        <v>10</v>
      </c>
      <c r="H2915" s="4"/>
      <c r="I2915" s="18" t="s">
        <v>2473</v>
      </c>
      <c r="J2915" s="18" t="s">
        <v>2473</v>
      </c>
      <c r="K2915" s="18" t="s">
        <v>2473</v>
      </c>
      <c r="AU2915" s="6"/>
      <c r="AV2915" s="6" t="str">
        <f t="shared" si="60"/>
        <v/>
      </c>
    </row>
    <row r="2916" spans="1:48" ht="23.65" thickBot="1" x14ac:dyDescent="0.5">
      <c r="A2916" s="35" t="s">
        <v>1970</v>
      </c>
      <c r="B2916" s="3" t="s">
        <v>1971</v>
      </c>
      <c r="C2916" s="4" t="s">
        <v>10</v>
      </c>
      <c r="D2916" s="4"/>
      <c r="E2916" s="4" t="s">
        <v>10</v>
      </c>
      <c r="F2916" s="4"/>
      <c r="G2916" s="4" t="s">
        <v>10</v>
      </c>
      <c r="H2916" s="4"/>
      <c r="I2916" s="18" t="s">
        <v>2473</v>
      </c>
      <c r="J2916" s="18" t="s">
        <v>2473</v>
      </c>
      <c r="K2916" s="18" t="s">
        <v>2473</v>
      </c>
      <c r="AU2916" s="6"/>
      <c r="AV2916" s="6" t="str">
        <f t="shared" si="60"/>
        <v/>
      </c>
    </row>
    <row r="2917" spans="1:48" ht="14.65" thickBot="1" x14ac:dyDescent="0.5">
      <c r="A2917" s="35" t="s">
        <v>1972</v>
      </c>
      <c r="B2917" s="3" t="s">
        <v>1973</v>
      </c>
      <c r="C2917" s="4"/>
      <c r="D2917" s="4"/>
      <c r="E2917" s="4"/>
      <c r="F2917" s="4"/>
      <c r="G2917" s="4"/>
      <c r="H2917" s="4"/>
      <c r="I2917" s="18" t="s">
        <v>2473</v>
      </c>
      <c r="J2917" s="18" t="s">
        <v>2473</v>
      </c>
      <c r="K2917" s="18" t="s">
        <v>2473</v>
      </c>
      <c r="AU2917" s="6"/>
      <c r="AV2917" s="6" t="str">
        <f t="shared" si="60"/>
        <v/>
      </c>
    </row>
    <row r="2918" spans="1:48" ht="14.65" thickBot="1" x14ac:dyDescent="0.5">
      <c r="A2918" s="35" t="s">
        <v>1974</v>
      </c>
      <c r="B2918" s="3" t="s">
        <v>1975</v>
      </c>
      <c r="C2918" s="4"/>
      <c r="D2918" s="4"/>
      <c r="E2918" s="4"/>
      <c r="F2918" s="4"/>
      <c r="G2918" s="4"/>
      <c r="H2918" s="4"/>
      <c r="I2918" s="18" t="s">
        <v>2473</v>
      </c>
      <c r="J2918" s="18" t="s">
        <v>2473</v>
      </c>
      <c r="K2918" s="18" t="s">
        <v>2473</v>
      </c>
      <c r="AU2918" s="8"/>
      <c r="AV2918" s="6" t="str">
        <f t="shared" si="60"/>
        <v/>
      </c>
    </row>
    <row r="2919" spans="1:48" ht="14.65" thickBot="1" x14ac:dyDescent="0.5">
      <c r="A2919" s="35" t="s">
        <v>1976</v>
      </c>
      <c r="B2919" s="3" t="s">
        <v>1977</v>
      </c>
      <c r="C2919" s="4" t="s">
        <v>37</v>
      </c>
      <c r="D2919" s="4"/>
      <c r="E2919" s="4" t="s">
        <v>37</v>
      </c>
      <c r="F2919" s="4"/>
      <c r="G2919" s="4" t="s">
        <v>37</v>
      </c>
      <c r="H2919" s="4"/>
      <c r="I2919" s="18" t="s">
        <v>2473</v>
      </c>
      <c r="J2919" s="18" t="s">
        <v>2473</v>
      </c>
      <c r="K2919" s="18" t="s">
        <v>2473</v>
      </c>
      <c r="AU2919" s="8"/>
      <c r="AV2919" s="6" t="str">
        <f t="shared" si="60"/>
        <v/>
      </c>
    </row>
    <row r="2920" spans="1:48" ht="14.65" thickBot="1" x14ac:dyDescent="0.5">
      <c r="A2920" s="35" t="s">
        <v>1978</v>
      </c>
      <c r="B2920" s="3" t="s">
        <v>1979</v>
      </c>
      <c r="C2920" s="4" t="s">
        <v>37</v>
      </c>
      <c r="D2920" s="4"/>
      <c r="E2920" s="4" t="s">
        <v>37</v>
      </c>
      <c r="F2920" s="4"/>
      <c r="G2920" s="4" t="s">
        <v>37</v>
      </c>
      <c r="H2920" s="4"/>
      <c r="I2920" s="18" t="s">
        <v>2473</v>
      </c>
      <c r="J2920" s="18" t="s">
        <v>2473</v>
      </c>
      <c r="K2920" s="18" t="s">
        <v>2473</v>
      </c>
      <c r="AU2920" s="8"/>
      <c r="AV2920" s="6" t="str">
        <f t="shared" si="60"/>
        <v/>
      </c>
    </row>
    <row r="2921" spans="1:48" ht="23.65" thickBot="1" x14ac:dyDescent="0.5">
      <c r="A2921" s="35" t="s">
        <v>1980</v>
      </c>
      <c r="B2921" s="3" t="s">
        <v>1981</v>
      </c>
      <c r="C2921" s="4" t="s">
        <v>10</v>
      </c>
      <c r="D2921" s="4"/>
      <c r="E2921" s="4" t="s">
        <v>10</v>
      </c>
      <c r="F2921" s="4"/>
      <c r="G2921" s="4" t="s">
        <v>10</v>
      </c>
      <c r="H2921" s="4"/>
      <c r="I2921" s="18" t="s">
        <v>2473</v>
      </c>
      <c r="J2921" s="18" t="s">
        <v>2473</v>
      </c>
      <c r="K2921" s="18" t="s">
        <v>2473</v>
      </c>
      <c r="AU2921" s="8"/>
      <c r="AV2921" s="6" t="str">
        <f t="shared" si="60"/>
        <v/>
      </c>
    </row>
    <row r="2922" spans="1:48" ht="14.65" thickBot="1" x14ac:dyDescent="0.5">
      <c r="A2922" s="35" t="s">
        <v>1982</v>
      </c>
      <c r="B2922" s="3" t="s">
        <v>1983</v>
      </c>
      <c r="C2922" s="4" t="s">
        <v>37</v>
      </c>
      <c r="D2922" s="4"/>
      <c r="E2922" s="4" t="s">
        <v>37</v>
      </c>
      <c r="F2922" s="4"/>
      <c r="G2922" s="4" t="s">
        <v>37</v>
      </c>
      <c r="H2922" s="4"/>
      <c r="I2922" s="18" t="s">
        <v>2473</v>
      </c>
      <c r="J2922" s="18" t="s">
        <v>2473</v>
      </c>
      <c r="K2922" s="18" t="s">
        <v>2473</v>
      </c>
      <c r="AU2922" s="8"/>
      <c r="AV2922" s="6" t="str">
        <f t="shared" si="60"/>
        <v/>
      </c>
    </row>
    <row r="2923" spans="1:48" ht="23.65" thickBot="1" x14ac:dyDescent="0.5">
      <c r="A2923" s="35" t="s">
        <v>1984</v>
      </c>
      <c r="B2923" s="3" t="s">
        <v>4002</v>
      </c>
      <c r="C2923" s="4" t="s">
        <v>10</v>
      </c>
      <c r="D2923" s="4"/>
      <c r="E2923" s="4" t="s">
        <v>10</v>
      </c>
      <c r="F2923" s="4"/>
      <c r="G2923" s="4" t="s">
        <v>10</v>
      </c>
      <c r="H2923" s="4"/>
      <c r="I2923" s="18" t="s">
        <v>2473</v>
      </c>
      <c r="J2923" s="18" t="s">
        <v>2473</v>
      </c>
      <c r="K2923" s="18" t="s">
        <v>2473</v>
      </c>
      <c r="AU2923" s="6"/>
      <c r="AV2923" s="6" t="str">
        <f t="shared" si="60"/>
        <v/>
      </c>
    </row>
    <row r="2924" spans="1:48" ht="23.65" thickBot="1" x14ac:dyDescent="0.5">
      <c r="A2924" s="35" t="s">
        <v>1985</v>
      </c>
      <c r="B2924" s="3" t="s">
        <v>1986</v>
      </c>
      <c r="C2924" s="4" t="s">
        <v>10</v>
      </c>
      <c r="D2924" s="4"/>
      <c r="E2924" s="4" t="s">
        <v>10</v>
      </c>
      <c r="F2924" s="4"/>
      <c r="G2924" s="4" t="s">
        <v>10</v>
      </c>
      <c r="H2924" s="4"/>
      <c r="I2924" s="18" t="s">
        <v>2473</v>
      </c>
      <c r="J2924" s="18" t="s">
        <v>2473</v>
      </c>
      <c r="K2924" s="18" t="s">
        <v>2473</v>
      </c>
      <c r="AU2924" s="6"/>
      <c r="AV2924" s="6" t="str">
        <f t="shared" si="60"/>
        <v/>
      </c>
    </row>
    <row r="2925" spans="1:48" ht="23.65" thickBot="1" x14ac:dyDescent="0.5">
      <c r="A2925" s="35" t="s">
        <v>1987</v>
      </c>
      <c r="B2925" s="3" t="s">
        <v>1988</v>
      </c>
      <c r="C2925" s="4" t="s">
        <v>10</v>
      </c>
      <c r="D2925" s="4"/>
      <c r="E2925" s="4" t="s">
        <v>10</v>
      </c>
      <c r="F2925" s="4"/>
      <c r="G2925" s="4" t="s">
        <v>10</v>
      </c>
      <c r="H2925" s="4"/>
      <c r="I2925" s="18" t="s">
        <v>2473</v>
      </c>
      <c r="J2925" s="18" t="s">
        <v>2473</v>
      </c>
      <c r="K2925" s="18" t="s">
        <v>2473</v>
      </c>
      <c r="AU2925" s="6"/>
      <c r="AV2925" s="6" t="str">
        <f t="shared" si="60"/>
        <v/>
      </c>
    </row>
    <row r="2926" spans="1:48" ht="36" thickBot="1" x14ac:dyDescent="0.5">
      <c r="A2926" s="35" t="s">
        <v>5824</v>
      </c>
      <c r="B2926" s="3" t="s">
        <v>1989</v>
      </c>
      <c r="C2926" s="4" t="s">
        <v>13</v>
      </c>
      <c r="D2926" s="4"/>
      <c r="E2926" s="4" t="s">
        <v>13</v>
      </c>
      <c r="F2926" s="4"/>
      <c r="G2926" s="4" t="s">
        <v>13</v>
      </c>
      <c r="H2926" s="4"/>
      <c r="I2926" s="18" t="s">
        <v>2473</v>
      </c>
      <c r="J2926" s="18" t="s">
        <v>2473</v>
      </c>
      <c r="K2926" s="18" t="s">
        <v>2473</v>
      </c>
      <c r="AS2926" s="264" t="s">
        <v>5831</v>
      </c>
      <c r="AU2926" s="6"/>
      <c r="AV2926" s="6" t="str">
        <f t="shared" si="60"/>
        <v/>
      </c>
    </row>
    <row r="2927" spans="1:48" ht="36" thickBot="1" x14ac:dyDescent="0.5">
      <c r="A2927" s="35" t="s">
        <v>453</v>
      </c>
      <c r="B2927" s="3" t="s">
        <v>4132</v>
      </c>
      <c r="C2927" s="4" t="s">
        <v>13</v>
      </c>
      <c r="D2927" s="4"/>
      <c r="E2927" s="4" t="s">
        <v>13</v>
      </c>
      <c r="F2927" s="4"/>
      <c r="G2927" s="4" t="s">
        <v>13</v>
      </c>
      <c r="H2927" s="4"/>
      <c r="I2927" s="18" t="s">
        <v>2473</v>
      </c>
      <c r="J2927" s="18" t="s">
        <v>2473</v>
      </c>
      <c r="K2927" s="18" t="s">
        <v>2473</v>
      </c>
      <c r="AS2927" s="264" t="s">
        <v>5831</v>
      </c>
      <c r="AU2927" s="140" t="s">
        <v>4133</v>
      </c>
      <c r="AV2927" s="6" t="str">
        <f t="shared" si="60"/>
        <v/>
      </c>
    </row>
    <row r="2928" spans="1:48" ht="94.15" thickBot="1" x14ac:dyDescent="0.5">
      <c r="A2928" s="35" t="s">
        <v>455</v>
      </c>
      <c r="B2928" s="3" t="s">
        <v>1385</v>
      </c>
      <c r="C2928" s="4" t="s">
        <v>37</v>
      </c>
      <c r="D2928" s="4"/>
      <c r="E2928" s="4" t="s">
        <v>37</v>
      </c>
      <c r="F2928" s="4"/>
      <c r="G2928" s="4" t="s">
        <v>37</v>
      </c>
      <c r="H2928" s="4"/>
      <c r="I2928" s="18" t="s">
        <v>2473</v>
      </c>
      <c r="J2928" s="18" t="s">
        <v>2473</v>
      </c>
      <c r="K2928" s="18" t="s">
        <v>2473</v>
      </c>
      <c r="AS2928" s="265" t="s">
        <v>5869</v>
      </c>
      <c r="AU2928" s="6"/>
      <c r="AV2928" s="6" t="str">
        <f t="shared" si="60"/>
        <v/>
      </c>
    </row>
    <row r="2929" spans="1:48" ht="36" thickBot="1" x14ac:dyDescent="0.5">
      <c r="A2929" s="35" t="s">
        <v>5825</v>
      </c>
      <c r="B2929" s="3" t="s">
        <v>1388</v>
      </c>
      <c r="C2929" s="4" t="s">
        <v>37</v>
      </c>
      <c r="D2929" s="4"/>
      <c r="E2929" s="4" t="s">
        <v>37</v>
      </c>
      <c r="F2929" s="4"/>
      <c r="G2929" s="4" t="s">
        <v>37</v>
      </c>
      <c r="H2929" s="4"/>
      <c r="I2929" s="18" t="s">
        <v>2473</v>
      </c>
      <c r="J2929" s="18" t="s">
        <v>2473</v>
      </c>
      <c r="K2929" s="18" t="s">
        <v>2473</v>
      </c>
      <c r="AS2929" s="264" t="s">
        <v>5831</v>
      </c>
      <c r="AU2929" s="6"/>
      <c r="AV2929" s="6" t="str">
        <f t="shared" si="60"/>
        <v/>
      </c>
    </row>
    <row r="2930" spans="1:48" ht="36" thickBot="1" x14ac:dyDescent="0.5">
      <c r="A2930" s="35" t="s">
        <v>1994</v>
      </c>
      <c r="B2930" s="3" t="s">
        <v>1990</v>
      </c>
      <c r="C2930" s="4"/>
      <c r="D2930" s="4"/>
      <c r="E2930" s="4"/>
      <c r="F2930" s="4"/>
      <c r="G2930" s="4"/>
      <c r="H2930" s="4"/>
      <c r="I2930" s="18" t="s">
        <v>2473</v>
      </c>
      <c r="J2930" s="18" t="s">
        <v>2473</v>
      </c>
      <c r="K2930" s="18" t="s">
        <v>2473</v>
      </c>
      <c r="AS2930" s="264" t="s">
        <v>5831</v>
      </c>
      <c r="AU2930" s="6"/>
      <c r="AV2930" s="6" t="str">
        <f t="shared" si="60"/>
        <v/>
      </c>
    </row>
    <row r="2931" spans="1:48" ht="70.900000000000006" thickBot="1" x14ac:dyDescent="0.5">
      <c r="A2931" s="35" t="s">
        <v>5826</v>
      </c>
      <c r="B2931" s="3" t="s">
        <v>5804</v>
      </c>
      <c r="C2931" s="4"/>
      <c r="D2931" s="4"/>
      <c r="E2931" s="4"/>
      <c r="F2931" s="4"/>
      <c r="G2931" s="4"/>
      <c r="H2931" s="4"/>
      <c r="I2931" s="18" t="s">
        <v>2473</v>
      </c>
      <c r="J2931" s="18" t="s">
        <v>2473</v>
      </c>
      <c r="K2931" s="18" t="s">
        <v>2473</v>
      </c>
      <c r="M2931" s="244" t="s">
        <v>5799</v>
      </c>
      <c r="AS2931" s="240" t="s">
        <v>5830</v>
      </c>
      <c r="AU2931" s="6"/>
      <c r="AV2931" s="6" t="str">
        <f t="shared" ref="AV2931:AV2932" si="61">IF(A2931&lt;&gt;"",IF(T2931&lt;&gt;"",IF(LEFT(R2931,3)="Has",IF(TRIM(A2931)&lt;&gt;T2931,"ERROR","OK"),""),""),"")</f>
        <v/>
      </c>
    </row>
    <row r="2932" spans="1:48" ht="70.900000000000006" thickBot="1" x14ac:dyDescent="0.5">
      <c r="A2932" s="35" t="s">
        <v>1994</v>
      </c>
      <c r="B2932" s="3" t="s">
        <v>1343</v>
      </c>
      <c r="C2932" s="4"/>
      <c r="D2932" s="4"/>
      <c r="E2932" s="4"/>
      <c r="F2932" s="4"/>
      <c r="G2932" s="4"/>
      <c r="H2932" s="4"/>
      <c r="I2932" s="18" t="s">
        <v>2473</v>
      </c>
      <c r="J2932" s="18" t="s">
        <v>2473</v>
      </c>
      <c r="K2932" s="18" t="s">
        <v>2473</v>
      </c>
      <c r="AS2932" s="240" t="s">
        <v>5832</v>
      </c>
      <c r="AU2932" s="6"/>
      <c r="AV2932" s="6" t="str">
        <f t="shared" si="61"/>
        <v/>
      </c>
    </row>
    <row r="2933" spans="1:48" ht="24.4" thickBot="1" x14ac:dyDescent="0.5">
      <c r="A2933" s="35" t="s">
        <v>5828</v>
      </c>
      <c r="B2933" s="3" t="s">
        <v>5805</v>
      </c>
      <c r="C2933" s="4"/>
      <c r="D2933" s="4"/>
      <c r="E2933" s="4"/>
      <c r="F2933" s="4"/>
      <c r="G2933" s="4"/>
      <c r="H2933" s="4"/>
      <c r="J2933" s="18" t="s">
        <v>2473</v>
      </c>
      <c r="K2933" s="18" t="s">
        <v>2473</v>
      </c>
      <c r="M2933" s="244" t="s">
        <v>5800</v>
      </c>
      <c r="AS2933" s="240" t="s">
        <v>5803</v>
      </c>
      <c r="AU2933" s="6"/>
      <c r="AV2933" s="6" t="str">
        <f t="shared" si="60"/>
        <v/>
      </c>
    </row>
    <row r="2934" spans="1:48" ht="24.4" thickBot="1" x14ac:dyDescent="0.5">
      <c r="A2934" s="35" t="s">
        <v>5829</v>
      </c>
      <c r="B2934" s="3" t="s">
        <v>1343</v>
      </c>
      <c r="C2934" s="4"/>
      <c r="D2934" s="4"/>
      <c r="E2934" s="4"/>
      <c r="F2934" s="4"/>
      <c r="G2934" s="4"/>
      <c r="H2934" s="4"/>
      <c r="J2934" s="18" t="s">
        <v>2473</v>
      </c>
      <c r="K2934" s="18" t="s">
        <v>2473</v>
      </c>
      <c r="M2934" s="244"/>
      <c r="AS2934" s="240" t="s">
        <v>5803</v>
      </c>
      <c r="AU2934" s="6"/>
      <c r="AV2934" s="6" t="str">
        <f t="shared" si="60"/>
        <v/>
      </c>
    </row>
    <row r="2935" spans="1:48" ht="36" thickBot="1" x14ac:dyDescent="0.5">
      <c r="A2935" s="35" t="s">
        <v>2037</v>
      </c>
      <c r="B2935" s="3" t="s">
        <v>60</v>
      </c>
      <c r="C2935" s="4"/>
      <c r="D2935" s="4"/>
      <c r="E2935" s="4"/>
      <c r="F2935" s="4"/>
      <c r="G2935" s="4"/>
      <c r="H2935" s="4"/>
      <c r="I2935" s="18" t="s">
        <v>2473</v>
      </c>
      <c r="J2935" s="18" t="s">
        <v>2473</v>
      </c>
      <c r="K2935" s="18" t="s">
        <v>2473</v>
      </c>
      <c r="AS2935" s="264" t="s">
        <v>5831</v>
      </c>
      <c r="AU2935" s="6"/>
      <c r="AV2935" s="6" t="str">
        <f t="shared" si="60"/>
        <v/>
      </c>
    </row>
    <row r="2936" spans="1:48" ht="36" thickBot="1" x14ac:dyDescent="0.5">
      <c r="A2936" s="35" t="s">
        <v>5827</v>
      </c>
      <c r="B2936" s="3" t="s">
        <v>1388</v>
      </c>
      <c r="C2936" s="4" t="s">
        <v>13</v>
      </c>
      <c r="D2936" s="4"/>
      <c r="E2936" s="4" t="s">
        <v>13</v>
      </c>
      <c r="F2936" s="4"/>
      <c r="G2936" s="4" t="s">
        <v>13</v>
      </c>
      <c r="H2936" s="4"/>
      <c r="I2936" s="18" t="s">
        <v>2473</v>
      </c>
      <c r="J2936" s="18" t="s">
        <v>2473</v>
      </c>
      <c r="K2936" s="18" t="s">
        <v>2473</v>
      </c>
      <c r="AS2936" s="264" t="s">
        <v>5831</v>
      </c>
      <c r="AU2936" s="6"/>
      <c r="AV2936" s="6" t="str">
        <f t="shared" si="60"/>
        <v/>
      </c>
    </row>
    <row r="2937" spans="1:48" ht="36" thickBot="1" x14ac:dyDescent="0.5">
      <c r="A2937" s="35" t="s">
        <v>1994</v>
      </c>
      <c r="B2937" s="3" t="s">
        <v>364</v>
      </c>
      <c r="C2937" s="4"/>
      <c r="D2937" s="4"/>
      <c r="E2937" s="4"/>
      <c r="F2937" s="4"/>
      <c r="G2937" s="4"/>
      <c r="H2937" s="4"/>
      <c r="I2937" s="18" t="s">
        <v>2473</v>
      </c>
      <c r="J2937" s="18" t="s">
        <v>2473</v>
      </c>
      <c r="K2937" s="18" t="s">
        <v>2473</v>
      </c>
      <c r="AS2937" s="264" t="s">
        <v>5831</v>
      </c>
      <c r="AU2937" s="6"/>
      <c r="AV2937" s="6" t="str">
        <f t="shared" si="60"/>
        <v/>
      </c>
    </row>
    <row r="2938" spans="1:48" ht="36" thickBot="1" x14ac:dyDescent="0.5">
      <c r="A2938" s="35" t="s">
        <v>459</v>
      </c>
      <c r="B2938" s="5" t="s">
        <v>1992</v>
      </c>
      <c r="C2938" s="4" t="s">
        <v>13</v>
      </c>
      <c r="D2938" s="4" t="s">
        <v>13</v>
      </c>
      <c r="E2938" s="4" t="s">
        <v>13</v>
      </c>
      <c r="F2938" s="4" t="s">
        <v>13</v>
      </c>
      <c r="G2938" s="4" t="s">
        <v>13</v>
      </c>
      <c r="H2938" s="4" t="s">
        <v>13</v>
      </c>
      <c r="I2938" s="18" t="s">
        <v>2473</v>
      </c>
      <c r="J2938" s="18" t="s">
        <v>2473</v>
      </c>
      <c r="K2938" s="18" t="s">
        <v>2473</v>
      </c>
      <c r="AS2938" s="264" t="s">
        <v>5831</v>
      </c>
      <c r="AU2938" s="6"/>
      <c r="AV2938" s="6" t="str">
        <f t="shared" si="60"/>
        <v/>
      </c>
    </row>
    <row r="2939" spans="1:48" ht="36" thickBot="1" x14ac:dyDescent="0.5">
      <c r="A2939" s="37" t="s">
        <v>467</v>
      </c>
      <c r="B2939" s="5" t="s">
        <v>1993</v>
      </c>
      <c r="C2939" s="4"/>
      <c r="D2939" s="4"/>
      <c r="E2939" s="4"/>
      <c r="F2939" s="4"/>
      <c r="G2939" s="4"/>
      <c r="H2939" s="4"/>
      <c r="I2939" s="18" t="s">
        <v>2473</v>
      </c>
      <c r="J2939" s="18" t="s">
        <v>2473</v>
      </c>
      <c r="K2939" s="18" t="s">
        <v>2473</v>
      </c>
      <c r="AS2939" s="264" t="s">
        <v>5831</v>
      </c>
      <c r="AU2939" s="6"/>
      <c r="AV2939" s="6" t="str">
        <f t="shared" si="60"/>
        <v/>
      </c>
    </row>
    <row r="2940" spans="1:48" ht="36" thickBot="1" x14ac:dyDescent="0.5">
      <c r="A2940" s="35" t="s">
        <v>43</v>
      </c>
      <c r="B2940" s="5" t="s">
        <v>469</v>
      </c>
      <c r="C2940" s="4"/>
      <c r="D2940" s="4"/>
      <c r="E2940" s="4"/>
      <c r="F2940" s="4"/>
      <c r="G2940" s="4"/>
      <c r="H2940" s="4"/>
      <c r="I2940" s="18" t="s">
        <v>2473</v>
      </c>
      <c r="J2940" s="18" t="s">
        <v>2473</v>
      </c>
      <c r="K2940" s="18" t="s">
        <v>2473</v>
      </c>
      <c r="AS2940" s="264" t="s">
        <v>5831</v>
      </c>
      <c r="AU2940" s="6"/>
      <c r="AV2940" s="6" t="str">
        <f t="shared" si="60"/>
        <v/>
      </c>
    </row>
    <row r="2941" spans="1:48" ht="14.65" thickBot="1" x14ac:dyDescent="0.5">
      <c r="A2941" s="36" t="s">
        <v>99</v>
      </c>
      <c r="B2941" s="3" t="s">
        <v>1995</v>
      </c>
      <c r="C2941" s="4" t="s">
        <v>13</v>
      </c>
      <c r="D2941" s="4"/>
      <c r="E2941" s="4" t="s">
        <v>13</v>
      </c>
      <c r="F2941" s="4"/>
      <c r="G2941" s="4" t="s">
        <v>13</v>
      </c>
      <c r="H2941" s="4"/>
      <c r="I2941" s="18" t="s">
        <v>2473</v>
      </c>
      <c r="J2941" s="18" t="s">
        <v>2473</v>
      </c>
      <c r="K2941" s="18" t="s">
        <v>2473</v>
      </c>
      <c r="AU2941" s="6"/>
      <c r="AV2941" s="6" t="str">
        <f t="shared" si="60"/>
        <v/>
      </c>
    </row>
    <row r="2942" spans="1:48" ht="14.65" thickBot="1" x14ac:dyDescent="0.5">
      <c r="A2942" s="36" t="s">
        <v>114</v>
      </c>
      <c r="B2942" s="3" t="s">
        <v>1996</v>
      </c>
      <c r="C2942" s="4" t="s">
        <v>13</v>
      </c>
      <c r="D2942" s="4"/>
      <c r="E2942" s="4" t="s">
        <v>13</v>
      </c>
      <c r="F2942" s="4"/>
      <c r="G2942" s="4" t="s">
        <v>13</v>
      </c>
      <c r="H2942" s="4"/>
      <c r="I2942" s="18" t="s">
        <v>2473</v>
      </c>
      <c r="J2942" s="18" t="s">
        <v>2473</v>
      </c>
      <c r="K2942" s="18" t="s">
        <v>2473</v>
      </c>
      <c r="AU2942" s="6"/>
      <c r="AV2942" s="6" t="str">
        <f t="shared" si="60"/>
        <v/>
      </c>
    </row>
    <row r="2943" spans="1:48" ht="14.65" thickBot="1" x14ac:dyDescent="0.5">
      <c r="A2943" s="36" t="s">
        <v>1460</v>
      </c>
      <c r="B2943" s="3" t="s">
        <v>1997</v>
      </c>
      <c r="C2943" s="4" t="s">
        <v>10</v>
      </c>
      <c r="D2943" s="4"/>
      <c r="E2943" s="4" t="s">
        <v>10</v>
      </c>
      <c r="F2943" s="4"/>
      <c r="G2943" s="4" t="s">
        <v>10</v>
      </c>
      <c r="H2943" s="4"/>
      <c r="I2943" s="18" t="s">
        <v>2473</v>
      </c>
      <c r="J2943" s="18" t="s">
        <v>2473</v>
      </c>
      <c r="K2943" s="18" t="s">
        <v>2473</v>
      </c>
      <c r="AU2943" s="6"/>
      <c r="AV2943" s="6" t="str">
        <f t="shared" si="60"/>
        <v/>
      </c>
    </row>
    <row r="2944" spans="1:48" ht="14.65" thickBot="1" x14ac:dyDescent="0.5">
      <c r="A2944" s="35" t="s">
        <v>33</v>
      </c>
      <c r="B2944" s="3" t="s">
        <v>1461</v>
      </c>
      <c r="C2944" s="4"/>
      <c r="D2944" s="4"/>
      <c r="E2944" s="4"/>
      <c r="F2944" s="4"/>
      <c r="G2944" s="4"/>
      <c r="H2944" s="4"/>
      <c r="I2944" s="18" t="s">
        <v>2473</v>
      </c>
      <c r="J2944" s="18" t="s">
        <v>2473</v>
      </c>
      <c r="K2944" s="18" t="s">
        <v>2473</v>
      </c>
      <c r="AU2944" s="6"/>
      <c r="AV2944" s="6" t="str">
        <f t="shared" si="60"/>
        <v/>
      </c>
    </row>
    <row r="2945" spans="1:48" ht="35.25" thickBot="1" x14ac:dyDescent="0.5">
      <c r="A2945" s="36" t="s">
        <v>1462</v>
      </c>
      <c r="B2945" s="3" t="s">
        <v>5798</v>
      </c>
      <c r="C2945" s="4" t="s">
        <v>13</v>
      </c>
      <c r="D2945" s="4"/>
      <c r="E2945" s="4" t="s">
        <v>13</v>
      </c>
      <c r="F2945" s="4"/>
      <c r="G2945" s="4" t="s">
        <v>13</v>
      </c>
      <c r="H2945" s="4"/>
      <c r="I2945" s="18" t="s">
        <v>2473</v>
      </c>
      <c r="J2945" s="18" t="s">
        <v>2473</v>
      </c>
      <c r="K2945" s="18" t="s">
        <v>2473</v>
      </c>
      <c r="M2945" s="244" t="s">
        <v>5799</v>
      </c>
      <c r="AS2945" s="240" t="s">
        <v>5802</v>
      </c>
      <c r="AU2945" s="6"/>
      <c r="AV2945" s="6" t="str">
        <f t="shared" ref="AV2945:AV2946" si="62">IF(A2945&lt;&gt;"",IF(T2945&lt;&gt;"",IF(LEFT(R2945,3)="Has",IF(TRIM(A2945)&lt;&gt;T2945,"ERROR","OK"),""),""),"")</f>
        <v/>
      </c>
    </row>
    <row r="2946" spans="1:48" ht="14.65" thickBot="1" x14ac:dyDescent="0.5">
      <c r="A2946" s="35" t="s">
        <v>33</v>
      </c>
      <c r="B2946" s="3" t="s">
        <v>1463</v>
      </c>
      <c r="C2946" s="4"/>
      <c r="D2946" s="4"/>
      <c r="E2946" s="4"/>
      <c r="F2946" s="4"/>
      <c r="G2946" s="4"/>
      <c r="H2946" s="4"/>
      <c r="I2946" s="18" t="s">
        <v>2473</v>
      </c>
      <c r="J2946" s="18" t="s">
        <v>2473</v>
      </c>
      <c r="K2946" s="18" t="s">
        <v>2473</v>
      </c>
      <c r="AU2946" s="6"/>
      <c r="AV2946" s="6" t="str">
        <f t="shared" si="62"/>
        <v/>
      </c>
    </row>
    <row r="2947" spans="1:48" ht="24.4" thickBot="1" x14ac:dyDescent="0.5">
      <c r="A2947" s="36" t="s">
        <v>5797</v>
      </c>
      <c r="B2947" s="3" t="s">
        <v>5801</v>
      </c>
      <c r="C2947" s="4" t="s">
        <v>13</v>
      </c>
      <c r="D2947" s="4"/>
      <c r="E2947" s="4" t="s">
        <v>13</v>
      </c>
      <c r="F2947" s="4"/>
      <c r="G2947" s="4" t="s">
        <v>13</v>
      </c>
      <c r="H2947" s="4"/>
      <c r="J2947" s="18" t="s">
        <v>2473</v>
      </c>
      <c r="K2947" s="18" t="s">
        <v>2473</v>
      </c>
      <c r="M2947" s="244" t="s">
        <v>5800</v>
      </c>
      <c r="AS2947" s="240" t="s">
        <v>5803</v>
      </c>
      <c r="AU2947" s="6"/>
      <c r="AV2947" s="6" t="str">
        <f t="shared" si="60"/>
        <v/>
      </c>
    </row>
    <row r="2948" spans="1:48" ht="14.65" thickBot="1" x14ac:dyDescent="0.5">
      <c r="A2948" s="35" t="s">
        <v>33</v>
      </c>
      <c r="B2948" s="3" t="s">
        <v>1463</v>
      </c>
      <c r="C2948" s="4"/>
      <c r="D2948" s="4"/>
      <c r="E2948" s="4"/>
      <c r="F2948" s="4"/>
      <c r="G2948" s="4"/>
      <c r="H2948" s="4"/>
      <c r="J2948" s="18" t="s">
        <v>2473</v>
      </c>
      <c r="K2948" s="18" t="s">
        <v>2473</v>
      </c>
      <c r="M2948" s="244"/>
      <c r="AU2948" s="6"/>
      <c r="AV2948" s="6" t="str">
        <f t="shared" si="60"/>
        <v/>
      </c>
    </row>
    <row r="2949" spans="1:48" ht="14.65" thickBot="1" x14ac:dyDescent="0.5">
      <c r="A2949" s="36" t="s">
        <v>244</v>
      </c>
      <c r="B2949" s="3" t="s">
        <v>1998</v>
      </c>
      <c r="C2949" s="4" t="s">
        <v>13</v>
      </c>
      <c r="D2949" s="4"/>
      <c r="E2949" s="4" t="s">
        <v>13</v>
      </c>
      <c r="F2949" s="4"/>
      <c r="G2949" s="4" t="s">
        <v>13</v>
      </c>
      <c r="H2949" s="4"/>
      <c r="I2949" s="18" t="s">
        <v>2473</v>
      </c>
      <c r="J2949" s="18" t="s">
        <v>2473</v>
      </c>
      <c r="K2949" s="18" t="s">
        <v>2473</v>
      </c>
      <c r="AU2949" s="6"/>
      <c r="AV2949" s="6" t="str">
        <f t="shared" si="60"/>
        <v/>
      </c>
    </row>
    <row r="2950" spans="1:48" ht="14.65" thickBot="1" x14ac:dyDescent="0.5">
      <c r="A2950" s="36" t="s">
        <v>136</v>
      </c>
      <c r="B2950" s="3" t="s">
        <v>1999</v>
      </c>
      <c r="C2950" s="4" t="s">
        <v>13</v>
      </c>
      <c r="D2950" s="4"/>
      <c r="E2950" s="4" t="s">
        <v>13</v>
      </c>
      <c r="F2950" s="4"/>
      <c r="G2950" s="4" t="s">
        <v>13</v>
      </c>
      <c r="H2950" s="4"/>
      <c r="I2950" s="18" t="s">
        <v>2473</v>
      </c>
      <c r="J2950" s="18" t="s">
        <v>2473</v>
      </c>
      <c r="K2950" s="18" t="s">
        <v>2473</v>
      </c>
      <c r="AU2950" s="6"/>
      <c r="AV2950" s="6" t="str">
        <f t="shared" si="60"/>
        <v/>
      </c>
    </row>
    <row r="2951" spans="1:48" ht="14.65" thickBot="1" x14ac:dyDescent="0.5">
      <c r="A2951" s="36" t="s">
        <v>140</v>
      </c>
      <c r="B2951" s="3" t="s">
        <v>2000</v>
      </c>
      <c r="C2951" s="4" t="s">
        <v>13</v>
      </c>
      <c r="D2951" s="4"/>
      <c r="E2951" s="4" t="s">
        <v>13</v>
      </c>
      <c r="F2951" s="4"/>
      <c r="G2951" s="4" t="s">
        <v>13</v>
      </c>
      <c r="H2951" s="4"/>
      <c r="I2951" s="18" t="s">
        <v>2473</v>
      </c>
      <c r="J2951" s="18" t="s">
        <v>2473</v>
      </c>
      <c r="K2951" s="18" t="s">
        <v>2473</v>
      </c>
      <c r="AU2951" s="6"/>
      <c r="AV2951" s="6" t="str">
        <f t="shared" si="60"/>
        <v/>
      </c>
    </row>
    <row r="2952" spans="1:48" ht="24.4" thickBot="1" x14ac:dyDescent="0.5">
      <c r="A2952" s="36" t="s">
        <v>145</v>
      </c>
      <c r="B2952" s="3" t="s">
        <v>3968</v>
      </c>
      <c r="C2952" s="4" t="s">
        <v>13</v>
      </c>
      <c r="D2952" s="4"/>
      <c r="E2952" s="4" t="s">
        <v>13</v>
      </c>
      <c r="F2952" s="4"/>
      <c r="G2952" s="4" t="s">
        <v>13</v>
      </c>
      <c r="H2952" s="4"/>
      <c r="I2952" s="18" t="s">
        <v>2473</v>
      </c>
      <c r="J2952" s="18" t="s">
        <v>2473</v>
      </c>
      <c r="K2952" s="18" t="s">
        <v>2473</v>
      </c>
      <c r="AS2952" s="139" t="s">
        <v>5369</v>
      </c>
      <c r="AU2952" s="6"/>
      <c r="AV2952" s="6" t="str">
        <f t="shared" si="60"/>
        <v/>
      </c>
    </row>
    <row r="2953" spans="1:48" ht="47.65" thickBot="1" x14ac:dyDescent="0.5">
      <c r="A2953" s="35" t="s">
        <v>5361</v>
      </c>
      <c r="B2953" s="3" t="s">
        <v>5352</v>
      </c>
      <c r="C2953" s="4" t="s">
        <v>10</v>
      </c>
      <c r="D2953" s="4"/>
      <c r="E2953" s="4" t="s">
        <v>10</v>
      </c>
      <c r="F2953" s="4"/>
      <c r="G2953" s="4" t="s">
        <v>10</v>
      </c>
      <c r="H2953" s="4"/>
      <c r="I2953" s="18" t="s">
        <v>2473</v>
      </c>
      <c r="J2953" s="18" t="s">
        <v>2473</v>
      </c>
      <c r="K2953" s="18" t="s">
        <v>2473</v>
      </c>
      <c r="Q2953" s="131"/>
      <c r="R2953" s="131"/>
      <c r="S2953" s="131"/>
      <c r="T2953" s="131"/>
      <c r="U2953" s="131"/>
      <c r="V2953" s="131"/>
      <c r="W2953" s="131"/>
      <c r="X2953" s="131"/>
      <c r="AS2953" s="139" t="s">
        <v>5355</v>
      </c>
      <c r="AU2953" s="6"/>
      <c r="AV2953" s="6"/>
    </row>
    <row r="2954" spans="1:48" ht="82.5" thickBot="1" x14ac:dyDescent="0.5">
      <c r="A2954" s="35" t="s">
        <v>5360</v>
      </c>
      <c r="B2954" s="3" t="s">
        <v>5353</v>
      </c>
      <c r="C2954" s="4"/>
      <c r="D2954" s="4"/>
      <c r="E2954" s="4"/>
      <c r="F2954" s="4"/>
      <c r="G2954" s="4"/>
      <c r="H2954" s="4"/>
      <c r="I2954" s="18" t="s">
        <v>2473</v>
      </c>
      <c r="J2954" s="18" t="s">
        <v>2473</v>
      </c>
      <c r="K2954" s="18" t="s">
        <v>2473</v>
      </c>
      <c r="Q2954" s="131"/>
      <c r="R2954" s="131"/>
      <c r="S2954" s="131"/>
      <c r="T2954" s="131"/>
      <c r="U2954" s="131"/>
      <c r="V2954" s="131"/>
      <c r="W2954" s="131"/>
      <c r="X2954" s="131"/>
      <c r="AS2954" s="139" t="s">
        <v>5356</v>
      </c>
      <c r="AU2954" s="6"/>
      <c r="AV2954" s="6"/>
    </row>
    <row r="2955" spans="1:48" x14ac:dyDescent="0.45">
      <c r="A2955" s="33" t="s">
        <v>2001</v>
      </c>
      <c r="I2955" s="18" t="s">
        <v>2473</v>
      </c>
      <c r="J2955" s="18" t="s">
        <v>2473</v>
      </c>
      <c r="K2955" s="18" t="s">
        <v>2473</v>
      </c>
      <c r="AU2955" s="6"/>
      <c r="AV2955" s="6" t="str">
        <f t="shared" si="60"/>
        <v/>
      </c>
    </row>
    <row r="2956" spans="1:48" x14ac:dyDescent="0.45">
      <c r="A2956" s="34" t="s">
        <v>2002</v>
      </c>
      <c r="I2956" s="18" t="s">
        <v>2473</v>
      </c>
      <c r="J2956" s="18" t="s">
        <v>2473</v>
      </c>
      <c r="K2956" s="18" t="s">
        <v>2473</v>
      </c>
      <c r="AU2956" s="6"/>
      <c r="AV2956" s="6" t="str">
        <f t="shared" si="60"/>
        <v/>
      </c>
    </row>
    <row r="2957" spans="1:48" s="79" customFormat="1" x14ac:dyDescent="0.45">
      <c r="A2957" s="75"/>
      <c r="B2957" s="76"/>
      <c r="C2957" s="77"/>
      <c r="D2957" s="77"/>
      <c r="E2957" s="77"/>
      <c r="F2957" s="77"/>
      <c r="G2957" s="77"/>
      <c r="H2957" s="77"/>
      <c r="I2957" s="77"/>
      <c r="J2957" s="77"/>
      <c r="K2957" s="77"/>
      <c r="L2957" s="77"/>
      <c r="M2957" s="148"/>
      <c r="N2957" s="78"/>
      <c r="O2957" s="78"/>
      <c r="P2957" s="78"/>
      <c r="Q2957" s="78"/>
      <c r="R2957" s="78"/>
      <c r="S2957" s="78"/>
      <c r="T2957" s="78"/>
      <c r="U2957" s="78"/>
      <c r="V2957" s="78"/>
      <c r="W2957" s="78"/>
      <c r="X2957" s="78"/>
      <c r="Y2957" s="148"/>
      <c r="Z2957" s="78"/>
      <c r="AA2957" s="78"/>
      <c r="AB2957" s="78"/>
      <c r="AC2957" s="78"/>
      <c r="AD2957" s="78"/>
      <c r="AE2957" s="156"/>
      <c r="AF2957" s="156"/>
      <c r="AG2957" s="78"/>
      <c r="AH2957" s="78"/>
      <c r="AI2957" s="78"/>
      <c r="AJ2957" s="78"/>
      <c r="AK2957" s="78"/>
      <c r="AL2957" s="78"/>
      <c r="AM2957" s="78"/>
      <c r="AN2957" s="78"/>
      <c r="AO2957" s="78"/>
      <c r="AP2957" s="78"/>
      <c r="AQ2957" s="78"/>
      <c r="AR2957" s="286"/>
      <c r="AS2957" s="78"/>
      <c r="AT2957" s="78"/>
      <c r="AU2957" s="8"/>
      <c r="AV2957" s="6" t="str">
        <f t="shared" si="60"/>
        <v/>
      </c>
    </row>
    <row r="2958" spans="1:48" x14ac:dyDescent="0.45">
      <c r="A2958" s="27" t="s">
        <v>2460</v>
      </c>
      <c r="I2958" s="18" t="s">
        <v>2473</v>
      </c>
      <c r="J2958" s="18" t="s">
        <v>2473</v>
      </c>
      <c r="K2958" s="18" t="s">
        <v>2473</v>
      </c>
      <c r="AU2958" s="6"/>
      <c r="AV2958" s="6" t="str">
        <f t="shared" si="60"/>
        <v/>
      </c>
    </row>
    <row r="2959" spans="1:48" x14ac:dyDescent="0.45">
      <c r="A2959" s="323" t="s">
        <v>2544</v>
      </c>
      <c r="B2959" s="324"/>
      <c r="C2959" s="324"/>
      <c r="D2959" s="324"/>
      <c r="E2959" s="324"/>
      <c r="F2959" s="324"/>
      <c r="G2959" s="101"/>
      <c r="H2959" s="101"/>
      <c r="I2959" s="18" t="s">
        <v>2473</v>
      </c>
      <c r="J2959" s="18" t="s">
        <v>2473</v>
      </c>
      <c r="K2959" s="18" t="s">
        <v>2473</v>
      </c>
      <c r="AU2959" s="6"/>
      <c r="AV2959" s="6" t="str">
        <f t="shared" si="60"/>
        <v/>
      </c>
    </row>
    <row r="2960" spans="1:48" ht="14.65" thickBot="1" x14ac:dyDescent="0.5">
      <c r="A2960" s="28" t="s">
        <v>2003</v>
      </c>
      <c r="I2960" s="18" t="s">
        <v>2473</v>
      </c>
      <c r="J2960" s="18" t="s">
        <v>2473</v>
      </c>
      <c r="K2960" s="18" t="s">
        <v>2473</v>
      </c>
      <c r="AA2960" s="183" t="s">
        <v>2322</v>
      </c>
      <c r="AB2960" s="183" t="s">
        <v>1697</v>
      </c>
      <c r="AC2960" s="183" t="s">
        <v>5</v>
      </c>
      <c r="AU2960" s="6"/>
      <c r="AV2960" s="6" t="str">
        <f t="shared" si="60"/>
        <v/>
      </c>
    </row>
    <row r="2961" spans="1:48" ht="93.4" thickBot="1" x14ac:dyDescent="0.5">
      <c r="A2961" s="309" t="s">
        <v>2004</v>
      </c>
      <c r="B2961" s="310"/>
      <c r="C2961" s="301" t="s">
        <v>1</v>
      </c>
      <c r="D2961" s="319"/>
      <c r="E2961" s="319"/>
      <c r="F2961" s="302"/>
      <c r="G2961" s="102"/>
      <c r="H2961" s="102"/>
      <c r="I2961" s="18" t="s">
        <v>2473</v>
      </c>
      <c r="AA2961" s="183" t="str">
        <f>LEFT($A2961,FIND(" ",$A2961)-1)</f>
        <v>PCIeDevice</v>
      </c>
      <c r="AB2961" s="183" t="str">
        <f>MID($A2961,FIND("(",$A2961)+1,LEN($A2961)-FIND("(",$A2961)-1)</f>
        <v>1.3.0</v>
      </c>
      <c r="AC2961" s="101" t="str">
        <f>A2959</f>
        <v>The PCIeDevice resource represents the properties of a PCIeDevice attached to a system.</v>
      </c>
      <c r="AU2961" s="6"/>
      <c r="AV2961" s="6" t="str">
        <f t="shared" si="60"/>
        <v/>
      </c>
    </row>
    <row r="2962" spans="1:48" ht="14.65" thickBot="1" x14ac:dyDescent="0.5">
      <c r="A2962" s="311"/>
      <c r="B2962" s="312"/>
      <c r="C2962" s="301" t="s">
        <v>2</v>
      </c>
      <c r="D2962" s="302"/>
      <c r="E2962" s="301" t="s">
        <v>3</v>
      </c>
      <c r="F2962" s="302"/>
      <c r="G2962" s="301" t="s">
        <v>2896</v>
      </c>
      <c r="H2962" s="302"/>
      <c r="I2962" s="18" t="s">
        <v>2473</v>
      </c>
      <c r="AA2962" s="183" t="s">
        <v>2322</v>
      </c>
      <c r="AB2962" s="183" t="s">
        <v>1697</v>
      </c>
      <c r="AC2962" s="183" t="s">
        <v>5</v>
      </c>
      <c r="AU2962" s="6"/>
      <c r="AV2962" s="6" t="str">
        <f t="shared" si="60"/>
        <v/>
      </c>
    </row>
    <row r="2963" spans="1:48" ht="93.4" thickBot="1" x14ac:dyDescent="0.5">
      <c r="A2963" s="309" t="s">
        <v>3097</v>
      </c>
      <c r="B2963" s="310"/>
      <c r="C2963" s="301" t="s">
        <v>1</v>
      </c>
      <c r="D2963" s="319"/>
      <c r="E2963" s="319"/>
      <c r="F2963" s="302"/>
      <c r="G2963" s="102"/>
      <c r="H2963" s="102"/>
      <c r="J2963" s="18" t="s">
        <v>2473</v>
      </c>
      <c r="K2963" s="18" t="s">
        <v>2473</v>
      </c>
      <c r="AA2963" s="183" t="str">
        <f>LEFT($A2963,FIND(" ",$A2963)-1)</f>
        <v>PCIeDevice</v>
      </c>
      <c r="AB2963" s="183" t="str">
        <f>MID($A2963,FIND("(",$A2963)+1,LEN($A2963)-FIND("(",$A2963)-1)</f>
        <v>1.3.1</v>
      </c>
      <c r="AC2963" s="101" t="str">
        <f>AC2961</f>
        <v>The PCIeDevice resource represents the properties of a PCIeDevice attached to a system.</v>
      </c>
      <c r="AU2963" s="6"/>
      <c r="AV2963" s="6" t="str">
        <f t="shared" si="60"/>
        <v/>
      </c>
    </row>
    <row r="2964" spans="1:48" ht="14.65" thickBot="1" x14ac:dyDescent="0.5">
      <c r="A2964" s="311"/>
      <c r="B2964" s="312"/>
      <c r="C2964" s="301" t="s">
        <v>2</v>
      </c>
      <c r="D2964" s="302"/>
      <c r="E2964" s="301" t="s">
        <v>3</v>
      </c>
      <c r="F2964" s="302"/>
      <c r="G2964" s="301" t="s">
        <v>2896</v>
      </c>
      <c r="H2964" s="302"/>
      <c r="J2964" s="18" t="s">
        <v>2473</v>
      </c>
      <c r="K2964" s="18" t="s">
        <v>2473</v>
      </c>
      <c r="AM2964" s="8" t="str">
        <f>C2964</f>
        <v>OSM-Redfish</v>
      </c>
      <c r="AN2964" s="8" t="str">
        <f>E2964</f>
        <v>OSM-RedfishBMC</v>
      </c>
      <c r="AO2964" s="8" t="str">
        <f>G2964</f>
        <v>OSM-RedfishDCN</v>
      </c>
      <c r="AU2964" s="6"/>
      <c r="AV2964" s="6" t="str">
        <f t="shared" si="60"/>
        <v/>
      </c>
    </row>
    <row r="2965" spans="1:48" ht="14.65" thickBot="1" x14ac:dyDescent="0.5">
      <c r="A2965" s="46" t="s">
        <v>2377</v>
      </c>
      <c r="B2965" s="47"/>
      <c r="C2965" s="303" t="s">
        <v>37</v>
      </c>
      <c r="D2965" s="304"/>
      <c r="E2965" s="303" t="s">
        <v>37</v>
      </c>
      <c r="F2965" s="304"/>
      <c r="G2965" s="303" t="s">
        <v>37</v>
      </c>
      <c r="H2965" s="304"/>
      <c r="I2965" s="18" t="s">
        <v>2473</v>
      </c>
      <c r="J2965" s="18" t="s">
        <v>2473</v>
      </c>
      <c r="K2965" s="18" t="s">
        <v>2473</v>
      </c>
      <c r="AM2965" s="8" t="str">
        <f>IF(C2965&lt;&gt;"","CRQ-P5-"&amp;(AM$2+$AP2965*$AP$3),"")</f>
        <v>CRQ-P5-1172</v>
      </c>
      <c r="AN2965" s="8" t="str">
        <f>IF(E2965&lt;&gt;"","CRQ-P5-"&amp;(AN$2+$AP2965*$AP$3),"")</f>
        <v>CRQ-P5-1472</v>
      </c>
      <c r="AO2965" s="8" t="str">
        <f>IF(G2965&lt;&gt;"","CRQ-P5-"&amp;(AO$2+$AP2965*$AP$3),"")</f>
        <v>CRQ-P5-1772</v>
      </c>
      <c r="AP2965" s="8">
        <v>43</v>
      </c>
      <c r="AU2965" s="6"/>
      <c r="AV2965" s="6" t="str">
        <f t="shared" si="60"/>
        <v/>
      </c>
    </row>
    <row r="2966" spans="1:48" ht="14.65" thickBot="1" x14ac:dyDescent="0.5">
      <c r="A2966" s="29" t="s">
        <v>3394</v>
      </c>
      <c r="B2966" s="9"/>
      <c r="C2966" s="305" t="str">
        <f>MID($A2961,FIND("(",$A2961)+1,5)</f>
        <v>1.3.0</v>
      </c>
      <c r="D2966" s="306"/>
      <c r="E2966" s="305" t="s">
        <v>3407</v>
      </c>
      <c r="F2966" s="306"/>
      <c r="G2966" s="305" t="str">
        <f>MID($A2961,FIND("(",$A2961)+1,5)</f>
        <v>1.3.0</v>
      </c>
      <c r="H2966" s="306"/>
      <c r="I2966" s="18" t="s">
        <v>2473</v>
      </c>
      <c r="J2966" s="18" t="s">
        <v>2473</v>
      </c>
      <c r="K2966" s="18" t="s">
        <v>2473</v>
      </c>
      <c r="AU2966" s="6"/>
      <c r="AV2966" s="6" t="str">
        <f t="shared" si="60"/>
        <v/>
      </c>
    </row>
    <row r="2967" spans="1:48" ht="14.65" thickBot="1" x14ac:dyDescent="0.5">
      <c r="A2967" s="30" t="s">
        <v>4</v>
      </c>
      <c r="B2967" s="59" t="s">
        <v>5</v>
      </c>
      <c r="C2967" s="7" t="s">
        <v>6</v>
      </c>
      <c r="D2967" s="7" t="s">
        <v>7</v>
      </c>
      <c r="E2967" s="7" t="s">
        <v>6</v>
      </c>
      <c r="F2967" s="7" t="s">
        <v>7</v>
      </c>
      <c r="G2967" s="7" t="s">
        <v>6</v>
      </c>
      <c r="H2967" s="7" t="s">
        <v>7</v>
      </c>
      <c r="I2967" s="18" t="s">
        <v>2473</v>
      </c>
      <c r="J2967" s="18" t="s">
        <v>2473</v>
      </c>
      <c r="K2967" s="18" t="s">
        <v>2473</v>
      </c>
      <c r="AU2967" s="6"/>
      <c r="AV2967" s="6" t="str">
        <f t="shared" si="60"/>
        <v/>
      </c>
    </row>
    <row r="2968" spans="1:48" ht="14.65" thickBot="1" x14ac:dyDescent="0.5">
      <c r="A2968" s="36" t="s">
        <v>8</v>
      </c>
      <c r="B2968" s="3" t="s">
        <v>9</v>
      </c>
      <c r="C2968" s="4"/>
      <c r="D2968" s="4"/>
      <c r="E2968" s="4"/>
      <c r="F2968" s="4"/>
      <c r="G2968" s="4"/>
      <c r="H2968" s="4"/>
      <c r="I2968" s="18" t="s">
        <v>2473</v>
      </c>
      <c r="J2968" s="18" t="s">
        <v>2473</v>
      </c>
      <c r="K2968" s="18" t="s">
        <v>2473</v>
      </c>
      <c r="AU2968" s="6"/>
      <c r="AV2968" s="6" t="str">
        <f t="shared" si="60"/>
        <v/>
      </c>
    </row>
    <row r="2969" spans="1:48" ht="14.65" thickBot="1" x14ac:dyDescent="0.5">
      <c r="A2969" s="36" t="s">
        <v>181</v>
      </c>
      <c r="B2969" s="3" t="s">
        <v>2005</v>
      </c>
      <c r="C2969" s="4"/>
      <c r="D2969" s="4"/>
      <c r="E2969" s="4"/>
      <c r="F2969" s="4"/>
      <c r="G2969" s="4"/>
      <c r="H2969" s="4"/>
      <c r="I2969" s="18" t="s">
        <v>2473</v>
      </c>
      <c r="J2969" s="18" t="s">
        <v>2473</v>
      </c>
      <c r="K2969" s="18" t="s">
        <v>2473</v>
      </c>
      <c r="AU2969" s="6"/>
      <c r="AV2969" s="6" t="str">
        <f t="shared" ref="AV2969:AV3036" si="63">IF(A2969&lt;&gt;"",IF(T2969&lt;&gt;"",IF(LEFT(R2969,3)="Has",IF(TRIM(A2969)&lt;&gt;T2969,"ERROR","OK"),""),""),"")</f>
        <v/>
      </c>
    </row>
    <row r="2970" spans="1:48" ht="14.65" thickBot="1" x14ac:dyDescent="0.5">
      <c r="A2970" s="35" t="s">
        <v>33</v>
      </c>
      <c r="B2970" s="3" t="s">
        <v>183</v>
      </c>
      <c r="C2970" s="4"/>
      <c r="D2970" s="4"/>
      <c r="E2970" s="4"/>
      <c r="F2970" s="4"/>
      <c r="G2970" s="4"/>
      <c r="H2970" s="4"/>
      <c r="I2970" s="18" t="s">
        <v>2473</v>
      </c>
      <c r="J2970" s="18" t="s">
        <v>2473</v>
      </c>
      <c r="K2970" s="18" t="s">
        <v>2473</v>
      </c>
      <c r="AU2970" s="6"/>
      <c r="AV2970" s="6" t="str">
        <f t="shared" si="63"/>
        <v/>
      </c>
    </row>
    <row r="2971" spans="1:48" ht="14.65" thickBot="1" x14ac:dyDescent="0.5">
      <c r="A2971" s="36" t="s">
        <v>30</v>
      </c>
      <c r="B2971" s="3" t="s">
        <v>2006</v>
      </c>
      <c r="C2971" s="4"/>
      <c r="D2971" s="4"/>
      <c r="E2971" s="4"/>
      <c r="F2971" s="4"/>
      <c r="G2971" s="4"/>
      <c r="H2971" s="4"/>
      <c r="I2971" s="18" t="s">
        <v>2473</v>
      </c>
      <c r="J2971" s="18" t="s">
        <v>2473</v>
      </c>
      <c r="K2971" s="18" t="s">
        <v>2473</v>
      </c>
      <c r="AU2971" s="6"/>
      <c r="AV2971" s="6" t="str">
        <f t="shared" si="63"/>
        <v/>
      </c>
    </row>
    <row r="2972" spans="1:48" ht="14.65" thickBot="1" x14ac:dyDescent="0.5">
      <c r="A2972" s="36" t="s">
        <v>2007</v>
      </c>
      <c r="B2972" s="3" t="s">
        <v>2008</v>
      </c>
      <c r="C2972" s="4" t="s">
        <v>10</v>
      </c>
      <c r="D2972" s="4"/>
      <c r="E2972" s="4" t="s">
        <v>10</v>
      </c>
      <c r="F2972" s="4"/>
      <c r="G2972" s="4" t="s">
        <v>10</v>
      </c>
      <c r="H2972" s="4"/>
      <c r="I2972" s="18" t="s">
        <v>2473</v>
      </c>
      <c r="J2972" s="18" t="s">
        <v>2473</v>
      </c>
      <c r="K2972" s="18" t="s">
        <v>2473</v>
      </c>
      <c r="AU2972" s="6"/>
      <c r="AV2972" s="6" t="str">
        <f t="shared" si="63"/>
        <v/>
      </c>
    </row>
    <row r="2973" spans="1:48" ht="14.65" thickBot="1" x14ac:dyDescent="0.5">
      <c r="A2973" s="36" t="s">
        <v>897</v>
      </c>
      <c r="B2973" s="3" t="s">
        <v>2009</v>
      </c>
      <c r="C2973" s="4" t="s">
        <v>10</v>
      </c>
      <c r="D2973" s="4"/>
      <c r="E2973" s="4" t="s">
        <v>10</v>
      </c>
      <c r="F2973" s="4"/>
      <c r="G2973" s="4" t="s">
        <v>10</v>
      </c>
      <c r="H2973" s="4"/>
      <c r="I2973" s="18" t="s">
        <v>2473</v>
      </c>
      <c r="J2973" s="18" t="s">
        <v>2473</v>
      </c>
      <c r="K2973" s="18" t="s">
        <v>2473</v>
      </c>
      <c r="AU2973" s="6"/>
      <c r="AV2973" s="6" t="str">
        <f t="shared" si="63"/>
        <v/>
      </c>
    </row>
    <row r="2974" spans="1:48" ht="23.65" thickBot="1" x14ac:dyDescent="0.5">
      <c r="A2974" s="36" t="s">
        <v>75</v>
      </c>
      <c r="B2974" s="3" t="s">
        <v>2010</v>
      </c>
      <c r="C2974" s="4"/>
      <c r="D2974" s="4"/>
      <c r="E2974" s="4"/>
      <c r="F2974" s="4"/>
      <c r="G2974" s="4"/>
      <c r="H2974" s="4"/>
      <c r="I2974" s="18" t="s">
        <v>2473</v>
      </c>
      <c r="J2974" s="18" t="s">
        <v>2473</v>
      </c>
      <c r="K2974" s="18" t="s">
        <v>2473</v>
      </c>
      <c r="AU2974" s="6"/>
      <c r="AV2974" s="6" t="str">
        <f t="shared" si="63"/>
        <v/>
      </c>
    </row>
    <row r="2975" spans="1:48" ht="23.65" thickBot="1" x14ac:dyDescent="0.5">
      <c r="A2975" s="35" t="s">
        <v>77</v>
      </c>
      <c r="B2975" s="3" t="s">
        <v>2011</v>
      </c>
      <c r="C2975" s="4"/>
      <c r="D2975" s="4"/>
      <c r="E2975" s="4"/>
      <c r="F2975" s="4"/>
      <c r="G2975" s="4"/>
      <c r="H2975" s="4"/>
      <c r="I2975" s="18" t="s">
        <v>2473</v>
      </c>
      <c r="J2975" s="18" t="s">
        <v>2473</v>
      </c>
      <c r="K2975" s="18" t="s">
        <v>2473</v>
      </c>
      <c r="AU2975" s="6"/>
      <c r="AV2975" s="6" t="str">
        <f t="shared" si="63"/>
        <v/>
      </c>
    </row>
    <row r="2976" spans="1:48" ht="14.65" thickBot="1" x14ac:dyDescent="0.5">
      <c r="A2976" s="35" t="s">
        <v>43</v>
      </c>
      <c r="B2976" s="3" t="s">
        <v>79</v>
      </c>
      <c r="C2976" s="4"/>
      <c r="D2976" s="4"/>
      <c r="E2976" s="4"/>
      <c r="F2976" s="4"/>
      <c r="G2976" s="4"/>
      <c r="H2976" s="4"/>
      <c r="I2976" s="18" t="s">
        <v>2473</v>
      </c>
      <c r="J2976" s="18" t="s">
        <v>2473</v>
      </c>
      <c r="K2976" s="18" t="s">
        <v>2473</v>
      </c>
      <c r="AU2976" s="6"/>
      <c r="AV2976" s="6" t="str">
        <f t="shared" si="63"/>
        <v/>
      </c>
    </row>
    <row r="2977" spans="1:48" ht="14.65" thickBot="1" x14ac:dyDescent="0.5">
      <c r="A2977" s="35" t="s">
        <v>59</v>
      </c>
      <c r="B2977" s="3" t="s">
        <v>60</v>
      </c>
      <c r="C2977" s="4"/>
      <c r="D2977" s="4"/>
      <c r="E2977" s="4"/>
      <c r="F2977" s="4"/>
      <c r="G2977" s="4"/>
      <c r="H2977" s="4"/>
      <c r="I2977" s="18" t="s">
        <v>2473</v>
      </c>
      <c r="J2977" s="18" t="s">
        <v>2473</v>
      </c>
      <c r="K2977" s="18" t="s">
        <v>2473</v>
      </c>
      <c r="AU2977" s="6"/>
      <c r="AV2977" s="6" t="str">
        <f t="shared" si="63"/>
        <v/>
      </c>
    </row>
    <row r="2978" spans="1:48" ht="46.9" thickBot="1" x14ac:dyDescent="0.5">
      <c r="A2978" s="35" t="s">
        <v>2012</v>
      </c>
      <c r="B2978" s="3" t="s">
        <v>4145</v>
      </c>
      <c r="C2978" s="4"/>
      <c r="D2978" s="4"/>
      <c r="E2978" s="4"/>
      <c r="F2978" s="4"/>
      <c r="G2978" s="4"/>
      <c r="H2978" s="4"/>
      <c r="I2978" s="18" t="s">
        <v>2473</v>
      </c>
      <c r="J2978" s="18" t="s">
        <v>2473</v>
      </c>
      <c r="K2978" s="18" t="s">
        <v>2473</v>
      </c>
      <c r="AU2978" s="140" t="s">
        <v>4146</v>
      </c>
      <c r="AV2978" s="6" t="str">
        <f t="shared" si="63"/>
        <v/>
      </c>
    </row>
    <row r="2979" spans="1:48" ht="14.65" thickBot="1" x14ac:dyDescent="0.5">
      <c r="A2979" s="35" t="s">
        <v>43</v>
      </c>
      <c r="B2979" s="3" t="s">
        <v>121</v>
      </c>
      <c r="C2979" s="4"/>
      <c r="D2979" s="4"/>
      <c r="E2979" s="4"/>
      <c r="F2979" s="4"/>
      <c r="G2979" s="4"/>
      <c r="H2979" s="4"/>
      <c r="I2979" s="18" t="s">
        <v>2473</v>
      </c>
      <c r="J2979" s="18" t="s">
        <v>2473</v>
      </c>
      <c r="K2979" s="18" t="s">
        <v>2473</v>
      </c>
      <c r="AU2979" s="6"/>
      <c r="AV2979" s="6" t="str">
        <f t="shared" si="63"/>
        <v/>
      </c>
    </row>
    <row r="2980" spans="1:48" ht="14.65" thickBot="1" x14ac:dyDescent="0.5">
      <c r="A2980" s="36" t="s">
        <v>99</v>
      </c>
      <c r="B2980" s="3" t="s">
        <v>2013</v>
      </c>
      <c r="C2980" s="4" t="s">
        <v>10</v>
      </c>
      <c r="D2980" s="4"/>
      <c r="E2980" s="4" t="s">
        <v>10</v>
      </c>
      <c r="F2980" s="4"/>
      <c r="G2980" s="4" t="s">
        <v>10</v>
      </c>
      <c r="H2980" s="4"/>
      <c r="I2980" s="18" t="s">
        <v>2473</v>
      </c>
      <c r="J2980" s="18" t="s">
        <v>2473</v>
      </c>
      <c r="K2980" s="18" t="s">
        <v>2473</v>
      </c>
      <c r="AU2980" s="6"/>
      <c r="AV2980" s="6" t="str">
        <f t="shared" si="63"/>
        <v/>
      </c>
    </row>
    <row r="2981" spans="1:48" ht="14.65" thickBot="1" x14ac:dyDescent="0.5">
      <c r="A2981" s="36" t="s">
        <v>114</v>
      </c>
      <c r="B2981" s="3" t="s">
        <v>2014</v>
      </c>
      <c r="C2981" s="4" t="s">
        <v>10</v>
      </c>
      <c r="D2981" s="4"/>
      <c r="E2981" s="4" t="s">
        <v>10</v>
      </c>
      <c r="F2981" s="4"/>
      <c r="G2981" s="4" t="s">
        <v>10</v>
      </c>
      <c r="H2981" s="4"/>
      <c r="I2981" s="18" t="s">
        <v>2473</v>
      </c>
      <c r="J2981" s="18" t="s">
        <v>2473</v>
      </c>
      <c r="K2981" s="18" t="s">
        <v>2473</v>
      </c>
      <c r="AU2981" s="6"/>
      <c r="AV2981" s="6" t="str">
        <f t="shared" si="63"/>
        <v/>
      </c>
    </row>
    <row r="2982" spans="1:48" ht="14.65" thickBot="1" x14ac:dyDescent="0.5">
      <c r="A2982" s="36" t="s">
        <v>244</v>
      </c>
      <c r="B2982" s="3" t="s">
        <v>2015</v>
      </c>
      <c r="C2982" s="4" t="s">
        <v>10</v>
      </c>
      <c r="D2982" s="4"/>
      <c r="E2982" s="4" t="s">
        <v>10</v>
      </c>
      <c r="F2982" s="4"/>
      <c r="G2982" s="4" t="s">
        <v>10</v>
      </c>
      <c r="H2982" s="4"/>
      <c r="I2982" s="18" t="s">
        <v>2473</v>
      </c>
      <c r="J2982" s="18" t="s">
        <v>2473</v>
      </c>
      <c r="K2982" s="18" t="s">
        <v>2473</v>
      </c>
      <c r="AU2982" s="6"/>
      <c r="AV2982" s="6" t="str">
        <f t="shared" si="63"/>
        <v/>
      </c>
    </row>
    <row r="2983" spans="1:48" ht="35.25" thickBot="1" x14ac:dyDescent="0.5">
      <c r="A2983" s="36" t="s">
        <v>120</v>
      </c>
      <c r="B2983" s="3" t="s">
        <v>4145</v>
      </c>
      <c r="C2983" s="4" t="s">
        <v>37</v>
      </c>
      <c r="D2983" s="4"/>
      <c r="E2983" s="4" t="s">
        <v>37</v>
      </c>
      <c r="F2983" s="4"/>
      <c r="G2983" s="4" t="s">
        <v>37</v>
      </c>
      <c r="H2983" s="4"/>
      <c r="I2983" s="18" t="s">
        <v>2473</v>
      </c>
      <c r="J2983" s="18" t="s">
        <v>2473</v>
      </c>
      <c r="K2983" s="18" t="s">
        <v>2473</v>
      </c>
      <c r="AU2983" s="140" t="s">
        <v>4147</v>
      </c>
      <c r="AV2983" s="6" t="str">
        <f t="shared" si="63"/>
        <v/>
      </c>
    </row>
    <row r="2984" spans="1:48" ht="14.65" thickBot="1" x14ac:dyDescent="0.5">
      <c r="A2984" s="38" t="s">
        <v>2016</v>
      </c>
      <c r="B2984" s="5" t="s">
        <v>2017</v>
      </c>
      <c r="C2984" s="4" t="s">
        <v>13</v>
      </c>
      <c r="D2984" s="4"/>
      <c r="E2984" s="4" t="s">
        <v>37</v>
      </c>
      <c r="F2984" s="4"/>
      <c r="G2984" s="4" t="s">
        <v>13</v>
      </c>
      <c r="H2984" s="4"/>
      <c r="I2984" s="18" t="s">
        <v>2473</v>
      </c>
      <c r="J2984" s="18" t="s">
        <v>2473</v>
      </c>
      <c r="K2984" s="18" t="s">
        <v>2473</v>
      </c>
      <c r="AU2984" s="6"/>
      <c r="AV2984" s="6" t="str">
        <f t="shared" si="63"/>
        <v/>
      </c>
    </row>
    <row r="2985" spans="1:48" ht="14.65" thickBot="1" x14ac:dyDescent="0.5">
      <c r="A2985" s="37" t="s">
        <v>2018</v>
      </c>
      <c r="B2985" s="5" t="s">
        <v>2019</v>
      </c>
      <c r="C2985" s="4" t="s">
        <v>13</v>
      </c>
      <c r="D2985" s="4"/>
      <c r="E2985" s="4" t="s">
        <v>13</v>
      </c>
      <c r="F2985" s="4"/>
      <c r="G2985" s="4" t="s">
        <v>13</v>
      </c>
      <c r="H2985" s="4"/>
      <c r="I2985" s="18" t="s">
        <v>2473</v>
      </c>
      <c r="J2985" s="18" t="s">
        <v>2473</v>
      </c>
      <c r="K2985" s="18" t="s">
        <v>2473</v>
      </c>
      <c r="AU2985" s="6"/>
      <c r="AV2985" s="6" t="str">
        <f t="shared" si="63"/>
        <v/>
      </c>
    </row>
    <row r="2986" spans="1:48" ht="14.65" thickBot="1" x14ac:dyDescent="0.5">
      <c r="A2986" s="37" t="s">
        <v>2020</v>
      </c>
      <c r="B2986" s="5" t="s">
        <v>2021</v>
      </c>
      <c r="C2986" s="4" t="s">
        <v>10</v>
      </c>
      <c r="D2986" s="4"/>
      <c r="E2986" s="4" t="s">
        <v>10</v>
      </c>
      <c r="F2986" s="4"/>
      <c r="G2986" s="4" t="s">
        <v>10</v>
      </c>
      <c r="H2986" s="4"/>
      <c r="I2986" s="18" t="s">
        <v>2473</v>
      </c>
      <c r="J2986" s="18" t="s">
        <v>2473</v>
      </c>
      <c r="K2986" s="18" t="s">
        <v>2473</v>
      </c>
      <c r="AU2986" s="6"/>
      <c r="AV2986" s="6" t="str">
        <f t="shared" si="63"/>
        <v/>
      </c>
    </row>
    <row r="2987" spans="1:48" ht="14.65" thickBot="1" x14ac:dyDescent="0.5">
      <c r="A2987" s="37" t="s">
        <v>2022</v>
      </c>
      <c r="B2987" s="5" t="s">
        <v>2023</v>
      </c>
      <c r="C2987" s="4" t="s">
        <v>10</v>
      </c>
      <c r="D2987" s="4"/>
      <c r="E2987" s="4" t="s">
        <v>10</v>
      </c>
      <c r="F2987" s="4"/>
      <c r="G2987" s="4" t="s">
        <v>10</v>
      </c>
      <c r="H2987" s="4"/>
      <c r="I2987" s="18" t="s">
        <v>2473</v>
      </c>
      <c r="J2987" s="18" t="s">
        <v>2473</v>
      </c>
      <c r="K2987" s="18" t="s">
        <v>2473</v>
      </c>
      <c r="AU2987" s="6"/>
      <c r="AV2987" s="6" t="str">
        <f t="shared" si="63"/>
        <v/>
      </c>
    </row>
    <row r="2988" spans="1:48" ht="14.65" thickBot="1" x14ac:dyDescent="0.5">
      <c r="A2988" s="37" t="s">
        <v>59</v>
      </c>
      <c r="B2988" s="3" t="s">
        <v>60</v>
      </c>
      <c r="C2988" s="4"/>
      <c r="D2988" s="4"/>
      <c r="E2988" s="4"/>
      <c r="F2988" s="4"/>
      <c r="G2988" s="4"/>
      <c r="H2988" s="4"/>
      <c r="I2988" s="18" t="s">
        <v>2473</v>
      </c>
      <c r="J2988" s="18" t="s">
        <v>2473</v>
      </c>
      <c r="K2988" s="18" t="s">
        <v>2473</v>
      </c>
      <c r="AU2988" s="6"/>
      <c r="AV2988" s="6" t="str">
        <f t="shared" si="63"/>
        <v/>
      </c>
    </row>
    <row r="2989" spans="1:48" ht="14.65" thickBot="1" x14ac:dyDescent="0.5">
      <c r="A2989" s="37" t="s">
        <v>2024</v>
      </c>
      <c r="B2989" s="5" t="s">
        <v>2025</v>
      </c>
      <c r="C2989" s="4" t="s">
        <v>10</v>
      </c>
      <c r="D2989" s="4"/>
      <c r="E2989" s="4" t="s">
        <v>10</v>
      </c>
      <c r="F2989" s="4"/>
      <c r="G2989" s="4" t="s">
        <v>10</v>
      </c>
      <c r="H2989" s="4"/>
      <c r="I2989" s="18" t="s">
        <v>2473</v>
      </c>
      <c r="J2989" s="18" t="s">
        <v>2473</v>
      </c>
      <c r="K2989" s="18" t="s">
        <v>2473</v>
      </c>
      <c r="AU2989" s="6"/>
      <c r="AV2989" s="6" t="str">
        <f t="shared" si="63"/>
        <v/>
      </c>
    </row>
    <row r="2990" spans="1:48" ht="14.65" thickBot="1" x14ac:dyDescent="0.5">
      <c r="A2990" s="36" t="s">
        <v>136</v>
      </c>
      <c r="B2990" s="3" t="s">
        <v>2026</v>
      </c>
      <c r="C2990" s="4"/>
      <c r="D2990" s="4"/>
      <c r="E2990" s="4"/>
      <c r="F2990" s="4"/>
      <c r="G2990" s="4"/>
      <c r="H2990" s="4"/>
      <c r="I2990" s="18" t="s">
        <v>2473</v>
      </c>
      <c r="J2990" s="18" t="s">
        <v>2473</v>
      </c>
      <c r="K2990" s="18" t="s">
        <v>2473</v>
      </c>
      <c r="AU2990" s="6"/>
      <c r="AV2990" s="6" t="str">
        <f t="shared" si="63"/>
        <v/>
      </c>
    </row>
    <row r="2991" spans="1:48" ht="14.65" thickBot="1" x14ac:dyDescent="0.5">
      <c r="A2991" s="36" t="s">
        <v>140</v>
      </c>
      <c r="B2991" s="3" t="s">
        <v>2027</v>
      </c>
      <c r="C2991" s="4" t="s">
        <v>10</v>
      </c>
      <c r="D2991" s="4"/>
      <c r="E2991" s="4" t="s">
        <v>10</v>
      </c>
      <c r="F2991" s="4"/>
      <c r="G2991" s="4" t="s">
        <v>10</v>
      </c>
      <c r="H2991" s="4"/>
      <c r="I2991" s="18" t="s">
        <v>2473</v>
      </c>
      <c r="J2991" s="18" t="s">
        <v>2473</v>
      </c>
      <c r="K2991" s="18" t="s">
        <v>2473</v>
      </c>
      <c r="AU2991" s="6"/>
      <c r="AV2991" s="6" t="str">
        <f t="shared" si="63"/>
        <v/>
      </c>
    </row>
    <row r="2992" spans="1:48" ht="105.75" thickBot="1" x14ac:dyDescent="0.5">
      <c r="A2992" s="36" t="s">
        <v>145</v>
      </c>
      <c r="B2992" s="3" t="s">
        <v>3968</v>
      </c>
      <c r="C2992" s="4" t="s">
        <v>10</v>
      </c>
      <c r="D2992" s="4"/>
      <c r="E2992" s="4" t="s">
        <v>10</v>
      </c>
      <c r="F2992" s="4"/>
      <c r="G2992" s="4" t="s">
        <v>10</v>
      </c>
      <c r="H2992" s="4"/>
      <c r="I2992" s="18" t="s">
        <v>2473</v>
      </c>
      <c r="J2992" s="18" t="s">
        <v>2473</v>
      </c>
      <c r="K2992" s="18" t="s">
        <v>2473</v>
      </c>
      <c r="AS2992" s="206" t="s">
        <v>5861</v>
      </c>
      <c r="AU2992" s="6"/>
      <c r="AV2992" s="6" t="str">
        <f t="shared" si="63"/>
        <v/>
      </c>
    </row>
    <row r="2993" spans="1:48" ht="47.65" thickBot="1" x14ac:dyDescent="0.5">
      <c r="A2993" s="35" t="s">
        <v>5361</v>
      </c>
      <c r="B2993" s="3" t="s">
        <v>5352</v>
      </c>
      <c r="C2993" s="4" t="s">
        <v>10</v>
      </c>
      <c r="D2993" s="4"/>
      <c r="E2993" s="4" t="s">
        <v>10</v>
      </c>
      <c r="F2993" s="4"/>
      <c r="G2993" s="4" t="s">
        <v>10</v>
      </c>
      <c r="H2993" s="4"/>
      <c r="I2993" s="18" t="s">
        <v>2473</v>
      </c>
      <c r="J2993" s="18" t="s">
        <v>2473</v>
      </c>
      <c r="K2993" s="18" t="s">
        <v>2473</v>
      </c>
      <c r="Q2993" s="131"/>
      <c r="R2993" s="131"/>
      <c r="S2993" s="131"/>
      <c r="T2993" s="131"/>
      <c r="U2993" s="131"/>
      <c r="V2993" s="131"/>
      <c r="W2993" s="131"/>
      <c r="X2993" s="131"/>
      <c r="AS2993" s="139" t="s">
        <v>5355</v>
      </c>
      <c r="AU2993" s="6"/>
      <c r="AV2993" s="6"/>
    </row>
    <row r="2994" spans="1:48" ht="82.5" thickBot="1" x14ac:dyDescent="0.5">
      <c r="A2994" s="35" t="s">
        <v>5360</v>
      </c>
      <c r="B2994" s="3" t="s">
        <v>5353</v>
      </c>
      <c r="C2994" s="4"/>
      <c r="D2994" s="4"/>
      <c r="E2994" s="4"/>
      <c r="F2994" s="4"/>
      <c r="G2994" s="4"/>
      <c r="H2994" s="4"/>
      <c r="I2994" s="18" t="s">
        <v>2473</v>
      </c>
      <c r="J2994" s="18" t="s">
        <v>2473</v>
      </c>
      <c r="K2994" s="18" t="s">
        <v>2473</v>
      </c>
      <c r="Q2994" s="131"/>
      <c r="R2994" s="131"/>
      <c r="S2994" s="131"/>
      <c r="T2994" s="131"/>
      <c r="U2994" s="131"/>
      <c r="V2994" s="131"/>
      <c r="W2994" s="131"/>
      <c r="X2994" s="131"/>
      <c r="AS2994" s="139" t="s">
        <v>5356</v>
      </c>
      <c r="AU2994" s="6"/>
      <c r="AV2994" s="6"/>
    </row>
    <row r="2995" spans="1:48" x14ac:dyDescent="0.45">
      <c r="A2995" s="33" t="s">
        <v>2028</v>
      </c>
      <c r="I2995" s="18" t="s">
        <v>2473</v>
      </c>
      <c r="J2995" s="18" t="s">
        <v>2473</v>
      </c>
      <c r="K2995" s="18" t="s">
        <v>2473</v>
      </c>
      <c r="AU2995" s="6"/>
      <c r="AV2995" s="6" t="str">
        <f t="shared" si="63"/>
        <v/>
      </c>
    </row>
    <row r="2996" spans="1:48" x14ac:dyDescent="0.45">
      <c r="A2996" s="34" t="s">
        <v>2029</v>
      </c>
      <c r="I2996" s="18" t="s">
        <v>2473</v>
      </c>
      <c r="J2996" s="18" t="s">
        <v>2473</v>
      </c>
      <c r="K2996" s="18" t="s">
        <v>2473</v>
      </c>
      <c r="AU2996" s="6"/>
      <c r="AV2996" s="6" t="str">
        <f t="shared" si="63"/>
        <v/>
      </c>
    </row>
    <row r="2997" spans="1:48" x14ac:dyDescent="0.45">
      <c r="A2997" s="34" t="s">
        <v>2030</v>
      </c>
      <c r="I2997" s="18" t="s">
        <v>2473</v>
      </c>
      <c r="J2997" s="18" t="s">
        <v>2473</v>
      </c>
      <c r="K2997" s="18" t="s">
        <v>2473</v>
      </c>
      <c r="AU2997" s="6"/>
      <c r="AV2997" s="6" t="str">
        <f t="shared" si="63"/>
        <v/>
      </c>
    </row>
    <row r="2998" spans="1:48" s="79" customFormat="1" x14ac:dyDescent="0.45">
      <c r="A2998" s="75"/>
      <c r="B2998" s="76"/>
      <c r="C2998" s="77"/>
      <c r="D2998" s="77"/>
      <c r="E2998" s="77"/>
      <c r="F2998" s="77"/>
      <c r="G2998" s="77"/>
      <c r="H2998" s="77"/>
      <c r="I2998" s="77"/>
      <c r="J2998" s="77"/>
      <c r="K2998" s="77"/>
      <c r="L2998" s="77"/>
      <c r="M2998" s="148"/>
      <c r="N2998" s="78"/>
      <c r="O2998" s="78"/>
      <c r="P2998" s="78"/>
      <c r="Q2998" s="78"/>
      <c r="R2998" s="78"/>
      <c r="S2998" s="78"/>
      <c r="T2998" s="78"/>
      <c r="U2998" s="78"/>
      <c r="V2998" s="78"/>
      <c r="W2998" s="78"/>
      <c r="X2998" s="78"/>
      <c r="Y2998" s="148"/>
      <c r="Z2998" s="78"/>
      <c r="AA2998" s="78"/>
      <c r="AB2998" s="78"/>
      <c r="AC2998" s="78"/>
      <c r="AD2998" s="78"/>
      <c r="AE2998" s="156"/>
      <c r="AF2998" s="156"/>
      <c r="AG2998" s="78"/>
      <c r="AH2998" s="78"/>
      <c r="AI2998" s="78"/>
      <c r="AJ2998" s="78"/>
      <c r="AK2998" s="78"/>
      <c r="AL2998" s="78"/>
      <c r="AM2998" s="78"/>
      <c r="AN2998" s="78"/>
      <c r="AO2998" s="78"/>
      <c r="AP2998" s="78"/>
      <c r="AQ2998" s="78"/>
      <c r="AR2998" s="286"/>
      <c r="AS2998" s="78"/>
      <c r="AT2998" s="78"/>
      <c r="AU2998" s="8"/>
      <c r="AV2998" s="6" t="str">
        <f t="shared" si="63"/>
        <v/>
      </c>
    </row>
    <row r="2999" spans="1:48" x14ac:dyDescent="0.45">
      <c r="A2999" s="27" t="s">
        <v>3396</v>
      </c>
      <c r="AU2999" s="6"/>
      <c r="AV2999" s="6" t="str">
        <f t="shared" si="63"/>
        <v/>
      </c>
    </row>
    <row r="3000" spans="1:48" x14ac:dyDescent="0.45">
      <c r="A3000" s="323" t="s">
        <v>3099</v>
      </c>
      <c r="B3000" s="324"/>
      <c r="C3000" s="324"/>
      <c r="D3000" s="324"/>
      <c r="E3000" s="324"/>
      <c r="F3000" s="324"/>
      <c r="G3000" s="101"/>
      <c r="H3000" s="101"/>
      <c r="AU3000" s="6"/>
      <c r="AV3000" s="6" t="str">
        <f t="shared" si="63"/>
        <v/>
      </c>
    </row>
    <row r="3001" spans="1:48" ht="14.65" thickBot="1" x14ac:dyDescent="0.5">
      <c r="A3001" s="28" t="s">
        <v>2031</v>
      </c>
      <c r="AA3001" s="183" t="s">
        <v>2322</v>
      </c>
      <c r="AB3001" s="183" t="s">
        <v>1697</v>
      </c>
      <c r="AC3001" s="183" t="s">
        <v>5</v>
      </c>
      <c r="AU3001" s="6"/>
      <c r="AV3001" s="6" t="str">
        <f t="shared" si="63"/>
        <v/>
      </c>
    </row>
    <row r="3002" spans="1:48" ht="70.150000000000006" thickBot="1" x14ac:dyDescent="0.5">
      <c r="A3002" s="309" t="s">
        <v>2032</v>
      </c>
      <c r="B3002" s="310"/>
      <c r="C3002" s="301" t="s">
        <v>1</v>
      </c>
      <c r="D3002" s="319"/>
      <c r="E3002" s="319"/>
      <c r="F3002" s="302"/>
      <c r="G3002" s="102"/>
      <c r="H3002" s="102"/>
      <c r="AA3002" s="183" t="str">
        <f>LEFT($A3002,FIND(" ",$A3002)-1)</f>
        <v>PCIeSlots</v>
      </c>
      <c r="AB3002" s="183" t="str">
        <f>MID($A3002,FIND("(",$A3002)+1,LEN($A3002)-FIND("(",$A3002)-1)</f>
        <v>1.0.0</v>
      </c>
      <c r="AC3002" s="101" t="str">
        <f>A3000</f>
        <v>The PCIeSlot resource represents the PCIe slots attached to a system.</v>
      </c>
      <c r="AU3002" s="6"/>
      <c r="AV3002" s="6" t="str">
        <f t="shared" si="63"/>
        <v/>
      </c>
    </row>
    <row r="3003" spans="1:48" ht="14.65" thickBot="1" x14ac:dyDescent="0.5">
      <c r="A3003" s="311"/>
      <c r="B3003" s="312"/>
      <c r="C3003" s="301" t="s">
        <v>2</v>
      </c>
      <c r="D3003" s="302"/>
      <c r="E3003" s="301" t="s">
        <v>3</v>
      </c>
      <c r="F3003" s="302"/>
      <c r="G3003" s="301" t="s">
        <v>2896</v>
      </c>
      <c r="H3003" s="302"/>
      <c r="AA3003" s="183" t="s">
        <v>2322</v>
      </c>
      <c r="AB3003" s="183" t="s">
        <v>1697</v>
      </c>
      <c r="AC3003" s="183" t="s">
        <v>5</v>
      </c>
      <c r="AU3003" s="6"/>
      <c r="AV3003" s="6" t="str">
        <f t="shared" si="63"/>
        <v/>
      </c>
    </row>
    <row r="3004" spans="1:48" ht="70.150000000000006" thickBot="1" x14ac:dyDescent="0.5">
      <c r="A3004" s="309" t="s">
        <v>3100</v>
      </c>
      <c r="B3004" s="310"/>
      <c r="C3004" s="301" t="s">
        <v>1</v>
      </c>
      <c r="D3004" s="319"/>
      <c r="E3004" s="319"/>
      <c r="F3004" s="302"/>
      <c r="G3004" s="102"/>
      <c r="H3004" s="102"/>
      <c r="AA3004" s="183" t="str">
        <f>LEFT($A3004,FIND(" ",$A3004)-1)</f>
        <v>PCIeSlots</v>
      </c>
      <c r="AB3004" s="183" t="str">
        <f>MID($A3004,FIND("(",$A3004)+1,LEN($A3004)-FIND("(",$A3004)-1)</f>
        <v>1.1.0</v>
      </c>
      <c r="AC3004" s="101" t="str">
        <f>AC3002</f>
        <v>The PCIeSlot resource represents the PCIe slots attached to a system.</v>
      </c>
      <c r="AU3004" s="6"/>
      <c r="AV3004" s="6" t="str">
        <f t="shared" si="63"/>
        <v/>
      </c>
    </row>
    <row r="3005" spans="1:48" ht="14.65" thickBot="1" x14ac:dyDescent="0.5">
      <c r="A3005" s="311"/>
      <c r="B3005" s="312"/>
      <c r="C3005" s="301" t="s">
        <v>2</v>
      </c>
      <c r="D3005" s="302"/>
      <c r="E3005" s="301" t="s">
        <v>3</v>
      </c>
      <c r="F3005" s="302"/>
      <c r="G3005" s="301" t="s">
        <v>2896</v>
      </c>
      <c r="H3005" s="302"/>
      <c r="AM3005" s="8" t="str">
        <f>C3005</f>
        <v>OSM-Redfish</v>
      </c>
      <c r="AN3005" s="8" t="str">
        <f>E3005</f>
        <v>OSM-RedfishBMC</v>
      </c>
      <c r="AO3005" s="8" t="str">
        <f>G3005</f>
        <v>OSM-RedfishDCN</v>
      </c>
      <c r="AU3005" s="6"/>
      <c r="AV3005" s="6" t="str">
        <f t="shared" si="63"/>
        <v/>
      </c>
    </row>
    <row r="3006" spans="1:48" ht="35.25" thickBot="1" x14ac:dyDescent="0.5">
      <c r="A3006" s="46" t="s">
        <v>2377</v>
      </c>
      <c r="B3006" s="47"/>
      <c r="C3006" s="303"/>
      <c r="D3006" s="304"/>
      <c r="E3006" s="303"/>
      <c r="F3006" s="304"/>
      <c r="G3006" s="303"/>
      <c r="H3006" s="304"/>
      <c r="AM3006" s="8" t="str">
        <f>IF(C3006&lt;&gt;"","CRQ-P5-"&amp;(AM$2+$AP3006*$AP$3),"")</f>
        <v/>
      </c>
      <c r="AN3006" s="8" t="str">
        <f>IF(E3006&lt;&gt;"","CRQ-P5-"&amp;(AN$2+$AP3006*$AP$3),"")</f>
        <v/>
      </c>
      <c r="AO3006" s="8" t="str">
        <f>IF(G3006&lt;&gt;"","CRQ-P5-"&amp;(AO$2+$AP3006*$AP$3),"")</f>
        <v/>
      </c>
      <c r="AP3006" s="8">
        <v>45</v>
      </c>
      <c r="AU3006" s="140" t="s">
        <v>5233</v>
      </c>
      <c r="AV3006" s="6" t="str">
        <f t="shared" si="63"/>
        <v/>
      </c>
    </row>
    <row r="3007" spans="1:48" ht="14.65" thickBot="1" x14ac:dyDescent="0.5">
      <c r="A3007" s="29" t="s">
        <v>3394</v>
      </c>
      <c r="B3007" s="9"/>
      <c r="C3007" s="305" t="str">
        <f>MID($A3002,FIND("(",$A3002)+1,5)</f>
        <v>1.0.0</v>
      </c>
      <c r="D3007" s="306"/>
      <c r="E3007" s="305" t="str">
        <f>MID($A3002,FIND("(",$A3002)+1,5)</f>
        <v>1.0.0</v>
      </c>
      <c r="F3007" s="306"/>
      <c r="G3007" s="305" t="str">
        <f>MID($A3002,FIND("(",$A3002)+1,5)</f>
        <v>1.0.0</v>
      </c>
      <c r="H3007" s="306"/>
      <c r="AU3007" s="6"/>
      <c r="AV3007" s="6" t="str">
        <f t="shared" si="63"/>
        <v/>
      </c>
    </row>
    <row r="3008" spans="1:48" ht="14.65" thickBot="1" x14ac:dyDescent="0.5">
      <c r="A3008" s="30" t="s">
        <v>4</v>
      </c>
      <c r="B3008" s="59" t="s">
        <v>5</v>
      </c>
      <c r="C3008" s="7" t="s">
        <v>6</v>
      </c>
      <c r="D3008" s="7" t="s">
        <v>7</v>
      </c>
      <c r="E3008" s="7" t="s">
        <v>6</v>
      </c>
      <c r="F3008" s="7" t="s">
        <v>7</v>
      </c>
      <c r="G3008" s="7" t="s">
        <v>6</v>
      </c>
      <c r="H3008" s="7" t="s">
        <v>7</v>
      </c>
      <c r="AU3008" s="6"/>
      <c r="AV3008" s="6" t="str">
        <f t="shared" si="63"/>
        <v/>
      </c>
    </row>
    <row r="3009" spans="1:48" ht="14.65" thickBot="1" x14ac:dyDescent="0.5">
      <c r="A3009" s="36" t="s">
        <v>8</v>
      </c>
      <c r="B3009" s="3" t="s">
        <v>9</v>
      </c>
      <c r="C3009" s="4"/>
      <c r="D3009" s="4"/>
      <c r="E3009" s="4"/>
      <c r="F3009" s="4"/>
      <c r="G3009" s="4"/>
      <c r="H3009" s="4"/>
      <c r="AU3009" s="6"/>
      <c r="AV3009" s="6" t="str">
        <f t="shared" si="63"/>
        <v/>
      </c>
    </row>
    <row r="3010" spans="1:48" ht="14.65" thickBot="1" x14ac:dyDescent="0.5">
      <c r="A3010" s="36" t="s">
        <v>3101</v>
      </c>
      <c r="B3010" s="3" t="s">
        <v>3102</v>
      </c>
      <c r="C3010" s="4"/>
      <c r="D3010" s="4"/>
      <c r="E3010" s="4"/>
      <c r="F3010" s="4"/>
      <c r="G3010" s="4"/>
      <c r="H3010" s="4"/>
      <c r="AU3010" s="6"/>
      <c r="AV3010" s="6" t="str">
        <f t="shared" si="63"/>
        <v/>
      </c>
    </row>
    <row r="3011" spans="1:48" ht="14.65" thickBot="1" x14ac:dyDescent="0.5">
      <c r="A3011" s="36" t="s">
        <v>2033</v>
      </c>
      <c r="B3011" s="3" t="s">
        <v>2034</v>
      </c>
      <c r="C3011" s="4"/>
      <c r="D3011" s="4"/>
      <c r="E3011" s="4"/>
      <c r="F3011" s="4"/>
      <c r="G3011" s="4"/>
      <c r="H3011" s="4"/>
      <c r="AU3011" s="6"/>
      <c r="AV3011" s="6" t="str">
        <f t="shared" si="63"/>
        <v/>
      </c>
    </row>
    <row r="3012" spans="1:48" ht="35.25" thickBot="1" x14ac:dyDescent="0.5">
      <c r="A3012" s="35" t="s">
        <v>2035</v>
      </c>
      <c r="B3012" s="3" t="s">
        <v>2036</v>
      </c>
      <c r="C3012" s="4"/>
      <c r="D3012" s="4"/>
      <c r="E3012" s="4"/>
      <c r="F3012" s="4"/>
      <c r="G3012" s="4"/>
      <c r="H3012" s="4"/>
      <c r="AU3012" s="140" t="s">
        <v>5233</v>
      </c>
      <c r="AV3012" s="6" t="str">
        <f t="shared" si="63"/>
        <v/>
      </c>
    </row>
    <row r="3013" spans="1:48" ht="14.65" thickBot="1" x14ac:dyDescent="0.5">
      <c r="A3013" s="35" t="s">
        <v>455</v>
      </c>
      <c r="B3013" s="3" t="s">
        <v>76</v>
      </c>
      <c r="C3013" s="4"/>
      <c r="D3013" s="4"/>
      <c r="E3013" s="4"/>
      <c r="F3013" s="4"/>
      <c r="G3013" s="4"/>
      <c r="H3013" s="4"/>
      <c r="AU3013" s="6"/>
      <c r="AV3013" s="6" t="str">
        <f t="shared" si="63"/>
        <v/>
      </c>
    </row>
    <row r="3014" spans="1:48" ht="14.65" thickBot="1" x14ac:dyDescent="0.5">
      <c r="A3014" s="35" t="s">
        <v>2037</v>
      </c>
      <c r="B3014" s="3" t="s">
        <v>60</v>
      </c>
      <c r="C3014" s="4"/>
      <c r="D3014" s="4"/>
      <c r="E3014" s="4"/>
      <c r="F3014" s="4"/>
      <c r="G3014" s="4"/>
      <c r="H3014" s="4"/>
      <c r="AU3014" s="6"/>
      <c r="AV3014" s="6" t="str">
        <f t="shared" si="63"/>
        <v/>
      </c>
    </row>
    <row r="3015" spans="1:48" ht="35.25" thickBot="1" x14ac:dyDescent="0.5">
      <c r="A3015" s="35" t="s">
        <v>2038</v>
      </c>
      <c r="B3015" s="3" t="s">
        <v>2039</v>
      </c>
      <c r="C3015" s="4"/>
      <c r="D3015" s="4"/>
      <c r="E3015" s="4"/>
      <c r="F3015" s="4"/>
      <c r="G3015" s="4"/>
      <c r="H3015" s="4"/>
      <c r="AU3015" s="140" t="s">
        <v>5233</v>
      </c>
      <c r="AV3015" s="6" t="str">
        <f t="shared" si="63"/>
        <v/>
      </c>
    </row>
    <row r="3016" spans="1:48" ht="14.65" thickBot="1" x14ac:dyDescent="0.5">
      <c r="A3016" s="35" t="s">
        <v>1994</v>
      </c>
      <c r="B3016" s="3" t="s">
        <v>364</v>
      </c>
      <c r="C3016" s="4"/>
      <c r="D3016" s="4"/>
      <c r="E3016" s="4"/>
      <c r="F3016" s="4"/>
      <c r="G3016" s="4"/>
      <c r="H3016" s="4"/>
      <c r="AU3016" s="6"/>
      <c r="AV3016" s="6" t="str">
        <f t="shared" si="63"/>
        <v/>
      </c>
    </row>
    <row r="3017" spans="1:48" ht="35.25" thickBot="1" x14ac:dyDescent="0.5">
      <c r="A3017" s="35" t="s">
        <v>459</v>
      </c>
      <c r="B3017" s="3" t="s">
        <v>2040</v>
      </c>
      <c r="C3017" s="4"/>
      <c r="D3017" s="4"/>
      <c r="E3017" s="4"/>
      <c r="F3017" s="4"/>
      <c r="G3017" s="4"/>
      <c r="H3017" s="4"/>
      <c r="AU3017" s="140" t="s">
        <v>5233</v>
      </c>
      <c r="AV3017" s="6" t="str">
        <f t="shared" si="63"/>
        <v/>
      </c>
    </row>
    <row r="3018" spans="1:48" ht="14.65" thickBot="1" x14ac:dyDescent="0.5">
      <c r="A3018" s="35" t="s">
        <v>59</v>
      </c>
      <c r="B3018" s="3" t="s">
        <v>60</v>
      </c>
      <c r="C3018" s="4"/>
      <c r="D3018" s="4"/>
      <c r="E3018" s="4"/>
      <c r="F3018" s="4"/>
      <c r="G3018" s="4"/>
      <c r="H3018" s="4"/>
      <c r="AU3018" s="6"/>
      <c r="AV3018" s="6" t="str">
        <f t="shared" si="63"/>
        <v/>
      </c>
    </row>
    <row r="3019" spans="1:48" ht="35.25" thickBot="1" x14ac:dyDescent="0.5">
      <c r="A3019" s="35" t="s">
        <v>2024</v>
      </c>
      <c r="B3019" s="3" t="s">
        <v>2041</v>
      </c>
      <c r="C3019" s="4"/>
      <c r="D3019" s="4"/>
      <c r="E3019" s="4"/>
      <c r="F3019" s="4"/>
      <c r="G3019" s="4"/>
      <c r="H3019" s="4"/>
      <c r="AU3019" s="140" t="s">
        <v>5233</v>
      </c>
      <c r="AV3019" s="6" t="str">
        <f t="shared" si="63"/>
        <v/>
      </c>
    </row>
    <row r="3020" spans="1:48" ht="35.25" thickBot="1" x14ac:dyDescent="0.5">
      <c r="A3020" s="35" t="s">
        <v>2042</v>
      </c>
      <c r="B3020" s="3" t="s">
        <v>2043</v>
      </c>
      <c r="C3020" s="4"/>
      <c r="D3020" s="4"/>
      <c r="E3020" s="4"/>
      <c r="F3020" s="4"/>
      <c r="G3020" s="4"/>
      <c r="H3020" s="4"/>
      <c r="AU3020" s="140" t="s">
        <v>5233</v>
      </c>
      <c r="AV3020" s="6" t="str">
        <f t="shared" si="63"/>
        <v/>
      </c>
    </row>
    <row r="3021" spans="1:48" ht="47.65" thickBot="1" x14ac:dyDescent="0.5">
      <c r="A3021" s="35" t="s">
        <v>69</v>
      </c>
      <c r="B3021" s="3" t="s">
        <v>450</v>
      </c>
      <c r="C3021" s="4"/>
      <c r="D3021" s="4"/>
      <c r="E3021" s="4"/>
      <c r="F3021" s="4"/>
      <c r="G3021" s="4"/>
      <c r="H3021" s="4"/>
      <c r="AS3021" s="139" t="s">
        <v>5364</v>
      </c>
      <c r="AU3021" s="140" t="s">
        <v>5233</v>
      </c>
      <c r="AV3021" s="6" t="str">
        <f t="shared" si="63"/>
        <v/>
      </c>
    </row>
    <row r="3022" spans="1:48" ht="47.65" thickBot="1" x14ac:dyDescent="0.5">
      <c r="A3022" s="35" t="s">
        <v>5358</v>
      </c>
      <c r="B3022" s="3" t="s">
        <v>5352</v>
      </c>
      <c r="C3022" s="4"/>
      <c r="D3022" s="4"/>
      <c r="E3022" s="4"/>
      <c r="F3022" s="4"/>
      <c r="G3022" s="4"/>
      <c r="H3022" s="4"/>
      <c r="Q3022" s="131"/>
      <c r="R3022" s="131"/>
      <c r="S3022" s="131"/>
      <c r="T3022" s="131"/>
      <c r="U3022" s="131"/>
      <c r="V3022" s="131"/>
      <c r="W3022" s="131"/>
      <c r="X3022" s="131"/>
      <c r="AS3022" s="139" t="s">
        <v>5364</v>
      </c>
      <c r="AU3022" s="6"/>
      <c r="AV3022" s="6"/>
    </row>
    <row r="3023" spans="1:48" ht="47.65" thickBot="1" x14ac:dyDescent="0.5">
      <c r="A3023" s="35" t="s">
        <v>5359</v>
      </c>
      <c r="B3023" s="3" t="s">
        <v>5353</v>
      </c>
      <c r="C3023" s="4"/>
      <c r="D3023" s="4"/>
      <c r="E3023" s="4"/>
      <c r="F3023" s="4"/>
      <c r="G3023" s="4"/>
      <c r="H3023" s="4"/>
      <c r="Q3023" s="131"/>
      <c r="R3023" s="131"/>
      <c r="S3023" s="131"/>
      <c r="T3023" s="131"/>
      <c r="U3023" s="131"/>
      <c r="V3023" s="131"/>
      <c r="W3023" s="131"/>
      <c r="X3023" s="131"/>
      <c r="AS3023" s="139" t="s">
        <v>5364</v>
      </c>
      <c r="AU3023" s="6"/>
      <c r="AV3023" s="6"/>
    </row>
    <row r="3024" spans="1:48" x14ac:dyDescent="0.45">
      <c r="A3024" s="33" t="s">
        <v>2044</v>
      </c>
      <c r="AU3024" s="6"/>
      <c r="AV3024" s="6" t="str">
        <f t="shared" si="63"/>
        <v/>
      </c>
    </row>
    <row r="3025" spans="1:48" x14ac:dyDescent="0.45">
      <c r="A3025" s="34" t="s">
        <v>2045</v>
      </c>
      <c r="AU3025" s="6"/>
      <c r="AV3025" s="6" t="str">
        <f t="shared" si="63"/>
        <v/>
      </c>
    </row>
    <row r="3026" spans="1:48" s="79" customFormat="1" x14ac:dyDescent="0.45">
      <c r="A3026" s="75"/>
      <c r="B3026" s="76"/>
      <c r="C3026" s="77"/>
      <c r="D3026" s="77"/>
      <c r="E3026" s="77"/>
      <c r="F3026" s="77"/>
      <c r="G3026" s="77"/>
      <c r="H3026" s="77"/>
      <c r="I3026" s="77"/>
      <c r="J3026" s="77"/>
      <c r="K3026" s="77"/>
      <c r="L3026" s="77"/>
      <c r="M3026" s="148"/>
      <c r="N3026" s="78"/>
      <c r="O3026" s="78"/>
      <c r="P3026" s="78"/>
      <c r="Q3026" s="78"/>
      <c r="R3026" s="78"/>
      <c r="S3026" s="78"/>
      <c r="T3026" s="78"/>
      <c r="U3026" s="78"/>
      <c r="V3026" s="78"/>
      <c r="W3026" s="78"/>
      <c r="X3026" s="78"/>
      <c r="Y3026" s="148"/>
      <c r="Z3026" s="78"/>
      <c r="AA3026" s="78"/>
      <c r="AB3026" s="78"/>
      <c r="AC3026" s="78"/>
      <c r="AD3026" s="78"/>
      <c r="AE3026" s="156"/>
      <c r="AF3026" s="156"/>
      <c r="AG3026" s="78"/>
      <c r="AH3026" s="78"/>
      <c r="AI3026" s="78"/>
      <c r="AJ3026" s="78"/>
      <c r="AK3026" s="78"/>
      <c r="AL3026" s="78"/>
      <c r="AM3026" s="78"/>
      <c r="AN3026" s="78"/>
      <c r="AO3026" s="78"/>
      <c r="AP3026" s="78"/>
      <c r="AQ3026" s="78"/>
      <c r="AR3026" s="286"/>
      <c r="AS3026" s="78"/>
      <c r="AT3026" s="78"/>
      <c r="AU3026" s="8"/>
      <c r="AV3026" s="6" t="str">
        <f t="shared" si="63"/>
        <v/>
      </c>
    </row>
    <row r="3027" spans="1:48" x14ac:dyDescent="0.45">
      <c r="A3027" s="27" t="s">
        <v>3078</v>
      </c>
      <c r="J3027" s="18" t="s">
        <v>2473</v>
      </c>
      <c r="K3027" s="18" t="s">
        <v>2473</v>
      </c>
      <c r="AU3027" s="6"/>
      <c r="AV3027" s="6" t="str">
        <f t="shared" si="63"/>
        <v/>
      </c>
    </row>
    <row r="3028" spans="1:48" x14ac:dyDescent="0.45">
      <c r="A3028" s="323" t="s">
        <v>3079</v>
      </c>
      <c r="B3028" s="324"/>
      <c r="C3028" s="324"/>
      <c r="D3028" s="324"/>
      <c r="E3028" s="324"/>
      <c r="F3028" s="324"/>
      <c r="G3028" s="101"/>
      <c r="H3028" s="101"/>
      <c r="J3028" s="18" t="s">
        <v>2473</v>
      </c>
      <c r="K3028" s="18" t="s">
        <v>2473</v>
      </c>
      <c r="AU3028" s="6"/>
      <c r="AV3028" s="6" t="str">
        <f t="shared" si="63"/>
        <v/>
      </c>
    </row>
    <row r="3029" spans="1:48" ht="14.65" thickBot="1" x14ac:dyDescent="0.5">
      <c r="A3029" s="28" t="s">
        <v>3080</v>
      </c>
      <c r="J3029" s="18" t="s">
        <v>2473</v>
      </c>
      <c r="K3029" s="18" t="s">
        <v>2473</v>
      </c>
      <c r="AA3029" s="183" t="s">
        <v>2322</v>
      </c>
      <c r="AB3029" s="183" t="s">
        <v>1697</v>
      </c>
      <c r="AC3029" s="183" t="s">
        <v>5</v>
      </c>
      <c r="AU3029" s="6"/>
      <c r="AV3029" s="6" t="str">
        <f t="shared" si="63"/>
        <v/>
      </c>
    </row>
    <row r="3030" spans="1:48" ht="93.4" thickBot="1" x14ac:dyDescent="0.5">
      <c r="A3030" s="309" t="s">
        <v>3082</v>
      </c>
      <c r="B3030" s="310"/>
      <c r="C3030" s="301" t="s">
        <v>1</v>
      </c>
      <c r="D3030" s="319"/>
      <c r="E3030" s="319"/>
      <c r="F3030" s="302"/>
      <c r="G3030" s="102"/>
      <c r="H3030" s="102"/>
      <c r="AA3030" s="183" t="str">
        <f>LEFT($A3030,FIND(" ",$A3030)-1)</f>
        <v>AccelerationFunction</v>
      </c>
      <c r="AB3030" s="183" t="str">
        <f>MID($A3030,FIND("(",$A3030)+1,LEN($A3030)-FIND("(",$A3030)-1)</f>
        <v>1.0.1</v>
      </c>
      <c r="AC3030" s="101" t="str">
        <f>A3028</f>
        <v>The AccelerationFunction resource represents the properties of a AccelerationFunction attached to a system.</v>
      </c>
      <c r="AU3030" s="6"/>
      <c r="AV3030" s="6" t="str">
        <f t="shared" si="63"/>
        <v/>
      </c>
    </row>
    <row r="3031" spans="1:48" ht="14.65" thickBot="1" x14ac:dyDescent="0.5">
      <c r="A3031" s="311"/>
      <c r="B3031" s="312"/>
      <c r="C3031" s="301" t="s">
        <v>2</v>
      </c>
      <c r="D3031" s="302"/>
      <c r="E3031" s="301" t="s">
        <v>3</v>
      </c>
      <c r="F3031" s="302"/>
      <c r="G3031" s="301" t="s">
        <v>2896</v>
      </c>
      <c r="H3031" s="302"/>
      <c r="AA3031" s="183" t="s">
        <v>2322</v>
      </c>
      <c r="AB3031" s="183" t="s">
        <v>1697</v>
      </c>
      <c r="AC3031" s="183" t="s">
        <v>5</v>
      </c>
      <c r="AM3031" s="8" t="str">
        <f>C3031</f>
        <v>OSM-Redfish</v>
      </c>
      <c r="AN3031" s="8" t="str">
        <f>E3031</f>
        <v>OSM-RedfishBMC</v>
      </c>
      <c r="AO3031" s="8" t="str">
        <f>G3031</f>
        <v>OSM-RedfishDCN</v>
      </c>
      <c r="AU3031" s="6"/>
      <c r="AV3031" s="6" t="str">
        <f t="shared" si="63"/>
        <v/>
      </c>
    </row>
    <row r="3032" spans="1:48" ht="93.4" thickBot="1" x14ac:dyDescent="0.5">
      <c r="A3032" s="46" t="s">
        <v>2377</v>
      </c>
      <c r="B3032" s="47"/>
      <c r="C3032" s="303" t="s">
        <v>37</v>
      </c>
      <c r="D3032" s="304"/>
      <c r="E3032" s="303" t="s">
        <v>37</v>
      </c>
      <c r="F3032" s="304"/>
      <c r="G3032" s="303" t="s">
        <v>37</v>
      </c>
      <c r="H3032" s="304"/>
      <c r="J3032" s="18" t="s">
        <v>2473</v>
      </c>
      <c r="K3032" s="18" t="s">
        <v>2473</v>
      </c>
      <c r="AA3032" s="183" t="e">
        <f>LEFT($A3032,FIND(" ",$A3032)-1)</f>
        <v>#VALUE!</v>
      </c>
      <c r="AB3032" s="183" t="e">
        <f>MID($A3032,FIND("(",$A3032)+1,LEN($A3032)-FIND("(",$A3032)-1)</f>
        <v>#VALUE!</v>
      </c>
      <c r="AC3032" s="101" t="str">
        <f>AC3030</f>
        <v>The AccelerationFunction resource represents the properties of a AccelerationFunction attached to a system.</v>
      </c>
      <c r="AM3032" s="8" t="str">
        <f>IF(C3032&lt;&gt;"","CRQ-P5-"&amp;(AM$2+$AP3032*$AP$3),"")</f>
        <v>CRQ-P5-1004</v>
      </c>
      <c r="AN3032" s="8" t="str">
        <f>IF(E3032&lt;&gt;"","CRQ-P5-"&amp;(AN$2+$AP3032*$AP$3),"")</f>
        <v>CRQ-P5-1304</v>
      </c>
      <c r="AO3032" s="8" t="str">
        <f>IF(G3032&lt;&gt;"","CRQ-P5-"&amp;(AO$2+$AP3032*$AP$3),"")</f>
        <v>CRQ-P5-1604</v>
      </c>
      <c r="AP3032" s="8">
        <v>1</v>
      </c>
      <c r="AU3032" s="6"/>
      <c r="AV3032" s="6" t="str">
        <f t="shared" si="63"/>
        <v/>
      </c>
    </row>
    <row r="3033" spans="1:48" ht="14.65" thickBot="1" x14ac:dyDescent="0.5">
      <c r="A3033" s="29" t="s">
        <v>3394</v>
      </c>
      <c r="B3033" s="9"/>
      <c r="C3033" s="305" t="s">
        <v>3395</v>
      </c>
      <c r="D3033" s="306"/>
      <c r="E3033" s="305" t="s">
        <v>3395</v>
      </c>
      <c r="F3033" s="306"/>
      <c r="G3033" s="305" t="s">
        <v>3395</v>
      </c>
      <c r="H3033" s="306"/>
      <c r="I3033" s="18" t="s">
        <v>2473</v>
      </c>
      <c r="J3033" s="18" t="s">
        <v>2473</v>
      </c>
      <c r="K3033" s="18" t="s">
        <v>2473</v>
      </c>
      <c r="AU3033" s="6"/>
      <c r="AV3033" s="6" t="str">
        <f t="shared" si="63"/>
        <v/>
      </c>
    </row>
    <row r="3034" spans="1:48" ht="14.65" thickBot="1" x14ac:dyDescent="0.5">
      <c r="A3034" s="30" t="s">
        <v>4</v>
      </c>
      <c r="B3034" s="59" t="s">
        <v>5</v>
      </c>
      <c r="C3034" s="7" t="s">
        <v>6</v>
      </c>
      <c r="D3034" s="7" t="s">
        <v>7</v>
      </c>
      <c r="E3034" s="7" t="s">
        <v>6</v>
      </c>
      <c r="F3034" s="7" t="s">
        <v>7</v>
      </c>
      <c r="G3034" s="7" t="s">
        <v>6</v>
      </c>
      <c r="H3034" s="7" t="s">
        <v>7</v>
      </c>
      <c r="J3034" s="18" t="s">
        <v>2473</v>
      </c>
      <c r="K3034" s="18" t="s">
        <v>2473</v>
      </c>
      <c r="AU3034" s="6"/>
      <c r="AV3034" s="6" t="str">
        <f t="shared" si="63"/>
        <v/>
      </c>
    </row>
    <row r="3035" spans="1:48" ht="14.65" thickBot="1" x14ac:dyDescent="0.5">
      <c r="A3035" s="36" t="s">
        <v>3083</v>
      </c>
      <c r="B3035" s="3" t="s">
        <v>3084</v>
      </c>
      <c r="C3035" s="4" t="s">
        <v>10</v>
      </c>
      <c r="D3035" s="4"/>
      <c r="E3035" s="4" t="s">
        <v>10</v>
      </c>
      <c r="F3035" s="4"/>
      <c r="G3035" s="4" t="s">
        <v>10</v>
      </c>
      <c r="H3035" s="4"/>
      <c r="J3035" s="18" t="s">
        <v>2473</v>
      </c>
      <c r="K3035" s="18" t="s">
        <v>2473</v>
      </c>
      <c r="AU3035" s="6"/>
      <c r="AV3035" s="6" t="str">
        <f t="shared" si="63"/>
        <v/>
      </c>
    </row>
    <row r="3036" spans="1:48" ht="14.65" thickBot="1" x14ac:dyDescent="0.5">
      <c r="A3036" s="36" t="s">
        <v>3085</v>
      </c>
      <c r="B3036" s="3" t="s">
        <v>3086</v>
      </c>
      <c r="C3036" s="4"/>
      <c r="D3036" s="4"/>
      <c r="E3036" s="4"/>
      <c r="F3036" s="4"/>
      <c r="G3036" s="4"/>
      <c r="H3036" s="4"/>
      <c r="J3036" s="18" t="s">
        <v>2473</v>
      </c>
      <c r="K3036" s="18" t="s">
        <v>2473</v>
      </c>
      <c r="AU3036" s="6"/>
      <c r="AV3036" s="6" t="str">
        <f t="shared" si="63"/>
        <v/>
      </c>
    </row>
    <row r="3037" spans="1:48" ht="47.65" thickBot="1" x14ac:dyDescent="0.5">
      <c r="A3037" s="36" t="s">
        <v>75</v>
      </c>
      <c r="B3037" s="3" t="s">
        <v>76</v>
      </c>
      <c r="C3037" s="4" t="s">
        <v>37</v>
      </c>
      <c r="D3037" s="4"/>
      <c r="E3037" s="4" t="s">
        <v>37</v>
      </c>
      <c r="F3037" s="4"/>
      <c r="G3037" s="4" t="s">
        <v>37</v>
      </c>
      <c r="H3037" s="4"/>
      <c r="J3037" s="18" t="s">
        <v>2473</v>
      </c>
      <c r="K3037" s="18" t="s">
        <v>2473</v>
      </c>
      <c r="AS3037" s="206" t="s">
        <v>5860</v>
      </c>
      <c r="AU3037" s="6"/>
      <c r="AV3037" s="6" t="str">
        <f t="shared" ref="AV3037:AV3104" si="64">IF(A3037&lt;&gt;"",IF(T3037&lt;&gt;"",IF(LEFT(R3037,3)="Has",IF(TRIM(A3037)&lt;&gt;T3037,"ERROR","OK"),""),""),"")</f>
        <v/>
      </c>
    </row>
    <row r="3038" spans="1:48" ht="23.65" thickBot="1" x14ac:dyDescent="0.5">
      <c r="A3038" s="35" t="s">
        <v>85</v>
      </c>
      <c r="B3038" s="3" t="s">
        <v>3093</v>
      </c>
      <c r="C3038" s="4"/>
      <c r="D3038" s="4"/>
      <c r="E3038" s="4"/>
      <c r="F3038" s="4"/>
      <c r="G3038" s="4"/>
      <c r="H3038" s="4"/>
      <c r="J3038" s="18" t="s">
        <v>2473</v>
      </c>
      <c r="K3038" s="18" t="s">
        <v>2473</v>
      </c>
      <c r="AU3038" s="6"/>
      <c r="AV3038" s="6" t="str">
        <f t="shared" si="64"/>
        <v/>
      </c>
    </row>
    <row r="3039" spans="1:48" ht="14.65" thickBot="1" x14ac:dyDescent="0.5">
      <c r="A3039" s="35" t="s">
        <v>43</v>
      </c>
      <c r="B3039" s="3" t="s">
        <v>3087</v>
      </c>
      <c r="C3039" s="4"/>
      <c r="D3039" s="4"/>
      <c r="E3039" s="4"/>
      <c r="F3039" s="4"/>
      <c r="G3039" s="4"/>
      <c r="H3039" s="4"/>
      <c r="J3039" s="18" t="s">
        <v>2473</v>
      </c>
      <c r="K3039" s="18" t="s">
        <v>2473</v>
      </c>
      <c r="AU3039" s="6"/>
      <c r="AV3039" s="6" t="str">
        <f t="shared" si="64"/>
        <v/>
      </c>
    </row>
    <row r="3040" spans="1:48" ht="14.65" thickBot="1" x14ac:dyDescent="0.5">
      <c r="A3040" s="35" t="s">
        <v>59</v>
      </c>
      <c r="B3040" s="3" t="s">
        <v>3045</v>
      </c>
      <c r="C3040" s="4"/>
      <c r="D3040" s="4"/>
      <c r="E3040" s="4"/>
      <c r="F3040" s="4"/>
      <c r="G3040" s="4"/>
      <c r="H3040" s="4"/>
      <c r="J3040" s="18" t="s">
        <v>2473</v>
      </c>
      <c r="K3040" s="18" t="s">
        <v>2473</v>
      </c>
      <c r="AU3040" s="6"/>
      <c r="AV3040" s="6" t="str">
        <f t="shared" si="64"/>
        <v/>
      </c>
    </row>
    <row r="3041" spans="1:48" ht="23.65" thickBot="1" x14ac:dyDescent="0.5">
      <c r="A3041" s="35" t="s">
        <v>2012</v>
      </c>
      <c r="B3041" s="3" t="s">
        <v>3094</v>
      </c>
      <c r="C3041" s="4" t="s">
        <v>37</v>
      </c>
      <c r="D3041" s="4"/>
      <c r="E3041" s="4" t="s">
        <v>37</v>
      </c>
      <c r="F3041" s="4"/>
      <c r="G3041" s="4" t="s">
        <v>37</v>
      </c>
      <c r="H3041" s="4"/>
      <c r="J3041" s="18" t="s">
        <v>2473</v>
      </c>
      <c r="K3041" s="18" t="s">
        <v>2473</v>
      </c>
      <c r="AU3041" s="6"/>
      <c r="AV3041" s="6" t="str">
        <f t="shared" si="64"/>
        <v/>
      </c>
    </row>
    <row r="3042" spans="1:48" ht="14.65" thickBot="1" x14ac:dyDescent="0.5">
      <c r="A3042" s="35" t="s">
        <v>43</v>
      </c>
      <c r="B3042" s="3" t="s">
        <v>3088</v>
      </c>
      <c r="C3042" s="4"/>
      <c r="D3042" s="4"/>
      <c r="E3042" s="4"/>
      <c r="F3042" s="4"/>
      <c r="G3042" s="4"/>
      <c r="H3042" s="4"/>
      <c r="J3042" s="18" t="s">
        <v>2473</v>
      </c>
      <c r="K3042" s="18" t="s">
        <v>2473</v>
      </c>
      <c r="AU3042" s="6"/>
      <c r="AV3042" s="6" t="str">
        <f t="shared" si="64"/>
        <v/>
      </c>
    </row>
    <row r="3043" spans="1:48" ht="14.65" thickBot="1" x14ac:dyDescent="0.5">
      <c r="A3043" s="36" t="s">
        <v>99</v>
      </c>
      <c r="B3043" s="3" t="s">
        <v>3096</v>
      </c>
      <c r="C3043" s="4" t="s">
        <v>10</v>
      </c>
      <c r="D3043" s="4"/>
      <c r="E3043" s="4" t="s">
        <v>10</v>
      </c>
      <c r="F3043" s="4"/>
      <c r="G3043" s="4" t="s">
        <v>10</v>
      </c>
      <c r="H3043" s="4"/>
      <c r="J3043" s="18" t="s">
        <v>2473</v>
      </c>
      <c r="K3043" s="18" t="s">
        <v>2473</v>
      </c>
      <c r="AU3043" s="6"/>
      <c r="AV3043" s="6" t="str">
        <f t="shared" si="64"/>
        <v/>
      </c>
    </row>
    <row r="3044" spans="1:48" ht="14.65" thickBot="1" x14ac:dyDescent="0.5">
      <c r="A3044" s="36" t="s">
        <v>3089</v>
      </c>
      <c r="B3044" s="3" t="s">
        <v>3090</v>
      </c>
      <c r="C3044" s="4" t="s">
        <v>13</v>
      </c>
      <c r="D3044" s="4"/>
      <c r="E3044" s="4" t="s">
        <v>13</v>
      </c>
      <c r="F3044" s="4"/>
      <c r="G3044" s="4" t="s">
        <v>13</v>
      </c>
      <c r="H3044" s="4"/>
      <c r="J3044" s="18" t="s">
        <v>2473</v>
      </c>
      <c r="K3044" s="18" t="s">
        <v>2473</v>
      </c>
      <c r="AU3044" s="6"/>
      <c r="AV3044" s="6" t="str">
        <f t="shared" si="64"/>
        <v/>
      </c>
    </row>
    <row r="3045" spans="1:48" ht="24.4" thickBot="1" x14ac:dyDescent="0.5">
      <c r="A3045" s="36" t="s">
        <v>145</v>
      </c>
      <c r="B3045" s="3" t="s">
        <v>3011</v>
      </c>
      <c r="C3045" s="4" t="s">
        <v>13</v>
      </c>
      <c r="D3045" s="4"/>
      <c r="E3045" s="4" t="s">
        <v>13</v>
      </c>
      <c r="F3045" s="4"/>
      <c r="G3045" s="4" t="s">
        <v>13</v>
      </c>
      <c r="H3045" s="4"/>
      <c r="J3045" s="18" t="s">
        <v>2473</v>
      </c>
      <c r="K3045" s="18" t="s">
        <v>2473</v>
      </c>
      <c r="AS3045" s="139" t="s">
        <v>5369</v>
      </c>
      <c r="AU3045" s="6"/>
      <c r="AV3045" s="6" t="str">
        <f t="shared" si="64"/>
        <v/>
      </c>
    </row>
    <row r="3046" spans="1:48" ht="47.65" thickBot="1" x14ac:dyDescent="0.5">
      <c r="A3046" s="35" t="s">
        <v>5361</v>
      </c>
      <c r="B3046" s="3" t="s">
        <v>5352</v>
      </c>
      <c r="C3046" s="4" t="s">
        <v>10</v>
      </c>
      <c r="D3046" s="4"/>
      <c r="E3046" s="4" t="s">
        <v>10</v>
      </c>
      <c r="F3046" s="4"/>
      <c r="G3046" s="4" t="s">
        <v>10</v>
      </c>
      <c r="H3046" s="4"/>
      <c r="J3046" s="18" t="s">
        <v>2473</v>
      </c>
      <c r="K3046" s="18" t="s">
        <v>2473</v>
      </c>
      <c r="Q3046" s="131"/>
      <c r="R3046" s="131"/>
      <c r="S3046" s="131"/>
      <c r="T3046" s="131"/>
      <c r="U3046" s="131"/>
      <c r="V3046" s="131"/>
      <c r="W3046" s="131"/>
      <c r="X3046" s="131"/>
      <c r="AS3046" s="139" t="s">
        <v>5355</v>
      </c>
      <c r="AU3046" s="6"/>
      <c r="AV3046" s="6"/>
    </row>
    <row r="3047" spans="1:48" ht="82.5" thickBot="1" x14ac:dyDescent="0.5">
      <c r="A3047" s="35" t="s">
        <v>5360</v>
      </c>
      <c r="B3047" s="3" t="s">
        <v>5353</v>
      </c>
      <c r="C3047" s="4"/>
      <c r="D3047" s="4"/>
      <c r="E3047" s="4"/>
      <c r="F3047" s="4"/>
      <c r="G3047" s="4"/>
      <c r="H3047" s="4"/>
      <c r="J3047" s="18" t="s">
        <v>2473</v>
      </c>
      <c r="K3047" s="18" t="s">
        <v>2473</v>
      </c>
      <c r="Q3047" s="131"/>
      <c r="R3047" s="131"/>
      <c r="S3047" s="131"/>
      <c r="T3047" s="131"/>
      <c r="U3047" s="131"/>
      <c r="V3047" s="131"/>
      <c r="W3047" s="131"/>
      <c r="X3047" s="131"/>
      <c r="AS3047" s="139" t="s">
        <v>5356</v>
      </c>
      <c r="AU3047" s="6"/>
      <c r="AV3047" s="6"/>
    </row>
    <row r="3048" spans="1:48" ht="14.65" thickBot="1" x14ac:dyDescent="0.5">
      <c r="A3048" s="36" t="s">
        <v>161</v>
      </c>
      <c r="B3048" s="3" t="s">
        <v>3091</v>
      </c>
      <c r="C3048" s="4" t="s">
        <v>13</v>
      </c>
      <c r="D3048" s="4"/>
      <c r="E3048" s="4" t="s">
        <v>13</v>
      </c>
      <c r="F3048" s="4"/>
      <c r="G3048" s="4" t="s">
        <v>13</v>
      </c>
      <c r="H3048" s="4"/>
      <c r="J3048" s="18" t="s">
        <v>2473</v>
      </c>
      <c r="K3048" s="18" t="s">
        <v>2473</v>
      </c>
      <c r="AU3048" s="6"/>
      <c r="AV3048" s="6" t="str">
        <f t="shared" si="64"/>
        <v/>
      </c>
    </row>
    <row r="3049" spans="1:48" ht="14.65" thickBot="1" x14ac:dyDescent="0.5">
      <c r="A3049" s="36" t="s">
        <v>1697</v>
      </c>
      <c r="B3049" s="3" t="s">
        <v>3092</v>
      </c>
      <c r="C3049" s="4" t="s">
        <v>10</v>
      </c>
      <c r="D3049" s="4"/>
      <c r="E3049" s="4" t="s">
        <v>10</v>
      </c>
      <c r="F3049" s="4"/>
      <c r="G3049" s="4" t="s">
        <v>10</v>
      </c>
      <c r="H3049" s="4"/>
      <c r="J3049" s="18" t="s">
        <v>2473</v>
      </c>
      <c r="K3049" s="18" t="s">
        <v>2473</v>
      </c>
      <c r="AU3049" s="6"/>
      <c r="AV3049" s="6" t="str">
        <f t="shared" si="64"/>
        <v/>
      </c>
    </row>
    <row r="3050" spans="1:48" x14ac:dyDescent="0.45">
      <c r="A3050" s="33" t="s">
        <v>3081</v>
      </c>
      <c r="J3050" s="18" t="s">
        <v>2473</v>
      </c>
      <c r="K3050" s="18" t="s">
        <v>2473</v>
      </c>
      <c r="AU3050" s="6"/>
      <c r="AV3050" s="6" t="str">
        <f t="shared" si="64"/>
        <v/>
      </c>
    </row>
    <row r="3051" spans="1:48" x14ac:dyDescent="0.45">
      <c r="A3051" s="34" t="s">
        <v>3095</v>
      </c>
      <c r="J3051" s="18" t="s">
        <v>2473</v>
      </c>
      <c r="K3051" s="18" t="s">
        <v>2473</v>
      </c>
      <c r="AU3051" s="6"/>
      <c r="AV3051" s="6" t="str">
        <f t="shared" si="64"/>
        <v/>
      </c>
    </row>
    <row r="3052" spans="1:48" s="79" customFormat="1" ht="14.65" thickBot="1" x14ac:dyDescent="0.5">
      <c r="A3052" s="75"/>
      <c r="B3052" s="76"/>
      <c r="C3052" s="77"/>
      <c r="D3052" s="77"/>
      <c r="E3052" s="77"/>
      <c r="F3052" s="77"/>
      <c r="G3052" s="77"/>
      <c r="H3052" s="77"/>
      <c r="I3052" s="77"/>
      <c r="J3052" s="77"/>
      <c r="K3052" s="77"/>
      <c r="L3052" s="77"/>
      <c r="M3052" s="148"/>
      <c r="N3052" s="78"/>
      <c r="O3052" s="78"/>
      <c r="P3052" s="78"/>
      <c r="Q3052" s="78"/>
      <c r="R3052" s="78"/>
      <c r="S3052" s="78"/>
      <c r="T3052" s="78"/>
      <c r="U3052" s="78"/>
      <c r="V3052" s="78"/>
      <c r="W3052" s="78"/>
      <c r="X3052" s="78"/>
      <c r="Y3052" s="148"/>
      <c r="Z3052" s="78"/>
      <c r="AA3052" s="78"/>
      <c r="AB3052" s="78"/>
      <c r="AC3052" s="78"/>
      <c r="AD3052" s="78"/>
      <c r="AE3052" s="156"/>
      <c r="AF3052" s="156"/>
      <c r="AG3052" s="78"/>
      <c r="AH3052" s="78"/>
      <c r="AI3052" s="78"/>
      <c r="AJ3052" s="78"/>
      <c r="AK3052" s="78"/>
      <c r="AL3052" s="78"/>
      <c r="AM3052" s="78"/>
      <c r="AN3052" s="78"/>
      <c r="AO3052" s="78"/>
      <c r="AP3052" s="78"/>
      <c r="AQ3052" s="78"/>
      <c r="AR3052" s="286"/>
      <c r="AS3052" s="78"/>
      <c r="AT3052" s="78"/>
      <c r="AU3052" s="8"/>
      <c r="AV3052" s="6" t="str">
        <f t="shared" si="64"/>
        <v/>
      </c>
    </row>
    <row r="3053" spans="1:48" ht="14.65" thickBot="1" x14ac:dyDescent="0.5">
      <c r="A3053" s="27" t="s">
        <v>2461</v>
      </c>
      <c r="I3053" s="18" t="s">
        <v>2473</v>
      </c>
      <c r="J3053" s="18" t="s">
        <v>2473</v>
      </c>
      <c r="K3053" s="18" t="s">
        <v>2473</v>
      </c>
      <c r="L3053" s="18" t="s">
        <v>2334</v>
      </c>
      <c r="R3053" s="111" t="s">
        <v>3426</v>
      </c>
      <c r="S3053" s="349" t="s">
        <v>823</v>
      </c>
      <c r="T3053" s="350"/>
      <c r="U3053" s="350"/>
      <c r="V3053" s="350"/>
      <c r="W3053" s="350"/>
      <c r="X3053" s="351"/>
      <c r="Y3053" s="118"/>
      <c r="Z3053" s="185"/>
      <c r="AA3053" s="185"/>
      <c r="AB3053" s="185"/>
      <c r="AC3053" s="185"/>
      <c r="AD3053" s="185"/>
      <c r="AE3053" s="186"/>
      <c r="AF3053" s="186"/>
      <c r="AG3053" s="185"/>
      <c r="AH3053" s="185"/>
      <c r="AI3053" s="185"/>
      <c r="AJ3053" s="185"/>
      <c r="AK3053" s="185"/>
      <c r="AL3053" s="185"/>
      <c r="AM3053" s="185"/>
      <c r="AN3053" s="117"/>
      <c r="AO3053" s="117"/>
      <c r="AP3053" s="117"/>
      <c r="AQ3053" s="117"/>
      <c r="AR3053" s="287"/>
      <c r="AS3053" s="258"/>
      <c r="AT3053" s="185"/>
      <c r="AU3053" s="6"/>
      <c r="AV3053" s="6" t="str">
        <f t="shared" si="64"/>
        <v/>
      </c>
    </row>
    <row r="3054" spans="1:48" ht="14.65" thickBot="1" x14ac:dyDescent="0.5">
      <c r="A3054" s="323" t="s">
        <v>2545</v>
      </c>
      <c r="B3054" s="324"/>
      <c r="C3054" s="324"/>
      <c r="D3054" s="324"/>
      <c r="E3054" s="324"/>
      <c r="F3054" s="324"/>
      <c r="G3054" s="101"/>
      <c r="H3054" s="101"/>
      <c r="I3054" s="18" t="s">
        <v>2473</v>
      </c>
      <c r="J3054" s="18" t="s">
        <v>2473</v>
      </c>
      <c r="K3054" s="18" t="s">
        <v>2473</v>
      </c>
      <c r="L3054" s="18" t="s">
        <v>2334</v>
      </c>
      <c r="R3054" s="122" t="s">
        <v>3427</v>
      </c>
      <c r="S3054" s="352" t="s">
        <v>3566</v>
      </c>
      <c r="T3054" s="353"/>
      <c r="U3054" s="353"/>
      <c r="V3054" s="353"/>
      <c r="W3054" s="353"/>
      <c r="X3054" s="354"/>
      <c r="Y3054" s="149"/>
      <c r="Z3054" s="183"/>
      <c r="AA3054" s="183"/>
      <c r="AB3054" s="183"/>
      <c r="AC3054" s="183"/>
      <c r="AD3054" s="183"/>
      <c r="AE3054" s="184"/>
      <c r="AF3054" s="184"/>
      <c r="AG3054" s="183"/>
      <c r="AH3054" s="183"/>
      <c r="AI3054" s="183"/>
      <c r="AJ3054" s="183"/>
      <c r="AK3054" s="183"/>
      <c r="AL3054" s="183"/>
      <c r="AM3054" s="183"/>
      <c r="AN3054" s="131"/>
      <c r="AO3054" s="131"/>
      <c r="AP3054" s="131"/>
      <c r="AQ3054" s="131"/>
      <c r="AR3054" s="288"/>
      <c r="AS3054" s="259"/>
      <c r="AT3054" s="183"/>
      <c r="AU3054" s="6"/>
      <c r="AV3054" s="6" t="str">
        <f t="shared" si="64"/>
        <v/>
      </c>
    </row>
    <row r="3055" spans="1:48" ht="14.65" thickBot="1" x14ac:dyDescent="0.5">
      <c r="A3055" s="28" t="s">
        <v>2046</v>
      </c>
      <c r="I3055" s="18" t="s">
        <v>2473</v>
      </c>
      <c r="J3055" s="18" t="s">
        <v>2473</v>
      </c>
      <c r="K3055" s="18" t="s">
        <v>2473</v>
      </c>
      <c r="L3055" s="18" t="s">
        <v>2334</v>
      </c>
      <c r="R3055" s="122" t="s">
        <v>3428</v>
      </c>
      <c r="S3055" s="352" t="b">
        <v>0</v>
      </c>
      <c r="T3055" s="353"/>
      <c r="U3055" s="353"/>
      <c r="V3055" s="353"/>
      <c r="W3055" s="353"/>
      <c r="X3055" s="354"/>
      <c r="Y3055" s="149"/>
      <c r="Z3055" s="183"/>
      <c r="AA3055" s="183" t="s">
        <v>2322</v>
      </c>
      <c r="AB3055" s="183" t="s">
        <v>1697</v>
      </c>
      <c r="AC3055" s="183" t="s">
        <v>5</v>
      </c>
      <c r="AD3055" s="183"/>
      <c r="AE3055" s="184"/>
      <c r="AF3055" s="184"/>
      <c r="AG3055" s="183"/>
      <c r="AH3055" s="183"/>
      <c r="AI3055" s="183"/>
      <c r="AJ3055" s="183"/>
      <c r="AK3055" s="183"/>
      <c r="AL3055" s="183"/>
      <c r="AM3055" s="183"/>
      <c r="AN3055" s="131"/>
      <c r="AO3055" s="131"/>
      <c r="AP3055" s="131"/>
      <c r="AQ3055" s="131"/>
      <c r="AR3055" s="288"/>
      <c r="AS3055" s="259"/>
      <c r="AT3055" s="183"/>
      <c r="AU3055" s="6"/>
      <c r="AV3055" s="6" t="str">
        <f t="shared" si="64"/>
        <v/>
      </c>
    </row>
    <row r="3056" spans="1:48" ht="93.4" thickBot="1" x14ac:dyDescent="0.5">
      <c r="A3056" s="309" t="s">
        <v>2047</v>
      </c>
      <c r="B3056" s="310"/>
      <c r="C3056" s="301" t="s">
        <v>1</v>
      </c>
      <c r="D3056" s="319"/>
      <c r="E3056" s="319"/>
      <c r="F3056" s="302"/>
      <c r="G3056" s="102"/>
      <c r="H3056" s="102"/>
      <c r="I3056" s="18" t="s">
        <v>2473</v>
      </c>
      <c r="L3056" s="18" t="s">
        <v>2335</v>
      </c>
      <c r="R3056"/>
      <c r="S3056"/>
      <c r="T3056"/>
      <c r="U3056"/>
      <c r="V3056"/>
      <c r="W3056"/>
      <c r="X3056"/>
      <c r="Y3056" s="147"/>
      <c r="Z3056" s="17"/>
      <c r="AA3056" s="183" t="str">
        <f>LEFT($A3056,FIND(" ",$A3056)-1)</f>
        <v>Power</v>
      </c>
      <c r="AB3056" s="183" t="str">
        <f>MID($A3056,FIND("(",$A3056)+1,LEN($A3056)-FIND("(",$A3056)-1)</f>
        <v>1.5.1</v>
      </c>
      <c r="AC3056" s="101" t="str">
        <f>A3054</f>
        <v>The Power resource represents the properties for power consumption and power limiting.</v>
      </c>
      <c r="AD3056" s="17"/>
      <c r="AE3056" s="187"/>
      <c r="AF3056" s="187"/>
      <c r="AG3056" s="17"/>
      <c r="AH3056" s="17"/>
      <c r="AI3056" s="17"/>
      <c r="AJ3056" s="17"/>
      <c r="AK3056" s="17"/>
      <c r="AL3056" s="17"/>
      <c r="AM3056" s="17"/>
      <c r="AN3056"/>
      <c r="AO3056"/>
      <c r="AP3056"/>
      <c r="AQ3056"/>
      <c r="AR3056" s="289"/>
      <c r="AS3056" s="261"/>
      <c r="AT3056" s="17"/>
      <c r="AU3056" s="6"/>
      <c r="AV3056" s="6" t="str">
        <f t="shared" si="64"/>
        <v/>
      </c>
    </row>
    <row r="3057" spans="1:48" ht="14.65" thickBot="1" x14ac:dyDescent="0.5">
      <c r="A3057" s="311"/>
      <c r="B3057" s="312"/>
      <c r="C3057" s="301" t="s">
        <v>2</v>
      </c>
      <c r="D3057" s="302"/>
      <c r="E3057" s="301" t="s">
        <v>3</v>
      </c>
      <c r="F3057" s="302"/>
      <c r="G3057" s="301" t="s">
        <v>2896</v>
      </c>
      <c r="H3057" s="302"/>
      <c r="I3057" s="18" t="s">
        <v>2473</v>
      </c>
      <c r="L3057" s="18" t="s">
        <v>2335</v>
      </c>
      <c r="R3057"/>
      <c r="S3057"/>
      <c r="T3057"/>
      <c r="U3057"/>
      <c r="V3057"/>
      <c r="W3057"/>
      <c r="X3057"/>
      <c r="Y3057" s="147"/>
      <c r="Z3057" s="17"/>
      <c r="AA3057" s="183" t="s">
        <v>2322</v>
      </c>
      <c r="AB3057" s="183" t="s">
        <v>1697</v>
      </c>
      <c r="AC3057" s="183" t="s">
        <v>5</v>
      </c>
      <c r="AD3057" s="17"/>
      <c r="AE3057" s="187"/>
      <c r="AF3057" s="187"/>
      <c r="AG3057" s="17"/>
      <c r="AH3057" s="17"/>
      <c r="AI3057" s="17"/>
      <c r="AJ3057" s="17"/>
      <c r="AK3057" s="17"/>
      <c r="AL3057" s="17"/>
      <c r="AM3057" s="17"/>
      <c r="AN3057"/>
      <c r="AO3057"/>
      <c r="AP3057"/>
      <c r="AQ3057"/>
      <c r="AR3057" s="289"/>
      <c r="AS3057" s="261"/>
      <c r="AT3057" s="17"/>
      <c r="AU3057" s="6"/>
      <c r="AV3057" s="6" t="str">
        <f t="shared" si="64"/>
        <v/>
      </c>
    </row>
    <row r="3058" spans="1:48" ht="93.4" thickBot="1" x14ac:dyDescent="0.5">
      <c r="A3058" s="309" t="s">
        <v>3033</v>
      </c>
      <c r="B3058" s="310"/>
      <c r="C3058" s="301" t="s">
        <v>1</v>
      </c>
      <c r="D3058" s="319"/>
      <c r="E3058" s="319"/>
      <c r="F3058" s="302"/>
      <c r="G3058" s="102"/>
      <c r="H3058" s="102"/>
      <c r="J3058" s="18" t="s">
        <v>2473</v>
      </c>
      <c r="K3058" s="18" t="s">
        <v>2473</v>
      </c>
      <c r="L3058" s="18" t="s">
        <v>2335</v>
      </c>
      <c r="AA3058" s="183" t="str">
        <f>LEFT($A3058,FIND(" ",$A3058)-1)</f>
        <v>Power</v>
      </c>
      <c r="AB3058" s="183" t="str">
        <f>MID($A3058,FIND("(",$A3058)+1,LEN($A3058)-FIND("(",$A3058)-1)</f>
        <v>1.5.3</v>
      </c>
      <c r="AC3058" s="101" t="str">
        <f>AC3056</f>
        <v>The Power resource represents the properties for power consumption and power limiting.</v>
      </c>
      <c r="AU3058" s="6"/>
      <c r="AV3058" s="6" t="str">
        <f t="shared" si="64"/>
        <v/>
      </c>
    </row>
    <row r="3059" spans="1:48" ht="14.65" thickBot="1" x14ac:dyDescent="0.5">
      <c r="A3059" s="311"/>
      <c r="B3059" s="312"/>
      <c r="C3059" s="301" t="s">
        <v>2</v>
      </c>
      <c r="D3059" s="302"/>
      <c r="E3059" s="301" t="s">
        <v>3</v>
      </c>
      <c r="F3059" s="302"/>
      <c r="G3059" s="301" t="s">
        <v>2896</v>
      </c>
      <c r="H3059" s="302"/>
      <c r="J3059" s="18" t="s">
        <v>2473</v>
      </c>
      <c r="K3059" s="18" t="s">
        <v>2473</v>
      </c>
      <c r="L3059" s="18" t="s">
        <v>2335</v>
      </c>
      <c r="AM3059" s="8" t="str">
        <f>C3059</f>
        <v>OSM-Redfish</v>
      </c>
      <c r="AN3059" s="8" t="str">
        <f>E3059</f>
        <v>OSM-RedfishBMC</v>
      </c>
      <c r="AO3059" s="8" t="str">
        <f>G3059</f>
        <v>OSM-RedfishDCN</v>
      </c>
      <c r="AU3059" s="6"/>
      <c r="AV3059" s="6" t="str">
        <f t="shared" si="64"/>
        <v/>
      </c>
    </row>
    <row r="3060" spans="1:48" ht="14.65" thickBot="1" x14ac:dyDescent="0.5">
      <c r="A3060" s="46" t="s">
        <v>2377</v>
      </c>
      <c r="B3060" s="47"/>
      <c r="C3060" s="303" t="s">
        <v>37</v>
      </c>
      <c r="D3060" s="304"/>
      <c r="E3060" s="303" t="s">
        <v>37</v>
      </c>
      <c r="F3060" s="304"/>
      <c r="G3060" s="303" t="s">
        <v>37</v>
      </c>
      <c r="H3060" s="304"/>
      <c r="I3060" s="18" t="s">
        <v>2473</v>
      </c>
      <c r="J3060" s="18" t="s">
        <v>2473</v>
      </c>
      <c r="K3060" s="18" t="s">
        <v>2473</v>
      </c>
      <c r="R3060" s="129"/>
      <c r="S3060" s="117"/>
      <c r="T3060" s="117"/>
      <c r="U3060" s="117"/>
      <c r="V3060" s="117"/>
      <c r="W3060" s="117"/>
      <c r="X3060" s="118"/>
      <c r="Y3060" s="118"/>
      <c r="Z3060" s="185"/>
      <c r="AA3060" s="185"/>
      <c r="AB3060" s="185"/>
      <c r="AC3060" s="185"/>
      <c r="AD3060" s="185"/>
      <c r="AE3060" s="186"/>
      <c r="AF3060" s="186"/>
      <c r="AG3060" s="185"/>
      <c r="AH3060" s="185"/>
      <c r="AI3060" s="185"/>
      <c r="AJ3060" s="185"/>
      <c r="AK3060" s="185"/>
      <c r="AL3060" s="185"/>
      <c r="AM3060" s="8" t="str">
        <f>IF(C3060&lt;&gt;"","CRQ-P5-"&amp;(AM$2+$AP3060*$AP$3),"")</f>
        <v>CRQ-P5-1184</v>
      </c>
      <c r="AN3060" s="8" t="str">
        <f>IF(E3060&lt;&gt;"","CRQ-P5-"&amp;(AN$2+$AP3060*$AP$3),"")</f>
        <v>CRQ-P5-1484</v>
      </c>
      <c r="AO3060" s="8" t="str">
        <f>IF(G3060&lt;&gt;"","CRQ-P5-"&amp;(AO$2+$AP3060*$AP$3),"")</f>
        <v>CRQ-P5-1784</v>
      </c>
      <c r="AP3060" s="117">
        <v>46</v>
      </c>
      <c r="AQ3060" s="117"/>
      <c r="AR3060" s="287"/>
      <c r="AS3060" s="258"/>
      <c r="AT3060" s="185"/>
      <c r="AU3060" s="6"/>
      <c r="AV3060" s="6" t="str">
        <f t="shared" si="64"/>
        <v/>
      </c>
    </row>
    <row r="3061" spans="1:48" ht="14.65" thickBot="1" x14ac:dyDescent="0.5">
      <c r="A3061" s="29" t="s">
        <v>3394</v>
      </c>
      <c r="B3061" s="9"/>
      <c r="C3061" s="305" t="str">
        <f>MID($A3056,FIND("(",$A3056)+1,5)</f>
        <v>1.5.1</v>
      </c>
      <c r="D3061" s="306"/>
      <c r="E3061" s="305" t="s">
        <v>3411</v>
      </c>
      <c r="F3061" s="306"/>
      <c r="G3061" s="305" t="str">
        <f>MID($A3056,FIND("(",$A3056)+1,5)</f>
        <v>1.5.1</v>
      </c>
      <c r="H3061" s="306"/>
      <c r="I3061" s="18" t="s">
        <v>2473</v>
      </c>
      <c r="J3061" s="18" t="s">
        <v>2473</v>
      </c>
      <c r="K3061" s="18" t="s">
        <v>2473</v>
      </c>
      <c r="L3061" s="18" t="s">
        <v>2334</v>
      </c>
      <c r="R3061" s="111" t="s">
        <v>3429</v>
      </c>
      <c r="S3061" s="111" t="s">
        <v>3430</v>
      </c>
      <c r="T3061" s="111" t="s">
        <v>3427</v>
      </c>
      <c r="U3061" s="111" t="s">
        <v>3431</v>
      </c>
      <c r="V3061" s="111" t="s">
        <v>3432</v>
      </c>
      <c r="W3061" s="111" t="s">
        <v>3433</v>
      </c>
      <c r="X3061" s="119" t="s">
        <v>3434</v>
      </c>
      <c r="Y3061" s="118" t="s">
        <v>3965</v>
      </c>
      <c r="Z3061" s="185"/>
      <c r="AA3061" s="185"/>
      <c r="AB3061" s="185"/>
      <c r="AC3061" s="185"/>
      <c r="AD3061" s="185"/>
      <c r="AE3061" s="186"/>
      <c r="AF3061" s="186"/>
      <c r="AG3061" s="185"/>
      <c r="AH3061" s="185"/>
      <c r="AI3061" s="185"/>
      <c r="AJ3061" s="185"/>
      <c r="AK3061" s="185"/>
      <c r="AL3061" s="185"/>
      <c r="AM3061" s="185"/>
      <c r="AN3061" s="117"/>
      <c r="AO3061" s="117"/>
      <c r="AP3061" s="117"/>
      <c r="AQ3061" s="117"/>
      <c r="AR3061" s="287"/>
      <c r="AS3061" s="258"/>
      <c r="AT3061" s="185"/>
      <c r="AU3061" s="6"/>
      <c r="AV3061" s="6" t="str">
        <f t="shared" si="64"/>
        <v/>
      </c>
    </row>
    <row r="3062" spans="1:48" ht="15" customHeight="1" thickBot="1" x14ac:dyDescent="0.5">
      <c r="A3062" s="30" t="s">
        <v>4</v>
      </c>
      <c r="B3062" s="59" t="s">
        <v>5</v>
      </c>
      <c r="C3062" s="7" t="s">
        <v>6</v>
      </c>
      <c r="D3062" s="7" t="s">
        <v>7</v>
      </c>
      <c r="E3062" s="7" t="s">
        <v>6</v>
      </c>
      <c r="F3062" s="7" t="s">
        <v>7</v>
      </c>
      <c r="G3062" s="7" t="s">
        <v>6</v>
      </c>
      <c r="H3062" s="7" t="s">
        <v>7</v>
      </c>
      <c r="I3062" s="18" t="s">
        <v>2473</v>
      </c>
      <c r="J3062" s="18" t="s">
        <v>2473</v>
      </c>
      <c r="K3062" s="18" t="s">
        <v>2473</v>
      </c>
      <c r="L3062" s="18" t="s">
        <v>2334</v>
      </c>
      <c r="R3062" s="352" t="s">
        <v>4040</v>
      </c>
      <c r="S3062" s="353"/>
      <c r="T3062" s="353"/>
      <c r="U3062" s="353"/>
      <c r="V3062" s="353"/>
      <c r="W3062" s="353"/>
      <c r="X3062" s="357"/>
      <c r="Y3062" s="149"/>
      <c r="Z3062" s="183"/>
      <c r="AA3062" s="183"/>
      <c r="AB3062" s="183"/>
      <c r="AC3062" s="183"/>
      <c r="AD3062" s="183"/>
      <c r="AE3062" s="184"/>
      <c r="AF3062" s="184"/>
      <c r="AG3062" s="183"/>
      <c r="AH3062" s="183"/>
      <c r="AI3062" s="183"/>
      <c r="AJ3062" s="183"/>
      <c r="AK3062" s="183"/>
      <c r="AL3062" s="183"/>
      <c r="AM3062" s="183"/>
      <c r="AN3062" s="131"/>
      <c r="AO3062" s="131"/>
      <c r="AP3062" s="131"/>
      <c r="AQ3062" s="131"/>
      <c r="AR3062" s="288"/>
      <c r="AS3062" s="259"/>
      <c r="AT3062" s="183"/>
      <c r="AU3062" s="6"/>
      <c r="AV3062" s="6" t="str">
        <f t="shared" si="64"/>
        <v/>
      </c>
    </row>
    <row r="3063" spans="1:48" ht="14.65" thickBot="1" x14ac:dyDescent="0.5">
      <c r="A3063" s="36" t="s">
        <v>8</v>
      </c>
      <c r="B3063" s="3" t="s">
        <v>9</v>
      </c>
      <c r="C3063" s="4"/>
      <c r="D3063" s="4"/>
      <c r="E3063" s="4"/>
      <c r="F3063" s="4"/>
      <c r="G3063" s="4"/>
      <c r="H3063" s="4"/>
      <c r="I3063" s="18" t="s">
        <v>2473</v>
      </c>
      <c r="J3063" s="18" t="s">
        <v>2473</v>
      </c>
      <c r="K3063" s="18" t="s">
        <v>2473</v>
      </c>
      <c r="L3063" s="18" t="s">
        <v>2335</v>
      </c>
      <c r="AU3063" s="6"/>
      <c r="AV3063" s="6" t="str">
        <f t="shared" si="64"/>
        <v/>
      </c>
    </row>
    <row r="3064" spans="1:48" ht="30.75" thickBot="1" x14ac:dyDescent="0.5">
      <c r="A3064" s="36" t="s">
        <v>2048</v>
      </c>
      <c r="B3064" s="3" t="s">
        <v>2049</v>
      </c>
      <c r="C3064" s="4" t="s">
        <v>37</v>
      </c>
      <c r="D3064" s="4"/>
      <c r="E3064" s="4" t="s">
        <v>37</v>
      </c>
      <c r="F3064" s="4"/>
      <c r="G3064" s="4" t="s">
        <v>37</v>
      </c>
      <c r="H3064" s="4"/>
      <c r="I3064" s="18" t="s">
        <v>2473</v>
      </c>
      <c r="J3064" s="18" t="s">
        <v>2473</v>
      </c>
      <c r="K3064" s="18" t="s">
        <v>2473</v>
      </c>
      <c r="L3064" s="18" t="s">
        <v>2334</v>
      </c>
      <c r="R3064" s="122" t="s">
        <v>3435</v>
      </c>
      <c r="S3064" s="114" t="s">
        <v>3437</v>
      </c>
      <c r="T3064" s="114" t="s">
        <v>2048</v>
      </c>
      <c r="U3064" s="114"/>
      <c r="V3064" s="114" t="s">
        <v>3819</v>
      </c>
      <c r="W3064" s="114" t="s">
        <v>3436</v>
      </c>
      <c r="X3064" s="114" t="s">
        <v>13</v>
      </c>
      <c r="Y3064" s="149"/>
      <c r="Z3064" s="183"/>
      <c r="AA3064" s="183"/>
      <c r="AB3064" s="183"/>
      <c r="AC3064" s="183"/>
      <c r="AD3064" s="183"/>
      <c r="AE3064" s="184"/>
      <c r="AF3064" s="184"/>
      <c r="AG3064" s="183"/>
      <c r="AH3064" s="183"/>
      <c r="AI3064" s="183"/>
      <c r="AJ3064" s="183"/>
      <c r="AK3064" s="183"/>
      <c r="AL3064" s="183"/>
      <c r="AM3064" s="183"/>
      <c r="AN3064" s="131"/>
      <c r="AO3064" s="131"/>
      <c r="AP3064" s="131"/>
      <c r="AQ3064" s="131"/>
      <c r="AR3064" s="288"/>
      <c r="AS3064" s="259"/>
      <c r="AT3064" s="183"/>
      <c r="AU3064" s="8"/>
      <c r="AV3064" s="6" t="str">
        <f t="shared" si="64"/>
        <v>OK</v>
      </c>
    </row>
    <row r="3065" spans="1:48" ht="14.65" thickBot="1" x14ac:dyDescent="0.5">
      <c r="A3065" s="35" t="s">
        <v>33</v>
      </c>
      <c r="B3065" s="5" t="s">
        <v>84</v>
      </c>
      <c r="C3065" s="4"/>
      <c r="D3065" s="4"/>
      <c r="E3065" s="4"/>
      <c r="F3065" s="4"/>
      <c r="G3065" s="4"/>
      <c r="H3065" s="4"/>
      <c r="I3065" s="18" t="s">
        <v>2473</v>
      </c>
      <c r="J3065" s="18" t="s">
        <v>2473</v>
      </c>
      <c r="K3065" s="18" t="s">
        <v>2473</v>
      </c>
      <c r="L3065" s="18" t="s">
        <v>2335</v>
      </c>
      <c r="AU3065" s="6"/>
      <c r="AV3065" s="6" t="str">
        <f t="shared" si="64"/>
        <v/>
      </c>
    </row>
    <row r="3066" spans="1:48" ht="14.65" thickBot="1" x14ac:dyDescent="0.5">
      <c r="A3066" s="35" t="s">
        <v>442</v>
      </c>
      <c r="B3066" s="5" t="s">
        <v>9</v>
      </c>
      <c r="C3066" s="4"/>
      <c r="D3066" s="4"/>
      <c r="E3066" s="4"/>
      <c r="F3066" s="4"/>
      <c r="G3066" s="4"/>
      <c r="H3066" s="4"/>
      <c r="I3066" s="18" t="s">
        <v>2473</v>
      </c>
      <c r="J3066" s="18" t="s">
        <v>2473</v>
      </c>
      <c r="K3066" s="18" t="s">
        <v>2473</v>
      </c>
      <c r="L3066" s="18" t="s">
        <v>2335</v>
      </c>
      <c r="AU3066" s="8"/>
      <c r="AV3066" s="6" t="str">
        <f t="shared" si="64"/>
        <v/>
      </c>
    </row>
    <row r="3067" spans="1:48" ht="14.65" thickBot="1" x14ac:dyDescent="0.5">
      <c r="A3067" s="35" t="s">
        <v>461</v>
      </c>
      <c r="B3067" s="5" t="s">
        <v>462</v>
      </c>
      <c r="C3067" s="4" t="s">
        <v>10</v>
      </c>
      <c r="D3067" s="4"/>
      <c r="E3067" s="4" t="s">
        <v>10</v>
      </c>
      <c r="F3067" s="4"/>
      <c r="G3067" s="4" t="s">
        <v>10</v>
      </c>
      <c r="H3067" s="4"/>
      <c r="I3067" s="18" t="s">
        <v>2473</v>
      </c>
      <c r="J3067" s="18" t="s">
        <v>2473</v>
      </c>
      <c r="K3067" s="18" t="s">
        <v>2473</v>
      </c>
      <c r="AU3067" s="8"/>
      <c r="AV3067" s="6" t="str">
        <f t="shared" si="64"/>
        <v/>
      </c>
    </row>
    <row r="3068" spans="1:48" ht="14.65" thickBot="1" x14ac:dyDescent="0.5">
      <c r="A3068" s="35" t="s">
        <v>424</v>
      </c>
      <c r="B3068" s="3" t="s">
        <v>2050</v>
      </c>
      <c r="C3068" s="4" t="s">
        <v>10</v>
      </c>
      <c r="D3068" s="4"/>
      <c r="E3068" s="4" t="s">
        <v>10</v>
      </c>
      <c r="F3068" s="4"/>
      <c r="G3068" s="4" t="s">
        <v>10</v>
      </c>
      <c r="H3068" s="4"/>
      <c r="I3068" s="18" t="s">
        <v>2473</v>
      </c>
      <c r="J3068" s="18" t="s">
        <v>2473</v>
      </c>
      <c r="K3068" s="18" t="s">
        <v>2473</v>
      </c>
      <c r="AU3068" s="6"/>
      <c r="AV3068" s="6" t="str">
        <f t="shared" si="64"/>
        <v/>
      </c>
    </row>
    <row r="3069" spans="1:48" ht="14.65" thickBot="1" x14ac:dyDescent="0.5">
      <c r="A3069" s="35" t="s">
        <v>59</v>
      </c>
      <c r="B3069" s="3" t="s">
        <v>60</v>
      </c>
      <c r="C3069" s="4"/>
      <c r="D3069" s="4"/>
      <c r="E3069" s="4"/>
      <c r="F3069" s="4"/>
      <c r="G3069" s="4"/>
      <c r="H3069" s="4"/>
      <c r="I3069" s="18" t="s">
        <v>2473</v>
      </c>
      <c r="J3069" s="18" t="s">
        <v>2473</v>
      </c>
      <c r="K3069" s="18" t="s">
        <v>2473</v>
      </c>
      <c r="L3069" s="18" t="s">
        <v>2335</v>
      </c>
      <c r="AU3069" s="6"/>
      <c r="AV3069" s="6" t="str">
        <f t="shared" si="64"/>
        <v/>
      </c>
    </row>
    <row r="3070" spans="1:48" ht="23.65" thickBot="1" x14ac:dyDescent="0.5">
      <c r="A3070" s="35" t="s">
        <v>2051</v>
      </c>
      <c r="B3070" s="3" t="s">
        <v>2052</v>
      </c>
      <c r="C3070" s="4"/>
      <c r="D3070" s="4"/>
      <c r="E3070" s="4"/>
      <c r="F3070" s="4"/>
      <c r="G3070" s="4"/>
      <c r="H3070" s="4"/>
      <c r="I3070" s="18" t="s">
        <v>2473</v>
      </c>
      <c r="J3070" s="18" t="s">
        <v>2473</v>
      </c>
      <c r="K3070" s="18" t="s">
        <v>2473</v>
      </c>
      <c r="L3070" s="18" t="s">
        <v>2335</v>
      </c>
      <c r="AU3070" s="6"/>
      <c r="AV3070" s="6" t="str">
        <f t="shared" si="64"/>
        <v/>
      </c>
    </row>
    <row r="3071" spans="1:48" ht="25.25" customHeight="1" thickBot="1" x14ac:dyDescent="0.5">
      <c r="A3071" s="35" t="s">
        <v>2053</v>
      </c>
      <c r="B3071" s="3" t="s">
        <v>2054</v>
      </c>
      <c r="C3071" s="4" t="s">
        <v>13</v>
      </c>
      <c r="D3071" s="4"/>
      <c r="E3071" s="4" t="s">
        <v>13</v>
      </c>
      <c r="F3071" s="4"/>
      <c r="G3071" s="4" t="s">
        <v>13</v>
      </c>
      <c r="H3071" s="4"/>
      <c r="I3071" s="18" t="s">
        <v>2473</v>
      </c>
      <c r="J3071" s="18" t="s">
        <v>2473</v>
      </c>
      <c r="K3071" s="18" t="s">
        <v>2473</v>
      </c>
      <c r="L3071" s="18" t="s">
        <v>2334</v>
      </c>
      <c r="Q3071" s="8" t="s">
        <v>3817</v>
      </c>
      <c r="R3071" s="122" t="s">
        <v>3529</v>
      </c>
      <c r="S3071" s="114" t="s">
        <v>4</v>
      </c>
      <c r="T3071" s="114" t="s">
        <v>3824</v>
      </c>
      <c r="U3071" s="114" t="s">
        <v>3525</v>
      </c>
      <c r="V3071" s="114" t="s">
        <v>3530</v>
      </c>
      <c r="W3071" s="114" t="s">
        <v>3436</v>
      </c>
      <c r="X3071" s="114" t="s">
        <v>13</v>
      </c>
      <c r="Y3071" s="149"/>
      <c r="Z3071" s="183"/>
      <c r="AA3071" s="183"/>
      <c r="AB3071" s="183"/>
      <c r="AC3071" s="183"/>
      <c r="AD3071" s="183"/>
      <c r="AE3071" s="184"/>
      <c r="AF3071" s="184"/>
      <c r="AG3071" s="183"/>
      <c r="AH3071" s="183"/>
      <c r="AI3071" s="183"/>
      <c r="AJ3071" s="183"/>
      <c r="AK3071" s="183"/>
      <c r="AL3071" s="183"/>
      <c r="AM3071" s="183"/>
      <c r="AN3071" s="131"/>
      <c r="AO3071" s="131"/>
      <c r="AP3071" s="131"/>
      <c r="AQ3071" s="131"/>
      <c r="AR3071" s="288"/>
      <c r="AS3071" s="259"/>
      <c r="AT3071" s="183"/>
      <c r="AU3071" s="140" t="s">
        <v>4148</v>
      </c>
      <c r="AV3071" s="6" t="str">
        <f t="shared" si="64"/>
        <v>OK</v>
      </c>
    </row>
    <row r="3072" spans="1:48" ht="35.25" thickBot="1" x14ac:dyDescent="0.5">
      <c r="A3072" s="35" t="s">
        <v>2055</v>
      </c>
      <c r="B3072" s="3" t="s">
        <v>2056</v>
      </c>
      <c r="C3072" s="4" t="s">
        <v>13</v>
      </c>
      <c r="D3072" s="4"/>
      <c r="E3072" s="4" t="s">
        <v>13</v>
      </c>
      <c r="F3072" s="4"/>
      <c r="G3072" s="4" t="s">
        <v>13</v>
      </c>
      <c r="H3072" s="4"/>
      <c r="I3072" s="18" t="s">
        <v>2473</v>
      </c>
      <c r="J3072" s="18" t="s">
        <v>2473</v>
      </c>
      <c r="K3072" s="18" t="s">
        <v>2473</v>
      </c>
      <c r="AU3072" s="140" t="s">
        <v>4148</v>
      </c>
      <c r="AV3072" s="6" t="str">
        <f t="shared" si="64"/>
        <v/>
      </c>
    </row>
    <row r="3073" spans="1:48" ht="35.25" thickBot="1" x14ac:dyDescent="0.5">
      <c r="A3073" s="35" t="s">
        <v>2057</v>
      </c>
      <c r="B3073" s="3" t="s">
        <v>2058</v>
      </c>
      <c r="C3073" s="4" t="s">
        <v>10</v>
      </c>
      <c r="D3073" s="4"/>
      <c r="E3073" s="4" t="s">
        <v>10</v>
      </c>
      <c r="F3073" s="4"/>
      <c r="G3073" s="4" t="s">
        <v>10</v>
      </c>
      <c r="H3073" s="4"/>
      <c r="I3073" s="18" t="s">
        <v>2473</v>
      </c>
      <c r="J3073" s="18" t="s">
        <v>2473</v>
      </c>
      <c r="K3073" s="18" t="s">
        <v>2473</v>
      </c>
      <c r="AU3073" s="6"/>
      <c r="AV3073" s="6" t="str">
        <f t="shared" si="64"/>
        <v/>
      </c>
    </row>
    <row r="3074" spans="1:48" ht="25.25" customHeight="1" thickBot="1" x14ac:dyDescent="0.5">
      <c r="A3074" s="35" t="s">
        <v>2059</v>
      </c>
      <c r="B3074" s="3" t="s">
        <v>2060</v>
      </c>
      <c r="C3074" s="4" t="s">
        <v>10</v>
      </c>
      <c r="D3074" s="4"/>
      <c r="E3074" s="4" t="s">
        <v>10</v>
      </c>
      <c r="F3074" s="4"/>
      <c r="G3074" s="4" t="s">
        <v>10</v>
      </c>
      <c r="H3074" s="4"/>
      <c r="I3074" s="18" t="s">
        <v>2473</v>
      </c>
      <c r="J3074" s="18" t="s">
        <v>2473</v>
      </c>
      <c r="K3074" s="18" t="s">
        <v>2473</v>
      </c>
      <c r="L3074" s="18" t="s">
        <v>2334</v>
      </c>
      <c r="Q3074" s="8" t="s">
        <v>3817</v>
      </c>
      <c r="R3074" s="122" t="s">
        <v>3435</v>
      </c>
      <c r="S3074" s="114" t="s">
        <v>3443</v>
      </c>
      <c r="T3074" s="114" t="s">
        <v>3825</v>
      </c>
      <c r="U3074" s="114" t="s">
        <v>3525</v>
      </c>
      <c r="V3074" s="114"/>
      <c r="W3074" s="114" t="s">
        <v>3436</v>
      </c>
      <c r="X3074" s="114" t="s">
        <v>13</v>
      </c>
      <c r="Y3074" s="149"/>
      <c r="Z3074" s="183"/>
      <c r="AA3074" s="183"/>
      <c r="AB3074" s="183"/>
      <c r="AC3074" s="183"/>
      <c r="AD3074" s="183"/>
      <c r="AE3074" s="184"/>
      <c r="AF3074" s="184"/>
      <c r="AG3074" s="183"/>
      <c r="AH3074" s="183"/>
      <c r="AI3074" s="183"/>
      <c r="AJ3074" s="183"/>
      <c r="AK3074" s="183"/>
      <c r="AL3074" s="183"/>
      <c r="AM3074" s="183"/>
      <c r="AN3074" s="131"/>
      <c r="AO3074" s="131"/>
      <c r="AP3074" s="131"/>
      <c r="AQ3074" s="131"/>
      <c r="AR3074" s="288"/>
      <c r="AS3074" s="259"/>
      <c r="AT3074" s="183"/>
      <c r="AU3074" s="6"/>
      <c r="AV3074" s="6" t="str">
        <f t="shared" si="64"/>
        <v>OK</v>
      </c>
    </row>
    <row r="3075" spans="1:48" ht="25.25" customHeight="1" thickBot="1" x14ac:dyDescent="0.5">
      <c r="A3075" s="35" t="s">
        <v>2061</v>
      </c>
      <c r="B3075" s="3" t="s">
        <v>4061</v>
      </c>
      <c r="C3075" s="4" t="s">
        <v>37</v>
      </c>
      <c r="D3075" s="4" t="s">
        <v>37</v>
      </c>
      <c r="E3075" s="4" t="s">
        <v>37</v>
      </c>
      <c r="F3075" s="4" t="s">
        <v>37</v>
      </c>
      <c r="G3075" s="4" t="s">
        <v>37</v>
      </c>
      <c r="H3075" s="4" t="s">
        <v>37</v>
      </c>
      <c r="I3075" s="18" t="s">
        <v>2473</v>
      </c>
      <c r="J3075" s="18" t="s">
        <v>2473</v>
      </c>
      <c r="K3075" s="18" t="s">
        <v>2473</v>
      </c>
      <c r="Q3075" s="8" t="s">
        <v>3817</v>
      </c>
      <c r="R3075" s="122" t="s">
        <v>3435</v>
      </c>
      <c r="S3075" s="114" t="s">
        <v>3437</v>
      </c>
      <c r="T3075" s="114" t="s">
        <v>3826</v>
      </c>
      <c r="U3075" s="114"/>
      <c r="V3075" s="114" t="s">
        <v>3820</v>
      </c>
      <c r="W3075" s="114" t="s">
        <v>3436</v>
      </c>
      <c r="X3075" s="114" t="s">
        <v>13</v>
      </c>
      <c r="Y3075" s="149"/>
      <c r="Z3075" s="183"/>
      <c r="AA3075" s="183"/>
      <c r="AB3075" s="183"/>
      <c r="AC3075" s="183"/>
      <c r="AD3075" s="183"/>
      <c r="AE3075" s="184"/>
      <c r="AF3075" s="184"/>
      <c r="AG3075" s="183"/>
      <c r="AH3075" s="183"/>
      <c r="AI3075" s="183"/>
      <c r="AJ3075" s="183"/>
      <c r="AK3075" s="183"/>
      <c r="AL3075" s="183"/>
      <c r="AM3075" s="183"/>
      <c r="AN3075" s="131"/>
      <c r="AO3075" s="131"/>
      <c r="AP3075" s="131"/>
      <c r="AQ3075" s="131"/>
      <c r="AR3075" s="288"/>
      <c r="AS3075" s="259"/>
      <c r="AT3075" s="183"/>
      <c r="AU3075" s="140" t="s">
        <v>4293</v>
      </c>
      <c r="AV3075" s="6" t="str">
        <f t="shared" si="64"/>
        <v>OK</v>
      </c>
    </row>
    <row r="3076" spans="1:48" ht="35.25" thickBot="1" x14ac:dyDescent="0.5">
      <c r="A3076" s="35" t="s">
        <v>2062</v>
      </c>
      <c r="B3076" s="3" t="s">
        <v>2063</v>
      </c>
      <c r="C3076" s="4" t="s">
        <v>13</v>
      </c>
      <c r="D3076" s="4" t="s">
        <v>13</v>
      </c>
      <c r="E3076" s="4" t="s">
        <v>13</v>
      </c>
      <c r="F3076" s="4" t="s">
        <v>13</v>
      </c>
      <c r="G3076" s="4" t="s">
        <v>13</v>
      </c>
      <c r="H3076" s="4" t="s">
        <v>13</v>
      </c>
      <c r="I3076" s="18" t="s">
        <v>2473</v>
      </c>
      <c r="J3076" s="18" t="s">
        <v>2473</v>
      </c>
      <c r="K3076" s="18" t="s">
        <v>2473</v>
      </c>
      <c r="Q3076" s="8" t="s">
        <v>3820</v>
      </c>
      <c r="R3076" s="122" t="s">
        <v>3529</v>
      </c>
      <c r="S3076" s="114" t="s">
        <v>4</v>
      </c>
      <c r="T3076" s="114" t="s">
        <v>3827</v>
      </c>
      <c r="U3076" s="114" t="s">
        <v>3524</v>
      </c>
      <c r="V3076" s="114" t="s">
        <v>3530</v>
      </c>
      <c r="W3076" s="114" t="s">
        <v>3436</v>
      </c>
      <c r="X3076" s="114" t="s">
        <v>13</v>
      </c>
      <c r="Y3076" s="149"/>
      <c r="Z3076" s="183"/>
      <c r="AA3076" s="183"/>
      <c r="AB3076" s="183"/>
      <c r="AC3076" s="183"/>
      <c r="AD3076" s="183"/>
      <c r="AE3076" s="184"/>
      <c r="AF3076" s="184"/>
      <c r="AG3076" s="183"/>
      <c r="AH3076" s="183"/>
      <c r="AI3076" s="183"/>
      <c r="AJ3076" s="183"/>
      <c r="AK3076" s="183"/>
      <c r="AL3076" s="183"/>
      <c r="AM3076" s="183"/>
      <c r="AN3076" s="131"/>
      <c r="AO3076" s="131"/>
      <c r="AP3076" s="131"/>
      <c r="AQ3076" s="131"/>
      <c r="AR3076" s="288"/>
      <c r="AS3076" s="259"/>
      <c r="AT3076" s="183"/>
      <c r="AU3076" s="140" t="s">
        <v>4293</v>
      </c>
      <c r="AV3076" s="6" t="str">
        <f t="shared" si="64"/>
        <v>OK</v>
      </c>
    </row>
    <row r="3077" spans="1:48" ht="35.25" thickBot="1" x14ac:dyDescent="0.5">
      <c r="A3077" s="35" t="s">
        <v>2064</v>
      </c>
      <c r="B3077" s="3" t="s">
        <v>2065</v>
      </c>
      <c r="C3077" s="4" t="s">
        <v>10</v>
      </c>
      <c r="D3077" s="4" t="s">
        <v>13</v>
      </c>
      <c r="E3077" s="4" t="s">
        <v>10</v>
      </c>
      <c r="F3077" s="4" t="s">
        <v>13</v>
      </c>
      <c r="G3077" s="4" t="s">
        <v>10</v>
      </c>
      <c r="H3077" s="4" t="s">
        <v>13</v>
      </c>
      <c r="I3077" s="18" t="s">
        <v>2473</v>
      </c>
      <c r="J3077" s="18" t="s">
        <v>2473</v>
      </c>
      <c r="K3077" s="18" t="s">
        <v>2473</v>
      </c>
      <c r="Q3077" s="8" t="s">
        <v>3820</v>
      </c>
      <c r="R3077" s="122" t="s">
        <v>3529</v>
      </c>
      <c r="S3077" s="114" t="s">
        <v>4</v>
      </c>
      <c r="T3077" s="114" t="s">
        <v>3828</v>
      </c>
      <c r="U3077" s="114" t="s">
        <v>3521</v>
      </c>
      <c r="V3077" s="114" t="s">
        <v>3843</v>
      </c>
      <c r="W3077" s="114" t="s">
        <v>3436</v>
      </c>
      <c r="X3077" s="114" t="s">
        <v>13</v>
      </c>
      <c r="Y3077" s="149"/>
      <c r="Z3077" s="183"/>
      <c r="AA3077" s="183"/>
      <c r="AB3077" s="183"/>
      <c r="AC3077" s="183"/>
      <c r="AD3077" s="183"/>
      <c r="AE3077" s="184"/>
      <c r="AF3077" s="184"/>
      <c r="AG3077" s="183"/>
      <c r="AH3077" s="183"/>
      <c r="AI3077" s="183"/>
      <c r="AJ3077" s="183"/>
      <c r="AK3077" s="183"/>
      <c r="AL3077" s="183"/>
      <c r="AM3077" s="183"/>
      <c r="AN3077" s="131"/>
      <c r="AO3077" s="131"/>
      <c r="AP3077" s="131"/>
      <c r="AQ3077" s="131"/>
      <c r="AR3077" s="288"/>
      <c r="AS3077" s="259"/>
      <c r="AT3077" s="183"/>
      <c r="AU3077" s="140" t="s">
        <v>4293</v>
      </c>
      <c r="AV3077" s="6" t="str">
        <f t="shared" si="64"/>
        <v>OK</v>
      </c>
    </row>
    <row r="3078" spans="1:48" ht="35.25" thickBot="1" x14ac:dyDescent="0.5">
      <c r="A3078" s="35" t="s">
        <v>2066</v>
      </c>
      <c r="B3078" s="3" t="s">
        <v>2067</v>
      </c>
      <c r="C3078" s="4" t="s">
        <v>10</v>
      </c>
      <c r="D3078" s="4" t="s">
        <v>13</v>
      </c>
      <c r="E3078" s="4" t="s">
        <v>10</v>
      </c>
      <c r="F3078" s="4" t="s">
        <v>13</v>
      </c>
      <c r="G3078" s="4" t="s">
        <v>10</v>
      </c>
      <c r="H3078" s="4" t="s">
        <v>13</v>
      </c>
      <c r="I3078" s="18" t="s">
        <v>2473</v>
      </c>
      <c r="J3078" s="18" t="s">
        <v>2473</v>
      </c>
      <c r="K3078" s="18" t="s">
        <v>2473</v>
      </c>
      <c r="Q3078" s="8" t="s">
        <v>3820</v>
      </c>
      <c r="R3078" s="122" t="s">
        <v>3529</v>
      </c>
      <c r="S3078" s="114" t="s">
        <v>4</v>
      </c>
      <c r="T3078" s="114" t="s">
        <v>3829</v>
      </c>
      <c r="U3078" s="114" t="s">
        <v>3525</v>
      </c>
      <c r="V3078" s="114" t="s">
        <v>3530</v>
      </c>
      <c r="W3078" s="114" t="s">
        <v>3436</v>
      </c>
      <c r="X3078" s="114" t="s">
        <v>13</v>
      </c>
      <c r="Y3078" s="149"/>
      <c r="Z3078" s="183"/>
      <c r="AA3078" s="183"/>
      <c r="AB3078" s="183"/>
      <c r="AC3078" s="183"/>
      <c r="AD3078" s="183"/>
      <c r="AE3078" s="184"/>
      <c r="AF3078" s="184"/>
      <c r="AG3078" s="183"/>
      <c r="AH3078" s="183"/>
      <c r="AI3078" s="183"/>
      <c r="AJ3078" s="183"/>
      <c r="AK3078" s="183"/>
      <c r="AL3078" s="183"/>
      <c r="AM3078" s="183"/>
      <c r="AN3078" s="131"/>
      <c r="AO3078" s="131"/>
      <c r="AP3078" s="131"/>
      <c r="AQ3078" s="131"/>
      <c r="AR3078" s="288"/>
      <c r="AS3078" s="259"/>
      <c r="AT3078" s="183"/>
      <c r="AU3078" s="140" t="s">
        <v>4293</v>
      </c>
      <c r="AV3078" s="6" t="str">
        <f t="shared" si="64"/>
        <v>OK</v>
      </c>
    </row>
    <row r="3079" spans="1:48" ht="35.25" thickBot="1" x14ac:dyDescent="0.5">
      <c r="A3079" s="35" t="s">
        <v>2068</v>
      </c>
      <c r="B3079" s="3" t="s">
        <v>4062</v>
      </c>
      <c r="C3079" s="4" t="s">
        <v>37</v>
      </c>
      <c r="D3079" s="4"/>
      <c r="E3079" s="4" t="s">
        <v>37</v>
      </c>
      <c r="F3079" s="4"/>
      <c r="G3079" s="4" t="s">
        <v>37</v>
      </c>
      <c r="H3079" s="4"/>
      <c r="I3079" s="18" t="s">
        <v>2473</v>
      </c>
      <c r="J3079" s="18" t="s">
        <v>2473</v>
      </c>
      <c r="K3079" s="18" t="s">
        <v>2473</v>
      </c>
      <c r="L3079" s="18" t="s">
        <v>2335</v>
      </c>
      <c r="Q3079" s="8" t="s">
        <v>3817</v>
      </c>
      <c r="R3079" s="122" t="s">
        <v>3435</v>
      </c>
      <c r="S3079" s="114" t="s">
        <v>3437</v>
      </c>
      <c r="T3079" s="114" t="s">
        <v>3830</v>
      </c>
      <c r="U3079" s="114"/>
      <c r="V3079" s="114" t="s">
        <v>3821</v>
      </c>
      <c r="W3079" s="114" t="s">
        <v>3436</v>
      </c>
      <c r="X3079" s="114" t="s">
        <v>13</v>
      </c>
      <c r="Y3079" s="149"/>
      <c r="Z3079" s="183"/>
      <c r="AA3079" s="183"/>
      <c r="AB3079" s="183"/>
      <c r="AC3079" s="183"/>
      <c r="AD3079" s="183"/>
      <c r="AE3079" s="184"/>
      <c r="AF3079" s="184"/>
      <c r="AG3079" s="183"/>
      <c r="AH3079" s="183"/>
      <c r="AI3079" s="183"/>
      <c r="AJ3079" s="183"/>
      <c r="AK3079" s="183"/>
      <c r="AL3079" s="183"/>
      <c r="AM3079" s="183"/>
      <c r="AN3079" s="131"/>
      <c r="AO3079" s="131"/>
      <c r="AP3079" s="131"/>
      <c r="AQ3079" s="131"/>
      <c r="AR3079" s="288"/>
      <c r="AS3079" s="259"/>
      <c r="AT3079" s="183"/>
      <c r="AU3079" s="140" t="s">
        <v>4293</v>
      </c>
      <c r="AV3079" s="6" t="str">
        <f t="shared" si="64"/>
        <v>OK</v>
      </c>
    </row>
    <row r="3080" spans="1:48" ht="24.4" thickBot="1" x14ac:dyDescent="0.5">
      <c r="A3080" s="35" t="s">
        <v>2069</v>
      </c>
      <c r="B3080" s="3" t="s">
        <v>2070</v>
      </c>
      <c r="C3080" s="4" t="s">
        <v>10</v>
      </c>
      <c r="D3080" s="4"/>
      <c r="E3080" s="4" t="s">
        <v>10</v>
      </c>
      <c r="F3080" s="4"/>
      <c r="G3080" s="4" t="s">
        <v>10</v>
      </c>
      <c r="H3080" s="4"/>
      <c r="I3080" s="18" t="s">
        <v>2473</v>
      </c>
      <c r="J3080" s="18" t="s">
        <v>2473</v>
      </c>
      <c r="K3080" s="18" t="s">
        <v>2473</v>
      </c>
      <c r="L3080" s="18" t="s">
        <v>2334</v>
      </c>
      <c r="Q3080" s="8" t="s">
        <v>3821</v>
      </c>
      <c r="R3080" s="122" t="s">
        <v>3435</v>
      </c>
      <c r="S3080" s="114" t="s">
        <v>3443</v>
      </c>
      <c r="T3080" s="114" t="s">
        <v>3831</v>
      </c>
      <c r="U3080" s="114" t="s">
        <v>3525</v>
      </c>
      <c r="V3080" s="114"/>
      <c r="W3080" s="114" t="s">
        <v>3436</v>
      </c>
      <c r="X3080" s="114" t="s">
        <v>13</v>
      </c>
      <c r="Y3080" s="149"/>
      <c r="Z3080" s="183"/>
      <c r="AA3080" s="183"/>
      <c r="AB3080" s="183"/>
      <c r="AC3080" s="183"/>
      <c r="AD3080" s="183"/>
      <c r="AE3080" s="184"/>
      <c r="AF3080" s="184"/>
      <c r="AG3080" s="183"/>
      <c r="AH3080" s="183"/>
      <c r="AI3080" s="183"/>
      <c r="AJ3080" s="183"/>
      <c r="AK3080" s="183"/>
      <c r="AL3080" s="183"/>
      <c r="AM3080" s="183"/>
      <c r="AN3080" s="131"/>
      <c r="AO3080" s="131"/>
      <c r="AP3080" s="131"/>
      <c r="AQ3080" s="131"/>
      <c r="AR3080" s="288"/>
      <c r="AS3080" s="259"/>
      <c r="AT3080" s="183"/>
      <c r="AU3080" s="6"/>
      <c r="AV3080" s="6" t="str">
        <f t="shared" si="64"/>
        <v>OK</v>
      </c>
    </row>
    <row r="3081" spans="1:48" ht="35.25" thickBot="1" x14ac:dyDescent="0.5">
      <c r="A3081" s="35" t="s">
        <v>2071</v>
      </c>
      <c r="B3081" s="3" t="s">
        <v>2072</v>
      </c>
      <c r="C3081" s="4" t="s">
        <v>10</v>
      </c>
      <c r="D3081" s="4"/>
      <c r="E3081" s="4" t="s">
        <v>10</v>
      </c>
      <c r="F3081" s="4"/>
      <c r="G3081" s="4" t="s">
        <v>10</v>
      </c>
      <c r="H3081" s="4"/>
      <c r="I3081" s="18" t="s">
        <v>2473</v>
      </c>
      <c r="J3081" s="18" t="s">
        <v>2473</v>
      </c>
      <c r="K3081" s="18" t="s">
        <v>2473</v>
      </c>
      <c r="Q3081" s="8" t="s">
        <v>3821</v>
      </c>
      <c r="R3081" s="122" t="s">
        <v>3529</v>
      </c>
      <c r="S3081" s="114" t="s">
        <v>4</v>
      </c>
      <c r="T3081" s="114" t="s">
        <v>3832</v>
      </c>
      <c r="U3081" s="114" t="s">
        <v>3524</v>
      </c>
      <c r="V3081" s="114" t="s">
        <v>3530</v>
      </c>
      <c r="W3081" s="114" t="s">
        <v>3436</v>
      </c>
      <c r="X3081" s="114" t="s">
        <v>13</v>
      </c>
      <c r="Y3081" s="149"/>
      <c r="Z3081" s="183"/>
      <c r="AA3081" s="183"/>
      <c r="AB3081" s="183"/>
      <c r="AC3081" s="183"/>
      <c r="AD3081" s="183"/>
      <c r="AE3081" s="184"/>
      <c r="AF3081" s="184"/>
      <c r="AG3081" s="183"/>
      <c r="AH3081" s="183"/>
      <c r="AI3081" s="183"/>
      <c r="AJ3081" s="183"/>
      <c r="AK3081" s="183"/>
      <c r="AL3081" s="183"/>
      <c r="AM3081" s="183"/>
      <c r="AN3081" s="131"/>
      <c r="AO3081" s="131"/>
      <c r="AP3081" s="131"/>
      <c r="AQ3081" s="131"/>
      <c r="AR3081" s="288"/>
      <c r="AS3081" s="259"/>
      <c r="AT3081" s="183"/>
      <c r="AU3081" s="140" t="s">
        <v>4293</v>
      </c>
      <c r="AV3081" s="6" t="str">
        <f t="shared" si="64"/>
        <v>OK</v>
      </c>
    </row>
    <row r="3082" spans="1:48" ht="35.25" thickBot="1" x14ac:dyDescent="0.5">
      <c r="A3082" s="35" t="s">
        <v>2073</v>
      </c>
      <c r="B3082" s="3" t="s">
        <v>2074</v>
      </c>
      <c r="C3082" s="4" t="s">
        <v>10</v>
      </c>
      <c r="D3082" s="4"/>
      <c r="E3082" s="4" t="s">
        <v>10</v>
      </c>
      <c r="F3082" s="4"/>
      <c r="G3082" s="4" t="s">
        <v>10</v>
      </c>
      <c r="H3082" s="4"/>
      <c r="I3082" s="18" t="s">
        <v>2473</v>
      </c>
      <c r="J3082" s="18" t="s">
        <v>2473</v>
      </c>
      <c r="K3082" s="18" t="s">
        <v>2473</v>
      </c>
      <c r="Q3082" s="8" t="s">
        <v>3821</v>
      </c>
      <c r="R3082" s="122" t="s">
        <v>3435</v>
      </c>
      <c r="S3082" s="114" t="s">
        <v>3443</v>
      </c>
      <c r="T3082" s="114" t="s">
        <v>3833</v>
      </c>
      <c r="U3082" s="114" t="s">
        <v>3525</v>
      </c>
      <c r="V3082" s="114"/>
      <c r="W3082" s="114" t="s">
        <v>3436</v>
      </c>
      <c r="X3082" s="114" t="s">
        <v>13</v>
      </c>
      <c r="Y3082" s="149"/>
      <c r="Z3082" s="183"/>
      <c r="AA3082" s="183"/>
      <c r="AB3082" s="183"/>
      <c r="AC3082" s="183"/>
      <c r="AD3082" s="183"/>
      <c r="AE3082" s="184"/>
      <c r="AF3082" s="184"/>
      <c r="AG3082" s="183"/>
      <c r="AH3082" s="183"/>
      <c r="AI3082" s="183"/>
      <c r="AJ3082" s="183"/>
      <c r="AK3082" s="183"/>
      <c r="AL3082" s="183"/>
      <c r="AM3082" s="183"/>
      <c r="AN3082" s="131"/>
      <c r="AO3082" s="131"/>
      <c r="AP3082" s="131"/>
      <c r="AQ3082" s="131"/>
      <c r="AR3082" s="288"/>
      <c r="AS3082" s="259"/>
      <c r="AT3082" s="183"/>
      <c r="AU3082" s="140" t="s">
        <v>4293</v>
      </c>
      <c r="AV3082" s="6" t="str">
        <f t="shared" si="64"/>
        <v>OK</v>
      </c>
    </row>
    <row r="3083" spans="1:48" ht="35.25" thickBot="1" x14ac:dyDescent="0.5">
      <c r="A3083" s="35" t="s">
        <v>2075</v>
      </c>
      <c r="B3083" s="3" t="s">
        <v>2076</v>
      </c>
      <c r="C3083" s="4" t="s">
        <v>10</v>
      </c>
      <c r="D3083" s="4"/>
      <c r="E3083" s="4" t="s">
        <v>10</v>
      </c>
      <c r="F3083" s="4"/>
      <c r="G3083" s="4" t="s">
        <v>10</v>
      </c>
      <c r="H3083" s="4"/>
      <c r="I3083" s="18" t="s">
        <v>2473</v>
      </c>
      <c r="J3083" s="18" t="s">
        <v>2473</v>
      </c>
      <c r="K3083" s="18" t="s">
        <v>2473</v>
      </c>
      <c r="Q3083" s="8" t="s">
        <v>3821</v>
      </c>
      <c r="R3083" s="122" t="s">
        <v>3435</v>
      </c>
      <c r="S3083" s="114" t="s">
        <v>3443</v>
      </c>
      <c r="T3083" s="114" t="s">
        <v>3834</v>
      </c>
      <c r="U3083" s="114" t="s">
        <v>3525</v>
      </c>
      <c r="V3083" s="114"/>
      <c r="W3083" s="114" t="s">
        <v>3436</v>
      </c>
      <c r="X3083" s="114" t="s">
        <v>13</v>
      </c>
      <c r="Y3083" s="149"/>
      <c r="Z3083" s="183"/>
      <c r="AA3083" s="183"/>
      <c r="AB3083" s="183"/>
      <c r="AC3083" s="183"/>
      <c r="AD3083" s="183"/>
      <c r="AE3083" s="184"/>
      <c r="AF3083" s="184"/>
      <c r="AG3083" s="183"/>
      <c r="AH3083" s="183"/>
      <c r="AI3083" s="183"/>
      <c r="AJ3083" s="183"/>
      <c r="AK3083" s="183"/>
      <c r="AL3083" s="183"/>
      <c r="AM3083" s="183"/>
      <c r="AN3083" s="131"/>
      <c r="AO3083" s="131"/>
      <c r="AP3083" s="131"/>
      <c r="AQ3083" s="131"/>
      <c r="AR3083" s="288"/>
      <c r="AS3083" s="259"/>
      <c r="AT3083" s="183"/>
      <c r="AU3083" s="140" t="s">
        <v>4293</v>
      </c>
      <c r="AV3083" s="6" t="str">
        <f t="shared" si="64"/>
        <v>OK</v>
      </c>
    </row>
    <row r="3084" spans="1:48" ht="35.25" thickBot="1" x14ac:dyDescent="0.5">
      <c r="A3084" s="35" t="s">
        <v>2077</v>
      </c>
      <c r="B3084" s="3" t="s">
        <v>2078</v>
      </c>
      <c r="C3084" s="4"/>
      <c r="D3084" s="4"/>
      <c r="E3084" s="4"/>
      <c r="F3084" s="4"/>
      <c r="G3084" s="4"/>
      <c r="H3084" s="4"/>
      <c r="I3084" s="18" t="s">
        <v>2473</v>
      </c>
      <c r="J3084" s="18" t="s">
        <v>2473</v>
      </c>
      <c r="K3084" s="18" t="s">
        <v>2473</v>
      </c>
      <c r="L3084" s="18" t="s">
        <v>2335</v>
      </c>
      <c r="AU3084" s="6"/>
      <c r="AV3084" s="6" t="str">
        <f t="shared" si="64"/>
        <v/>
      </c>
    </row>
    <row r="3085" spans="1:48" ht="14.65" thickBot="1" x14ac:dyDescent="0.5">
      <c r="A3085" s="35" t="s">
        <v>2079</v>
      </c>
      <c r="B3085" s="3" t="s">
        <v>2080</v>
      </c>
      <c r="C3085" s="4"/>
      <c r="D3085" s="4"/>
      <c r="E3085" s="4"/>
      <c r="F3085" s="4"/>
      <c r="G3085" s="4"/>
      <c r="H3085" s="4"/>
      <c r="I3085" s="18" t="s">
        <v>2473</v>
      </c>
      <c r="J3085" s="18" t="s">
        <v>2473</v>
      </c>
      <c r="K3085" s="18" t="s">
        <v>2473</v>
      </c>
      <c r="L3085" s="18" t="s">
        <v>2335</v>
      </c>
      <c r="AU3085" s="6"/>
      <c r="AV3085" s="6" t="str">
        <f t="shared" si="64"/>
        <v/>
      </c>
    </row>
    <row r="3086" spans="1:48" ht="14.65" thickBot="1" x14ac:dyDescent="0.5">
      <c r="A3086" s="35" t="s">
        <v>43</v>
      </c>
      <c r="B3086" s="3" t="s">
        <v>84</v>
      </c>
      <c r="C3086" s="4"/>
      <c r="D3086" s="4"/>
      <c r="E3086" s="4"/>
      <c r="F3086" s="4"/>
      <c r="G3086" s="4"/>
      <c r="H3086" s="4"/>
      <c r="I3086" s="18" t="s">
        <v>2473</v>
      </c>
      <c r="J3086" s="18" t="s">
        <v>2473</v>
      </c>
      <c r="K3086" s="18" t="s">
        <v>2473</v>
      </c>
      <c r="L3086" s="18" t="s">
        <v>2335</v>
      </c>
      <c r="AU3086" s="6"/>
      <c r="AV3086" s="6" t="str">
        <f t="shared" si="64"/>
        <v/>
      </c>
    </row>
    <row r="3087" spans="1:48" ht="47.65" thickBot="1" x14ac:dyDescent="0.5">
      <c r="A3087" s="35" t="s">
        <v>69</v>
      </c>
      <c r="B3087" s="3" t="s">
        <v>3968</v>
      </c>
      <c r="C3087" s="4"/>
      <c r="D3087" s="4"/>
      <c r="E3087" s="4"/>
      <c r="F3087" s="4"/>
      <c r="G3087" s="4"/>
      <c r="H3087" s="4"/>
      <c r="I3087" s="18" t="s">
        <v>2473</v>
      </c>
      <c r="J3087" s="18" t="s">
        <v>2473</v>
      </c>
      <c r="K3087" s="18" t="s">
        <v>2473</v>
      </c>
      <c r="L3087" s="18" t="s">
        <v>2335</v>
      </c>
      <c r="AS3087" s="139" t="s">
        <v>5364</v>
      </c>
      <c r="AU3087" s="6"/>
      <c r="AV3087" s="6" t="str">
        <f t="shared" si="64"/>
        <v/>
      </c>
    </row>
    <row r="3088" spans="1:48" ht="47.65" thickBot="1" x14ac:dyDescent="0.5">
      <c r="A3088" s="35" t="s">
        <v>5358</v>
      </c>
      <c r="B3088" s="3" t="s">
        <v>5352</v>
      </c>
      <c r="C3088" s="4"/>
      <c r="D3088" s="4"/>
      <c r="E3088" s="4"/>
      <c r="F3088" s="4"/>
      <c r="G3088" s="4"/>
      <c r="H3088" s="4"/>
      <c r="I3088" s="18" t="s">
        <v>2473</v>
      </c>
      <c r="J3088" s="18" t="s">
        <v>2473</v>
      </c>
      <c r="K3088" s="18" t="s">
        <v>2473</v>
      </c>
      <c r="Q3088" s="131"/>
      <c r="R3088" s="131"/>
      <c r="S3088" s="131"/>
      <c r="T3088" s="131"/>
      <c r="U3088" s="131"/>
      <c r="V3088" s="131"/>
      <c r="W3088" s="131"/>
      <c r="X3088" s="131"/>
      <c r="AS3088" s="139" t="s">
        <v>5364</v>
      </c>
      <c r="AU3088" s="6"/>
      <c r="AV3088" s="6"/>
    </row>
    <row r="3089" spans="1:48" ht="47.65" thickBot="1" x14ac:dyDescent="0.5">
      <c r="A3089" s="35" t="s">
        <v>5359</v>
      </c>
      <c r="B3089" s="3" t="s">
        <v>5353</v>
      </c>
      <c r="C3089" s="4"/>
      <c r="D3089" s="4"/>
      <c r="E3089" s="4"/>
      <c r="F3089" s="4"/>
      <c r="G3089" s="4"/>
      <c r="H3089" s="4"/>
      <c r="I3089" s="18" t="s">
        <v>2473</v>
      </c>
      <c r="J3089" s="18" t="s">
        <v>2473</v>
      </c>
      <c r="K3089" s="18" t="s">
        <v>2473</v>
      </c>
      <c r="Q3089" s="131"/>
      <c r="R3089" s="131"/>
      <c r="S3089" s="131"/>
      <c r="T3089" s="131"/>
      <c r="U3089" s="131"/>
      <c r="V3089" s="131"/>
      <c r="W3089" s="131"/>
      <c r="X3089" s="131"/>
      <c r="AS3089" s="139" t="s">
        <v>5364</v>
      </c>
      <c r="AU3089" s="6"/>
      <c r="AV3089" s="6"/>
    </row>
    <row r="3090" spans="1:48" ht="30.75" thickBot="1" x14ac:dyDescent="0.5">
      <c r="A3090" s="36" t="s">
        <v>2081</v>
      </c>
      <c r="B3090" s="3" t="s">
        <v>2082</v>
      </c>
      <c r="C3090" s="4" t="s">
        <v>37</v>
      </c>
      <c r="D3090" s="4"/>
      <c r="E3090" s="4" t="s">
        <v>10</v>
      </c>
      <c r="F3090" s="4"/>
      <c r="G3090" s="4" t="s">
        <v>37</v>
      </c>
      <c r="H3090" s="4"/>
      <c r="I3090" s="18" t="s">
        <v>2473</v>
      </c>
      <c r="J3090" s="18" t="s">
        <v>2473</v>
      </c>
      <c r="K3090" s="18" t="s">
        <v>2473</v>
      </c>
      <c r="L3090" s="18" t="s">
        <v>2334</v>
      </c>
      <c r="R3090" s="122" t="s">
        <v>3435</v>
      </c>
      <c r="S3090" s="114" t="s">
        <v>3437</v>
      </c>
      <c r="T3090" s="114" t="s">
        <v>2081</v>
      </c>
      <c r="U3090" s="114"/>
      <c r="V3090" s="114" t="s">
        <v>3822</v>
      </c>
      <c r="W3090" s="114" t="s">
        <v>3436</v>
      </c>
      <c r="X3090" s="114" t="s">
        <v>13</v>
      </c>
      <c r="Y3090" s="149"/>
      <c r="Z3090" s="183"/>
      <c r="AA3090" s="183"/>
      <c r="AB3090" s="183"/>
      <c r="AC3090" s="183"/>
      <c r="AD3090" s="183"/>
      <c r="AE3090" s="184"/>
      <c r="AF3090" s="184"/>
      <c r="AG3090" s="183"/>
      <c r="AH3090" s="183"/>
      <c r="AI3090" s="183"/>
      <c r="AJ3090" s="183"/>
      <c r="AK3090" s="183"/>
      <c r="AL3090" s="183"/>
      <c r="AM3090" s="183"/>
      <c r="AN3090" s="131"/>
      <c r="AO3090" s="131"/>
      <c r="AP3090" s="131"/>
      <c r="AQ3090" s="131"/>
      <c r="AR3090" s="288"/>
      <c r="AS3090" s="259"/>
      <c r="AT3090" s="183"/>
      <c r="AU3090" s="6"/>
      <c r="AV3090" s="6" t="str">
        <f t="shared" si="64"/>
        <v>OK</v>
      </c>
    </row>
    <row r="3091" spans="1:48" ht="14.65" thickBot="1" x14ac:dyDescent="0.5">
      <c r="A3091" s="35" t="s">
        <v>33</v>
      </c>
      <c r="B3091" s="5" t="s">
        <v>84</v>
      </c>
      <c r="C3091" s="4"/>
      <c r="D3091" s="4"/>
      <c r="E3091" s="4"/>
      <c r="F3091" s="4"/>
      <c r="G3091" s="4"/>
      <c r="H3091" s="4"/>
      <c r="I3091" s="18" t="s">
        <v>2473</v>
      </c>
      <c r="J3091" s="18" t="s">
        <v>2473</v>
      </c>
      <c r="K3091" s="18" t="s">
        <v>2473</v>
      </c>
      <c r="L3091" s="18" t="s">
        <v>2335</v>
      </c>
      <c r="AU3091" s="6"/>
      <c r="AV3091" s="6" t="str">
        <f t="shared" si="64"/>
        <v/>
      </c>
    </row>
    <row r="3092" spans="1:48" ht="14.65" thickBot="1" x14ac:dyDescent="0.5">
      <c r="A3092" s="35" t="s">
        <v>442</v>
      </c>
      <c r="B3092" s="3" t="s">
        <v>9</v>
      </c>
      <c r="C3092" s="4"/>
      <c r="D3092" s="4"/>
      <c r="E3092" s="4"/>
      <c r="F3092" s="4"/>
      <c r="G3092" s="4"/>
      <c r="H3092" s="4"/>
      <c r="I3092" s="18" t="s">
        <v>2473</v>
      </c>
      <c r="J3092" s="18" t="s">
        <v>2473</v>
      </c>
      <c r="K3092" s="18" t="s">
        <v>2473</v>
      </c>
      <c r="L3092" s="18" t="s">
        <v>2335</v>
      </c>
      <c r="AU3092" s="6"/>
      <c r="AV3092" s="6" t="str">
        <f t="shared" si="64"/>
        <v/>
      </c>
    </row>
    <row r="3093" spans="1:48" ht="14.65" thickBot="1" x14ac:dyDescent="0.5">
      <c r="A3093" s="35" t="s">
        <v>443</v>
      </c>
      <c r="B3093" s="3" t="s">
        <v>2083</v>
      </c>
      <c r="C3093" s="4"/>
      <c r="D3093" s="4"/>
      <c r="E3093" s="4"/>
      <c r="F3093" s="4"/>
      <c r="G3093" s="4"/>
      <c r="H3093" s="4"/>
      <c r="I3093" s="18" t="s">
        <v>2473</v>
      </c>
      <c r="J3093" s="18" t="s">
        <v>2473</v>
      </c>
      <c r="K3093" s="18" t="s">
        <v>2473</v>
      </c>
      <c r="L3093" s="18" t="s">
        <v>2335</v>
      </c>
      <c r="AU3093" s="6"/>
      <c r="AV3093" s="6" t="str">
        <f t="shared" si="64"/>
        <v/>
      </c>
    </row>
    <row r="3094" spans="1:48" ht="14.65" thickBot="1" x14ac:dyDescent="0.5">
      <c r="A3094" s="35" t="s">
        <v>43</v>
      </c>
      <c r="B3094" s="3" t="s">
        <v>183</v>
      </c>
      <c r="C3094" s="4"/>
      <c r="D3094" s="4"/>
      <c r="E3094" s="4"/>
      <c r="F3094" s="4"/>
      <c r="G3094" s="4"/>
      <c r="H3094" s="4"/>
      <c r="I3094" s="18" t="s">
        <v>2473</v>
      </c>
      <c r="J3094" s="18" t="s">
        <v>2473</v>
      </c>
      <c r="K3094" s="18" t="s">
        <v>2473</v>
      </c>
      <c r="L3094" s="18" t="s">
        <v>2335</v>
      </c>
      <c r="AU3094" s="6"/>
      <c r="AV3094" s="6" t="str">
        <f t="shared" si="64"/>
        <v/>
      </c>
    </row>
    <row r="3095" spans="1:48" ht="14.65" thickBot="1" x14ac:dyDescent="0.5">
      <c r="A3095" s="35" t="s">
        <v>2084</v>
      </c>
      <c r="B3095" s="3" t="s">
        <v>2085</v>
      </c>
      <c r="C3095" s="4"/>
      <c r="D3095" s="4"/>
      <c r="E3095" s="4"/>
      <c r="F3095" s="4"/>
      <c r="G3095" s="4"/>
      <c r="H3095" s="4"/>
      <c r="I3095" s="18" t="s">
        <v>2473</v>
      </c>
      <c r="J3095" s="18" t="s">
        <v>2473</v>
      </c>
      <c r="K3095" s="18" t="s">
        <v>2473</v>
      </c>
      <c r="L3095" s="18" t="s">
        <v>2335</v>
      </c>
      <c r="AU3095" s="6"/>
      <c r="AV3095" s="6" t="str">
        <f t="shared" si="64"/>
        <v/>
      </c>
    </row>
    <row r="3096" spans="1:48" ht="36" thickBot="1" x14ac:dyDescent="0.5">
      <c r="A3096" s="35" t="s">
        <v>153</v>
      </c>
      <c r="B3096" s="3" t="s">
        <v>2086</v>
      </c>
      <c r="C3096" s="4" t="s">
        <v>13</v>
      </c>
      <c r="D3096" s="4"/>
      <c r="E3096" s="4" t="s">
        <v>13</v>
      </c>
      <c r="F3096" s="4"/>
      <c r="G3096" s="4" t="s">
        <v>13</v>
      </c>
      <c r="H3096" s="4"/>
      <c r="I3096" s="18" t="s">
        <v>2473</v>
      </c>
      <c r="J3096" s="18" t="s">
        <v>2473</v>
      </c>
      <c r="K3096" s="18" t="s">
        <v>2473</v>
      </c>
      <c r="Q3096" s="8" t="s">
        <v>3822</v>
      </c>
      <c r="R3096" s="122" t="s">
        <v>3529</v>
      </c>
      <c r="S3096" s="114" t="s">
        <v>4</v>
      </c>
      <c r="T3096" s="114" t="s">
        <v>897</v>
      </c>
      <c r="U3096" s="114" t="s">
        <v>3521</v>
      </c>
      <c r="V3096" s="114" t="s">
        <v>3530</v>
      </c>
      <c r="W3096" s="114" t="s">
        <v>3436</v>
      </c>
      <c r="X3096" s="114" t="s">
        <v>13</v>
      </c>
      <c r="Y3096" s="149"/>
      <c r="Z3096" s="183"/>
      <c r="AA3096" s="183"/>
      <c r="AB3096" s="183"/>
      <c r="AC3096" s="183"/>
      <c r="AD3096" s="183"/>
      <c r="AE3096" s="184"/>
      <c r="AF3096" s="184"/>
      <c r="AG3096" s="183"/>
      <c r="AH3096" s="183"/>
      <c r="AI3096" s="183"/>
      <c r="AJ3096" s="183"/>
      <c r="AK3096" s="183"/>
      <c r="AL3096" s="183"/>
      <c r="AM3096" s="183"/>
      <c r="AN3096" s="131"/>
      <c r="AO3096" s="131"/>
      <c r="AP3096" s="131"/>
      <c r="AQ3096" s="131"/>
      <c r="AR3096" s="288"/>
      <c r="AS3096" s="259"/>
      <c r="AT3096" s="183"/>
      <c r="AU3096" s="140" t="s">
        <v>4293</v>
      </c>
      <c r="AV3096" s="6" t="str">
        <f t="shared" si="64"/>
        <v>OK</v>
      </c>
    </row>
    <row r="3097" spans="1:48" ht="23.65" thickBot="1" x14ac:dyDescent="0.5">
      <c r="A3097" s="35" t="s">
        <v>2087</v>
      </c>
      <c r="B3097" s="3" t="s">
        <v>2088</v>
      </c>
      <c r="C3097" s="4"/>
      <c r="D3097" s="4"/>
      <c r="E3097" s="4"/>
      <c r="F3097" s="4"/>
      <c r="G3097" s="4"/>
      <c r="H3097" s="4"/>
      <c r="I3097" s="18" t="s">
        <v>2473</v>
      </c>
      <c r="J3097" s="18" t="s">
        <v>2473</v>
      </c>
      <c r="K3097" s="18" t="s">
        <v>2473</v>
      </c>
      <c r="L3097" s="18" t="s">
        <v>2335</v>
      </c>
      <c r="AU3097" s="6"/>
      <c r="AV3097" s="6" t="str">
        <f t="shared" si="64"/>
        <v/>
      </c>
    </row>
    <row r="3098" spans="1:48" ht="14.65" thickBot="1" x14ac:dyDescent="0.5">
      <c r="A3098" s="35" t="s">
        <v>2089</v>
      </c>
      <c r="B3098" s="3" t="s">
        <v>2090</v>
      </c>
      <c r="C3098" s="4"/>
      <c r="D3098" s="4"/>
      <c r="E3098" s="4"/>
      <c r="F3098" s="4"/>
      <c r="G3098" s="4"/>
      <c r="H3098" s="4"/>
      <c r="I3098" s="18" t="s">
        <v>2473</v>
      </c>
      <c r="J3098" s="18" t="s">
        <v>2473</v>
      </c>
      <c r="K3098" s="18" t="s">
        <v>2473</v>
      </c>
      <c r="L3098" s="18" t="s">
        <v>2335</v>
      </c>
      <c r="AU3098" s="6"/>
      <c r="AV3098" s="6" t="str">
        <f t="shared" si="64"/>
        <v/>
      </c>
    </row>
    <row r="3099" spans="1:48" ht="14.65" thickBot="1" x14ac:dyDescent="0.5">
      <c r="A3099" s="35" t="s">
        <v>2091</v>
      </c>
      <c r="B3099" s="3" t="s">
        <v>2092</v>
      </c>
      <c r="C3099" s="4"/>
      <c r="D3099" s="4"/>
      <c r="E3099" s="4"/>
      <c r="F3099" s="4"/>
      <c r="G3099" s="4"/>
      <c r="H3099" s="4"/>
      <c r="I3099" s="18" t="s">
        <v>2473</v>
      </c>
      <c r="J3099" s="18" t="s">
        <v>2473</v>
      </c>
      <c r="K3099" s="18" t="s">
        <v>2473</v>
      </c>
      <c r="L3099" s="18" t="s">
        <v>2335</v>
      </c>
      <c r="AU3099" s="6"/>
      <c r="AV3099" s="6" t="str">
        <f t="shared" si="64"/>
        <v/>
      </c>
    </row>
    <row r="3100" spans="1:48" ht="14.65" thickBot="1" x14ac:dyDescent="0.5">
      <c r="A3100" s="35" t="s">
        <v>2093</v>
      </c>
      <c r="B3100" s="3" t="s">
        <v>2094</v>
      </c>
      <c r="C3100" s="4"/>
      <c r="D3100" s="4"/>
      <c r="E3100" s="4"/>
      <c r="F3100" s="4"/>
      <c r="G3100" s="4"/>
      <c r="H3100" s="4"/>
      <c r="I3100" s="18" t="s">
        <v>2473</v>
      </c>
      <c r="J3100" s="18" t="s">
        <v>2473</v>
      </c>
      <c r="K3100" s="18" t="s">
        <v>2473</v>
      </c>
      <c r="L3100" s="18" t="s">
        <v>2335</v>
      </c>
      <c r="AU3100" s="6"/>
      <c r="AV3100" s="6" t="str">
        <f t="shared" si="64"/>
        <v/>
      </c>
    </row>
    <row r="3101" spans="1:48" ht="23.65" thickBot="1" x14ac:dyDescent="0.5">
      <c r="A3101" s="35" t="s">
        <v>2095</v>
      </c>
      <c r="B3101" s="3" t="s">
        <v>2096</v>
      </c>
      <c r="C3101" s="4"/>
      <c r="D3101" s="4"/>
      <c r="E3101" s="4"/>
      <c r="F3101" s="4"/>
      <c r="G3101" s="4"/>
      <c r="H3101" s="4"/>
      <c r="I3101" s="18" t="s">
        <v>2473</v>
      </c>
      <c r="J3101" s="18" t="s">
        <v>2473</v>
      </c>
      <c r="K3101" s="18" t="s">
        <v>2473</v>
      </c>
      <c r="L3101" s="18" t="s">
        <v>2335</v>
      </c>
      <c r="AU3101" s="6"/>
      <c r="AV3101" s="6" t="str">
        <f t="shared" si="64"/>
        <v/>
      </c>
    </row>
    <row r="3102" spans="1:48" ht="23.65" thickBot="1" x14ac:dyDescent="0.5">
      <c r="A3102" s="35" t="s">
        <v>2097</v>
      </c>
      <c r="B3102" s="3" t="s">
        <v>2098</v>
      </c>
      <c r="C3102" s="4"/>
      <c r="D3102" s="4"/>
      <c r="E3102" s="4"/>
      <c r="F3102" s="4"/>
      <c r="G3102" s="4"/>
      <c r="H3102" s="4"/>
      <c r="I3102" s="18" t="s">
        <v>2473</v>
      </c>
      <c r="J3102" s="18" t="s">
        <v>2473</v>
      </c>
      <c r="K3102" s="18" t="s">
        <v>2473</v>
      </c>
      <c r="L3102" s="18" t="s">
        <v>2335</v>
      </c>
      <c r="AU3102" s="6"/>
      <c r="AV3102" s="6" t="str">
        <f t="shared" si="64"/>
        <v/>
      </c>
    </row>
    <row r="3103" spans="1:48" ht="23.65" thickBot="1" x14ac:dyDescent="0.5">
      <c r="A3103" s="35" t="s">
        <v>2099</v>
      </c>
      <c r="B3103" s="3" t="s">
        <v>2100</v>
      </c>
      <c r="C3103" s="4"/>
      <c r="D3103" s="4"/>
      <c r="E3103" s="4"/>
      <c r="F3103" s="4"/>
      <c r="G3103" s="4"/>
      <c r="H3103" s="4"/>
      <c r="I3103" s="18" t="s">
        <v>2473</v>
      </c>
      <c r="J3103" s="18" t="s">
        <v>2473</v>
      </c>
      <c r="K3103" s="18" t="s">
        <v>2473</v>
      </c>
      <c r="L3103" s="18" t="s">
        <v>2335</v>
      </c>
      <c r="AU3103" s="6"/>
      <c r="AV3103" s="6" t="str">
        <f t="shared" si="64"/>
        <v/>
      </c>
    </row>
    <row r="3104" spans="1:48" ht="23.65" thickBot="1" x14ac:dyDescent="0.5">
      <c r="A3104" s="35" t="s">
        <v>2101</v>
      </c>
      <c r="B3104" s="3" t="s">
        <v>2102</v>
      </c>
      <c r="C3104" s="4"/>
      <c r="D3104" s="4"/>
      <c r="E3104" s="4"/>
      <c r="F3104" s="4"/>
      <c r="G3104" s="4"/>
      <c r="H3104" s="4"/>
      <c r="I3104" s="18" t="s">
        <v>2473</v>
      </c>
      <c r="J3104" s="18" t="s">
        <v>2473</v>
      </c>
      <c r="K3104" s="18" t="s">
        <v>2473</v>
      </c>
      <c r="L3104" s="18" t="s">
        <v>2335</v>
      </c>
      <c r="AU3104" s="6"/>
      <c r="AV3104" s="6" t="str">
        <f t="shared" si="64"/>
        <v/>
      </c>
    </row>
    <row r="3105" spans="1:48" ht="14.65" thickBot="1" x14ac:dyDescent="0.5">
      <c r="A3105" s="35" t="s">
        <v>2037</v>
      </c>
      <c r="B3105" s="3" t="s">
        <v>60</v>
      </c>
      <c r="C3105" s="4"/>
      <c r="D3105" s="4"/>
      <c r="E3105" s="4"/>
      <c r="F3105" s="4"/>
      <c r="G3105" s="4"/>
      <c r="H3105" s="4"/>
      <c r="I3105" s="18" t="s">
        <v>2473</v>
      </c>
      <c r="J3105" s="18" t="s">
        <v>2473</v>
      </c>
      <c r="K3105" s="18" t="s">
        <v>2473</v>
      </c>
      <c r="L3105" s="18" t="s">
        <v>2335</v>
      </c>
      <c r="AU3105" s="6"/>
      <c r="AV3105" s="6" t="str">
        <f t="shared" ref="AV3105:AV3172" si="65">IF(A3105&lt;&gt;"",IF(T3105&lt;&gt;"",IF(LEFT(R3105,3)="Has",IF(TRIM(A3105)&lt;&gt;T3105,"ERROR","OK"),""),""),"")</f>
        <v/>
      </c>
    </row>
    <row r="3106" spans="1:48" ht="14.65" thickBot="1" x14ac:dyDescent="0.5">
      <c r="A3106" s="35" t="s">
        <v>2103</v>
      </c>
      <c r="B3106" s="3" t="s">
        <v>2104</v>
      </c>
      <c r="C3106" s="4"/>
      <c r="D3106" s="4"/>
      <c r="E3106" s="4"/>
      <c r="F3106" s="4"/>
      <c r="G3106" s="4"/>
      <c r="H3106" s="4"/>
      <c r="I3106" s="18" t="s">
        <v>2473</v>
      </c>
      <c r="J3106" s="18" t="s">
        <v>2473</v>
      </c>
      <c r="K3106" s="18" t="s">
        <v>2473</v>
      </c>
      <c r="L3106" s="18" t="s">
        <v>2335</v>
      </c>
      <c r="AU3106" s="6"/>
      <c r="AV3106" s="6" t="str">
        <f t="shared" si="65"/>
        <v/>
      </c>
    </row>
    <row r="3107" spans="1:48" ht="36" thickBot="1" x14ac:dyDescent="0.5">
      <c r="A3107" s="35" t="s">
        <v>2105</v>
      </c>
      <c r="B3107" s="3" t="s">
        <v>4078</v>
      </c>
      <c r="C3107" s="4" t="s">
        <v>13</v>
      </c>
      <c r="D3107" s="4"/>
      <c r="E3107" s="4" t="s">
        <v>10</v>
      </c>
      <c r="F3107" s="4"/>
      <c r="G3107" s="4" t="s">
        <v>13</v>
      </c>
      <c r="H3107" s="4"/>
      <c r="I3107" s="18" t="s">
        <v>2473</v>
      </c>
      <c r="J3107" s="18" t="s">
        <v>2473</v>
      </c>
      <c r="K3107" s="18" t="s">
        <v>2473</v>
      </c>
      <c r="L3107" s="18" t="s">
        <v>2334</v>
      </c>
      <c r="Q3107" s="8" t="s">
        <v>3822</v>
      </c>
      <c r="R3107" s="122" t="s">
        <v>3435</v>
      </c>
      <c r="S3107" s="114" t="s">
        <v>3443</v>
      </c>
      <c r="T3107" s="114" t="s">
        <v>3835</v>
      </c>
      <c r="U3107" s="114" t="s">
        <v>3525</v>
      </c>
      <c r="V3107" s="114"/>
      <c r="W3107" s="114" t="s">
        <v>3436</v>
      </c>
      <c r="X3107" s="114" t="s">
        <v>13</v>
      </c>
      <c r="Y3107" s="149"/>
      <c r="Z3107" s="183"/>
      <c r="AA3107" s="183"/>
      <c r="AB3107" s="183"/>
      <c r="AC3107" s="183"/>
      <c r="AD3107" s="183"/>
      <c r="AE3107" s="184"/>
      <c r="AF3107" s="184"/>
      <c r="AG3107" s="183"/>
      <c r="AH3107" s="183"/>
      <c r="AI3107" s="183"/>
      <c r="AJ3107" s="183"/>
      <c r="AK3107" s="183"/>
      <c r="AL3107" s="183"/>
      <c r="AM3107" s="183"/>
      <c r="AN3107" s="131"/>
      <c r="AO3107" s="131"/>
      <c r="AP3107" s="131"/>
      <c r="AQ3107" s="131"/>
      <c r="AR3107" s="288"/>
      <c r="AS3107" s="259"/>
      <c r="AT3107" s="183"/>
      <c r="AU3107" s="6"/>
      <c r="AV3107" s="6" t="str">
        <f t="shared" si="65"/>
        <v>OK</v>
      </c>
    </row>
    <row r="3108" spans="1:48" ht="36" thickBot="1" x14ac:dyDescent="0.5">
      <c r="A3108" s="35" t="s">
        <v>2107</v>
      </c>
      <c r="B3108" s="3" t="s">
        <v>2106</v>
      </c>
      <c r="C3108" s="4" t="s">
        <v>10</v>
      </c>
      <c r="D3108" s="4"/>
      <c r="E3108" s="4" t="s">
        <v>10</v>
      </c>
      <c r="F3108" s="4"/>
      <c r="G3108" s="4" t="s">
        <v>10</v>
      </c>
      <c r="H3108" s="4"/>
      <c r="I3108" s="18" t="s">
        <v>2473</v>
      </c>
      <c r="J3108" s="18" t="s">
        <v>2473</v>
      </c>
      <c r="K3108" s="18" t="s">
        <v>2473</v>
      </c>
      <c r="L3108" s="18" t="s">
        <v>2334</v>
      </c>
      <c r="Q3108" s="8" t="s">
        <v>3822</v>
      </c>
      <c r="R3108" s="122" t="s">
        <v>3435</v>
      </c>
      <c r="S3108" s="114" t="s">
        <v>3443</v>
      </c>
      <c r="T3108" s="114" t="s">
        <v>3836</v>
      </c>
      <c r="U3108" s="114" t="s">
        <v>3525</v>
      </c>
      <c r="V3108" s="114"/>
      <c r="W3108" s="114" t="s">
        <v>3436</v>
      </c>
      <c r="X3108" s="114" t="s">
        <v>13</v>
      </c>
      <c r="Y3108" s="149"/>
      <c r="Z3108" s="183"/>
      <c r="AA3108" s="183"/>
      <c r="AB3108" s="183"/>
      <c r="AC3108" s="183"/>
      <c r="AD3108" s="183"/>
      <c r="AE3108" s="184"/>
      <c r="AF3108" s="184"/>
      <c r="AG3108" s="183"/>
      <c r="AH3108" s="183"/>
      <c r="AI3108" s="183"/>
      <c r="AJ3108" s="183"/>
      <c r="AK3108" s="183"/>
      <c r="AL3108" s="183"/>
      <c r="AM3108" s="183"/>
      <c r="AN3108" s="131"/>
      <c r="AO3108" s="131"/>
      <c r="AP3108" s="131"/>
      <c r="AQ3108" s="131"/>
      <c r="AR3108" s="288"/>
      <c r="AS3108" s="259"/>
      <c r="AT3108" s="183"/>
      <c r="AU3108" s="6"/>
      <c r="AV3108" s="6" t="str">
        <f t="shared" si="65"/>
        <v>OK</v>
      </c>
    </row>
    <row r="3109" spans="1:48" ht="36" thickBot="1" x14ac:dyDescent="0.5">
      <c r="A3109" s="35" t="s">
        <v>2108</v>
      </c>
      <c r="B3109" s="3" t="s">
        <v>2109</v>
      </c>
      <c r="C3109" s="4" t="s">
        <v>10</v>
      </c>
      <c r="D3109" s="4"/>
      <c r="E3109" s="4" t="s">
        <v>10</v>
      </c>
      <c r="F3109" s="4"/>
      <c r="G3109" s="4" t="s">
        <v>10</v>
      </c>
      <c r="H3109" s="4"/>
      <c r="I3109" s="18" t="s">
        <v>2473</v>
      </c>
      <c r="J3109" s="18" t="s">
        <v>2473</v>
      </c>
      <c r="K3109" s="18" t="s">
        <v>2473</v>
      </c>
      <c r="L3109" s="18" t="s">
        <v>2334</v>
      </c>
      <c r="Q3109" s="8" t="s">
        <v>3822</v>
      </c>
      <c r="R3109" s="122" t="s">
        <v>3529</v>
      </c>
      <c r="S3109" s="114" t="s">
        <v>4</v>
      </c>
      <c r="T3109" s="114" t="s">
        <v>3837</v>
      </c>
      <c r="U3109" s="114" t="s">
        <v>3958</v>
      </c>
      <c r="V3109" s="114" t="s">
        <v>3530</v>
      </c>
      <c r="W3109" s="114" t="s">
        <v>3436</v>
      </c>
      <c r="X3109" s="114" t="s">
        <v>13</v>
      </c>
      <c r="Y3109" s="149"/>
      <c r="Z3109" s="183"/>
      <c r="AA3109" s="183"/>
      <c r="AB3109" s="183"/>
      <c r="AC3109" s="183"/>
      <c r="AD3109" s="183"/>
      <c r="AE3109" s="184"/>
      <c r="AF3109" s="184"/>
      <c r="AG3109" s="183"/>
      <c r="AH3109" s="183"/>
      <c r="AI3109" s="183"/>
      <c r="AJ3109" s="183"/>
      <c r="AK3109" s="183"/>
      <c r="AL3109" s="183"/>
      <c r="AM3109" s="183"/>
      <c r="AN3109" s="131"/>
      <c r="AO3109" s="131"/>
      <c r="AP3109" s="131"/>
      <c r="AQ3109" s="131"/>
      <c r="AR3109" s="288"/>
      <c r="AS3109" s="259"/>
      <c r="AT3109" s="183"/>
      <c r="AU3109" s="6"/>
      <c r="AV3109" s="6" t="str">
        <f t="shared" si="65"/>
        <v>OK</v>
      </c>
    </row>
    <row r="3110" spans="1:48" ht="14.65" thickBot="1" x14ac:dyDescent="0.5">
      <c r="A3110" s="35" t="s">
        <v>459</v>
      </c>
      <c r="B3110" s="3" t="s">
        <v>3034</v>
      </c>
      <c r="C3110" s="4"/>
      <c r="D3110" s="4"/>
      <c r="E3110" s="4"/>
      <c r="F3110" s="4"/>
      <c r="G3110" s="4"/>
      <c r="H3110" s="4"/>
      <c r="I3110" s="18" t="s">
        <v>2473</v>
      </c>
      <c r="J3110" s="18" t="s">
        <v>2473</v>
      </c>
      <c r="K3110" s="18" t="s">
        <v>2473</v>
      </c>
      <c r="L3110" s="18" t="s">
        <v>2335</v>
      </c>
      <c r="AU3110" s="6"/>
      <c r="AV3110" s="6" t="str">
        <f t="shared" si="65"/>
        <v/>
      </c>
    </row>
    <row r="3111" spans="1:48" ht="36" thickBot="1" x14ac:dyDescent="0.5">
      <c r="A3111" s="35" t="s">
        <v>422</v>
      </c>
      <c r="B3111" s="3" t="s">
        <v>2110</v>
      </c>
      <c r="C3111" s="4" t="s">
        <v>13</v>
      </c>
      <c r="D3111" s="4"/>
      <c r="E3111" s="4" t="s">
        <v>10</v>
      </c>
      <c r="F3111" s="4"/>
      <c r="G3111" s="4" t="s">
        <v>13</v>
      </c>
      <c r="H3111" s="4"/>
      <c r="I3111" s="18" t="s">
        <v>2473</v>
      </c>
      <c r="J3111" s="18" t="s">
        <v>2473</v>
      </c>
      <c r="K3111" s="18" t="s">
        <v>2473</v>
      </c>
      <c r="Q3111" s="8" t="s">
        <v>3822</v>
      </c>
      <c r="R3111" s="122" t="s">
        <v>3529</v>
      </c>
      <c r="S3111" s="114" t="s">
        <v>4</v>
      </c>
      <c r="T3111" s="114" t="s">
        <v>99</v>
      </c>
      <c r="U3111" s="114" t="s">
        <v>3521</v>
      </c>
      <c r="V3111" s="114" t="s">
        <v>3530</v>
      </c>
      <c r="W3111" s="114" t="s">
        <v>3436</v>
      </c>
      <c r="X3111" s="114" t="s">
        <v>13</v>
      </c>
      <c r="Y3111" s="149"/>
      <c r="Z3111" s="183"/>
      <c r="AA3111" s="183"/>
      <c r="AB3111" s="183"/>
      <c r="AC3111" s="183"/>
      <c r="AD3111" s="183"/>
      <c r="AE3111" s="184"/>
      <c r="AF3111" s="184"/>
      <c r="AG3111" s="183"/>
      <c r="AH3111" s="183"/>
      <c r="AI3111" s="183"/>
      <c r="AJ3111" s="183"/>
      <c r="AK3111" s="183"/>
      <c r="AL3111" s="183"/>
      <c r="AM3111" s="183"/>
      <c r="AN3111" s="131"/>
      <c r="AO3111" s="131"/>
      <c r="AP3111" s="131"/>
      <c r="AQ3111" s="131"/>
      <c r="AR3111" s="288"/>
      <c r="AS3111" s="259"/>
      <c r="AT3111" s="183"/>
      <c r="AU3111" s="140" t="s">
        <v>4293</v>
      </c>
      <c r="AV3111" s="6" t="str">
        <f t="shared" si="65"/>
        <v>OK</v>
      </c>
    </row>
    <row r="3112" spans="1:48" ht="14.65" thickBot="1" x14ac:dyDescent="0.5">
      <c r="A3112" s="35" t="s">
        <v>461</v>
      </c>
      <c r="B3112" s="3" t="s">
        <v>462</v>
      </c>
      <c r="C3112" s="4" t="s">
        <v>10</v>
      </c>
      <c r="D3112" s="4"/>
      <c r="E3112" s="4" t="s">
        <v>10</v>
      </c>
      <c r="F3112" s="4"/>
      <c r="G3112" s="4" t="s">
        <v>10</v>
      </c>
      <c r="H3112" s="4"/>
      <c r="I3112" s="18" t="s">
        <v>2473</v>
      </c>
      <c r="J3112" s="18" t="s">
        <v>2473</v>
      </c>
      <c r="K3112" s="18" t="s">
        <v>2473</v>
      </c>
      <c r="L3112" s="18" t="s">
        <v>2335</v>
      </c>
      <c r="AU3112" s="6"/>
      <c r="AV3112" s="6" t="str">
        <f t="shared" si="65"/>
        <v/>
      </c>
    </row>
    <row r="3113" spans="1:48" ht="36" thickBot="1" x14ac:dyDescent="0.5">
      <c r="A3113" s="35" t="s">
        <v>130</v>
      </c>
      <c r="B3113" s="3" t="s">
        <v>2111</v>
      </c>
      <c r="C3113" s="4" t="s">
        <v>13</v>
      </c>
      <c r="D3113" s="4"/>
      <c r="E3113" s="4" t="s">
        <v>10</v>
      </c>
      <c r="F3113" s="4"/>
      <c r="G3113" s="4" t="s">
        <v>13</v>
      </c>
      <c r="H3113" s="4"/>
      <c r="I3113" s="18" t="s">
        <v>2473</v>
      </c>
      <c r="J3113" s="18" t="s">
        <v>2473</v>
      </c>
      <c r="K3113" s="18" t="s">
        <v>2473</v>
      </c>
      <c r="Q3113" s="8" t="s">
        <v>3822</v>
      </c>
      <c r="R3113" s="122" t="s">
        <v>3529</v>
      </c>
      <c r="S3113" s="114" t="s">
        <v>4</v>
      </c>
      <c r="T3113" s="114" t="s">
        <v>114</v>
      </c>
      <c r="U3113" s="114" t="s">
        <v>3521</v>
      </c>
      <c r="V3113" s="114" t="s">
        <v>3530</v>
      </c>
      <c r="W3113" s="114" t="s">
        <v>3436</v>
      </c>
      <c r="X3113" s="114" t="s">
        <v>13</v>
      </c>
      <c r="Y3113" s="149"/>
      <c r="Z3113" s="183"/>
      <c r="AA3113" s="183"/>
      <c r="AB3113" s="183"/>
      <c r="AC3113" s="183"/>
      <c r="AD3113" s="183"/>
      <c r="AE3113" s="184"/>
      <c r="AF3113" s="184"/>
      <c r="AG3113" s="183"/>
      <c r="AH3113" s="183"/>
      <c r="AI3113" s="183"/>
      <c r="AJ3113" s="183"/>
      <c r="AK3113" s="183"/>
      <c r="AL3113" s="183"/>
      <c r="AM3113" s="183"/>
      <c r="AN3113" s="131"/>
      <c r="AO3113" s="131"/>
      <c r="AP3113" s="131"/>
      <c r="AQ3113" s="131"/>
      <c r="AR3113" s="288"/>
      <c r="AS3113" s="259"/>
      <c r="AT3113" s="183"/>
      <c r="AU3113" s="140" t="s">
        <v>4293</v>
      </c>
      <c r="AV3113" s="6" t="str">
        <f t="shared" si="65"/>
        <v>OK</v>
      </c>
    </row>
    <row r="3114" spans="1:48" ht="14.65" thickBot="1" x14ac:dyDescent="0.5">
      <c r="A3114" s="35" t="s">
        <v>424</v>
      </c>
      <c r="B3114" s="3" t="s">
        <v>2112</v>
      </c>
      <c r="C3114" s="4" t="s">
        <v>10</v>
      </c>
      <c r="D3114" s="4"/>
      <c r="E3114" s="4" t="s">
        <v>10</v>
      </c>
      <c r="F3114" s="4"/>
      <c r="G3114" s="4" t="s">
        <v>10</v>
      </c>
      <c r="H3114" s="4"/>
      <c r="I3114" s="18" t="s">
        <v>2473</v>
      </c>
      <c r="J3114" s="18" t="s">
        <v>2473</v>
      </c>
      <c r="K3114" s="18" t="s">
        <v>2473</v>
      </c>
      <c r="AU3114" s="6"/>
      <c r="AV3114" s="6" t="str">
        <f t="shared" si="65"/>
        <v/>
      </c>
    </row>
    <row r="3115" spans="1:48" ht="14.65" thickBot="1" x14ac:dyDescent="0.5">
      <c r="A3115" s="35" t="s">
        <v>59</v>
      </c>
      <c r="B3115" s="3" t="s">
        <v>60</v>
      </c>
      <c r="C3115" s="4"/>
      <c r="D3115" s="4"/>
      <c r="E3115" s="4"/>
      <c r="F3115" s="4"/>
      <c r="G3115" s="4"/>
      <c r="H3115" s="4"/>
      <c r="I3115" s="18" t="s">
        <v>2473</v>
      </c>
      <c r="J3115" s="18" t="s">
        <v>2473</v>
      </c>
      <c r="K3115" s="18" t="s">
        <v>2473</v>
      </c>
      <c r="L3115" s="18" t="s">
        <v>2335</v>
      </c>
      <c r="AU3115" s="6"/>
      <c r="AV3115" s="6" t="str">
        <f t="shared" si="65"/>
        <v/>
      </c>
    </row>
    <row r="3116" spans="1:48" ht="70.150000000000006" thickBot="1" x14ac:dyDescent="0.5">
      <c r="A3116" s="35" t="s">
        <v>465</v>
      </c>
      <c r="B3116" s="3" t="s">
        <v>2113</v>
      </c>
      <c r="C3116" s="4" t="s">
        <v>13</v>
      </c>
      <c r="D3116" s="4"/>
      <c r="E3116" s="4" t="s">
        <v>13</v>
      </c>
      <c r="F3116" s="4"/>
      <c r="G3116" s="4" t="s">
        <v>13</v>
      </c>
      <c r="H3116" s="4"/>
      <c r="I3116" s="18" t="s">
        <v>2473</v>
      </c>
      <c r="J3116" s="18" t="s">
        <v>2473</v>
      </c>
      <c r="K3116" s="18" t="s">
        <v>2473</v>
      </c>
      <c r="Q3116" s="8" t="s">
        <v>3822</v>
      </c>
      <c r="R3116" s="122" t="s">
        <v>3529</v>
      </c>
      <c r="S3116" s="114" t="s">
        <v>4</v>
      </c>
      <c r="T3116" s="114" t="s">
        <v>244</v>
      </c>
      <c r="U3116" s="114" t="s">
        <v>3521</v>
      </c>
      <c r="V3116" s="114" t="s">
        <v>3530</v>
      </c>
      <c r="W3116" s="114" t="s">
        <v>3436</v>
      </c>
      <c r="X3116" s="114" t="s">
        <v>13</v>
      </c>
      <c r="Y3116" s="149"/>
      <c r="Z3116" s="183"/>
      <c r="AA3116" s="183"/>
      <c r="AB3116" s="183"/>
      <c r="AC3116" s="183"/>
      <c r="AD3116" s="183"/>
      <c r="AE3116" s="184"/>
      <c r="AF3116" s="184"/>
      <c r="AG3116" s="183"/>
      <c r="AH3116" s="183"/>
      <c r="AI3116" s="183"/>
      <c r="AJ3116" s="183"/>
      <c r="AK3116" s="183"/>
      <c r="AL3116" s="183"/>
      <c r="AM3116" s="183"/>
      <c r="AN3116" s="131"/>
      <c r="AO3116" s="131"/>
      <c r="AP3116" s="131"/>
      <c r="AQ3116" s="131"/>
      <c r="AR3116" s="288"/>
      <c r="AS3116" s="259"/>
      <c r="AT3116" s="183"/>
      <c r="AU3116" s="140" t="s">
        <v>4294</v>
      </c>
      <c r="AV3116" s="6" t="str">
        <f t="shared" si="65"/>
        <v>OK</v>
      </c>
    </row>
    <row r="3117" spans="1:48" ht="36" thickBot="1" x14ac:dyDescent="0.5">
      <c r="A3117" s="35" t="s">
        <v>2057</v>
      </c>
      <c r="B3117" s="3" t="s">
        <v>2114</v>
      </c>
      <c r="C3117" s="4" t="s">
        <v>10</v>
      </c>
      <c r="D3117" s="4"/>
      <c r="E3117" s="4" t="s">
        <v>10</v>
      </c>
      <c r="F3117" s="4"/>
      <c r="G3117" s="4" t="s">
        <v>10</v>
      </c>
      <c r="H3117" s="4"/>
      <c r="I3117" s="18" t="s">
        <v>2473</v>
      </c>
      <c r="J3117" s="18" t="s">
        <v>2473</v>
      </c>
      <c r="K3117" s="18" t="s">
        <v>2473</v>
      </c>
      <c r="L3117" s="18" t="s">
        <v>2334</v>
      </c>
      <c r="Q3117" s="8" t="s">
        <v>3822</v>
      </c>
      <c r="R3117" s="122" t="s">
        <v>3529</v>
      </c>
      <c r="S3117" s="114" t="s">
        <v>4</v>
      </c>
      <c r="T3117" s="114" t="s">
        <v>3838</v>
      </c>
      <c r="U3117" s="114" t="s">
        <v>3521</v>
      </c>
      <c r="V3117" s="114" t="s">
        <v>3530</v>
      </c>
      <c r="W3117" s="114" t="s">
        <v>3436</v>
      </c>
      <c r="X3117" s="114" t="s">
        <v>13</v>
      </c>
      <c r="Y3117" s="149"/>
      <c r="Z3117" s="183"/>
      <c r="AA3117" s="183"/>
      <c r="AB3117" s="183"/>
      <c r="AC3117" s="183"/>
      <c r="AD3117" s="183"/>
      <c r="AE3117" s="184"/>
      <c r="AF3117" s="184"/>
      <c r="AG3117" s="183"/>
      <c r="AH3117" s="183"/>
      <c r="AI3117" s="183"/>
      <c r="AJ3117" s="183"/>
      <c r="AK3117" s="183"/>
      <c r="AL3117" s="183"/>
      <c r="AM3117" s="183"/>
      <c r="AN3117" s="131"/>
      <c r="AO3117" s="131"/>
      <c r="AP3117" s="131"/>
      <c r="AQ3117" s="131"/>
      <c r="AR3117" s="288"/>
      <c r="AS3117" s="259"/>
      <c r="AT3117" s="183"/>
      <c r="AU3117" s="6"/>
      <c r="AV3117" s="6" t="str">
        <f t="shared" si="65"/>
        <v>OK</v>
      </c>
    </row>
    <row r="3118" spans="1:48" ht="36" thickBot="1" x14ac:dyDescent="0.5">
      <c r="A3118" s="35" t="s">
        <v>2115</v>
      </c>
      <c r="B3118" s="3" t="s">
        <v>2116</v>
      </c>
      <c r="C3118" s="4"/>
      <c r="D3118" s="4"/>
      <c r="E3118" s="4"/>
      <c r="F3118" s="4"/>
      <c r="G3118" s="4"/>
      <c r="H3118" s="4"/>
      <c r="I3118" s="18" t="s">
        <v>2473</v>
      </c>
      <c r="J3118" s="18" t="s">
        <v>2473</v>
      </c>
      <c r="K3118" s="18" t="s">
        <v>2473</v>
      </c>
      <c r="L3118" s="18" t="s">
        <v>2334</v>
      </c>
      <c r="Q3118" s="8" t="s">
        <v>3822</v>
      </c>
      <c r="R3118" s="122" t="s">
        <v>3435</v>
      </c>
      <c r="S3118" s="114" t="s">
        <v>3443</v>
      </c>
      <c r="T3118" s="114" t="s">
        <v>3839</v>
      </c>
      <c r="U3118" s="114" t="s">
        <v>3525</v>
      </c>
      <c r="V3118" s="114"/>
      <c r="W3118" s="114" t="s">
        <v>3436</v>
      </c>
      <c r="X3118" s="114" t="s">
        <v>13</v>
      </c>
      <c r="Y3118" s="149"/>
      <c r="Z3118" s="183"/>
      <c r="AA3118" s="183"/>
      <c r="AB3118" s="183"/>
      <c r="AC3118" s="183"/>
      <c r="AD3118" s="183"/>
      <c r="AE3118" s="184"/>
      <c r="AF3118" s="184"/>
      <c r="AG3118" s="183"/>
      <c r="AH3118" s="183"/>
      <c r="AI3118" s="183"/>
      <c r="AJ3118" s="183"/>
      <c r="AK3118" s="183"/>
      <c r="AL3118" s="183"/>
      <c r="AM3118" s="183"/>
      <c r="AN3118" s="131"/>
      <c r="AO3118" s="131"/>
      <c r="AP3118" s="131"/>
      <c r="AQ3118" s="131"/>
      <c r="AR3118" s="288"/>
      <c r="AS3118" s="259"/>
      <c r="AT3118" s="183"/>
      <c r="AU3118" s="6"/>
      <c r="AV3118" s="6" t="str">
        <f t="shared" si="65"/>
        <v>OK</v>
      </c>
    </row>
    <row r="3119" spans="1:48" ht="36" thickBot="1" x14ac:dyDescent="0.5">
      <c r="A3119" s="35" t="s">
        <v>2117</v>
      </c>
      <c r="B3119" s="3" t="s">
        <v>2118</v>
      </c>
      <c r="C3119" s="4"/>
      <c r="D3119" s="4"/>
      <c r="E3119" s="4"/>
      <c r="F3119" s="4"/>
      <c r="G3119" s="4"/>
      <c r="H3119" s="4"/>
      <c r="I3119" s="18" t="s">
        <v>2473</v>
      </c>
      <c r="J3119" s="18" t="s">
        <v>2473</v>
      </c>
      <c r="K3119" s="18" t="s">
        <v>2473</v>
      </c>
      <c r="L3119" s="18" t="s">
        <v>2334</v>
      </c>
      <c r="Q3119" s="8" t="s">
        <v>3822</v>
      </c>
      <c r="R3119" s="122" t="s">
        <v>3435</v>
      </c>
      <c r="S3119" s="114" t="s">
        <v>3443</v>
      </c>
      <c r="T3119" s="114" t="s">
        <v>3840</v>
      </c>
      <c r="U3119" s="114" t="s">
        <v>3525</v>
      </c>
      <c r="V3119" s="114"/>
      <c r="W3119" s="114" t="s">
        <v>3436</v>
      </c>
      <c r="X3119" s="114" t="s">
        <v>13</v>
      </c>
      <c r="Y3119" s="149"/>
      <c r="Z3119" s="183"/>
      <c r="AA3119" s="183"/>
      <c r="AB3119" s="183"/>
      <c r="AC3119" s="183"/>
      <c r="AD3119" s="183"/>
      <c r="AE3119" s="184"/>
      <c r="AF3119" s="184"/>
      <c r="AG3119" s="183"/>
      <c r="AH3119" s="183"/>
      <c r="AI3119" s="183"/>
      <c r="AJ3119" s="183"/>
      <c r="AK3119" s="183"/>
      <c r="AL3119" s="183"/>
      <c r="AM3119" s="183"/>
      <c r="AN3119" s="131"/>
      <c r="AO3119" s="131"/>
      <c r="AP3119" s="131"/>
      <c r="AQ3119" s="131"/>
      <c r="AR3119" s="288"/>
      <c r="AS3119" s="259"/>
      <c r="AT3119" s="183"/>
      <c r="AU3119" s="6"/>
      <c r="AV3119" s="6" t="str">
        <f t="shared" si="65"/>
        <v>OK</v>
      </c>
    </row>
    <row r="3120" spans="1:48" ht="36" thickBot="1" x14ac:dyDescent="0.5">
      <c r="A3120" s="35" t="s">
        <v>2119</v>
      </c>
      <c r="B3120" s="3" t="s">
        <v>2120</v>
      </c>
      <c r="C3120" s="4" t="s">
        <v>13</v>
      </c>
      <c r="D3120" s="4"/>
      <c r="E3120" s="4" t="s">
        <v>13</v>
      </c>
      <c r="F3120" s="4"/>
      <c r="G3120" s="4" t="s">
        <v>13</v>
      </c>
      <c r="H3120" s="4"/>
      <c r="I3120" s="18" t="s">
        <v>2473</v>
      </c>
      <c r="J3120" s="18" t="s">
        <v>2473</v>
      </c>
      <c r="K3120" s="18" t="s">
        <v>2473</v>
      </c>
      <c r="L3120" s="18" t="s">
        <v>2334</v>
      </c>
      <c r="Q3120" s="8" t="s">
        <v>3822</v>
      </c>
      <c r="R3120" s="122" t="s">
        <v>3529</v>
      </c>
      <c r="S3120" s="114" t="s">
        <v>4</v>
      </c>
      <c r="T3120" s="114" t="s">
        <v>3841</v>
      </c>
      <c r="U3120" s="114" t="s">
        <v>3957</v>
      </c>
      <c r="V3120" s="114" t="s">
        <v>3530</v>
      </c>
      <c r="W3120" s="114" t="s">
        <v>3436</v>
      </c>
      <c r="X3120" s="114" t="s">
        <v>13</v>
      </c>
      <c r="Y3120" s="149"/>
      <c r="Z3120" s="183"/>
      <c r="AA3120" s="183"/>
      <c r="AB3120" s="183"/>
      <c r="AC3120" s="183"/>
      <c r="AD3120" s="183"/>
      <c r="AE3120" s="184"/>
      <c r="AF3120" s="184"/>
      <c r="AG3120" s="183"/>
      <c r="AH3120" s="183"/>
      <c r="AI3120" s="183"/>
      <c r="AJ3120" s="183"/>
      <c r="AK3120" s="183"/>
      <c r="AL3120" s="183"/>
      <c r="AM3120" s="183"/>
      <c r="AN3120" s="131"/>
      <c r="AO3120" s="131"/>
      <c r="AP3120" s="131"/>
      <c r="AQ3120" s="131"/>
      <c r="AR3120" s="288"/>
      <c r="AS3120" s="259"/>
      <c r="AT3120" s="183"/>
      <c r="AU3120" s="140" t="s">
        <v>4149</v>
      </c>
      <c r="AV3120" s="6" t="str">
        <f t="shared" si="65"/>
        <v>OK</v>
      </c>
    </row>
    <row r="3121" spans="1:48" ht="36" thickBot="1" x14ac:dyDescent="0.5">
      <c r="A3121" s="35" t="s">
        <v>2121</v>
      </c>
      <c r="B3121" s="3" t="s">
        <v>2122</v>
      </c>
      <c r="C3121" s="4" t="s">
        <v>37</v>
      </c>
      <c r="D3121" s="4"/>
      <c r="E3121" s="4" t="s">
        <v>37</v>
      </c>
      <c r="F3121" s="4"/>
      <c r="G3121" s="4" t="s">
        <v>37</v>
      </c>
      <c r="H3121" s="4"/>
      <c r="I3121" s="18" t="s">
        <v>2473</v>
      </c>
      <c r="J3121" s="18" t="s">
        <v>2473</v>
      </c>
      <c r="K3121" s="18" t="s">
        <v>2473</v>
      </c>
      <c r="Q3121" s="8" t="s">
        <v>3822</v>
      </c>
      <c r="R3121" s="122" t="s">
        <v>3529</v>
      </c>
      <c r="S3121" s="114" t="s">
        <v>4</v>
      </c>
      <c r="T3121" s="114" t="s">
        <v>135</v>
      </c>
      <c r="U3121" s="114" t="s">
        <v>3521</v>
      </c>
      <c r="V3121" s="114" t="s">
        <v>3530</v>
      </c>
      <c r="W3121" s="114" t="s">
        <v>3436</v>
      </c>
      <c r="X3121" s="114" t="s">
        <v>13</v>
      </c>
      <c r="Y3121" s="149"/>
      <c r="Z3121" s="183"/>
      <c r="AA3121" s="183"/>
      <c r="AB3121" s="183"/>
      <c r="AC3121" s="183"/>
      <c r="AD3121" s="183"/>
      <c r="AE3121" s="184"/>
      <c r="AF3121" s="184"/>
      <c r="AG3121" s="183"/>
      <c r="AH3121" s="183"/>
      <c r="AI3121" s="183"/>
      <c r="AJ3121" s="183"/>
      <c r="AK3121" s="183"/>
      <c r="AL3121" s="183"/>
      <c r="AM3121" s="183"/>
      <c r="AN3121" s="131"/>
      <c r="AO3121" s="131"/>
      <c r="AP3121" s="131"/>
      <c r="AQ3121" s="131"/>
      <c r="AR3121" s="288"/>
      <c r="AS3121" s="259"/>
      <c r="AT3121" s="183"/>
      <c r="AU3121" s="140" t="s">
        <v>4293</v>
      </c>
      <c r="AV3121" s="6" t="str">
        <f t="shared" si="65"/>
        <v>OK</v>
      </c>
    </row>
    <row r="3122" spans="1:48" ht="14.65" thickBot="1" x14ac:dyDescent="0.5">
      <c r="A3122" s="35" t="s">
        <v>43</v>
      </c>
      <c r="B3122" s="3" t="s">
        <v>84</v>
      </c>
      <c r="C3122" s="4"/>
      <c r="D3122" s="4"/>
      <c r="E3122" s="4"/>
      <c r="F3122" s="4"/>
      <c r="G3122" s="4"/>
      <c r="H3122" s="4"/>
      <c r="I3122" s="18" t="s">
        <v>2473</v>
      </c>
      <c r="J3122" s="18" t="s">
        <v>2473</v>
      </c>
      <c r="K3122" s="18" t="s">
        <v>2473</v>
      </c>
      <c r="L3122" s="18" t="s">
        <v>2335</v>
      </c>
      <c r="AU3122" s="6"/>
      <c r="AV3122" s="6" t="str">
        <f t="shared" si="65"/>
        <v/>
      </c>
    </row>
    <row r="3123" spans="1:48" ht="14.65" thickBot="1" x14ac:dyDescent="0.5">
      <c r="A3123" s="35" t="s">
        <v>2079</v>
      </c>
      <c r="B3123" s="3" t="s">
        <v>2080</v>
      </c>
      <c r="C3123" s="4"/>
      <c r="D3123" s="4"/>
      <c r="E3123" s="4"/>
      <c r="F3123" s="4"/>
      <c r="G3123" s="4"/>
      <c r="H3123" s="4"/>
      <c r="I3123" s="18" t="s">
        <v>2473</v>
      </c>
      <c r="J3123" s="18" t="s">
        <v>2473</v>
      </c>
      <c r="K3123" s="18" t="s">
        <v>2473</v>
      </c>
      <c r="L3123" s="18" t="s">
        <v>2335</v>
      </c>
      <c r="AU3123" s="6"/>
      <c r="AV3123" s="6" t="str">
        <f t="shared" si="65"/>
        <v/>
      </c>
    </row>
    <row r="3124" spans="1:48" ht="14.65" thickBot="1" x14ac:dyDescent="0.5">
      <c r="A3124" s="35" t="s">
        <v>43</v>
      </c>
      <c r="B3124" s="3" t="s">
        <v>84</v>
      </c>
      <c r="C3124" s="4"/>
      <c r="D3124" s="4"/>
      <c r="E3124" s="4"/>
      <c r="F3124" s="4"/>
      <c r="G3124" s="4"/>
      <c r="H3124" s="4"/>
      <c r="I3124" s="18" t="s">
        <v>2473</v>
      </c>
      <c r="J3124" s="18" t="s">
        <v>2473</v>
      </c>
      <c r="K3124" s="18" t="s">
        <v>2473</v>
      </c>
      <c r="L3124" s="18" t="s">
        <v>2335</v>
      </c>
      <c r="AU3124" s="6"/>
      <c r="AV3124" s="6" t="str">
        <f t="shared" si="65"/>
        <v/>
      </c>
    </row>
    <row r="3125" spans="1:48" ht="36" thickBot="1" x14ac:dyDescent="0.5">
      <c r="A3125" s="35" t="s">
        <v>472</v>
      </c>
      <c r="B3125" s="3" t="s">
        <v>2123</v>
      </c>
      <c r="C3125" s="4" t="s">
        <v>13</v>
      </c>
      <c r="D3125" s="4"/>
      <c r="E3125" s="4" t="s">
        <v>13</v>
      </c>
      <c r="F3125" s="4"/>
      <c r="G3125" s="4" t="s">
        <v>13</v>
      </c>
      <c r="H3125" s="4"/>
      <c r="I3125" s="18" t="s">
        <v>2473</v>
      </c>
      <c r="J3125" s="18" t="s">
        <v>2473</v>
      </c>
      <c r="K3125" s="18" t="s">
        <v>2473</v>
      </c>
      <c r="Q3125" s="8" t="s">
        <v>3822</v>
      </c>
      <c r="R3125" s="122" t="s">
        <v>3529</v>
      </c>
      <c r="S3125" s="114" t="s">
        <v>4</v>
      </c>
      <c r="T3125" s="114" t="s">
        <v>140</v>
      </c>
      <c r="U3125" s="114" t="s">
        <v>3521</v>
      </c>
      <c r="V3125" s="114" t="s">
        <v>3530</v>
      </c>
      <c r="W3125" s="114" t="s">
        <v>3436</v>
      </c>
      <c r="X3125" s="114" t="s">
        <v>13</v>
      </c>
      <c r="Y3125" s="149"/>
      <c r="Z3125" s="183"/>
      <c r="AA3125" s="183"/>
      <c r="AB3125" s="183"/>
      <c r="AC3125" s="183"/>
      <c r="AD3125" s="183"/>
      <c r="AE3125" s="184"/>
      <c r="AF3125" s="184"/>
      <c r="AG3125" s="183"/>
      <c r="AH3125" s="183"/>
      <c r="AI3125" s="183"/>
      <c r="AJ3125" s="183"/>
      <c r="AK3125" s="183"/>
      <c r="AL3125" s="183"/>
      <c r="AM3125" s="183"/>
      <c r="AN3125" s="131"/>
      <c r="AO3125" s="131"/>
      <c r="AP3125" s="131"/>
      <c r="AQ3125" s="131"/>
      <c r="AR3125" s="288"/>
      <c r="AS3125" s="259"/>
      <c r="AT3125" s="183"/>
      <c r="AU3125" s="140" t="s">
        <v>4293</v>
      </c>
      <c r="AV3125" s="6" t="str">
        <f t="shared" si="65"/>
        <v>OK</v>
      </c>
    </row>
    <row r="3126" spans="1:48" ht="14.65" thickBot="1" x14ac:dyDescent="0.5">
      <c r="A3126" s="35" t="s">
        <v>2124</v>
      </c>
      <c r="B3126" s="3" t="s">
        <v>2125</v>
      </c>
      <c r="C3126" s="4"/>
      <c r="D3126" s="4"/>
      <c r="E3126" s="4"/>
      <c r="F3126" s="4"/>
      <c r="G3126" s="4"/>
      <c r="H3126" s="4"/>
      <c r="I3126" s="18" t="s">
        <v>2473</v>
      </c>
      <c r="J3126" s="18" t="s">
        <v>2473</v>
      </c>
      <c r="K3126" s="18" t="s">
        <v>2473</v>
      </c>
      <c r="L3126" s="18" t="s">
        <v>2335</v>
      </c>
      <c r="AU3126" s="6"/>
      <c r="AV3126" s="6" t="str">
        <f t="shared" si="65"/>
        <v/>
      </c>
    </row>
    <row r="3127" spans="1:48" ht="105" thickBot="1" x14ac:dyDescent="0.5">
      <c r="A3127" s="35" t="s">
        <v>69</v>
      </c>
      <c r="B3127" s="3" t="s">
        <v>3968</v>
      </c>
      <c r="C3127" s="4" t="s">
        <v>10</v>
      </c>
      <c r="D3127" s="4"/>
      <c r="E3127" s="4" t="s">
        <v>10</v>
      </c>
      <c r="F3127" s="4"/>
      <c r="G3127" s="4" t="s">
        <v>10</v>
      </c>
      <c r="H3127" s="4"/>
      <c r="I3127" s="18" t="s">
        <v>2473</v>
      </c>
      <c r="J3127" s="18" t="s">
        <v>2473</v>
      </c>
      <c r="K3127" s="18" t="s">
        <v>2473</v>
      </c>
      <c r="L3127" s="18" t="s">
        <v>2334</v>
      </c>
      <c r="Q3127" s="8" t="s">
        <v>3822</v>
      </c>
      <c r="R3127" s="122" t="s">
        <v>3435</v>
      </c>
      <c r="S3127" s="114" t="s">
        <v>3443</v>
      </c>
      <c r="T3127" s="114" t="s">
        <v>145</v>
      </c>
      <c r="U3127" s="114" t="s">
        <v>3525</v>
      </c>
      <c r="V3127" s="114" t="s">
        <v>3441</v>
      </c>
      <c r="W3127" s="114" t="s">
        <v>3436</v>
      </c>
      <c r="X3127" s="114" t="s">
        <v>13</v>
      </c>
      <c r="Y3127" s="149"/>
      <c r="Z3127" s="183"/>
      <c r="AA3127" s="183"/>
      <c r="AB3127" s="183"/>
      <c r="AC3127" s="183"/>
      <c r="AD3127" s="183"/>
      <c r="AE3127" s="184"/>
      <c r="AF3127" s="184"/>
      <c r="AG3127" s="183"/>
      <c r="AH3127" s="183"/>
      <c r="AI3127" s="183"/>
      <c r="AJ3127" s="183"/>
      <c r="AK3127" s="183"/>
      <c r="AL3127" s="183"/>
      <c r="AM3127" s="183"/>
      <c r="AN3127" s="131"/>
      <c r="AO3127" s="131"/>
      <c r="AP3127" s="131"/>
      <c r="AQ3127" s="131"/>
      <c r="AR3127" s="288"/>
      <c r="AS3127" s="266" t="s">
        <v>5861</v>
      </c>
      <c r="AT3127" s="183"/>
      <c r="AU3127" s="6"/>
      <c r="AV3127" s="6" t="str">
        <f t="shared" si="65"/>
        <v>OK</v>
      </c>
    </row>
    <row r="3128" spans="1:48" ht="47.65" thickBot="1" x14ac:dyDescent="0.5">
      <c r="A3128" s="35" t="s">
        <v>5358</v>
      </c>
      <c r="B3128" s="3" t="s">
        <v>5352</v>
      </c>
      <c r="C3128" s="4" t="s">
        <v>10</v>
      </c>
      <c r="D3128" s="4"/>
      <c r="E3128" s="4" t="s">
        <v>10</v>
      </c>
      <c r="F3128" s="4"/>
      <c r="G3128" s="4" t="s">
        <v>10</v>
      </c>
      <c r="H3128" s="4"/>
      <c r="I3128" s="18" t="s">
        <v>2473</v>
      </c>
      <c r="J3128" s="18" t="s">
        <v>2473</v>
      </c>
      <c r="K3128" s="18" t="s">
        <v>2473</v>
      </c>
      <c r="Q3128" s="131"/>
      <c r="R3128" s="131"/>
      <c r="S3128" s="131"/>
      <c r="T3128" s="131"/>
      <c r="U3128" s="131"/>
      <c r="V3128" s="131"/>
      <c r="W3128" s="131"/>
      <c r="X3128" s="131"/>
      <c r="AS3128" s="139" t="s">
        <v>5355</v>
      </c>
      <c r="AU3128" s="6"/>
      <c r="AV3128" s="6"/>
    </row>
    <row r="3129" spans="1:48" ht="82.5" thickBot="1" x14ac:dyDescent="0.5">
      <c r="A3129" s="35" t="s">
        <v>5359</v>
      </c>
      <c r="B3129" s="3" t="s">
        <v>5353</v>
      </c>
      <c r="C3129" s="4"/>
      <c r="D3129" s="4"/>
      <c r="E3129" s="4"/>
      <c r="F3129" s="4"/>
      <c r="G3129" s="4"/>
      <c r="H3129" s="4"/>
      <c r="I3129" s="18" t="s">
        <v>2473</v>
      </c>
      <c r="J3129" s="18" t="s">
        <v>2473</v>
      </c>
      <c r="K3129" s="18" t="s">
        <v>2473</v>
      </c>
      <c r="Q3129" s="131"/>
      <c r="R3129" s="131"/>
      <c r="S3129" s="131"/>
      <c r="T3129" s="131"/>
      <c r="U3129" s="131"/>
      <c r="V3129" s="131"/>
      <c r="W3129" s="131"/>
      <c r="X3129" s="131"/>
      <c r="AS3129" s="139" t="s">
        <v>5356</v>
      </c>
      <c r="AU3129" s="6"/>
      <c r="AV3129" s="6"/>
    </row>
    <row r="3130" spans="1:48" ht="36" thickBot="1" x14ac:dyDescent="0.5">
      <c r="A3130" s="36" t="s">
        <v>135</v>
      </c>
      <c r="B3130" s="3" t="s">
        <v>2126</v>
      </c>
      <c r="C3130" s="4" t="s">
        <v>37</v>
      </c>
      <c r="D3130" s="4"/>
      <c r="E3130" s="4" t="s">
        <v>37</v>
      </c>
      <c r="F3130" s="4"/>
      <c r="G3130" s="4" t="s">
        <v>37</v>
      </c>
      <c r="H3130" s="4"/>
      <c r="I3130" s="18" t="s">
        <v>2473</v>
      </c>
      <c r="J3130" s="18" t="s">
        <v>2473</v>
      </c>
      <c r="K3130" s="18" t="s">
        <v>2473</v>
      </c>
      <c r="Q3130" s="8" t="s">
        <v>3822</v>
      </c>
      <c r="R3130" s="122" t="s">
        <v>3529</v>
      </c>
      <c r="S3130" s="114" t="s">
        <v>4</v>
      </c>
      <c r="T3130" s="114" t="s">
        <v>135</v>
      </c>
      <c r="U3130" s="114" t="s">
        <v>3521</v>
      </c>
      <c r="V3130" s="114" t="s">
        <v>3530</v>
      </c>
      <c r="W3130" s="114" t="s">
        <v>3436</v>
      </c>
      <c r="X3130" s="114" t="s">
        <v>13</v>
      </c>
      <c r="Y3130" s="149"/>
      <c r="Z3130" s="183"/>
      <c r="AA3130" s="183"/>
      <c r="AB3130" s="183"/>
      <c r="AC3130" s="183"/>
      <c r="AD3130" s="183"/>
      <c r="AE3130" s="184"/>
      <c r="AF3130" s="184"/>
      <c r="AG3130" s="183"/>
      <c r="AH3130" s="183"/>
      <c r="AI3130" s="183"/>
      <c r="AJ3130" s="183"/>
      <c r="AK3130" s="183"/>
      <c r="AL3130" s="183"/>
      <c r="AM3130" s="183"/>
      <c r="AN3130" s="131"/>
      <c r="AO3130" s="131"/>
      <c r="AP3130" s="131"/>
      <c r="AQ3130" s="131"/>
      <c r="AR3130" s="288"/>
      <c r="AS3130" s="259"/>
      <c r="AT3130" s="183"/>
      <c r="AU3130" s="140" t="s">
        <v>4293</v>
      </c>
      <c r="AV3130" s="6" t="str">
        <f t="shared" si="65"/>
        <v>OK</v>
      </c>
    </row>
    <row r="3131" spans="1:48" ht="14.65" thickBot="1" x14ac:dyDescent="0.5">
      <c r="A3131" s="35" t="s">
        <v>33</v>
      </c>
      <c r="B3131" s="3" t="s">
        <v>84</v>
      </c>
      <c r="C3131" s="4"/>
      <c r="D3131" s="4"/>
      <c r="E3131" s="4"/>
      <c r="F3131" s="4"/>
      <c r="G3131" s="4"/>
      <c r="H3131" s="4"/>
      <c r="I3131" s="18" t="s">
        <v>2473</v>
      </c>
      <c r="J3131" s="18" t="s">
        <v>2473</v>
      </c>
      <c r="K3131" s="18" t="s">
        <v>2473</v>
      </c>
      <c r="L3131" s="18" t="s">
        <v>2335</v>
      </c>
      <c r="AU3131" s="6"/>
      <c r="AV3131" s="6" t="str">
        <f t="shared" si="65"/>
        <v/>
      </c>
    </row>
    <row r="3132" spans="1:48" ht="20.65" thickBot="1" x14ac:dyDescent="0.5">
      <c r="A3132" s="36" t="s">
        <v>2127</v>
      </c>
      <c r="B3132" s="3" t="s">
        <v>2128</v>
      </c>
      <c r="C3132" s="4" t="s">
        <v>37</v>
      </c>
      <c r="D3132" s="4"/>
      <c r="E3132" s="4" t="s">
        <v>37</v>
      </c>
      <c r="F3132" s="4"/>
      <c r="G3132" s="4" t="s">
        <v>37</v>
      </c>
      <c r="H3132" s="4"/>
      <c r="I3132" s="18" t="s">
        <v>2473</v>
      </c>
      <c r="J3132" s="18" t="s">
        <v>2473</v>
      </c>
      <c r="K3132" s="18" t="s">
        <v>2473</v>
      </c>
      <c r="L3132" s="18" t="s">
        <v>2334</v>
      </c>
      <c r="R3132" s="122" t="s">
        <v>3435</v>
      </c>
      <c r="S3132" s="114" t="s">
        <v>3437</v>
      </c>
      <c r="T3132" s="114" t="s">
        <v>2127</v>
      </c>
      <c r="U3132" s="114"/>
      <c r="V3132" s="114" t="s">
        <v>3823</v>
      </c>
      <c r="W3132" s="114" t="s">
        <v>3436</v>
      </c>
      <c r="X3132" s="114" t="s">
        <v>13</v>
      </c>
      <c r="Y3132" s="149"/>
      <c r="Z3132" s="183"/>
      <c r="AA3132" s="183"/>
      <c r="AB3132" s="183"/>
      <c r="AC3132" s="183"/>
      <c r="AD3132" s="183"/>
      <c r="AE3132" s="184"/>
      <c r="AF3132" s="184"/>
      <c r="AG3132" s="183"/>
      <c r="AH3132" s="183"/>
      <c r="AI3132" s="183"/>
      <c r="AJ3132" s="183"/>
      <c r="AK3132" s="183"/>
      <c r="AL3132" s="183"/>
      <c r="AM3132" s="183"/>
      <c r="AN3132" s="131"/>
      <c r="AO3132" s="131"/>
      <c r="AP3132" s="131"/>
      <c r="AQ3132" s="131"/>
      <c r="AR3132" s="288"/>
      <c r="AS3132" s="259"/>
      <c r="AT3132" s="183"/>
      <c r="AU3132" s="6"/>
      <c r="AV3132" s="6" t="str">
        <f t="shared" si="65"/>
        <v>OK</v>
      </c>
    </row>
    <row r="3133" spans="1:48" ht="14.65" thickBot="1" x14ac:dyDescent="0.5">
      <c r="A3133" s="35" t="s">
        <v>33</v>
      </c>
      <c r="B3133" s="5" t="s">
        <v>84</v>
      </c>
      <c r="C3133" s="4"/>
      <c r="D3133" s="4"/>
      <c r="E3133" s="4"/>
      <c r="F3133" s="4"/>
      <c r="G3133" s="4"/>
      <c r="H3133" s="4"/>
      <c r="I3133" s="18" t="s">
        <v>2473</v>
      </c>
      <c r="J3133" s="18" t="s">
        <v>2473</v>
      </c>
      <c r="K3133" s="18" t="s">
        <v>2473</v>
      </c>
      <c r="L3133" s="18" t="s">
        <v>2335</v>
      </c>
      <c r="AU3133" s="6"/>
      <c r="AV3133" s="6" t="str">
        <f t="shared" si="65"/>
        <v/>
      </c>
    </row>
    <row r="3134" spans="1:48" ht="14.65" thickBot="1" x14ac:dyDescent="0.5">
      <c r="A3134" s="35" t="s">
        <v>442</v>
      </c>
      <c r="B3134" s="3" t="s">
        <v>9</v>
      </c>
      <c r="C3134" s="4"/>
      <c r="D3134" s="4"/>
      <c r="E3134" s="4"/>
      <c r="F3134" s="4"/>
      <c r="G3134" s="4"/>
      <c r="H3134" s="4"/>
      <c r="I3134" s="18" t="s">
        <v>2473</v>
      </c>
      <c r="J3134" s="18" t="s">
        <v>2473</v>
      </c>
      <c r="K3134" s="18" t="s">
        <v>2473</v>
      </c>
      <c r="L3134" s="18" t="s">
        <v>2335</v>
      </c>
      <c r="AU3134" s="6"/>
      <c r="AV3134" s="6" t="str">
        <f t="shared" si="65"/>
        <v/>
      </c>
    </row>
    <row r="3135" spans="1:48" ht="36" thickBot="1" x14ac:dyDescent="0.5">
      <c r="A3135" s="35" t="s">
        <v>2129</v>
      </c>
      <c r="B3135" s="3" t="s">
        <v>2130</v>
      </c>
      <c r="C3135" s="4" t="s">
        <v>10</v>
      </c>
      <c r="D3135" s="4"/>
      <c r="E3135" s="4" t="s">
        <v>10</v>
      </c>
      <c r="F3135" s="4"/>
      <c r="G3135" s="4" t="s">
        <v>10</v>
      </c>
      <c r="H3135" s="4"/>
      <c r="I3135" s="18" t="s">
        <v>2473</v>
      </c>
      <c r="J3135" s="18" t="s">
        <v>2473</v>
      </c>
      <c r="K3135" s="18" t="s">
        <v>2473</v>
      </c>
      <c r="L3135" s="18" t="s">
        <v>2334</v>
      </c>
      <c r="Q3135" s="8" t="s">
        <v>3823</v>
      </c>
      <c r="R3135" s="122" t="s">
        <v>3435</v>
      </c>
      <c r="S3135" s="114" t="s">
        <v>3443</v>
      </c>
      <c r="T3135" s="114" t="s">
        <v>3568</v>
      </c>
      <c r="U3135" s="114" t="s">
        <v>3525</v>
      </c>
      <c r="V3135" s="114"/>
      <c r="W3135" s="114" t="s">
        <v>3436</v>
      </c>
      <c r="X3135" s="114" t="s">
        <v>13</v>
      </c>
      <c r="Y3135" s="149"/>
      <c r="Z3135" s="183"/>
      <c r="AA3135" s="183"/>
      <c r="AB3135" s="183"/>
      <c r="AC3135" s="183"/>
      <c r="AD3135" s="183"/>
      <c r="AE3135" s="184"/>
      <c r="AF3135" s="184"/>
      <c r="AG3135" s="183"/>
      <c r="AH3135" s="183"/>
      <c r="AI3135" s="183"/>
      <c r="AJ3135" s="183"/>
      <c r="AK3135" s="183"/>
      <c r="AL3135" s="183"/>
      <c r="AM3135" s="183"/>
      <c r="AN3135" s="131"/>
      <c r="AO3135" s="131"/>
      <c r="AP3135" s="131"/>
      <c r="AQ3135" s="131"/>
      <c r="AR3135" s="288"/>
      <c r="AS3135" s="259"/>
      <c r="AT3135" s="183"/>
      <c r="AU3135" s="6"/>
      <c r="AV3135" s="6" t="str">
        <f t="shared" si="65"/>
        <v>OK</v>
      </c>
    </row>
    <row r="3136" spans="1:48" ht="36" thickBot="1" x14ac:dyDescent="0.5">
      <c r="A3136" s="35" t="s">
        <v>2131</v>
      </c>
      <c r="B3136" s="3" t="s">
        <v>2132</v>
      </c>
      <c r="C3136" s="4" t="s">
        <v>13</v>
      </c>
      <c r="D3136" s="4"/>
      <c r="E3136" s="4" t="s">
        <v>13</v>
      </c>
      <c r="F3136" s="4"/>
      <c r="G3136" s="4" t="s">
        <v>13</v>
      </c>
      <c r="H3136" s="4"/>
      <c r="I3136" s="18" t="s">
        <v>2473</v>
      </c>
      <c r="J3136" s="18" t="s">
        <v>2473</v>
      </c>
      <c r="K3136" s="18" t="s">
        <v>2473</v>
      </c>
      <c r="L3136" s="18" t="s">
        <v>2334</v>
      </c>
      <c r="Q3136" s="8" t="s">
        <v>3823</v>
      </c>
      <c r="R3136" s="122" t="s">
        <v>3435</v>
      </c>
      <c r="S3136" s="114" t="s">
        <v>3443</v>
      </c>
      <c r="T3136" s="114" t="s">
        <v>3569</v>
      </c>
      <c r="U3136" s="114" t="s">
        <v>3525</v>
      </c>
      <c r="V3136" s="114"/>
      <c r="W3136" s="114" t="s">
        <v>3436</v>
      </c>
      <c r="X3136" s="114" t="s">
        <v>13</v>
      </c>
      <c r="Y3136" s="149"/>
      <c r="Z3136" s="183"/>
      <c r="AA3136" s="183"/>
      <c r="AB3136" s="183"/>
      <c r="AC3136" s="183"/>
      <c r="AD3136" s="183"/>
      <c r="AE3136" s="184"/>
      <c r="AF3136" s="184"/>
      <c r="AG3136" s="183"/>
      <c r="AH3136" s="183"/>
      <c r="AI3136" s="183"/>
      <c r="AJ3136" s="183"/>
      <c r="AK3136" s="183"/>
      <c r="AL3136" s="183"/>
      <c r="AM3136" s="183"/>
      <c r="AN3136" s="131"/>
      <c r="AO3136" s="131"/>
      <c r="AP3136" s="131"/>
      <c r="AQ3136" s="131"/>
      <c r="AR3136" s="288"/>
      <c r="AS3136" s="259"/>
      <c r="AT3136" s="183"/>
      <c r="AU3136" s="6"/>
      <c r="AV3136" s="6" t="str">
        <f t="shared" si="65"/>
        <v>OK</v>
      </c>
    </row>
    <row r="3137" spans="1:48" ht="36" thickBot="1" x14ac:dyDescent="0.5">
      <c r="A3137" s="35" t="s">
        <v>2133</v>
      </c>
      <c r="B3137" s="3" t="s">
        <v>832</v>
      </c>
      <c r="C3137" s="4" t="s">
        <v>13</v>
      </c>
      <c r="D3137" s="4"/>
      <c r="E3137" s="4" t="s">
        <v>13</v>
      </c>
      <c r="F3137" s="4"/>
      <c r="G3137" s="4" t="s">
        <v>13</v>
      </c>
      <c r="H3137" s="4"/>
      <c r="I3137" s="18" t="s">
        <v>2473</v>
      </c>
      <c r="J3137" s="18" t="s">
        <v>2473</v>
      </c>
      <c r="K3137" s="18" t="s">
        <v>2473</v>
      </c>
      <c r="L3137" s="18" t="s">
        <v>2334</v>
      </c>
      <c r="Q3137" s="8" t="s">
        <v>3823</v>
      </c>
      <c r="R3137" s="122" t="s">
        <v>3435</v>
      </c>
      <c r="S3137" s="114" t="s">
        <v>3443</v>
      </c>
      <c r="T3137" s="114" t="s">
        <v>3570</v>
      </c>
      <c r="U3137" s="114" t="s">
        <v>3525</v>
      </c>
      <c r="V3137" s="114"/>
      <c r="W3137" s="114" t="s">
        <v>3436</v>
      </c>
      <c r="X3137" s="114" t="s">
        <v>13</v>
      </c>
      <c r="Y3137" s="149"/>
      <c r="Z3137" s="183"/>
      <c r="AA3137" s="183"/>
      <c r="AB3137" s="183"/>
      <c r="AC3137" s="183"/>
      <c r="AD3137" s="183"/>
      <c r="AE3137" s="184"/>
      <c r="AF3137" s="184"/>
      <c r="AG3137" s="183"/>
      <c r="AH3137" s="183"/>
      <c r="AI3137" s="183"/>
      <c r="AJ3137" s="183"/>
      <c r="AK3137" s="183"/>
      <c r="AL3137" s="183"/>
      <c r="AM3137" s="183"/>
      <c r="AN3137" s="131"/>
      <c r="AO3137" s="131"/>
      <c r="AP3137" s="131"/>
      <c r="AQ3137" s="131"/>
      <c r="AR3137" s="288"/>
      <c r="AS3137" s="259"/>
      <c r="AT3137" s="183"/>
      <c r="AU3137" s="6"/>
      <c r="AV3137" s="6" t="str">
        <f t="shared" si="65"/>
        <v>OK</v>
      </c>
    </row>
    <row r="3138" spans="1:48" ht="36" thickBot="1" x14ac:dyDescent="0.5">
      <c r="A3138" s="35" t="s">
        <v>2134</v>
      </c>
      <c r="B3138" s="3" t="s">
        <v>2135</v>
      </c>
      <c r="C3138" s="4" t="s">
        <v>10</v>
      </c>
      <c r="D3138" s="4"/>
      <c r="E3138" s="4" t="s">
        <v>10</v>
      </c>
      <c r="F3138" s="4"/>
      <c r="G3138" s="4" t="s">
        <v>10</v>
      </c>
      <c r="H3138" s="4"/>
      <c r="I3138" s="18" t="s">
        <v>2473</v>
      </c>
      <c r="J3138" s="18" t="s">
        <v>2473</v>
      </c>
      <c r="K3138" s="18" t="s">
        <v>2473</v>
      </c>
      <c r="Q3138" s="8" t="s">
        <v>3823</v>
      </c>
      <c r="R3138" s="122" t="s">
        <v>3529</v>
      </c>
      <c r="S3138" s="114" t="s">
        <v>4</v>
      </c>
      <c r="T3138" s="114" t="s">
        <v>676</v>
      </c>
      <c r="U3138" s="114" t="s">
        <v>3525</v>
      </c>
      <c r="V3138" s="114" t="s">
        <v>3530</v>
      </c>
      <c r="W3138" s="114" t="s">
        <v>3436</v>
      </c>
      <c r="X3138" s="114" t="s">
        <v>13</v>
      </c>
      <c r="Y3138" s="149"/>
      <c r="Z3138" s="183"/>
      <c r="AA3138" s="183"/>
      <c r="AB3138" s="183"/>
      <c r="AC3138" s="183"/>
      <c r="AD3138" s="183"/>
      <c r="AE3138" s="184"/>
      <c r="AF3138" s="184"/>
      <c r="AG3138" s="183"/>
      <c r="AH3138" s="183"/>
      <c r="AI3138" s="183"/>
      <c r="AJ3138" s="183"/>
      <c r="AK3138" s="183"/>
      <c r="AL3138" s="183"/>
      <c r="AM3138" s="183"/>
      <c r="AN3138" s="131"/>
      <c r="AO3138" s="131"/>
      <c r="AP3138" s="131"/>
      <c r="AQ3138" s="131"/>
      <c r="AR3138" s="288"/>
      <c r="AS3138" s="259"/>
      <c r="AT3138" s="183"/>
      <c r="AU3138" s="139" t="s">
        <v>4293</v>
      </c>
      <c r="AV3138" s="6" t="str">
        <f t="shared" si="65"/>
        <v>OK</v>
      </c>
    </row>
    <row r="3139" spans="1:48" ht="14.65" thickBot="1" x14ac:dyDescent="0.5">
      <c r="A3139" s="35" t="s">
        <v>461</v>
      </c>
      <c r="B3139" s="3" t="s">
        <v>462</v>
      </c>
      <c r="C3139" s="4" t="s">
        <v>10</v>
      </c>
      <c r="D3139" s="4"/>
      <c r="E3139" s="4" t="s">
        <v>10</v>
      </c>
      <c r="F3139" s="4"/>
      <c r="G3139" s="4" t="s">
        <v>10</v>
      </c>
      <c r="H3139" s="4"/>
      <c r="I3139" s="18" t="s">
        <v>2473</v>
      </c>
      <c r="J3139" s="18" t="s">
        <v>2473</v>
      </c>
      <c r="K3139" s="18" t="s">
        <v>2473</v>
      </c>
      <c r="AU3139" s="8"/>
      <c r="AV3139" s="6" t="str">
        <f t="shared" si="65"/>
        <v/>
      </c>
    </row>
    <row r="3140" spans="1:48" ht="36" thickBot="1" x14ac:dyDescent="0.5">
      <c r="A3140" s="35" t="s">
        <v>2136</v>
      </c>
      <c r="B3140" s="3" t="s">
        <v>2137</v>
      </c>
      <c r="C3140" s="4" t="s">
        <v>10</v>
      </c>
      <c r="D3140" s="4"/>
      <c r="E3140" s="4" t="s">
        <v>10</v>
      </c>
      <c r="F3140" s="4"/>
      <c r="G3140" s="4" t="s">
        <v>10</v>
      </c>
      <c r="H3140" s="4"/>
      <c r="I3140" s="18" t="s">
        <v>2473</v>
      </c>
      <c r="J3140" s="18" t="s">
        <v>2473</v>
      </c>
      <c r="K3140" s="18" t="s">
        <v>2473</v>
      </c>
      <c r="Q3140" s="8" t="s">
        <v>3823</v>
      </c>
      <c r="R3140" s="122" t="s">
        <v>3529</v>
      </c>
      <c r="S3140" s="114" t="s">
        <v>4</v>
      </c>
      <c r="T3140" s="114" t="s">
        <v>684</v>
      </c>
      <c r="U3140" s="114" t="s">
        <v>3525</v>
      </c>
      <c r="V3140" s="114" t="s">
        <v>3530</v>
      </c>
      <c r="W3140" s="114" t="s">
        <v>3436</v>
      </c>
      <c r="X3140" s="114" t="s">
        <v>13</v>
      </c>
      <c r="Y3140" s="149"/>
      <c r="Z3140" s="183"/>
      <c r="AA3140" s="183"/>
      <c r="AB3140" s="183"/>
      <c r="AC3140" s="183"/>
      <c r="AD3140" s="183"/>
      <c r="AE3140" s="184"/>
      <c r="AF3140" s="184"/>
      <c r="AG3140" s="183"/>
      <c r="AH3140" s="183"/>
      <c r="AI3140" s="183"/>
      <c r="AJ3140" s="183"/>
      <c r="AK3140" s="183"/>
      <c r="AL3140" s="183"/>
      <c r="AM3140" s="183"/>
      <c r="AN3140" s="131"/>
      <c r="AO3140" s="131"/>
      <c r="AP3140" s="131"/>
      <c r="AQ3140" s="131"/>
      <c r="AR3140" s="288"/>
      <c r="AS3140" s="259"/>
      <c r="AT3140" s="183"/>
      <c r="AU3140" s="8"/>
      <c r="AV3140" s="6" t="str">
        <f t="shared" si="65"/>
        <v>OK</v>
      </c>
    </row>
    <row r="3141" spans="1:48" ht="14.65" thickBot="1" x14ac:dyDescent="0.5">
      <c r="A3141" s="35" t="s">
        <v>424</v>
      </c>
      <c r="B3141" s="3" t="s">
        <v>2138</v>
      </c>
      <c r="C3141" s="4" t="s">
        <v>10</v>
      </c>
      <c r="D3141" s="4"/>
      <c r="E3141" s="4" t="s">
        <v>10</v>
      </c>
      <c r="F3141" s="4"/>
      <c r="G3141" s="4" t="s">
        <v>10</v>
      </c>
      <c r="H3141" s="4"/>
      <c r="I3141" s="18" t="s">
        <v>2473</v>
      </c>
      <c r="J3141" s="18" t="s">
        <v>2473</v>
      </c>
      <c r="K3141" s="18" t="s">
        <v>2473</v>
      </c>
      <c r="L3141" s="18" t="s">
        <v>2334</v>
      </c>
      <c r="AU3141" s="8"/>
      <c r="AV3141" s="6" t="str">
        <f t="shared" si="65"/>
        <v/>
      </c>
    </row>
    <row r="3142" spans="1:48" ht="14.65" thickBot="1" x14ac:dyDescent="0.5">
      <c r="A3142" s="35" t="s">
        <v>59</v>
      </c>
      <c r="B3142" s="3" t="s">
        <v>60</v>
      </c>
      <c r="C3142" s="4"/>
      <c r="D3142" s="4"/>
      <c r="E3142" s="4"/>
      <c r="F3142" s="4"/>
      <c r="G3142" s="4"/>
      <c r="H3142" s="4"/>
      <c r="I3142" s="18" t="s">
        <v>2473</v>
      </c>
      <c r="J3142" s="18" t="s">
        <v>2473</v>
      </c>
      <c r="K3142" s="18" t="s">
        <v>2473</v>
      </c>
      <c r="L3142" s="18" t="s">
        <v>2335</v>
      </c>
      <c r="AU3142" s="8"/>
      <c r="AV3142" s="6" t="str">
        <f t="shared" si="65"/>
        <v/>
      </c>
    </row>
    <row r="3143" spans="1:48" ht="36" thickBot="1" x14ac:dyDescent="0.5">
      <c r="A3143" s="35" t="s">
        <v>2051</v>
      </c>
      <c r="B3143" s="3" t="s">
        <v>2139</v>
      </c>
      <c r="C3143" s="4" t="s">
        <v>10</v>
      </c>
      <c r="D3143" s="4"/>
      <c r="E3143" s="4" t="s">
        <v>10</v>
      </c>
      <c r="F3143" s="4"/>
      <c r="G3143" s="4" t="s">
        <v>10</v>
      </c>
      <c r="H3143" s="4"/>
      <c r="I3143" s="18" t="s">
        <v>2473</v>
      </c>
      <c r="J3143" s="18" t="s">
        <v>2473</v>
      </c>
      <c r="K3143" s="18" t="s">
        <v>2473</v>
      </c>
      <c r="L3143" s="18" t="s">
        <v>2334</v>
      </c>
      <c r="Q3143" s="8" t="s">
        <v>3823</v>
      </c>
      <c r="R3143" s="122" t="s">
        <v>3529</v>
      </c>
      <c r="S3143" s="114" t="s">
        <v>4</v>
      </c>
      <c r="T3143" s="114" t="s">
        <v>686</v>
      </c>
      <c r="U3143" s="114" t="s">
        <v>3956</v>
      </c>
      <c r="V3143" s="114" t="s">
        <v>3530</v>
      </c>
      <c r="W3143" s="114" t="s">
        <v>3436</v>
      </c>
      <c r="X3143" s="114" t="s">
        <v>13</v>
      </c>
      <c r="Y3143" s="149"/>
      <c r="Z3143" s="183"/>
      <c r="AA3143" s="183"/>
      <c r="AB3143" s="183"/>
      <c r="AC3143" s="183"/>
      <c r="AD3143" s="183"/>
      <c r="AE3143" s="184"/>
      <c r="AF3143" s="184"/>
      <c r="AG3143" s="183"/>
      <c r="AH3143" s="183"/>
      <c r="AI3143" s="183"/>
      <c r="AJ3143" s="183"/>
      <c r="AK3143" s="183"/>
      <c r="AL3143" s="183"/>
      <c r="AM3143" s="183"/>
      <c r="AN3143" s="131"/>
      <c r="AO3143" s="131"/>
      <c r="AP3143" s="131"/>
      <c r="AQ3143" s="131"/>
      <c r="AR3143" s="288"/>
      <c r="AS3143" s="259"/>
      <c r="AT3143" s="183"/>
      <c r="AU3143" s="6"/>
      <c r="AV3143" s="6" t="str">
        <f t="shared" si="65"/>
        <v>OK</v>
      </c>
    </row>
    <row r="3144" spans="1:48" ht="36" thickBot="1" x14ac:dyDescent="0.5">
      <c r="A3144" s="35" t="s">
        <v>2140</v>
      </c>
      <c r="B3144" s="3" t="s">
        <v>2141</v>
      </c>
      <c r="C3144" s="4" t="s">
        <v>10</v>
      </c>
      <c r="D3144" s="4"/>
      <c r="E3144" s="4" t="s">
        <v>10</v>
      </c>
      <c r="F3144" s="4"/>
      <c r="G3144" s="4" t="s">
        <v>10</v>
      </c>
      <c r="H3144" s="4"/>
      <c r="I3144" s="18" t="s">
        <v>2473</v>
      </c>
      <c r="J3144" s="18" t="s">
        <v>2473</v>
      </c>
      <c r="K3144" s="18" t="s">
        <v>2473</v>
      </c>
      <c r="L3144" s="18" t="s">
        <v>2334</v>
      </c>
      <c r="Q3144" s="8" t="s">
        <v>3823</v>
      </c>
      <c r="R3144" s="122" t="s">
        <v>3435</v>
      </c>
      <c r="S3144" s="114" t="s">
        <v>3443</v>
      </c>
      <c r="T3144" s="114" t="s">
        <v>3842</v>
      </c>
      <c r="U3144" s="114" t="s">
        <v>3525</v>
      </c>
      <c r="V3144" s="114"/>
      <c r="W3144" s="114" t="s">
        <v>3436</v>
      </c>
      <c r="X3144" s="114" t="s">
        <v>13</v>
      </c>
      <c r="Y3144" s="149"/>
      <c r="Z3144" s="183"/>
      <c r="AA3144" s="183"/>
      <c r="AB3144" s="183"/>
      <c r="AC3144" s="183"/>
      <c r="AD3144" s="183"/>
      <c r="AE3144" s="184"/>
      <c r="AF3144" s="184"/>
      <c r="AG3144" s="183"/>
      <c r="AH3144" s="183"/>
      <c r="AI3144" s="183"/>
      <c r="AJ3144" s="183"/>
      <c r="AK3144" s="183"/>
      <c r="AL3144" s="183"/>
      <c r="AM3144" s="183"/>
      <c r="AN3144" s="131"/>
      <c r="AO3144" s="131"/>
      <c r="AP3144" s="131"/>
      <c r="AQ3144" s="131"/>
      <c r="AR3144" s="288"/>
      <c r="AS3144" s="259"/>
      <c r="AT3144" s="183"/>
      <c r="AU3144" s="6"/>
      <c r="AV3144" s="6" t="str">
        <f t="shared" si="65"/>
        <v>OK</v>
      </c>
    </row>
    <row r="3145" spans="1:48" ht="36" thickBot="1" x14ac:dyDescent="0.5">
      <c r="A3145" s="35" t="s">
        <v>2079</v>
      </c>
      <c r="B3145" s="3" t="s">
        <v>2142</v>
      </c>
      <c r="C3145" s="4"/>
      <c r="D3145" s="4"/>
      <c r="E3145" s="4"/>
      <c r="F3145" s="4"/>
      <c r="G3145" s="4"/>
      <c r="H3145" s="4"/>
      <c r="I3145" s="18" t="s">
        <v>2473</v>
      </c>
      <c r="J3145" s="18" t="s">
        <v>2473</v>
      </c>
      <c r="K3145" s="18" t="s">
        <v>2473</v>
      </c>
      <c r="L3145" s="18" t="s">
        <v>2335</v>
      </c>
      <c r="Q3145" s="8" t="s">
        <v>3823</v>
      </c>
      <c r="R3145" s="122" t="s">
        <v>3529</v>
      </c>
      <c r="S3145" s="114" t="s">
        <v>4</v>
      </c>
      <c r="T3145" s="114" t="s">
        <v>1124</v>
      </c>
      <c r="U3145" s="114" t="s">
        <v>3521</v>
      </c>
      <c r="V3145" s="114" t="s">
        <v>3530</v>
      </c>
      <c r="W3145" s="114" t="s">
        <v>3436</v>
      </c>
      <c r="X3145" s="114" t="s">
        <v>13</v>
      </c>
      <c r="Y3145" s="149"/>
      <c r="Z3145" s="183"/>
      <c r="AA3145" s="183"/>
      <c r="AB3145" s="183"/>
      <c r="AC3145" s="183"/>
      <c r="AD3145" s="183"/>
      <c r="AE3145" s="184"/>
      <c r="AF3145" s="184"/>
      <c r="AG3145" s="183"/>
      <c r="AH3145" s="183"/>
      <c r="AI3145" s="183"/>
      <c r="AJ3145" s="183"/>
      <c r="AK3145" s="183"/>
      <c r="AL3145" s="183"/>
      <c r="AM3145" s="183"/>
      <c r="AN3145" s="131"/>
      <c r="AO3145" s="131"/>
      <c r="AP3145" s="131"/>
      <c r="AQ3145" s="131"/>
      <c r="AR3145" s="288"/>
      <c r="AS3145" s="259"/>
      <c r="AT3145" s="183"/>
      <c r="AU3145" s="140" t="s">
        <v>4293</v>
      </c>
      <c r="AV3145" s="6" t="str">
        <f t="shared" si="65"/>
        <v>OK</v>
      </c>
    </row>
    <row r="3146" spans="1:48" ht="14.65" thickBot="1" x14ac:dyDescent="0.5">
      <c r="A3146" s="35" t="s">
        <v>43</v>
      </c>
      <c r="B3146" s="3" t="s">
        <v>84</v>
      </c>
      <c r="C3146" s="4"/>
      <c r="D3146" s="4"/>
      <c r="E3146" s="4"/>
      <c r="F3146" s="4"/>
      <c r="G3146" s="4"/>
      <c r="H3146" s="4"/>
      <c r="I3146" s="18" t="s">
        <v>2473</v>
      </c>
      <c r="J3146" s="18" t="s">
        <v>2473</v>
      </c>
      <c r="K3146" s="18" t="s">
        <v>2473</v>
      </c>
      <c r="L3146" s="18" t="s">
        <v>2335</v>
      </c>
      <c r="AU3146" s="6"/>
      <c r="AV3146" s="6" t="str">
        <f t="shared" si="65"/>
        <v/>
      </c>
    </row>
    <row r="3147" spans="1:48" ht="36" thickBot="1" x14ac:dyDescent="0.5">
      <c r="A3147" s="35" t="s">
        <v>2143</v>
      </c>
      <c r="B3147" s="3" t="s">
        <v>2144</v>
      </c>
      <c r="C3147" s="4" t="s">
        <v>10</v>
      </c>
      <c r="D3147" s="4"/>
      <c r="E3147" s="4" t="s">
        <v>10</v>
      </c>
      <c r="F3147" s="4"/>
      <c r="G3147" s="4" t="s">
        <v>10</v>
      </c>
      <c r="H3147" s="4"/>
      <c r="I3147" s="18" t="s">
        <v>2473</v>
      </c>
      <c r="J3147" s="18" t="s">
        <v>2473</v>
      </c>
      <c r="K3147" s="18" t="s">
        <v>2473</v>
      </c>
      <c r="L3147" s="18" t="s">
        <v>2334</v>
      </c>
      <c r="Q3147" s="8" t="s">
        <v>3823</v>
      </c>
      <c r="R3147" s="122" t="s">
        <v>3529</v>
      </c>
      <c r="S3147" s="114" t="s">
        <v>4</v>
      </c>
      <c r="T3147" s="114" t="s">
        <v>625</v>
      </c>
      <c r="U3147" s="114" t="s">
        <v>3524</v>
      </c>
      <c r="V3147" s="114" t="s">
        <v>3530</v>
      </c>
      <c r="W3147" s="114" t="s">
        <v>3436</v>
      </c>
      <c r="X3147" s="114" t="s">
        <v>13</v>
      </c>
      <c r="Y3147" s="149"/>
      <c r="Z3147" s="183"/>
      <c r="AA3147" s="183"/>
      <c r="AB3147" s="183"/>
      <c r="AC3147" s="183"/>
      <c r="AD3147" s="183"/>
      <c r="AE3147" s="184"/>
      <c r="AF3147" s="184"/>
      <c r="AG3147" s="183"/>
      <c r="AH3147" s="183"/>
      <c r="AI3147" s="183"/>
      <c r="AJ3147" s="183"/>
      <c r="AK3147" s="183"/>
      <c r="AL3147" s="183"/>
      <c r="AM3147" s="183"/>
      <c r="AN3147" s="131"/>
      <c r="AO3147" s="131"/>
      <c r="AP3147" s="131"/>
      <c r="AQ3147" s="131"/>
      <c r="AR3147" s="288"/>
      <c r="AS3147" s="259"/>
      <c r="AT3147" s="183"/>
      <c r="AU3147" s="6"/>
      <c r="AV3147" s="6" t="str">
        <f t="shared" si="65"/>
        <v>OK</v>
      </c>
    </row>
    <row r="3148" spans="1:48" ht="105" thickBot="1" x14ac:dyDescent="0.5">
      <c r="A3148" s="35" t="s">
        <v>69</v>
      </c>
      <c r="B3148" s="3" t="s">
        <v>3968</v>
      </c>
      <c r="C3148" s="4" t="s">
        <v>10</v>
      </c>
      <c r="D3148" s="4"/>
      <c r="E3148" s="4" t="s">
        <v>10</v>
      </c>
      <c r="F3148" s="4"/>
      <c r="G3148" s="4" t="s">
        <v>10</v>
      </c>
      <c r="H3148" s="4"/>
      <c r="I3148" s="18" t="s">
        <v>2473</v>
      </c>
      <c r="J3148" s="18" t="s">
        <v>2473</v>
      </c>
      <c r="K3148" s="18" t="s">
        <v>2473</v>
      </c>
      <c r="L3148" s="18" t="s">
        <v>2334</v>
      </c>
      <c r="Q3148" s="8" t="s">
        <v>3823</v>
      </c>
      <c r="R3148" s="122" t="s">
        <v>3435</v>
      </c>
      <c r="S3148" s="114" t="s">
        <v>3443</v>
      </c>
      <c r="T3148" s="114" t="s">
        <v>145</v>
      </c>
      <c r="U3148" s="114" t="s">
        <v>3525</v>
      </c>
      <c r="V3148" s="114" t="s">
        <v>3441</v>
      </c>
      <c r="W3148" s="114" t="s">
        <v>3436</v>
      </c>
      <c r="X3148" s="114" t="s">
        <v>13</v>
      </c>
      <c r="Y3148" s="149"/>
      <c r="Z3148" s="183"/>
      <c r="AA3148" s="183"/>
      <c r="AB3148" s="183"/>
      <c r="AC3148" s="183"/>
      <c r="AD3148" s="183"/>
      <c r="AE3148" s="184"/>
      <c r="AF3148" s="184"/>
      <c r="AG3148" s="183"/>
      <c r="AH3148" s="183"/>
      <c r="AI3148" s="183"/>
      <c r="AJ3148" s="183"/>
      <c r="AK3148" s="183"/>
      <c r="AL3148" s="183"/>
      <c r="AM3148" s="183"/>
      <c r="AN3148" s="131"/>
      <c r="AO3148" s="131"/>
      <c r="AP3148" s="131"/>
      <c r="AQ3148" s="131"/>
      <c r="AR3148" s="288"/>
      <c r="AS3148" s="266" t="s">
        <v>5870</v>
      </c>
      <c r="AT3148" s="183"/>
      <c r="AU3148" s="8"/>
      <c r="AV3148" s="6" t="str">
        <f t="shared" si="65"/>
        <v>OK</v>
      </c>
    </row>
    <row r="3149" spans="1:48" ht="47.65" thickBot="1" x14ac:dyDescent="0.5">
      <c r="A3149" s="35" t="s">
        <v>5358</v>
      </c>
      <c r="B3149" s="3" t="s">
        <v>5352</v>
      </c>
      <c r="C3149" s="4" t="s">
        <v>10</v>
      </c>
      <c r="D3149" s="4"/>
      <c r="E3149" s="4" t="s">
        <v>10</v>
      </c>
      <c r="F3149" s="4"/>
      <c r="G3149" s="4" t="s">
        <v>10</v>
      </c>
      <c r="H3149" s="4"/>
      <c r="I3149" s="18" t="s">
        <v>2473</v>
      </c>
      <c r="J3149" s="18" t="s">
        <v>2473</v>
      </c>
      <c r="K3149" s="18" t="s">
        <v>2473</v>
      </c>
      <c r="Q3149" s="131"/>
      <c r="R3149" s="131"/>
      <c r="S3149" s="131"/>
      <c r="T3149" s="131"/>
      <c r="U3149" s="131"/>
      <c r="V3149" s="131"/>
      <c r="W3149" s="131"/>
      <c r="X3149" s="131"/>
      <c r="AS3149" s="139" t="s">
        <v>5355</v>
      </c>
      <c r="AU3149" s="6"/>
      <c r="AV3149" s="6"/>
    </row>
    <row r="3150" spans="1:48" ht="82.5" thickBot="1" x14ac:dyDescent="0.5">
      <c r="A3150" s="35" t="s">
        <v>5359</v>
      </c>
      <c r="B3150" s="3" t="s">
        <v>5353</v>
      </c>
      <c r="C3150" s="4"/>
      <c r="D3150" s="4"/>
      <c r="E3150" s="4"/>
      <c r="F3150" s="4"/>
      <c r="G3150" s="4"/>
      <c r="H3150" s="4"/>
      <c r="I3150" s="18" t="s">
        <v>2473</v>
      </c>
      <c r="J3150" s="18" t="s">
        <v>2473</v>
      </c>
      <c r="K3150" s="18" t="s">
        <v>2473</v>
      </c>
      <c r="Q3150" s="131"/>
      <c r="R3150" s="131"/>
      <c r="S3150" s="131"/>
      <c r="T3150" s="131"/>
      <c r="U3150" s="131"/>
      <c r="V3150" s="131"/>
      <c r="W3150" s="131"/>
      <c r="X3150" s="131"/>
      <c r="AS3150" s="139" t="s">
        <v>5356</v>
      </c>
      <c r="AU3150" s="6"/>
      <c r="AV3150" s="6"/>
    </row>
    <row r="3151" spans="1:48" ht="36" thickBot="1" x14ac:dyDescent="0.5">
      <c r="A3151" s="35" t="s">
        <v>2145</v>
      </c>
      <c r="B3151" s="3" t="s">
        <v>2146</v>
      </c>
      <c r="C3151" s="4" t="s">
        <v>13</v>
      </c>
      <c r="D3151" s="4"/>
      <c r="E3151" s="4" t="s">
        <v>13</v>
      </c>
      <c r="F3151" s="4"/>
      <c r="G3151" s="4" t="s">
        <v>13</v>
      </c>
      <c r="H3151" s="4"/>
      <c r="I3151" s="18" t="s">
        <v>2473</v>
      </c>
      <c r="J3151" s="18" t="s">
        <v>2473</v>
      </c>
      <c r="K3151" s="18" t="s">
        <v>2473</v>
      </c>
      <c r="L3151" s="18" t="s">
        <v>2334</v>
      </c>
      <c r="Q3151" s="8" t="s">
        <v>3823</v>
      </c>
      <c r="R3151" s="122" t="s">
        <v>3435</v>
      </c>
      <c r="S3151" s="114" t="s">
        <v>3443</v>
      </c>
      <c r="T3151" s="114" t="s">
        <v>3571</v>
      </c>
      <c r="U3151" s="114" t="s">
        <v>3525</v>
      </c>
      <c r="V3151" s="114"/>
      <c r="W3151" s="114" t="s">
        <v>3436</v>
      </c>
      <c r="X3151" s="114" t="s">
        <v>13</v>
      </c>
      <c r="Y3151" s="149"/>
      <c r="Z3151" s="183"/>
      <c r="AA3151" s="183"/>
      <c r="AB3151" s="183"/>
      <c r="AC3151" s="183"/>
      <c r="AD3151" s="183"/>
      <c r="AE3151" s="184"/>
      <c r="AF3151" s="184"/>
      <c r="AG3151" s="183"/>
      <c r="AH3151" s="183"/>
      <c r="AI3151" s="183"/>
      <c r="AJ3151" s="183"/>
      <c r="AK3151" s="183"/>
      <c r="AL3151" s="183"/>
      <c r="AM3151" s="183"/>
      <c r="AN3151" s="131"/>
      <c r="AO3151" s="131"/>
      <c r="AP3151" s="131"/>
      <c r="AQ3151" s="131"/>
      <c r="AR3151" s="288"/>
      <c r="AS3151" s="259"/>
      <c r="AT3151" s="183"/>
      <c r="AU3151" s="8"/>
      <c r="AV3151" s="6" t="str">
        <f t="shared" si="65"/>
        <v>OK</v>
      </c>
    </row>
    <row r="3152" spans="1:48" ht="36" thickBot="1" x14ac:dyDescent="0.5">
      <c r="A3152" s="35" t="s">
        <v>2147</v>
      </c>
      <c r="B3152" s="3" t="s">
        <v>2148</v>
      </c>
      <c r="C3152" s="4" t="s">
        <v>13</v>
      </c>
      <c r="D3152" s="4"/>
      <c r="E3152" s="4" t="s">
        <v>13</v>
      </c>
      <c r="F3152" s="4"/>
      <c r="G3152" s="4" t="s">
        <v>13</v>
      </c>
      <c r="H3152" s="4"/>
      <c r="I3152" s="18" t="s">
        <v>2473</v>
      </c>
      <c r="J3152" s="18" t="s">
        <v>2473</v>
      </c>
      <c r="K3152" s="18" t="s">
        <v>2473</v>
      </c>
      <c r="L3152" s="18" t="s">
        <v>2334</v>
      </c>
      <c r="Q3152" s="8" t="s">
        <v>3823</v>
      </c>
      <c r="R3152" s="122" t="s">
        <v>3435</v>
      </c>
      <c r="S3152" s="114" t="s">
        <v>3443</v>
      </c>
      <c r="T3152" s="114" t="s">
        <v>3572</v>
      </c>
      <c r="U3152" s="114" t="s">
        <v>3525</v>
      </c>
      <c r="V3152" s="114"/>
      <c r="W3152" s="114" t="s">
        <v>3436</v>
      </c>
      <c r="X3152" s="114" t="s">
        <v>13</v>
      </c>
      <c r="Y3152" s="149"/>
      <c r="Z3152" s="183"/>
      <c r="AA3152" s="183"/>
      <c r="AB3152" s="183"/>
      <c r="AC3152" s="183"/>
      <c r="AD3152" s="183"/>
      <c r="AE3152" s="184"/>
      <c r="AF3152" s="184"/>
      <c r="AG3152" s="183"/>
      <c r="AH3152" s="183"/>
      <c r="AI3152" s="183"/>
      <c r="AJ3152" s="183"/>
      <c r="AK3152" s="183"/>
      <c r="AL3152" s="183"/>
      <c r="AM3152" s="183"/>
      <c r="AN3152" s="131"/>
      <c r="AO3152" s="131"/>
      <c r="AP3152" s="131"/>
      <c r="AQ3152" s="131"/>
      <c r="AR3152" s="288"/>
      <c r="AS3152" s="259"/>
      <c r="AT3152" s="183"/>
      <c r="AU3152" s="6"/>
      <c r="AV3152" s="6" t="str">
        <f t="shared" si="65"/>
        <v>OK</v>
      </c>
    </row>
    <row r="3153" spans="1:48" ht="36" thickBot="1" x14ac:dyDescent="0.5">
      <c r="A3153" s="35" t="s">
        <v>2149</v>
      </c>
      <c r="B3153" s="3" t="s">
        <v>834</v>
      </c>
      <c r="C3153" s="4" t="s">
        <v>13</v>
      </c>
      <c r="D3153" s="4"/>
      <c r="E3153" s="4" t="s">
        <v>13</v>
      </c>
      <c r="F3153" s="4"/>
      <c r="G3153" s="4" t="s">
        <v>13</v>
      </c>
      <c r="H3153" s="4"/>
      <c r="I3153" s="18" t="s">
        <v>2473</v>
      </c>
      <c r="J3153" s="18" t="s">
        <v>2473</v>
      </c>
      <c r="K3153" s="18" t="s">
        <v>2473</v>
      </c>
      <c r="L3153" s="18" t="s">
        <v>2334</v>
      </c>
      <c r="Q3153" s="8" t="s">
        <v>3823</v>
      </c>
      <c r="R3153" s="122" t="s">
        <v>3435</v>
      </c>
      <c r="S3153" s="114" t="s">
        <v>3443</v>
      </c>
      <c r="T3153" s="114" t="s">
        <v>3573</v>
      </c>
      <c r="U3153" s="114" t="s">
        <v>3525</v>
      </c>
      <c r="V3153" s="114"/>
      <c r="W3153" s="114" t="s">
        <v>3436</v>
      </c>
      <c r="X3153" s="114" t="s">
        <v>13</v>
      </c>
      <c r="Y3153" s="149"/>
      <c r="Z3153" s="183"/>
      <c r="AA3153" s="183"/>
      <c r="AB3153" s="183"/>
      <c r="AC3153" s="183"/>
      <c r="AD3153" s="183"/>
      <c r="AE3153" s="184"/>
      <c r="AF3153" s="184"/>
      <c r="AG3153" s="183"/>
      <c r="AH3153" s="183"/>
      <c r="AI3153" s="183"/>
      <c r="AJ3153" s="183"/>
      <c r="AK3153" s="183"/>
      <c r="AL3153" s="183"/>
      <c r="AM3153" s="183"/>
      <c r="AN3153" s="131"/>
      <c r="AO3153" s="131"/>
      <c r="AP3153" s="131"/>
      <c r="AQ3153" s="131"/>
      <c r="AR3153" s="288"/>
      <c r="AS3153" s="259"/>
      <c r="AT3153" s="183"/>
      <c r="AU3153" s="6"/>
      <c r="AV3153" s="6" t="str">
        <f t="shared" si="65"/>
        <v>OK</v>
      </c>
    </row>
    <row r="3154" spans="1:48" x14ac:dyDescent="0.45">
      <c r="A3154" s="33" t="s">
        <v>2150</v>
      </c>
      <c r="I3154" s="18" t="s">
        <v>2473</v>
      </c>
      <c r="J3154" s="18" t="s">
        <v>2473</v>
      </c>
      <c r="K3154" s="18" t="s">
        <v>2473</v>
      </c>
      <c r="L3154" s="18" t="s">
        <v>2335</v>
      </c>
      <c r="AU3154" s="8"/>
      <c r="AV3154" s="6" t="str">
        <f t="shared" si="65"/>
        <v/>
      </c>
    </row>
    <row r="3155" spans="1:48" x14ac:dyDescent="0.45">
      <c r="A3155" s="34" t="s">
        <v>2151</v>
      </c>
      <c r="I3155" s="18" t="s">
        <v>2473</v>
      </c>
      <c r="J3155" s="18" t="s">
        <v>2473</v>
      </c>
      <c r="K3155" s="18" t="s">
        <v>2473</v>
      </c>
      <c r="L3155" s="18" t="s">
        <v>2335</v>
      </c>
      <c r="AU3155" s="8"/>
      <c r="AV3155" s="6" t="str">
        <f t="shared" si="65"/>
        <v/>
      </c>
    </row>
    <row r="3156" spans="1:48" s="79" customFormat="1" ht="14.65" thickBot="1" x14ac:dyDescent="0.5">
      <c r="A3156" s="75"/>
      <c r="B3156" s="76"/>
      <c r="C3156" s="77"/>
      <c r="D3156" s="77"/>
      <c r="E3156" s="77"/>
      <c r="F3156" s="77"/>
      <c r="G3156" s="77"/>
      <c r="H3156" s="77"/>
      <c r="I3156" s="77"/>
      <c r="J3156" s="77"/>
      <c r="K3156" s="77"/>
      <c r="L3156" s="77"/>
      <c r="M3156" s="148"/>
      <c r="N3156" s="78"/>
      <c r="O3156" s="78"/>
      <c r="P3156" s="78"/>
      <c r="Q3156" s="78"/>
      <c r="R3156" s="78"/>
      <c r="S3156" s="78"/>
      <c r="T3156" s="78"/>
      <c r="U3156" s="78"/>
      <c r="V3156" s="78"/>
      <c r="W3156" s="78"/>
      <c r="X3156" s="78"/>
      <c r="Y3156" s="148"/>
      <c r="Z3156" s="78"/>
      <c r="AA3156" s="78"/>
      <c r="AB3156" s="78"/>
      <c r="AC3156" s="78"/>
      <c r="AD3156" s="78"/>
      <c r="AE3156" s="156"/>
      <c r="AF3156" s="156"/>
      <c r="AG3156" s="78"/>
      <c r="AH3156" s="78"/>
      <c r="AI3156" s="78"/>
      <c r="AJ3156" s="78"/>
      <c r="AK3156" s="78"/>
      <c r="AL3156" s="78"/>
      <c r="AM3156" s="78"/>
      <c r="AN3156" s="78"/>
      <c r="AO3156" s="78"/>
      <c r="AP3156" s="78"/>
      <c r="AQ3156" s="78"/>
      <c r="AR3156" s="286"/>
      <c r="AS3156" s="78"/>
      <c r="AT3156" s="78"/>
      <c r="AU3156" s="8"/>
      <c r="AV3156" s="6" t="str">
        <f t="shared" si="65"/>
        <v/>
      </c>
    </row>
    <row r="3157" spans="1:48" ht="14.65" thickBot="1" x14ac:dyDescent="0.5">
      <c r="A3157" s="27" t="s">
        <v>2462</v>
      </c>
      <c r="I3157" s="18" t="s">
        <v>2473</v>
      </c>
      <c r="J3157" s="18" t="s">
        <v>2473</v>
      </c>
      <c r="K3157" s="18" t="s">
        <v>2473</v>
      </c>
      <c r="L3157" s="18" t="s">
        <v>2334</v>
      </c>
      <c r="R3157" s="111" t="s">
        <v>3426</v>
      </c>
      <c r="S3157" s="349" t="s">
        <v>823</v>
      </c>
      <c r="T3157" s="350"/>
      <c r="U3157" s="350"/>
      <c r="V3157" s="350"/>
      <c r="W3157" s="350"/>
      <c r="X3157" s="351"/>
      <c r="Y3157" s="118"/>
      <c r="Z3157" s="185"/>
      <c r="AA3157" s="185"/>
      <c r="AB3157" s="185"/>
      <c r="AC3157" s="185"/>
      <c r="AD3157" s="185"/>
      <c r="AE3157" s="186"/>
      <c r="AF3157" s="186"/>
      <c r="AG3157" s="185"/>
      <c r="AH3157" s="185"/>
      <c r="AI3157" s="185"/>
      <c r="AJ3157" s="185"/>
      <c r="AK3157" s="185"/>
      <c r="AL3157" s="185"/>
      <c r="AM3157" s="185"/>
      <c r="AN3157" s="117"/>
      <c r="AO3157" s="117"/>
      <c r="AP3157" s="117"/>
      <c r="AQ3157" s="117"/>
      <c r="AR3157" s="287"/>
      <c r="AS3157" s="258"/>
      <c r="AT3157" s="185"/>
      <c r="AU3157" s="8"/>
      <c r="AV3157" s="6" t="str">
        <f t="shared" si="65"/>
        <v/>
      </c>
    </row>
    <row r="3158" spans="1:48" ht="14.65" thickBot="1" x14ac:dyDescent="0.5">
      <c r="A3158" s="323" t="s">
        <v>2546</v>
      </c>
      <c r="B3158" s="324"/>
      <c r="C3158" s="324"/>
      <c r="D3158" s="324"/>
      <c r="E3158" s="324"/>
      <c r="F3158" s="324"/>
      <c r="G3158" s="101"/>
      <c r="H3158" s="101"/>
      <c r="I3158" s="18" t="s">
        <v>2473</v>
      </c>
      <c r="J3158" s="18" t="s">
        <v>2473</v>
      </c>
      <c r="K3158" s="18" t="s">
        <v>2473</v>
      </c>
      <c r="L3158" s="18" t="s">
        <v>2334</v>
      </c>
      <c r="R3158" s="122" t="s">
        <v>3427</v>
      </c>
      <c r="S3158" s="352" t="s">
        <v>3565</v>
      </c>
      <c r="T3158" s="353"/>
      <c r="U3158" s="353"/>
      <c r="V3158" s="353"/>
      <c r="W3158" s="353"/>
      <c r="X3158" s="354"/>
      <c r="Y3158" s="149"/>
      <c r="Z3158" s="183"/>
      <c r="AA3158" s="183"/>
      <c r="AB3158" s="183"/>
      <c r="AC3158" s="183"/>
      <c r="AD3158" s="183"/>
      <c r="AE3158" s="184"/>
      <c r="AF3158" s="184"/>
      <c r="AG3158" s="183"/>
      <c r="AH3158" s="183"/>
      <c r="AI3158" s="183"/>
      <c r="AJ3158" s="183"/>
      <c r="AK3158" s="183"/>
      <c r="AL3158" s="183"/>
      <c r="AM3158" s="183"/>
      <c r="AN3158" s="131"/>
      <c r="AO3158" s="131"/>
      <c r="AP3158" s="131"/>
      <c r="AQ3158" s="131"/>
      <c r="AR3158" s="288"/>
      <c r="AS3158" s="259"/>
      <c r="AT3158" s="183"/>
      <c r="AU3158" s="8"/>
      <c r="AV3158" s="6" t="str">
        <f t="shared" si="65"/>
        <v/>
      </c>
    </row>
    <row r="3159" spans="1:48" ht="14.65" thickBot="1" x14ac:dyDescent="0.5">
      <c r="A3159" s="28" t="s">
        <v>2152</v>
      </c>
      <c r="I3159" s="18" t="s">
        <v>2473</v>
      </c>
      <c r="J3159" s="18" t="s">
        <v>2473</v>
      </c>
      <c r="K3159" s="18" t="s">
        <v>2473</v>
      </c>
      <c r="L3159" s="18" t="s">
        <v>2334</v>
      </c>
      <c r="R3159" s="122" t="s">
        <v>3428</v>
      </c>
      <c r="S3159" s="352" t="b">
        <v>0</v>
      </c>
      <c r="T3159" s="353"/>
      <c r="U3159" s="353"/>
      <c r="V3159" s="353"/>
      <c r="W3159" s="353"/>
      <c r="X3159" s="354"/>
      <c r="Y3159" s="149"/>
      <c r="Z3159" s="183"/>
      <c r="AA3159" s="183" t="s">
        <v>2322</v>
      </c>
      <c r="AB3159" s="183" t="s">
        <v>1697</v>
      </c>
      <c r="AC3159" s="183" t="s">
        <v>5</v>
      </c>
      <c r="AD3159" s="183"/>
      <c r="AE3159" s="184"/>
      <c r="AF3159" s="184"/>
      <c r="AG3159" s="183"/>
      <c r="AH3159" s="183"/>
      <c r="AI3159" s="183"/>
      <c r="AJ3159" s="183"/>
      <c r="AK3159" s="183"/>
      <c r="AL3159" s="183"/>
      <c r="AM3159" s="183"/>
      <c r="AN3159" s="131"/>
      <c r="AO3159" s="131"/>
      <c r="AP3159" s="131"/>
      <c r="AQ3159" s="131"/>
      <c r="AR3159" s="288"/>
      <c r="AS3159" s="259"/>
      <c r="AT3159" s="183"/>
      <c r="AU3159" s="8"/>
      <c r="AV3159" s="6" t="str">
        <f t="shared" si="65"/>
        <v/>
      </c>
    </row>
    <row r="3160" spans="1:48" ht="70.150000000000006" thickBot="1" x14ac:dyDescent="0.5">
      <c r="A3160" s="309" t="s">
        <v>2153</v>
      </c>
      <c r="B3160" s="310"/>
      <c r="C3160" s="301" t="s">
        <v>1</v>
      </c>
      <c r="D3160" s="319"/>
      <c r="E3160" s="319"/>
      <c r="F3160" s="302"/>
      <c r="G3160" s="102"/>
      <c r="H3160" s="102"/>
      <c r="I3160" s="18" t="s">
        <v>2473</v>
      </c>
      <c r="L3160" s="18" t="s">
        <v>2335</v>
      </c>
      <c r="R3160"/>
      <c r="S3160"/>
      <c r="T3160"/>
      <c r="U3160"/>
      <c r="V3160"/>
      <c r="W3160"/>
      <c r="X3160"/>
      <c r="Y3160" s="147"/>
      <c r="Z3160" s="17"/>
      <c r="AA3160" s="183" t="str">
        <f>LEFT($A3160,FIND(" ",$A3160)-1)</f>
        <v>Thermal</v>
      </c>
      <c r="AB3160" s="183" t="str">
        <f>MID($A3160,FIND("(",$A3160)+1,LEN($A3160)-FIND("(",$A3160)-1)</f>
        <v>1.5.0</v>
      </c>
      <c r="AC3160" s="101" t="str">
        <f>A3158</f>
        <v>The Thermal resource represents the properties for temperature and cooling.</v>
      </c>
      <c r="AD3160" s="17"/>
      <c r="AE3160" s="187"/>
      <c r="AF3160" s="187"/>
      <c r="AG3160" s="17"/>
      <c r="AH3160" s="17"/>
      <c r="AI3160" s="17"/>
      <c r="AJ3160" s="17"/>
      <c r="AK3160" s="17"/>
      <c r="AL3160" s="17"/>
      <c r="AM3160" s="17"/>
      <c r="AN3160"/>
      <c r="AO3160"/>
      <c r="AP3160"/>
      <c r="AQ3160"/>
      <c r="AR3160" s="289"/>
      <c r="AS3160" s="261"/>
      <c r="AT3160" s="17"/>
      <c r="AU3160" s="8"/>
      <c r="AV3160" s="6" t="str">
        <f t="shared" si="65"/>
        <v/>
      </c>
    </row>
    <row r="3161" spans="1:48" ht="14.65" thickBot="1" x14ac:dyDescent="0.5">
      <c r="A3161" s="311"/>
      <c r="B3161" s="312"/>
      <c r="C3161" s="301" t="s">
        <v>2</v>
      </c>
      <c r="D3161" s="302"/>
      <c r="E3161" s="301" t="s">
        <v>3</v>
      </c>
      <c r="F3161" s="302"/>
      <c r="G3161" s="301" t="s">
        <v>2896</v>
      </c>
      <c r="H3161" s="302"/>
      <c r="I3161" s="18" t="s">
        <v>2473</v>
      </c>
      <c r="L3161" s="18" t="s">
        <v>2335</v>
      </c>
      <c r="R3161"/>
      <c r="S3161"/>
      <c r="T3161"/>
      <c r="U3161"/>
      <c r="V3161"/>
      <c r="W3161"/>
      <c r="X3161"/>
      <c r="Y3161" s="147"/>
      <c r="Z3161" s="17"/>
      <c r="AA3161" s="183" t="s">
        <v>2322</v>
      </c>
      <c r="AB3161" s="183" t="s">
        <v>1697</v>
      </c>
      <c r="AC3161" s="183" t="s">
        <v>5</v>
      </c>
      <c r="AD3161" s="17"/>
      <c r="AE3161" s="187"/>
      <c r="AF3161" s="187"/>
      <c r="AG3161" s="17"/>
      <c r="AH3161" s="17"/>
      <c r="AI3161" s="17"/>
      <c r="AJ3161" s="17"/>
      <c r="AK3161" s="17"/>
      <c r="AL3161" s="17"/>
      <c r="AM3161" s="17"/>
      <c r="AN3161"/>
      <c r="AO3161"/>
      <c r="AP3161"/>
      <c r="AQ3161"/>
      <c r="AR3161" s="289"/>
      <c r="AS3161" s="261"/>
      <c r="AT3161" s="17"/>
      <c r="AU3161" s="8"/>
      <c r="AV3161" s="6" t="str">
        <f t="shared" si="65"/>
        <v/>
      </c>
    </row>
    <row r="3162" spans="1:48" ht="70.150000000000006" thickBot="1" x14ac:dyDescent="0.5">
      <c r="A3162" s="309" t="s">
        <v>3035</v>
      </c>
      <c r="B3162" s="310"/>
      <c r="C3162" s="301" t="s">
        <v>1</v>
      </c>
      <c r="D3162" s="319"/>
      <c r="E3162" s="319"/>
      <c r="F3162" s="302"/>
      <c r="G3162" s="102"/>
      <c r="H3162" s="102"/>
      <c r="J3162" s="18" t="s">
        <v>2473</v>
      </c>
      <c r="K3162" s="18" t="s">
        <v>2473</v>
      </c>
      <c r="L3162" s="18" t="s">
        <v>2335</v>
      </c>
      <c r="AA3162" s="183" t="str">
        <f>LEFT($A3162,FIND(" ",$A3162)-1)</f>
        <v>Thermal</v>
      </c>
      <c r="AB3162" s="183" t="str">
        <f>MID($A3162,FIND("(",$A3162)+1,LEN($A3162)-FIND("(",$A3162)-1)</f>
        <v>1.5.2</v>
      </c>
      <c r="AC3162" s="101" t="str">
        <f>AC3160</f>
        <v>The Thermal resource represents the properties for temperature and cooling.</v>
      </c>
      <c r="AU3162" s="8"/>
      <c r="AV3162" s="6" t="str">
        <f t="shared" si="65"/>
        <v/>
      </c>
    </row>
    <row r="3163" spans="1:48" ht="14.65" thickBot="1" x14ac:dyDescent="0.5">
      <c r="A3163" s="311"/>
      <c r="B3163" s="312"/>
      <c r="C3163" s="301" t="s">
        <v>2</v>
      </c>
      <c r="D3163" s="302"/>
      <c r="E3163" s="301" t="s">
        <v>3</v>
      </c>
      <c r="F3163" s="302"/>
      <c r="G3163" s="301" t="s">
        <v>2896</v>
      </c>
      <c r="H3163" s="302"/>
      <c r="J3163" s="18" t="s">
        <v>2473</v>
      </c>
      <c r="K3163" s="18" t="s">
        <v>2473</v>
      </c>
      <c r="L3163" s="18" t="s">
        <v>2335</v>
      </c>
      <c r="AM3163" s="8" t="str">
        <f>C3163</f>
        <v>OSM-Redfish</v>
      </c>
      <c r="AN3163" s="8" t="str">
        <f>E3163</f>
        <v>OSM-RedfishBMC</v>
      </c>
      <c r="AO3163" s="8" t="str">
        <f>G3163</f>
        <v>OSM-RedfishDCN</v>
      </c>
      <c r="AU3163" s="8"/>
      <c r="AV3163" s="6" t="str">
        <f t="shared" si="65"/>
        <v/>
      </c>
    </row>
    <row r="3164" spans="1:48" ht="14.65" thickBot="1" x14ac:dyDescent="0.5">
      <c r="A3164" s="46" t="s">
        <v>2377</v>
      </c>
      <c r="B3164" s="47"/>
      <c r="C3164" s="303" t="s">
        <v>37</v>
      </c>
      <c r="D3164" s="304"/>
      <c r="E3164" s="303" t="s">
        <v>37</v>
      </c>
      <c r="F3164" s="304"/>
      <c r="G3164" s="303" t="s">
        <v>37</v>
      </c>
      <c r="H3164" s="304"/>
      <c r="I3164" s="18" t="s">
        <v>2473</v>
      </c>
      <c r="J3164" s="18" t="s">
        <v>2473</v>
      </c>
      <c r="K3164" s="18" t="s">
        <v>2473</v>
      </c>
      <c r="R3164" s="129"/>
      <c r="S3164" s="117"/>
      <c r="T3164" s="117"/>
      <c r="U3164" s="117"/>
      <c r="V3164" s="117"/>
      <c r="W3164" s="117"/>
      <c r="X3164" s="118"/>
      <c r="Y3164" s="118"/>
      <c r="Z3164" s="185"/>
      <c r="AA3164" s="185"/>
      <c r="AB3164" s="185"/>
      <c r="AC3164" s="185"/>
      <c r="AD3164" s="185"/>
      <c r="AE3164" s="186"/>
      <c r="AF3164" s="186"/>
      <c r="AG3164" s="185"/>
      <c r="AH3164" s="185"/>
      <c r="AI3164" s="185"/>
      <c r="AJ3164" s="185"/>
      <c r="AK3164" s="185"/>
      <c r="AL3164" s="185"/>
      <c r="AM3164" s="8" t="str">
        <f>IF(C3164&lt;&gt;"","CRQ-P5-"&amp;(AM$2+$AP3164*$AP$3),"")</f>
        <v>CRQ-P5-1248</v>
      </c>
      <c r="AN3164" s="8" t="str">
        <f>IF(E3164&lt;&gt;"","CRQ-P5-"&amp;(AN$2+$AP3164*$AP$3),"")</f>
        <v>CRQ-P5-1548</v>
      </c>
      <c r="AO3164" s="8" t="str">
        <f>IF(G3164&lt;&gt;"","CRQ-P5-"&amp;(AO$2+$AP3164*$AP$3),"")</f>
        <v>CRQ-P5-1848</v>
      </c>
      <c r="AP3164" s="117">
        <v>62</v>
      </c>
      <c r="AQ3164" s="117"/>
      <c r="AR3164" s="287"/>
      <c r="AS3164" s="258"/>
      <c r="AT3164" s="185"/>
      <c r="AU3164" s="6"/>
      <c r="AV3164" s="6" t="str">
        <f t="shared" si="65"/>
        <v/>
      </c>
    </row>
    <row r="3165" spans="1:48" ht="14.65" thickBot="1" x14ac:dyDescent="0.5">
      <c r="A3165" s="29" t="s">
        <v>3394</v>
      </c>
      <c r="B3165" s="9"/>
      <c r="C3165" s="305" t="str">
        <f>MID($A3160,FIND("(",$A3160)+1,5)</f>
        <v>1.5.0</v>
      </c>
      <c r="D3165" s="306"/>
      <c r="E3165" s="305" t="s">
        <v>3411</v>
      </c>
      <c r="F3165" s="306"/>
      <c r="G3165" s="305" t="str">
        <f>MID($A3160,FIND("(",$A3160)+1,5)</f>
        <v>1.5.0</v>
      </c>
      <c r="H3165" s="306"/>
      <c r="I3165" s="18" t="s">
        <v>2473</v>
      </c>
      <c r="J3165" s="18" t="s">
        <v>2473</v>
      </c>
      <c r="K3165" s="18" t="s">
        <v>2473</v>
      </c>
      <c r="L3165" s="18" t="s">
        <v>2334</v>
      </c>
      <c r="R3165" s="111" t="s">
        <v>3429</v>
      </c>
      <c r="S3165" s="111" t="s">
        <v>3430</v>
      </c>
      <c r="T3165" s="111" t="s">
        <v>3427</v>
      </c>
      <c r="U3165" s="111" t="s">
        <v>3431</v>
      </c>
      <c r="V3165" s="111" t="s">
        <v>3432</v>
      </c>
      <c r="W3165" s="111" t="s">
        <v>3433</v>
      </c>
      <c r="X3165" s="119" t="s">
        <v>3434</v>
      </c>
      <c r="Y3165" s="118" t="s">
        <v>3965</v>
      </c>
      <c r="Z3165" s="185"/>
      <c r="AA3165" s="185"/>
      <c r="AB3165" s="185"/>
      <c r="AC3165" s="185"/>
      <c r="AD3165" s="185"/>
      <c r="AE3165" s="186"/>
      <c r="AF3165" s="186"/>
      <c r="AG3165" s="185"/>
      <c r="AH3165" s="185"/>
      <c r="AI3165" s="185"/>
      <c r="AJ3165" s="185"/>
      <c r="AK3165" s="185"/>
      <c r="AL3165" s="185"/>
      <c r="AM3165" s="185"/>
      <c r="AN3165" s="117"/>
      <c r="AO3165" s="117"/>
      <c r="AP3165" s="117"/>
      <c r="AQ3165" s="117"/>
      <c r="AR3165" s="287"/>
      <c r="AS3165" s="258"/>
      <c r="AT3165" s="185"/>
      <c r="AU3165" s="6"/>
      <c r="AV3165" s="6" t="str">
        <f t="shared" si="65"/>
        <v/>
      </c>
    </row>
    <row r="3166" spans="1:48" ht="15" customHeight="1" thickBot="1" x14ac:dyDescent="0.5">
      <c r="A3166" s="30" t="s">
        <v>4</v>
      </c>
      <c r="B3166" s="59" t="s">
        <v>5</v>
      </c>
      <c r="C3166" s="7" t="s">
        <v>6</v>
      </c>
      <c r="D3166" s="7" t="s">
        <v>7</v>
      </c>
      <c r="E3166" s="7" t="s">
        <v>6</v>
      </c>
      <c r="F3166" s="7" t="s">
        <v>7</v>
      </c>
      <c r="G3166" s="7" t="s">
        <v>6</v>
      </c>
      <c r="H3166" s="7" t="s">
        <v>7</v>
      </c>
      <c r="I3166" s="18" t="s">
        <v>2473</v>
      </c>
      <c r="J3166" s="18" t="s">
        <v>2473</v>
      </c>
      <c r="K3166" s="18" t="s">
        <v>2473</v>
      </c>
      <c r="L3166" s="18" t="s">
        <v>2334</v>
      </c>
      <c r="R3166" s="352" t="s">
        <v>4040</v>
      </c>
      <c r="S3166" s="353"/>
      <c r="T3166" s="353"/>
      <c r="U3166" s="353"/>
      <c r="V3166" s="353"/>
      <c r="W3166" s="353"/>
      <c r="X3166" s="357"/>
      <c r="Y3166" s="149"/>
      <c r="Z3166" s="183"/>
      <c r="AA3166" s="183"/>
      <c r="AB3166" s="183"/>
      <c r="AC3166" s="183"/>
      <c r="AD3166" s="183"/>
      <c r="AE3166" s="184"/>
      <c r="AF3166" s="184"/>
      <c r="AG3166" s="183"/>
      <c r="AH3166" s="183"/>
      <c r="AI3166" s="183"/>
      <c r="AJ3166" s="183"/>
      <c r="AK3166" s="183"/>
      <c r="AL3166" s="183"/>
      <c r="AM3166" s="183"/>
      <c r="AN3166" s="131"/>
      <c r="AO3166" s="131"/>
      <c r="AP3166" s="131"/>
      <c r="AQ3166" s="131"/>
      <c r="AR3166" s="288"/>
      <c r="AS3166" s="259"/>
      <c r="AT3166" s="183"/>
      <c r="AU3166" s="8"/>
      <c r="AV3166" s="6" t="str">
        <f t="shared" si="65"/>
        <v/>
      </c>
    </row>
    <row r="3167" spans="1:48" ht="14.65" thickBot="1" x14ac:dyDescent="0.5">
      <c r="A3167" s="36" t="s">
        <v>8</v>
      </c>
      <c r="B3167" s="3" t="s">
        <v>9</v>
      </c>
      <c r="C3167" s="4"/>
      <c r="D3167" s="4"/>
      <c r="E3167" s="4"/>
      <c r="F3167" s="4"/>
      <c r="G3167" s="4"/>
      <c r="H3167" s="4"/>
      <c r="I3167" s="18" t="s">
        <v>2473</v>
      </c>
      <c r="J3167" s="18" t="s">
        <v>2473</v>
      </c>
      <c r="K3167" s="18" t="s">
        <v>2473</v>
      </c>
      <c r="L3167" s="18" t="s">
        <v>2335</v>
      </c>
      <c r="AU3167" s="6"/>
      <c r="AV3167" s="6" t="str">
        <f t="shared" si="65"/>
        <v/>
      </c>
    </row>
    <row r="3168" spans="1:48" ht="20.65" thickBot="1" x14ac:dyDescent="0.5">
      <c r="A3168" s="36" t="s">
        <v>2154</v>
      </c>
      <c r="B3168" s="3" t="s">
        <v>2155</v>
      </c>
      <c r="C3168" s="4" t="s">
        <v>37</v>
      </c>
      <c r="D3168" s="4"/>
      <c r="E3168" s="4" t="s">
        <v>37</v>
      </c>
      <c r="F3168" s="4"/>
      <c r="G3168" s="4" t="s">
        <v>37</v>
      </c>
      <c r="H3168" s="4"/>
      <c r="I3168" s="18" t="s">
        <v>2473</v>
      </c>
      <c r="J3168" s="18" t="s">
        <v>2473</v>
      </c>
      <c r="K3168" s="18" t="s">
        <v>2473</v>
      </c>
      <c r="L3168" s="18" t="s">
        <v>2334</v>
      </c>
      <c r="R3168" s="122" t="s">
        <v>3435</v>
      </c>
      <c r="S3168" s="114" t="s">
        <v>3437</v>
      </c>
      <c r="T3168" s="114" t="s">
        <v>2154</v>
      </c>
      <c r="U3168" s="114"/>
      <c r="V3168" s="114" t="s">
        <v>3817</v>
      </c>
      <c r="W3168" s="114" t="s">
        <v>3436</v>
      </c>
      <c r="X3168" s="114" t="s">
        <v>13</v>
      </c>
      <c r="Y3168" s="149"/>
      <c r="Z3168" s="183"/>
      <c r="AA3168" s="183"/>
      <c r="AB3168" s="183"/>
      <c r="AC3168" s="183"/>
      <c r="AD3168" s="183"/>
      <c r="AE3168" s="184"/>
      <c r="AF3168" s="184"/>
      <c r="AG3168" s="183"/>
      <c r="AH3168" s="183"/>
      <c r="AI3168" s="183"/>
      <c r="AJ3168" s="183"/>
      <c r="AK3168" s="183"/>
      <c r="AL3168" s="183"/>
      <c r="AM3168" s="183"/>
      <c r="AN3168" s="131"/>
      <c r="AO3168" s="131"/>
      <c r="AP3168" s="131"/>
      <c r="AQ3168" s="131"/>
      <c r="AR3168" s="288"/>
      <c r="AS3168" s="259"/>
      <c r="AT3168" s="183"/>
      <c r="AU3168" s="6"/>
      <c r="AV3168" s="6" t="str">
        <f t="shared" si="65"/>
        <v>OK</v>
      </c>
    </row>
    <row r="3169" spans="1:48" ht="14.65" thickBot="1" x14ac:dyDescent="0.5">
      <c r="A3169" s="35" t="s">
        <v>33</v>
      </c>
      <c r="B3169" s="5" t="s">
        <v>84</v>
      </c>
      <c r="C3169" s="4"/>
      <c r="D3169" s="4"/>
      <c r="E3169" s="4"/>
      <c r="F3169" s="4"/>
      <c r="G3169" s="4"/>
      <c r="H3169" s="4"/>
      <c r="I3169" s="18" t="s">
        <v>2473</v>
      </c>
      <c r="J3169" s="18" t="s">
        <v>2473</v>
      </c>
      <c r="K3169" s="18" t="s">
        <v>2473</v>
      </c>
      <c r="L3169" s="18" t="s">
        <v>2335</v>
      </c>
      <c r="AU3169" s="6"/>
      <c r="AV3169" s="6" t="str">
        <f t="shared" si="65"/>
        <v/>
      </c>
    </row>
    <row r="3170" spans="1:48" ht="14.65" thickBot="1" x14ac:dyDescent="0.5">
      <c r="A3170" s="35" t="s">
        <v>442</v>
      </c>
      <c r="B3170" s="3" t="s">
        <v>9</v>
      </c>
      <c r="C3170" s="4"/>
      <c r="D3170" s="4"/>
      <c r="E3170" s="4"/>
      <c r="F3170" s="4"/>
      <c r="G3170" s="4"/>
      <c r="H3170" s="4"/>
      <c r="I3170" s="18" t="s">
        <v>2473</v>
      </c>
      <c r="J3170" s="18" t="s">
        <v>2473</v>
      </c>
      <c r="K3170" s="18" t="s">
        <v>2473</v>
      </c>
      <c r="L3170" s="18" t="s">
        <v>2335</v>
      </c>
      <c r="AU3170" s="6"/>
      <c r="AV3170" s="6" t="str">
        <f t="shared" si="65"/>
        <v/>
      </c>
    </row>
    <row r="3171" spans="1:48" ht="14.65" thickBot="1" x14ac:dyDescent="0.5">
      <c r="A3171" s="35" t="s">
        <v>443</v>
      </c>
      <c r="B3171" s="3" t="s">
        <v>2156</v>
      </c>
      <c r="C3171" s="4"/>
      <c r="D3171" s="4"/>
      <c r="E3171" s="4"/>
      <c r="F3171" s="4"/>
      <c r="G3171" s="4"/>
      <c r="H3171" s="4"/>
      <c r="I3171" s="18" t="s">
        <v>2473</v>
      </c>
      <c r="J3171" s="18" t="s">
        <v>2473</v>
      </c>
      <c r="K3171" s="18" t="s">
        <v>2473</v>
      </c>
      <c r="L3171" s="18" t="s">
        <v>2335</v>
      </c>
      <c r="AU3171" s="6"/>
      <c r="AV3171" s="6" t="str">
        <f t="shared" si="65"/>
        <v/>
      </c>
    </row>
    <row r="3172" spans="1:48" ht="14.65" thickBot="1" x14ac:dyDescent="0.5">
      <c r="A3172" s="35" t="s">
        <v>43</v>
      </c>
      <c r="B3172" s="3" t="s">
        <v>183</v>
      </c>
      <c r="C3172" s="4"/>
      <c r="D3172" s="4"/>
      <c r="E3172" s="4"/>
      <c r="F3172" s="4"/>
      <c r="G3172" s="4"/>
      <c r="H3172" s="4"/>
      <c r="I3172" s="18" t="s">
        <v>2473</v>
      </c>
      <c r="J3172" s="18" t="s">
        <v>2473</v>
      </c>
      <c r="K3172" s="18" t="s">
        <v>2473</v>
      </c>
      <c r="L3172" s="18" t="s">
        <v>2335</v>
      </c>
      <c r="AU3172" s="6"/>
      <c r="AV3172" s="6" t="str">
        <f t="shared" si="65"/>
        <v/>
      </c>
    </row>
    <row r="3173" spans="1:48" ht="24.4" thickBot="1" x14ac:dyDescent="0.5">
      <c r="A3173" s="35" t="s">
        <v>2157</v>
      </c>
      <c r="B3173" s="3" t="s">
        <v>2158</v>
      </c>
      <c r="C3173" s="4" t="s">
        <v>13</v>
      </c>
      <c r="D3173" s="4"/>
      <c r="E3173" s="4" t="s">
        <v>13</v>
      </c>
      <c r="F3173" s="4"/>
      <c r="G3173" s="4" t="s">
        <v>13</v>
      </c>
      <c r="H3173" s="4"/>
      <c r="I3173" s="18" t="s">
        <v>2473</v>
      </c>
      <c r="J3173" s="18" t="s">
        <v>2473</v>
      </c>
      <c r="K3173" s="18" t="s">
        <v>2473</v>
      </c>
      <c r="L3173" s="18" t="s">
        <v>2334</v>
      </c>
      <c r="Q3173" s="8" t="s">
        <v>3817</v>
      </c>
      <c r="R3173" s="122" t="s">
        <v>3529</v>
      </c>
      <c r="S3173" s="114" t="s">
        <v>4</v>
      </c>
      <c r="T3173" s="114" t="s">
        <v>3818</v>
      </c>
      <c r="U3173" s="114" t="s">
        <v>3521</v>
      </c>
      <c r="V3173" s="114" t="s">
        <v>3530</v>
      </c>
      <c r="W3173" s="114" t="s">
        <v>3436</v>
      </c>
      <c r="X3173" s="114" t="s">
        <v>13</v>
      </c>
      <c r="Y3173" s="149"/>
      <c r="Z3173" s="183"/>
      <c r="AA3173" s="183"/>
      <c r="AB3173" s="183"/>
      <c r="AC3173" s="183"/>
      <c r="AD3173" s="183"/>
      <c r="AE3173" s="184"/>
      <c r="AF3173" s="184"/>
      <c r="AG3173" s="183"/>
      <c r="AH3173" s="183"/>
      <c r="AI3173" s="183"/>
      <c r="AJ3173" s="183"/>
      <c r="AK3173" s="183"/>
      <c r="AL3173" s="183"/>
      <c r="AM3173" s="183"/>
      <c r="AN3173" s="131"/>
      <c r="AO3173" s="131"/>
      <c r="AP3173" s="131"/>
      <c r="AQ3173" s="131"/>
      <c r="AR3173" s="288"/>
      <c r="AS3173" s="259"/>
      <c r="AT3173" s="183"/>
      <c r="AU3173" s="140" t="s">
        <v>4154</v>
      </c>
      <c r="AV3173" s="6" t="str">
        <f t="shared" ref="AV3173:AV3240" si="66">IF(A3173&lt;&gt;"",IF(T3173&lt;&gt;"",IF(LEFT(R3173,3)="Has",IF(TRIM(A3173)&lt;&gt;T3173,"ERROR","OK"),""),""),"")</f>
        <v>OK</v>
      </c>
    </row>
    <row r="3174" spans="1:48" ht="23.65" thickBot="1" x14ac:dyDescent="0.5">
      <c r="A3174" s="35" t="s">
        <v>2087</v>
      </c>
      <c r="B3174" s="3" t="s">
        <v>2088</v>
      </c>
      <c r="C3174" s="4"/>
      <c r="D3174" s="4"/>
      <c r="E3174" s="4"/>
      <c r="F3174" s="4"/>
      <c r="G3174" s="4"/>
      <c r="H3174" s="4"/>
      <c r="I3174" s="18" t="s">
        <v>2473</v>
      </c>
      <c r="J3174" s="18" t="s">
        <v>2473</v>
      </c>
      <c r="K3174" s="18" t="s">
        <v>2473</v>
      </c>
      <c r="L3174" s="18" t="s">
        <v>2335</v>
      </c>
      <c r="AU3174" s="6"/>
      <c r="AV3174" s="6" t="str">
        <f t="shared" si="66"/>
        <v/>
      </c>
    </row>
    <row r="3175" spans="1:48" ht="14.65" thickBot="1" x14ac:dyDescent="0.5">
      <c r="A3175" s="35" t="s">
        <v>2089</v>
      </c>
      <c r="B3175" s="3" t="s">
        <v>2159</v>
      </c>
      <c r="C3175" s="4"/>
      <c r="D3175" s="4"/>
      <c r="E3175" s="4"/>
      <c r="F3175" s="4"/>
      <c r="G3175" s="4"/>
      <c r="H3175" s="4"/>
      <c r="I3175" s="18" t="s">
        <v>2473</v>
      </c>
      <c r="J3175" s="18" t="s">
        <v>2473</v>
      </c>
      <c r="K3175" s="18" t="s">
        <v>2473</v>
      </c>
      <c r="L3175" s="18" t="s">
        <v>2335</v>
      </c>
      <c r="AU3175" s="6"/>
      <c r="AV3175" s="6" t="str">
        <f t="shared" si="66"/>
        <v/>
      </c>
    </row>
    <row r="3176" spans="1:48" ht="46.9" thickBot="1" x14ac:dyDescent="0.5">
      <c r="A3176" s="35" t="s">
        <v>459</v>
      </c>
      <c r="B3176" s="3" t="s">
        <v>3967</v>
      </c>
      <c r="C3176" s="4"/>
      <c r="D3176" s="4"/>
      <c r="E3176" s="4"/>
      <c r="F3176" s="4"/>
      <c r="G3176" s="4"/>
      <c r="H3176" s="4"/>
      <c r="I3176" s="18" t="s">
        <v>2473</v>
      </c>
      <c r="J3176" s="18" t="s">
        <v>2473</v>
      </c>
      <c r="K3176" s="18" t="s">
        <v>2473</v>
      </c>
      <c r="L3176" s="18" t="s">
        <v>2335</v>
      </c>
      <c r="AU3176" s="201" t="s">
        <v>4005</v>
      </c>
      <c r="AV3176" s="6" t="str">
        <f t="shared" si="66"/>
        <v/>
      </c>
    </row>
    <row r="3177" spans="1:48" ht="24.4" thickBot="1" x14ac:dyDescent="0.5">
      <c r="A3177" s="35" t="s">
        <v>2129</v>
      </c>
      <c r="B3177" s="3" t="s">
        <v>2130</v>
      </c>
      <c r="C3177" s="4" t="s">
        <v>13</v>
      </c>
      <c r="D3177" s="4"/>
      <c r="E3177" s="4" t="s">
        <v>13</v>
      </c>
      <c r="F3177" s="4"/>
      <c r="G3177" s="4" t="s">
        <v>13</v>
      </c>
      <c r="H3177" s="4"/>
      <c r="I3177" s="18" t="s">
        <v>2473</v>
      </c>
      <c r="J3177" s="18" t="s">
        <v>2473</v>
      </c>
      <c r="K3177" s="18" t="s">
        <v>2473</v>
      </c>
      <c r="L3177" s="18" t="s">
        <v>2334</v>
      </c>
      <c r="Q3177" s="8" t="s">
        <v>3817</v>
      </c>
      <c r="R3177" s="122" t="s">
        <v>3435</v>
      </c>
      <c r="S3177" s="114" t="s">
        <v>3443</v>
      </c>
      <c r="T3177" s="114" t="s">
        <v>3568</v>
      </c>
      <c r="U3177" s="114" t="s">
        <v>3525</v>
      </c>
      <c r="V3177" s="114"/>
      <c r="W3177" s="114" t="s">
        <v>3436</v>
      </c>
      <c r="X3177" s="114" t="s">
        <v>13</v>
      </c>
      <c r="Y3177" s="149"/>
      <c r="Z3177" s="183"/>
      <c r="AA3177" s="183"/>
      <c r="AB3177" s="183"/>
      <c r="AC3177" s="183"/>
      <c r="AD3177" s="183"/>
      <c r="AE3177" s="184"/>
      <c r="AF3177" s="184"/>
      <c r="AG3177" s="183"/>
      <c r="AH3177" s="183"/>
      <c r="AI3177" s="183"/>
      <c r="AJ3177" s="183"/>
      <c r="AK3177" s="183"/>
      <c r="AL3177" s="183"/>
      <c r="AM3177" s="183"/>
      <c r="AN3177" s="131"/>
      <c r="AO3177" s="131"/>
      <c r="AP3177" s="131"/>
      <c r="AQ3177" s="131"/>
      <c r="AR3177" s="288"/>
      <c r="AS3177" s="259"/>
      <c r="AT3177" s="183"/>
      <c r="AU3177" s="140" t="s">
        <v>4154</v>
      </c>
      <c r="AV3177" s="6" t="str">
        <f t="shared" si="66"/>
        <v>OK</v>
      </c>
    </row>
    <row r="3178" spans="1:48" ht="24.4" thickBot="1" x14ac:dyDescent="0.5">
      <c r="A3178" s="35" t="s">
        <v>2131</v>
      </c>
      <c r="B3178" s="3" t="s">
        <v>2132</v>
      </c>
      <c r="C3178" s="4" t="s">
        <v>13</v>
      </c>
      <c r="D3178" s="4"/>
      <c r="E3178" s="4" t="s">
        <v>13</v>
      </c>
      <c r="F3178" s="4"/>
      <c r="G3178" s="4" t="s">
        <v>13</v>
      </c>
      <c r="H3178" s="4"/>
      <c r="I3178" s="18" t="s">
        <v>2473</v>
      </c>
      <c r="J3178" s="18" t="s">
        <v>2473</v>
      </c>
      <c r="K3178" s="18" t="s">
        <v>2473</v>
      </c>
      <c r="L3178" s="18" t="s">
        <v>2334</v>
      </c>
      <c r="Q3178" s="8" t="s">
        <v>3817</v>
      </c>
      <c r="R3178" s="122" t="s">
        <v>3435</v>
      </c>
      <c r="S3178" s="114" t="s">
        <v>3443</v>
      </c>
      <c r="T3178" s="114" t="s">
        <v>3569</v>
      </c>
      <c r="U3178" s="114" t="s">
        <v>3525</v>
      </c>
      <c r="V3178" s="114"/>
      <c r="W3178" s="114" t="s">
        <v>3436</v>
      </c>
      <c r="X3178" s="114" t="s">
        <v>13</v>
      </c>
      <c r="Y3178" s="149"/>
      <c r="Z3178" s="183"/>
      <c r="AA3178" s="183"/>
      <c r="AB3178" s="183"/>
      <c r="AC3178" s="183"/>
      <c r="AD3178" s="183"/>
      <c r="AE3178" s="184"/>
      <c r="AF3178" s="184"/>
      <c r="AG3178" s="183"/>
      <c r="AH3178" s="183"/>
      <c r="AI3178" s="183"/>
      <c r="AJ3178" s="183"/>
      <c r="AK3178" s="183"/>
      <c r="AL3178" s="183"/>
      <c r="AM3178" s="183"/>
      <c r="AN3178" s="131"/>
      <c r="AO3178" s="131"/>
      <c r="AP3178" s="131"/>
      <c r="AQ3178" s="131"/>
      <c r="AR3178" s="288"/>
      <c r="AS3178" s="259"/>
      <c r="AT3178" s="183"/>
      <c r="AU3178" s="140" t="s">
        <v>4154</v>
      </c>
      <c r="AV3178" s="6" t="str">
        <f t="shared" si="66"/>
        <v>OK</v>
      </c>
    </row>
    <row r="3179" spans="1:48" ht="24.4" thickBot="1" x14ac:dyDescent="0.5">
      <c r="A3179" s="35" t="s">
        <v>2133</v>
      </c>
      <c r="B3179" s="3" t="s">
        <v>832</v>
      </c>
      <c r="C3179" s="4" t="s">
        <v>13</v>
      </c>
      <c r="D3179" s="4"/>
      <c r="E3179" s="4" t="s">
        <v>13</v>
      </c>
      <c r="F3179" s="4"/>
      <c r="G3179" s="4" t="s">
        <v>13</v>
      </c>
      <c r="H3179" s="4"/>
      <c r="I3179" s="18" t="s">
        <v>2473</v>
      </c>
      <c r="J3179" s="18" t="s">
        <v>2473</v>
      </c>
      <c r="K3179" s="18" t="s">
        <v>2473</v>
      </c>
      <c r="L3179" s="18" t="s">
        <v>2334</v>
      </c>
      <c r="Q3179" s="8" t="s">
        <v>3817</v>
      </c>
      <c r="R3179" s="122" t="s">
        <v>3435</v>
      </c>
      <c r="S3179" s="114" t="s">
        <v>3443</v>
      </c>
      <c r="T3179" s="114" t="s">
        <v>3570</v>
      </c>
      <c r="U3179" s="114" t="s">
        <v>3525</v>
      </c>
      <c r="V3179" s="114"/>
      <c r="W3179" s="114" t="s">
        <v>3436</v>
      </c>
      <c r="X3179" s="114" t="s">
        <v>13</v>
      </c>
      <c r="Y3179" s="149"/>
      <c r="Z3179" s="183"/>
      <c r="AA3179" s="183"/>
      <c r="AB3179" s="183"/>
      <c r="AC3179" s="183"/>
      <c r="AD3179" s="183"/>
      <c r="AE3179" s="184"/>
      <c r="AF3179" s="184"/>
      <c r="AG3179" s="183"/>
      <c r="AH3179" s="183"/>
      <c r="AI3179" s="183"/>
      <c r="AJ3179" s="183"/>
      <c r="AK3179" s="183"/>
      <c r="AL3179" s="183"/>
      <c r="AM3179" s="183"/>
      <c r="AN3179" s="131"/>
      <c r="AO3179" s="131"/>
      <c r="AP3179" s="131"/>
      <c r="AQ3179" s="131"/>
      <c r="AR3179" s="288"/>
      <c r="AS3179" s="259"/>
      <c r="AT3179" s="183"/>
      <c r="AU3179" s="140" t="s">
        <v>4154</v>
      </c>
      <c r="AV3179" s="6" t="str">
        <f t="shared" si="66"/>
        <v>OK</v>
      </c>
    </row>
    <row r="3180" spans="1:48" ht="24.4" thickBot="1" x14ac:dyDescent="0.5">
      <c r="A3180" s="35" t="s">
        <v>422</v>
      </c>
      <c r="B3180" s="3" t="s">
        <v>2160</v>
      </c>
      <c r="C3180" s="4" t="s">
        <v>13</v>
      </c>
      <c r="D3180" s="4"/>
      <c r="E3180" s="4" t="s">
        <v>13</v>
      </c>
      <c r="F3180" s="4"/>
      <c r="G3180" s="4" t="s">
        <v>13</v>
      </c>
      <c r="H3180" s="4"/>
      <c r="I3180" s="18" t="s">
        <v>2473</v>
      </c>
      <c r="J3180" s="18" t="s">
        <v>2473</v>
      </c>
      <c r="K3180" s="18" t="s">
        <v>2473</v>
      </c>
      <c r="L3180" s="18" t="s">
        <v>2334</v>
      </c>
      <c r="Q3180" s="8" t="s">
        <v>3817</v>
      </c>
      <c r="R3180" s="122" t="s">
        <v>3529</v>
      </c>
      <c r="S3180" s="114" t="s">
        <v>4</v>
      </c>
      <c r="T3180" s="114" t="s">
        <v>99</v>
      </c>
      <c r="U3180" s="114" t="s">
        <v>3521</v>
      </c>
      <c r="V3180" s="114" t="s">
        <v>3530</v>
      </c>
      <c r="W3180" s="114" t="s">
        <v>3436</v>
      </c>
      <c r="X3180" s="114" t="s">
        <v>13</v>
      </c>
      <c r="Y3180" s="149"/>
      <c r="Z3180" s="183"/>
      <c r="AA3180" s="183"/>
      <c r="AB3180" s="183"/>
      <c r="AC3180" s="183"/>
      <c r="AD3180" s="183"/>
      <c r="AE3180" s="184"/>
      <c r="AF3180" s="184"/>
      <c r="AG3180" s="183"/>
      <c r="AH3180" s="183"/>
      <c r="AI3180" s="183"/>
      <c r="AJ3180" s="183"/>
      <c r="AK3180" s="183"/>
      <c r="AL3180" s="183"/>
      <c r="AM3180" s="183"/>
      <c r="AN3180" s="131"/>
      <c r="AO3180" s="131"/>
      <c r="AP3180" s="131"/>
      <c r="AQ3180" s="131"/>
      <c r="AR3180" s="288"/>
      <c r="AS3180" s="259"/>
      <c r="AT3180" s="183"/>
      <c r="AU3180" s="6"/>
      <c r="AV3180" s="6" t="str">
        <f t="shared" si="66"/>
        <v>OK</v>
      </c>
    </row>
    <row r="3181" spans="1:48" ht="24.4" thickBot="1" x14ac:dyDescent="0.5">
      <c r="A3181" s="35" t="s">
        <v>2134</v>
      </c>
      <c r="B3181" s="3" t="s">
        <v>2161</v>
      </c>
      <c r="C3181" s="4" t="s">
        <v>13</v>
      </c>
      <c r="D3181" s="4"/>
      <c r="E3181" s="4" t="s">
        <v>13</v>
      </c>
      <c r="F3181" s="4"/>
      <c r="G3181" s="4" t="s">
        <v>13</v>
      </c>
      <c r="H3181" s="4"/>
      <c r="I3181" s="18" t="s">
        <v>2473</v>
      </c>
      <c r="J3181" s="18" t="s">
        <v>2473</v>
      </c>
      <c r="K3181" s="18" t="s">
        <v>2473</v>
      </c>
      <c r="L3181" s="18" t="s">
        <v>2334</v>
      </c>
      <c r="Q3181" s="8" t="s">
        <v>3817</v>
      </c>
      <c r="R3181" s="122" t="s">
        <v>3435</v>
      </c>
      <c r="S3181" s="114" t="s">
        <v>3443</v>
      </c>
      <c r="T3181" s="114" t="s">
        <v>676</v>
      </c>
      <c r="U3181" s="114" t="s">
        <v>3525</v>
      </c>
      <c r="V3181" s="114"/>
      <c r="W3181" s="114" t="s">
        <v>3436</v>
      </c>
      <c r="X3181" s="114" t="s">
        <v>13</v>
      </c>
      <c r="Y3181" s="149"/>
      <c r="Z3181" s="183"/>
      <c r="AA3181" s="183"/>
      <c r="AB3181" s="183"/>
      <c r="AC3181" s="183"/>
      <c r="AD3181" s="183"/>
      <c r="AE3181" s="184"/>
      <c r="AF3181" s="184"/>
      <c r="AG3181" s="183"/>
      <c r="AH3181" s="183"/>
      <c r="AI3181" s="183"/>
      <c r="AJ3181" s="183"/>
      <c r="AK3181" s="183"/>
      <c r="AL3181" s="183"/>
      <c r="AM3181" s="183"/>
      <c r="AN3181" s="131"/>
      <c r="AO3181" s="131"/>
      <c r="AP3181" s="131"/>
      <c r="AQ3181" s="131"/>
      <c r="AR3181" s="288"/>
      <c r="AS3181" s="259"/>
      <c r="AT3181" s="183"/>
      <c r="AU3181" s="140" t="s">
        <v>4155</v>
      </c>
      <c r="AV3181" s="6" t="str">
        <f t="shared" si="66"/>
        <v>OK</v>
      </c>
    </row>
    <row r="3182" spans="1:48" ht="14.65" thickBot="1" x14ac:dyDescent="0.5">
      <c r="A3182" s="35" t="s">
        <v>461</v>
      </c>
      <c r="B3182" s="3" t="s">
        <v>462</v>
      </c>
      <c r="C3182" s="4" t="s">
        <v>10</v>
      </c>
      <c r="D3182" s="4"/>
      <c r="E3182" s="4" t="s">
        <v>10</v>
      </c>
      <c r="F3182" s="4"/>
      <c r="G3182" s="4" t="s">
        <v>10</v>
      </c>
      <c r="H3182" s="4"/>
      <c r="I3182" s="18" t="s">
        <v>2473</v>
      </c>
      <c r="J3182" s="18" t="s">
        <v>2473</v>
      </c>
      <c r="K3182" s="18" t="s">
        <v>2473</v>
      </c>
      <c r="AU3182" s="6"/>
      <c r="AV3182" s="6" t="str">
        <f t="shared" si="66"/>
        <v/>
      </c>
    </row>
    <row r="3183" spans="1:48" ht="24.4" thickBot="1" x14ac:dyDescent="0.5">
      <c r="A3183" s="35" t="s">
        <v>2136</v>
      </c>
      <c r="B3183" s="3" t="s">
        <v>2162</v>
      </c>
      <c r="C3183" s="4" t="s">
        <v>13</v>
      </c>
      <c r="D3183" s="4"/>
      <c r="E3183" s="4" t="s">
        <v>13</v>
      </c>
      <c r="F3183" s="4"/>
      <c r="G3183" s="4" t="s">
        <v>13</v>
      </c>
      <c r="H3183" s="4"/>
      <c r="I3183" s="18" t="s">
        <v>2473</v>
      </c>
      <c r="J3183" s="18" t="s">
        <v>2473</v>
      </c>
      <c r="K3183" s="18" t="s">
        <v>2473</v>
      </c>
      <c r="L3183" s="18" t="s">
        <v>2334</v>
      </c>
      <c r="Q3183" s="8" t="s">
        <v>3817</v>
      </c>
      <c r="R3183" s="122" t="s">
        <v>3435</v>
      </c>
      <c r="S3183" s="114" t="s">
        <v>3443</v>
      </c>
      <c r="T3183" s="114" t="s">
        <v>684</v>
      </c>
      <c r="U3183" s="114" t="s">
        <v>3525</v>
      </c>
      <c r="V3183" s="114"/>
      <c r="W3183" s="114" t="s">
        <v>3436</v>
      </c>
      <c r="X3183" s="114" t="s">
        <v>13</v>
      </c>
      <c r="Y3183" s="149"/>
      <c r="Z3183" s="183"/>
      <c r="AA3183" s="183"/>
      <c r="AB3183" s="183"/>
      <c r="AC3183" s="183"/>
      <c r="AD3183" s="183"/>
      <c r="AE3183" s="184"/>
      <c r="AF3183" s="184"/>
      <c r="AG3183" s="183"/>
      <c r="AH3183" s="183"/>
      <c r="AI3183" s="183"/>
      <c r="AJ3183" s="183"/>
      <c r="AK3183" s="183"/>
      <c r="AL3183" s="183"/>
      <c r="AM3183" s="183"/>
      <c r="AN3183" s="131"/>
      <c r="AO3183" s="131"/>
      <c r="AP3183" s="131"/>
      <c r="AQ3183" s="131"/>
      <c r="AR3183" s="288"/>
      <c r="AS3183" s="259"/>
      <c r="AT3183" s="183"/>
      <c r="AU3183" s="140" t="s">
        <v>4156</v>
      </c>
      <c r="AV3183" s="6" t="str">
        <f t="shared" si="66"/>
        <v>OK</v>
      </c>
    </row>
    <row r="3184" spans="1:48" ht="35.25" thickBot="1" x14ac:dyDescent="0.5">
      <c r="A3184" s="35" t="s">
        <v>130</v>
      </c>
      <c r="B3184" s="3" t="s">
        <v>2163</v>
      </c>
      <c r="C3184" s="4" t="s">
        <v>13</v>
      </c>
      <c r="D3184" s="4"/>
      <c r="E3184" s="4" t="s">
        <v>13</v>
      </c>
      <c r="F3184" s="4"/>
      <c r="G3184" s="4" t="s">
        <v>13</v>
      </c>
      <c r="H3184" s="4"/>
      <c r="I3184" s="18" t="s">
        <v>2473</v>
      </c>
      <c r="J3184" s="18" t="s">
        <v>2473</v>
      </c>
      <c r="K3184" s="18" t="s">
        <v>2473</v>
      </c>
      <c r="Q3184" s="8" t="s">
        <v>3817</v>
      </c>
      <c r="R3184" s="122" t="s">
        <v>3529</v>
      </c>
      <c r="S3184" s="114" t="s">
        <v>4</v>
      </c>
      <c r="T3184" s="114" t="s">
        <v>114</v>
      </c>
      <c r="U3184" s="114" t="s">
        <v>3521</v>
      </c>
      <c r="V3184" s="114" t="s">
        <v>3530</v>
      </c>
      <c r="W3184" s="114" t="s">
        <v>3436</v>
      </c>
      <c r="X3184" s="114" t="s">
        <v>13</v>
      </c>
      <c r="Y3184" s="149"/>
      <c r="Z3184" s="183"/>
      <c r="AA3184" s="183"/>
      <c r="AB3184" s="183"/>
      <c r="AC3184" s="183"/>
      <c r="AD3184" s="183"/>
      <c r="AE3184" s="184"/>
      <c r="AF3184" s="184"/>
      <c r="AG3184" s="183"/>
      <c r="AH3184" s="183"/>
      <c r="AI3184" s="183"/>
      <c r="AJ3184" s="183"/>
      <c r="AK3184" s="183"/>
      <c r="AL3184" s="183"/>
      <c r="AM3184" s="183"/>
      <c r="AN3184" s="131"/>
      <c r="AO3184" s="131"/>
      <c r="AP3184" s="131"/>
      <c r="AQ3184" s="131"/>
      <c r="AR3184" s="288"/>
      <c r="AS3184" s="259"/>
      <c r="AT3184" s="183"/>
      <c r="AU3184" s="140" t="s">
        <v>4293</v>
      </c>
      <c r="AV3184" s="6" t="str">
        <f t="shared" si="66"/>
        <v>OK</v>
      </c>
    </row>
    <row r="3185" spans="1:48" ht="14.65" thickBot="1" x14ac:dyDescent="0.5">
      <c r="A3185" s="35" t="s">
        <v>424</v>
      </c>
      <c r="B3185" s="3" t="s">
        <v>2158</v>
      </c>
      <c r="C3185" s="4" t="s">
        <v>10</v>
      </c>
      <c r="D3185" s="4"/>
      <c r="E3185" s="4" t="s">
        <v>10</v>
      </c>
      <c r="F3185" s="4"/>
      <c r="G3185" s="4" t="s">
        <v>10</v>
      </c>
      <c r="H3185" s="4"/>
      <c r="I3185" s="18" t="s">
        <v>2473</v>
      </c>
      <c r="J3185" s="18" t="s">
        <v>2473</v>
      </c>
      <c r="K3185" s="18" t="s">
        <v>2473</v>
      </c>
      <c r="AU3185" s="6"/>
      <c r="AV3185" s="6" t="str">
        <f t="shared" si="66"/>
        <v/>
      </c>
    </row>
    <row r="3186" spans="1:48" ht="14.65" thickBot="1" x14ac:dyDescent="0.5">
      <c r="A3186" s="35" t="s">
        <v>59</v>
      </c>
      <c r="B3186" s="3" t="s">
        <v>60</v>
      </c>
      <c r="C3186" s="4"/>
      <c r="D3186" s="4"/>
      <c r="E3186" s="4"/>
      <c r="F3186" s="4"/>
      <c r="G3186" s="4"/>
      <c r="H3186" s="4"/>
      <c r="I3186" s="18" t="s">
        <v>2473</v>
      </c>
      <c r="J3186" s="18" t="s">
        <v>2473</v>
      </c>
      <c r="K3186" s="18" t="s">
        <v>2473</v>
      </c>
      <c r="L3186" s="18" t="s">
        <v>2335</v>
      </c>
      <c r="AU3186" s="6"/>
      <c r="AV3186" s="6" t="str">
        <f t="shared" si="66"/>
        <v/>
      </c>
    </row>
    <row r="3187" spans="1:48" ht="14.65" thickBot="1" x14ac:dyDescent="0.5">
      <c r="A3187" s="35" t="s">
        <v>465</v>
      </c>
      <c r="B3187" s="3" t="s">
        <v>2164</v>
      </c>
      <c r="C3187" s="4"/>
      <c r="D3187" s="4"/>
      <c r="E3187" s="4"/>
      <c r="F3187" s="4"/>
      <c r="G3187" s="4"/>
      <c r="H3187" s="4"/>
      <c r="I3187" s="18" t="s">
        <v>2473</v>
      </c>
      <c r="J3187" s="18" t="s">
        <v>2473</v>
      </c>
      <c r="K3187" s="18" t="s">
        <v>2473</v>
      </c>
      <c r="L3187" s="18" t="s">
        <v>2335</v>
      </c>
      <c r="AU3187" s="6"/>
      <c r="AV3187" s="6" t="str">
        <f t="shared" si="66"/>
        <v/>
      </c>
    </row>
    <row r="3188" spans="1:48" ht="81.75" thickBot="1" x14ac:dyDescent="0.5">
      <c r="A3188" s="35" t="s">
        <v>2051</v>
      </c>
      <c r="B3188" s="3" t="s">
        <v>3966</v>
      </c>
      <c r="C3188" s="4" t="s">
        <v>13</v>
      </c>
      <c r="D3188" s="4"/>
      <c r="E3188" s="4" t="s">
        <v>13</v>
      </c>
      <c r="F3188" s="4"/>
      <c r="G3188" s="4" t="s">
        <v>13</v>
      </c>
      <c r="H3188" s="4"/>
      <c r="I3188" s="18" t="s">
        <v>2473</v>
      </c>
      <c r="J3188" s="18" t="s">
        <v>2473</v>
      </c>
      <c r="K3188" s="18" t="s">
        <v>2473</v>
      </c>
      <c r="L3188" s="18" t="s">
        <v>2334</v>
      </c>
      <c r="Q3188" s="8" t="s">
        <v>3817</v>
      </c>
      <c r="R3188" s="122" t="s">
        <v>3529</v>
      </c>
      <c r="S3188" s="114" t="s">
        <v>4</v>
      </c>
      <c r="T3188" s="114" t="s">
        <v>686</v>
      </c>
      <c r="U3188" s="114" t="s">
        <v>3959</v>
      </c>
      <c r="V3188" s="114" t="s">
        <v>3530</v>
      </c>
      <c r="W3188" s="114" t="s">
        <v>3436</v>
      </c>
      <c r="X3188" s="114" t="s">
        <v>13</v>
      </c>
      <c r="Y3188" s="149"/>
      <c r="Z3188" s="183"/>
      <c r="AA3188" s="183"/>
      <c r="AB3188" s="183"/>
      <c r="AC3188" s="183"/>
      <c r="AD3188" s="183"/>
      <c r="AE3188" s="184"/>
      <c r="AF3188" s="184"/>
      <c r="AG3188" s="183"/>
      <c r="AH3188" s="183"/>
      <c r="AI3188" s="183"/>
      <c r="AJ3188" s="183"/>
      <c r="AK3188" s="183"/>
      <c r="AL3188" s="183"/>
      <c r="AM3188" s="183"/>
      <c r="AN3188" s="131"/>
      <c r="AO3188" s="131"/>
      <c r="AP3188" s="131"/>
      <c r="AQ3188" s="131"/>
      <c r="AR3188" s="288"/>
      <c r="AS3188" s="259"/>
      <c r="AT3188" s="183"/>
      <c r="AU3188" s="140" t="s">
        <v>4157</v>
      </c>
      <c r="AV3188" s="6" t="str">
        <f t="shared" si="66"/>
        <v>OK</v>
      </c>
    </row>
    <row r="3189" spans="1:48" ht="24.4" thickBot="1" x14ac:dyDescent="0.5">
      <c r="A3189" s="35" t="s">
        <v>2165</v>
      </c>
      <c r="B3189" s="3" t="s">
        <v>2166</v>
      </c>
      <c r="C3189" s="4" t="s">
        <v>10</v>
      </c>
      <c r="D3189" s="4"/>
      <c r="E3189" s="4" t="s">
        <v>10</v>
      </c>
      <c r="F3189" s="4"/>
      <c r="G3189" s="4" t="s">
        <v>10</v>
      </c>
      <c r="H3189" s="4"/>
      <c r="I3189" s="18" t="s">
        <v>2473</v>
      </c>
      <c r="J3189" s="18" t="s">
        <v>2473</v>
      </c>
      <c r="K3189" s="18" t="s">
        <v>2473</v>
      </c>
      <c r="L3189" s="18" t="s">
        <v>2334</v>
      </c>
      <c r="Q3189" s="8" t="s">
        <v>3817</v>
      </c>
      <c r="R3189" s="122" t="s">
        <v>3435</v>
      </c>
      <c r="S3189" s="114" t="s">
        <v>3443</v>
      </c>
      <c r="T3189" s="114" t="s">
        <v>830</v>
      </c>
      <c r="U3189" s="114" t="s">
        <v>3525</v>
      </c>
      <c r="V3189" s="114"/>
      <c r="W3189" s="114" t="s">
        <v>3436</v>
      </c>
      <c r="X3189" s="114" t="s">
        <v>13</v>
      </c>
      <c r="Y3189" s="149"/>
      <c r="Z3189" s="183"/>
      <c r="AA3189" s="183"/>
      <c r="AB3189" s="183"/>
      <c r="AC3189" s="183"/>
      <c r="AD3189" s="183"/>
      <c r="AE3189" s="184"/>
      <c r="AF3189" s="184"/>
      <c r="AG3189" s="183"/>
      <c r="AH3189" s="183"/>
      <c r="AI3189" s="183"/>
      <c r="AJ3189" s="183"/>
      <c r="AK3189" s="183"/>
      <c r="AL3189" s="183"/>
      <c r="AM3189" s="183"/>
      <c r="AN3189" s="131"/>
      <c r="AO3189" s="131"/>
      <c r="AP3189" s="131"/>
      <c r="AQ3189" s="131"/>
      <c r="AR3189" s="288"/>
      <c r="AS3189" s="259"/>
      <c r="AT3189" s="183"/>
      <c r="AU3189" s="6"/>
      <c r="AV3189" s="6" t="str">
        <f t="shared" si="66"/>
        <v>OK</v>
      </c>
    </row>
    <row r="3190" spans="1:48" ht="24.4" thickBot="1" x14ac:dyDescent="0.5">
      <c r="A3190" s="35" t="s">
        <v>2167</v>
      </c>
      <c r="B3190" s="3" t="s">
        <v>2168</v>
      </c>
      <c r="C3190" s="4" t="s">
        <v>10</v>
      </c>
      <c r="D3190" s="4"/>
      <c r="E3190" s="4" t="s">
        <v>10</v>
      </c>
      <c r="F3190" s="4"/>
      <c r="G3190" s="4" t="s">
        <v>10</v>
      </c>
      <c r="H3190" s="4"/>
      <c r="I3190" s="18" t="s">
        <v>2473</v>
      </c>
      <c r="J3190" s="18" t="s">
        <v>2473</v>
      </c>
      <c r="K3190" s="18" t="s">
        <v>2473</v>
      </c>
      <c r="L3190" s="18" t="s">
        <v>2334</v>
      </c>
      <c r="Q3190" s="8" t="s">
        <v>3817</v>
      </c>
      <c r="R3190" s="122" t="s">
        <v>3529</v>
      </c>
      <c r="S3190" s="114" t="s">
        <v>4</v>
      </c>
      <c r="T3190" s="114" t="s">
        <v>3008</v>
      </c>
      <c r="U3190" s="114" t="s">
        <v>3964</v>
      </c>
      <c r="V3190" s="114" t="s">
        <v>3530</v>
      </c>
      <c r="W3190" s="114" t="s">
        <v>3436</v>
      </c>
      <c r="X3190" s="114" t="s">
        <v>13</v>
      </c>
      <c r="Y3190" s="149"/>
      <c r="Z3190" s="183"/>
      <c r="AA3190" s="183"/>
      <c r="AB3190" s="183"/>
      <c r="AC3190" s="183"/>
      <c r="AD3190" s="183"/>
      <c r="AE3190" s="184"/>
      <c r="AF3190" s="184"/>
      <c r="AG3190" s="183"/>
      <c r="AH3190" s="183"/>
      <c r="AI3190" s="183"/>
      <c r="AJ3190" s="183"/>
      <c r="AK3190" s="183"/>
      <c r="AL3190" s="183"/>
      <c r="AM3190" s="183"/>
      <c r="AN3190" s="131"/>
      <c r="AO3190" s="131"/>
      <c r="AP3190" s="131"/>
      <c r="AQ3190" s="131"/>
      <c r="AR3190" s="288"/>
      <c r="AS3190" s="259"/>
      <c r="AT3190" s="183"/>
      <c r="AU3190" s="6"/>
      <c r="AV3190" s="6" t="str">
        <f t="shared" si="66"/>
        <v>OK</v>
      </c>
    </row>
    <row r="3191" spans="1:48" ht="35.25" thickBot="1" x14ac:dyDescent="0.5">
      <c r="A3191" s="35" t="s">
        <v>2121</v>
      </c>
      <c r="B3191" s="3" t="s">
        <v>2169</v>
      </c>
      <c r="C3191" s="4" t="s">
        <v>37</v>
      </c>
      <c r="D3191" s="4"/>
      <c r="E3191" s="4" t="s">
        <v>37</v>
      </c>
      <c r="F3191" s="4"/>
      <c r="G3191" s="4" t="s">
        <v>37</v>
      </c>
      <c r="H3191" s="4"/>
      <c r="I3191" s="18" t="s">
        <v>2473</v>
      </c>
      <c r="J3191" s="18" t="s">
        <v>2473</v>
      </c>
      <c r="K3191" s="18" t="s">
        <v>2473</v>
      </c>
      <c r="Q3191" s="8" t="s">
        <v>3817</v>
      </c>
      <c r="R3191" s="122" t="s">
        <v>3529</v>
      </c>
      <c r="S3191" s="114" t="s">
        <v>4</v>
      </c>
      <c r="T3191" s="114" t="s">
        <v>135</v>
      </c>
      <c r="U3191" s="114" t="s">
        <v>3521</v>
      </c>
      <c r="V3191" s="114" t="s">
        <v>3530</v>
      </c>
      <c r="W3191" s="114" t="s">
        <v>3436</v>
      </c>
      <c r="X3191" s="114" t="s">
        <v>13</v>
      </c>
      <c r="Y3191" s="149"/>
      <c r="Z3191" s="183"/>
      <c r="AA3191" s="183"/>
      <c r="AB3191" s="183"/>
      <c r="AC3191" s="183"/>
      <c r="AD3191" s="183"/>
      <c r="AE3191" s="184"/>
      <c r="AF3191" s="184"/>
      <c r="AG3191" s="183"/>
      <c r="AH3191" s="183"/>
      <c r="AI3191" s="183"/>
      <c r="AJ3191" s="183"/>
      <c r="AK3191" s="183"/>
      <c r="AL3191" s="183"/>
      <c r="AM3191" s="183"/>
      <c r="AN3191" s="131"/>
      <c r="AO3191" s="131"/>
      <c r="AP3191" s="131"/>
      <c r="AQ3191" s="131"/>
      <c r="AR3191" s="288"/>
      <c r="AS3191" s="259"/>
      <c r="AT3191" s="183"/>
      <c r="AU3191" s="140" t="s">
        <v>4293</v>
      </c>
      <c r="AV3191" s="6" t="str">
        <f t="shared" si="66"/>
        <v>OK</v>
      </c>
    </row>
    <row r="3192" spans="1:48" ht="14.65" thickBot="1" x14ac:dyDescent="0.5">
      <c r="A3192" s="35" t="s">
        <v>43</v>
      </c>
      <c r="B3192" s="3" t="s">
        <v>84</v>
      </c>
      <c r="C3192" s="4"/>
      <c r="D3192" s="4"/>
      <c r="E3192" s="4"/>
      <c r="F3192" s="4"/>
      <c r="G3192" s="4"/>
      <c r="H3192" s="4"/>
      <c r="I3192" s="18" t="s">
        <v>2473</v>
      </c>
      <c r="J3192" s="18" t="s">
        <v>2473</v>
      </c>
      <c r="K3192" s="18" t="s">
        <v>2473</v>
      </c>
      <c r="L3192" s="18" t="s">
        <v>2335</v>
      </c>
      <c r="AU3192" s="6"/>
      <c r="AV3192" s="6" t="str">
        <f t="shared" si="66"/>
        <v/>
      </c>
    </row>
    <row r="3193" spans="1:48" ht="14.65" thickBot="1" x14ac:dyDescent="0.5">
      <c r="A3193" s="35" t="s">
        <v>2079</v>
      </c>
      <c r="B3193" s="3" t="s">
        <v>2170</v>
      </c>
      <c r="C3193" s="4"/>
      <c r="D3193" s="4"/>
      <c r="E3193" s="4"/>
      <c r="F3193" s="4"/>
      <c r="G3193" s="4"/>
      <c r="H3193" s="4"/>
      <c r="I3193" s="18" t="s">
        <v>2473</v>
      </c>
      <c r="J3193" s="18" t="s">
        <v>2473</v>
      </c>
      <c r="K3193" s="18" t="s">
        <v>2473</v>
      </c>
      <c r="L3193" s="18" t="s">
        <v>2335</v>
      </c>
      <c r="AU3193" s="6"/>
      <c r="AV3193" s="6" t="str">
        <f t="shared" si="66"/>
        <v/>
      </c>
    </row>
    <row r="3194" spans="1:48" ht="14.65" thickBot="1" x14ac:dyDescent="0.5">
      <c r="A3194" s="35" t="s">
        <v>43</v>
      </c>
      <c r="B3194" s="3" t="s">
        <v>84</v>
      </c>
      <c r="C3194" s="4"/>
      <c r="D3194" s="4"/>
      <c r="E3194" s="4"/>
      <c r="F3194" s="4"/>
      <c r="G3194" s="4"/>
      <c r="H3194" s="4"/>
      <c r="I3194" s="18" t="s">
        <v>2473</v>
      </c>
      <c r="J3194" s="18" t="s">
        <v>2473</v>
      </c>
      <c r="K3194" s="18" t="s">
        <v>2473</v>
      </c>
      <c r="L3194" s="18" t="s">
        <v>2335</v>
      </c>
      <c r="AU3194" s="6"/>
      <c r="AV3194" s="6" t="str">
        <f t="shared" si="66"/>
        <v/>
      </c>
    </row>
    <row r="3195" spans="1:48" ht="35.25" thickBot="1" x14ac:dyDescent="0.5">
      <c r="A3195" s="35" t="s">
        <v>2143</v>
      </c>
      <c r="B3195" s="3" t="s">
        <v>3036</v>
      </c>
      <c r="C3195" s="4" t="s">
        <v>13</v>
      </c>
      <c r="D3195" s="4"/>
      <c r="E3195" s="4" t="s">
        <v>13</v>
      </c>
      <c r="F3195" s="4"/>
      <c r="G3195" s="4" t="s">
        <v>13</v>
      </c>
      <c r="H3195" s="4"/>
      <c r="J3195" s="18" t="s">
        <v>2473</v>
      </c>
      <c r="K3195" s="18" t="s">
        <v>2473</v>
      </c>
      <c r="L3195" s="18" t="s">
        <v>2335</v>
      </c>
      <c r="Q3195" s="8" t="s">
        <v>3817</v>
      </c>
      <c r="R3195" s="122" t="s">
        <v>3529</v>
      </c>
      <c r="S3195" s="114" t="s">
        <v>4</v>
      </c>
      <c r="T3195" s="114" t="s">
        <v>625</v>
      </c>
      <c r="U3195" s="114" t="s">
        <v>3524</v>
      </c>
      <c r="V3195" s="114" t="s">
        <v>3530</v>
      </c>
      <c r="W3195" s="114" t="s">
        <v>3436</v>
      </c>
      <c r="X3195" s="114" t="s">
        <v>13</v>
      </c>
      <c r="Y3195" s="149"/>
      <c r="Z3195" s="183"/>
      <c r="AA3195" s="183"/>
      <c r="AB3195" s="183"/>
      <c r="AC3195" s="183"/>
      <c r="AD3195" s="183"/>
      <c r="AE3195" s="184"/>
      <c r="AF3195" s="184"/>
      <c r="AG3195" s="183"/>
      <c r="AH3195" s="183"/>
      <c r="AI3195" s="183"/>
      <c r="AJ3195" s="183"/>
      <c r="AK3195" s="183"/>
      <c r="AL3195" s="183"/>
      <c r="AM3195" s="183"/>
      <c r="AN3195" s="131"/>
      <c r="AO3195" s="131"/>
      <c r="AP3195" s="131"/>
      <c r="AQ3195" s="131"/>
      <c r="AR3195" s="288"/>
      <c r="AS3195" s="259"/>
      <c r="AT3195" s="183"/>
      <c r="AU3195" s="140" t="s">
        <v>4293</v>
      </c>
      <c r="AV3195" s="6" t="str">
        <f t="shared" si="66"/>
        <v>OK</v>
      </c>
    </row>
    <row r="3196" spans="1:48" ht="14.65" thickBot="1" x14ac:dyDescent="0.5">
      <c r="A3196" s="35" t="s">
        <v>472</v>
      </c>
      <c r="B3196" s="3" t="s">
        <v>2171</v>
      </c>
      <c r="C3196" s="4"/>
      <c r="D3196" s="4"/>
      <c r="E3196" s="4"/>
      <c r="F3196" s="4"/>
      <c r="G3196" s="4"/>
      <c r="H3196" s="4"/>
      <c r="I3196" s="18" t="s">
        <v>2473</v>
      </c>
      <c r="J3196" s="18" t="s">
        <v>2473</v>
      </c>
      <c r="K3196" s="18" t="s">
        <v>2473</v>
      </c>
      <c r="L3196" s="18" t="s">
        <v>2335</v>
      </c>
      <c r="AU3196" s="6"/>
      <c r="AV3196" s="6" t="str">
        <f t="shared" si="66"/>
        <v/>
      </c>
    </row>
    <row r="3197" spans="1:48" ht="14.65" thickBot="1" x14ac:dyDescent="0.5">
      <c r="A3197" s="35" t="s">
        <v>2124</v>
      </c>
      <c r="B3197" s="3" t="s">
        <v>2172</v>
      </c>
      <c r="C3197" s="4"/>
      <c r="D3197" s="4"/>
      <c r="E3197" s="4"/>
      <c r="F3197" s="4"/>
      <c r="G3197" s="4"/>
      <c r="H3197" s="4"/>
      <c r="I3197" s="18" t="s">
        <v>2473</v>
      </c>
      <c r="J3197" s="18" t="s">
        <v>2473</v>
      </c>
      <c r="K3197" s="18" t="s">
        <v>2473</v>
      </c>
      <c r="L3197" s="18" t="s">
        <v>2335</v>
      </c>
      <c r="AU3197" s="6"/>
      <c r="AV3197" s="6" t="str">
        <f t="shared" si="66"/>
        <v/>
      </c>
    </row>
    <row r="3198" spans="1:48" ht="24.4" thickBot="1" x14ac:dyDescent="0.5">
      <c r="A3198" s="35" t="s">
        <v>69</v>
      </c>
      <c r="B3198" s="3" t="s">
        <v>3968</v>
      </c>
      <c r="C3198" s="4" t="s">
        <v>10</v>
      </c>
      <c r="D3198" s="4"/>
      <c r="E3198" s="4" t="s">
        <v>10</v>
      </c>
      <c r="F3198" s="4"/>
      <c r="G3198" s="4" t="s">
        <v>10</v>
      </c>
      <c r="H3198" s="4"/>
      <c r="I3198" s="18" t="s">
        <v>2473</v>
      </c>
      <c r="J3198" s="18" t="s">
        <v>2473</v>
      </c>
      <c r="K3198" s="18" t="s">
        <v>2473</v>
      </c>
      <c r="L3198" s="18" t="s">
        <v>2334</v>
      </c>
      <c r="Q3198" s="8" t="s">
        <v>3817</v>
      </c>
      <c r="R3198" s="122" t="s">
        <v>3435</v>
      </c>
      <c r="S3198" s="114" t="s">
        <v>3443</v>
      </c>
      <c r="T3198" s="114" t="s">
        <v>145</v>
      </c>
      <c r="U3198" s="114" t="s">
        <v>3525</v>
      </c>
      <c r="V3198" s="114" t="s">
        <v>3441</v>
      </c>
      <c r="W3198" s="114" t="s">
        <v>3436</v>
      </c>
      <c r="X3198" s="114" t="s">
        <v>13</v>
      </c>
      <c r="Y3198" s="149"/>
      <c r="Z3198" s="183"/>
      <c r="AA3198" s="183"/>
      <c r="AB3198" s="183"/>
      <c r="AC3198" s="183"/>
      <c r="AD3198" s="183"/>
      <c r="AE3198" s="184"/>
      <c r="AF3198" s="184"/>
      <c r="AG3198" s="183"/>
      <c r="AH3198" s="183"/>
      <c r="AI3198" s="183"/>
      <c r="AJ3198" s="183"/>
      <c r="AK3198" s="183"/>
      <c r="AL3198" s="183"/>
      <c r="AM3198" s="183"/>
      <c r="AN3198" s="131"/>
      <c r="AO3198" s="131"/>
      <c r="AP3198" s="131"/>
      <c r="AQ3198" s="131"/>
      <c r="AR3198" s="288"/>
      <c r="AS3198" s="259"/>
      <c r="AT3198" s="183"/>
      <c r="AU3198" s="6"/>
      <c r="AV3198" s="6" t="str">
        <f t="shared" si="66"/>
        <v>OK</v>
      </c>
    </row>
    <row r="3199" spans="1:48" ht="24.4" thickBot="1" x14ac:dyDescent="0.5">
      <c r="A3199" s="35" t="s">
        <v>2145</v>
      </c>
      <c r="B3199" s="3" t="s">
        <v>2146</v>
      </c>
      <c r="C3199" s="4" t="s">
        <v>13</v>
      </c>
      <c r="D3199" s="4"/>
      <c r="E3199" s="4" t="s">
        <v>13</v>
      </c>
      <c r="F3199" s="4"/>
      <c r="G3199" s="4" t="s">
        <v>13</v>
      </c>
      <c r="H3199" s="4"/>
      <c r="I3199" s="18" t="s">
        <v>2473</v>
      </c>
      <c r="J3199" s="18" t="s">
        <v>2473</v>
      </c>
      <c r="K3199" s="18" t="s">
        <v>2473</v>
      </c>
      <c r="L3199" s="18" t="s">
        <v>2334</v>
      </c>
      <c r="Q3199" s="8" t="s">
        <v>3817</v>
      </c>
      <c r="R3199" s="122" t="s">
        <v>3435</v>
      </c>
      <c r="S3199" s="114" t="s">
        <v>3443</v>
      </c>
      <c r="T3199" s="114" t="s">
        <v>3571</v>
      </c>
      <c r="U3199" s="114" t="s">
        <v>3525</v>
      </c>
      <c r="V3199" s="114"/>
      <c r="W3199" s="114" t="s">
        <v>3436</v>
      </c>
      <c r="X3199" s="114" t="s">
        <v>13</v>
      </c>
      <c r="Y3199" s="149"/>
      <c r="Z3199" s="183"/>
      <c r="AA3199" s="183"/>
      <c r="AB3199" s="183"/>
      <c r="AC3199" s="183"/>
      <c r="AD3199" s="183"/>
      <c r="AE3199" s="184"/>
      <c r="AF3199" s="184"/>
      <c r="AG3199" s="183"/>
      <c r="AH3199" s="183"/>
      <c r="AI3199" s="183"/>
      <c r="AJ3199" s="183"/>
      <c r="AK3199" s="183"/>
      <c r="AL3199" s="183"/>
      <c r="AM3199" s="183"/>
      <c r="AN3199" s="131"/>
      <c r="AO3199" s="131"/>
      <c r="AP3199" s="131"/>
      <c r="AQ3199" s="131"/>
      <c r="AR3199" s="288"/>
      <c r="AS3199" s="259"/>
      <c r="AT3199" s="183"/>
      <c r="AU3199" s="140" t="s">
        <v>4158</v>
      </c>
      <c r="AV3199" s="6" t="str">
        <f t="shared" si="66"/>
        <v>OK</v>
      </c>
    </row>
    <row r="3200" spans="1:48" ht="24.4" thickBot="1" x14ac:dyDescent="0.5">
      <c r="A3200" s="35" t="s">
        <v>2147</v>
      </c>
      <c r="B3200" s="3" t="s">
        <v>2148</v>
      </c>
      <c r="C3200" s="4" t="s">
        <v>13</v>
      </c>
      <c r="D3200" s="4"/>
      <c r="E3200" s="4" t="s">
        <v>13</v>
      </c>
      <c r="F3200" s="4"/>
      <c r="G3200" s="4" t="s">
        <v>13</v>
      </c>
      <c r="H3200" s="4"/>
      <c r="I3200" s="18" t="s">
        <v>2473</v>
      </c>
      <c r="J3200" s="18" t="s">
        <v>2473</v>
      </c>
      <c r="K3200" s="18" t="s">
        <v>2473</v>
      </c>
      <c r="L3200" s="18" t="s">
        <v>2334</v>
      </c>
      <c r="Q3200" s="8" t="s">
        <v>3817</v>
      </c>
      <c r="R3200" s="122" t="s">
        <v>3435</v>
      </c>
      <c r="S3200" s="114" t="s">
        <v>3443</v>
      </c>
      <c r="T3200" s="114" t="s">
        <v>3572</v>
      </c>
      <c r="U3200" s="114" t="s">
        <v>3525</v>
      </c>
      <c r="V3200" s="114"/>
      <c r="W3200" s="114" t="s">
        <v>3436</v>
      </c>
      <c r="X3200" s="114" t="s">
        <v>13</v>
      </c>
      <c r="Y3200" s="149"/>
      <c r="Z3200" s="183"/>
      <c r="AA3200" s="183"/>
      <c r="AB3200" s="183"/>
      <c r="AC3200" s="183"/>
      <c r="AD3200" s="183"/>
      <c r="AE3200" s="184"/>
      <c r="AF3200" s="184"/>
      <c r="AG3200" s="183"/>
      <c r="AH3200" s="183"/>
      <c r="AI3200" s="183"/>
      <c r="AJ3200" s="183"/>
      <c r="AK3200" s="183"/>
      <c r="AL3200" s="183"/>
      <c r="AM3200" s="183"/>
      <c r="AN3200" s="131"/>
      <c r="AO3200" s="131"/>
      <c r="AP3200" s="131"/>
      <c r="AQ3200" s="131"/>
      <c r="AR3200" s="288"/>
      <c r="AS3200" s="259"/>
      <c r="AT3200" s="183"/>
      <c r="AU3200" s="140" t="s">
        <v>4158</v>
      </c>
      <c r="AV3200" s="6" t="str">
        <f t="shared" si="66"/>
        <v>OK</v>
      </c>
    </row>
    <row r="3201" spans="1:48" ht="24.4" thickBot="1" x14ac:dyDescent="0.5">
      <c r="A3201" s="35" t="s">
        <v>2149</v>
      </c>
      <c r="B3201" s="3" t="s">
        <v>834</v>
      </c>
      <c r="C3201" s="4" t="s">
        <v>13</v>
      </c>
      <c r="D3201" s="4"/>
      <c r="E3201" s="4" t="s">
        <v>13</v>
      </c>
      <c r="F3201" s="4"/>
      <c r="G3201" s="4" t="s">
        <v>13</v>
      </c>
      <c r="H3201" s="4"/>
      <c r="I3201" s="18" t="s">
        <v>2473</v>
      </c>
      <c r="J3201" s="18" t="s">
        <v>2473</v>
      </c>
      <c r="K3201" s="18" t="s">
        <v>2473</v>
      </c>
      <c r="L3201" s="18" t="s">
        <v>2334</v>
      </c>
      <c r="Q3201" s="8" t="s">
        <v>3817</v>
      </c>
      <c r="R3201" s="122" t="s">
        <v>3435</v>
      </c>
      <c r="S3201" s="114" t="s">
        <v>3443</v>
      </c>
      <c r="T3201" s="114" t="s">
        <v>3573</v>
      </c>
      <c r="U3201" s="114" t="s">
        <v>3525</v>
      </c>
      <c r="V3201" s="114"/>
      <c r="W3201" s="114" t="s">
        <v>3436</v>
      </c>
      <c r="X3201" s="114" t="s">
        <v>13</v>
      </c>
      <c r="Y3201" s="149"/>
      <c r="Z3201" s="183"/>
      <c r="AA3201" s="183"/>
      <c r="AB3201" s="183"/>
      <c r="AC3201" s="183"/>
      <c r="AD3201" s="183"/>
      <c r="AE3201" s="184"/>
      <c r="AF3201" s="184"/>
      <c r="AG3201" s="183"/>
      <c r="AH3201" s="183"/>
      <c r="AI3201" s="183"/>
      <c r="AJ3201" s="183"/>
      <c r="AK3201" s="183"/>
      <c r="AL3201" s="183"/>
      <c r="AM3201" s="183"/>
      <c r="AN3201" s="131"/>
      <c r="AO3201" s="131"/>
      <c r="AP3201" s="131"/>
      <c r="AQ3201" s="131"/>
      <c r="AR3201" s="288"/>
      <c r="AS3201" s="259"/>
      <c r="AT3201" s="183"/>
      <c r="AU3201" s="140" t="s">
        <v>4158</v>
      </c>
      <c r="AV3201" s="6" t="str">
        <f t="shared" si="66"/>
        <v>OK</v>
      </c>
    </row>
    <row r="3202" spans="1:48" ht="23.65" thickBot="1" x14ac:dyDescent="0.5">
      <c r="A3202" s="36" t="s">
        <v>135</v>
      </c>
      <c r="B3202" s="3" t="s">
        <v>2169</v>
      </c>
      <c r="C3202" s="4" t="s">
        <v>37</v>
      </c>
      <c r="D3202" s="4"/>
      <c r="E3202" s="4" t="s">
        <v>37</v>
      </c>
      <c r="F3202" s="4"/>
      <c r="G3202" s="4" t="s">
        <v>37</v>
      </c>
      <c r="H3202" s="4"/>
      <c r="I3202" s="18" t="s">
        <v>2473</v>
      </c>
      <c r="J3202" s="18" t="s">
        <v>2473</v>
      </c>
      <c r="K3202" s="18" t="s">
        <v>2473</v>
      </c>
      <c r="L3202" s="18" t="s">
        <v>2334</v>
      </c>
      <c r="R3202" s="122" t="s">
        <v>3529</v>
      </c>
      <c r="S3202" s="114" t="s">
        <v>4</v>
      </c>
      <c r="T3202" s="114" t="s">
        <v>135</v>
      </c>
      <c r="U3202" s="114" t="s">
        <v>3521</v>
      </c>
      <c r="V3202" s="114" t="s">
        <v>3530</v>
      </c>
      <c r="W3202" s="114" t="s">
        <v>3436</v>
      </c>
      <c r="X3202" s="114" t="s">
        <v>13</v>
      </c>
      <c r="Y3202" s="149"/>
      <c r="Z3202" s="183"/>
      <c r="AA3202" s="183"/>
      <c r="AB3202" s="183"/>
      <c r="AC3202" s="183"/>
      <c r="AD3202" s="183"/>
      <c r="AE3202" s="184"/>
      <c r="AF3202" s="184"/>
      <c r="AG3202" s="183"/>
      <c r="AH3202" s="183"/>
      <c r="AI3202" s="183"/>
      <c r="AJ3202" s="183"/>
      <c r="AK3202" s="183"/>
      <c r="AL3202" s="183"/>
      <c r="AM3202" s="183"/>
      <c r="AN3202" s="131"/>
      <c r="AO3202" s="131"/>
      <c r="AP3202" s="131"/>
      <c r="AQ3202" s="131"/>
      <c r="AR3202" s="288"/>
      <c r="AS3202" s="259"/>
      <c r="AT3202" s="183"/>
      <c r="AU3202" s="6"/>
      <c r="AV3202" s="6" t="str">
        <f t="shared" si="66"/>
        <v>OK</v>
      </c>
    </row>
    <row r="3203" spans="1:48" ht="14.65" thickBot="1" x14ac:dyDescent="0.5">
      <c r="A3203" s="35" t="s">
        <v>33</v>
      </c>
      <c r="B3203" s="3" t="s">
        <v>84</v>
      </c>
      <c r="C3203" s="4"/>
      <c r="D3203" s="4"/>
      <c r="E3203" s="4"/>
      <c r="F3203" s="4"/>
      <c r="G3203" s="4"/>
      <c r="H3203" s="4"/>
      <c r="I3203" s="18" t="s">
        <v>2473</v>
      </c>
      <c r="J3203" s="18" t="s">
        <v>2473</v>
      </c>
      <c r="K3203" s="18" t="s">
        <v>2473</v>
      </c>
      <c r="L3203" s="18" t="s">
        <v>2335</v>
      </c>
      <c r="AU3203" s="6"/>
      <c r="AV3203" s="6" t="str">
        <f t="shared" si="66"/>
        <v/>
      </c>
    </row>
    <row r="3204" spans="1:48" ht="35.25" thickBot="1" x14ac:dyDescent="0.5">
      <c r="A3204" s="36" t="s">
        <v>145</v>
      </c>
      <c r="B3204" s="3" t="s">
        <v>3968</v>
      </c>
      <c r="C3204" s="4" t="s">
        <v>13</v>
      </c>
      <c r="D3204" s="4"/>
      <c r="E3204" s="4" t="s">
        <v>13</v>
      </c>
      <c r="F3204" s="4"/>
      <c r="G3204" s="4" t="s">
        <v>13</v>
      </c>
      <c r="H3204" s="4"/>
      <c r="I3204" s="18" t="s">
        <v>2473</v>
      </c>
      <c r="J3204" s="18" t="s">
        <v>2473</v>
      </c>
      <c r="K3204" s="18" t="s">
        <v>2473</v>
      </c>
      <c r="R3204" s="122" t="s">
        <v>3435</v>
      </c>
      <c r="S3204" s="114" t="s">
        <v>3443</v>
      </c>
      <c r="T3204" s="114" t="s">
        <v>145</v>
      </c>
      <c r="U3204" s="114" t="s">
        <v>3525</v>
      </c>
      <c r="V3204" s="114" t="s">
        <v>3441</v>
      </c>
      <c r="W3204" s="114" t="s">
        <v>3436</v>
      </c>
      <c r="X3204" s="114" t="s">
        <v>13</v>
      </c>
      <c r="Y3204" s="149"/>
      <c r="Z3204" s="183"/>
      <c r="AA3204" s="183"/>
      <c r="AB3204" s="183"/>
      <c r="AC3204" s="183"/>
      <c r="AD3204" s="183"/>
      <c r="AE3204" s="184"/>
      <c r="AF3204" s="184"/>
      <c r="AG3204" s="183"/>
      <c r="AH3204" s="183"/>
      <c r="AI3204" s="183"/>
      <c r="AJ3204" s="183"/>
      <c r="AK3204" s="183"/>
      <c r="AL3204" s="183"/>
      <c r="AM3204" s="183"/>
      <c r="AN3204" s="131"/>
      <c r="AO3204" s="131"/>
      <c r="AP3204" s="131"/>
      <c r="AQ3204" s="131"/>
      <c r="AR3204" s="288"/>
      <c r="AS3204" s="140" t="s">
        <v>5369</v>
      </c>
      <c r="AT3204" s="183"/>
      <c r="AU3204" s="140" t="s">
        <v>4293</v>
      </c>
      <c r="AV3204" s="6" t="str">
        <f t="shared" si="66"/>
        <v>OK</v>
      </c>
    </row>
    <row r="3205" spans="1:48" ht="47.65" thickBot="1" x14ac:dyDescent="0.5">
      <c r="A3205" s="35" t="s">
        <v>5361</v>
      </c>
      <c r="B3205" s="3" t="s">
        <v>5352</v>
      </c>
      <c r="C3205" s="4" t="s">
        <v>10</v>
      </c>
      <c r="D3205" s="4"/>
      <c r="E3205" s="4" t="s">
        <v>10</v>
      </c>
      <c r="F3205" s="4"/>
      <c r="G3205" s="4" t="s">
        <v>10</v>
      </c>
      <c r="H3205" s="4"/>
      <c r="I3205" s="18" t="s">
        <v>2473</v>
      </c>
      <c r="J3205" s="18" t="s">
        <v>2473</v>
      </c>
      <c r="K3205" s="18" t="s">
        <v>2473</v>
      </c>
      <c r="Q3205" s="131"/>
      <c r="R3205" s="131"/>
      <c r="S3205" s="131"/>
      <c r="T3205" s="131"/>
      <c r="U3205" s="131"/>
      <c r="V3205" s="131"/>
      <c r="W3205" s="131"/>
      <c r="X3205" s="131"/>
      <c r="AS3205" s="139" t="s">
        <v>5355</v>
      </c>
      <c r="AU3205" s="6"/>
      <c r="AV3205" s="6"/>
    </row>
    <row r="3206" spans="1:48" ht="82.5" thickBot="1" x14ac:dyDescent="0.5">
      <c r="A3206" s="35" t="s">
        <v>5360</v>
      </c>
      <c r="B3206" s="3" t="s">
        <v>5353</v>
      </c>
      <c r="C3206" s="4"/>
      <c r="D3206" s="4"/>
      <c r="E3206" s="4"/>
      <c r="F3206" s="4"/>
      <c r="G3206" s="4"/>
      <c r="H3206" s="4"/>
      <c r="I3206" s="18" t="s">
        <v>2473</v>
      </c>
      <c r="J3206" s="18" t="s">
        <v>2473</v>
      </c>
      <c r="K3206" s="18" t="s">
        <v>2473</v>
      </c>
      <c r="Q3206" s="131"/>
      <c r="R3206" s="131"/>
      <c r="S3206" s="131"/>
      <c r="T3206" s="131"/>
      <c r="U3206" s="131"/>
      <c r="V3206" s="131"/>
      <c r="W3206" s="131"/>
      <c r="X3206" s="131"/>
      <c r="AS3206" s="139" t="s">
        <v>5356</v>
      </c>
      <c r="AU3206" s="6"/>
      <c r="AV3206" s="6"/>
    </row>
    <row r="3207" spans="1:48" ht="30.75" thickBot="1" x14ac:dyDescent="0.5">
      <c r="A3207" s="36" t="s">
        <v>2173</v>
      </c>
      <c r="B3207" s="5" t="s">
        <v>2174</v>
      </c>
      <c r="C3207" s="4" t="s">
        <v>37</v>
      </c>
      <c r="D3207" s="4"/>
      <c r="E3207" s="4" t="s">
        <v>37</v>
      </c>
      <c r="F3207" s="4"/>
      <c r="G3207" s="4" t="s">
        <v>37</v>
      </c>
      <c r="H3207" s="4"/>
      <c r="I3207" s="18" t="s">
        <v>2473</v>
      </c>
      <c r="J3207" s="18" t="s">
        <v>2473</v>
      </c>
      <c r="K3207" s="18" t="s">
        <v>2473</v>
      </c>
      <c r="L3207" s="18" t="s">
        <v>2334</v>
      </c>
      <c r="R3207" s="122" t="s">
        <v>3435</v>
      </c>
      <c r="S3207" s="114" t="s">
        <v>3437</v>
      </c>
      <c r="T3207" s="114" t="s">
        <v>2173</v>
      </c>
      <c r="U3207" s="114"/>
      <c r="V3207" s="114" t="s">
        <v>3567</v>
      </c>
      <c r="W3207" s="114" t="s">
        <v>3436</v>
      </c>
      <c r="X3207" s="114" t="s">
        <v>13</v>
      </c>
      <c r="Y3207" s="149"/>
      <c r="Z3207" s="183"/>
      <c r="AA3207" s="183"/>
      <c r="AB3207" s="183"/>
      <c r="AC3207" s="183"/>
      <c r="AD3207" s="183"/>
      <c r="AE3207" s="184"/>
      <c r="AF3207" s="184"/>
      <c r="AG3207" s="183"/>
      <c r="AH3207" s="183"/>
      <c r="AI3207" s="183"/>
      <c r="AJ3207" s="183"/>
      <c r="AK3207" s="183"/>
      <c r="AL3207" s="183"/>
      <c r="AM3207" s="183"/>
      <c r="AN3207" s="131"/>
      <c r="AO3207" s="131"/>
      <c r="AP3207" s="131"/>
      <c r="AQ3207" s="131"/>
      <c r="AR3207" s="288"/>
      <c r="AS3207" s="259"/>
      <c r="AT3207" s="183"/>
      <c r="AU3207" s="6"/>
      <c r="AV3207" s="6" t="str">
        <f t="shared" si="66"/>
        <v>OK</v>
      </c>
    </row>
    <row r="3208" spans="1:48" ht="14.65" thickBot="1" x14ac:dyDescent="0.5">
      <c r="A3208" s="35" t="s">
        <v>33</v>
      </c>
      <c r="B3208" s="5" t="s">
        <v>84</v>
      </c>
      <c r="C3208" s="4"/>
      <c r="D3208" s="4"/>
      <c r="E3208" s="4"/>
      <c r="F3208" s="4"/>
      <c r="G3208" s="4"/>
      <c r="H3208" s="4"/>
      <c r="I3208" s="18" t="s">
        <v>2473</v>
      </c>
      <c r="J3208" s="18" t="s">
        <v>2473</v>
      </c>
      <c r="K3208" s="18" t="s">
        <v>2473</v>
      </c>
      <c r="L3208" s="18" t="s">
        <v>2335</v>
      </c>
      <c r="AU3208" s="6"/>
      <c r="AV3208" s="6" t="str">
        <f t="shared" si="66"/>
        <v/>
      </c>
    </row>
    <row r="3209" spans="1:48" ht="14.65" thickBot="1" x14ac:dyDescent="0.5">
      <c r="A3209" s="35" t="s">
        <v>442</v>
      </c>
      <c r="B3209" s="3" t="s">
        <v>9</v>
      </c>
      <c r="C3209" s="4"/>
      <c r="D3209" s="4"/>
      <c r="E3209" s="4"/>
      <c r="F3209" s="4"/>
      <c r="G3209" s="4"/>
      <c r="H3209" s="4"/>
      <c r="I3209" s="18" t="s">
        <v>2473</v>
      </c>
      <c r="J3209" s="18" t="s">
        <v>2473</v>
      </c>
      <c r="K3209" s="18" t="s">
        <v>2473</v>
      </c>
      <c r="L3209" s="18" t="s">
        <v>2335</v>
      </c>
      <c r="AU3209" s="6"/>
      <c r="AV3209" s="6" t="str">
        <f t="shared" si="66"/>
        <v/>
      </c>
    </row>
    <row r="3210" spans="1:48" ht="35.25" thickBot="1" x14ac:dyDescent="0.5">
      <c r="A3210" s="35" t="s">
        <v>2175</v>
      </c>
      <c r="B3210" s="3" t="s">
        <v>2176</v>
      </c>
      <c r="C3210" s="4"/>
      <c r="D3210" s="4"/>
      <c r="E3210" s="4"/>
      <c r="F3210" s="4"/>
      <c r="G3210" s="4"/>
      <c r="H3210" s="4"/>
      <c r="I3210" s="18" t="s">
        <v>2473</v>
      </c>
      <c r="J3210" s="18" t="s">
        <v>2473</v>
      </c>
      <c r="K3210" s="18" t="s">
        <v>2473</v>
      </c>
      <c r="L3210" s="18" t="s">
        <v>2335</v>
      </c>
      <c r="AU3210" s="6"/>
      <c r="AV3210" s="6" t="str">
        <f t="shared" si="66"/>
        <v/>
      </c>
    </row>
    <row r="3211" spans="1:48" ht="35.25" thickBot="1" x14ac:dyDescent="0.5">
      <c r="A3211" s="35" t="s">
        <v>2177</v>
      </c>
      <c r="B3211" s="3" t="s">
        <v>2178</v>
      </c>
      <c r="C3211" s="4"/>
      <c r="D3211" s="4"/>
      <c r="E3211" s="4"/>
      <c r="F3211" s="4"/>
      <c r="G3211" s="4"/>
      <c r="H3211" s="4"/>
      <c r="I3211" s="18" t="s">
        <v>2473</v>
      </c>
      <c r="J3211" s="18" t="s">
        <v>2473</v>
      </c>
      <c r="K3211" s="18" t="s">
        <v>2473</v>
      </c>
      <c r="L3211" s="18" t="s">
        <v>2335</v>
      </c>
      <c r="AU3211" s="6"/>
      <c r="AV3211" s="6" t="str">
        <f t="shared" si="66"/>
        <v/>
      </c>
    </row>
    <row r="3212" spans="1:48" ht="23.65" thickBot="1" x14ac:dyDescent="0.5">
      <c r="A3212" s="35" t="s">
        <v>2179</v>
      </c>
      <c r="B3212" s="3" t="s">
        <v>2180</v>
      </c>
      <c r="C3212" s="4"/>
      <c r="D3212" s="4"/>
      <c r="E3212" s="4"/>
      <c r="F3212" s="4"/>
      <c r="G3212" s="4"/>
      <c r="H3212" s="4"/>
      <c r="I3212" s="18" t="s">
        <v>2473</v>
      </c>
      <c r="J3212" s="18" t="s">
        <v>2473</v>
      </c>
      <c r="K3212" s="18" t="s">
        <v>2473</v>
      </c>
      <c r="L3212" s="18" t="s">
        <v>2335</v>
      </c>
      <c r="AU3212" s="6"/>
      <c r="AV3212" s="6" t="str">
        <f t="shared" si="66"/>
        <v/>
      </c>
    </row>
    <row r="3213" spans="1:48" ht="14.65" thickBot="1" x14ac:dyDescent="0.5">
      <c r="A3213" s="35" t="s">
        <v>2181</v>
      </c>
      <c r="B3213" s="3" t="s">
        <v>2182</v>
      </c>
      <c r="C3213" s="4"/>
      <c r="D3213" s="4"/>
      <c r="E3213" s="4"/>
      <c r="F3213" s="4"/>
      <c r="G3213" s="4"/>
      <c r="H3213" s="4"/>
      <c r="I3213" s="18" t="s">
        <v>2473</v>
      </c>
      <c r="J3213" s="18" t="s">
        <v>2473</v>
      </c>
      <c r="K3213" s="18" t="s">
        <v>2473</v>
      </c>
      <c r="L3213" s="18" t="s">
        <v>2335</v>
      </c>
      <c r="AU3213" s="6"/>
      <c r="AV3213" s="6" t="str">
        <f t="shared" si="66"/>
        <v/>
      </c>
    </row>
    <row r="3214" spans="1:48" ht="36" thickBot="1" x14ac:dyDescent="0.5">
      <c r="A3214" s="35" t="s">
        <v>2129</v>
      </c>
      <c r="B3214" s="3" t="s">
        <v>2130</v>
      </c>
      <c r="C3214" s="4" t="s">
        <v>13</v>
      </c>
      <c r="D3214" s="4"/>
      <c r="E3214" s="4" t="s">
        <v>13</v>
      </c>
      <c r="F3214" s="4"/>
      <c r="G3214" s="4" t="s">
        <v>13</v>
      </c>
      <c r="H3214" s="4"/>
      <c r="I3214" s="18" t="s">
        <v>2473</v>
      </c>
      <c r="J3214" s="18" t="s">
        <v>2473</v>
      </c>
      <c r="K3214" s="18" t="s">
        <v>2473</v>
      </c>
      <c r="L3214" s="18" t="s">
        <v>2334</v>
      </c>
      <c r="Q3214" s="8" t="s">
        <v>3567</v>
      </c>
      <c r="R3214" s="122" t="s">
        <v>3435</v>
      </c>
      <c r="S3214" s="114" t="s">
        <v>3443</v>
      </c>
      <c r="T3214" s="114" t="s">
        <v>3568</v>
      </c>
      <c r="U3214" s="114" t="s">
        <v>3525</v>
      </c>
      <c r="V3214" s="114"/>
      <c r="W3214" s="114" t="s">
        <v>3436</v>
      </c>
      <c r="X3214" s="114" t="s">
        <v>13</v>
      </c>
      <c r="Y3214" s="149"/>
      <c r="Z3214" s="183"/>
      <c r="AA3214" s="183"/>
      <c r="AB3214" s="183"/>
      <c r="AC3214" s="183"/>
      <c r="AD3214" s="183"/>
      <c r="AE3214" s="184"/>
      <c r="AF3214" s="184"/>
      <c r="AG3214" s="183"/>
      <c r="AH3214" s="183"/>
      <c r="AI3214" s="183"/>
      <c r="AJ3214" s="183"/>
      <c r="AK3214" s="183"/>
      <c r="AL3214" s="183"/>
      <c r="AM3214" s="183"/>
      <c r="AN3214" s="131"/>
      <c r="AO3214" s="131"/>
      <c r="AP3214" s="131"/>
      <c r="AQ3214" s="131"/>
      <c r="AR3214" s="288"/>
      <c r="AS3214" s="259"/>
      <c r="AT3214" s="183"/>
      <c r="AU3214" s="140" t="s">
        <v>4159</v>
      </c>
      <c r="AV3214" s="6" t="str">
        <f t="shared" si="66"/>
        <v>OK</v>
      </c>
    </row>
    <row r="3215" spans="1:48" ht="36" thickBot="1" x14ac:dyDescent="0.5">
      <c r="A3215" s="35" t="s">
        <v>2131</v>
      </c>
      <c r="B3215" s="3" t="s">
        <v>2132</v>
      </c>
      <c r="C3215" s="4" t="s">
        <v>13</v>
      </c>
      <c r="D3215" s="4"/>
      <c r="E3215" s="4" t="s">
        <v>13</v>
      </c>
      <c r="F3215" s="4"/>
      <c r="G3215" s="4" t="s">
        <v>13</v>
      </c>
      <c r="H3215" s="4"/>
      <c r="I3215" s="18" t="s">
        <v>2473</v>
      </c>
      <c r="J3215" s="18" t="s">
        <v>2473</v>
      </c>
      <c r="K3215" s="18" t="s">
        <v>2473</v>
      </c>
      <c r="L3215" s="18" t="s">
        <v>2334</v>
      </c>
      <c r="Q3215" s="8" t="s">
        <v>3567</v>
      </c>
      <c r="R3215" s="122" t="s">
        <v>3435</v>
      </c>
      <c r="S3215" s="114" t="s">
        <v>3443</v>
      </c>
      <c r="T3215" s="114" t="s">
        <v>3569</v>
      </c>
      <c r="U3215" s="114" t="s">
        <v>3525</v>
      </c>
      <c r="V3215" s="114"/>
      <c r="W3215" s="114" t="s">
        <v>3436</v>
      </c>
      <c r="X3215" s="114" t="s">
        <v>13</v>
      </c>
      <c r="Y3215" s="149"/>
      <c r="Z3215" s="183"/>
      <c r="AA3215" s="183"/>
      <c r="AB3215" s="183"/>
      <c r="AC3215" s="183"/>
      <c r="AD3215" s="183"/>
      <c r="AE3215" s="184"/>
      <c r="AF3215" s="184"/>
      <c r="AG3215" s="183"/>
      <c r="AH3215" s="183"/>
      <c r="AI3215" s="183"/>
      <c r="AJ3215" s="183"/>
      <c r="AK3215" s="183"/>
      <c r="AL3215" s="183"/>
      <c r="AM3215" s="183"/>
      <c r="AN3215" s="131"/>
      <c r="AO3215" s="131"/>
      <c r="AP3215" s="131"/>
      <c r="AQ3215" s="131"/>
      <c r="AR3215" s="288"/>
      <c r="AS3215" s="259"/>
      <c r="AT3215" s="183"/>
      <c r="AU3215" s="140" t="s">
        <v>4159</v>
      </c>
      <c r="AV3215" s="6" t="str">
        <f t="shared" si="66"/>
        <v>OK</v>
      </c>
    </row>
    <row r="3216" spans="1:48" ht="36" thickBot="1" x14ac:dyDescent="0.5">
      <c r="A3216" s="35" t="s">
        <v>2133</v>
      </c>
      <c r="B3216" s="3" t="s">
        <v>832</v>
      </c>
      <c r="C3216" s="4" t="s">
        <v>13</v>
      </c>
      <c r="D3216" s="4"/>
      <c r="E3216" s="4" t="s">
        <v>13</v>
      </c>
      <c r="F3216" s="4"/>
      <c r="G3216" s="4" t="s">
        <v>13</v>
      </c>
      <c r="H3216" s="4"/>
      <c r="I3216" s="18" t="s">
        <v>2473</v>
      </c>
      <c r="J3216" s="18" t="s">
        <v>2473</v>
      </c>
      <c r="K3216" s="18" t="s">
        <v>2473</v>
      </c>
      <c r="L3216" s="18" t="s">
        <v>2334</v>
      </c>
      <c r="Q3216" s="8" t="s">
        <v>3567</v>
      </c>
      <c r="R3216" s="122" t="s">
        <v>3435</v>
      </c>
      <c r="S3216" s="114" t="s">
        <v>3443</v>
      </c>
      <c r="T3216" s="114" t="s">
        <v>3570</v>
      </c>
      <c r="U3216" s="114" t="s">
        <v>3525</v>
      </c>
      <c r="V3216" s="114"/>
      <c r="W3216" s="114" t="s">
        <v>3436</v>
      </c>
      <c r="X3216" s="114" t="s">
        <v>13</v>
      </c>
      <c r="Y3216" s="149"/>
      <c r="Z3216" s="183"/>
      <c r="AA3216" s="183"/>
      <c r="AB3216" s="183"/>
      <c r="AC3216" s="183"/>
      <c r="AD3216" s="183"/>
      <c r="AE3216" s="184"/>
      <c r="AF3216" s="184"/>
      <c r="AG3216" s="183"/>
      <c r="AH3216" s="183"/>
      <c r="AI3216" s="183"/>
      <c r="AJ3216" s="183"/>
      <c r="AK3216" s="183"/>
      <c r="AL3216" s="183"/>
      <c r="AM3216" s="183"/>
      <c r="AN3216" s="131"/>
      <c r="AO3216" s="131"/>
      <c r="AP3216" s="131"/>
      <c r="AQ3216" s="131"/>
      <c r="AR3216" s="288"/>
      <c r="AS3216" s="259"/>
      <c r="AT3216" s="183"/>
      <c r="AU3216" s="140" t="s">
        <v>4159</v>
      </c>
      <c r="AV3216" s="6" t="str">
        <f t="shared" si="66"/>
        <v>OK</v>
      </c>
    </row>
    <row r="3217" spans="1:48" ht="14.65" thickBot="1" x14ac:dyDescent="0.5">
      <c r="A3217" s="35" t="s">
        <v>2183</v>
      </c>
      <c r="B3217" s="3" t="s">
        <v>2184</v>
      </c>
      <c r="C3217" s="4"/>
      <c r="D3217" s="4"/>
      <c r="E3217" s="4"/>
      <c r="F3217" s="4"/>
      <c r="G3217" s="4"/>
      <c r="H3217" s="4"/>
      <c r="I3217" s="18" t="s">
        <v>2473</v>
      </c>
      <c r="J3217" s="18" t="s">
        <v>2473</v>
      </c>
      <c r="K3217" s="18" t="s">
        <v>2473</v>
      </c>
      <c r="L3217" s="18" t="s">
        <v>2335</v>
      </c>
      <c r="AU3217" s="6"/>
      <c r="AV3217" s="6" t="str">
        <f t="shared" si="66"/>
        <v/>
      </c>
    </row>
    <row r="3218" spans="1:48" ht="14.65" thickBot="1" x14ac:dyDescent="0.5">
      <c r="A3218" s="35" t="s">
        <v>2185</v>
      </c>
      <c r="B3218" s="3" t="s">
        <v>2186</v>
      </c>
      <c r="C3218" s="4"/>
      <c r="D3218" s="4"/>
      <c r="E3218" s="4"/>
      <c r="F3218" s="4"/>
      <c r="G3218" s="4"/>
      <c r="H3218" s="4"/>
      <c r="I3218" s="18" t="s">
        <v>2473</v>
      </c>
      <c r="J3218" s="18" t="s">
        <v>2473</v>
      </c>
      <c r="K3218" s="18" t="s">
        <v>2473</v>
      </c>
      <c r="L3218" s="18" t="s">
        <v>2335</v>
      </c>
      <c r="AU3218" s="6"/>
      <c r="AV3218" s="6" t="str">
        <f t="shared" si="66"/>
        <v/>
      </c>
    </row>
    <row r="3219" spans="1:48" ht="14.65" thickBot="1" x14ac:dyDescent="0.5">
      <c r="A3219" s="35" t="s">
        <v>461</v>
      </c>
      <c r="B3219" s="3" t="s">
        <v>462</v>
      </c>
      <c r="C3219" s="4"/>
      <c r="D3219" s="4"/>
      <c r="E3219" s="4"/>
      <c r="F3219" s="4"/>
      <c r="G3219" s="4"/>
      <c r="H3219" s="4"/>
      <c r="I3219" s="18" t="s">
        <v>2473</v>
      </c>
      <c r="J3219" s="18" t="s">
        <v>2473</v>
      </c>
      <c r="K3219" s="18" t="s">
        <v>2473</v>
      </c>
      <c r="L3219" s="18" t="s">
        <v>2335</v>
      </c>
      <c r="AU3219" s="6"/>
      <c r="AV3219" s="6" t="str">
        <f t="shared" si="66"/>
        <v/>
      </c>
    </row>
    <row r="3220" spans="1:48" ht="14.65" thickBot="1" x14ac:dyDescent="0.5">
      <c r="A3220" s="35" t="s">
        <v>2187</v>
      </c>
      <c r="B3220" s="3" t="s">
        <v>2188</v>
      </c>
      <c r="C3220" s="4"/>
      <c r="D3220" s="4"/>
      <c r="E3220" s="4"/>
      <c r="F3220" s="4"/>
      <c r="G3220" s="4"/>
      <c r="H3220" s="4"/>
      <c r="I3220" s="18" t="s">
        <v>2473</v>
      </c>
      <c r="J3220" s="18" t="s">
        <v>2473</v>
      </c>
      <c r="K3220" s="18" t="s">
        <v>2473</v>
      </c>
      <c r="L3220" s="18" t="s">
        <v>2335</v>
      </c>
      <c r="AU3220" s="6"/>
      <c r="AV3220" s="6" t="str">
        <f t="shared" si="66"/>
        <v/>
      </c>
    </row>
    <row r="3221" spans="1:48" ht="14.65" thickBot="1" x14ac:dyDescent="0.5">
      <c r="A3221" s="35" t="s">
        <v>2189</v>
      </c>
      <c r="B3221" s="3" t="s">
        <v>2190</v>
      </c>
      <c r="C3221" s="4"/>
      <c r="D3221" s="4"/>
      <c r="E3221" s="4"/>
      <c r="F3221" s="4"/>
      <c r="G3221" s="4"/>
      <c r="H3221" s="4"/>
      <c r="I3221" s="18" t="s">
        <v>2473</v>
      </c>
      <c r="J3221" s="18" t="s">
        <v>2473</v>
      </c>
      <c r="K3221" s="18" t="s">
        <v>2473</v>
      </c>
      <c r="L3221" s="18" t="s">
        <v>2335</v>
      </c>
      <c r="AU3221" s="6"/>
      <c r="AV3221" s="6" t="str">
        <f t="shared" si="66"/>
        <v/>
      </c>
    </row>
    <row r="3222" spans="1:48" ht="14.65" thickBot="1" x14ac:dyDescent="0.5">
      <c r="A3222" s="35" t="s">
        <v>424</v>
      </c>
      <c r="B3222" s="3" t="s">
        <v>2191</v>
      </c>
      <c r="C3222" s="4"/>
      <c r="D3222" s="4"/>
      <c r="E3222" s="4"/>
      <c r="F3222" s="4"/>
      <c r="G3222" s="4"/>
      <c r="H3222" s="4"/>
      <c r="I3222" s="18" t="s">
        <v>2473</v>
      </c>
      <c r="J3222" s="18" t="s">
        <v>2473</v>
      </c>
      <c r="K3222" s="18" t="s">
        <v>2473</v>
      </c>
      <c r="L3222" s="18" t="s">
        <v>2335</v>
      </c>
      <c r="AU3222" s="6"/>
      <c r="AV3222" s="6" t="str">
        <f t="shared" si="66"/>
        <v/>
      </c>
    </row>
    <row r="3223" spans="1:48" ht="14.65" thickBot="1" x14ac:dyDescent="0.5">
      <c r="A3223" s="35" t="s">
        <v>59</v>
      </c>
      <c r="B3223" s="3" t="s">
        <v>60</v>
      </c>
      <c r="C3223" s="4"/>
      <c r="D3223" s="4"/>
      <c r="E3223" s="4"/>
      <c r="F3223" s="4"/>
      <c r="G3223" s="4"/>
      <c r="H3223" s="4"/>
      <c r="I3223" s="18" t="s">
        <v>2473</v>
      </c>
      <c r="J3223" s="18" t="s">
        <v>2473</v>
      </c>
      <c r="K3223" s="18" t="s">
        <v>2473</v>
      </c>
      <c r="L3223" s="18" t="s">
        <v>2335</v>
      </c>
      <c r="AU3223" s="6"/>
      <c r="AV3223" s="6" t="str">
        <f t="shared" si="66"/>
        <v/>
      </c>
    </row>
    <row r="3224" spans="1:48" ht="36" thickBot="1" x14ac:dyDescent="0.5">
      <c r="A3224" s="35" t="s">
        <v>2051</v>
      </c>
      <c r="B3224" s="3" t="s">
        <v>2192</v>
      </c>
      <c r="C3224" s="4" t="s">
        <v>10</v>
      </c>
      <c r="D3224" s="4"/>
      <c r="E3224" s="4" t="s">
        <v>10</v>
      </c>
      <c r="F3224" s="4"/>
      <c r="G3224" s="4" t="s">
        <v>10</v>
      </c>
      <c r="H3224" s="4"/>
      <c r="I3224" s="18" t="s">
        <v>2473</v>
      </c>
      <c r="J3224" s="18" t="s">
        <v>2473</v>
      </c>
      <c r="K3224" s="18" t="s">
        <v>2473</v>
      </c>
      <c r="L3224" s="18" t="s">
        <v>2334</v>
      </c>
      <c r="Q3224" s="8" t="s">
        <v>3567</v>
      </c>
      <c r="R3224" s="122" t="s">
        <v>3529</v>
      </c>
      <c r="S3224" s="114" t="s">
        <v>4</v>
      </c>
      <c r="T3224" s="114" t="s">
        <v>686</v>
      </c>
      <c r="U3224" s="114" t="s">
        <v>3959</v>
      </c>
      <c r="V3224" s="114" t="s">
        <v>3530</v>
      </c>
      <c r="W3224" s="114" t="s">
        <v>3436</v>
      </c>
      <c r="X3224" s="114" t="s">
        <v>13</v>
      </c>
      <c r="Y3224" s="149"/>
      <c r="Z3224" s="183"/>
      <c r="AA3224" s="183"/>
      <c r="AB3224" s="183"/>
      <c r="AC3224" s="183"/>
      <c r="AD3224" s="183"/>
      <c r="AE3224" s="184"/>
      <c r="AF3224" s="184"/>
      <c r="AG3224" s="183"/>
      <c r="AH3224" s="183"/>
      <c r="AI3224" s="183"/>
      <c r="AJ3224" s="183"/>
      <c r="AK3224" s="183"/>
      <c r="AL3224" s="183"/>
      <c r="AM3224" s="183"/>
      <c r="AN3224" s="131"/>
      <c r="AO3224" s="131"/>
      <c r="AP3224" s="131"/>
      <c r="AQ3224" s="131"/>
      <c r="AR3224" s="288"/>
      <c r="AS3224" s="259"/>
      <c r="AT3224" s="183"/>
      <c r="AU3224" s="6"/>
      <c r="AV3224" s="6" t="str">
        <f t="shared" si="66"/>
        <v>OK</v>
      </c>
    </row>
    <row r="3225" spans="1:48" ht="36" thickBot="1" x14ac:dyDescent="0.5">
      <c r="A3225" s="35" t="s">
        <v>2193</v>
      </c>
      <c r="B3225" s="3" t="s">
        <v>2194</v>
      </c>
      <c r="C3225" s="4" t="s">
        <v>10</v>
      </c>
      <c r="D3225" s="4"/>
      <c r="E3225" s="4" t="s">
        <v>10</v>
      </c>
      <c r="F3225" s="4"/>
      <c r="G3225" s="4" t="s">
        <v>10</v>
      </c>
      <c r="H3225" s="4"/>
      <c r="I3225" s="18" t="s">
        <v>2473</v>
      </c>
      <c r="J3225" s="18" t="s">
        <v>2473</v>
      </c>
      <c r="K3225" s="18" t="s">
        <v>2473</v>
      </c>
      <c r="L3225" s="18" t="s">
        <v>2334</v>
      </c>
      <c r="Q3225" s="8" t="s">
        <v>3567</v>
      </c>
      <c r="R3225" s="122" t="s">
        <v>3435</v>
      </c>
      <c r="S3225" s="114" t="s">
        <v>3443</v>
      </c>
      <c r="T3225" s="114" t="s">
        <v>3574</v>
      </c>
      <c r="U3225" s="114" t="s">
        <v>3525</v>
      </c>
      <c r="V3225" s="114"/>
      <c r="W3225" s="114" t="s">
        <v>3436</v>
      </c>
      <c r="X3225" s="114" t="s">
        <v>13</v>
      </c>
      <c r="Y3225" s="149"/>
      <c r="Z3225" s="183"/>
      <c r="AA3225" s="183"/>
      <c r="AB3225" s="183"/>
      <c r="AC3225" s="183"/>
      <c r="AD3225" s="183"/>
      <c r="AE3225" s="184"/>
      <c r="AF3225" s="184"/>
      <c r="AG3225" s="183"/>
      <c r="AH3225" s="183"/>
      <c r="AI3225" s="183"/>
      <c r="AJ3225" s="183"/>
      <c r="AK3225" s="183"/>
      <c r="AL3225" s="183"/>
      <c r="AM3225" s="183"/>
      <c r="AN3225" s="131"/>
      <c r="AO3225" s="131"/>
      <c r="AP3225" s="131"/>
      <c r="AQ3225" s="131"/>
      <c r="AR3225" s="288"/>
      <c r="AS3225" s="259"/>
      <c r="AT3225" s="183"/>
      <c r="AU3225" s="6"/>
      <c r="AV3225" s="6" t="str">
        <f t="shared" si="66"/>
        <v>OK</v>
      </c>
    </row>
    <row r="3226" spans="1:48" ht="23.65" thickBot="1" x14ac:dyDescent="0.5">
      <c r="A3226" s="35" t="s">
        <v>2079</v>
      </c>
      <c r="B3226" s="3" t="s">
        <v>2195</v>
      </c>
      <c r="C3226" s="4"/>
      <c r="D3226" s="4"/>
      <c r="E3226" s="4"/>
      <c r="F3226" s="4"/>
      <c r="G3226" s="4"/>
      <c r="H3226" s="4"/>
      <c r="I3226" s="18" t="s">
        <v>2473</v>
      </c>
      <c r="J3226" s="18" t="s">
        <v>2473</v>
      </c>
      <c r="K3226" s="18" t="s">
        <v>2473</v>
      </c>
      <c r="L3226" s="18" t="s">
        <v>2335</v>
      </c>
      <c r="AU3226" s="6"/>
      <c r="AV3226" s="6" t="str">
        <f t="shared" si="66"/>
        <v/>
      </c>
    </row>
    <row r="3227" spans="1:48" ht="14.65" thickBot="1" x14ac:dyDescent="0.5">
      <c r="A3227" s="35" t="s">
        <v>43</v>
      </c>
      <c r="B3227" s="3" t="s">
        <v>84</v>
      </c>
      <c r="C3227" s="4"/>
      <c r="D3227" s="4"/>
      <c r="E3227" s="4"/>
      <c r="F3227" s="4"/>
      <c r="G3227" s="4"/>
      <c r="H3227" s="4"/>
      <c r="I3227" s="18" t="s">
        <v>2473</v>
      </c>
      <c r="J3227" s="18" t="s">
        <v>2473</v>
      </c>
      <c r="K3227" s="18" t="s">
        <v>2473</v>
      </c>
      <c r="L3227" s="18" t="s">
        <v>2335</v>
      </c>
      <c r="AU3227" s="6"/>
      <c r="AV3227" s="6" t="str">
        <f t="shared" si="66"/>
        <v/>
      </c>
    </row>
    <row r="3228" spans="1:48" ht="36" thickBot="1" x14ac:dyDescent="0.5">
      <c r="A3228" s="35" t="s">
        <v>2143</v>
      </c>
      <c r="B3228" s="3" t="s">
        <v>2196</v>
      </c>
      <c r="C3228" s="4" t="s">
        <v>10</v>
      </c>
      <c r="D3228" s="4"/>
      <c r="E3228" s="4" t="s">
        <v>10</v>
      </c>
      <c r="F3228" s="4"/>
      <c r="G3228" s="4" t="s">
        <v>10</v>
      </c>
      <c r="H3228" s="4"/>
      <c r="I3228" s="18" t="s">
        <v>2473</v>
      </c>
      <c r="J3228" s="18" t="s">
        <v>2473</v>
      </c>
      <c r="K3228" s="18" t="s">
        <v>2473</v>
      </c>
      <c r="L3228" s="18" t="s">
        <v>2334</v>
      </c>
      <c r="Q3228" s="8" t="s">
        <v>3567</v>
      </c>
      <c r="R3228" s="122" t="s">
        <v>3435</v>
      </c>
      <c r="S3228" s="114" t="s">
        <v>3443</v>
      </c>
      <c r="T3228" s="114" t="s">
        <v>625</v>
      </c>
      <c r="U3228" s="114" t="s">
        <v>3524</v>
      </c>
      <c r="V3228" s="114"/>
      <c r="W3228" s="114" t="s">
        <v>3436</v>
      </c>
      <c r="X3228" s="114" t="s">
        <v>13</v>
      </c>
      <c r="Y3228" s="149"/>
      <c r="Z3228" s="183"/>
      <c r="AA3228" s="183"/>
      <c r="AB3228" s="183"/>
      <c r="AC3228" s="183"/>
      <c r="AD3228" s="183"/>
      <c r="AE3228" s="184"/>
      <c r="AF3228" s="184"/>
      <c r="AG3228" s="183"/>
      <c r="AH3228" s="183"/>
      <c r="AI3228" s="183"/>
      <c r="AJ3228" s="183"/>
      <c r="AK3228" s="183"/>
      <c r="AL3228" s="183"/>
      <c r="AM3228" s="183"/>
      <c r="AN3228" s="131"/>
      <c r="AO3228" s="131"/>
      <c r="AP3228" s="131"/>
      <c r="AQ3228" s="131"/>
      <c r="AR3228" s="288"/>
      <c r="AS3228" s="259"/>
      <c r="AT3228" s="183"/>
      <c r="AU3228" s="6"/>
      <c r="AV3228" s="6" t="str">
        <f t="shared" si="66"/>
        <v>OK</v>
      </c>
    </row>
    <row r="3229" spans="1:48" ht="105.75" thickBot="1" x14ac:dyDescent="0.5">
      <c r="A3229" s="35" t="s">
        <v>69</v>
      </c>
      <c r="B3229" s="3" t="s">
        <v>3968</v>
      </c>
      <c r="C3229" s="4" t="s">
        <v>10</v>
      </c>
      <c r="D3229" s="4"/>
      <c r="E3229" s="4" t="s">
        <v>10</v>
      </c>
      <c r="F3229" s="4"/>
      <c r="G3229" s="4" t="s">
        <v>10</v>
      </c>
      <c r="H3229" s="4"/>
      <c r="I3229" s="18" t="s">
        <v>2473</v>
      </c>
      <c r="J3229" s="18" t="s">
        <v>2473</v>
      </c>
      <c r="K3229" s="18" t="s">
        <v>2473</v>
      </c>
      <c r="L3229" s="18" t="s">
        <v>2334</v>
      </c>
      <c r="AS3229" s="206" t="s">
        <v>5861</v>
      </c>
      <c r="AU3229" s="6"/>
      <c r="AV3229" s="6" t="str">
        <f t="shared" si="66"/>
        <v/>
      </c>
    </row>
    <row r="3230" spans="1:48" ht="47.65" thickBot="1" x14ac:dyDescent="0.5">
      <c r="A3230" s="35" t="s">
        <v>5358</v>
      </c>
      <c r="B3230" s="3" t="s">
        <v>5352</v>
      </c>
      <c r="C3230" s="4" t="s">
        <v>10</v>
      </c>
      <c r="D3230" s="4"/>
      <c r="E3230" s="4" t="s">
        <v>10</v>
      </c>
      <c r="F3230" s="4"/>
      <c r="G3230" s="4" t="s">
        <v>10</v>
      </c>
      <c r="H3230" s="4"/>
      <c r="I3230" s="18" t="s">
        <v>2473</v>
      </c>
      <c r="J3230" s="18" t="s">
        <v>2473</v>
      </c>
      <c r="K3230" s="18" t="s">
        <v>2473</v>
      </c>
      <c r="Q3230" s="131"/>
      <c r="R3230" s="131"/>
      <c r="S3230" s="131"/>
      <c r="T3230" s="131"/>
      <c r="U3230" s="131"/>
      <c r="V3230" s="131"/>
      <c r="W3230" s="131"/>
      <c r="X3230" s="131"/>
      <c r="AS3230" s="139" t="s">
        <v>5355</v>
      </c>
      <c r="AU3230" s="6"/>
      <c r="AV3230" s="6"/>
    </row>
    <row r="3231" spans="1:48" ht="82.5" thickBot="1" x14ac:dyDescent="0.5">
      <c r="A3231" s="35" t="s">
        <v>5359</v>
      </c>
      <c r="B3231" s="3" t="s">
        <v>5353</v>
      </c>
      <c r="C3231" s="4"/>
      <c r="D3231" s="4"/>
      <c r="E3231" s="4"/>
      <c r="F3231" s="4"/>
      <c r="G3231" s="4"/>
      <c r="H3231" s="4"/>
      <c r="I3231" s="18" t="s">
        <v>2473</v>
      </c>
      <c r="J3231" s="18" t="s">
        <v>2473</v>
      </c>
      <c r="K3231" s="18" t="s">
        <v>2473</v>
      </c>
      <c r="Q3231" s="131"/>
      <c r="R3231" s="131"/>
      <c r="S3231" s="131"/>
      <c r="T3231" s="131"/>
      <c r="U3231" s="131"/>
      <c r="V3231" s="131"/>
      <c r="W3231" s="131"/>
      <c r="X3231" s="131"/>
      <c r="AS3231" s="139" t="s">
        <v>5356</v>
      </c>
      <c r="AU3231" s="6"/>
      <c r="AV3231" s="6"/>
    </row>
    <row r="3232" spans="1:48" ht="36" thickBot="1" x14ac:dyDescent="0.5">
      <c r="A3232" s="35" t="s">
        <v>2145</v>
      </c>
      <c r="B3232" s="3" t="s">
        <v>2146</v>
      </c>
      <c r="C3232" s="4" t="s">
        <v>10</v>
      </c>
      <c r="D3232" s="4"/>
      <c r="E3232" s="4" t="s">
        <v>10</v>
      </c>
      <c r="F3232" s="4"/>
      <c r="G3232" s="4" t="s">
        <v>10</v>
      </c>
      <c r="H3232" s="4"/>
      <c r="I3232" s="18" t="s">
        <v>2473</v>
      </c>
      <c r="J3232" s="18" t="s">
        <v>2473</v>
      </c>
      <c r="K3232" s="18" t="s">
        <v>2473</v>
      </c>
      <c r="L3232" s="18" t="s">
        <v>2334</v>
      </c>
      <c r="Q3232" s="8" t="s">
        <v>3567</v>
      </c>
      <c r="R3232" s="122" t="s">
        <v>3435</v>
      </c>
      <c r="S3232" s="114" t="s">
        <v>3443</v>
      </c>
      <c r="T3232" s="114" t="s">
        <v>3571</v>
      </c>
      <c r="U3232" s="114" t="s">
        <v>3525</v>
      </c>
      <c r="V3232" s="114"/>
      <c r="W3232" s="114" t="s">
        <v>3436</v>
      </c>
      <c r="X3232" s="114" t="s">
        <v>13</v>
      </c>
      <c r="Y3232" s="149"/>
      <c r="Z3232" s="183"/>
      <c r="AA3232" s="183"/>
      <c r="AB3232" s="183"/>
      <c r="AC3232" s="183"/>
      <c r="AD3232" s="183"/>
      <c r="AE3232" s="184"/>
      <c r="AF3232" s="184"/>
      <c r="AG3232" s="183"/>
      <c r="AH3232" s="183"/>
      <c r="AI3232" s="183"/>
      <c r="AJ3232" s="183"/>
      <c r="AK3232" s="183"/>
      <c r="AL3232" s="183"/>
      <c r="AM3232" s="183"/>
      <c r="AN3232" s="131"/>
      <c r="AO3232" s="131"/>
      <c r="AP3232" s="131"/>
      <c r="AQ3232" s="131"/>
      <c r="AR3232" s="288"/>
      <c r="AS3232" s="259"/>
      <c r="AT3232" s="183"/>
      <c r="AU3232" s="6"/>
      <c r="AV3232" s="6" t="str">
        <f t="shared" si="66"/>
        <v>OK</v>
      </c>
    </row>
    <row r="3233" spans="1:48" ht="36" thickBot="1" x14ac:dyDescent="0.5">
      <c r="A3233" s="35" t="s">
        <v>2147</v>
      </c>
      <c r="B3233" s="3" t="s">
        <v>2148</v>
      </c>
      <c r="C3233" s="4" t="s">
        <v>10</v>
      </c>
      <c r="D3233" s="4"/>
      <c r="E3233" s="4" t="s">
        <v>10</v>
      </c>
      <c r="F3233" s="4"/>
      <c r="G3233" s="4" t="s">
        <v>10</v>
      </c>
      <c r="H3233" s="4"/>
      <c r="I3233" s="18" t="s">
        <v>2473</v>
      </c>
      <c r="J3233" s="18" t="s">
        <v>2473</v>
      </c>
      <c r="K3233" s="18" t="s">
        <v>2473</v>
      </c>
      <c r="L3233" s="18" t="s">
        <v>2334</v>
      </c>
      <c r="Q3233" s="8" t="s">
        <v>3567</v>
      </c>
      <c r="R3233" s="122" t="s">
        <v>3435</v>
      </c>
      <c r="S3233" s="114" t="s">
        <v>3443</v>
      </c>
      <c r="T3233" s="114" t="s">
        <v>3572</v>
      </c>
      <c r="U3233" s="114" t="s">
        <v>3525</v>
      </c>
      <c r="V3233" s="114"/>
      <c r="W3233" s="114" t="s">
        <v>3436</v>
      </c>
      <c r="X3233" s="114" t="s">
        <v>13</v>
      </c>
      <c r="Y3233" s="149"/>
      <c r="Z3233" s="183"/>
      <c r="AA3233" s="183"/>
      <c r="AB3233" s="183"/>
      <c r="AC3233" s="183"/>
      <c r="AD3233" s="183"/>
      <c r="AE3233" s="184"/>
      <c r="AF3233" s="184"/>
      <c r="AG3233" s="183"/>
      <c r="AH3233" s="183"/>
      <c r="AI3233" s="183"/>
      <c r="AJ3233" s="183"/>
      <c r="AK3233" s="183"/>
      <c r="AL3233" s="183"/>
      <c r="AM3233" s="183"/>
      <c r="AN3233" s="131"/>
      <c r="AO3233" s="131"/>
      <c r="AP3233" s="131"/>
      <c r="AQ3233" s="131"/>
      <c r="AR3233" s="288"/>
      <c r="AS3233" s="259"/>
      <c r="AT3233" s="183"/>
      <c r="AU3233" s="6"/>
      <c r="AV3233" s="6" t="str">
        <f t="shared" si="66"/>
        <v>OK</v>
      </c>
    </row>
    <row r="3234" spans="1:48" ht="36" thickBot="1" x14ac:dyDescent="0.5">
      <c r="A3234" s="35" t="s">
        <v>2149</v>
      </c>
      <c r="B3234" s="3" t="s">
        <v>834</v>
      </c>
      <c r="C3234" s="4" t="s">
        <v>13</v>
      </c>
      <c r="D3234" s="4"/>
      <c r="E3234" s="4" t="s">
        <v>13</v>
      </c>
      <c r="F3234" s="4"/>
      <c r="G3234" s="4" t="s">
        <v>13</v>
      </c>
      <c r="H3234" s="4"/>
      <c r="I3234" s="18" t="s">
        <v>2473</v>
      </c>
      <c r="J3234" s="18" t="s">
        <v>2473</v>
      </c>
      <c r="K3234" s="18" t="s">
        <v>2473</v>
      </c>
      <c r="L3234" s="18" t="s">
        <v>2334</v>
      </c>
      <c r="Q3234" s="8" t="s">
        <v>3567</v>
      </c>
      <c r="R3234" s="122" t="s">
        <v>3435</v>
      </c>
      <c r="S3234" s="114" t="s">
        <v>3443</v>
      </c>
      <c r="T3234" s="114" t="s">
        <v>3573</v>
      </c>
      <c r="U3234" s="114" t="s">
        <v>3525</v>
      </c>
      <c r="V3234" s="114"/>
      <c r="W3234" s="114" t="s">
        <v>3436</v>
      </c>
      <c r="X3234" s="114" t="s">
        <v>13</v>
      </c>
      <c r="Y3234" s="149"/>
      <c r="Z3234" s="183"/>
      <c r="AA3234" s="183"/>
      <c r="AB3234" s="183"/>
      <c r="AC3234" s="183"/>
      <c r="AD3234" s="183"/>
      <c r="AE3234" s="184"/>
      <c r="AF3234" s="184"/>
      <c r="AG3234" s="183"/>
      <c r="AH3234" s="183"/>
      <c r="AI3234" s="183"/>
      <c r="AJ3234" s="183"/>
      <c r="AK3234" s="183"/>
      <c r="AL3234" s="183"/>
      <c r="AM3234" s="183"/>
      <c r="AN3234" s="131"/>
      <c r="AO3234" s="131"/>
      <c r="AP3234" s="131"/>
      <c r="AQ3234" s="131"/>
      <c r="AR3234" s="288"/>
      <c r="AS3234" s="259"/>
      <c r="AT3234" s="183"/>
      <c r="AU3234" s="140" t="s">
        <v>4160</v>
      </c>
      <c r="AV3234" s="6" t="str">
        <f t="shared" si="66"/>
        <v>OK</v>
      </c>
    </row>
    <row r="3235" spans="1:48" x14ac:dyDescent="0.45">
      <c r="A3235" s="33" t="s">
        <v>2197</v>
      </c>
      <c r="I3235" s="18" t="s">
        <v>2473</v>
      </c>
      <c r="J3235" s="18" t="s">
        <v>2473</v>
      </c>
      <c r="K3235" s="18" t="s">
        <v>2473</v>
      </c>
      <c r="L3235" s="18" t="s">
        <v>2335</v>
      </c>
      <c r="AU3235" s="6"/>
      <c r="AV3235" s="6" t="str">
        <f t="shared" si="66"/>
        <v/>
      </c>
    </row>
    <row r="3236" spans="1:48" x14ac:dyDescent="0.45">
      <c r="A3236" s="34" t="s">
        <v>2198</v>
      </c>
      <c r="I3236" s="18" t="s">
        <v>2473</v>
      </c>
      <c r="J3236" s="18" t="s">
        <v>2473</v>
      </c>
      <c r="K3236" s="18" t="s">
        <v>2473</v>
      </c>
      <c r="L3236" s="18" t="s">
        <v>2335</v>
      </c>
      <c r="AU3236" s="6"/>
      <c r="AV3236" s="6" t="str">
        <f t="shared" si="66"/>
        <v/>
      </c>
    </row>
    <row r="3237" spans="1:48" s="79" customFormat="1" x14ac:dyDescent="0.45">
      <c r="A3237" s="75"/>
      <c r="B3237" s="76"/>
      <c r="C3237" s="77"/>
      <c r="D3237" s="77"/>
      <c r="E3237" s="77"/>
      <c r="F3237" s="77"/>
      <c r="G3237" s="77"/>
      <c r="H3237" s="77"/>
      <c r="I3237" s="77"/>
      <c r="J3237" s="77"/>
      <c r="K3237" s="77"/>
      <c r="L3237" s="77"/>
      <c r="M3237" s="148"/>
      <c r="N3237" s="78"/>
      <c r="O3237" s="78"/>
      <c r="P3237" s="78"/>
      <c r="Q3237" s="78"/>
      <c r="R3237" s="78"/>
      <c r="S3237" s="78"/>
      <c r="T3237" s="78"/>
      <c r="U3237" s="78"/>
      <c r="V3237" s="78"/>
      <c r="W3237" s="78"/>
      <c r="X3237" s="78"/>
      <c r="Y3237" s="148"/>
      <c r="Z3237" s="78"/>
      <c r="AA3237" s="78"/>
      <c r="AB3237" s="78"/>
      <c r="AC3237" s="78"/>
      <c r="AD3237" s="78"/>
      <c r="AE3237" s="156"/>
      <c r="AF3237" s="156"/>
      <c r="AG3237" s="78"/>
      <c r="AH3237" s="78"/>
      <c r="AI3237" s="78"/>
      <c r="AJ3237" s="78"/>
      <c r="AK3237" s="78"/>
      <c r="AL3237" s="78"/>
      <c r="AM3237" s="78"/>
      <c r="AN3237" s="78"/>
      <c r="AO3237" s="78"/>
      <c r="AP3237" s="78"/>
      <c r="AQ3237" s="78"/>
      <c r="AR3237" s="286"/>
      <c r="AS3237" s="78"/>
      <c r="AT3237" s="78"/>
      <c r="AU3237" s="8"/>
      <c r="AV3237" s="6" t="str">
        <f t="shared" si="66"/>
        <v/>
      </c>
    </row>
    <row r="3238" spans="1:48" x14ac:dyDescent="0.45">
      <c r="A3238" s="28" t="s">
        <v>2463</v>
      </c>
      <c r="I3238" s="18" t="s">
        <v>2473</v>
      </c>
      <c r="J3238" s="18" t="s">
        <v>2473</v>
      </c>
      <c r="K3238" s="18" t="s">
        <v>2473</v>
      </c>
      <c r="L3238" s="18" t="s">
        <v>2335</v>
      </c>
      <c r="AU3238" s="6"/>
      <c r="AV3238" s="6" t="str">
        <f t="shared" si="66"/>
        <v/>
      </c>
    </row>
    <row r="3239" spans="1:48" x14ac:dyDescent="0.45">
      <c r="A3239" s="27" t="s">
        <v>2464</v>
      </c>
      <c r="I3239" s="18" t="s">
        <v>2473</v>
      </c>
      <c r="J3239" s="18" t="s">
        <v>2473</v>
      </c>
      <c r="K3239" s="18" t="s">
        <v>2473</v>
      </c>
      <c r="L3239" s="18" t="s">
        <v>2335</v>
      </c>
      <c r="AU3239" s="6"/>
      <c r="AV3239" s="6" t="str">
        <f t="shared" si="66"/>
        <v/>
      </c>
    </row>
    <row r="3240" spans="1:48" x14ac:dyDescent="0.45">
      <c r="A3240" s="323" t="s">
        <v>2547</v>
      </c>
      <c r="B3240" s="324"/>
      <c r="C3240" s="324"/>
      <c r="D3240" s="324"/>
      <c r="E3240" s="324"/>
      <c r="F3240" s="324"/>
      <c r="G3240" s="101"/>
      <c r="H3240" s="101"/>
      <c r="I3240" s="18" t="s">
        <v>2473</v>
      </c>
      <c r="J3240" s="18" t="s">
        <v>2473</v>
      </c>
      <c r="K3240" s="18" t="s">
        <v>2473</v>
      </c>
      <c r="L3240" s="18" t="s">
        <v>2335</v>
      </c>
      <c r="AU3240" s="8"/>
      <c r="AV3240" s="6" t="str">
        <f t="shared" si="66"/>
        <v/>
      </c>
    </row>
    <row r="3241" spans="1:48" ht="14.65" thickBot="1" x14ac:dyDescent="0.5">
      <c r="A3241" s="28" t="s">
        <v>2199</v>
      </c>
      <c r="I3241" s="18" t="s">
        <v>2473</v>
      </c>
      <c r="J3241" s="18" t="s">
        <v>2473</v>
      </c>
      <c r="K3241" s="18" t="s">
        <v>2473</v>
      </c>
      <c r="L3241" s="18" t="s">
        <v>2335</v>
      </c>
      <c r="AU3241" s="8"/>
      <c r="AV3241" s="6" t="str">
        <f t="shared" ref="AV3241:AV3304" si="67">IF(A3241&lt;&gt;"",IF(T3241&lt;&gt;"",IF(LEFT(R3241,3)="Has",IF(TRIM(A3241)&lt;&gt;T3241,"ERROR","OK"),""),""),"")</f>
        <v/>
      </c>
    </row>
    <row r="3242" spans="1:48" ht="14.65" thickBot="1" x14ac:dyDescent="0.5">
      <c r="A3242" s="309" t="s">
        <v>2200</v>
      </c>
      <c r="B3242" s="310"/>
      <c r="C3242" s="301" t="s">
        <v>1</v>
      </c>
      <c r="D3242" s="319"/>
      <c r="E3242" s="319"/>
      <c r="F3242" s="302"/>
      <c r="G3242" s="102"/>
      <c r="H3242" s="102"/>
      <c r="I3242" s="18" t="s">
        <v>2473</v>
      </c>
      <c r="J3242" s="18" t="s">
        <v>2473</v>
      </c>
      <c r="K3242" s="18" t="s">
        <v>2473</v>
      </c>
      <c r="L3242" s="18" t="s">
        <v>2335</v>
      </c>
      <c r="AU3242" s="8"/>
      <c r="AV3242" s="6" t="str">
        <f t="shared" si="67"/>
        <v/>
      </c>
    </row>
    <row r="3243" spans="1:48" ht="14.65" thickBot="1" x14ac:dyDescent="0.5">
      <c r="A3243" s="311"/>
      <c r="B3243" s="312"/>
      <c r="C3243" s="301" t="s">
        <v>2</v>
      </c>
      <c r="D3243" s="302"/>
      <c r="E3243" s="301" t="s">
        <v>3</v>
      </c>
      <c r="F3243" s="302"/>
      <c r="G3243" s="301" t="s">
        <v>2896</v>
      </c>
      <c r="H3243" s="302"/>
      <c r="I3243" s="18" t="s">
        <v>2473</v>
      </c>
      <c r="J3243" s="18" t="s">
        <v>2473</v>
      </c>
      <c r="K3243" s="18" t="s">
        <v>2473</v>
      </c>
      <c r="L3243" s="18" t="s">
        <v>2335</v>
      </c>
      <c r="AU3243" s="6"/>
      <c r="AV3243" s="6" t="str">
        <f t="shared" si="67"/>
        <v/>
      </c>
    </row>
    <row r="3244" spans="1:48" ht="14.65" thickBot="1" x14ac:dyDescent="0.5">
      <c r="A3244" s="30" t="s">
        <v>4</v>
      </c>
      <c r="B3244" s="59" t="s">
        <v>5</v>
      </c>
      <c r="C3244" s="7" t="s">
        <v>6</v>
      </c>
      <c r="D3244" s="7" t="s">
        <v>7</v>
      </c>
      <c r="E3244" s="7" t="s">
        <v>6</v>
      </c>
      <c r="F3244" s="7" t="s">
        <v>7</v>
      </c>
      <c r="G3244" s="7" t="s">
        <v>6</v>
      </c>
      <c r="H3244" s="7" t="s">
        <v>7</v>
      </c>
      <c r="I3244" s="18" t="s">
        <v>2473</v>
      </c>
      <c r="J3244" s="18" t="s">
        <v>2473</v>
      </c>
      <c r="K3244" s="18" t="s">
        <v>2473</v>
      </c>
      <c r="L3244" s="18" t="s">
        <v>2335</v>
      </c>
      <c r="AU3244" s="6"/>
      <c r="AV3244" s="6" t="str">
        <f t="shared" si="67"/>
        <v/>
      </c>
    </row>
    <row r="3245" spans="1:48" ht="14.65" thickBot="1" x14ac:dyDescent="0.5">
      <c r="A3245" s="36" t="s">
        <v>2201</v>
      </c>
      <c r="B3245" s="3" t="s">
        <v>2202</v>
      </c>
      <c r="C3245" s="4"/>
      <c r="D3245" s="4"/>
      <c r="E3245" s="4"/>
      <c r="F3245" s="4"/>
      <c r="G3245" s="4"/>
      <c r="H3245" s="4"/>
      <c r="I3245" s="18" t="s">
        <v>2473</v>
      </c>
      <c r="J3245" s="18" t="s">
        <v>2473</v>
      </c>
      <c r="K3245" s="18" t="s">
        <v>2473</v>
      </c>
      <c r="L3245" s="18" t="s">
        <v>2336</v>
      </c>
      <c r="AU3245" s="6"/>
      <c r="AV3245" s="6" t="str">
        <f t="shared" si="67"/>
        <v/>
      </c>
    </row>
    <row r="3246" spans="1:48" ht="23.65" thickBot="1" x14ac:dyDescent="0.5">
      <c r="A3246" s="36" t="s">
        <v>2203</v>
      </c>
      <c r="B3246" s="3" t="s">
        <v>2204</v>
      </c>
      <c r="C3246" s="4"/>
      <c r="D3246" s="4"/>
      <c r="E3246" s="4"/>
      <c r="F3246" s="4"/>
      <c r="G3246" s="4"/>
      <c r="H3246" s="4"/>
      <c r="I3246" s="18" t="s">
        <v>2473</v>
      </c>
      <c r="J3246" s="18" t="s">
        <v>2473</v>
      </c>
      <c r="K3246" s="18" t="s">
        <v>2473</v>
      </c>
      <c r="L3246" s="18" t="s">
        <v>2336</v>
      </c>
      <c r="AU3246" s="6"/>
      <c r="AV3246" s="6" t="str">
        <f t="shared" si="67"/>
        <v/>
      </c>
    </row>
    <row r="3247" spans="1:48" s="79" customFormat="1" x14ac:dyDescent="0.45">
      <c r="A3247" s="75"/>
      <c r="B3247" s="76"/>
      <c r="C3247" s="77"/>
      <c r="D3247" s="77"/>
      <c r="E3247" s="77"/>
      <c r="F3247" s="77"/>
      <c r="G3247" s="77"/>
      <c r="H3247" s="77"/>
      <c r="I3247" s="77"/>
      <c r="J3247" s="77"/>
      <c r="K3247" s="77"/>
      <c r="L3247" s="77"/>
      <c r="M3247" s="148"/>
      <c r="N3247" s="78"/>
      <c r="O3247" s="78"/>
      <c r="P3247" s="78"/>
      <c r="Q3247" s="78"/>
      <c r="R3247" s="78"/>
      <c r="S3247" s="78"/>
      <c r="T3247" s="78"/>
      <c r="U3247" s="78"/>
      <c r="V3247" s="78"/>
      <c r="W3247" s="78"/>
      <c r="X3247" s="78"/>
      <c r="Y3247" s="148"/>
      <c r="Z3247" s="78"/>
      <c r="AA3247" s="78"/>
      <c r="AB3247" s="78"/>
      <c r="AC3247" s="78"/>
      <c r="AD3247" s="78"/>
      <c r="AE3247" s="156"/>
      <c r="AF3247" s="156"/>
      <c r="AG3247" s="78"/>
      <c r="AH3247" s="78"/>
      <c r="AI3247" s="78"/>
      <c r="AJ3247" s="78"/>
      <c r="AK3247" s="78"/>
      <c r="AL3247" s="78"/>
      <c r="AM3247" s="78"/>
      <c r="AN3247" s="78"/>
      <c r="AO3247" s="78"/>
      <c r="AP3247" s="78"/>
      <c r="AQ3247" s="78"/>
      <c r="AR3247" s="286"/>
      <c r="AS3247" s="78"/>
      <c r="AT3247" s="78"/>
      <c r="AU3247" s="8"/>
      <c r="AV3247" s="6" t="str">
        <f t="shared" si="67"/>
        <v/>
      </c>
    </row>
    <row r="3248" spans="1:48" x14ac:dyDescent="0.45">
      <c r="A3248" s="33" t="s">
        <v>2203</v>
      </c>
      <c r="I3248" s="18" t="s">
        <v>2473</v>
      </c>
      <c r="J3248" s="18" t="s">
        <v>2473</v>
      </c>
      <c r="K3248" s="18" t="s">
        <v>2473</v>
      </c>
      <c r="L3248" s="18" t="s">
        <v>2335</v>
      </c>
      <c r="AU3248" s="6"/>
      <c r="AV3248" s="6" t="str">
        <f t="shared" si="67"/>
        <v/>
      </c>
    </row>
    <row r="3249" spans="1:48" x14ac:dyDescent="0.45">
      <c r="A3249" s="323" t="s">
        <v>2548</v>
      </c>
      <c r="B3249" s="324"/>
      <c r="C3249" s="324"/>
      <c r="D3249" s="324"/>
      <c r="E3249" s="324"/>
      <c r="F3249" s="324"/>
      <c r="G3249" s="101"/>
      <c r="H3249" s="101"/>
      <c r="I3249" s="18" t="s">
        <v>2473</v>
      </c>
      <c r="J3249" s="18" t="s">
        <v>2473</v>
      </c>
      <c r="K3249" s="18" t="s">
        <v>2473</v>
      </c>
      <c r="L3249" s="18" t="s">
        <v>2335</v>
      </c>
      <c r="AU3249" s="6"/>
      <c r="AV3249" s="6" t="str">
        <f t="shared" si="67"/>
        <v/>
      </c>
    </row>
    <row r="3250" spans="1:48" ht="14.65" thickBot="1" x14ac:dyDescent="0.5">
      <c r="A3250" s="28" t="s">
        <v>2205</v>
      </c>
      <c r="I3250" s="18" t="s">
        <v>2473</v>
      </c>
      <c r="J3250" s="18" t="s">
        <v>2473</v>
      </c>
      <c r="K3250" s="18" t="s">
        <v>2473</v>
      </c>
      <c r="L3250" s="18" t="s">
        <v>2335</v>
      </c>
      <c r="AU3250" s="6"/>
      <c r="AV3250" s="6" t="str">
        <f t="shared" si="67"/>
        <v/>
      </c>
    </row>
    <row r="3251" spans="1:48" ht="14.65" thickBot="1" x14ac:dyDescent="0.5">
      <c r="A3251" s="60" t="s">
        <v>758</v>
      </c>
      <c r="B3251" s="11" t="s">
        <v>5</v>
      </c>
      <c r="I3251" s="18" t="s">
        <v>2473</v>
      </c>
      <c r="J3251" s="18" t="s">
        <v>2473</v>
      </c>
      <c r="K3251" s="18" t="s">
        <v>2473</v>
      </c>
      <c r="L3251" s="18" t="s">
        <v>2335</v>
      </c>
      <c r="AU3251" s="6"/>
      <c r="AV3251" s="6" t="str">
        <f t="shared" si="67"/>
        <v/>
      </c>
    </row>
    <row r="3252" spans="1:48" ht="14.65" thickBot="1" x14ac:dyDescent="0.5">
      <c r="A3252" s="36" t="s">
        <v>2206</v>
      </c>
      <c r="B3252" s="3" t="s">
        <v>2207</v>
      </c>
      <c r="I3252" s="18" t="s">
        <v>2473</v>
      </c>
      <c r="J3252" s="18" t="s">
        <v>2473</v>
      </c>
      <c r="K3252" s="18" t="s">
        <v>2473</v>
      </c>
      <c r="L3252" s="18" t="s">
        <v>2335</v>
      </c>
      <c r="AU3252" s="6"/>
      <c r="AV3252" s="6" t="str">
        <f t="shared" si="67"/>
        <v/>
      </c>
    </row>
    <row r="3253" spans="1:48" ht="14.65" thickBot="1" x14ac:dyDescent="0.5">
      <c r="A3253" s="36" t="s">
        <v>2208</v>
      </c>
      <c r="B3253" s="3" t="s">
        <v>2209</v>
      </c>
      <c r="I3253" s="18" t="s">
        <v>2473</v>
      </c>
      <c r="J3253" s="18" t="s">
        <v>2473</v>
      </c>
      <c r="K3253" s="18" t="s">
        <v>2473</v>
      </c>
      <c r="L3253" s="18" t="s">
        <v>2335</v>
      </c>
      <c r="AU3253" s="6"/>
      <c r="AV3253" s="6" t="str">
        <f t="shared" si="67"/>
        <v/>
      </c>
    </row>
    <row r="3254" spans="1:48" ht="14.65" thickBot="1" x14ac:dyDescent="0.5">
      <c r="A3254" s="36" t="s">
        <v>2210</v>
      </c>
      <c r="B3254" s="3" t="s">
        <v>2211</v>
      </c>
      <c r="I3254" s="18" t="s">
        <v>2473</v>
      </c>
      <c r="J3254" s="18" t="s">
        <v>2473</v>
      </c>
      <c r="K3254" s="18" t="s">
        <v>2473</v>
      </c>
      <c r="L3254" s="18" t="s">
        <v>2335</v>
      </c>
      <c r="AU3254" s="6"/>
      <c r="AV3254" s="6" t="str">
        <f t="shared" si="67"/>
        <v/>
      </c>
    </row>
    <row r="3255" spans="1:48" ht="14.65" thickBot="1" x14ac:dyDescent="0.5">
      <c r="A3255" s="36" t="s">
        <v>2212</v>
      </c>
      <c r="B3255" s="3" t="s">
        <v>2213</v>
      </c>
      <c r="I3255" s="18" t="s">
        <v>2473</v>
      </c>
      <c r="J3255" s="18" t="s">
        <v>2473</v>
      </c>
      <c r="K3255" s="18" t="s">
        <v>2473</v>
      </c>
      <c r="L3255" s="18" t="s">
        <v>2335</v>
      </c>
      <c r="AU3255" s="6"/>
      <c r="AV3255" s="6" t="str">
        <f t="shared" si="67"/>
        <v/>
      </c>
    </row>
    <row r="3256" spans="1:48" ht="14.65" thickBot="1" x14ac:dyDescent="0.5">
      <c r="A3256" s="36" t="s">
        <v>2214</v>
      </c>
      <c r="B3256" s="3" t="s">
        <v>2215</v>
      </c>
      <c r="I3256" s="18" t="s">
        <v>2473</v>
      </c>
      <c r="J3256" s="18" t="s">
        <v>2473</v>
      </c>
      <c r="K3256" s="18" t="s">
        <v>2473</v>
      </c>
      <c r="L3256" s="18" t="s">
        <v>2335</v>
      </c>
      <c r="AU3256" s="6"/>
      <c r="AV3256" s="6" t="str">
        <f t="shared" si="67"/>
        <v/>
      </c>
    </row>
    <row r="3257" spans="1:48" ht="14.65" thickBot="1" x14ac:dyDescent="0.5">
      <c r="A3257" s="36" t="s">
        <v>161</v>
      </c>
      <c r="B3257" s="3" t="s">
        <v>2216</v>
      </c>
      <c r="I3257" s="18" t="s">
        <v>2473</v>
      </c>
      <c r="J3257" s="18" t="s">
        <v>2473</v>
      </c>
      <c r="K3257" s="18" t="s">
        <v>2473</v>
      </c>
      <c r="L3257" s="18" t="s">
        <v>2335</v>
      </c>
      <c r="AU3257" s="8"/>
      <c r="AV3257" s="6" t="str">
        <f t="shared" si="67"/>
        <v/>
      </c>
    </row>
    <row r="3258" spans="1:48" ht="14.65" thickBot="1" x14ac:dyDescent="0.5">
      <c r="A3258" s="36" t="s">
        <v>2217</v>
      </c>
      <c r="B3258" s="3" t="s">
        <v>2218</v>
      </c>
      <c r="I3258" s="18" t="s">
        <v>2473</v>
      </c>
      <c r="J3258" s="18" t="s">
        <v>2473</v>
      </c>
      <c r="K3258" s="18" t="s">
        <v>2473</v>
      </c>
      <c r="L3258" s="18" t="s">
        <v>2335</v>
      </c>
      <c r="AU3258" s="8"/>
      <c r="AV3258" s="6" t="str">
        <f t="shared" si="67"/>
        <v/>
      </c>
    </row>
    <row r="3259" spans="1:48" s="79" customFormat="1" x14ac:dyDescent="0.45">
      <c r="A3259" s="75"/>
      <c r="B3259" s="76"/>
      <c r="C3259" s="77"/>
      <c r="D3259" s="77"/>
      <c r="E3259" s="77"/>
      <c r="F3259" s="77"/>
      <c r="G3259" s="77"/>
      <c r="H3259" s="77"/>
      <c r="I3259" s="77"/>
      <c r="J3259" s="77"/>
      <c r="K3259" s="77"/>
      <c r="L3259" s="77"/>
      <c r="M3259" s="148"/>
      <c r="N3259" s="78"/>
      <c r="O3259" s="78"/>
      <c r="P3259" s="78"/>
      <c r="Q3259" s="78"/>
      <c r="R3259" s="78"/>
      <c r="S3259" s="78"/>
      <c r="T3259" s="78"/>
      <c r="U3259" s="78"/>
      <c r="V3259" s="78"/>
      <c r="W3259" s="78"/>
      <c r="X3259" s="78"/>
      <c r="Y3259" s="148"/>
      <c r="Z3259" s="78"/>
      <c r="AA3259" s="78"/>
      <c r="AB3259" s="78"/>
      <c r="AC3259" s="78"/>
      <c r="AD3259" s="78"/>
      <c r="AE3259" s="156"/>
      <c r="AF3259" s="156"/>
      <c r="AG3259" s="78"/>
      <c r="AH3259" s="78"/>
      <c r="AI3259" s="78"/>
      <c r="AJ3259" s="78"/>
      <c r="AK3259" s="78"/>
      <c r="AL3259" s="78"/>
      <c r="AM3259" s="78"/>
      <c r="AN3259" s="78"/>
      <c r="AO3259" s="78"/>
      <c r="AP3259" s="78"/>
      <c r="AQ3259" s="78"/>
      <c r="AR3259" s="286"/>
      <c r="AS3259" s="78"/>
      <c r="AT3259" s="78"/>
      <c r="AU3259" s="8"/>
      <c r="AV3259" s="6" t="str">
        <f t="shared" si="67"/>
        <v/>
      </c>
    </row>
    <row r="3260" spans="1:48" x14ac:dyDescent="0.45">
      <c r="A3260" s="27" t="s">
        <v>2465</v>
      </c>
      <c r="I3260" s="18" t="s">
        <v>2473</v>
      </c>
      <c r="J3260" s="18" t="s">
        <v>2473</v>
      </c>
      <c r="K3260" s="18" t="s">
        <v>2473</v>
      </c>
      <c r="L3260" s="18" t="s">
        <v>2336</v>
      </c>
      <c r="AU3260" s="8"/>
      <c r="AV3260" s="6" t="str">
        <f t="shared" si="67"/>
        <v/>
      </c>
    </row>
    <row r="3261" spans="1:48" x14ac:dyDescent="0.45">
      <c r="A3261" s="323" t="s">
        <v>2549</v>
      </c>
      <c r="B3261" s="324"/>
      <c r="C3261" s="324"/>
      <c r="D3261" s="324"/>
      <c r="E3261" s="324"/>
      <c r="F3261" s="324"/>
      <c r="G3261" s="101"/>
      <c r="H3261" s="101"/>
      <c r="I3261" s="18" t="s">
        <v>2473</v>
      </c>
      <c r="J3261" s="18" t="s">
        <v>2473</v>
      </c>
      <c r="K3261" s="18" t="s">
        <v>2473</v>
      </c>
      <c r="L3261" s="18" t="s">
        <v>2336</v>
      </c>
      <c r="AU3261" s="8"/>
      <c r="AV3261" s="6" t="str">
        <f t="shared" si="67"/>
        <v/>
      </c>
    </row>
    <row r="3262" spans="1:48" ht="14.65" thickBot="1" x14ac:dyDescent="0.5">
      <c r="A3262" s="28" t="s">
        <v>2219</v>
      </c>
      <c r="I3262" s="18" t="s">
        <v>2473</v>
      </c>
      <c r="J3262" s="18" t="s">
        <v>2473</v>
      </c>
      <c r="K3262" s="18" t="s">
        <v>2473</v>
      </c>
      <c r="L3262" s="18" t="s">
        <v>2336</v>
      </c>
      <c r="AA3262" s="183" t="s">
        <v>2322</v>
      </c>
      <c r="AB3262" s="183" t="s">
        <v>1697</v>
      </c>
      <c r="AC3262" s="183" t="s">
        <v>5</v>
      </c>
      <c r="AU3262" s="8"/>
      <c r="AV3262" s="6" t="str">
        <f t="shared" si="67"/>
        <v/>
      </c>
    </row>
    <row r="3263" spans="1:48" ht="58.5" thickBot="1" x14ac:dyDescent="0.5">
      <c r="A3263" s="309" t="s">
        <v>2474</v>
      </c>
      <c r="B3263" s="310"/>
      <c r="C3263" s="301" t="s">
        <v>1</v>
      </c>
      <c r="D3263" s="319"/>
      <c r="E3263" s="319"/>
      <c r="F3263" s="302"/>
      <c r="G3263" s="102"/>
      <c r="H3263" s="102"/>
      <c r="I3263" s="18" t="s">
        <v>2473</v>
      </c>
      <c r="L3263" s="18" t="s">
        <v>2336</v>
      </c>
      <c r="AA3263" s="183" t="str">
        <f>LEFT($A3263,FIND(" ",$A3263)-1)</f>
        <v>AccountService</v>
      </c>
      <c r="AB3263" s="183" t="str">
        <f>MID($A3263,FIND("(",$A3263)+1,LEN($A3263)-FIND("(",$A3263)-1)</f>
        <v>1.3.1</v>
      </c>
      <c r="AC3263" s="101" t="str">
        <f>A3261</f>
        <v>The AccountService is used for managing user accounts.</v>
      </c>
      <c r="AU3263" s="8"/>
      <c r="AV3263" s="6" t="str">
        <f t="shared" si="67"/>
        <v/>
      </c>
    </row>
    <row r="3264" spans="1:48" ht="14.65" thickBot="1" x14ac:dyDescent="0.5">
      <c r="A3264" s="311"/>
      <c r="B3264" s="312"/>
      <c r="C3264" s="301" t="s">
        <v>2</v>
      </c>
      <c r="D3264" s="302"/>
      <c r="E3264" s="301" t="s">
        <v>3</v>
      </c>
      <c r="F3264" s="302"/>
      <c r="G3264" s="301" t="s">
        <v>2896</v>
      </c>
      <c r="H3264" s="302"/>
      <c r="I3264" s="18" t="s">
        <v>2473</v>
      </c>
      <c r="L3264" s="18" t="s">
        <v>2336</v>
      </c>
      <c r="AA3264" s="183" t="s">
        <v>2322</v>
      </c>
      <c r="AB3264" s="183" t="s">
        <v>1697</v>
      </c>
      <c r="AC3264" s="183" t="s">
        <v>5</v>
      </c>
      <c r="AU3264" s="6"/>
      <c r="AV3264" s="6" t="str">
        <f t="shared" si="67"/>
        <v/>
      </c>
    </row>
    <row r="3265" spans="1:48" ht="58.5" thickBot="1" x14ac:dyDescent="0.5">
      <c r="A3265" s="309" t="s">
        <v>3211</v>
      </c>
      <c r="B3265" s="310"/>
      <c r="C3265" s="301" t="s">
        <v>1</v>
      </c>
      <c r="D3265" s="319"/>
      <c r="E3265" s="319"/>
      <c r="F3265" s="302"/>
      <c r="G3265" s="102"/>
      <c r="H3265" s="102"/>
      <c r="J3265" s="18" t="s">
        <v>2473</v>
      </c>
      <c r="K3265" s="18" t="s">
        <v>2473</v>
      </c>
      <c r="L3265" s="18" t="s">
        <v>2336</v>
      </c>
      <c r="AA3265" s="183" t="str">
        <f>LEFT($A3265,FIND(" ",$A3265)-1)</f>
        <v>AccountService</v>
      </c>
      <c r="AB3265" s="183" t="str">
        <f>MID($A3265,FIND("(",$A3265)+1,LEN($A3265)-FIND("(",$A3265)-1)</f>
        <v>1.5.0</v>
      </c>
      <c r="AC3265" s="101" t="str">
        <f>AC3263</f>
        <v>The AccountService is used for managing user accounts.</v>
      </c>
      <c r="AU3265" s="8"/>
      <c r="AV3265" s="6" t="str">
        <f t="shared" si="67"/>
        <v/>
      </c>
    </row>
    <row r="3266" spans="1:48" ht="14.65" thickBot="1" x14ac:dyDescent="0.5">
      <c r="A3266" s="311"/>
      <c r="B3266" s="312"/>
      <c r="C3266" s="301" t="s">
        <v>2</v>
      </c>
      <c r="D3266" s="302"/>
      <c r="E3266" s="301" t="s">
        <v>3</v>
      </c>
      <c r="F3266" s="302"/>
      <c r="G3266" s="301" t="s">
        <v>2896</v>
      </c>
      <c r="H3266" s="302"/>
      <c r="J3266" s="18" t="s">
        <v>2473</v>
      </c>
      <c r="K3266" s="18" t="s">
        <v>2473</v>
      </c>
      <c r="L3266" s="18" t="s">
        <v>2336</v>
      </c>
      <c r="AM3266" s="8" t="str">
        <f>C3266</f>
        <v>OSM-Redfish</v>
      </c>
      <c r="AN3266" s="8" t="str">
        <f>E3266</f>
        <v>OSM-RedfishBMC</v>
      </c>
      <c r="AO3266" s="8" t="str">
        <f>G3266</f>
        <v>OSM-RedfishDCN</v>
      </c>
      <c r="AU3266" s="6"/>
      <c r="AV3266" s="6" t="str">
        <f t="shared" si="67"/>
        <v/>
      </c>
    </row>
    <row r="3267" spans="1:48" ht="14.65" thickBot="1" x14ac:dyDescent="0.5">
      <c r="A3267" s="46" t="s">
        <v>2377</v>
      </c>
      <c r="B3267" s="47"/>
      <c r="C3267" s="303" t="s">
        <v>10</v>
      </c>
      <c r="D3267" s="304"/>
      <c r="E3267" s="303" t="s">
        <v>10</v>
      </c>
      <c r="F3267" s="304"/>
      <c r="G3267" s="303" t="s">
        <v>10</v>
      </c>
      <c r="H3267" s="304"/>
      <c r="I3267" s="18" t="s">
        <v>2473</v>
      </c>
      <c r="J3267" s="18" t="s">
        <v>2473</v>
      </c>
      <c r="K3267" s="18" t="s">
        <v>2473</v>
      </c>
      <c r="L3267" s="18" t="s">
        <v>2336</v>
      </c>
      <c r="AM3267" s="8" t="str">
        <f>IF(C3267&lt;&gt;"","CRQ-P5-"&amp;(AM$2+$AP3267*$AP$3),"")</f>
        <v>CRQ-P5-1008</v>
      </c>
      <c r="AN3267" s="8" t="str">
        <f>IF(E3267&lt;&gt;"","CRQ-P5-"&amp;(AN$2+$AP3267*$AP$3),"")</f>
        <v>CRQ-P5-1308</v>
      </c>
      <c r="AO3267" s="8" t="str">
        <f>IF(G3267&lt;&gt;"","CRQ-P5-"&amp;(AO$2+$AP3267*$AP$3),"")</f>
        <v>CRQ-P5-1608</v>
      </c>
      <c r="AP3267" s="8">
        <v>2</v>
      </c>
      <c r="AU3267" s="6"/>
      <c r="AV3267" s="6" t="str">
        <f t="shared" si="67"/>
        <v/>
      </c>
    </row>
    <row r="3268" spans="1:48" ht="14.65" thickBot="1" x14ac:dyDescent="0.5">
      <c r="A3268" s="29" t="s">
        <v>3394</v>
      </c>
      <c r="B3268" s="9"/>
      <c r="C3268" s="305" t="str">
        <f>MID($A3263,FIND("(",$A3263)+1,5)</f>
        <v>1.3.1</v>
      </c>
      <c r="D3268" s="306"/>
      <c r="E3268" s="305" t="s">
        <v>3405</v>
      </c>
      <c r="F3268" s="306"/>
      <c r="G3268" s="305" t="str">
        <f>MID($A3263,FIND("(",$A3263)+1,5)</f>
        <v>1.3.1</v>
      </c>
      <c r="H3268" s="306"/>
      <c r="I3268" s="18" t="s">
        <v>2473</v>
      </c>
      <c r="J3268" s="18" t="s">
        <v>2473</v>
      </c>
      <c r="K3268" s="18" t="s">
        <v>2473</v>
      </c>
      <c r="L3268" s="18" t="s">
        <v>2336</v>
      </c>
      <c r="AU3268" s="6"/>
      <c r="AV3268" s="6" t="str">
        <f t="shared" si="67"/>
        <v/>
      </c>
    </row>
    <row r="3269" spans="1:48" ht="14.65" thickBot="1" x14ac:dyDescent="0.5">
      <c r="A3269" s="30" t="s">
        <v>4</v>
      </c>
      <c r="B3269" s="59" t="s">
        <v>5</v>
      </c>
      <c r="C3269" s="7" t="s">
        <v>6</v>
      </c>
      <c r="D3269" s="7" t="s">
        <v>7</v>
      </c>
      <c r="E3269" s="7" t="s">
        <v>6</v>
      </c>
      <c r="F3269" s="7" t="s">
        <v>7</v>
      </c>
      <c r="G3269" s="7" t="s">
        <v>6</v>
      </c>
      <c r="H3269" s="7" t="s">
        <v>7</v>
      </c>
      <c r="I3269" s="18" t="s">
        <v>2473</v>
      </c>
      <c r="J3269" s="18" t="s">
        <v>2473</v>
      </c>
      <c r="K3269" s="18" t="s">
        <v>2473</v>
      </c>
      <c r="L3269" s="18" t="s">
        <v>2336</v>
      </c>
      <c r="AU3269" s="6"/>
      <c r="AV3269" s="6" t="str">
        <f t="shared" si="67"/>
        <v/>
      </c>
    </row>
    <row r="3270" spans="1:48" ht="35.25" thickBot="1" x14ac:dyDescent="0.5">
      <c r="A3270" s="36" t="s">
        <v>2220</v>
      </c>
      <c r="B3270" s="3" t="s">
        <v>3397</v>
      </c>
      <c r="C3270" s="4" t="s">
        <v>13</v>
      </c>
      <c r="D3270" s="4" t="s">
        <v>13</v>
      </c>
      <c r="E3270" s="4" t="s">
        <v>13</v>
      </c>
      <c r="F3270" s="4" t="s">
        <v>13</v>
      </c>
      <c r="G3270" s="4" t="s">
        <v>13</v>
      </c>
      <c r="H3270" s="4" t="s">
        <v>13</v>
      </c>
      <c r="I3270" s="18" t="s">
        <v>2473</v>
      </c>
      <c r="J3270" s="18" t="s">
        <v>2473</v>
      </c>
      <c r="K3270" s="18" t="s">
        <v>2473</v>
      </c>
      <c r="L3270" s="18" t="s">
        <v>2336</v>
      </c>
      <c r="AU3270" s="6"/>
      <c r="AV3270" s="6" t="str">
        <f t="shared" si="67"/>
        <v/>
      </c>
    </row>
    <row r="3271" spans="1:48" ht="70.900000000000006" thickBot="1" x14ac:dyDescent="0.5">
      <c r="A3271" s="36" t="s">
        <v>3212</v>
      </c>
      <c r="B3271" s="3" t="s">
        <v>3213</v>
      </c>
      <c r="C3271" s="4"/>
      <c r="D3271" s="4"/>
      <c r="E3271" s="4"/>
      <c r="F3271" s="4"/>
      <c r="G3271" s="4"/>
      <c r="H3271" s="4"/>
      <c r="J3271" s="18" t="s">
        <v>2473</v>
      </c>
      <c r="K3271" s="18" t="s">
        <v>2473</v>
      </c>
      <c r="L3271" s="18" t="s">
        <v>2336</v>
      </c>
      <c r="AS3271" s="139" t="s">
        <v>5378</v>
      </c>
      <c r="AU3271" s="6"/>
      <c r="AV3271" s="6" t="str">
        <f t="shared" si="67"/>
        <v/>
      </c>
    </row>
    <row r="3272" spans="1:48" ht="23.65" thickBot="1" x14ac:dyDescent="0.5">
      <c r="A3272" s="36" t="s">
        <v>2221</v>
      </c>
      <c r="B3272" s="3" t="s">
        <v>2204</v>
      </c>
      <c r="C3272" s="4" t="s">
        <v>13</v>
      </c>
      <c r="D3272" s="4" t="s">
        <v>13</v>
      </c>
      <c r="E3272" s="4" t="s">
        <v>13</v>
      </c>
      <c r="F3272" s="4" t="s">
        <v>13</v>
      </c>
      <c r="G3272" s="4" t="s">
        <v>13</v>
      </c>
      <c r="H3272" s="4" t="s">
        <v>13</v>
      </c>
      <c r="I3272" s="18" t="s">
        <v>2473</v>
      </c>
      <c r="J3272" s="18" t="s">
        <v>2473</v>
      </c>
      <c r="K3272" s="18" t="s">
        <v>2473</v>
      </c>
      <c r="L3272" s="18" t="s">
        <v>2336</v>
      </c>
      <c r="AU3272" s="6"/>
      <c r="AV3272" s="6" t="str">
        <f t="shared" si="67"/>
        <v/>
      </c>
    </row>
    <row r="3273" spans="1:48" ht="23.65" thickBot="1" x14ac:dyDescent="0.5">
      <c r="A3273" s="36" t="s">
        <v>2222</v>
      </c>
      <c r="B3273" s="3" t="s">
        <v>2223</v>
      </c>
      <c r="C3273" s="4" t="s">
        <v>13</v>
      </c>
      <c r="D3273" s="4" t="s">
        <v>13</v>
      </c>
      <c r="E3273" s="4" t="s">
        <v>13</v>
      </c>
      <c r="F3273" s="4" t="s">
        <v>13</v>
      </c>
      <c r="G3273" s="4" t="s">
        <v>13</v>
      </c>
      <c r="H3273" s="4" t="s">
        <v>13</v>
      </c>
      <c r="I3273" s="18" t="s">
        <v>2473</v>
      </c>
      <c r="J3273" s="18" t="s">
        <v>2473</v>
      </c>
      <c r="K3273" s="18" t="s">
        <v>2473</v>
      </c>
      <c r="L3273" s="18" t="s">
        <v>2336</v>
      </c>
      <c r="AU3273" s="6"/>
      <c r="AV3273" s="6" t="str">
        <f t="shared" si="67"/>
        <v/>
      </c>
    </row>
    <row r="3274" spans="1:48" ht="36" thickBot="1" x14ac:dyDescent="0.5">
      <c r="A3274" s="36" t="s">
        <v>2224</v>
      </c>
      <c r="B3274" s="3" t="s">
        <v>2225</v>
      </c>
      <c r="C3274" s="4" t="s">
        <v>13</v>
      </c>
      <c r="D3274" s="4"/>
      <c r="E3274" s="4" t="s">
        <v>13</v>
      </c>
      <c r="F3274" s="4"/>
      <c r="G3274" s="4" t="s">
        <v>13</v>
      </c>
      <c r="H3274" s="4"/>
      <c r="I3274" s="18" t="s">
        <v>2473</v>
      </c>
      <c r="J3274" s="18" t="s">
        <v>2473</v>
      </c>
      <c r="K3274" s="18" t="s">
        <v>2473</v>
      </c>
      <c r="L3274" s="18" t="s">
        <v>2336</v>
      </c>
      <c r="AT3274" s="233" t="s">
        <v>5316</v>
      </c>
      <c r="AU3274" s="6"/>
      <c r="AV3274" s="6" t="str">
        <f t="shared" si="67"/>
        <v/>
      </c>
    </row>
    <row r="3275" spans="1:48" ht="23.65" thickBot="1" x14ac:dyDescent="0.5">
      <c r="A3275" s="35" t="s">
        <v>33</v>
      </c>
      <c r="B3275" s="3" t="s">
        <v>2226</v>
      </c>
      <c r="C3275" s="4"/>
      <c r="D3275" s="4"/>
      <c r="E3275" s="4"/>
      <c r="F3275" s="4"/>
      <c r="G3275" s="4"/>
      <c r="H3275" s="4"/>
      <c r="I3275" s="18" t="s">
        <v>2473</v>
      </c>
      <c r="J3275" s="18" t="s">
        <v>2473</v>
      </c>
      <c r="K3275" s="18" t="s">
        <v>2473</v>
      </c>
      <c r="L3275" s="18" t="s">
        <v>2336</v>
      </c>
      <c r="AU3275" s="6"/>
      <c r="AV3275" s="6" t="str">
        <f t="shared" si="67"/>
        <v/>
      </c>
    </row>
    <row r="3276" spans="1:48" ht="14.65" thickBot="1" x14ac:dyDescent="0.5">
      <c r="A3276" s="36" t="s">
        <v>8</v>
      </c>
      <c r="B3276" s="3" t="s">
        <v>9</v>
      </c>
      <c r="C3276" s="4"/>
      <c r="D3276" s="4"/>
      <c r="E3276" s="4"/>
      <c r="F3276" s="4"/>
      <c r="G3276" s="4"/>
      <c r="H3276" s="4"/>
      <c r="I3276" s="18" t="s">
        <v>2473</v>
      </c>
      <c r="J3276" s="18" t="s">
        <v>2473</v>
      </c>
      <c r="K3276" s="18" t="s">
        <v>2473</v>
      </c>
      <c r="L3276" s="18" t="s">
        <v>2336</v>
      </c>
      <c r="AU3276" s="6"/>
      <c r="AV3276" s="6" t="str">
        <f t="shared" si="67"/>
        <v/>
      </c>
    </row>
    <row r="3277" spans="1:48" ht="36" thickBot="1" x14ac:dyDescent="0.5">
      <c r="A3277" s="36" t="s">
        <v>2227</v>
      </c>
      <c r="B3277" s="3" t="s">
        <v>2228</v>
      </c>
      <c r="C3277" s="4" t="s">
        <v>13</v>
      </c>
      <c r="D3277" s="4" t="s">
        <v>13</v>
      </c>
      <c r="E3277" s="4" t="s">
        <v>13</v>
      </c>
      <c r="F3277" s="4" t="s">
        <v>13</v>
      </c>
      <c r="G3277" s="4" t="s">
        <v>13</v>
      </c>
      <c r="H3277" s="4" t="s">
        <v>13</v>
      </c>
      <c r="I3277" s="18" t="s">
        <v>2473</v>
      </c>
      <c r="J3277" s="18" t="s">
        <v>2473</v>
      </c>
      <c r="K3277" s="18" t="s">
        <v>2473</v>
      </c>
      <c r="L3277" s="18" t="s">
        <v>2336</v>
      </c>
      <c r="AT3277" s="233" t="s">
        <v>5316</v>
      </c>
      <c r="AU3277" s="8"/>
      <c r="AV3277" s="6" t="str">
        <f t="shared" si="67"/>
        <v/>
      </c>
    </row>
    <row r="3278" spans="1:48" ht="23.65" thickBot="1" x14ac:dyDescent="0.5">
      <c r="A3278" s="35" t="s">
        <v>2229</v>
      </c>
      <c r="B3278" s="3" t="s">
        <v>2230</v>
      </c>
      <c r="C3278" s="4" t="s">
        <v>10</v>
      </c>
      <c r="D3278" s="4"/>
      <c r="E3278" s="4" t="s">
        <v>10</v>
      </c>
      <c r="F3278" s="4"/>
      <c r="G3278" s="4" t="s">
        <v>10</v>
      </c>
      <c r="H3278" s="4"/>
      <c r="I3278" s="18" t="s">
        <v>2473</v>
      </c>
      <c r="L3278" s="18" t="s">
        <v>2336</v>
      </c>
      <c r="AU3278" s="8"/>
      <c r="AV3278" s="6" t="str">
        <f t="shared" si="67"/>
        <v/>
      </c>
    </row>
    <row r="3279" spans="1:48" ht="23.65" thickBot="1" x14ac:dyDescent="0.5">
      <c r="A3279" s="35" t="s">
        <v>2231</v>
      </c>
      <c r="B3279" s="3" t="s">
        <v>2232</v>
      </c>
      <c r="C3279" s="4" t="s">
        <v>10</v>
      </c>
      <c r="D3279" s="4"/>
      <c r="E3279" s="4" t="s">
        <v>10</v>
      </c>
      <c r="F3279" s="4"/>
      <c r="G3279" s="4" t="s">
        <v>10</v>
      </c>
      <c r="H3279" s="4"/>
      <c r="I3279" s="18" t="s">
        <v>2473</v>
      </c>
      <c r="J3279" s="18" t="s">
        <v>2473</v>
      </c>
      <c r="K3279" s="18" t="s">
        <v>2473</v>
      </c>
      <c r="L3279" s="18" t="s">
        <v>2336</v>
      </c>
      <c r="AU3279" s="8"/>
      <c r="AV3279" s="6" t="str">
        <f t="shared" si="67"/>
        <v/>
      </c>
    </row>
    <row r="3280" spans="1:48" ht="23.65" thickBot="1" x14ac:dyDescent="0.5">
      <c r="A3280" s="35" t="s">
        <v>2233</v>
      </c>
      <c r="B3280" s="3" t="s">
        <v>2234</v>
      </c>
      <c r="C3280" s="4" t="s">
        <v>10</v>
      </c>
      <c r="D3280" s="4" t="s">
        <v>13</v>
      </c>
      <c r="E3280" s="4" t="s">
        <v>10</v>
      </c>
      <c r="F3280" s="4" t="s">
        <v>13</v>
      </c>
      <c r="G3280" s="4" t="s">
        <v>10</v>
      </c>
      <c r="H3280" s="4" t="s">
        <v>13</v>
      </c>
      <c r="I3280" s="18" t="s">
        <v>2473</v>
      </c>
      <c r="J3280" s="18" t="s">
        <v>2473</v>
      </c>
      <c r="K3280" s="18" t="s">
        <v>2473</v>
      </c>
      <c r="L3280" s="18" t="s">
        <v>2336</v>
      </c>
      <c r="AU3280" s="8"/>
      <c r="AV3280" s="6" t="str">
        <f t="shared" si="67"/>
        <v/>
      </c>
    </row>
    <row r="3281" spans="1:48" ht="23.65" thickBot="1" x14ac:dyDescent="0.5">
      <c r="A3281" s="35" t="s">
        <v>2235</v>
      </c>
      <c r="B3281" s="3" t="s">
        <v>2236</v>
      </c>
      <c r="C3281" s="4" t="s">
        <v>13</v>
      </c>
      <c r="D3281" s="4" t="s">
        <v>13</v>
      </c>
      <c r="E3281" s="4" t="s">
        <v>13</v>
      </c>
      <c r="F3281" s="4" t="s">
        <v>13</v>
      </c>
      <c r="G3281" s="4" t="s">
        <v>13</v>
      </c>
      <c r="H3281" s="4" t="s">
        <v>13</v>
      </c>
      <c r="I3281" s="18" t="s">
        <v>2473</v>
      </c>
      <c r="J3281" s="18" t="s">
        <v>2473</v>
      </c>
      <c r="K3281" s="18" t="s">
        <v>2473</v>
      </c>
      <c r="L3281" s="18" t="s">
        <v>2336</v>
      </c>
      <c r="AU3281" s="8"/>
      <c r="AV3281" s="6" t="str">
        <f t="shared" si="67"/>
        <v/>
      </c>
    </row>
    <row r="3282" spans="1:48" ht="14.65" thickBot="1" x14ac:dyDescent="0.5">
      <c r="A3282" s="35" t="s">
        <v>2037</v>
      </c>
      <c r="B3282" s="3" t="s">
        <v>60</v>
      </c>
      <c r="C3282" s="4"/>
      <c r="D3282" s="4"/>
      <c r="E3282" s="4"/>
      <c r="F3282" s="4"/>
      <c r="G3282" s="4"/>
      <c r="H3282" s="4"/>
      <c r="I3282" s="18" t="s">
        <v>2473</v>
      </c>
      <c r="J3282" s="18" t="s">
        <v>2473</v>
      </c>
      <c r="K3282" s="18" t="s">
        <v>2473</v>
      </c>
      <c r="L3282" s="18" t="s">
        <v>2336</v>
      </c>
      <c r="AU3282" s="6"/>
      <c r="AV3282" s="6" t="str">
        <f t="shared" si="67"/>
        <v/>
      </c>
    </row>
    <row r="3283" spans="1:48" ht="23.65" thickBot="1" x14ac:dyDescent="0.5">
      <c r="A3283" s="35" t="s">
        <v>2237</v>
      </c>
      <c r="B3283" s="3" t="s">
        <v>2238</v>
      </c>
      <c r="C3283" s="4" t="s">
        <v>13</v>
      </c>
      <c r="D3283" s="4" t="s">
        <v>13</v>
      </c>
      <c r="E3283" s="4" t="s">
        <v>13</v>
      </c>
      <c r="F3283" s="4" t="s">
        <v>13</v>
      </c>
      <c r="G3283" s="4" t="s">
        <v>13</v>
      </c>
      <c r="H3283" s="4" t="s">
        <v>13</v>
      </c>
      <c r="I3283" s="18" t="s">
        <v>2473</v>
      </c>
      <c r="J3283" s="18" t="s">
        <v>2473</v>
      </c>
      <c r="K3283" s="18" t="s">
        <v>2473</v>
      </c>
      <c r="L3283" s="18" t="s">
        <v>2336</v>
      </c>
      <c r="AU3283" s="8"/>
      <c r="AV3283" s="6" t="str">
        <f t="shared" si="67"/>
        <v/>
      </c>
    </row>
    <row r="3284" spans="1:48" ht="23.65" thickBot="1" x14ac:dyDescent="0.5">
      <c r="A3284" s="35" t="s">
        <v>2239</v>
      </c>
      <c r="B3284" s="3" t="s">
        <v>2240</v>
      </c>
      <c r="C3284" s="4" t="s">
        <v>13</v>
      </c>
      <c r="D3284" s="4" t="s">
        <v>13</v>
      </c>
      <c r="E3284" s="4" t="s">
        <v>13</v>
      </c>
      <c r="F3284" s="4" t="s">
        <v>13</v>
      </c>
      <c r="G3284" s="4" t="s">
        <v>13</v>
      </c>
      <c r="H3284" s="4" t="s">
        <v>13</v>
      </c>
      <c r="I3284" s="18" t="s">
        <v>2473</v>
      </c>
      <c r="J3284" s="18" t="s">
        <v>2473</v>
      </c>
      <c r="K3284" s="18" t="s">
        <v>2473</v>
      </c>
      <c r="L3284" s="18" t="s">
        <v>2336</v>
      </c>
      <c r="AU3284" s="8"/>
      <c r="AV3284" s="6" t="str">
        <f t="shared" si="67"/>
        <v/>
      </c>
    </row>
    <row r="3285" spans="1:48" ht="14.65" thickBot="1" x14ac:dyDescent="0.5">
      <c r="A3285" s="35" t="s">
        <v>2241</v>
      </c>
      <c r="B3285" s="3" t="s">
        <v>2242</v>
      </c>
      <c r="C3285" s="4" t="s">
        <v>10</v>
      </c>
      <c r="D3285" s="4" t="s">
        <v>13</v>
      </c>
      <c r="E3285" s="4" t="s">
        <v>10</v>
      </c>
      <c r="F3285" s="4" t="s">
        <v>13</v>
      </c>
      <c r="G3285" s="4" t="s">
        <v>10</v>
      </c>
      <c r="H3285" s="4" t="s">
        <v>13</v>
      </c>
      <c r="I3285" s="18" t="s">
        <v>2473</v>
      </c>
      <c r="J3285" s="18" t="s">
        <v>2473</v>
      </c>
      <c r="K3285" s="18" t="s">
        <v>2473</v>
      </c>
      <c r="L3285" s="18" t="s">
        <v>2336</v>
      </c>
      <c r="AU3285" s="8"/>
      <c r="AV3285" s="6" t="str">
        <f t="shared" si="67"/>
        <v/>
      </c>
    </row>
    <row r="3286" spans="1:48" ht="47.65" thickBot="1" x14ac:dyDescent="0.5">
      <c r="A3286" s="35" t="s">
        <v>2605</v>
      </c>
      <c r="B3286" s="3" t="s">
        <v>2627</v>
      </c>
      <c r="C3286" s="4"/>
      <c r="D3286" s="4"/>
      <c r="E3286" s="4" t="s">
        <v>13</v>
      </c>
      <c r="F3286" s="4"/>
      <c r="G3286" s="4"/>
      <c r="H3286" s="4"/>
      <c r="J3286" s="18" t="s">
        <v>2473</v>
      </c>
      <c r="K3286" s="18" t="s">
        <v>2473</v>
      </c>
      <c r="L3286" s="18" t="s">
        <v>2336</v>
      </c>
      <c r="AU3286" s="139" t="s">
        <v>4086</v>
      </c>
      <c r="AV3286" s="6" t="str">
        <f t="shared" si="67"/>
        <v/>
      </c>
    </row>
    <row r="3287" spans="1:48" ht="14.65" thickBot="1" x14ac:dyDescent="0.5">
      <c r="A3287" s="35" t="s">
        <v>43</v>
      </c>
      <c r="B3287" s="3" t="s">
        <v>2628</v>
      </c>
      <c r="C3287" s="4"/>
      <c r="D3287" s="4"/>
      <c r="E3287" s="4"/>
      <c r="F3287" s="4"/>
      <c r="G3287" s="4"/>
      <c r="H3287" s="4"/>
      <c r="J3287" s="18" t="s">
        <v>2473</v>
      </c>
      <c r="K3287" s="18" t="s">
        <v>2473</v>
      </c>
      <c r="L3287" s="18" t="s">
        <v>2336</v>
      </c>
      <c r="AU3287" s="8"/>
      <c r="AV3287" s="6" t="str">
        <f t="shared" si="67"/>
        <v/>
      </c>
    </row>
    <row r="3288" spans="1:48" ht="23.65" thickBot="1" x14ac:dyDescent="0.5">
      <c r="A3288" s="35" t="s">
        <v>2243</v>
      </c>
      <c r="B3288" s="3" t="s">
        <v>2244</v>
      </c>
      <c r="C3288" s="4" t="s">
        <v>37</v>
      </c>
      <c r="D3288" s="4"/>
      <c r="E3288" s="4" t="s">
        <v>37</v>
      </c>
      <c r="F3288" s="4"/>
      <c r="G3288" s="4" t="s">
        <v>37</v>
      </c>
      <c r="H3288" s="4"/>
      <c r="I3288" s="18" t="s">
        <v>2473</v>
      </c>
      <c r="J3288" s="18" t="s">
        <v>2473</v>
      </c>
      <c r="K3288" s="18" t="s">
        <v>2473</v>
      </c>
      <c r="L3288" s="18" t="s">
        <v>2336</v>
      </c>
      <c r="AU3288" s="6"/>
      <c r="AV3288" s="6" t="str">
        <f t="shared" si="67"/>
        <v/>
      </c>
    </row>
    <row r="3289" spans="1:48" ht="14.65" thickBot="1" x14ac:dyDescent="0.5">
      <c r="A3289" s="35" t="s">
        <v>2037</v>
      </c>
      <c r="B3289" s="3" t="s">
        <v>60</v>
      </c>
      <c r="C3289" s="4"/>
      <c r="D3289" s="4"/>
      <c r="E3289" s="4"/>
      <c r="F3289" s="4"/>
      <c r="G3289" s="4"/>
      <c r="H3289" s="4"/>
      <c r="I3289" s="18" t="s">
        <v>2473</v>
      </c>
      <c r="J3289" s="18" t="s">
        <v>2473</v>
      </c>
      <c r="K3289" s="18" t="s">
        <v>2473</v>
      </c>
      <c r="L3289" s="18" t="s">
        <v>2336</v>
      </c>
      <c r="AU3289" s="6"/>
      <c r="AV3289" s="6" t="str">
        <f t="shared" si="67"/>
        <v/>
      </c>
    </row>
    <row r="3290" spans="1:48" ht="23.65" thickBot="1" x14ac:dyDescent="0.5">
      <c r="A3290" s="35" t="s">
        <v>2245</v>
      </c>
      <c r="B3290" s="3" t="s">
        <v>2246</v>
      </c>
      <c r="C3290" s="4"/>
      <c r="D3290" s="4"/>
      <c r="E3290" s="4"/>
      <c r="F3290" s="4"/>
      <c r="G3290" s="4"/>
      <c r="H3290" s="4"/>
      <c r="I3290" s="18" t="s">
        <v>2473</v>
      </c>
      <c r="J3290" s="18" t="s">
        <v>2473</v>
      </c>
      <c r="K3290" s="18" t="s">
        <v>2473</v>
      </c>
      <c r="L3290" s="18" t="s">
        <v>2336</v>
      </c>
      <c r="AU3290" s="6"/>
      <c r="AV3290" s="6" t="str">
        <f t="shared" si="67"/>
        <v/>
      </c>
    </row>
    <row r="3291" spans="1:48" ht="14.65" thickBot="1" x14ac:dyDescent="0.5">
      <c r="A3291" s="35" t="s">
        <v>2247</v>
      </c>
      <c r="B3291" s="3" t="s">
        <v>2248</v>
      </c>
      <c r="C3291" s="4"/>
      <c r="D3291" s="4"/>
      <c r="E3291" s="4"/>
      <c r="F3291" s="4"/>
      <c r="G3291" s="4"/>
      <c r="H3291" s="4"/>
      <c r="I3291" s="18" t="s">
        <v>2473</v>
      </c>
      <c r="J3291" s="18" t="s">
        <v>2473</v>
      </c>
      <c r="K3291" s="18" t="s">
        <v>2473</v>
      </c>
      <c r="L3291" s="18" t="s">
        <v>2336</v>
      </c>
      <c r="AU3291" s="6"/>
      <c r="AV3291" s="6" t="str">
        <f t="shared" si="67"/>
        <v/>
      </c>
    </row>
    <row r="3292" spans="1:48" ht="14.65" thickBot="1" x14ac:dyDescent="0.5">
      <c r="A3292" s="35" t="s">
        <v>2249</v>
      </c>
      <c r="B3292" s="3" t="s">
        <v>2250</v>
      </c>
      <c r="C3292" s="4"/>
      <c r="D3292" s="4"/>
      <c r="E3292" s="4"/>
      <c r="F3292" s="4"/>
      <c r="G3292" s="4"/>
      <c r="H3292" s="4"/>
      <c r="I3292" s="18" t="s">
        <v>2473</v>
      </c>
      <c r="J3292" s="18" t="s">
        <v>2473</v>
      </c>
      <c r="K3292" s="18" t="s">
        <v>2473</v>
      </c>
      <c r="L3292" s="18" t="s">
        <v>2336</v>
      </c>
      <c r="AU3292" s="8"/>
      <c r="AV3292" s="6" t="str">
        <f t="shared" si="67"/>
        <v/>
      </c>
    </row>
    <row r="3293" spans="1:48" ht="14.65" thickBot="1" x14ac:dyDescent="0.5">
      <c r="A3293" s="35" t="s">
        <v>2251</v>
      </c>
      <c r="B3293" s="3" t="s">
        <v>2252</v>
      </c>
      <c r="C3293" s="4"/>
      <c r="D3293" s="4"/>
      <c r="E3293" s="4"/>
      <c r="F3293" s="4"/>
      <c r="G3293" s="4"/>
      <c r="H3293" s="4"/>
      <c r="I3293" s="18" t="s">
        <v>2473</v>
      </c>
      <c r="J3293" s="18" t="s">
        <v>2473</v>
      </c>
      <c r="K3293" s="18" t="s">
        <v>2473</v>
      </c>
      <c r="L3293" s="18" t="s">
        <v>2336</v>
      </c>
      <c r="AU3293" s="8"/>
      <c r="AV3293" s="6" t="str">
        <f t="shared" si="67"/>
        <v/>
      </c>
    </row>
    <row r="3294" spans="1:48" ht="14.65" thickBot="1" x14ac:dyDescent="0.5">
      <c r="A3294" s="35" t="s">
        <v>2253</v>
      </c>
      <c r="B3294" s="3" t="s">
        <v>2254</v>
      </c>
      <c r="C3294" s="4"/>
      <c r="D3294" s="4"/>
      <c r="E3294" s="4"/>
      <c r="F3294" s="4"/>
      <c r="G3294" s="4"/>
      <c r="H3294" s="4"/>
      <c r="I3294" s="18" t="s">
        <v>2473</v>
      </c>
      <c r="J3294" s="18" t="s">
        <v>2473</v>
      </c>
      <c r="K3294" s="18" t="s">
        <v>2473</v>
      </c>
      <c r="L3294" s="18" t="s">
        <v>2336</v>
      </c>
      <c r="AU3294" s="8"/>
      <c r="AV3294" s="6" t="str">
        <f t="shared" si="67"/>
        <v/>
      </c>
    </row>
    <row r="3295" spans="1:48" ht="23.65" thickBot="1" x14ac:dyDescent="0.5">
      <c r="A3295" s="35" t="s">
        <v>2255</v>
      </c>
      <c r="B3295" s="3" t="s">
        <v>2256</v>
      </c>
      <c r="C3295" s="4" t="s">
        <v>37</v>
      </c>
      <c r="D3295" s="4"/>
      <c r="E3295" s="4" t="s">
        <v>37</v>
      </c>
      <c r="F3295" s="4"/>
      <c r="G3295" s="4" t="s">
        <v>37</v>
      </c>
      <c r="H3295" s="4"/>
      <c r="I3295" s="18" t="s">
        <v>2473</v>
      </c>
      <c r="J3295" s="18" t="s">
        <v>2473</v>
      </c>
      <c r="K3295" s="18" t="s">
        <v>2473</v>
      </c>
      <c r="L3295" s="18" t="s">
        <v>2336</v>
      </c>
      <c r="AU3295" s="6"/>
      <c r="AV3295" s="6" t="str">
        <f t="shared" si="67"/>
        <v/>
      </c>
    </row>
    <row r="3296" spans="1:48" ht="14.65" thickBot="1" x14ac:dyDescent="0.5">
      <c r="A3296" s="35" t="s">
        <v>2257</v>
      </c>
      <c r="B3296" s="3" t="s">
        <v>2258</v>
      </c>
      <c r="C3296" s="4" t="s">
        <v>10</v>
      </c>
      <c r="D3296" s="4" t="s">
        <v>13</v>
      </c>
      <c r="E3296" s="4" t="s">
        <v>10</v>
      </c>
      <c r="F3296" s="4" t="s">
        <v>13</v>
      </c>
      <c r="G3296" s="4" t="s">
        <v>10</v>
      </c>
      <c r="H3296" s="4" t="s">
        <v>13</v>
      </c>
      <c r="I3296" s="18" t="s">
        <v>2473</v>
      </c>
      <c r="J3296" s="18" t="s">
        <v>2473</v>
      </c>
      <c r="K3296" s="18" t="s">
        <v>2473</v>
      </c>
      <c r="L3296" s="18" t="s">
        <v>2336</v>
      </c>
      <c r="AU3296" s="6"/>
      <c r="AV3296" s="6" t="str">
        <f t="shared" si="67"/>
        <v/>
      </c>
    </row>
    <row r="3297" spans="1:48" ht="14.65" thickBot="1" x14ac:dyDescent="0.5">
      <c r="A3297" s="35" t="s">
        <v>2037</v>
      </c>
      <c r="B3297" s="3" t="s">
        <v>60</v>
      </c>
      <c r="C3297" s="4"/>
      <c r="D3297" s="4"/>
      <c r="E3297" s="4"/>
      <c r="F3297" s="4"/>
      <c r="G3297" s="4"/>
      <c r="H3297" s="4"/>
      <c r="I3297" s="18" t="s">
        <v>2473</v>
      </c>
      <c r="J3297" s="18" t="s">
        <v>2473</v>
      </c>
      <c r="K3297" s="18" t="s">
        <v>2473</v>
      </c>
      <c r="L3297" s="18" t="s">
        <v>2336</v>
      </c>
      <c r="AU3297" s="8"/>
      <c r="AV3297" s="6" t="str">
        <f t="shared" si="67"/>
        <v/>
      </c>
    </row>
    <row r="3298" spans="1:48" ht="36" thickBot="1" x14ac:dyDescent="0.5">
      <c r="A3298" s="35" t="s">
        <v>2259</v>
      </c>
      <c r="B3298" s="3" t="s">
        <v>2260</v>
      </c>
      <c r="C3298" s="4" t="s">
        <v>13</v>
      </c>
      <c r="D3298" s="4" t="s">
        <v>13</v>
      </c>
      <c r="E3298" s="4" t="s">
        <v>13</v>
      </c>
      <c r="F3298" s="4" t="s">
        <v>13</v>
      </c>
      <c r="G3298" s="4" t="s">
        <v>13</v>
      </c>
      <c r="H3298" s="4" t="s">
        <v>13</v>
      </c>
      <c r="I3298" s="18" t="s">
        <v>2473</v>
      </c>
      <c r="J3298" s="18" t="s">
        <v>2473</v>
      </c>
      <c r="K3298" s="18" t="s">
        <v>2473</v>
      </c>
      <c r="L3298" s="18" t="s">
        <v>2336</v>
      </c>
      <c r="AU3298" s="139" t="s">
        <v>4083</v>
      </c>
      <c r="AV3298" s="6" t="str">
        <f t="shared" si="67"/>
        <v/>
      </c>
    </row>
    <row r="3299" spans="1:48" ht="36" thickBot="1" x14ac:dyDescent="0.5">
      <c r="A3299" s="35" t="s">
        <v>2261</v>
      </c>
      <c r="B3299" s="3" t="s">
        <v>2262</v>
      </c>
      <c r="C3299" s="4" t="s">
        <v>13</v>
      </c>
      <c r="D3299" s="4" t="s">
        <v>13</v>
      </c>
      <c r="E3299" s="4" t="s">
        <v>13</v>
      </c>
      <c r="F3299" s="4" t="s">
        <v>13</v>
      </c>
      <c r="G3299" s="4" t="s">
        <v>13</v>
      </c>
      <c r="H3299" s="4" t="s">
        <v>13</v>
      </c>
      <c r="I3299" s="18" t="s">
        <v>2473</v>
      </c>
      <c r="J3299" s="18" t="s">
        <v>2473</v>
      </c>
      <c r="K3299" s="18" t="s">
        <v>2473</v>
      </c>
      <c r="L3299" s="18" t="s">
        <v>2336</v>
      </c>
      <c r="AU3299" s="139" t="s">
        <v>4085</v>
      </c>
      <c r="AV3299" s="6" t="str">
        <f t="shared" si="67"/>
        <v/>
      </c>
    </row>
    <row r="3300" spans="1:48" ht="23.65" thickBot="1" x14ac:dyDescent="0.5">
      <c r="A3300" s="35" t="s">
        <v>2263</v>
      </c>
      <c r="B3300" s="3" t="s">
        <v>2264</v>
      </c>
      <c r="C3300" s="4" t="s">
        <v>10</v>
      </c>
      <c r="D3300" s="4" t="s">
        <v>13</v>
      </c>
      <c r="E3300" s="4" t="s">
        <v>10</v>
      </c>
      <c r="F3300" s="4" t="s">
        <v>13</v>
      </c>
      <c r="G3300" s="4" t="s">
        <v>10</v>
      </c>
      <c r="H3300" s="4" t="s">
        <v>13</v>
      </c>
      <c r="I3300" s="18" t="s">
        <v>2473</v>
      </c>
      <c r="J3300" s="18" t="s">
        <v>2473</v>
      </c>
      <c r="K3300" s="18" t="s">
        <v>2473</v>
      </c>
      <c r="L3300" s="18" t="s">
        <v>2336</v>
      </c>
      <c r="AU3300" s="6"/>
      <c r="AV3300" s="6" t="str">
        <f t="shared" si="67"/>
        <v/>
      </c>
    </row>
    <row r="3301" spans="1:48" ht="14.65" thickBot="1" x14ac:dyDescent="0.5">
      <c r="A3301" s="35" t="s">
        <v>894</v>
      </c>
      <c r="B3301" s="3" t="s">
        <v>578</v>
      </c>
      <c r="C3301" s="4" t="s">
        <v>10</v>
      </c>
      <c r="D3301" s="4" t="s">
        <v>13</v>
      </c>
      <c r="E3301" s="4" t="s">
        <v>10</v>
      </c>
      <c r="F3301" s="4" t="s">
        <v>13</v>
      </c>
      <c r="G3301" s="4" t="s">
        <v>10</v>
      </c>
      <c r="H3301" s="4" t="s">
        <v>13</v>
      </c>
      <c r="I3301" s="18" t="s">
        <v>2473</v>
      </c>
      <c r="J3301" s="18" t="s">
        <v>2473</v>
      </c>
      <c r="K3301" s="18" t="s">
        <v>2473</v>
      </c>
      <c r="L3301" s="18" t="s">
        <v>2336</v>
      </c>
      <c r="AU3301" s="6"/>
      <c r="AV3301" s="6" t="str">
        <f t="shared" si="67"/>
        <v/>
      </c>
    </row>
    <row r="3302" spans="1:48" ht="22.9" thickBot="1" x14ac:dyDescent="0.5">
      <c r="A3302" s="36" t="s">
        <v>2265</v>
      </c>
      <c r="B3302" s="3" t="s">
        <v>2266</v>
      </c>
      <c r="C3302" s="4" t="s">
        <v>37</v>
      </c>
      <c r="D3302" s="4"/>
      <c r="E3302" s="4" t="s">
        <v>37</v>
      </c>
      <c r="F3302" s="4"/>
      <c r="G3302" s="4" t="s">
        <v>37</v>
      </c>
      <c r="H3302" s="4"/>
      <c r="I3302" s="18" t="s">
        <v>2473</v>
      </c>
      <c r="J3302" s="18" t="s">
        <v>2473</v>
      </c>
      <c r="K3302" s="18" t="s">
        <v>2473</v>
      </c>
      <c r="L3302" s="18" t="s">
        <v>2336</v>
      </c>
      <c r="AU3302" s="8"/>
      <c r="AV3302" s="6" t="str">
        <f t="shared" si="67"/>
        <v/>
      </c>
    </row>
    <row r="3303" spans="1:48" ht="14.65" thickBot="1" x14ac:dyDescent="0.5">
      <c r="A3303" s="35" t="s">
        <v>33</v>
      </c>
      <c r="B3303" s="3" t="s">
        <v>2267</v>
      </c>
      <c r="C3303" s="4"/>
      <c r="D3303" s="4"/>
      <c r="E3303" s="4"/>
      <c r="F3303" s="4"/>
      <c r="G3303" s="4"/>
      <c r="H3303" s="4"/>
      <c r="I3303" s="18" t="s">
        <v>2473</v>
      </c>
      <c r="J3303" s="18" t="s">
        <v>2473</v>
      </c>
      <c r="K3303" s="18" t="s">
        <v>2473</v>
      </c>
      <c r="L3303" s="18" t="s">
        <v>2336</v>
      </c>
      <c r="AU3303" s="6"/>
      <c r="AV3303" s="6" t="str">
        <f t="shared" si="67"/>
        <v/>
      </c>
    </row>
    <row r="3304" spans="1:48" ht="23.65" thickBot="1" x14ac:dyDescent="0.5">
      <c r="A3304" s="36" t="s">
        <v>2268</v>
      </c>
      <c r="B3304" s="3" t="s">
        <v>2269</v>
      </c>
      <c r="C3304" s="4" t="s">
        <v>13</v>
      </c>
      <c r="D3304" s="4" t="s">
        <v>13</v>
      </c>
      <c r="E3304" s="4" t="s">
        <v>13</v>
      </c>
      <c r="F3304" s="4" t="s">
        <v>13</v>
      </c>
      <c r="G3304" s="4" t="s">
        <v>13</v>
      </c>
      <c r="H3304" s="4" t="s">
        <v>13</v>
      </c>
      <c r="I3304" s="18" t="s">
        <v>2473</v>
      </c>
      <c r="J3304" s="18" t="s">
        <v>2473</v>
      </c>
      <c r="K3304" s="18" t="s">
        <v>2473</v>
      </c>
      <c r="L3304" s="18" t="s">
        <v>2336</v>
      </c>
      <c r="AU3304" s="8"/>
      <c r="AV3304" s="6" t="str">
        <f t="shared" si="67"/>
        <v/>
      </c>
    </row>
    <row r="3305" spans="1:48" ht="36" thickBot="1" x14ac:dyDescent="0.5">
      <c r="A3305" s="36" t="s">
        <v>2270</v>
      </c>
      <c r="B3305" s="3" t="s">
        <v>2271</v>
      </c>
      <c r="C3305" s="4" t="s">
        <v>13</v>
      </c>
      <c r="D3305" s="4" t="s">
        <v>13</v>
      </c>
      <c r="E3305" s="4" t="s">
        <v>13</v>
      </c>
      <c r="F3305" s="4" t="s">
        <v>13</v>
      </c>
      <c r="G3305" s="4" t="s">
        <v>13</v>
      </c>
      <c r="H3305" s="4" t="s">
        <v>13</v>
      </c>
      <c r="I3305" s="18" t="s">
        <v>2473</v>
      </c>
      <c r="J3305" s="18" t="s">
        <v>2473</v>
      </c>
      <c r="K3305" s="18" t="s">
        <v>2473</v>
      </c>
      <c r="L3305" s="18" t="s">
        <v>2336</v>
      </c>
      <c r="AT3305" s="233" t="s">
        <v>5316</v>
      </c>
      <c r="AU3305" s="6"/>
      <c r="AV3305" s="6" t="str">
        <f t="shared" ref="AV3305:AV3370" si="68">IF(A3305&lt;&gt;"",IF(T3305&lt;&gt;"",IF(LEFT(R3305,3)="Has",IF(TRIM(A3305)&lt;&gt;T3305,"ERROR","OK"),""),""),"")</f>
        <v/>
      </c>
    </row>
    <row r="3306" spans="1:48" ht="23.65" thickBot="1" x14ac:dyDescent="0.5">
      <c r="A3306" s="35" t="s">
        <v>2229</v>
      </c>
      <c r="B3306" s="3" t="s">
        <v>2230</v>
      </c>
      <c r="C3306" s="4" t="s">
        <v>10</v>
      </c>
      <c r="D3306" s="4"/>
      <c r="E3306" s="4" t="s">
        <v>10</v>
      </c>
      <c r="F3306" s="4"/>
      <c r="G3306" s="4" t="s">
        <v>10</v>
      </c>
      <c r="H3306" s="4"/>
      <c r="I3306" s="18" t="s">
        <v>2473</v>
      </c>
      <c r="L3306" s="18" t="s">
        <v>2336</v>
      </c>
      <c r="AU3306" s="8"/>
      <c r="AV3306" s="6" t="str">
        <f t="shared" si="68"/>
        <v/>
      </c>
    </row>
    <row r="3307" spans="1:48" ht="23.65" thickBot="1" x14ac:dyDescent="0.5">
      <c r="A3307" s="35" t="s">
        <v>2231</v>
      </c>
      <c r="B3307" s="3" t="s">
        <v>2232</v>
      </c>
      <c r="C3307" s="4" t="s">
        <v>10</v>
      </c>
      <c r="D3307" s="4"/>
      <c r="E3307" s="4" t="s">
        <v>10</v>
      </c>
      <c r="F3307" s="4"/>
      <c r="G3307" s="4" t="s">
        <v>10</v>
      </c>
      <c r="H3307" s="4"/>
      <c r="I3307" s="18" t="s">
        <v>2473</v>
      </c>
      <c r="J3307" s="18" t="s">
        <v>2473</v>
      </c>
      <c r="K3307" s="18" t="s">
        <v>2473</v>
      </c>
      <c r="L3307" s="18" t="s">
        <v>2336</v>
      </c>
      <c r="AU3307" s="6"/>
      <c r="AV3307" s="6" t="str">
        <f t="shared" si="68"/>
        <v/>
      </c>
    </row>
    <row r="3308" spans="1:48" ht="23.65" thickBot="1" x14ac:dyDescent="0.5">
      <c r="A3308" s="35" t="s">
        <v>2233</v>
      </c>
      <c r="B3308" s="3" t="s">
        <v>2234</v>
      </c>
      <c r="C3308" s="4" t="s">
        <v>10</v>
      </c>
      <c r="D3308" s="4" t="s">
        <v>13</v>
      </c>
      <c r="E3308" s="4" t="s">
        <v>10</v>
      </c>
      <c r="F3308" s="4" t="s">
        <v>13</v>
      </c>
      <c r="G3308" s="4" t="s">
        <v>10</v>
      </c>
      <c r="H3308" s="4" t="s">
        <v>13</v>
      </c>
      <c r="I3308" s="18" t="s">
        <v>2473</v>
      </c>
      <c r="J3308" s="18" t="s">
        <v>2473</v>
      </c>
      <c r="K3308" s="18" t="s">
        <v>2473</v>
      </c>
      <c r="L3308" s="18" t="s">
        <v>2336</v>
      </c>
      <c r="AU3308" s="6"/>
      <c r="AV3308" s="6" t="str">
        <f t="shared" si="68"/>
        <v/>
      </c>
    </row>
    <row r="3309" spans="1:48" ht="23.65" thickBot="1" x14ac:dyDescent="0.5">
      <c r="A3309" s="35" t="s">
        <v>2235</v>
      </c>
      <c r="B3309" s="3" t="s">
        <v>2236</v>
      </c>
      <c r="C3309" s="4" t="s">
        <v>13</v>
      </c>
      <c r="D3309" s="4" t="s">
        <v>13</v>
      </c>
      <c r="E3309" s="4" t="s">
        <v>13</v>
      </c>
      <c r="F3309" s="4" t="s">
        <v>13</v>
      </c>
      <c r="G3309" s="4" t="s">
        <v>13</v>
      </c>
      <c r="H3309" s="4" t="s">
        <v>13</v>
      </c>
      <c r="I3309" s="18" t="s">
        <v>2473</v>
      </c>
      <c r="J3309" s="18" t="s">
        <v>2473</v>
      </c>
      <c r="K3309" s="18" t="s">
        <v>2473</v>
      </c>
      <c r="L3309" s="18" t="s">
        <v>2336</v>
      </c>
      <c r="AU3309" s="8"/>
      <c r="AV3309" s="6" t="str">
        <f t="shared" si="68"/>
        <v/>
      </c>
    </row>
    <row r="3310" spans="1:48" ht="14.65" thickBot="1" x14ac:dyDescent="0.5">
      <c r="A3310" s="35" t="s">
        <v>2037</v>
      </c>
      <c r="B3310" s="3" t="s">
        <v>60</v>
      </c>
      <c r="C3310" s="4"/>
      <c r="D3310" s="4"/>
      <c r="E3310" s="4"/>
      <c r="F3310" s="4"/>
      <c r="G3310" s="4"/>
      <c r="H3310" s="4"/>
      <c r="I3310" s="18" t="s">
        <v>2473</v>
      </c>
      <c r="J3310" s="18" t="s">
        <v>2473</v>
      </c>
      <c r="K3310" s="18" t="s">
        <v>2473</v>
      </c>
      <c r="L3310" s="18" t="s">
        <v>2336</v>
      </c>
      <c r="AU3310" s="8"/>
      <c r="AV3310" s="6" t="str">
        <f t="shared" si="68"/>
        <v/>
      </c>
    </row>
    <row r="3311" spans="1:48" ht="23.65" thickBot="1" x14ac:dyDescent="0.5">
      <c r="A3311" s="35" t="s">
        <v>2237</v>
      </c>
      <c r="B3311" s="3" t="s">
        <v>2238</v>
      </c>
      <c r="C3311" s="4" t="s">
        <v>13</v>
      </c>
      <c r="D3311" s="4" t="s">
        <v>13</v>
      </c>
      <c r="E3311" s="4" t="s">
        <v>13</v>
      </c>
      <c r="F3311" s="4" t="s">
        <v>13</v>
      </c>
      <c r="G3311" s="4" t="s">
        <v>13</v>
      </c>
      <c r="H3311" s="4" t="s">
        <v>13</v>
      </c>
      <c r="I3311" s="18" t="s">
        <v>2473</v>
      </c>
      <c r="J3311" s="18" t="s">
        <v>2473</v>
      </c>
      <c r="K3311" s="18" t="s">
        <v>2473</v>
      </c>
      <c r="L3311" s="18" t="s">
        <v>2336</v>
      </c>
      <c r="AU3311" s="8"/>
      <c r="AV3311" s="6" t="str">
        <f t="shared" si="68"/>
        <v/>
      </c>
    </row>
    <row r="3312" spans="1:48" ht="23.65" thickBot="1" x14ac:dyDescent="0.5">
      <c r="A3312" s="35" t="s">
        <v>2239</v>
      </c>
      <c r="B3312" s="3" t="s">
        <v>2240</v>
      </c>
      <c r="C3312" s="4" t="s">
        <v>13</v>
      </c>
      <c r="D3312" s="4" t="s">
        <v>13</v>
      </c>
      <c r="E3312" s="4" t="s">
        <v>13</v>
      </c>
      <c r="F3312" s="4" t="s">
        <v>13</v>
      </c>
      <c r="G3312" s="4" t="s">
        <v>13</v>
      </c>
      <c r="H3312" s="4" t="s">
        <v>13</v>
      </c>
      <c r="I3312" s="18" t="s">
        <v>2473</v>
      </c>
      <c r="J3312" s="18" t="s">
        <v>2473</v>
      </c>
      <c r="K3312" s="18" t="s">
        <v>2473</v>
      </c>
      <c r="L3312" s="18" t="s">
        <v>2336</v>
      </c>
      <c r="AU3312" s="8"/>
      <c r="AV3312" s="6" t="str">
        <f t="shared" si="68"/>
        <v/>
      </c>
    </row>
    <row r="3313" spans="1:48" ht="14.65" thickBot="1" x14ac:dyDescent="0.5">
      <c r="A3313" s="35" t="s">
        <v>2241</v>
      </c>
      <c r="B3313" s="3" t="s">
        <v>2242</v>
      </c>
      <c r="C3313" s="4" t="s">
        <v>10</v>
      </c>
      <c r="D3313" s="4" t="s">
        <v>13</v>
      </c>
      <c r="E3313" s="4" t="s">
        <v>10</v>
      </c>
      <c r="F3313" s="4" t="s">
        <v>13</v>
      </c>
      <c r="G3313" s="4" t="s">
        <v>10</v>
      </c>
      <c r="H3313" s="4" t="s">
        <v>13</v>
      </c>
      <c r="I3313" s="18" t="s">
        <v>2473</v>
      </c>
      <c r="J3313" s="18" t="s">
        <v>2473</v>
      </c>
      <c r="K3313" s="18" t="s">
        <v>2473</v>
      </c>
      <c r="L3313" s="18" t="s">
        <v>2336</v>
      </c>
      <c r="AU3313" s="6"/>
      <c r="AV3313" s="6" t="str">
        <f t="shared" si="68"/>
        <v/>
      </c>
    </row>
    <row r="3314" spans="1:48" ht="47.65" thickBot="1" x14ac:dyDescent="0.5">
      <c r="A3314" s="35" t="s">
        <v>2605</v>
      </c>
      <c r="B3314" s="3" t="s">
        <v>2627</v>
      </c>
      <c r="C3314" s="4"/>
      <c r="D3314" s="4"/>
      <c r="E3314" s="4" t="s">
        <v>13</v>
      </c>
      <c r="F3314" s="4"/>
      <c r="G3314" s="4"/>
      <c r="H3314" s="4"/>
      <c r="J3314" s="18" t="s">
        <v>2473</v>
      </c>
      <c r="K3314" s="18" t="s">
        <v>2473</v>
      </c>
      <c r="L3314" s="18" t="s">
        <v>2336</v>
      </c>
      <c r="AU3314" s="139" t="s">
        <v>4087</v>
      </c>
      <c r="AV3314" s="6" t="str">
        <f t="shared" si="68"/>
        <v/>
      </c>
    </row>
    <row r="3315" spans="1:48" ht="14.65" thickBot="1" x14ac:dyDescent="0.5">
      <c r="A3315" s="35" t="s">
        <v>43</v>
      </c>
      <c r="B3315" s="3" t="s">
        <v>2628</v>
      </c>
      <c r="C3315" s="4"/>
      <c r="D3315" s="4"/>
      <c r="E3315" s="4"/>
      <c r="F3315" s="4"/>
      <c r="G3315" s="4"/>
      <c r="H3315" s="4"/>
      <c r="J3315" s="18" t="s">
        <v>2473</v>
      </c>
      <c r="K3315" s="18" t="s">
        <v>2473</v>
      </c>
      <c r="L3315" s="18" t="s">
        <v>2336</v>
      </c>
      <c r="AU3315" s="8"/>
      <c r="AV3315" s="6" t="str">
        <f t="shared" si="68"/>
        <v/>
      </c>
    </row>
    <row r="3316" spans="1:48" ht="14.65" thickBot="1" x14ac:dyDescent="0.5">
      <c r="A3316" s="35" t="s">
        <v>2243</v>
      </c>
      <c r="B3316" s="3" t="s">
        <v>2272</v>
      </c>
      <c r="C3316" s="4"/>
      <c r="D3316" s="4"/>
      <c r="E3316" s="4"/>
      <c r="F3316" s="4"/>
      <c r="G3316" s="4"/>
      <c r="H3316" s="4"/>
      <c r="I3316" s="18" t="s">
        <v>2473</v>
      </c>
      <c r="J3316" s="18" t="s">
        <v>2473</v>
      </c>
      <c r="K3316" s="18" t="s">
        <v>2473</v>
      </c>
      <c r="L3316" s="18" t="s">
        <v>2336</v>
      </c>
      <c r="AU3316" s="6"/>
      <c r="AV3316" s="6" t="str">
        <f t="shared" si="68"/>
        <v/>
      </c>
    </row>
    <row r="3317" spans="1:48" ht="14.65" thickBot="1" x14ac:dyDescent="0.5">
      <c r="A3317" s="35" t="s">
        <v>2037</v>
      </c>
      <c r="B3317" s="3" t="s">
        <v>60</v>
      </c>
      <c r="C3317" s="4"/>
      <c r="D3317" s="4"/>
      <c r="E3317" s="4"/>
      <c r="F3317" s="4"/>
      <c r="G3317" s="4"/>
      <c r="H3317" s="4"/>
      <c r="I3317" s="18" t="s">
        <v>2473</v>
      </c>
      <c r="J3317" s="18" t="s">
        <v>2473</v>
      </c>
      <c r="K3317" s="18" t="s">
        <v>2473</v>
      </c>
      <c r="L3317" s="18" t="s">
        <v>2336</v>
      </c>
      <c r="AU3317" s="8"/>
      <c r="AV3317" s="6" t="str">
        <f t="shared" si="68"/>
        <v/>
      </c>
    </row>
    <row r="3318" spans="1:48" ht="23.65" thickBot="1" x14ac:dyDescent="0.5">
      <c r="A3318" s="35" t="s">
        <v>2245</v>
      </c>
      <c r="B3318" s="3" t="s">
        <v>2246</v>
      </c>
      <c r="C3318" s="4"/>
      <c r="D3318" s="4"/>
      <c r="E3318" s="4"/>
      <c r="F3318" s="4"/>
      <c r="G3318" s="4"/>
      <c r="H3318" s="4"/>
      <c r="I3318" s="18" t="s">
        <v>2473</v>
      </c>
      <c r="J3318" s="18" t="s">
        <v>2473</v>
      </c>
      <c r="K3318" s="18" t="s">
        <v>2473</v>
      </c>
      <c r="L3318" s="18" t="s">
        <v>2336</v>
      </c>
      <c r="AU3318" s="6"/>
      <c r="AV3318" s="6" t="str">
        <f t="shared" si="68"/>
        <v/>
      </c>
    </row>
    <row r="3319" spans="1:48" ht="14.65" thickBot="1" x14ac:dyDescent="0.5">
      <c r="A3319" s="35" t="s">
        <v>2247</v>
      </c>
      <c r="B3319" s="3" t="s">
        <v>2248</v>
      </c>
      <c r="C3319" s="4"/>
      <c r="D3319" s="4"/>
      <c r="E3319" s="4"/>
      <c r="F3319" s="4"/>
      <c r="G3319" s="4"/>
      <c r="H3319" s="4"/>
      <c r="I3319" s="18" t="s">
        <v>2473</v>
      </c>
      <c r="J3319" s="18" t="s">
        <v>2473</v>
      </c>
      <c r="K3319" s="18" t="s">
        <v>2473</v>
      </c>
      <c r="L3319" s="18" t="s">
        <v>2336</v>
      </c>
      <c r="AU3319" s="6"/>
      <c r="AV3319" s="6" t="str">
        <f t="shared" si="68"/>
        <v/>
      </c>
    </row>
    <row r="3320" spans="1:48" ht="14.65" thickBot="1" x14ac:dyDescent="0.5">
      <c r="A3320" s="35" t="s">
        <v>2249</v>
      </c>
      <c r="B3320" s="3" t="s">
        <v>2250</v>
      </c>
      <c r="C3320" s="4"/>
      <c r="D3320" s="4"/>
      <c r="E3320" s="4"/>
      <c r="F3320" s="4"/>
      <c r="G3320" s="4"/>
      <c r="H3320" s="4"/>
      <c r="I3320" s="18" t="s">
        <v>2473</v>
      </c>
      <c r="J3320" s="18" t="s">
        <v>2473</v>
      </c>
      <c r="K3320" s="18" t="s">
        <v>2473</v>
      </c>
      <c r="L3320" s="18" t="s">
        <v>2336</v>
      </c>
      <c r="AU3320" s="6"/>
      <c r="AV3320" s="6" t="str">
        <f t="shared" si="68"/>
        <v/>
      </c>
    </row>
    <row r="3321" spans="1:48" ht="14.65" thickBot="1" x14ac:dyDescent="0.5">
      <c r="A3321" s="35" t="s">
        <v>2251</v>
      </c>
      <c r="B3321" s="3" t="s">
        <v>2252</v>
      </c>
      <c r="C3321" s="4"/>
      <c r="D3321" s="4"/>
      <c r="E3321" s="4"/>
      <c r="F3321" s="4"/>
      <c r="G3321" s="4"/>
      <c r="H3321" s="4"/>
      <c r="I3321" s="18" t="s">
        <v>2473</v>
      </c>
      <c r="J3321" s="18" t="s">
        <v>2473</v>
      </c>
      <c r="K3321" s="18" t="s">
        <v>2473</v>
      </c>
      <c r="L3321" s="18" t="s">
        <v>2336</v>
      </c>
      <c r="AU3321" s="6"/>
      <c r="AV3321" s="6" t="str">
        <f t="shared" si="68"/>
        <v/>
      </c>
    </row>
    <row r="3322" spans="1:48" ht="14.65" thickBot="1" x14ac:dyDescent="0.5">
      <c r="A3322" s="35" t="s">
        <v>2253</v>
      </c>
      <c r="B3322" s="3" t="s">
        <v>2254</v>
      </c>
      <c r="C3322" s="4"/>
      <c r="D3322" s="4"/>
      <c r="E3322" s="4"/>
      <c r="F3322" s="4"/>
      <c r="G3322" s="4"/>
      <c r="H3322" s="4"/>
      <c r="I3322" s="18" t="s">
        <v>2473</v>
      </c>
      <c r="J3322" s="18" t="s">
        <v>2473</v>
      </c>
      <c r="K3322" s="18" t="s">
        <v>2473</v>
      </c>
      <c r="L3322" s="18" t="s">
        <v>2336</v>
      </c>
      <c r="AU3322" s="6"/>
      <c r="AV3322" s="6" t="str">
        <f t="shared" si="68"/>
        <v/>
      </c>
    </row>
    <row r="3323" spans="1:48" ht="23.65" thickBot="1" x14ac:dyDescent="0.5">
      <c r="A3323" s="35" t="s">
        <v>2255</v>
      </c>
      <c r="B3323" s="3" t="s">
        <v>2256</v>
      </c>
      <c r="C3323" s="4" t="s">
        <v>37</v>
      </c>
      <c r="D3323" s="4"/>
      <c r="E3323" s="4" t="s">
        <v>37</v>
      </c>
      <c r="F3323" s="4"/>
      <c r="G3323" s="4" t="s">
        <v>37</v>
      </c>
      <c r="H3323" s="4"/>
      <c r="I3323" s="18" t="s">
        <v>2473</v>
      </c>
      <c r="J3323" s="18" t="s">
        <v>2473</v>
      </c>
      <c r="K3323" s="18" t="s">
        <v>2473</v>
      </c>
      <c r="L3323" s="18" t="s">
        <v>2336</v>
      </c>
      <c r="AU3323" s="6"/>
      <c r="AV3323" s="6" t="str">
        <f t="shared" si="68"/>
        <v/>
      </c>
    </row>
    <row r="3324" spans="1:48" ht="14.65" thickBot="1" x14ac:dyDescent="0.5">
      <c r="A3324" s="35" t="s">
        <v>2257</v>
      </c>
      <c r="B3324" s="3" t="s">
        <v>2258</v>
      </c>
      <c r="C3324" s="4" t="s">
        <v>10</v>
      </c>
      <c r="D3324" s="4" t="s">
        <v>10</v>
      </c>
      <c r="E3324" s="4" t="s">
        <v>10</v>
      </c>
      <c r="F3324" s="4" t="s">
        <v>10</v>
      </c>
      <c r="G3324" s="4" t="s">
        <v>10</v>
      </c>
      <c r="H3324" s="4" t="s">
        <v>10</v>
      </c>
      <c r="I3324" s="18" t="s">
        <v>2473</v>
      </c>
      <c r="J3324" s="18" t="s">
        <v>2473</v>
      </c>
      <c r="K3324" s="18" t="s">
        <v>2473</v>
      </c>
      <c r="L3324" s="18" t="s">
        <v>2336</v>
      </c>
      <c r="AU3324" s="6"/>
      <c r="AV3324" s="6" t="str">
        <f t="shared" si="68"/>
        <v/>
      </c>
    </row>
    <row r="3325" spans="1:48" ht="14.65" thickBot="1" x14ac:dyDescent="0.5">
      <c r="A3325" s="35" t="s">
        <v>2037</v>
      </c>
      <c r="B3325" s="3" t="s">
        <v>60</v>
      </c>
      <c r="C3325" s="4"/>
      <c r="D3325" s="4"/>
      <c r="E3325" s="4"/>
      <c r="F3325" s="4"/>
      <c r="G3325" s="4"/>
      <c r="H3325" s="4"/>
      <c r="I3325" s="18" t="s">
        <v>2473</v>
      </c>
      <c r="J3325" s="18" t="s">
        <v>2473</v>
      </c>
      <c r="K3325" s="18" t="s">
        <v>2473</v>
      </c>
      <c r="L3325" s="18" t="s">
        <v>2336</v>
      </c>
      <c r="AU3325" s="8"/>
      <c r="AV3325" s="6" t="str">
        <f t="shared" si="68"/>
        <v/>
      </c>
    </row>
    <row r="3326" spans="1:48" ht="36" thickBot="1" x14ac:dyDescent="0.5">
      <c r="A3326" s="35" t="s">
        <v>2259</v>
      </c>
      <c r="B3326" s="3" t="s">
        <v>2260</v>
      </c>
      <c r="C3326" s="4" t="s">
        <v>13</v>
      </c>
      <c r="D3326" s="4" t="s">
        <v>13</v>
      </c>
      <c r="E3326" s="4" t="s">
        <v>13</v>
      </c>
      <c r="F3326" s="4" t="s">
        <v>13</v>
      </c>
      <c r="G3326" s="4" t="s">
        <v>13</v>
      </c>
      <c r="H3326" s="4" t="s">
        <v>13</v>
      </c>
      <c r="I3326" s="18" t="s">
        <v>2473</v>
      </c>
      <c r="J3326" s="18" t="s">
        <v>2473</v>
      </c>
      <c r="K3326" s="18" t="s">
        <v>2473</v>
      </c>
      <c r="L3326" s="18" t="s">
        <v>2336</v>
      </c>
      <c r="AU3326" s="139" t="s">
        <v>4088</v>
      </c>
      <c r="AV3326" s="6" t="str">
        <f t="shared" si="68"/>
        <v/>
      </c>
    </row>
    <row r="3327" spans="1:48" ht="36" thickBot="1" x14ac:dyDescent="0.5">
      <c r="A3327" s="35" t="s">
        <v>2261</v>
      </c>
      <c r="B3327" s="3" t="s">
        <v>2262</v>
      </c>
      <c r="C3327" s="4" t="s">
        <v>10</v>
      </c>
      <c r="D3327" s="4" t="s">
        <v>13</v>
      </c>
      <c r="E3327" s="4" t="s">
        <v>10</v>
      </c>
      <c r="F3327" s="4" t="s">
        <v>13</v>
      </c>
      <c r="G3327" s="4" t="s">
        <v>10</v>
      </c>
      <c r="H3327" s="4" t="s">
        <v>13</v>
      </c>
      <c r="I3327" s="18" t="s">
        <v>2473</v>
      </c>
      <c r="J3327" s="18" t="s">
        <v>2473</v>
      </c>
      <c r="K3327" s="18" t="s">
        <v>2473</v>
      </c>
      <c r="L3327" s="18" t="s">
        <v>2336</v>
      </c>
      <c r="AU3327" s="139" t="s">
        <v>4089</v>
      </c>
      <c r="AV3327" s="6" t="str">
        <f t="shared" si="68"/>
        <v/>
      </c>
    </row>
    <row r="3328" spans="1:48" ht="23.65" thickBot="1" x14ac:dyDescent="0.5">
      <c r="A3328" s="35" t="s">
        <v>2263</v>
      </c>
      <c r="B3328" s="3" t="s">
        <v>2264</v>
      </c>
      <c r="C3328" s="4" t="s">
        <v>13</v>
      </c>
      <c r="D3328" s="4" t="s">
        <v>13</v>
      </c>
      <c r="E3328" s="4" t="s">
        <v>13</v>
      </c>
      <c r="F3328" s="4" t="s">
        <v>13</v>
      </c>
      <c r="G3328" s="4" t="s">
        <v>13</v>
      </c>
      <c r="H3328" s="4" t="s">
        <v>13</v>
      </c>
      <c r="I3328" s="18" t="s">
        <v>2473</v>
      </c>
      <c r="J3328" s="18" t="s">
        <v>2473</v>
      </c>
      <c r="K3328" s="18" t="s">
        <v>2473</v>
      </c>
      <c r="L3328" s="18" t="s">
        <v>2336</v>
      </c>
      <c r="AU3328" s="6"/>
      <c r="AV3328" s="6" t="str">
        <f t="shared" si="68"/>
        <v/>
      </c>
    </row>
    <row r="3329" spans="1:48" ht="70.900000000000006" thickBot="1" x14ac:dyDescent="0.5">
      <c r="A3329" s="35" t="s">
        <v>894</v>
      </c>
      <c r="B3329" s="3" t="s">
        <v>578</v>
      </c>
      <c r="C3329" s="4" t="s">
        <v>10</v>
      </c>
      <c r="D3329" s="4" t="s">
        <v>13</v>
      </c>
      <c r="E3329" s="4" t="s">
        <v>10</v>
      </c>
      <c r="F3329" s="4" t="s">
        <v>13</v>
      </c>
      <c r="G3329" s="4" t="s">
        <v>10</v>
      </c>
      <c r="H3329" s="4" t="s">
        <v>13</v>
      </c>
      <c r="I3329" s="18" t="s">
        <v>2473</v>
      </c>
      <c r="J3329" s="18" t="s">
        <v>2473</v>
      </c>
      <c r="K3329" s="18" t="s">
        <v>2473</v>
      </c>
      <c r="L3329" s="18" t="s">
        <v>2336</v>
      </c>
      <c r="AU3329" s="139" t="s">
        <v>4084</v>
      </c>
      <c r="AV3329" s="6" t="str">
        <f t="shared" si="68"/>
        <v/>
      </c>
    </row>
    <row r="3330" spans="1:48" ht="23.65" thickBot="1" x14ac:dyDescent="0.5">
      <c r="A3330" s="36" t="s">
        <v>2273</v>
      </c>
      <c r="B3330" s="3" t="s">
        <v>2274</v>
      </c>
      <c r="C3330" s="4"/>
      <c r="D3330" s="4"/>
      <c r="E3330" s="4"/>
      <c r="F3330" s="4"/>
      <c r="G3330" s="4"/>
      <c r="H3330" s="4"/>
      <c r="I3330" s="18" t="s">
        <v>2473</v>
      </c>
      <c r="J3330" s="18" t="s">
        <v>2473</v>
      </c>
      <c r="K3330" s="18" t="s">
        <v>2473</v>
      </c>
      <c r="L3330" s="18" t="s">
        <v>2336</v>
      </c>
      <c r="AU3330" s="8"/>
      <c r="AV3330" s="6" t="str">
        <f t="shared" si="68"/>
        <v/>
      </c>
    </row>
    <row r="3331" spans="1:48" ht="36" thickBot="1" x14ac:dyDescent="0.5">
      <c r="A3331" s="36" t="s">
        <v>2275</v>
      </c>
      <c r="B3331" s="3" t="s">
        <v>2276</v>
      </c>
      <c r="C3331" s="4" t="s">
        <v>13</v>
      </c>
      <c r="D3331" s="4"/>
      <c r="E3331" s="4" t="s">
        <v>13</v>
      </c>
      <c r="F3331" s="4"/>
      <c r="G3331" s="4" t="s">
        <v>13</v>
      </c>
      <c r="H3331" s="4"/>
      <c r="I3331" s="18" t="s">
        <v>2473</v>
      </c>
      <c r="J3331" s="18" t="s">
        <v>2473</v>
      </c>
      <c r="K3331" s="18" t="s">
        <v>2473</v>
      </c>
      <c r="L3331" s="18" t="s">
        <v>2336</v>
      </c>
      <c r="AU3331" s="139" t="s">
        <v>4091</v>
      </c>
      <c r="AV3331" s="6" t="str">
        <f t="shared" si="68"/>
        <v/>
      </c>
    </row>
    <row r="3332" spans="1:48" ht="36" thickBot="1" x14ac:dyDescent="0.5">
      <c r="A3332" s="36" t="s">
        <v>2277</v>
      </c>
      <c r="B3332" s="3" t="s">
        <v>2278</v>
      </c>
      <c r="C3332" s="4" t="s">
        <v>13</v>
      </c>
      <c r="D3332" s="4"/>
      <c r="E3332" s="4" t="s">
        <v>13</v>
      </c>
      <c r="F3332" s="4"/>
      <c r="G3332" s="4" t="s">
        <v>13</v>
      </c>
      <c r="H3332" s="4"/>
      <c r="I3332" s="18" t="s">
        <v>2473</v>
      </c>
      <c r="J3332" s="18" t="s">
        <v>2473</v>
      </c>
      <c r="K3332" s="18" t="s">
        <v>2473</v>
      </c>
      <c r="L3332" s="18" t="s">
        <v>2336</v>
      </c>
      <c r="AU3332" s="139" t="s">
        <v>4092</v>
      </c>
      <c r="AV3332" s="6" t="str">
        <f t="shared" si="68"/>
        <v/>
      </c>
    </row>
    <row r="3333" spans="1:48" ht="23.65" thickBot="1" x14ac:dyDescent="0.5">
      <c r="A3333" s="36" t="s">
        <v>2279</v>
      </c>
      <c r="B3333" s="3" t="s">
        <v>2280</v>
      </c>
      <c r="C3333" s="4"/>
      <c r="D3333" s="4"/>
      <c r="E3333" s="4"/>
      <c r="F3333" s="4"/>
      <c r="G3333" s="4"/>
      <c r="H3333" s="4"/>
      <c r="I3333" s="18" t="s">
        <v>2473</v>
      </c>
      <c r="J3333" s="18" t="s">
        <v>2473</v>
      </c>
      <c r="K3333" s="18" t="s">
        <v>2473</v>
      </c>
      <c r="L3333" s="18" t="s">
        <v>2336</v>
      </c>
      <c r="AU3333" s="8"/>
      <c r="AV3333" s="6" t="str">
        <f t="shared" si="68"/>
        <v/>
      </c>
    </row>
    <row r="3334" spans="1:48" ht="14.65" thickBot="1" x14ac:dyDescent="0.5">
      <c r="A3334" s="35" t="s">
        <v>33</v>
      </c>
      <c r="B3334" s="3" t="s">
        <v>2281</v>
      </c>
      <c r="C3334" s="4"/>
      <c r="D3334" s="4"/>
      <c r="E3334" s="4"/>
      <c r="F3334" s="4"/>
      <c r="G3334" s="4"/>
      <c r="H3334" s="4"/>
      <c r="I3334" s="18" t="s">
        <v>2473</v>
      </c>
      <c r="J3334" s="18" t="s">
        <v>2473</v>
      </c>
      <c r="K3334" s="18" t="s">
        <v>2473</v>
      </c>
      <c r="L3334" s="18" t="s">
        <v>2336</v>
      </c>
      <c r="AU3334" s="8"/>
      <c r="AV3334" s="6" t="str">
        <f t="shared" si="68"/>
        <v/>
      </c>
    </row>
    <row r="3335" spans="1:48" ht="36" thickBot="1" x14ac:dyDescent="0.5">
      <c r="A3335" s="36" t="s">
        <v>2282</v>
      </c>
      <c r="B3335" s="3" t="s">
        <v>2283</v>
      </c>
      <c r="C3335" s="4" t="s">
        <v>13</v>
      </c>
      <c r="D3335" s="4"/>
      <c r="E3335" s="4" t="s">
        <v>13</v>
      </c>
      <c r="F3335" s="4"/>
      <c r="G3335" s="4" t="s">
        <v>13</v>
      </c>
      <c r="H3335" s="4"/>
      <c r="I3335" s="18" t="s">
        <v>2473</v>
      </c>
      <c r="J3335" s="18" t="s">
        <v>2473</v>
      </c>
      <c r="K3335" s="18" t="s">
        <v>2473</v>
      </c>
      <c r="L3335" s="18" t="s">
        <v>2336</v>
      </c>
      <c r="AT3335" s="233" t="s">
        <v>5316</v>
      </c>
      <c r="AU3335" s="8"/>
      <c r="AV3335" s="6" t="str">
        <f t="shared" si="68"/>
        <v/>
      </c>
    </row>
    <row r="3336" spans="1:48" ht="14.65" thickBot="1" x14ac:dyDescent="0.5">
      <c r="A3336" s="35" t="s">
        <v>33</v>
      </c>
      <c r="B3336" s="3" t="s">
        <v>2284</v>
      </c>
      <c r="C3336" s="4"/>
      <c r="D3336" s="4"/>
      <c r="E3336" s="4"/>
      <c r="F3336" s="4"/>
      <c r="G3336" s="4"/>
      <c r="H3336" s="4"/>
      <c r="I3336" s="18" t="s">
        <v>2473</v>
      </c>
      <c r="J3336" s="18" t="s">
        <v>2473</v>
      </c>
      <c r="K3336" s="18" t="s">
        <v>2473</v>
      </c>
      <c r="L3336" s="18" t="s">
        <v>2336</v>
      </c>
      <c r="AU3336" s="6"/>
      <c r="AV3336" s="6" t="str">
        <f t="shared" si="68"/>
        <v/>
      </c>
    </row>
    <row r="3337" spans="1:48" ht="46.9" thickBot="1" x14ac:dyDescent="0.5">
      <c r="A3337" s="36" t="s">
        <v>577</v>
      </c>
      <c r="B3337" s="3" t="s">
        <v>2285</v>
      </c>
      <c r="C3337" s="4" t="s">
        <v>13</v>
      </c>
      <c r="D3337" s="4" t="s">
        <v>13</v>
      </c>
      <c r="E3337" s="4" t="s">
        <v>13</v>
      </c>
      <c r="F3337" s="4" t="s">
        <v>13</v>
      </c>
      <c r="G3337" s="4" t="s">
        <v>13</v>
      </c>
      <c r="H3337" s="4" t="s">
        <v>13</v>
      </c>
      <c r="I3337" s="18" t="s">
        <v>2473</v>
      </c>
      <c r="J3337" s="18" t="s">
        <v>2473</v>
      </c>
      <c r="K3337" s="18" t="s">
        <v>2473</v>
      </c>
      <c r="L3337" s="18" t="s">
        <v>2336</v>
      </c>
      <c r="AU3337" s="139" t="s">
        <v>4090</v>
      </c>
      <c r="AV3337" s="6" t="str">
        <f t="shared" si="68"/>
        <v/>
      </c>
    </row>
    <row r="3338" spans="1:48" ht="47.65" thickBot="1" x14ac:dyDescent="0.5">
      <c r="A3338" s="36" t="s">
        <v>145</v>
      </c>
      <c r="B3338" s="3" t="s">
        <v>3968</v>
      </c>
      <c r="C3338" s="4"/>
      <c r="D3338" s="4"/>
      <c r="E3338" s="4"/>
      <c r="F3338" s="4"/>
      <c r="G3338" s="4"/>
      <c r="H3338" s="4"/>
      <c r="I3338" s="18" t="s">
        <v>2473</v>
      </c>
      <c r="J3338" s="18" t="s">
        <v>2473</v>
      </c>
      <c r="K3338" s="18" t="s">
        <v>2473</v>
      </c>
      <c r="L3338" s="18" t="s">
        <v>2336</v>
      </c>
      <c r="AS3338" s="139" t="s">
        <v>5364</v>
      </c>
      <c r="AU3338" s="6"/>
      <c r="AV3338" s="6" t="str">
        <f t="shared" si="68"/>
        <v/>
      </c>
    </row>
    <row r="3339" spans="1:48" ht="47.65" thickBot="1" x14ac:dyDescent="0.5">
      <c r="A3339" s="35" t="s">
        <v>5361</v>
      </c>
      <c r="B3339" s="3" t="s">
        <v>5352</v>
      </c>
      <c r="C3339" s="4"/>
      <c r="D3339" s="4"/>
      <c r="E3339" s="4"/>
      <c r="F3339" s="4"/>
      <c r="G3339" s="4"/>
      <c r="H3339" s="4"/>
      <c r="I3339" s="18" t="s">
        <v>2473</v>
      </c>
      <c r="J3339" s="18" t="s">
        <v>2473</v>
      </c>
      <c r="K3339" s="18" t="s">
        <v>2473</v>
      </c>
      <c r="L3339" s="18" t="s">
        <v>2336</v>
      </c>
      <c r="Q3339" s="131"/>
      <c r="R3339" s="131"/>
      <c r="S3339" s="131"/>
      <c r="T3339" s="131"/>
      <c r="U3339" s="131"/>
      <c r="V3339" s="131"/>
      <c r="W3339" s="131"/>
      <c r="X3339" s="131"/>
      <c r="AS3339" s="139" t="s">
        <v>5364</v>
      </c>
      <c r="AU3339" s="6"/>
      <c r="AV3339" s="6"/>
    </row>
    <row r="3340" spans="1:48" ht="47.65" thickBot="1" x14ac:dyDescent="0.5">
      <c r="A3340" s="35" t="s">
        <v>5360</v>
      </c>
      <c r="B3340" s="3" t="s">
        <v>5353</v>
      </c>
      <c r="C3340" s="4"/>
      <c r="D3340" s="4"/>
      <c r="E3340" s="4"/>
      <c r="F3340" s="4"/>
      <c r="G3340" s="4"/>
      <c r="H3340" s="4"/>
      <c r="I3340" s="18" t="s">
        <v>2473</v>
      </c>
      <c r="J3340" s="18" t="s">
        <v>2473</v>
      </c>
      <c r="K3340" s="18" t="s">
        <v>2473</v>
      </c>
      <c r="L3340" s="18" t="s">
        <v>2336</v>
      </c>
      <c r="Q3340" s="131"/>
      <c r="R3340" s="131"/>
      <c r="S3340" s="131"/>
      <c r="T3340" s="131"/>
      <c r="U3340" s="131"/>
      <c r="V3340" s="131"/>
      <c r="W3340" s="131"/>
      <c r="X3340" s="131"/>
      <c r="AS3340" s="139" t="s">
        <v>5364</v>
      </c>
      <c r="AU3340" s="6"/>
      <c r="AV3340" s="6"/>
    </row>
    <row r="3341" spans="1:48" x14ac:dyDescent="0.45">
      <c r="A3341" s="33" t="s">
        <v>2631</v>
      </c>
      <c r="B3341" s="73"/>
      <c r="C3341" s="6"/>
      <c r="D3341" s="6"/>
      <c r="E3341" s="6"/>
      <c r="F3341" s="6"/>
      <c r="G3341" s="6"/>
      <c r="H3341" s="6"/>
      <c r="L3341" s="18" t="s">
        <v>2336</v>
      </c>
      <c r="AU3341" s="6"/>
      <c r="AV3341" s="6" t="str">
        <f t="shared" si="68"/>
        <v/>
      </c>
    </row>
    <row r="3342" spans="1:48" x14ac:dyDescent="0.45">
      <c r="A3342" s="74" t="s">
        <v>2629</v>
      </c>
      <c r="B3342" s="73"/>
      <c r="C3342" s="6"/>
      <c r="D3342" s="6"/>
      <c r="E3342" s="6"/>
      <c r="F3342" s="6"/>
      <c r="G3342" s="6"/>
      <c r="H3342" s="6"/>
      <c r="L3342" s="18" t="s">
        <v>2336</v>
      </c>
      <c r="AU3342" s="6"/>
      <c r="AV3342" s="6" t="str">
        <f t="shared" si="68"/>
        <v/>
      </c>
    </row>
    <row r="3343" spans="1:48" x14ac:dyDescent="0.45">
      <c r="A3343" s="74" t="s">
        <v>2630</v>
      </c>
      <c r="B3343" s="73"/>
      <c r="C3343" s="6"/>
      <c r="D3343" s="6"/>
      <c r="E3343" s="6"/>
      <c r="F3343" s="6"/>
      <c r="G3343" s="6"/>
      <c r="H3343" s="6"/>
      <c r="L3343" s="18" t="s">
        <v>2336</v>
      </c>
      <c r="AU3343" s="6"/>
      <c r="AV3343" s="6" t="str">
        <f t="shared" si="68"/>
        <v/>
      </c>
    </row>
    <row r="3344" spans="1:48" s="79" customFormat="1" x14ac:dyDescent="0.45">
      <c r="A3344" s="75"/>
      <c r="B3344" s="76"/>
      <c r="C3344" s="77"/>
      <c r="D3344" s="77"/>
      <c r="E3344" s="77"/>
      <c r="F3344" s="77"/>
      <c r="G3344" s="77"/>
      <c r="H3344" s="77"/>
      <c r="I3344" s="77"/>
      <c r="J3344" s="77"/>
      <c r="K3344" s="77"/>
      <c r="L3344" s="77"/>
      <c r="M3344" s="148"/>
      <c r="N3344" s="78"/>
      <c r="O3344" s="78"/>
      <c r="P3344" s="78"/>
      <c r="Q3344" s="78"/>
      <c r="R3344" s="78"/>
      <c r="S3344" s="78"/>
      <c r="T3344" s="78"/>
      <c r="U3344" s="78"/>
      <c r="V3344" s="78"/>
      <c r="W3344" s="78"/>
      <c r="X3344" s="78"/>
      <c r="Y3344" s="148"/>
      <c r="Z3344" s="78"/>
      <c r="AA3344" s="78"/>
      <c r="AB3344" s="78"/>
      <c r="AC3344" s="78"/>
      <c r="AD3344" s="78"/>
      <c r="AE3344" s="156"/>
      <c r="AF3344" s="156"/>
      <c r="AG3344" s="78"/>
      <c r="AH3344" s="78"/>
      <c r="AI3344" s="78"/>
      <c r="AJ3344" s="78"/>
      <c r="AK3344" s="78"/>
      <c r="AL3344" s="78"/>
      <c r="AM3344" s="78"/>
      <c r="AN3344" s="78"/>
      <c r="AO3344" s="78"/>
      <c r="AP3344" s="78"/>
      <c r="AQ3344" s="78"/>
      <c r="AR3344" s="286"/>
      <c r="AS3344" s="78"/>
      <c r="AT3344" s="78"/>
      <c r="AU3344" s="8"/>
      <c r="AV3344" s="6" t="str">
        <f t="shared" si="68"/>
        <v/>
      </c>
    </row>
    <row r="3345" spans="1:48" x14ac:dyDescent="0.45">
      <c r="A3345" s="27" t="s">
        <v>2466</v>
      </c>
      <c r="I3345" s="18" t="s">
        <v>2473</v>
      </c>
      <c r="J3345" s="18" t="s">
        <v>2473</v>
      </c>
      <c r="K3345" s="18" t="s">
        <v>2473</v>
      </c>
      <c r="L3345" s="18" t="s">
        <v>2335</v>
      </c>
      <c r="AU3345" s="8"/>
      <c r="AV3345" s="6" t="str">
        <f t="shared" si="68"/>
        <v/>
      </c>
    </row>
    <row r="3346" spans="1:48" x14ac:dyDescent="0.45">
      <c r="A3346" s="323" t="s">
        <v>2286</v>
      </c>
      <c r="B3346" s="324"/>
      <c r="C3346" s="324"/>
      <c r="D3346" s="324"/>
      <c r="E3346" s="324"/>
      <c r="F3346" s="324"/>
      <c r="G3346" s="101"/>
      <c r="H3346" s="101"/>
      <c r="I3346" s="18" t="s">
        <v>2473</v>
      </c>
      <c r="J3346" s="18" t="s">
        <v>2473</v>
      </c>
      <c r="K3346" s="18" t="s">
        <v>2473</v>
      </c>
      <c r="L3346" s="18" t="s">
        <v>2335</v>
      </c>
      <c r="AU3346" s="8"/>
      <c r="AV3346" s="6" t="str">
        <f t="shared" si="68"/>
        <v/>
      </c>
    </row>
    <row r="3347" spans="1:48" x14ac:dyDescent="0.45">
      <c r="A3347" s="323" t="s">
        <v>2287</v>
      </c>
      <c r="B3347" s="324"/>
      <c r="C3347" s="324"/>
      <c r="D3347" s="324"/>
      <c r="E3347" s="324"/>
      <c r="F3347" s="324"/>
      <c r="G3347" s="101"/>
      <c r="H3347" s="101"/>
      <c r="I3347" s="18" t="s">
        <v>2473</v>
      </c>
      <c r="J3347" s="18" t="s">
        <v>2473</v>
      </c>
      <c r="K3347" s="18" t="s">
        <v>2473</v>
      </c>
      <c r="L3347" s="18" t="s">
        <v>2335</v>
      </c>
      <c r="AU3347" s="8"/>
      <c r="AV3347" s="6" t="str">
        <f t="shared" si="68"/>
        <v/>
      </c>
    </row>
    <row r="3348" spans="1:48" s="79" customFormat="1" x14ac:dyDescent="0.45">
      <c r="A3348" s="75"/>
      <c r="B3348" s="76"/>
      <c r="C3348" s="77"/>
      <c r="D3348" s="77"/>
      <c r="E3348" s="77"/>
      <c r="F3348" s="77"/>
      <c r="G3348" s="77"/>
      <c r="H3348" s="77"/>
      <c r="I3348" s="77"/>
      <c r="J3348" s="77"/>
      <c r="K3348" s="77"/>
      <c r="L3348" s="77"/>
      <c r="M3348" s="148"/>
      <c r="N3348" s="78"/>
      <c r="O3348" s="78"/>
      <c r="P3348" s="78"/>
      <c r="Q3348" s="78"/>
      <c r="R3348" s="78"/>
      <c r="S3348" s="78"/>
      <c r="T3348" s="78"/>
      <c r="U3348" s="78"/>
      <c r="V3348" s="78"/>
      <c r="W3348" s="78"/>
      <c r="X3348" s="78"/>
      <c r="Y3348" s="148"/>
      <c r="Z3348" s="78"/>
      <c r="AA3348" s="78"/>
      <c r="AB3348" s="78"/>
      <c r="AC3348" s="78"/>
      <c r="AD3348" s="78"/>
      <c r="AE3348" s="156"/>
      <c r="AF3348" s="156"/>
      <c r="AG3348" s="78"/>
      <c r="AH3348" s="78"/>
      <c r="AI3348" s="78"/>
      <c r="AJ3348" s="78"/>
      <c r="AK3348" s="78"/>
      <c r="AL3348" s="78"/>
      <c r="AM3348" s="78"/>
      <c r="AN3348" s="78"/>
      <c r="AO3348" s="78"/>
      <c r="AP3348" s="78"/>
      <c r="AQ3348" s="78"/>
      <c r="AR3348" s="286"/>
      <c r="AS3348" s="78"/>
      <c r="AT3348" s="78"/>
      <c r="AU3348" s="8"/>
      <c r="AV3348" s="6" t="str">
        <f t="shared" si="68"/>
        <v/>
      </c>
    </row>
    <row r="3349" spans="1:48" x14ac:dyDescent="0.45">
      <c r="A3349" s="27" t="s">
        <v>2467</v>
      </c>
      <c r="I3349" s="18" t="s">
        <v>2473</v>
      </c>
      <c r="J3349" s="18" t="s">
        <v>2473</v>
      </c>
      <c r="K3349" s="18" t="s">
        <v>2473</v>
      </c>
      <c r="L3349" s="18" t="s">
        <v>2336</v>
      </c>
      <c r="AU3349" s="8"/>
      <c r="AV3349" s="6" t="str">
        <f t="shared" si="68"/>
        <v/>
      </c>
    </row>
    <row r="3350" spans="1:48" x14ac:dyDescent="0.45">
      <c r="A3350" s="323" t="s">
        <v>2550</v>
      </c>
      <c r="B3350" s="324"/>
      <c r="C3350" s="324"/>
      <c r="D3350" s="324"/>
      <c r="E3350" s="324"/>
      <c r="F3350" s="324"/>
      <c r="G3350" s="101"/>
      <c r="H3350" s="101"/>
      <c r="I3350" s="18" t="s">
        <v>2473</v>
      </c>
      <c r="J3350" s="18" t="s">
        <v>2473</v>
      </c>
      <c r="K3350" s="18" t="s">
        <v>2473</v>
      </c>
      <c r="L3350" s="18" t="s">
        <v>2336</v>
      </c>
      <c r="AU3350" s="8"/>
      <c r="AV3350" s="6" t="str">
        <f t="shared" si="68"/>
        <v/>
      </c>
    </row>
    <row r="3351" spans="1:48" ht="14.65" thickBot="1" x14ac:dyDescent="0.5">
      <c r="A3351" s="28" t="s">
        <v>2288</v>
      </c>
      <c r="I3351" s="18" t="s">
        <v>2473</v>
      </c>
      <c r="J3351" s="18" t="s">
        <v>2473</v>
      </c>
      <c r="K3351" s="18" t="s">
        <v>2473</v>
      </c>
      <c r="L3351" s="18" t="s">
        <v>2336</v>
      </c>
      <c r="AA3351" s="183" t="s">
        <v>2322</v>
      </c>
      <c r="AB3351" s="183" t="s">
        <v>1697</v>
      </c>
      <c r="AC3351" s="183" t="s">
        <v>5</v>
      </c>
      <c r="AU3351" s="8"/>
      <c r="AV3351" s="6" t="str">
        <f t="shared" si="68"/>
        <v/>
      </c>
    </row>
    <row r="3352" spans="1:48" ht="81.75" thickBot="1" x14ac:dyDescent="0.5">
      <c r="A3352" s="309" t="s">
        <v>2289</v>
      </c>
      <c r="B3352" s="310"/>
      <c r="C3352" s="301" t="s">
        <v>1</v>
      </c>
      <c r="D3352" s="319"/>
      <c r="E3352" s="319"/>
      <c r="F3352" s="302"/>
      <c r="G3352" s="102"/>
      <c r="H3352" s="102"/>
      <c r="I3352" s="18" t="s">
        <v>2473</v>
      </c>
      <c r="L3352" s="18" t="s">
        <v>2336</v>
      </c>
      <c r="AA3352" s="183" t="str">
        <f>LEFT($A3352,FIND(" ",$A3352)-1)</f>
        <v>ManagerAccount</v>
      </c>
      <c r="AB3352" s="183" t="str">
        <f>MID($A3352,FIND("(",$A3352)+1,LEN($A3352)-FIND("(",$A3352)-1)</f>
        <v>1.1.3</v>
      </c>
      <c r="AC3352" s="101" t="str">
        <f>A3350</f>
        <v>The ManagerAccount resource is used for user accounts, owned by a manager.</v>
      </c>
      <c r="AU3352" s="8"/>
      <c r="AV3352" s="6" t="str">
        <f t="shared" si="68"/>
        <v/>
      </c>
    </row>
    <row r="3353" spans="1:48" ht="14.65" thickBot="1" x14ac:dyDescent="0.5">
      <c r="A3353" s="311"/>
      <c r="B3353" s="312"/>
      <c r="C3353" s="301" t="s">
        <v>2</v>
      </c>
      <c r="D3353" s="302"/>
      <c r="E3353" s="301" t="s">
        <v>3</v>
      </c>
      <c r="F3353" s="302"/>
      <c r="G3353" s="301" t="s">
        <v>2896</v>
      </c>
      <c r="H3353" s="302"/>
      <c r="I3353" s="18" t="s">
        <v>2473</v>
      </c>
      <c r="L3353" s="18" t="s">
        <v>2336</v>
      </c>
      <c r="AA3353" s="183" t="s">
        <v>2322</v>
      </c>
      <c r="AB3353" s="183" t="s">
        <v>1697</v>
      </c>
      <c r="AC3353" s="183" t="s">
        <v>5</v>
      </c>
      <c r="AU3353" s="8"/>
      <c r="AV3353" s="6" t="str">
        <f t="shared" si="68"/>
        <v/>
      </c>
    </row>
    <row r="3354" spans="1:48" ht="81.75" thickBot="1" x14ac:dyDescent="0.5">
      <c r="A3354" s="309" t="s">
        <v>3206</v>
      </c>
      <c r="B3354" s="310"/>
      <c r="C3354" s="301" t="s">
        <v>1</v>
      </c>
      <c r="D3354" s="319"/>
      <c r="E3354" s="319"/>
      <c r="F3354" s="302"/>
      <c r="G3354" s="102"/>
      <c r="H3354" s="102"/>
      <c r="J3354" s="18" t="s">
        <v>2473</v>
      </c>
      <c r="K3354" s="18" t="s">
        <v>2473</v>
      </c>
      <c r="L3354" s="18" t="s">
        <v>2336</v>
      </c>
      <c r="AA3354" s="183" t="str">
        <f>LEFT($A3354,FIND(" ",$A3354)-1)</f>
        <v>ManagerAccount</v>
      </c>
      <c r="AB3354" s="183" t="str">
        <f>MID($A3354,FIND("(",$A3354)+1,LEN($A3354)-FIND("(",$A3354)-1)</f>
        <v>1.3.0</v>
      </c>
      <c r="AC3354" s="101" t="str">
        <f>AC3352</f>
        <v>The ManagerAccount resource is used for user accounts, owned by a manager.</v>
      </c>
      <c r="AU3354" s="8"/>
      <c r="AV3354" s="6" t="str">
        <f t="shared" si="68"/>
        <v/>
      </c>
    </row>
    <row r="3355" spans="1:48" ht="14.65" thickBot="1" x14ac:dyDescent="0.5">
      <c r="A3355" s="311"/>
      <c r="B3355" s="312"/>
      <c r="C3355" s="301" t="s">
        <v>2</v>
      </c>
      <c r="D3355" s="302"/>
      <c r="E3355" s="301" t="s">
        <v>3</v>
      </c>
      <c r="F3355" s="302"/>
      <c r="G3355" s="301" t="s">
        <v>2896</v>
      </c>
      <c r="H3355" s="302"/>
      <c r="J3355" s="18" t="s">
        <v>2473</v>
      </c>
      <c r="K3355" s="18" t="s">
        <v>2473</v>
      </c>
      <c r="L3355" s="18" t="s">
        <v>2336</v>
      </c>
      <c r="AM3355" s="8" t="str">
        <f>C3355</f>
        <v>OSM-Redfish</v>
      </c>
      <c r="AN3355" s="8" t="str">
        <f>E3355</f>
        <v>OSM-RedfishBMC</v>
      </c>
      <c r="AO3355" s="8" t="str">
        <f>G3355</f>
        <v>OSM-RedfishDCN</v>
      </c>
      <c r="AU3355" s="8"/>
      <c r="AV3355" s="6" t="str">
        <f t="shared" si="68"/>
        <v/>
      </c>
    </row>
    <row r="3356" spans="1:48" ht="36" thickBot="1" x14ac:dyDescent="0.5">
      <c r="A3356" s="46" t="s">
        <v>2377</v>
      </c>
      <c r="B3356" s="47"/>
      <c r="C3356" s="303" t="s">
        <v>13</v>
      </c>
      <c r="D3356" s="304"/>
      <c r="E3356" s="303" t="s">
        <v>13</v>
      </c>
      <c r="F3356" s="304"/>
      <c r="G3356" s="303" t="s">
        <v>13</v>
      </c>
      <c r="H3356" s="304"/>
      <c r="I3356" s="18" t="s">
        <v>2473</v>
      </c>
      <c r="J3356" s="18" t="s">
        <v>2473</v>
      </c>
      <c r="K3356" s="18" t="s">
        <v>2473</v>
      </c>
      <c r="L3356" s="18" t="s">
        <v>2336</v>
      </c>
      <c r="AM3356" s="8" t="str">
        <f>IF(C3356&lt;&gt;"","CRQ-P5-"&amp;(AM$2+$AP3356*$AP$3),"")</f>
        <v>CRQ-P5-1108</v>
      </c>
      <c r="AN3356" s="8" t="str">
        <f>IF(E3356&lt;&gt;"","CRQ-P5-"&amp;(AN$2+$AP3356*$AP$3),"")</f>
        <v>CRQ-P5-1408</v>
      </c>
      <c r="AO3356" s="8" t="str">
        <f>IF(G3356&lt;&gt;"","CRQ-P5-"&amp;(AO$2+$AP3356*$AP$3),"")</f>
        <v>CRQ-P5-1708</v>
      </c>
      <c r="AP3356" s="8">
        <v>27</v>
      </c>
      <c r="AT3356" s="233" t="s">
        <v>5313</v>
      </c>
      <c r="AU3356" s="6"/>
      <c r="AV3356" s="6" t="str">
        <f t="shared" si="68"/>
        <v/>
      </c>
    </row>
    <row r="3357" spans="1:48" ht="36" thickBot="1" x14ac:dyDescent="0.5">
      <c r="A3357" s="29" t="s">
        <v>3394</v>
      </c>
      <c r="B3357" s="9"/>
      <c r="C3357" s="305" t="str">
        <f>MID($A3352,FIND("(",$A3352)+1,5)</f>
        <v>1.1.3</v>
      </c>
      <c r="D3357" s="306"/>
      <c r="E3357" s="305" t="s">
        <v>3404</v>
      </c>
      <c r="F3357" s="306"/>
      <c r="G3357" s="305" t="s">
        <v>5350</v>
      </c>
      <c r="H3357" s="306"/>
      <c r="I3357" s="18" t="s">
        <v>2473</v>
      </c>
      <c r="J3357" s="18" t="s">
        <v>2473</v>
      </c>
      <c r="K3357" s="18" t="s">
        <v>2473</v>
      </c>
      <c r="L3357" s="18" t="s">
        <v>2336</v>
      </c>
      <c r="AS3357" s="233" t="s">
        <v>5351</v>
      </c>
      <c r="AU3357" s="6"/>
      <c r="AV3357" s="6" t="str">
        <f t="shared" si="68"/>
        <v/>
      </c>
    </row>
    <row r="3358" spans="1:48" ht="14.65" thickBot="1" x14ac:dyDescent="0.5">
      <c r="A3358" s="30" t="s">
        <v>4</v>
      </c>
      <c r="B3358" s="59" t="s">
        <v>5</v>
      </c>
      <c r="C3358" s="7" t="s">
        <v>6</v>
      </c>
      <c r="D3358" s="7" t="s">
        <v>7</v>
      </c>
      <c r="E3358" s="7" t="s">
        <v>6</v>
      </c>
      <c r="F3358" s="7" t="s">
        <v>7</v>
      </c>
      <c r="G3358" s="7" t="s">
        <v>6</v>
      </c>
      <c r="H3358" s="7" t="s">
        <v>7</v>
      </c>
      <c r="I3358" s="18" t="s">
        <v>2473</v>
      </c>
      <c r="J3358" s="18" t="s">
        <v>2473</v>
      </c>
      <c r="K3358" s="18" t="s">
        <v>2473</v>
      </c>
      <c r="L3358" s="18" t="s">
        <v>2336</v>
      </c>
      <c r="AU3358" s="8"/>
      <c r="AV3358" s="6" t="str">
        <f t="shared" si="68"/>
        <v/>
      </c>
    </row>
    <row r="3359" spans="1:48" ht="14.65" thickBot="1" x14ac:dyDescent="0.5">
      <c r="A3359" s="36" t="s">
        <v>8</v>
      </c>
      <c r="B3359" s="3" t="s">
        <v>9</v>
      </c>
      <c r="C3359" s="4"/>
      <c r="D3359" s="4"/>
      <c r="E3359" s="4"/>
      <c r="F3359" s="4"/>
      <c r="G3359" s="4"/>
      <c r="H3359" s="4"/>
      <c r="I3359" s="18" t="s">
        <v>2473</v>
      </c>
      <c r="J3359" s="18" t="s">
        <v>2473</v>
      </c>
      <c r="K3359" s="18" t="s">
        <v>2473</v>
      </c>
      <c r="L3359" s="18" t="s">
        <v>2336</v>
      </c>
      <c r="AU3359" s="8"/>
      <c r="AV3359" s="6" t="str">
        <f t="shared" si="68"/>
        <v/>
      </c>
    </row>
    <row r="3360" spans="1:48" ht="47.65" thickBot="1" x14ac:dyDescent="0.5">
      <c r="A3360" s="36" t="s">
        <v>2603</v>
      </c>
      <c r="B3360" s="3" t="s">
        <v>2627</v>
      </c>
      <c r="C3360" s="4"/>
      <c r="D3360" s="4"/>
      <c r="E3360" s="4" t="s">
        <v>13</v>
      </c>
      <c r="F3360" s="4"/>
      <c r="G3360" s="4"/>
      <c r="H3360" s="4"/>
      <c r="J3360" s="18" t="s">
        <v>2473</v>
      </c>
      <c r="K3360" s="18" t="s">
        <v>2473</v>
      </c>
      <c r="L3360" s="18" t="s">
        <v>2336</v>
      </c>
      <c r="AU3360" s="139" t="s">
        <v>4117</v>
      </c>
      <c r="AV3360" s="6" t="str">
        <f t="shared" si="68"/>
        <v/>
      </c>
    </row>
    <row r="3361" spans="1:48" ht="14.65" thickBot="1" x14ac:dyDescent="0.5">
      <c r="A3361" s="35" t="s">
        <v>33</v>
      </c>
      <c r="B3361" s="3" t="s">
        <v>2628</v>
      </c>
      <c r="C3361" s="4"/>
      <c r="D3361" s="4"/>
      <c r="E3361" s="4"/>
      <c r="F3361" s="4"/>
      <c r="G3361" s="4"/>
      <c r="H3361" s="4"/>
      <c r="J3361" s="18" t="s">
        <v>2473</v>
      </c>
      <c r="K3361" s="18" t="s">
        <v>2473</v>
      </c>
      <c r="L3361" s="18" t="s">
        <v>2336</v>
      </c>
      <c r="AU3361" s="8"/>
      <c r="AV3361" s="6" t="str">
        <f t="shared" si="68"/>
        <v/>
      </c>
    </row>
    <row r="3362" spans="1:48" ht="24.4" thickBot="1" x14ac:dyDescent="0.5">
      <c r="A3362" s="36" t="s">
        <v>773</v>
      </c>
      <c r="B3362" s="3" t="s">
        <v>2290</v>
      </c>
      <c r="C3362" s="4" t="s">
        <v>13</v>
      </c>
      <c r="D3362" s="4" t="s">
        <v>13</v>
      </c>
      <c r="E3362" s="4" t="s">
        <v>13</v>
      </c>
      <c r="F3362" s="4" t="s">
        <v>13</v>
      </c>
      <c r="G3362" s="4" t="s">
        <v>13</v>
      </c>
      <c r="H3362" s="4" t="s">
        <v>13</v>
      </c>
      <c r="I3362" s="18" t="s">
        <v>2473</v>
      </c>
      <c r="J3362" s="18" t="s">
        <v>2473</v>
      </c>
      <c r="K3362" s="18" t="s">
        <v>2473</v>
      </c>
      <c r="L3362" s="18" t="s">
        <v>2336</v>
      </c>
      <c r="AU3362" s="139" t="s">
        <v>4118</v>
      </c>
      <c r="AV3362" s="6" t="str">
        <f t="shared" si="68"/>
        <v/>
      </c>
    </row>
    <row r="3363" spans="1:48" ht="47.65" thickBot="1" x14ac:dyDescent="0.5">
      <c r="A3363" s="36" t="s">
        <v>75</v>
      </c>
      <c r="B3363" s="3" t="s">
        <v>76</v>
      </c>
      <c r="C3363" s="4" t="s">
        <v>10</v>
      </c>
      <c r="D3363" s="4"/>
      <c r="E3363" s="4" t="s">
        <v>10</v>
      </c>
      <c r="F3363" s="4"/>
      <c r="G3363" s="4" t="s">
        <v>10</v>
      </c>
      <c r="H3363" s="4"/>
      <c r="I3363" s="18" t="s">
        <v>2473</v>
      </c>
      <c r="J3363" s="18" t="s">
        <v>2473</v>
      </c>
      <c r="K3363" s="18" t="s">
        <v>2473</v>
      </c>
      <c r="L3363" s="18" t="s">
        <v>2336</v>
      </c>
      <c r="AS3363" s="206" t="s">
        <v>5860</v>
      </c>
      <c r="AU3363" s="8"/>
      <c r="AV3363" s="6" t="str">
        <f t="shared" si="68"/>
        <v/>
      </c>
    </row>
    <row r="3364" spans="1:48" ht="14.65" thickBot="1" x14ac:dyDescent="0.5">
      <c r="A3364" s="35" t="s">
        <v>59</v>
      </c>
      <c r="B3364" s="3" t="s">
        <v>60</v>
      </c>
      <c r="C3364" s="4"/>
      <c r="D3364" s="4"/>
      <c r="E3364" s="4"/>
      <c r="F3364" s="4"/>
      <c r="G3364" s="4"/>
      <c r="H3364" s="4"/>
      <c r="I3364" s="18" t="s">
        <v>2473</v>
      </c>
      <c r="J3364" s="18" t="s">
        <v>2473</v>
      </c>
      <c r="K3364" s="18" t="s">
        <v>2473</v>
      </c>
      <c r="L3364" s="18" t="s">
        <v>2336</v>
      </c>
      <c r="AU3364" s="8"/>
      <c r="AV3364" s="6" t="str">
        <f t="shared" si="68"/>
        <v/>
      </c>
    </row>
    <row r="3365" spans="1:48" ht="35.25" thickBot="1" x14ac:dyDescent="0.5">
      <c r="A3365" s="35" t="s">
        <v>2291</v>
      </c>
      <c r="B3365" s="3" t="s">
        <v>2292</v>
      </c>
      <c r="C3365" s="4" t="s">
        <v>10</v>
      </c>
      <c r="D3365" s="4"/>
      <c r="E3365" s="4" t="s">
        <v>10</v>
      </c>
      <c r="F3365" s="4"/>
      <c r="G3365" s="4" t="s">
        <v>10</v>
      </c>
      <c r="H3365" s="4"/>
      <c r="I3365" s="18" t="s">
        <v>2473</v>
      </c>
      <c r="J3365" s="18" t="s">
        <v>2473</v>
      </c>
      <c r="K3365" s="18" t="s">
        <v>2473</v>
      </c>
      <c r="L3365" s="18" t="s">
        <v>2336</v>
      </c>
      <c r="AU3365" s="8"/>
      <c r="AV3365" s="6" t="str">
        <f t="shared" si="68"/>
        <v/>
      </c>
    </row>
    <row r="3366" spans="1:48" ht="14.65" thickBot="1" x14ac:dyDescent="0.5">
      <c r="A3366" s="35" t="s">
        <v>43</v>
      </c>
      <c r="B3366" s="3" t="s">
        <v>872</v>
      </c>
      <c r="C3366" s="4"/>
      <c r="D3366" s="4"/>
      <c r="E3366" s="4"/>
      <c r="F3366" s="4"/>
      <c r="G3366" s="4"/>
      <c r="H3366" s="4"/>
      <c r="I3366" s="18" t="s">
        <v>2473</v>
      </c>
      <c r="J3366" s="18" t="s">
        <v>2473</v>
      </c>
      <c r="K3366" s="18" t="s">
        <v>2473</v>
      </c>
      <c r="L3366" s="18" t="s">
        <v>2336</v>
      </c>
      <c r="AU3366" s="6"/>
      <c r="AV3366" s="6" t="str">
        <f t="shared" si="68"/>
        <v/>
      </c>
    </row>
    <row r="3367" spans="1:48" ht="14.65" thickBot="1" x14ac:dyDescent="0.5">
      <c r="A3367" s="36" t="s">
        <v>2293</v>
      </c>
      <c r="B3367" s="3" t="s">
        <v>9</v>
      </c>
      <c r="C3367" s="4" t="s">
        <v>13</v>
      </c>
      <c r="D3367" s="4" t="s">
        <v>13</v>
      </c>
      <c r="E3367" s="4" t="s">
        <v>13</v>
      </c>
      <c r="F3367" s="4" t="s">
        <v>13</v>
      </c>
      <c r="G3367" s="4" t="s">
        <v>13</v>
      </c>
      <c r="H3367" s="4" t="s">
        <v>13</v>
      </c>
      <c r="I3367" s="18" t="s">
        <v>2473</v>
      </c>
      <c r="J3367" s="18" t="s">
        <v>2473</v>
      </c>
      <c r="K3367" s="18" t="s">
        <v>2473</v>
      </c>
      <c r="L3367" s="18" t="s">
        <v>2336</v>
      </c>
      <c r="AU3367" s="8"/>
      <c r="AV3367" s="6" t="str">
        <f t="shared" si="68"/>
        <v/>
      </c>
    </row>
    <row r="3368" spans="1:48" ht="23.65" thickBot="1" x14ac:dyDescent="0.5">
      <c r="A3368" s="36" t="s">
        <v>1525</v>
      </c>
      <c r="B3368" s="3" t="s">
        <v>2228</v>
      </c>
      <c r="C3368" s="4" t="s">
        <v>13</v>
      </c>
      <c r="D3368" s="4" t="s">
        <v>10</v>
      </c>
      <c r="E3368" s="4" t="s">
        <v>13</v>
      </c>
      <c r="F3368" s="4" t="s">
        <v>10</v>
      </c>
      <c r="G3368" s="4" t="s">
        <v>13</v>
      </c>
      <c r="H3368" s="4" t="s">
        <v>10</v>
      </c>
      <c r="I3368" s="18" t="s">
        <v>2473</v>
      </c>
      <c r="J3368" s="18" t="s">
        <v>2473</v>
      </c>
      <c r="K3368" s="18" t="s">
        <v>2473</v>
      </c>
      <c r="L3368" s="18" t="s">
        <v>2336</v>
      </c>
      <c r="AU3368" s="8"/>
      <c r="AV3368" s="6" t="str">
        <f t="shared" si="68"/>
        <v/>
      </c>
    </row>
    <row r="3369" spans="1:48" ht="23.65" thickBot="1" x14ac:dyDescent="0.5">
      <c r="A3369" s="36" t="s">
        <v>3207</v>
      </c>
      <c r="B3369" s="3" t="s">
        <v>3208</v>
      </c>
      <c r="C3369" s="4" t="s">
        <v>13</v>
      </c>
      <c r="D3369" s="4" t="s">
        <v>13</v>
      </c>
      <c r="E3369" s="4" t="s">
        <v>13</v>
      </c>
      <c r="F3369" s="4" t="s">
        <v>13</v>
      </c>
      <c r="G3369" s="4" t="s">
        <v>13</v>
      </c>
      <c r="H3369" s="4" t="s">
        <v>13</v>
      </c>
      <c r="J3369" s="18" t="s">
        <v>2473</v>
      </c>
      <c r="K3369" s="18" t="s">
        <v>2473</v>
      </c>
      <c r="L3369" s="18" t="s">
        <v>2336</v>
      </c>
      <c r="AU3369" s="8"/>
      <c r="AV3369" s="6" t="str">
        <f t="shared" si="68"/>
        <v/>
      </c>
    </row>
    <row r="3370" spans="1:48" ht="23.65" thickBot="1" x14ac:dyDescent="0.5">
      <c r="A3370" s="36" t="s">
        <v>2294</v>
      </c>
      <c r="B3370" s="3" t="s">
        <v>2230</v>
      </c>
      <c r="C3370" s="4" t="s">
        <v>10</v>
      </c>
      <c r="D3370" s="4" t="s">
        <v>13</v>
      </c>
      <c r="E3370" s="4" t="s">
        <v>10</v>
      </c>
      <c r="F3370" s="4" t="s">
        <v>13</v>
      </c>
      <c r="G3370" s="4" t="s">
        <v>10</v>
      </c>
      <c r="H3370" s="4" t="s">
        <v>13</v>
      </c>
      <c r="I3370" s="18" t="s">
        <v>2473</v>
      </c>
      <c r="J3370" s="18" t="s">
        <v>2473</v>
      </c>
      <c r="K3370" s="18" t="s">
        <v>2473</v>
      </c>
      <c r="L3370" s="18" t="s">
        <v>2336</v>
      </c>
      <c r="AU3370" s="8"/>
      <c r="AV3370" s="6" t="str">
        <f t="shared" si="68"/>
        <v/>
      </c>
    </row>
    <row r="3371" spans="1:48" ht="23.65" thickBot="1" x14ac:dyDescent="0.5">
      <c r="A3371" s="36" t="s">
        <v>1527</v>
      </c>
      <c r="B3371" s="3" t="s">
        <v>2232</v>
      </c>
      <c r="C3371" s="4" t="s">
        <v>10</v>
      </c>
      <c r="D3371" s="4"/>
      <c r="E3371" s="4" t="s">
        <v>10</v>
      </c>
      <c r="F3371" s="4"/>
      <c r="G3371" s="4" t="s">
        <v>10</v>
      </c>
      <c r="H3371" s="4"/>
      <c r="I3371" s="18" t="s">
        <v>2473</v>
      </c>
      <c r="J3371" s="18" t="s">
        <v>2473</v>
      </c>
      <c r="K3371" s="18" t="s">
        <v>2473</v>
      </c>
      <c r="L3371" s="18" t="s">
        <v>2336</v>
      </c>
      <c r="AU3371" s="8"/>
      <c r="AV3371" s="6" t="str">
        <f t="shared" ref="AV3371:AV3434" si="69">IF(A3371&lt;&gt;"",IF(T3371&lt;&gt;"",IF(LEFT(R3371,3)="Has",IF(TRIM(A3371)&lt;&gt;T3371,"ERROR","OK"),""),""),"")</f>
        <v/>
      </c>
    </row>
    <row r="3372" spans="1:48" x14ac:dyDescent="0.45">
      <c r="A3372" s="33" t="s">
        <v>2295</v>
      </c>
      <c r="I3372" s="18" t="s">
        <v>2473</v>
      </c>
      <c r="J3372" s="18" t="s">
        <v>2473</v>
      </c>
      <c r="K3372" s="18" t="s">
        <v>2473</v>
      </c>
      <c r="L3372" s="18" t="s">
        <v>2336</v>
      </c>
      <c r="AU3372" s="8"/>
      <c r="AV3372" s="6" t="str">
        <f t="shared" si="69"/>
        <v/>
      </c>
    </row>
    <row r="3373" spans="1:48" x14ac:dyDescent="0.45">
      <c r="A3373" s="34" t="s">
        <v>2296</v>
      </c>
      <c r="I3373" s="18" t="s">
        <v>2473</v>
      </c>
      <c r="J3373" s="18" t="s">
        <v>2473</v>
      </c>
      <c r="K3373" s="18" t="s">
        <v>2473</v>
      </c>
      <c r="L3373" s="18" t="s">
        <v>2336</v>
      </c>
      <c r="AU3373" s="8"/>
      <c r="AV3373" s="6" t="str">
        <f t="shared" si="69"/>
        <v/>
      </c>
    </row>
    <row r="3374" spans="1:48" x14ac:dyDescent="0.45">
      <c r="A3374" s="34" t="s">
        <v>2297</v>
      </c>
      <c r="I3374" s="18" t="s">
        <v>2473</v>
      </c>
      <c r="J3374" s="18" t="s">
        <v>2473</v>
      </c>
      <c r="K3374" s="18" t="s">
        <v>2473</v>
      </c>
      <c r="L3374" s="18" t="s">
        <v>2336</v>
      </c>
      <c r="AU3374" s="8"/>
      <c r="AV3374" s="6" t="str">
        <f t="shared" si="69"/>
        <v/>
      </c>
    </row>
    <row r="3375" spans="1:48" s="79" customFormat="1" x14ac:dyDescent="0.45">
      <c r="A3375" s="75"/>
      <c r="B3375" s="76"/>
      <c r="C3375" s="77"/>
      <c r="D3375" s="77"/>
      <c r="E3375" s="77"/>
      <c r="F3375" s="77"/>
      <c r="G3375" s="77"/>
      <c r="H3375" s="77"/>
      <c r="I3375" s="77"/>
      <c r="J3375" s="77"/>
      <c r="K3375" s="77"/>
      <c r="L3375" s="77"/>
      <c r="M3375" s="148"/>
      <c r="N3375" s="78"/>
      <c r="O3375" s="78"/>
      <c r="P3375" s="78"/>
      <c r="Q3375" s="78"/>
      <c r="R3375" s="78"/>
      <c r="S3375" s="78"/>
      <c r="T3375" s="78"/>
      <c r="U3375" s="78"/>
      <c r="V3375" s="78"/>
      <c r="W3375" s="78"/>
      <c r="X3375" s="78"/>
      <c r="Y3375" s="148"/>
      <c r="Z3375" s="78"/>
      <c r="AA3375" s="78"/>
      <c r="AB3375" s="78"/>
      <c r="AC3375" s="78"/>
      <c r="AD3375" s="78"/>
      <c r="AE3375" s="156"/>
      <c r="AF3375" s="156"/>
      <c r="AG3375" s="78"/>
      <c r="AH3375" s="78"/>
      <c r="AI3375" s="78"/>
      <c r="AJ3375" s="78"/>
      <c r="AK3375" s="78"/>
      <c r="AL3375" s="78"/>
      <c r="AM3375" s="78"/>
      <c r="AN3375" s="78"/>
      <c r="AO3375" s="78"/>
      <c r="AP3375" s="78"/>
      <c r="AQ3375" s="78"/>
      <c r="AR3375" s="286"/>
      <c r="AS3375" s="78"/>
      <c r="AT3375" s="78"/>
      <c r="AU3375" s="8"/>
      <c r="AV3375" s="6" t="str">
        <f t="shared" si="69"/>
        <v/>
      </c>
    </row>
    <row r="3376" spans="1:48" x14ac:dyDescent="0.45">
      <c r="A3376" s="27" t="s">
        <v>2468</v>
      </c>
      <c r="I3376" s="18" t="s">
        <v>2473</v>
      </c>
      <c r="J3376" s="18" t="s">
        <v>2473</v>
      </c>
      <c r="K3376" s="18" t="s">
        <v>2473</v>
      </c>
      <c r="L3376" s="18" t="s">
        <v>2335</v>
      </c>
      <c r="AU3376" s="8"/>
      <c r="AV3376" s="6" t="str">
        <f t="shared" si="69"/>
        <v/>
      </c>
    </row>
    <row r="3377" spans="1:48" x14ac:dyDescent="0.45">
      <c r="A3377" s="323" t="s">
        <v>2298</v>
      </c>
      <c r="B3377" s="324"/>
      <c r="C3377" s="324"/>
      <c r="D3377" s="324"/>
      <c r="E3377" s="324"/>
      <c r="F3377" s="324"/>
      <c r="G3377" s="101"/>
      <c r="H3377" s="101"/>
      <c r="I3377" s="18" t="s">
        <v>2473</v>
      </c>
      <c r="J3377" s="18" t="s">
        <v>2473</v>
      </c>
      <c r="K3377" s="18" t="s">
        <v>2473</v>
      </c>
      <c r="L3377" s="18" t="s">
        <v>2335</v>
      </c>
      <c r="AU3377" s="8"/>
      <c r="AV3377" s="6" t="str">
        <f t="shared" si="69"/>
        <v/>
      </c>
    </row>
    <row r="3378" spans="1:48" x14ac:dyDescent="0.45">
      <c r="A3378" s="323" t="s">
        <v>2299</v>
      </c>
      <c r="B3378" s="324"/>
      <c r="C3378" s="324"/>
      <c r="D3378" s="324"/>
      <c r="E3378" s="324"/>
      <c r="F3378" s="324"/>
      <c r="G3378" s="101"/>
      <c r="H3378" s="101"/>
      <c r="I3378" s="18" t="s">
        <v>2473</v>
      </c>
      <c r="J3378" s="18" t="s">
        <v>2473</v>
      </c>
      <c r="K3378" s="18" t="s">
        <v>2473</v>
      </c>
      <c r="L3378" s="18" t="s">
        <v>2335</v>
      </c>
      <c r="AU3378" s="8"/>
      <c r="AV3378" s="6" t="str">
        <f t="shared" si="69"/>
        <v/>
      </c>
    </row>
    <row r="3379" spans="1:48" s="79" customFormat="1" x14ac:dyDescent="0.45">
      <c r="A3379" s="75"/>
      <c r="B3379" s="76"/>
      <c r="C3379" s="77"/>
      <c r="D3379" s="77"/>
      <c r="E3379" s="77"/>
      <c r="F3379" s="77"/>
      <c r="G3379" s="77"/>
      <c r="H3379" s="77"/>
      <c r="I3379" s="77"/>
      <c r="J3379" s="77"/>
      <c r="K3379" s="77"/>
      <c r="L3379" s="77"/>
      <c r="M3379" s="148"/>
      <c r="N3379" s="78"/>
      <c r="O3379" s="78"/>
      <c r="P3379" s="78"/>
      <c r="Q3379" s="78"/>
      <c r="R3379" s="78"/>
      <c r="S3379" s="78"/>
      <c r="T3379" s="78"/>
      <c r="U3379" s="78"/>
      <c r="V3379" s="78"/>
      <c r="W3379" s="78"/>
      <c r="X3379" s="78"/>
      <c r="Y3379" s="148"/>
      <c r="Z3379" s="78"/>
      <c r="AA3379" s="78"/>
      <c r="AB3379" s="78"/>
      <c r="AC3379" s="78"/>
      <c r="AD3379" s="78"/>
      <c r="AE3379" s="156"/>
      <c r="AF3379" s="156"/>
      <c r="AG3379" s="78"/>
      <c r="AH3379" s="78"/>
      <c r="AI3379" s="78"/>
      <c r="AJ3379" s="78"/>
      <c r="AK3379" s="78"/>
      <c r="AL3379" s="78"/>
      <c r="AM3379" s="78"/>
      <c r="AN3379" s="78"/>
      <c r="AO3379" s="78"/>
      <c r="AP3379" s="78"/>
      <c r="AQ3379" s="78"/>
      <c r="AR3379" s="286"/>
      <c r="AS3379" s="78"/>
      <c r="AT3379" s="78"/>
      <c r="AU3379" s="8"/>
      <c r="AV3379" s="6" t="str">
        <f t="shared" si="69"/>
        <v/>
      </c>
    </row>
    <row r="3380" spans="1:48" x14ac:dyDescent="0.45">
      <c r="A3380" s="27" t="s">
        <v>2469</v>
      </c>
      <c r="I3380" s="18" t="s">
        <v>2473</v>
      </c>
      <c r="J3380" s="18" t="s">
        <v>2473</v>
      </c>
      <c r="K3380" s="18" t="s">
        <v>2473</v>
      </c>
      <c r="L3380" s="18" t="s">
        <v>2336</v>
      </c>
      <c r="AU3380" s="8"/>
      <c r="AV3380" s="6" t="str">
        <f t="shared" si="69"/>
        <v/>
      </c>
    </row>
    <row r="3381" spans="1:48" x14ac:dyDescent="0.45">
      <c r="A3381" s="323" t="s">
        <v>2551</v>
      </c>
      <c r="B3381" s="324"/>
      <c r="C3381" s="324"/>
      <c r="D3381" s="324"/>
      <c r="E3381" s="324"/>
      <c r="F3381" s="324"/>
      <c r="G3381" s="101"/>
      <c r="H3381" s="101"/>
      <c r="I3381" s="18" t="s">
        <v>2473</v>
      </c>
      <c r="J3381" s="18" t="s">
        <v>2473</v>
      </c>
      <c r="K3381" s="18" t="s">
        <v>2473</v>
      </c>
      <c r="L3381" s="18" t="s">
        <v>2336</v>
      </c>
      <c r="AU3381" s="8"/>
      <c r="AV3381" s="6" t="str">
        <f t="shared" si="69"/>
        <v/>
      </c>
    </row>
    <row r="3382" spans="1:48" ht="14.65" thickBot="1" x14ac:dyDescent="0.5">
      <c r="A3382" s="28" t="s">
        <v>2300</v>
      </c>
      <c r="I3382" s="18" t="s">
        <v>2473</v>
      </c>
      <c r="J3382" s="18" t="s">
        <v>2473</v>
      </c>
      <c r="K3382" s="18" t="s">
        <v>2473</v>
      </c>
      <c r="L3382" s="18" t="s">
        <v>2336</v>
      </c>
      <c r="AA3382" s="183" t="s">
        <v>2322</v>
      </c>
      <c r="AB3382" s="183" t="s">
        <v>1697</v>
      </c>
      <c r="AC3382" s="183" t="s">
        <v>5</v>
      </c>
      <c r="AU3382" s="8"/>
      <c r="AV3382" s="6" t="str">
        <f t="shared" si="69"/>
        <v/>
      </c>
    </row>
    <row r="3383" spans="1:48" ht="70.150000000000006" thickBot="1" x14ac:dyDescent="0.5">
      <c r="A3383" s="309" t="s">
        <v>2301</v>
      </c>
      <c r="B3383" s="310"/>
      <c r="C3383" s="301" t="s">
        <v>1</v>
      </c>
      <c r="D3383" s="319"/>
      <c r="E3383" s="319"/>
      <c r="F3383" s="302"/>
      <c r="G3383" s="102"/>
      <c r="H3383" s="102"/>
      <c r="I3383" s="18" t="s">
        <v>2473</v>
      </c>
      <c r="L3383" s="18" t="s">
        <v>2336</v>
      </c>
      <c r="AA3383" s="183" t="str">
        <f>LEFT($A3383,FIND(" ",$A3383)-1)</f>
        <v>Role</v>
      </c>
      <c r="AB3383" s="183" t="str">
        <f>MID($A3383,FIND("(",$A3383)+1,LEN($A3383)-FIND("(",$A3383)-1)</f>
        <v>1.2.2</v>
      </c>
      <c r="AC3383" s="101" t="str">
        <f>A3381</f>
        <v>A Role resource is used in conjunction with a ManagerAccount.</v>
      </c>
      <c r="AU3383" s="8"/>
      <c r="AV3383" s="6" t="str">
        <f t="shared" si="69"/>
        <v/>
      </c>
    </row>
    <row r="3384" spans="1:48" ht="14.65" thickBot="1" x14ac:dyDescent="0.5">
      <c r="A3384" s="311"/>
      <c r="B3384" s="312"/>
      <c r="C3384" s="301" t="s">
        <v>2</v>
      </c>
      <c r="D3384" s="302"/>
      <c r="E3384" s="301" t="s">
        <v>3</v>
      </c>
      <c r="F3384" s="302"/>
      <c r="G3384" s="301" t="s">
        <v>2896</v>
      </c>
      <c r="H3384" s="302"/>
      <c r="I3384" s="18" t="s">
        <v>2473</v>
      </c>
      <c r="L3384" s="18" t="s">
        <v>2336</v>
      </c>
      <c r="AA3384" s="183" t="s">
        <v>2322</v>
      </c>
      <c r="AB3384" s="183" t="s">
        <v>1697</v>
      </c>
      <c r="AC3384" s="183" t="s">
        <v>5</v>
      </c>
      <c r="AU3384" s="8"/>
      <c r="AV3384" s="6" t="str">
        <f t="shared" si="69"/>
        <v/>
      </c>
    </row>
    <row r="3385" spans="1:48" ht="70.150000000000006" thickBot="1" x14ac:dyDescent="0.5">
      <c r="A3385" s="309" t="s">
        <v>3214</v>
      </c>
      <c r="B3385" s="310"/>
      <c r="C3385" s="301" t="s">
        <v>1</v>
      </c>
      <c r="D3385" s="319"/>
      <c r="E3385" s="319"/>
      <c r="F3385" s="302"/>
      <c r="G3385" s="102"/>
      <c r="H3385" s="102"/>
      <c r="J3385" s="18" t="s">
        <v>2473</v>
      </c>
      <c r="K3385" s="18" t="s">
        <v>2473</v>
      </c>
      <c r="L3385" s="18" t="s">
        <v>2336</v>
      </c>
      <c r="AA3385" s="183" t="str">
        <f>LEFT($A3385,FIND(" ",$A3385)-1)</f>
        <v>Role</v>
      </c>
      <c r="AB3385" s="183" t="str">
        <f>MID($A3385,FIND("(",$A3385)+1,LEN($A3385)-FIND("(",$A3385)-1)</f>
        <v>1.2.3</v>
      </c>
      <c r="AC3385" s="101" t="str">
        <f>AC3383</f>
        <v>A Role resource is used in conjunction with a ManagerAccount.</v>
      </c>
      <c r="AU3385" s="8"/>
      <c r="AV3385" s="6" t="str">
        <f t="shared" si="69"/>
        <v/>
      </c>
    </row>
    <row r="3386" spans="1:48" ht="14.65" thickBot="1" x14ac:dyDescent="0.5">
      <c r="A3386" s="311"/>
      <c r="B3386" s="312"/>
      <c r="C3386" s="301" t="s">
        <v>2</v>
      </c>
      <c r="D3386" s="302"/>
      <c r="E3386" s="301" t="s">
        <v>3</v>
      </c>
      <c r="F3386" s="302"/>
      <c r="G3386" s="301" t="s">
        <v>2896</v>
      </c>
      <c r="H3386" s="302"/>
      <c r="J3386" s="18" t="s">
        <v>2473</v>
      </c>
      <c r="K3386" s="18" t="s">
        <v>2473</v>
      </c>
      <c r="L3386" s="18" t="s">
        <v>2336</v>
      </c>
      <c r="AM3386" s="8" t="str">
        <f>C3386</f>
        <v>OSM-Redfish</v>
      </c>
      <c r="AN3386" s="8" t="str">
        <f>E3386</f>
        <v>OSM-RedfishBMC</v>
      </c>
      <c r="AO3386" s="8" t="str">
        <f>G3386</f>
        <v>OSM-RedfishDCN</v>
      </c>
      <c r="AU3386" s="8"/>
      <c r="AV3386" s="6" t="str">
        <f t="shared" si="69"/>
        <v/>
      </c>
    </row>
    <row r="3387" spans="1:48" ht="36" thickBot="1" x14ac:dyDescent="0.5">
      <c r="A3387" s="46" t="s">
        <v>2377</v>
      </c>
      <c r="B3387" s="47"/>
      <c r="C3387" s="303" t="s">
        <v>13</v>
      </c>
      <c r="D3387" s="304"/>
      <c r="E3387" s="303" t="s">
        <v>13</v>
      </c>
      <c r="F3387" s="304"/>
      <c r="G3387" s="303" t="s">
        <v>13</v>
      </c>
      <c r="H3387" s="304"/>
      <c r="I3387" s="18" t="s">
        <v>2473</v>
      </c>
      <c r="J3387" s="18" t="s">
        <v>2473</v>
      </c>
      <c r="K3387" s="18" t="s">
        <v>2473</v>
      </c>
      <c r="L3387" s="18" t="s">
        <v>2336</v>
      </c>
      <c r="AM3387" s="8" t="str">
        <f>IF(C3387&lt;&gt;"","CRQ-P5-"&amp;(AM$2+$AP3387*$AP$3),"")</f>
        <v>CRQ-P5-1200</v>
      </c>
      <c r="AN3387" s="8" t="str">
        <f>IF(E3387&lt;&gt;"","CRQ-P5-"&amp;(AN$2+$AP3387*$AP$3),"")</f>
        <v>CRQ-P5-1500</v>
      </c>
      <c r="AO3387" s="8" t="str">
        <f>IF(G3387&lt;&gt;"","CRQ-P5-"&amp;(AO$2+$AP3387*$AP$3),"")</f>
        <v>CRQ-P5-1800</v>
      </c>
      <c r="AP3387" s="8">
        <v>50</v>
      </c>
      <c r="AT3387" s="233" t="s">
        <v>5316</v>
      </c>
      <c r="AU3387" s="6"/>
      <c r="AV3387" s="6" t="str">
        <f t="shared" si="69"/>
        <v/>
      </c>
    </row>
    <row r="3388" spans="1:48" ht="14.65" thickBot="1" x14ac:dyDescent="0.5">
      <c r="A3388" s="29" t="s">
        <v>3394</v>
      </c>
      <c r="B3388" s="9"/>
      <c r="C3388" s="305" t="str">
        <f>MID($A3383,FIND("(",$A3383)+1,5)</f>
        <v>1.2.2</v>
      </c>
      <c r="D3388" s="306"/>
      <c r="E3388" s="305" t="s">
        <v>3407</v>
      </c>
      <c r="F3388" s="306"/>
      <c r="G3388" s="305" t="str">
        <f>MID($A3383,FIND("(",$A3383)+1,5)</f>
        <v>1.2.2</v>
      </c>
      <c r="H3388" s="306"/>
      <c r="I3388" s="18" t="s">
        <v>2473</v>
      </c>
      <c r="J3388" s="18" t="s">
        <v>2473</v>
      </c>
      <c r="K3388" s="18" t="s">
        <v>2473</v>
      </c>
      <c r="L3388" s="18" t="s">
        <v>2336</v>
      </c>
      <c r="AU3388" s="6"/>
      <c r="AV3388" s="6" t="str">
        <f t="shared" si="69"/>
        <v/>
      </c>
    </row>
    <row r="3389" spans="1:48" ht="14.65" thickBot="1" x14ac:dyDescent="0.5">
      <c r="A3389" s="30" t="s">
        <v>4</v>
      </c>
      <c r="B3389" s="59" t="s">
        <v>5</v>
      </c>
      <c r="C3389" s="7" t="s">
        <v>6</v>
      </c>
      <c r="D3389" s="7" t="s">
        <v>7</v>
      </c>
      <c r="E3389" s="7" t="s">
        <v>6</v>
      </c>
      <c r="F3389" s="7" t="s">
        <v>7</v>
      </c>
      <c r="G3389" s="7" t="s">
        <v>6</v>
      </c>
      <c r="H3389" s="7" t="s">
        <v>7</v>
      </c>
      <c r="I3389" s="18" t="s">
        <v>2473</v>
      </c>
      <c r="J3389" s="18" t="s">
        <v>2473</v>
      </c>
      <c r="K3389" s="18" t="s">
        <v>2473</v>
      </c>
      <c r="L3389" s="18" t="s">
        <v>2336</v>
      </c>
      <c r="AU3389" s="8"/>
      <c r="AV3389" s="6" t="str">
        <f t="shared" si="69"/>
        <v/>
      </c>
    </row>
    <row r="3390" spans="1:48" ht="14.65" thickBot="1" x14ac:dyDescent="0.5">
      <c r="A3390" s="36" t="s">
        <v>8</v>
      </c>
      <c r="B3390" s="3" t="s">
        <v>9</v>
      </c>
      <c r="C3390" s="4"/>
      <c r="D3390" s="4"/>
      <c r="E3390" s="4"/>
      <c r="F3390" s="4"/>
      <c r="G3390" s="4"/>
      <c r="H3390" s="4"/>
      <c r="I3390" s="18" t="s">
        <v>2473</v>
      </c>
      <c r="J3390" s="18" t="s">
        <v>2473</v>
      </c>
      <c r="K3390" s="18" t="s">
        <v>2473</v>
      </c>
      <c r="L3390" s="18" t="s">
        <v>2336</v>
      </c>
      <c r="AU3390" s="8"/>
      <c r="AV3390" s="6" t="str">
        <f t="shared" si="69"/>
        <v/>
      </c>
    </row>
    <row r="3391" spans="1:48" ht="14.65" thickBot="1" x14ac:dyDescent="0.5">
      <c r="A3391" s="36" t="s">
        <v>2302</v>
      </c>
      <c r="B3391" s="3" t="s">
        <v>2303</v>
      </c>
      <c r="C3391" s="4" t="s">
        <v>10</v>
      </c>
      <c r="D3391" s="4" t="s">
        <v>13</v>
      </c>
      <c r="E3391" s="4" t="s">
        <v>10</v>
      </c>
      <c r="F3391" s="4" t="s">
        <v>13</v>
      </c>
      <c r="G3391" s="4" t="s">
        <v>10</v>
      </c>
      <c r="H3391" s="4" t="s">
        <v>13</v>
      </c>
      <c r="I3391" s="18" t="s">
        <v>2473</v>
      </c>
      <c r="J3391" s="18" t="s">
        <v>2473</v>
      </c>
      <c r="K3391" s="18" t="s">
        <v>2473</v>
      </c>
      <c r="L3391" s="18" t="s">
        <v>2336</v>
      </c>
      <c r="AU3391" s="8"/>
      <c r="AV3391" s="6" t="str">
        <f t="shared" si="69"/>
        <v/>
      </c>
    </row>
    <row r="3392" spans="1:48" ht="23.65" thickBot="1" x14ac:dyDescent="0.5">
      <c r="A3392" s="36" t="s">
        <v>2872</v>
      </c>
      <c r="B3392" s="3" t="s">
        <v>2304</v>
      </c>
      <c r="C3392" s="4" t="s">
        <v>10</v>
      </c>
      <c r="D3392" s="4"/>
      <c r="E3392" s="4" t="s">
        <v>10</v>
      </c>
      <c r="F3392" s="4"/>
      <c r="G3392" s="4" t="s">
        <v>10</v>
      </c>
      <c r="H3392" s="4"/>
      <c r="I3392" s="18" t="s">
        <v>2473</v>
      </c>
      <c r="J3392" s="18" t="s">
        <v>2473</v>
      </c>
      <c r="K3392" s="18" t="s">
        <v>2473</v>
      </c>
      <c r="L3392" s="18" t="s">
        <v>2336</v>
      </c>
      <c r="AU3392" s="8"/>
      <c r="AV3392" s="6" t="str">
        <f t="shared" si="69"/>
        <v/>
      </c>
    </row>
    <row r="3393" spans="1:48" ht="14.65" thickBot="1" x14ac:dyDescent="0.5">
      <c r="A3393" s="36" t="s">
        <v>2305</v>
      </c>
      <c r="B3393" s="3" t="s">
        <v>2306</v>
      </c>
      <c r="C3393" s="4"/>
      <c r="D3393" s="4"/>
      <c r="E3393" s="4"/>
      <c r="F3393" s="4"/>
      <c r="G3393" s="4"/>
      <c r="H3393" s="4"/>
      <c r="I3393" s="18" t="s">
        <v>2473</v>
      </c>
      <c r="J3393" s="18" t="s">
        <v>2473</v>
      </c>
      <c r="K3393" s="18" t="s">
        <v>2473</v>
      </c>
      <c r="L3393" s="18" t="s">
        <v>2336</v>
      </c>
      <c r="AU3393" s="8"/>
      <c r="AV3393" s="6" t="str">
        <f t="shared" si="69"/>
        <v/>
      </c>
    </row>
    <row r="3394" spans="1:48" ht="14.65" thickBot="1" x14ac:dyDescent="0.5">
      <c r="A3394" s="36" t="s">
        <v>2294</v>
      </c>
      <c r="B3394" s="3" t="s">
        <v>2307</v>
      </c>
      <c r="C3394" s="4" t="s">
        <v>10</v>
      </c>
      <c r="D3394" s="4"/>
      <c r="E3394" s="4" t="s">
        <v>10</v>
      </c>
      <c r="F3394" s="4"/>
      <c r="G3394" s="4" t="s">
        <v>10</v>
      </c>
      <c r="H3394" s="4"/>
      <c r="I3394" s="18" t="s">
        <v>2473</v>
      </c>
      <c r="J3394" s="18" t="s">
        <v>2473</v>
      </c>
      <c r="K3394" s="18" t="s">
        <v>2473</v>
      </c>
      <c r="L3394" s="18" t="s">
        <v>2336</v>
      </c>
      <c r="AU3394" s="8"/>
      <c r="AV3394" s="6" t="str">
        <f t="shared" si="69"/>
        <v/>
      </c>
    </row>
    <row r="3395" spans="1:48" x14ac:dyDescent="0.45">
      <c r="A3395" s="33" t="s">
        <v>2308</v>
      </c>
      <c r="I3395" s="18" t="s">
        <v>2473</v>
      </c>
      <c r="J3395" s="18" t="s">
        <v>2473</v>
      </c>
      <c r="K3395" s="18" t="s">
        <v>2473</v>
      </c>
      <c r="L3395" s="18" t="s">
        <v>2336</v>
      </c>
      <c r="AU3395" s="8"/>
      <c r="AV3395" s="6" t="str">
        <f t="shared" si="69"/>
        <v/>
      </c>
    </row>
    <row r="3396" spans="1:48" x14ac:dyDescent="0.45">
      <c r="A3396" s="34" t="s">
        <v>2309</v>
      </c>
      <c r="I3396" s="18" t="s">
        <v>2473</v>
      </c>
      <c r="J3396" s="18" t="s">
        <v>2473</v>
      </c>
      <c r="K3396" s="18" t="s">
        <v>2473</v>
      </c>
      <c r="L3396" s="18" t="s">
        <v>2336</v>
      </c>
      <c r="AU3396" s="8"/>
      <c r="AV3396" s="6" t="str">
        <f t="shared" si="69"/>
        <v/>
      </c>
    </row>
    <row r="3397" spans="1:48" x14ac:dyDescent="0.45">
      <c r="A3397" s="34" t="s">
        <v>2310</v>
      </c>
      <c r="I3397" s="18" t="s">
        <v>2473</v>
      </c>
      <c r="J3397" s="18" t="s">
        <v>2473</v>
      </c>
      <c r="K3397" s="18" t="s">
        <v>2473</v>
      </c>
      <c r="L3397" s="18" t="s">
        <v>2336</v>
      </c>
      <c r="AU3397" s="8"/>
      <c r="AV3397" s="6" t="str">
        <f t="shared" si="69"/>
        <v/>
      </c>
    </row>
    <row r="3398" spans="1:48" s="79" customFormat="1" x14ac:dyDescent="0.45">
      <c r="A3398" s="75"/>
      <c r="B3398" s="76"/>
      <c r="C3398" s="77"/>
      <c r="D3398" s="77"/>
      <c r="E3398" s="77"/>
      <c r="F3398" s="77"/>
      <c r="G3398" s="77"/>
      <c r="H3398" s="77"/>
      <c r="I3398" s="77"/>
      <c r="J3398" s="77"/>
      <c r="K3398" s="77"/>
      <c r="L3398" s="77"/>
      <c r="M3398" s="148"/>
      <c r="N3398" s="78"/>
      <c r="O3398" s="78"/>
      <c r="P3398" s="78"/>
      <c r="Q3398" s="78"/>
      <c r="R3398" s="78"/>
      <c r="S3398" s="78"/>
      <c r="T3398" s="78"/>
      <c r="U3398" s="78"/>
      <c r="V3398" s="78"/>
      <c r="W3398" s="78"/>
      <c r="X3398" s="78"/>
      <c r="Y3398" s="148"/>
      <c r="Z3398" s="78"/>
      <c r="AA3398" s="78"/>
      <c r="AB3398" s="78"/>
      <c r="AC3398" s="78"/>
      <c r="AD3398" s="78"/>
      <c r="AE3398" s="156"/>
      <c r="AF3398" s="156"/>
      <c r="AG3398" s="78"/>
      <c r="AH3398" s="78"/>
      <c r="AI3398" s="78"/>
      <c r="AJ3398" s="78"/>
      <c r="AK3398" s="78"/>
      <c r="AL3398" s="78"/>
      <c r="AM3398" s="78"/>
      <c r="AN3398" s="78"/>
      <c r="AO3398" s="78"/>
      <c r="AP3398" s="78"/>
      <c r="AQ3398" s="78"/>
      <c r="AR3398" s="286"/>
      <c r="AS3398" s="78"/>
      <c r="AT3398" s="78"/>
      <c r="AU3398" s="8"/>
      <c r="AV3398" s="6" t="str">
        <f t="shared" si="69"/>
        <v/>
      </c>
    </row>
    <row r="3399" spans="1:48" x14ac:dyDescent="0.45">
      <c r="A3399" s="39" t="s">
        <v>2590</v>
      </c>
      <c r="J3399" s="18" t="s">
        <v>2473</v>
      </c>
      <c r="K3399" s="18" t="s">
        <v>2473</v>
      </c>
      <c r="L3399" s="18" t="s">
        <v>2336</v>
      </c>
      <c r="AV3399" s="6" t="str">
        <f t="shared" si="69"/>
        <v/>
      </c>
    </row>
    <row r="3400" spans="1:48" ht="14.65" thickBot="1" x14ac:dyDescent="0.5">
      <c r="A3400" s="40" t="s">
        <v>2591</v>
      </c>
      <c r="J3400" s="18" t="s">
        <v>2473</v>
      </c>
      <c r="K3400" s="18" t="s">
        <v>2473</v>
      </c>
      <c r="L3400" s="18" t="s">
        <v>2336</v>
      </c>
      <c r="AA3400" s="183" t="s">
        <v>2322</v>
      </c>
      <c r="AB3400" s="183" t="s">
        <v>1697</v>
      </c>
      <c r="AC3400" s="183" t="s">
        <v>5</v>
      </c>
      <c r="AV3400" s="6" t="str">
        <f t="shared" si="69"/>
        <v/>
      </c>
    </row>
    <row r="3401" spans="1:48" ht="105" thickBot="1" x14ac:dyDescent="0.5">
      <c r="A3401" s="307" t="s">
        <v>3217</v>
      </c>
      <c r="B3401" s="308"/>
      <c r="C3401" s="314" t="s">
        <v>1</v>
      </c>
      <c r="D3401" s="314"/>
      <c r="E3401" s="314"/>
      <c r="F3401" s="314"/>
      <c r="G3401" s="102"/>
      <c r="H3401" s="102"/>
      <c r="J3401" s="18" t="s">
        <v>2473</v>
      </c>
      <c r="K3401" s="18" t="s">
        <v>2473</v>
      </c>
      <c r="L3401" s="18" t="s">
        <v>2336</v>
      </c>
      <c r="AA3401" s="183" t="str">
        <f>LEFT($A3401,FIND(" ",$A3401)-1)</f>
        <v>Certificate</v>
      </c>
      <c r="AB3401" s="183" t="str">
        <f>MID($A3401,FIND("(",$A3401)+1,LEN($A3401)-FIND("(",$A3401)-1)</f>
        <v>1.1.0</v>
      </c>
      <c r="AC3401" s="101" t="str">
        <f>A3400</f>
        <v>The Certificate resource describes a certificate used to prove the identify of a component, account, or service.</v>
      </c>
      <c r="AV3401" s="6" t="str">
        <f t="shared" si="69"/>
        <v/>
      </c>
    </row>
    <row r="3402" spans="1:48" ht="14.65" thickBot="1" x14ac:dyDescent="0.5">
      <c r="A3402" s="307"/>
      <c r="B3402" s="308"/>
      <c r="C3402" s="314" t="s">
        <v>2</v>
      </c>
      <c r="D3402" s="314"/>
      <c r="E3402" s="314" t="s">
        <v>3</v>
      </c>
      <c r="F3402" s="314"/>
      <c r="G3402" s="314" t="s">
        <v>2896</v>
      </c>
      <c r="H3402" s="314"/>
      <c r="J3402" s="18" t="s">
        <v>2473</v>
      </c>
      <c r="K3402" s="18" t="s">
        <v>2473</v>
      </c>
      <c r="L3402" s="18" t="s">
        <v>2336</v>
      </c>
      <c r="AA3402" s="183"/>
      <c r="AB3402" s="183"/>
      <c r="AC3402" s="183"/>
      <c r="AM3402" s="8" t="str">
        <f>C3402</f>
        <v>OSM-Redfish</v>
      </c>
      <c r="AN3402" s="8" t="str">
        <f>E3402</f>
        <v>OSM-RedfishBMC</v>
      </c>
      <c r="AO3402" s="8" t="str">
        <f>G3402</f>
        <v>OSM-RedfishDCN</v>
      </c>
      <c r="AV3402" s="6" t="str">
        <f t="shared" si="69"/>
        <v/>
      </c>
    </row>
    <row r="3403" spans="1:48" ht="14.65" thickBot="1" x14ac:dyDescent="0.5">
      <c r="A3403" s="46" t="s">
        <v>2377</v>
      </c>
      <c r="B3403" s="47"/>
      <c r="C3403" s="303"/>
      <c r="D3403" s="304"/>
      <c r="E3403" s="303" t="s">
        <v>37</v>
      </c>
      <c r="F3403" s="304"/>
      <c r="G3403" s="303"/>
      <c r="H3403" s="304"/>
      <c r="J3403" s="18" t="s">
        <v>2473</v>
      </c>
      <c r="K3403" s="18" t="s">
        <v>2473</v>
      </c>
      <c r="L3403" s="18" t="s">
        <v>2336</v>
      </c>
      <c r="AA3403" s="183"/>
      <c r="AB3403" s="183"/>
      <c r="AC3403" s="101"/>
      <c r="AM3403" s="8" t="str">
        <f>IF(C3403&lt;&gt;"","CRQ-P5-"&amp;(AM$2+$AP3403*$AP$3),"")</f>
        <v/>
      </c>
      <c r="AN3403" s="8" t="str">
        <f>IF(E3403&lt;&gt;"","CRQ-P5-"&amp;(AN$2+$AP3403*$AP$3),"")</f>
        <v>CRQ-P5-1320</v>
      </c>
      <c r="AO3403" s="8" t="str">
        <f>IF(G3403&lt;&gt;"","CRQ-P5-"&amp;(AO$2+$AP3403*$AP$3),"")</f>
        <v/>
      </c>
      <c r="AP3403" s="8">
        <v>5</v>
      </c>
      <c r="AV3403" s="6" t="str">
        <f t="shared" si="69"/>
        <v/>
      </c>
    </row>
    <row r="3404" spans="1:48" ht="14.65" thickBot="1" x14ac:dyDescent="0.5">
      <c r="A3404" s="29" t="s">
        <v>3394</v>
      </c>
      <c r="B3404" s="9"/>
      <c r="C3404" s="305"/>
      <c r="D3404" s="306"/>
      <c r="E3404" s="305" t="s">
        <v>3395</v>
      </c>
      <c r="F3404" s="306"/>
      <c r="G3404" s="305"/>
      <c r="H3404" s="306"/>
      <c r="J3404" s="18" t="s">
        <v>2473</v>
      </c>
      <c r="K3404" s="18" t="s">
        <v>2473</v>
      </c>
      <c r="L3404" s="18" t="s">
        <v>2336</v>
      </c>
      <c r="AU3404" s="6"/>
      <c r="AV3404" s="6" t="str">
        <f t="shared" si="69"/>
        <v/>
      </c>
    </row>
    <row r="3405" spans="1:48" ht="14.65" thickBot="1" x14ac:dyDescent="0.5">
      <c r="A3405" s="60" t="s">
        <v>4</v>
      </c>
      <c r="B3405" s="61" t="s">
        <v>5</v>
      </c>
      <c r="C3405" s="62" t="s">
        <v>6</v>
      </c>
      <c r="D3405" s="62" t="s">
        <v>7</v>
      </c>
      <c r="E3405" s="62" t="s">
        <v>6</v>
      </c>
      <c r="F3405" s="62" t="s">
        <v>7</v>
      </c>
      <c r="G3405" s="62" t="s">
        <v>6</v>
      </c>
      <c r="H3405" s="62" t="s">
        <v>7</v>
      </c>
      <c r="J3405" s="18" t="s">
        <v>2473</v>
      </c>
      <c r="K3405" s="18" t="s">
        <v>2473</v>
      </c>
      <c r="L3405" s="18" t="s">
        <v>2336</v>
      </c>
      <c r="AV3405" s="6" t="str">
        <f t="shared" si="69"/>
        <v/>
      </c>
    </row>
    <row r="3406" spans="1:48" x14ac:dyDescent="0.45">
      <c r="A3406" s="82" t="s">
        <v>8</v>
      </c>
      <c r="B3406" s="63" t="s">
        <v>2579</v>
      </c>
      <c r="C3406" s="64"/>
      <c r="D3406" s="64"/>
      <c r="E3406" s="64"/>
      <c r="F3406" s="65"/>
      <c r="G3406" s="64"/>
      <c r="H3406" s="64"/>
      <c r="J3406" s="18" t="s">
        <v>2473</v>
      </c>
      <c r="K3406" s="18" t="s">
        <v>2473</v>
      </c>
      <c r="L3406" s="18" t="s">
        <v>2336</v>
      </c>
      <c r="AV3406" s="6" t="str">
        <f t="shared" si="69"/>
        <v/>
      </c>
    </row>
    <row r="3407" spans="1:48" x14ac:dyDescent="0.45">
      <c r="A3407" s="83" t="s">
        <v>2569</v>
      </c>
      <c r="B3407" s="66" t="s">
        <v>2567</v>
      </c>
      <c r="C3407" s="67"/>
      <c r="D3407" s="67"/>
      <c r="E3407" s="67" t="s">
        <v>10</v>
      </c>
      <c r="F3407" s="68"/>
      <c r="G3407" s="67"/>
      <c r="H3407" s="67"/>
      <c r="J3407" s="18" t="s">
        <v>2473</v>
      </c>
      <c r="K3407" s="18" t="s">
        <v>2473</v>
      </c>
      <c r="L3407" s="18" t="s">
        <v>2336</v>
      </c>
      <c r="AV3407" s="6" t="str">
        <f t="shared" si="69"/>
        <v/>
      </c>
    </row>
    <row r="3408" spans="1:48" x14ac:dyDescent="0.45">
      <c r="A3408" s="83" t="s">
        <v>2622</v>
      </c>
      <c r="B3408" s="66" t="s">
        <v>2623</v>
      </c>
      <c r="C3408" s="67"/>
      <c r="D3408" s="67"/>
      <c r="E3408" s="67" t="s">
        <v>10</v>
      </c>
      <c r="F3408" s="68"/>
      <c r="G3408" s="67"/>
      <c r="H3408" s="67"/>
      <c r="J3408" s="18" t="s">
        <v>2473</v>
      </c>
      <c r="K3408" s="18" t="s">
        <v>2473</v>
      </c>
      <c r="L3408" s="18" t="s">
        <v>2336</v>
      </c>
      <c r="AV3408" s="6" t="str">
        <f t="shared" si="69"/>
        <v/>
      </c>
    </row>
    <row r="3409" spans="1:48" x14ac:dyDescent="0.45">
      <c r="A3409" s="83" t="s">
        <v>2570</v>
      </c>
      <c r="B3409" s="66" t="s">
        <v>2624</v>
      </c>
      <c r="C3409" s="67"/>
      <c r="D3409" s="67"/>
      <c r="E3409" s="67" t="s">
        <v>10</v>
      </c>
      <c r="F3409" s="68"/>
      <c r="G3409" s="67"/>
      <c r="H3409" s="67"/>
      <c r="J3409" s="18" t="s">
        <v>2473</v>
      </c>
      <c r="K3409" s="18" t="s">
        <v>2473</v>
      </c>
      <c r="L3409" s="18" t="s">
        <v>2336</v>
      </c>
      <c r="AV3409" s="6" t="str">
        <f t="shared" si="69"/>
        <v/>
      </c>
    </row>
    <row r="3410" spans="1:48" x14ac:dyDescent="0.45">
      <c r="A3410" s="84" t="s">
        <v>1891</v>
      </c>
      <c r="B3410" s="66" t="s">
        <v>2580</v>
      </c>
      <c r="C3410" s="67"/>
      <c r="D3410" s="67"/>
      <c r="E3410" s="67" t="s">
        <v>10</v>
      </c>
      <c r="F3410" s="68"/>
      <c r="G3410" s="67"/>
      <c r="H3410" s="67"/>
      <c r="J3410" s="18" t="s">
        <v>2473</v>
      </c>
      <c r="K3410" s="18" t="s">
        <v>2473</v>
      </c>
      <c r="L3410" s="18" t="s">
        <v>2336</v>
      </c>
      <c r="AV3410" s="6" t="str">
        <f t="shared" si="69"/>
        <v/>
      </c>
    </row>
    <row r="3411" spans="1:48" x14ac:dyDescent="0.45">
      <c r="A3411" s="84" t="s">
        <v>2571</v>
      </c>
      <c r="B3411" s="66" t="s">
        <v>2582</v>
      </c>
      <c r="C3411" s="67"/>
      <c r="D3411" s="67"/>
      <c r="E3411" s="67" t="s">
        <v>10</v>
      </c>
      <c r="F3411" s="68"/>
      <c r="G3411" s="67"/>
      <c r="H3411" s="67"/>
      <c r="J3411" s="18" t="s">
        <v>2473</v>
      </c>
      <c r="K3411" s="18" t="s">
        <v>2473</v>
      </c>
      <c r="L3411" s="18" t="s">
        <v>2336</v>
      </c>
      <c r="AV3411" s="6" t="str">
        <f t="shared" si="69"/>
        <v/>
      </c>
    </row>
    <row r="3412" spans="1:48" x14ac:dyDescent="0.45">
      <c r="A3412" s="84" t="s">
        <v>1895</v>
      </c>
      <c r="B3412" s="66" t="s">
        <v>2583</v>
      </c>
      <c r="C3412" s="67"/>
      <c r="D3412" s="67"/>
      <c r="E3412" s="67" t="s">
        <v>10</v>
      </c>
      <c r="F3412" s="68"/>
      <c r="G3412" s="67"/>
      <c r="H3412" s="67"/>
      <c r="J3412" s="18" t="s">
        <v>2473</v>
      </c>
      <c r="K3412" s="18" t="s">
        <v>2473</v>
      </c>
      <c r="L3412" s="18" t="s">
        <v>2336</v>
      </c>
      <c r="AV3412" s="6" t="str">
        <f t="shared" si="69"/>
        <v/>
      </c>
    </row>
    <row r="3413" spans="1:48" x14ac:dyDescent="0.45">
      <c r="A3413" s="84" t="s">
        <v>2572</v>
      </c>
      <c r="B3413" s="66" t="s">
        <v>2584</v>
      </c>
      <c r="C3413" s="67"/>
      <c r="D3413" s="67"/>
      <c r="E3413" s="67" t="s">
        <v>10</v>
      </c>
      <c r="F3413" s="68"/>
      <c r="G3413" s="67"/>
      <c r="H3413" s="67"/>
      <c r="J3413" s="18" t="s">
        <v>2473</v>
      </c>
      <c r="K3413" s="18" t="s">
        <v>2473</v>
      </c>
      <c r="L3413" s="18" t="s">
        <v>2336</v>
      </c>
      <c r="AV3413" s="6" t="str">
        <f t="shared" si="69"/>
        <v/>
      </c>
    </row>
    <row r="3414" spans="1:48" x14ac:dyDescent="0.45">
      <c r="A3414" s="84" t="s">
        <v>2573</v>
      </c>
      <c r="B3414" s="66" t="s">
        <v>2585</v>
      </c>
      <c r="C3414" s="67"/>
      <c r="D3414" s="67"/>
      <c r="E3414" s="67" t="s">
        <v>10</v>
      </c>
      <c r="F3414" s="68"/>
      <c r="G3414" s="67"/>
      <c r="H3414" s="67"/>
      <c r="J3414" s="18" t="s">
        <v>2473</v>
      </c>
      <c r="K3414" s="18" t="s">
        <v>2473</v>
      </c>
      <c r="L3414" s="18" t="s">
        <v>2336</v>
      </c>
      <c r="AV3414" s="6" t="str">
        <f t="shared" si="69"/>
        <v/>
      </c>
    </row>
    <row r="3415" spans="1:48" x14ac:dyDescent="0.45">
      <c r="A3415" s="84" t="s">
        <v>2574</v>
      </c>
      <c r="B3415" s="66" t="s">
        <v>2586</v>
      </c>
      <c r="C3415" s="67"/>
      <c r="D3415" s="67"/>
      <c r="E3415" s="67" t="s">
        <v>10</v>
      </c>
      <c r="F3415" s="68"/>
      <c r="G3415" s="67"/>
      <c r="H3415" s="67"/>
      <c r="J3415" s="18" t="s">
        <v>2473</v>
      </c>
      <c r="K3415" s="18" t="s">
        <v>2473</v>
      </c>
      <c r="L3415" s="18" t="s">
        <v>2336</v>
      </c>
      <c r="AV3415" s="6" t="str">
        <f t="shared" si="69"/>
        <v/>
      </c>
    </row>
    <row r="3416" spans="1:48" x14ac:dyDescent="0.45">
      <c r="A3416" s="84" t="s">
        <v>2575</v>
      </c>
      <c r="B3416" s="66" t="s">
        <v>2581</v>
      </c>
      <c r="C3416" s="67"/>
      <c r="D3416" s="67"/>
      <c r="E3416" s="67" t="s">
        <v>10</v>
      </c>
      <c r="F3416" s="68"/>
      <c r="G3416" s="67"/>
      <c r="H3416" s="67"/>
      <c r="J3416" s="18" t="s">
        <v>2473</v>
      </c>
      <c r="K3416" s="18" t="s">
        <v>2473</v>
      </c>
      <c r="L3416" s="18" t="s">
        <v>2336</v>
      </c>
      <c r="AV3416" s="6" t="str">
        <f t="shared" si="69"/>
        <v/>
      </c>
    </row>
    <row r="3417" spans="1:48" x14ac:dyDescent="0.45">
      <c r="A3417" s="83" t="s">
        <v>2587</v>
      </c>
      <c r="B3417" s="66" t="s">
        <v>3798</v>
      </c>
      <c r="C3417" s="67"/>
      <c r="D3417" s="67"/>
      <c r="E3417" s="67" t="s">
        <v>10</v>
      </c>
      <c r="F3417" s="68"/>
      <c r="G3417" s="67"/>
      <c r="H3417" s="67"/>
      <c r="J3417" s="18" t="s">
        <v>2473</v>
      </c>
      <c r="K3417" s="18" t="s">
        <v>2473</v>
      </c>
      <c r="L3417" s="18" t="s">
        <v>2336</v>
      </c>
      <c r="AV3417" s="6" t="str">
        <f t="shared" si="69"/>
        <v/>
      </c>
    </row>
    <row r="3418" spans="1:48" ht="47.25" x14ac:dyDescent="0.45">
      <c r="A3418" s="83" t="s">
        <v>2576</v>
      </c>
      <c r="B3418" s="252" t="s">
        <v>2568</v>
      </c>
      <c r="C3418" s="67"/>
      <c r="D3418" s="67"/>
      <c r="E3418" s="67" t="s">
        <v>10</v>
      </c>
      <c r="F3418" s="68"/>
      <c r="G3418" s="67"/>
      <c r="H3418" s="67"/>
      <c r="J3418" s="18" t="s">
        <v>2473</v>
      </c>
      <c r="K3418" s="18" t="s">
        <v>2473</v>
      </c>
      <c r="L3418" s="18" t="s">
        <v>2336</v>
      </c>
      <c r="AS3418" s="206" t="s">
        <v>5860</v>
      </c>
      <c r="AV3418" s="6" t="str">
        <f t="shared" si="69"/>
        <v/>
      </c>
    </row>
    <row r="3419" spans="1:48" x14ac:dyDescent="0.45">
      <c r="A3419" s="84" t="s">
        <v>1891</v>
      </c>
      <c r="B3419" s="66" t="s">
        <v>2580</v>
      </c>
      <c r="C3419" s="67"/>
      <c r="D3419" s="67"/>
      <c r="E3419" s="67" t="s">
        <v>10</v>
      </c>
      <c r="F3419" s="68"/>
      <c r="G3419" s="67"/>
      <c r="H3419" s="67"/>
      <c r="J3419" s="18" t="s">
        <v>2473</v>
      </c>
      <c r="K3419" s="18" t="s">
        <v>2473</v>
      </c>
      <c r="L3419" s="18" t="s">
        <v>2336</v>
      </c>
      <c r="AV3419" s="6" t="str">
        <f t="shared" si="69"/>
        <v/>
      </c>
    </row>
    <row r="3420" spans="1:48" x14ac:dyDescent="0.45">
      <c r="A3420" s="84" t="s">
        <v>2571</v>
      </c>
      <c r="B3420" s="66" t="s">
        <v>2582</v>
      </c>
      <c r="C3420" s="67"/>
      <c r="D3420" s="67"/>
      <c r="E3420" s="67" t="s">
        <v>10</v>
      </c>
      <c r="F3420" s="68"/>
      <c r="G3420" s="67"/>
      <c r="H3420" s="67"/>
      <c r="J3420" s="18" t="s">
        <v>2473</v>
      </c>
      <c r="K3420" s="18" t="s">
        <v>2473</v>
      </c>
      <c r="L3420" s="18" t="s">
        <v>2336</v>
      </c>
      <c r="AV3420" s="6" t="str">
        <f t="shared" si="69"/>
        <v/>
      </c>
    </row>
    <row r="3421" spans="1:48" x14ac:dyDescent="0.45">
      <c r="A3421" s="84" t="s">
        <v>1895</v>
      </c>
      <c r="B3421" s="66" t="s">
        <v>2583</v>
      </c>
      <c r="C3421" s="67"/>
      <c r="D3421" s="67"/>
      <c r="E3421" s="67" t="s">
        <v>10</v>
      </c>
      <c r="F3421" s="68"/>
      <c r="G3421" s="67"/>
      <c r="H3421" s="67"/>
      <c r="J3421" s="18" t="s">
        <v>2473</v>
      </c>
      <c r="K3421" s="18" t="s">
        <v>2473</v>
      </c>
      <c r="L3421" s="18" t="s">
        <v>2336</v>
      </c>
      <c r="AV3421" s="6" t="str">
        <f t="shared" si="69"/>
        <v/>
      </c>
    </row>
    <row r="3422" spans="1:48" x14ac:dyDescent="0.45">
      <c r="A3422" s="84" t="s">
        <v>2572</v>
      </c>
      <c r="B3422" s="66" t="s">
        <v>2584</v>
      </c>
      <c r="C3422" s="67"/>
      <c r="D3422" s="67"/>
      <c r="E3422" s="67" t="s">
        <v>10</v>
      </c>
      <c r="F3422" s="68"/>
      <c r="G3422" s="67"/>
      <c r="H3422" s="67"/>
      <c r="J3422" s="18" t="s">
        <v>2473</v>
      </c>
      <c r="K3422" s="18" t="s">
        <v>2473</v>
      </c>
      <c r="L3422" s="18" t="s">
        <v>2336</v>
      </c>
      <c r="AV3422" s="6" t="str">
        <f t="shared" si="69"/>
        <v/>
      </c>
    </row>
    <row r="3423" spans="1:48" x14ac:dyDescent="0.45">
      <c r="A3423" s="84" t="s">
        <v>2573</v>
      </c>
      <c r="B3423" s="66" t="s">
        <v>2585</v>
      </c>
      <c r="C3423" s="67"/>
      <c r="D3423" s="67"/>
      <c r="E3423" s="67" t="s">
        <v>10</v>
      </c>
      <c r="F3423" s="68"/>
      <c r="G3423" s="67"/>
      <c r="H3423" s="67"/>
      <c r="J3423" s="18" t="s">
        <v>2473</v>
      </c>
      <c r="K3423" s="18" t="s">
        <v>2473</v>
      </c>
      <c r="L3423" s="18" t="s">
        <v>2336</v>
      </c>
      <c r="AV3423" s="6" t="str">
        <f t="shared" si="69"/>
        <v/>
      </c>
    </row>
    <row r="3424" spans="1:48" x14ac:dyDescent="0.45">
      <c r="A3424" s="84" t="s">
        <v>2574</v>
      </c>
      <c r="B3424" s="66" t="s">
        <v>2586</v>
      </c>
      <c r="C3424" s="67"/>
      <c r="D3424" s="67"/>
      <c r="E3424" s="67" t="s">
        <v>10</v>
      </c>
      <c r="F3424" s="68"/>
      <c r="G3424" s="67"/>
      <c r="H3424" s="67"/>
      <c r="J3424" s="18" t="s">
        <v>2473</v>
      </c>
      <c r="K3424" s="18" t="s">
        <v>2473</v>
      </c>
      <c r="L3424" s="18" t="s">
        <v>2336</v>
      </c>
      <c r="AV3424" s="6" t="str">
        <f t="shared" si="69"/>
        <v/>
      </c>
    </row>
    <row r="3425" spans="1:48" x14ac:dyDescent="0.45">
      <c r="A3425" s="84" t="s">
        <v>2575</v>
      </c>
      <c r="B3425" s="66" t="s">
        <v>2581</v>
      </c>
      <c r="C3425" s="67"/>
      <c r="D3425" s="67"/>
      <c r="E3425" s="67" t="s">
        <v>10</v>
      </c>
      <c r="F3425" s="68"/>
      <c r="G3425" s="67"/>
      <c r="H3425" s="67"/>
      <c r="J3425" s="18" t="s">
        <v>2473</v>
      </c>
      <c r="K3425" s="18" t="s">
        <v>2473</v>
      </c>
      <c r="L3425" s="18" t="s">
        <v>2336</v>
      </c>
      <c r="AV3425" s="6" t="str">
        <f t="shared" si="69"/>
        <v/>
      </c>
    </row>
    <row r="3426" spans="1:48" x14ac:dyDescent="0.45">
      <c r="A3426" s="83" t="s">
        <v>2577</v>
      </c>
      <c r="B3426" s="66" t="s">
        <v>2588</v>
      </c>
      <c r="C3426" s="67"/>
      <c r="D3426" s="67"/>
      <c r="E3426" s="67" t="s">
        <v>10</v>
      </c>
      <c r="F3426" s="68"/>
      <c r="G3426" s="67"/>
      <c r="H3426" s="67"/>
      <c r="J3426" s="18" t="s">
        <v>2473</v>
      </c>
      <c r="K3426" s="18" t="s">
        <v>2473</v>
      </c>
      <c r="L3426" s="18" t="s">
        <v>2336</v>
      </c>
      <c r="AV3426" s="6" t="str">
        <f t="shared" si="69"/>
        <v/>
      </c>
    </row>
    <row r="3427" spans="1:48" ht="14.65" thickBot="1" x14ac:dyDescent="0.5">
      <c r="A3427" s="85" t="s">
        <v>2578</v>
      </c>
      <c r="B3427" s="69" t="s">
        <v>2589</v>
      </c>
      <c r="C3427" s="70"/>
      <c r="D3427" s="70"/>
      <c r="E3427" s="70" t="s">
        <v>10</v>
      </c>
      <c r="F3427" s="71"/>
      <c r="G3427" s="70"/>
      <c r="H3427" s="70"/>
      <c r="J3427" s="18" t="s">
        <v>2473</v>
      </c>
      <c r="K3427" s="18" t="s">
        <v>2473</v>
      </c>
      <c r="L3427" s="18" t="s">
        <v>2336</v>
      </c>
      <c r="AV3427" s="6" t="str">
        <f t="shared" si="69"/>
        <v/>
      </c>
    </row>
    <row r="3428" spans="1:48" x14ac:dyDescent="0.45">
      <c r="A3428" s="86" t="s">
        <v>2601</v>
      </c>
      <c r="J3428" s="18" t="s">
        <v>2473</v>
      </c>
      <c r="K3428" s="18" t="s">
        <v>2473</v>
      </c>
      <c r="L3428" s="8"/>
      <c r="AV3428" s="6" t="str">
        <f t="shared" si="69"/>
        <v/>
      </c>
    </row>
    <row r="3429" spans="1:48" x14ac:dyDescent="0.45">
      <c r="A3429" s="87" t="s">
        <v>2592</v>
      </c>
      <c r="J3429" s="18" t="s">
        <v>2473</v>
      </c>
      <c r="K3429" s="18" t="s">
        <v>2473</v>
      </c>
      <c r="L3429" s="8"/>
      <c r="AV3429" s="6" t="str">
        <f t="shared" si="69"/>
        <v/>
      </c>
    </row>
    <row r="3430" spans="1:48" x14ac:dyDescent="0.45">
      <c r="A3430" s="87" t="s">
        <v>2593</v>
      </c>
      <c r="J3430" s="18" t="s">
        <v>2473</v>
      </c>
      <c r="K3430" s="18" t="s">
        <v>2473</v>
      </c>
      <c r="L3430" s="8"/>
      <c r="AV3430" s="6" t="str">
        <f t="shared" si="69"/>
        <v/>
      </c>
    </row>
    <row r="3431" spans="1:48" x14ac:dyDescent="0.45">
      <c r="A3431" s="87" t="s">
        <v>2594</v>
      </c>
      <c r="J3431" s="18" t="s">
        <v>2473</v>
      </c>
      <c r="K3431" s="18" t="s">
        <v>2473</v>
      </c>
      <c r="L3431" s="8"/>
      <c r="AV3431" s="6" t="str">
        <f t="shared" si="69"/>
        <v/>
      </c>
    </row>
    <row r="3432" spans="1:48" x14ac:dyDescent="0.45">
      <c r="A3432" s="87" t="s">
        <v>2595</v>
      </c>
      <c r="J3432" s="18" t="s">
        <v>2473</v>
      </c>
      <c r="K3432" s="18" t="s">
        <v>2473</v>
      </c>
      <c r="L3432" s="8"/>
      <c r="AV3432" s="6" t="str">
        <f t="shared" si="69"/>
        <v/>
      </c>
    </row>
    <row r="3433" spans="1:48" x14ac:dyDescent="0.45">
      <c r="A3433" s="87" t="s">
        <v>2596</v>
      </c>
      <c r="J3433" s="18" t="s">
        <v>2473</v>
      </c>
      <c r="K3433" s="18" t="s">
        <v>2473</v>
      </c>
      <c r="L3433" s="8"/>
      <c r="AV3433" s="6" t="str">
        <f t="shared" si="69"/>
        <v/>
      </c>
    </row>
    <row r="3434" spans="1:48" x14ac:dyDescent="0.45">
      <c r="A3434" s="87" t="s">
        <v>2597</v>
      </c>
      <c r="J3434" s="18" t="s">
        <v>2473</v>
      </c>
      <c r="K3434" s="18" t="s">
        <v>2473</v>
      </c>
      <c r="L3434" s="8"/>
      <c r="AV3434" s="6" t="str">
        <f t="shared" si="69"/>
        <v/>
      </c>
    </row>
    <row r="3435" spans="1:48" x14ac:dyDescent="0.45">
      <c r="A3435" s="87" t="s">
        <v>2598</v>
      </c>
      <c r="J3435" s="18" t="s">
        <v>2473</v>
      </c>
      <c r="K3435" s="18" t="s">
        <v>2473</v>
      </c>
      <c r="L3435" s="8"/>
      <c r="AV3435" s="6" t="str">
        <f t="shared" ref="AV3435:AV3499" si="70">IF(A3435&lt;&gt;"",IF(T3435&lt;&gt;"",IF(LEFT(R3435,3)="Has",IF(TRIM(A3435)&lt;&gt;T3435,"ERROR","OK"),""),""),"")</f>
        <v/>
      </c>
    </row>
    <row r="3436" spans="1:48" x14ac:dyDescent="0.45">
      <c r="A3436" s="87" t="s">
        <v>2599</v>
      </c>
      <c r="J3436" s="18" t="s">
        <v>2473</v>
      </c>
      <c r="K3436" s="18" t="s">
        <v>2473</v>
      </c>
      <c r="L3436" s="8"/>
      <c r="AV3436" s="6" t="str">
        <f t="shared" si="70"/>
        <v/>
      </c>
    </row>
    <row r="3437" spans="1:48" x14ac:dyDescent="0.45">
      <c r="A3437" s="87" t="s">
        <v>2600</v>
      </c>
      <c r="J3437" s="18" t="s">
        <v>2473</v>
      </c>
      <c r="K3437" s="18" t="s">
        <v>2473</v>
      </c>
      <c r="L3437" s="8"/>
      <c r="AV3437" s="6" t="str">
        <f t="shared" si="70"/>
        <v/>
      </c>
    </row>
    <row r="3438" spans="1:48" s="79" customFormat="1" x14ac:dyDescent="0.45">
      <c r="A3438" s="75"/>
      <c r="B3438" s="76"/>
      <c r="C3438" s="77"/>
      <c r="D3438" s="77"/>
      <c r="E3438" s="77"/>
      <c r="F3438" s="77"/>
      <c r="G3438" s="77"/>
      <c r="H3438" s="77"/>
      <c r="I3438" s="77"/>
      <c r="J3438" s="77"/>
      <c r="K3438" s="77"/>
      <c r="L3438" s="77"/>
      <c r="M3438" s="148"/>
      <c r="N3438" s="78"/>
      <c r="O3438" s="78"/>
      <c r="P3438" s="78"/>
      <c r="Q3438" s="78"/>
      <c r="R3438" s="78"/>
      <c r="S3438" s="78"/>
      <c r="T3438" s="78"/>
      <c r="U3438" s="78"/>
      <c r="V3438" s="78"/>
      <c r="W3438" s="78"/>
      <c r="X3438" s="78"/>
      <c r="Y3438" s="148"/>
      <c r="Z3438" s="78"/>
      <c r="AA3438" s="78"/>
      <c r="AB3438" s="78"/>
      <c r="AC3438" s="78"/>
      <c r="AD3438" s="78"/>
      <c r="AE3438" s="156"/>
      <c r="AF3438" s="156"/>
      <c r="AG3438" s="78"/>
      <c r="AH3438" s="78"/>
      <c r="AI3438" s="78"/>
      <c r="AJ3438" s="78"/>
      <c r="AK3438" s="78"/>
      <c r="AL3438" s="78"/>
      <c r="AM3438" s="78"/>
      <c r="AN3438" s="78"/>
      <c r="AO3438" s="78"/>
      <c r="AP3438" s="78"/>
      <c r="AQ3438" s="78"/>
      <c r="AR3438" s="286"/>
      <c r="AS3438" s="78"/>
      <c r="AT3438" s="78"/>
      <c r="AU3438" s="8"/>
      <c r="AV3438" s="6" t="str">
        <f t="shared" si="70"/>
        <v/>
      </c>
    </row>
    <row r="3439" spans="1:48" x14ac:dyDescent="0.45">
      <c r="A3439" s="39" t="s">
        <v>2602</v>
      </c>
      <c r="J3439" s="18" t="s">
        <v>2473</v>
      </c>
      <c r="K3439" s="18" t="s">
        <v>2473</v>
      </c>
      <c r="L3439" s="18" t="s">
        <v>2336</v>
      </c>
      <c r="AV3439" s="6" t="str">
        <f t="shared" si="70"/>
        <v/>
      </c>
    </row>
    <row r="3440" spans="1:48" ht="14.65" thickBot="1" x14ac:dyDescent="0.5">
      <c r="A3440" s="40" t="s">
        <v>2610</v>
      </c>
      <c r="J3440" s="18" t="s">
        <v>2473</v>
      </c>
      <c r="K3440" s="18" t="s">
        <v>2473</v>
      </c>
      <c r="L3440" s="18" t="s">
        <v>2336</v>
      </c>
      <c r="AA3440" s="183" t="s">
        <v>2322</v>
      </c>
      <c r="AB3440" s="183" t="s">
        <v>1697</v>
      </c>
      <c r="AC3440" s="183" t="s">
        <v>5</v>
      </c>
      <c r="AV3440" s="6" t="str">
        <f t="shared" si="70"/>
        <v/>
      </c>
    </row>
    <row r="3441" spans="1:48" ht="128.25" thickBot="1" x14ac:dyDescent="0.5">
      <c r="A3441" s="307" t="s">
        <v>2625</v>
      </c>
      <c r="B3441" s="308"/>
      <c r="C3441" s="314" t="s">
        <v>1</v>
      </c>
      <c r="D3441" s="314"/>
      <c r="E3441" s="314"/>
      <c r="F3441" s="314"/>
      <c r="G3441" s="102"/>
      <c r="H3441" s="102"/>
      <c r="J3441" s="18" t="s">
        <v>2473</v>
      </c>
      <c r="K3441" s="18" t="s">
        <v>2473</v>
      </c>
      <c r="L3441" s="18" t="s">
        <v>2336</v>
      </c>
      <c r="AA3441" s="183" t="str">
        <f>LEFT($A3441,FIND(" ",$A3441)-1)</f>
        <v>CertificateLocations</v>
      </c>
      <c r="AB3441" s="183" t="str">
        <f>MID($A3441,FIND("(",$A3441)+1,LEN($A3441)-FIND("(",$A3441)-1)</f>
        <v>1.0.0</v>
      </c>
      <c r="AC3441" s="101" t="str">
        <f>A3440</f>
        <v>The CertificateLocations schema defines a resource that an administrator can use in order to locate all certificates installed on a given service.</v>
      </c>
      <c r="AV3441" s="6" t="str">
        <f t="shared" si="70"/>
        <v/>
      </c>
    </row>
    <row r="3442" spans="1:48" ht="14.65" thickBot="1" x14ac:dyDescent="0.5">
      <c r="A3442" s="307"/>
      <c r="B3442" s="308"/>
      <c r="C3442" s="314" t="s">
        <v>2</v>
      </c>
      <c r="D3442" s="314"/>
      <c r="E3442" s="314" t="s">
        <v>3</v>
      </c>
      <c r="F3442" s="314"/>
      <c r="G3442" s="314" t="s">
        <v>2896</v>
      </c>
      <c r="H3442" s="314"/>
      <c r="J3442" s="18" t="s">
        <v>2473</v>
      </c>
      <c r="K3442" s="18" t="s">
        <v>2473</v>
      </c>
      <c r="L3442" s="18" t="s">
        <v>2336</v>
      </c>
      <c r="AM3442" s="8" t="str">
        <f>C3442</f>
        <v>OSM-Redfish</v>
      </c>
      <c r="AN3442" s="8" t="str">
        <f>E3442</f>
        <v>OSM-RedfishBMC</v>
      </c>
      <c r="AO3442" s="8" t="str">
        <f>G3442</f>
        <v>OSM-RedfishDCN</v>
      </c>
      <c r="AV3442" s="6" t="str">
        <f t="shared" si="70"/>
        <v/>
      </c>
    </row>
    <row r="3443" spans="1:48" ht="14.65" thickBot="1" x14ac:dyDescent="0.5">
      <c r="A3443" s="46" t="s">
        <v>2377</v>
      </c>
      <c r="B3443" s="47"/>
      <c r="C3443" s="303"/>
      <c r="D3443" s="304"/>
      <c r="E3443" s="303" t="s">
        <v>13</v>
      </c>
      <c r="F3443" s="304"/>
      <c r="G3443" s="303"/>
      <c r="H3443" s="304"/>
      <c r="J3443" s="18" t="s">
        <v>2473</v>
      </c>
      <c r="K3443" s="18" t="s">
        <v>2473</v>
      </c>
      <c r="L3443" s="18" t="s">
        <v>2336</v>
      </c>
      <c r="AM3443" s="8" t="str">
        <f>IF(C3443&lt;&gt;"","CRQ-P5-"&amp;(AM$2+$AP3443*$AP$3),"")</f>
        <v/>
      </c>
      <c r="AN3443" s="8" t="str">
        <f>IF(E3443&lt;&gt;"","CRQ-P5-"&amp;(AN$2+$AP3443*$AP$3),"")</f>
        <v>CRQ-P5-1324</v>
      </c>
      <c r="AO3443" s="8" t="str">
        <f>IF(G3443&lt;&gt;"","CRQ-P5-"&amp;(AO$2+$AP3443*$AP$3),"")</f>
        <v/>
      </c>
      <c r="AP3443" s="8">
        <v>6</v>
      </c>
      <c r="AV3443" s="6" t="str">
        <f t="shared" si="70"/>
        <v/>
      </c>
    </row>
    <row r="3444" spans="1:48" ht="14.65" thickBot="1" x14ac:dyDescent="0.5">
      <c r="A3444" s="29" t="s">
        <v>3394</v>
      </c>
      <c r="B3444" s="9"/>
      <c r="C3444" s="305"/>
      <c r="D3444" s="306"/>
      <c r="E3444" s="305" t="s">
        <v>3395</v>
      </c>
      <c r="F3444" s="306"/>
      <c r="G3444" s="305"/>
      <c r="H3444" s="306"/>
      <c r="J3444" s="18" t="s">
        <v>2473</v>
      </c>
      <c r="K3444" s="18" t="s">
        <v>2473</v>
      </c>
      <c r="L3444" s="18" t="s">
        <v>2336</v>
      </c>
      <c r="AU3444" s="6"/>
      <c r="AV3444" s="6" t="str">
        <f t="shared" si="70"/>
        <v/>
      </c>
    </row>
    <row r="3445" spans="1:48" ht="14.65" thickBot="1" x14ac:dyDescent="0.5">
      <c r="A3445" s="60" t="s">
        <v>4</v>
      </c>
      <c r="B3445" s="61" t="s">
        <v>5</v>
      </c>
      <c r="C3445" s="62" t="s">
        <v>6</v>
      </c>
      <c r="D3445" s="62" t="s">
        <v>7</v>
      </c>
      <c r="E3445" s="62" t="s">
        <v>6</v>
      </c>
      <c r="F3445" s="62" t="s">
        <v>7</v>
      </c>
      <c r="G3445" s="62" t="s">
        <v>6</v>
      </c>
      <c r="H3445" s="62" t="s">
        <v>7</v>
      </c>
      <c r="J3445" s="18" t="s">
        <v>2473</v>
      </c>
      <c r="K3445" s="18" t="s">
        <v>2473</v>
      </c>
      <c r="L3445" s="18" t="s">
        <v>2336</v>
      </c>
      <c r="AV3445" s="6" t="str">
        <f t="shared" si="70"/>
        <v/>
      </c>
    </row>
    <row r="3446" spans="1:48" ht="14.65" thickBot="1" x14ac:dyDescent="0.5">
      <c r="A3446" s="88" t="s">
        <v>8</v>
      </c>
      <c r="B3446" s="21" t="s">
        <v>9</v>
      </c>
      <c r="C3446" s="20"/>
      <c r="D3446" s="20"/>
      <c r="E3446" s="20"/>
      <c r="F3446" s="20"/>
      <c r="G3446" s="20"/>
      <c r="H3446" s="20"/>
      <c r="J3446" s="18" t="s">
        <v>2473</v>
      </c>
      <c r="K3446" s="18" t="s">
        <v>2473</v>
      </c>
      <c r="L3446" s="18" t="s">
        <v>2336</v>
      </c>
      <c r="AV3446" s="6" t="str">
        <f t="shared" si="70"/>
        <v/>
      </c>
    </row>
    <row r="3447" spans="1:48" ht="47.65" thickBot="1" x14ac:dyDescent="0.5">
      <c r="A3447" s="88" t="s">
        <v>75</v>
      </c>
      <c r="B3447" s="21" t="s">
        <v>76</v>
      </c>
      <c r="C3447" s="20"/>
      <c r="D3447" s="20"/>
      <c r="E3447" s="20" t="s">
        <v>10</v>
      </c>
      <c r="F3447" s="20"/>
      <c r="G3447" s="20"/>
      <c r="H3447" s="20"/>
      <c r="J3447" s="18" t="s">
        <v>2473</v>
      </c>
      <c r="K3447" s="18" t="s">
        <v>2473</v>
      </c>
      <c r="L3447" s="18" t="s">
        <v>2336</v>
      </c>
      <c r="AS3447" s="206" t="s">
        <v>5860</v>
      </c>
      <c r="AV3447" s="6" t="str">
        <f t="shared" si="70"/>
        <v/>
      </c>
    </row>
    <row r="3448" spans="1:48" ht="14.65" thickBot="1" x14ac:dyDescent="0.5">
      <c r="A3448" s="88" t="s">
        <v>2605</v>
      </c>
      <c r="B3448" s="21" t="s">
        <v>2606</v>
      </c>
      <c r="C3448" s="20"/>
      <c r="D3448" s="20"/>
      <c r="E3448" s="20" t="s">
        <v>10</v>
      </c>
      <c r="F3448" s="20"/>
      <c r="G3448" s="20"/>
      <c r="H3448" s="20"/>
      <c r="J3448" s="18" t="s">
        <v>2473</v>
      </c>
      <c r="K3448" s="18" t="s">
        <v>2473</v>
      </c>
      <c r="L3448" s="18" t="s">
        <v>2336</v>
      </c>
      <c r="AV3448" s="6" t="str">
        <f t="shared" si="70"/>
        <v/>
      </c>
    </row>
    <row r="3449" spans="1:48" ht="23.65" thickBot="1" x14ac:dyDescent="0.5">
      <c r="A3449" s="41" t="s">
        <v>43</v>
      </c>
      <c r="B3449" s="50" t="s">
        <v>2607</v>
      </c>
      <c r="C3449" s="12"/>
      <c r="D3449" s="20"/>
      <c r="E3449" s="20"/>
      <c r="F3449" s="20"/>
      <c r="G3449" s="12"/>
      <c r="H3449" s="20"/>
      <c r="J3449" s="18" t="s">
        <v>2473</v>
      </c>
      <c r="K3449" s="18" t="s">
        <v>2473</v>
      </c>
      <c r="L3449" s="18" t="s">
        <v>2336</v>
      </c>
      <c r="AV3449" s="6" t="str">
        <f t="shared" si="70"/>
        <v/>
      </c>
    </row>
    <row r="3450" spans="1:48" ht="14.65" thickBot="1" x14ac:dyDescent="0.5">
      <c r="A3450" s="88" t="s">
        <v>2604</v>
      </c>
      <c r="B3450" s="21" t="s">
        <v>2608</v>
      </c>
      <c r="C3450" s="20"/>
      <c r="D3450" s="20"/>
      <c r="E3450" s="20"/>
      <c r="F3450" s="20"/>
      <c r="G3450" s="20"/>
      <c r="H3450" s="20"/>
      <c r="J3450" s="18" t="s">
        <v>2473</v>
      </c>
      <c r="K3450" s="18" t="s">
        <v>2473</v>
      </c>
      <c r="L3450" s="18" t="s">
        <v>2336</v>
      </c>
      <c r="AV3450" s="6" t="str">
        <f t="shared" si="70"/>
        <v/>
      </c>
    </row>
    <row r="3451" spans="1:48" x14ac:dyDescent="0.45">
      <c r="A3451" s="89" t="s">
        <v>2626</v>
      </c>
      <c r="J3451" s="18" t="s">
        <v>2473</v>
      </c>
      <c r="K3451" s="18" t="s">
        <v>2473</v>
      </c>
      <c r="L3451" s="18" t="s">
        <v>2336</v>
      </c>
      <c r="AV3451" s="6" t="str">
        <f t="shared" si="70"/>
        <v/>
      </c>
    </row>
    <row r="3452" spans="1:48" x14ac:dyDescent="0.45">
      <c r="A3452" s="90" t="s">
        <v>2609</v>
      </c>
      <c r="J3452" s="18" t="s">
        <v>2473</v>
      </c>
      <c r="K3452" s="18" t="s">
        <v>2473</v>
      </c>
      <c r="L3452" s="18" t="s">
        <v>2336</v>
      </c>
      <c r="AV3452" s="6" t="str">
        <f t="shared" si="70"/>
        <v/>
      </c>
    </row>
    <row r="3453" spans="1:48" s="79" customFormat="1" x14ac:dyDescent="0.45">
      <c r="A3453" s="75"/>
      <c r="B3453" s="76"/>
      <c r="C3453" s="77"/>
      <c r="D3453" s="77"/>
      <c r="E3453" s="77"/>
      <c r="F3453" s="77"/>
      <c r="G3453" s="77"/>
      <c r="H3453" s="77"/>
      <c r="I3453" s="77"/>
      <c r="J3453" s="77"/>
      <c r="K3453" s="77"/>
      <c r="L3453" s="77"/>
      <c r="M3453" s="148"/>
      <c r="N3453" s="78"/>
      <c r="O3453" s="78"/>
      <c r="P3453" s="78"/>
      <c r="Q3453" s="78"/>
      <c r="R3453" s="78"/>
      <c r="S3453" s="78"/>
      <c r="T3453" s="78"/>
      <c r="U3453" s="78"/>
      <c r="V3453" s="78"/>
      <c r="W3453" s="78"/>
      <c r="X3453" s="78"/>
      <c r="Y3453" s="148"/>
      <c r="Z3453" s="78"/>
      <c r="AA3453" s="78"/>
      <c r="AB3453" s="78"/>
      <c r="AC3453" s="78"/>
      <c r="AD3453" s="78"/>
      <c r="AE3453" s="156"/>
      <c r="AF3453" s="156"/>
      <c r="AG3453" s="78"/>
      <c r="AH3453" s="78"/>
      <c r="AI3453" s="78"/>
      <c r="AJ3453" s="78"/>
      <c r="AK3453" s="78"/>
      <c r="AL3453" s="78"/>
      <c r="AM3453" s="78"/>
      <c r="AN3453" s="78"/>
      <c r="AO3453" s="78"/>
      <c r="AP3453" s="78"/>
      <c r="AQ3453" s="78"/>
      <c r="AR3453" s="286"/>
      <c r="AS3453" s="78"/>
      <c r="AT3453" s="78"/>
      <c r="AU3453" s="8"/>
      <c r="AV3453" s="6" t="str">
        <f t="shared" si="70"/>
        <v/>
      </c>
    </row>
    <row r="3454" spans="1:48" x14ac:dyDescent="0.45">
      <c r="A3454" s="39" t="s">
        <v>2611</v>
      </c>
      <c r="J3454" s="18" t="s">
        <v>2473</v>
      </c>
      <c r="K3454" s="18" t="s">
        <v>2473</v>
      </c>
      <c r="L3454" s="18" t="s">
        <v>2336</v>
      </c>
      <c r="AV3454" s="6" t="str">
        <f t="shared" si="70"/>
        <v/>
      </c>
    </row>
    <row r="3455" spans="1:48" ht="14.65" thickBot="1" x14ac:dyDescent="0.5">
      <c r="A3455" s="40" t="s">
        <v>2612</v>
      </c>
      <c r="J3455" s="18" t="s">
        <v>2473</v>
      </c>
      <c r="K3455" s="18" t="s">
        <v>2473</v>
      </c>
      <c r="L3455" s="18" t="s">
        <v>2336</v>
      </c>
      <c r="AA3455" s="183" t="s">
        <v>2322</v>
      </c>
      <c r="AB3455" s="183" t="s">
        <v>1697</v>
      </c>
      <c r="AC3455" s="183" t="s">
        <v>5</v>
      </c>
      <c r="AV3455" s="6" t="str">
        <f t="shared" si="70"/>
        <v/>
      </c>
    </row>
    <row r="3456" spans="1:48" ht="163.15" thickBot="1" x14ac:dyDescent="0.5">
      <c r="A3456" s="307" t="s">
        <v>2758</v>
      </c>
      <c r="B3456" s="308"/>
      <c r="C3456" s="314" t="s">
        <v>1</v>
      </c>
      <c r="D3456" s="314"/>
      <c r="E3456" s="314"/>
      <c r="F3456" s="314"/>
      <c r="G3456" s="102"/>
      <c r="H3456" s="102"/>
      <c r="J3456" s="18" t="s">
        <v>2473</v>
      </c>
      <c r="K3456" s="18" t="s">
        <v>2473</v>
      </c>
      <c r="L3456" s="18" t="s">
        <v>2336</v>
      </c>
      <c r="AA3456" s="183" t="str">
        <f>LEFT($A3456,FIND(" ",$A3456)-1)</f>
        <v>CertificateService</v>
      </c>
      <c r="AB3456" s="183" t="str">
        <f>MID($A3456,FIND("(",$A3456)+1,LEN($A3456)-FIND("(",$A3456)-1)</f>
        <v>1.0.0</v>
      </c>
      <c r="AC3456" s="101" t="str">
        <f>A3455</f>
        <v>The CertificateService schema defines a Certificate Service which represents the actions available to manage certificates and links to where certificates are installed.</v>
      </c>
      <c r="AV3456" s="6" t="str">
        <f t="shared" si="70"/>
        <v/>
      </c>
    </row>
    <row r="3457" spans="1:48" ht="14.65" thickBot="1" x14ac:dyDescent="0.5">
      <c r="A3457" s="307"/>
      <c r="B3457" s="308"/>
      <c r="C3457" s="314" t="s">
        <v>2</v>
      </c>
      <c r="D3457" s="314"/>
      <c r="E3457" s="314" t="s">
        <v>3</v>
      </c>
      <c r="F3457" s="314"/>
      <c r="G3457" s="314" t="s">
        <v>2896</v>
      </c>
      <c r="H3457" s="314"/>
      <c r="J3457" s="18" t="s">
        <v>2473</v>
      </c>
      <c r="K3457" s="18" t="s">
        <v>2473</v>
      </c>
      <c r="L3457" s="18" t="s">
        <v>2336</v>
      </c>
      <c r="AM3457" s="8" t="str">
        <f>C3457</f>
        <v>OSM-Redfish</v>
      </c>
      <c r="AN3457" s="8" t="str">
        <f>E3457</f>
        <v>OSM-RedfishBMC</v>
      </c>
      <c r="AO3457" s="8" t="str">
        <f>G3457</f>
        <v>OSM-RedfishDCN</v>
      </c>
      <c r="AV3457" s="6" t="str">
        <f t="shared" si="70"/>
        <v/>
      </c>
    </row>
    <row r="3458" spans="1:48" ht="14.65" thickBot="1" x14ac:dyDescent="0.5">
      <c r="A3458" s="46" t="s">
        <v>2377</v>
      </c>
      <c r="B3458" s="47"/>
      <c r="C3458" s="303"/>
      <c r="D3458" s="304"/>
      <c r="E3458" s="303" t="s">
        <v>13</v>
      </c>
      <c r="F3458" s="304"/>
      <c r="G3458" s="303"/>
      <c r="H3458" s="304"/>
      <c r="J3458" s="18" t="s">
        <v>2473</v>
      </c>
      <c r="K3458" s="18" t="s">
        <v>2473</v>
      </c>
      <c r="L3458" s="18" t="s">
        <v>2336</v>
      </c>
      <c r="AM3458" s="8" t="str">
        <f>IF(C3458&lt;&gt;"","CRQ-P5-"&amp;(AM$2+$AP3458*$AP$3),"")</f>
        <v/>
      </c>
      <c r="AN3458" s="8" t="str">
        <f>IF(E3458&lt;&gt;"","CRQ-P5-"&amp;(AN$2+$AP3458*$AP$3),"")</f>
        <v>CRQ-P5-1328</v>
      </c>
      <c r="AO3458" s="8" t="str">
        <f>IF(G3458&lt;&gt;"","CRQ-P5-"&amp;(AO$2+$AP3458*$AP$3),"")</f>
        <v/>
      </c>
      <c r="AP3458" s="8">
        <v>7</v>
      </c>
      <c r="AV3458" s="6" t="str">
        <f t="shared" si="70"/>
        <v/>
      </c>
    </row>
    <row r="3459" spans="1:48" ht="14.65" thickBot="1" x14ac:dyDescent="0.5">
      <c r="A3459" s="29" t="s">
        <v>3394</v>
      </c>
      <c r="B3459" s="9"/>
      <c r="C3459" s="305"/>
      <c r="D3459" s="306"/>
      <c r="E3459" s="305" t="s">
        <v>3395</v>
      </c>
      <c r="F3459" s="306"/>
      <c r="G3459" s="305"/>
      <c r="H3459" s="306"/>
      <c r="J3459" s="18" t="s">
        <v>2473</v>
      </c>
      <c r="K3459" s="18" t="s">
        <v>2473</v>
      </c>
      <c r="L3459" s="18" t="s">
        <v>2336</v>
      </c>
      <c r="AU3459" s="6"/>
      <c r="AV3459" s="6" t="str">
        <f t="shared" si="70"/>
        <v/>
      </c>
    </row>
    <row r="3460" spans="1:48" ht="14.65" thickBot="1" x14ac:dyDescent="0.5">
      <c r="A3460" s="60" t="s">
        <v>4</v>
      </c>
      <c r="B3460" s="61" t="s">
        <v>5</v>
      </c>
      <c r="C3460" s="62" t="s">
        <v>6</v>
      </c>
      <c r="D3460" s="62" t="s">
        <v>7</v>
      </c>
      <c r="E3460" s="62" t="s">
        <v>6</v>
      </c>
      <c r="F3460" s="62" t="s">
        <v>7</v>
      </c>
      <c r="G3460" s="62" t="s">
        <v>6</v>
      </c>
      <c r="H3460" s="62" t="s">
        <v>7</v>
      </c>
      <c r="J3460" s="18" t="s">
        <v>2473</v>
      </c>
      <c r="K3460" s="18" t="s">
        <v>2473</v>
      </c>
      <c r="L3460" s="18" t="s">
        <v>2336</v>
      </c>
      <c r="AV3460" s="6" t="str">
        <f t="shared" si="70"/>
        <v/>
      </c>
    </row>
    <row r="3461" spans="1:48" ht="47.65" thickBot="1" x14ac:dyDescent="0.5">
      <c r="A3461" s="91" t="s">
        <v>8</v>
      </c>
      <c r="B3461" s="72" t="s">
        <v>9</v>
      </c>
      <c r="C3461" s="20"/>
      <c r="D3461" s="20"/>
      <c r="E3461" s="20" t="s">
        <v>10</v>
      </c>
      <c r="F3461" s="20"/>
      <c r="G3461" s="20"/>
      <c r="H3461" s="20"/>
      <c r="J3461" s="18" t="s">
        <v>2473</v>
      </c>
      <c r="K3461" s="18" t="s">
        <v>2473</v>
      </c>
      <c r="L3461" s="18" t="s">
        <v>2336</v>
      </c>
      <c r="AS3461" s="206" t="s">
        <v>5885</v>
      </c>
      <c r="AV3461" s="6" t="str">
        <f t="shared" si="70"/>
        <v/>
      </c>
    </row>
    <row r="3462" spans="1:48" ht="14.65" thickBot="1" x14ac:dyDescent="0.5">
      <c r="A3462" s="91" t="s">
        <v>2620</v>
      </c>
      <c r="B3462" s="72" t="s">
        <v>2619</v>
      </c>
      <c r="C3462" s="20"/>
      <c r="D3462" s="20"/>
      <c r="E3462" s="20" t="s">
        <v>10</v>
      </c>
      <c r="F3462" s="20"/>
      <c r="G3462" s="20"/>
      <c r="H3462" s="20"/>
      <c r="J3462" s="18" t="s">
        <v>2473</v>
      </c>
      <c r="K3462" s="18" t="s">
        <v>2473</v>
      </c>
      <c r="L3462" s="18" t="s">
        <v>2336</v>
      </c>
      <c r="AV3462" s="6" t="str">
        <f t="shared" si="70"/>
        <v/>
      </c>
    </row>
    <row r="3463" spans="1:48" ht="36" thickBot="1" x14ac:dyDescent="0.5">
      <c r="A3463" s="91" t="s">
        <v>2621</v>
      </c>
      <c r="B3463" s="72" t="s">
        <v>2618</v>
      </c>
      <c r="C3463" s="20"/>
      <c r="D3463" s="20"/>
      <c r="E3463" s="20" t="s">
        <v>10</v>
      </c>
      <c r="F3463" s="20"/>
      <c r="G3463" s="20"/>
      <c r="H3463" s="20"/>
      <c r="J3463" s="18" t="s">
        <v>2473</v>
      </c>
      <c r="K3463" s="18" t="s">
        <v>2473</v>
      </c>
      <c r="L3463" s="18" t="s">
        <v>2336</v>
      </c>
      <c r="AV3463" s="6" t="str">
        <f t="shared" si="70"/>
        <v/>
      </c>
    </row>
    <row r="3464" spans="1:48" ht="24.4" thickBot="1" x14ac:dyDescent="0.5">
      <c r="A3464" s="91" t="s">
        <v>2615</v>
      </c>
      <c r="B3464" s="72" t="s">
        <v>2617</v>
      </c>
      <c r="C3464" s="20"/>
      <c r="D3464" s="20"/>
      <c r="E3464" s="20" t="s">
        <v>10</v>
      </c>
      <c r="F3464" s="20"/>
      <c r="G3464" s="20"/>
      <c r="H3464" s="20"/>
      <c r="J3464" s="18" t="s">
        <v>2473</v>
      </c>
      <c r="K3464" s="18" t="s">
        <v>2473</v>
      </c>
      <c r="L3464" s="18" t="s">
        <v>2336</v>
      </c>
      <c r="AV3464" s="6" t="str">
        <f t="shared" si="70"/>
        <v/>
      </c>
    </row>
    <row r="3465" spans="1:48" ht="24.4" thickBot="1" x14ac:dyDescent="0.5">
      <c r="A3465" s="91" t="s">
        <v>33</v>
      </c>
      <c r="B3465" s="72" t="s">
        <v>2616</v>
      </c>
      <c r="C3465" s="20"/>
      <c r="D3465" s="20"/>
      <c r="E3465" s="20"/>
      <c r="F3465" s="20"/>
      <c r="G3465" s="20"/>
      <c r="H3465" s="20"/>
      <c r="J3465" s="18" t="s">
        <v>2473</v>
      </c>
      <c r="K3465" s="18" t="s">
        <v>2473</v>
      </c>
      <c r="L3465" s="18" t="s">
        <v>2336</v>
      </c>
      <c r="AV3465" s="6" t="str">
        <f t="shared" si="70"/>
        <v/>
      </c>
    </row>
    <row r="3466" spans="1:48" x14ac:dyDescent="0.45">
      <c r="A3466" s="92" t="s">
        <v>2614</v>
      </c>
      <c r="J3466" s="18" t="s">
        <v>2473</v>
      </c>
      <c r="K3466" s="18" t="s">
        <v>2473</v>
      </c>
      <c r="L3466" s="18" t="s">
        <v>2336</v>
      </c>
      <c r="AV3466" s="6" t="str">
        <f t="shared" si="70"/>
        <v/>
      </c>
    </row>
    <row r="3467" spans="1:48" x14ac:dyDescent="0.45">
      <c r="A3467" s="99" t="s">
        <v>2613</v>
      </c>
      <c r="J3467" s="18" t="s">
        <v>2473</v>
      </c>
      <c r="K3467" s="18" t="s">
        <v>2473</v>
      </c>
      <c r="L3467" s="18" t="s">
        <v>2336</v>
      </c>
      <c r="AV3467" s="6" t="str">
        <f t="shared" si="70"/>
        <v/>
      </c>
    </row>
    <row r="3468" spans="1:48" s="79" customFormat="1" x14ac:dyDescent="0.45">
      <c r="A3468" s="75"/>
      <c r="B3468" s="76"/>
      <c r="C3468" s="77"/>
      <c r="D3468" s="77"/>
      <c r="E3468" s="77"/>
      <c r="F3468" s="77"/>
      <c r="G3468" s="77"/>
      <c r="H3468" s="77"/>
      <c r="I3468" s="77"/>
      <c r="J3468" s="77"/>
      <c r="K3468" s="77"/>
      <c r="L3468" s="77"/>
      <c r="M3468" s="148"/>
      <c r="N3468" s="78"/>
      <c r="O3468" s="78"/>
      <c r="P3468" s="78"/>
      <c r="Q3468" s="78"/>
      <c r="R3468" s="78"/>
      <c r="S3468" s="78"/>
      <c r="T3468" s="78"/>
      <c r="U3468" s="78"/>
      <c r="V3468" s="78"/>
      <c r="W3468" s="78"/>
      <c r="X3468" s="78"/>
      <c r="Y3468" s="148"/>
      <c r="Z3468" s="78"/>
      <c r="AA3468" s="78"/>
      <c r="AB3468" s="78"/>
      <c r="AC3468" s="78"/>
      <c r="AD3468" s="78"/>
      <c r="AE3468" s="156"/>
      <c r="AF3468" s="156"/>
      <c r="AG3468" s="78"/>
      <c r="AH3468" s="78"/>
      <c r="AI3468" s="78"/>
      <c r="AJ3468" s="78"/>
      <c r="AK3468" s="78"/>
      <c r="AL3468" s="78"/>
      <c r="AM3468" s="78"/>
      <c r="AN3468" s="78"/>
      <c r="AO3468" s="78"/>
      <c r="AP3468" s="78"/>
      <c r="AQ3468" s="78"/>
      <c r="AR3468" s="286"/>
      <c r="AS3468" s="78"/>
      <c r="AT3468" s="78"/>
      <c r="AU3468" s="8"/>
      <c r="AV3468" s="6" t="str">
        <f t="shared" si="70"/>
        <v/>
      </c>
    </row>
    <row r="3469" spans="1:48" x14ac:dyDescent="0.45">
      <c r="A3469" s="27" t="s">
        <v>2470</v>
      </c>
      <c r="I3469" s="18" t="s">
        <v>2473</v>
      </c>
      <c r="J3469" s="18" t="s">
        <v>2473</v>
      </c>
      <c r="K3469" s="18" t="s">
        <v>2473</v>
      </c>
      <c r="L3469" s="18" t="s">
        <v>2335</v>
      </c>
      <c r="AU3469" s="8"/>
      <c r="AV3469" s="6" t="str">
        <f t="shared" si="70"/>
        <v/>
      </c>
    </row>
    <row r="3470" spans="1:48" x14ac:dyDescent="0.45">
      <c r="A3470" s="323" t="s">
        <v>2552</v>
      </c>
      <c r="B3470" s="324"/>
      <c r="C3470" s="324"/>
      <c r="D3470" s="324"/>
      <c r="E3470" s="324"/>
      <c r="F3470" s="324"/>
      <c r="G3470" s="101"/>
      <c r="H3470" s="101"/>
      <c r="I3470" s="18" t="s">
        <v>2473</v>
      </c>
      <c r="J3470" s="18" t="s">
        <v>2473</v>
      </c>
      <c r="K3470" s="18" t="s">
        <v>2473</v>
      </c>
      <c r="L3470" s="18" t="s">
        <v>2335</v>
      </c>
      <c r="AU3470" s="8"/>
      <c r="AV3470" s="6" t="str">
        <f t="shared" si="70"/>
        <v/>
      </c>
    </row>
    <row r="3471" spans="1:48" ht="14.65" thickBot="1" x14ac:dyDescent="0.5">
      <c r="A3471" s="28" t="s">
        <v>2311</v>
      </c>
      <c r="I3471" s="18" t="s">
        <v>2473</v>
      </c>
      <c r="J3471" s="18" t="s">
        <v>2473</v>
      </c>
      <c r="K3471" s="18" t="s">
        <v>2473</v>
      </c>
      <c r="L3471" s="18" t="s">
        <v>2335</v>
      </c>
      <c r="AA3471" s="183" t="s">
        <v>2322</v>
      </c>
      <c r="AB3471" s="183" t="s">
        <v>1697</v>
      </c>
      <c r="AC3471" s="183" t="s">
        <v>5</v>
      </c>
      <c r="AU3471" s="8"/>
      <c r="AV3471" s="6" t="str">
        <f t="shared" si="70"/>
        <v/>
      </c>
    </row>
    <row r="3472" spans="1:48" ht="139.9" thickBot="1" x14ac:dyDescent="0.5">
      <c r="A3472" s="309" t="s">
        <v>2312</v>
      </c>
      <c r="B3472" s="310"/>
      <c r="C3472" s="301" t="s">
        <v>1</v>
      </c>
      <c r="D3472" s="319"/>
      <c r="E3472" s="319"/>
      <c r="F3472" s="302"/>
      <c r="G3472" s="102"/>
      <c r="H3472" s="102"/>
      <c r="I3472" s="18" t="s">
        <v>2473</v>
      </c>
      <c r="L3472" s="18" t="s">
        <v>2335</v>
      </c>
      <c r="AA3472" s="183" t="str">
        <f>LEFT($A3472,FIND(" ",$A3472)-1)</f>
        <v>SecureBoot</v>
      </c>
      <c r="AB3472" s="183" t="str">
        <f>MID($A3472,FIND("(",$A3472)+1,LEN($A3472)-FIND("(",$A3472)-1)</f>
        <v>1.0.4</v>
      </c>
      <c r="AC3472" s="101" t="str">
        <f>A3470</f>
        <v>The SecureBoot resource contains UEFI secure boot information. It represents properties for managing the UEFI secure boot functionality of a system.</v>
      </c>
      <c r="AU3472" s="8"/>
      <c r="AV3472" s="6" t="str">
        <f t="shared" si="70"/>
        <v/>
      </c>
    </row>
    <row r="3473" spans="1:48" ht="14.65" thickBot="1" x14ac:dyDescent="0.5">
      <c r="A3473" s="311"/>
      <c r="B3473" s="312"/>
      <c r="C3473" s="301" t="s">
        <v>2</v>
      </c>
      <c r="D3473" s="302"/>
      <c r="E3473" s="301" t="s">
        <v>3</v>
      </c>
      <c r="F3473" s="302"/>
      <c r="G3473" s="301" t="s">
        <v>2896</v>
      </c>
      <c r="H3473" s="302"/>
      <c r="I3473" s="18" t="s">
        <v>2473</v>
      </c>
      <c r="L3473" s="18" t="s">
        <v>2335</v>
      </c>
      <c r="AA3473" s="183" t="s">
        <v>2322</v>
      </c>
      <c r="AB3473" s="183" t="s">
        <v>1697</v>
      </c>
      <c r="AC3473" s="183" t="s">
        <v>5</v>
      </c>
      <c r="AU3473" s="8"/>
      <c r="AV3473" s="6" t="str">
        <f t="shared" si="70"/>
        <v/>
      </c>
    </row>
    <row r="3474" spans="1:48" ht="139.9" thickBot="1" x14ac:dyDescent="0.5">
      <c r="A3474" s="309" t="s">
        <v>2312</v>
      </c>
      <c r="B3474" s="310"/>
      <c r="C3474" s="301" t="s">
        <v>1</v>
      </c>
      <c r="D3474" s="319"/>
      <c r="E3474" s="319"/>
      <c r="F3474" s="302"/>
      <c r="G3474" s="102"/>
      <c r="H3474" s="102"/>
      <c r="J3474" s="18" t="s">
        <v>2473</v>
      </c>
      <c r="K3474" s="18" t="s">
        <v>2473</v>
      </c>
      <c r="L3474" s="18" t="s">
        <v>2335</v>
      </c>
      <c r="AA3474" s="183" t="str">
        <f>LEFT($A3474,FIND(" ",$A3474)-1)</f>
        <v>SecureBoot</v>
      </c>
      <c r="AB3474" s="183" t="str">
        <f>MID($A3474,FIND("(",$A3474)+1,LEN($A3474)-FIND("(",$A3474)-1)</f>
        <v>1.0.4</v>
      </c>
      <c r="AC3474" s="101" t="str">
        <f>AC3472</f>
        <v>The SecureBoot resource contains UEFI secure boot information. It represents properties for managing the UEFI secure boot functionality of a system.</v>
      </c>
      <c r="AU3474" s="8"/>
      <c r="AV3474" s="6" t="str">
        <f t="shared" si="70"/>
        <v/>
      </c>
    </row>
    <row r="3475" spans="1:48" ht="14.65" thickBot="1" x14ac:dyDescent="0.5">
      <c r="A3475" s="311"/>
      <c r="B3475" s="312"/>
      <c r="C3475" s="301" t="s">
        <v>2</v>
      </c>
      <c r="D3475" s="302"/>
      <c r="E3475" s="301" t="s">
        <v>3</v>
      </c>
      <c r="F3475" s="302"/>
      <c r="G3475" s="301" t="s">
        <v>2896</v>
      </c>
      <c r="H3475" s="302"/>
      <c r="J3475" s="18" t="s">
        <v>2473</v>
      </c>
      <c r="K3475" s="18" t="s">
        <v>2473</v>
      </c>
      <c r="L3475" s="18" t="s">
        <v>2335</v>
      </c>
      <c r="AM3475" s="8" t="str">
        <f>C3475</f>
        <v>OSM-Redfish</v>
      </c>
      <c r="AN3475" s="8" t="str">
        <f>E3475</f>
        <v>OSM-RedfishBMC</v>
      </c>
      <c r="AO3475" s="8" t="str">
        <f>G3475</f>
        <v>OSM-RedfishDCN</v>
      </c>
      <c r="AU3475" s="8"/>
      <c r="AV3475" s="6" t="str">
        <f t="shared" si="70"/>
        <v/>
      </c>
    </row>
    <row r="3476" spans="1:48" ht="14.65" thickBot="1" x14ac:dyDescent="0.5">
      <c r="A3476" s="46" t="s">
        <v>2377</v>
      </c>
      <c r="B3476" s="47"/>
      <c r="C3476" s="303"/>
      <c r="D3476" s="304"/>
      <c r="E3476" s="303" t="s">
        <v>37</v>
      </c>
      <c r="F3476" s="304"/>
      <c r="G3476" s="303"/>
      <c r="H3476" s="304"/>
      <c r="I3476" s="18" t="s">
        <v>2473</v>
      </c>
      <c r="J3476" s="18" t="s">
        <v>2473</v>
      </c>
      <c r="K3476" s="18" t="s">
        <v>2473</v>
      </c>
      <c r="AM3476" s="8" t="str">
        <f>IF(C3476&lt;&gt;"","CRQ-P5-"&amp;(AM$2+$AP3476*$AP$3),"")</f>
        <v/>
      </c>
      <c r="AN3476" s="8" t="str">
        <f>IF(E3476&lt;&gt;"","CRQ-P5-"&amp;(AN$2+$AP3476*$AP$3),"")</f>
        <v>CRQ-P5-1504</v>
      </c>
      <c r="AO3476" s="8" t="str">
        <f>IF(G3476&lt;&gt;"","CRQ-P5-"&amp;(AO$2+$AP3476*$AP$3),"")</f>
        <v/>
      </c>
      <c r="AP3476" s="8">
        <v>51</v>
      </c>
      <c r="AU3476" s="6"/>
      <c r="AV3476" s="6" t="str">
        <f t="shared" si="70"/>
        <v/>
      </c>
    </row>
    <row r="3477" spans="1:48" ht="14.65" thickBot="1" x14ac:dyDescent="0.5">
      <c r="A3477" s="29" t="s">
        <v>3394</v>
      </c>
      <c r="B3477" s="9"/>
      <c r="C3477" s="305" t="str">
        <f>MID($A3472,FIND("(",$A3472)+1,5)</f>
        <v>1.0.4</v>
      </c>
      <c r="D3477" s="306"/>
      <c r="E3477" s="305" t="s">
        <v>3403</v>
      </c>
      <c r="F3477" s="306"/>
      <c r="G3477" s="305" t="str">
        <f>MID($A3472,FIND("(",$A3472)+1,5)</f>
        <v>1.0.4</v>
      </c>
      <c r="H3477" s="306"/>
      <c r="I3477" s="18" t="s">
        <v>2473</v>
      </c>
      <c r="J3477" s="18" t="s">
        <v>2473</v>
      </c>
      <c r="K3477" s="18" t="s">
        <v>2473</v>
      </c>
      <c r="L3477" s="18" t="s">
        <v>2336</v>
      </c>
      <c r="AU3477" s="6"/>
      <c r="AV3477" s="6" t="str">
        <f t="shared" si="70"/>
        <v/>
      </c>
    </row>
    <row r="3478" spans="1:48" ht="14.65" thickBot="1" x14ac:dyDescent="0.5">
      <c r="A3478" s="30" t="s">
        <v>4</v>
      </c>
      <c r="B3478" s="59" t="s">
        <v>5</v>
      </c>
      <c r="C3478" s="7" t="s">
        <v>6</v>
      </c>
      <c r="D3478" s="7" t="s">
        <v>7</v>
      </c>
      <c r="E3478" s="7" t="s">
        <v>6</v>
      </c>
      <c r="F3478" s="7" t="s">
        <v>7</v>
      </c>
      <c r="G3478" s="7" t="s">
        <v>6</v>
      </c>
      <c r="H3478" s="7" t="s">
        <v>7</v>
      </c>
      <c r="I3478" s="18" t="s">
        <v>2473</v>
      </c>
      <c r="J3478" s="18" t="s">
        <v>2473</v>
      </c>
      <c r="K3478" s="18" t="s">
        <v>2473</v>
      </c>
      <c r="L3478" s="18" t="s">
        <v>2335</v>
      </c>
      <c r="AU3478" s="8"/>
      <c r="AV3478" s="6" t="str">
        <f t="shared" si="70"/>
        <v/>
      </c>
    </row>
    <row r="3479" spans="1:48" ht="14.65" thickBot="1" x14ac:dyDescent="0.5">
      <c r="A3479" s="36" t="s">
        <v>8</v>
      </c>
      <c r="B3479" s="3" t="s">
        <v>9</v>
      </c>
      <c r="C3479" s="4"/>
      <c r="D3479" s="4"/>
      <c r="E3479" s="4" t="s">
        <v>37</v>
      </c>
      <c r="F3479" s="4"/>
      <c r="G3479" s="4"/>
      <c r="H3479" s="4"/>
      <c r="I3479" s="18" t="s">
        <v>2473</v>
      </c>
      <c r="J3479" s="18" t="s">
        <v>2473</v>
      </c>
      <c r="K3479" s="18" t="s">
        <v>2473</v>
      </c>
      <c r="L3479" s="18" t="s">
        <v>2335</v>
      </c>
      <c r="AU3479" s="8"/>
      <c r="AV3479" s="6" t="str">
        <f t="shared" si="70"/>
        <v/>
      </c>
    </row>
    <row r="3480" spans="1:48" ht="14.65" thickBot="1" x14ac:dyDescent="0.5">
      <c r="A3480" s="35" t="s">
        <v>2331</v>
      </c>
      <c r="B3480" s="3" t="s">
        <v>2313</v>
      </c>
      <c r="C3480" s="4"/>
      <c r="D3480" s="4"/>
      <c r="E3480" s="4" t="s">
        <v>37</v>
      </c>
      <c r="F3480" s="4"/>
      <c r="G3480" s="4"/>
      <c r="H3480" s="4"/>
      <c r="I3480" s="18" t="s">
        <v>2473</v>
      </c>
      <c r="J3480" s="18" t="s">
        <v>2473</v>
      </c>
      <c r="K3480" s="18" t="s">
        <v>2473</v>
      </c>
      <c r="L3480" s="18" t="s">
        <v>2336</v>
      </c>
      <c r="AU3480" s="8"/>
      <c r="AV3480" s="6" t="str">
        <f t="shared" si="70"/>
        <v/>
      </c>
    </row>
    <row r="3481" spans="1:48" ht="14.65" thickBot="1" x14ac:dyDescent="0.5">
      <c r="A3481" s="36" t="s">
        <v>2314</v>
      </c>
      <c r="B3481" s="3" t="s">
        <v>2315</v>
      </c>
      <c r="C3481" s="4"/>
      <c r="D3481" s="4"/>
      <c r="E3481" s="4" t="s">
        <v>10</v>
      </c>
      <c r="F3481" s="4"/>
      <c r="G3481" s="4"/>
      <c r="H3481" s="4"/>
      <c r="I3481" s="18" t="s">
        <v>2473</v>
      </c>
      <c r="J3481" s="18" t="s">
        <v>2473</v>
      </c>
      <c r="K3481" s="18" t="s">
        <v>2473</v>
      </c>
      <c r="L3481" s="18" t="s">
        <v>2334</v>
      </c>
      <c r="AU3481" s="8"/>
      <c r="AV3481" s="6" t="str">
        <f t="shared" si="70"/>
        <v/>
      </c>
    </row>
    <row r="3482" spans="1:48" ht="14.65" thickBot="1" x14ac:dyDescent="0.5">
      <c r="A3482" s="36" t="s">
        <v>2316</v>
      </c>
      <c r="B3482" s="3" t="s">
        <v>2317</v>
      </c>
      <c r="C3482" s="4"/>
      <c r="D3482" s="4"/>
      <c r="E3482" s="4" t="s">
        <v>10</v>
      </c>
      <c r="F3482" s="4" t="s">
        <v>10</v>
      </c>
      <c r="G3482" s="4"/>
      <c r="H3482" s="4"/>
      <c r="I3482" s="18" t="s">
        <v>2473</v>
      </c>
      <c r="J3482" s="18" t="s">
        <v>2473</v>
      </c>
      <c r="K3482" s="18" t="s">
        <v>2473</v>
      </c>
      <c r="L3482" s="18" t="s">
        <v>2334</v>
      </c>
      <c r="AU3482" s="8"/>
      <c r="AV3482" s="6" t="str">
        <f t="shared" si="70"/>
        <v/>
      </c>
    </row>
    <row r="3483" spans="1:48" ht="14.65" thickBot="1" x14ac:dyDescent="0.5">
      <c r="A3483" s="36" t="s">
        <v>2318</v>
      </c>
      <c r="B3483" s="3" t="s">
        <v>2319</v>
      </c>
      <c r="C3483" s="4"/>
      <c r="D3483" s="4"/>
      <c r="E3483" s="4" t="s">
        <v>10</v>
      </c>
      <c r="F3483" s="4"/>
      <c r="G3483" s="4"/>
      <c r="H3483" s="4"/>
      <c r="I3483" s="18" t="s">
        <v>2473</v>
      </c>
      <c r="J3483" s="18" t="s">
        <v>2473</v>
      </c>
      <c r="K3483" s="18" t="s">
        <v>2473</v>
      </c>
      <c r="L3483" s="18" t="s">
        <v>2334</v>
      </c>
      <c r="AU3483" s="8"/>
      <c r="AV3483" s="6" t="str">
        <f t="shared" si="70"/>
        <v/>
      </c>
    </row>
    <row r="3484" spans="1:48" x14ac:dyDescent="0.45">
      <c r="A3484" s="33" t="s">
        <v>2320</v>
      </c>
      <c r="L3484" s="18" t="s">
        <v>2335</v>
      </c>
      <c r="AU3484" s="8"/>
      <c r="AV3484" s="6" t="str">
        <f t="shared" si="70"/>
        <v/>
      </c>
    </row>
    <row r="3485" spans="1:48" x14ac:dyDescent="0.45">
      <c r="A3485" s="34" t="s">
        <v>2321</v>
      </c>
      <c r="L3485" s="18" t="s">
        <v>2335</v>
      </c>
      <c r="AU3485" s="8"/>
      <c r="AV3485" s="6" t="str">
        <f t="shared" si="70"/>
        <v/>
      </c>
    </row>
    <row r="3486" spans="1:48" s="79" customFormat="1" ht="14.65" thickBot="1" x14ac:dyDescent="0.5">
      <c r="A3486" s="75"/>
      <c r="B3486" s="76"/>
      <c r="C3486" s="77"/>
      <c r="D3486" s="77"/>
      <c r="E3486" s="77"/>
      <c r="F3486" s="77"/>
      <c r="G3486" s="77"/>
      <c r="H3486" s="77"/>
      <c r="I3486" s="77"/>
      <c r="J3486" s="77"/>
      <c r="K3486" s="77"/>
      <c r="L3486" s="77"/>
      <c r="M3486" s="148"/>
      <c r="N3486" s="78"/>
      <c r="O3486" s="78"/>
      <c r="P3486" s="78"/>
      <c r="Q3486" s="78"/>
      <c r="R3486" s="78"/>
      <c r="S3486" s="78"/>
      <c r="T3486" s="78"/>
      <c r="U3486" s="78"/>
      <c r="V3486" s="78"/>
      <c r="W3486" s="78"/>
      <c r="X3486" s="78"/>
      <c r="Y3486" s="148"/>
      <c r="Z3486" s="78"/>
      <c r="AA3486" s="78"/>
      <c r="AB3486" s="78"/>
      <c r="AC3486" s="78"/>
      <c r="AD3486" s="78"/>
      <c r="AE3486" s="156"/>
      <c r="AF3486" s="156"/>
      <c r="AG3486" s="78"/>
      <c r="AH3486" s="78"/>
      <c r="AI3486" s="78"/>
      <c r="AJ3486" s="78"/>
      <c r="AK3486" s="78"/>
      <c r="AL3486" s="78"/>
      <c r="AM3486" s="78"/>
      <c r="AN3486" s="78"/>
      <c r="AO3486" s="78"/>
      <c r="AP3486" s="78"/>
      <c r="AQ3486" s="78"/>
      <c r="AR3486" s="286"/>
      <c r="AS3486" s="78"/>
      <c r="AT3486" s="78"/>
      <c r="AU3486" s="8"/>
      <c r="AV3486" s="6" t="str">
        <f t="shared" si="70"/>
        <v/>
      </c>
    </row>
    <row r="3487" spans="1:48" ht="14.65" thickBot="1" x14ac:dyDescent="0.5">
      <c r="A3487" s="39" t="s">
        <v>2337</v>
      </c>
      <c r="J3487" s="18" t="s">
        <v>2473</v>
      </c>
      <c r="K3487" s="18" t="s">
        <v>2473</v>
      </c>
      <c r="R3487" s="111" t="s">
        <v>3426</v>
      </c>
      <c r="S3487" s="349" t="s">
        <v>823</v>
      </c>
      <c r="T3487" s="350"/>
      <c r="U3487" s="350"/>
      <c r="V3487" s="350"/>
      <c r="W3487" s="350"/>
      <c r="X3487" s="351"/>
      <c r="Y3487" s="118"/>
      <c r="Z3487" s="185"/>
      <c r="AA3487" s="185"/>
      <c r="AB3487" s="185"/>
      <c r="AC3487" s="185"/>
      <c r="AD3487" s="185"/>
      <c r="AE3487" s="186"/>
      <c r="AF3487" s="186"/>
      <c r="AG3487" s="185"/>
      <c r="AH3487" s="185"/>
      <c r="AI3487" s="185"/>
      <c r="AJ3487" s="185"/>
      <c r="AK3487" s="185"/>
      <c r="AL3487" s="185"/>
      <c r="AM3487" s="185"/>
      <c r="AN3487" s="117"/>
      <c r="AO3487" s="117"/>
      <c r="AP3487" s="117"/>
      <c r="AQ3487" s="117"/>
      <c r="AR3487" s="287"/>
      <c r="AS3487" s="258"/>
      <c r="AT3487" s="185"/>
      <c r="AV3487" s="6" t="str">
        <f t="shared" si="70"/>
        <v/>
      </c>
    </row>
    <row r="3488" spans="1:48" ht="23.65" thickBot="1" x14ac:dyDescent="0.5">
      <c r="A3488" s="40" t="s">
        <v>2553</v>
      </c>
      <c r="J3488" s="18" t="s">
        <v>2473</v>
      </c>
      <c r="K3488" s="18" t="s">
        <v>2473</v>
      </c>
      <c r="R3488" s="122" t="s">
        <v>3427</v>
      </c>
      <c r="S3488" s="352" t="s">
        <v>3438</v>
      </c>
      <c r="T3488" s="353"/>
      <c r="U3488" s="353"/>
      <c r="V3488" s="353"/>
      <c r="W3488" s="353"/>
      <c r="X3488" s="354"/>
      <c r="Y3488" s="149"/>
      <c r="Z3488" s="183" t="s">
        <v>4347</v>
      </c>
      <c r="AA3488" s="183" t="s">
        <v>2322</v>
      </c>
      <c r="AB3488" s="183" t="s">
        <v>1697</v>
      </c>
      <c r="AC3488" s="183" t="s">
        <v>5</v>
      </c>
      <c r="AD3488" s="183" t="s">
        <v>4339</v>
      </c>
      <c r="AE3488" s="184" t="s">
        <v>4338</v>
      </c>
      <c r="AF3488" s="184" t="s">
        <v>4350</v>
      </c>
      <c r="AG3488" s="183" t="s">
        <v>1695</v>
      </c>
      <c r="AH3488" s="183" t="s">
        <v>4351</v>
      </c>
      <c r="AI3488" s="183" t="s">
        <v>4455</v>
      </c>
      <c r="AJ3488" s="183" t="s">
        <v>5051</v>
      </c>
      <c r="AK3488" s="183"/>
      <c r="AL3488" s="183"/>
      <c r="AM3488" s="183"/>
      <c r="AN3488" s="131"/>
      <c r="AO3488" s="131"/>
      <c r="AP3488" s="131"/>
      <c r="AQ3488" s="131"/>
      <c r="AR3488" s="288"/>
      <c r="AS3488" s="259"/>
      <c r="AT3488" s="183"/>
      <c r="AV3488" s="6" t="str">
        <f t="shared" si="70"/>
        <v/>
      </c>
    </row>
    <row r="3489" spans="1:48" ht="93.4" thickBot="1" x14ac:dyDescent="0.5">
      <c r="A3489" s="315" t="s">
        <v>4374</v>
      </c>
      <c r="B3489" s="316"/>
      <c r="C3489" s="301" t="s">
        <v>1</v>
      </c>
      <c r="D3489" s="319"/>
      <c r="E3489" s="319"/>
      <c r="F3489" s="302"/>
      <c r="G3489" s="102"/>
      <c r="H3489" s="102"/>
      <c r="J3489" s="18" t="s">
        <v>2473</v>
      </c>
      <c r="K3489" s="18" t="s">
        <v>2473</v>
      </c>
      <c r="R3489" s="122" t="s">
        <v>3428</v>
      </c>
      <c r="S3489" s="352" t="b">
        <v>0</v>
      </c>
      <c r="T3489" s="353"/>
      <c r="U3489" s="353"/>
      <c r="V3489" s="353"/>
      <c r="W3489" s="353"/>
      <c r="X3489" s="354"/>
      <c r="Y3489" s="149"/>
      <c r="Z3489" s="183" t="s">
        <v>2322</v>
      </c>
      <c r="AA3489" s="183" t="str">
        <f>LEFT($A3489,FIND(" ",$A3489)-1)</f>
        <v>OperatingSystem</v>
      </c>
      <c r="AB3489" s="183" t="str">
        <f>MID($A3489,FIND("(",$A3489)+1,LEN($A3489)-FIND("(",$A3489)-1)</f>
        <v>1.0.0</v>
      </c>
      <c r="AC3489" s="101" t="str">
        <f>A3488</f>
        <v>Resource defining in-band operating characteristics, capabilities, and metrics.</v>
      </c>
      <c r="AD3489" s="101" t="s">
        <v>4747</v>
      </c>
      <c r="AE3489" s="188" t="s">
        <v>3618</v>
      </c>
      <c r="AF3489" s="184" t="s">
        <v>4352</v>
      </c>
      <c r="AG3489" s="183" t="s">
        <v>4357</v>
      </c>
      <c r="AH3489" s="184" t="s">
        <v>4352</v>
      </c>
      <c r="AI3489" s="183" t="s">
        <v>5248</v>
      </c>
      <c r="AJ3489" s="183" t="s">
        <v>5052</v>
      </c>
      <c r="AK3489" s="183"/>
      <c r="AL3489" s="183"/>
      <c r="AM3489" s="183"/>
      <c r="AN3489" s="131"/>
      <c r="AO3489" s="131"/>
      <c r="AP3489" s="131"/>
      <c r="AQ3489" s="131"/>
      <c r="AR3489" s="288"/>
      <c r="AS3489" s="259"/>
      <c r="AT3489" s="183"/>
      <c r="AU3489" s="202" t="s">
        <v>5274</v>
      </c>
      <c r="AV3489" s="6" t="str">
        <f t="shared" si="70"/>
        <v/>
      </c>
    </row>
    <row r="3490" spans="1:48" ht="15" customHeight="1" thickBot="1" x14ac:dyDescent="0.5">
      <c r="A3490" s="317"/>
      <c r="B3490" s="318"/>
      <c r="C3490" s="301" t="s">
        <v>2</v>
      </c>
      <c r="D3490" s="302"/>
      <c r="E3490" s="301" t="s">
        <v>3</v>
      </c>
      <c r="F3490" s="302"/>
      <c r="G3490" s="301" t="s">
        <v>2896</v>
      </c>
      <c r="H3490" s="302"/>
      <c r="J3490" s="18" t="s">
        <v>2473</v>
      </c>
      <c r="K3490" s="18" t="s">
        <v>2473</v>
      </c>
      <c r="R3490" s="115"/>
      <c r="S3490" s="115"/>
      <c r="T3490" s="115"/>
      <c r="U3490" s="115"/>
      <c r="V3490" s="115"/>
      <c r="W3490" s="115"/>
      <c r="X3490" s="116"/>
      <c r="Y3490" s="149"/>
      <c r="Z3490" s="183"/>
      <c r="AA3490" s="183"/>
      <c r="AB3490" s="183"/>
      <c r="AC3490" s="183"/>
      <c r="AD3490" s="183"/>
      <c r="AE3490" s="184"/>
      <c r="AF3490" s="184"/>
      <c r="AG3490" s="183"/>
      <c r="AH3490" s="183"/>
      <c r="AI3490" s="183"/>
      <c r="AJ3490" s="183"/>
      <c r="AK3490" s="183"/>
      <c r="AL3490" s="183"/>
      <c r="AM3490" s="8" t="str">
        <f>C3490</f>
        <v>OSM-Redfish</v>
      </c>
      <c r="AN3490" s="8" t="str">
        <f>E3490</f>
        <v>OSM-RedfishBMC</v>
      </c>
      <c r="AO3490" s="8" t="str">
        <f>G3490</f>
        <v>OSM-RedfishDCN</v>
      </c>
      <c r="AP3490" s="131"/>
      <c r="AQ3490" s="131"/>
      <c r="AR3490" s="288"/>
      <c r="AS3490" s="259"/>
      <c r="AT3490" s="183"/>
      <c r="AV3490" s="6" t="str">
        <f t="shared" si="70"/>
        <v/>
      </c>
    </row>
    <row r="3491" spans="1:48" ht="14.65" thickBot="1" x14ac:dyDescent="0.5">
      <c r="A3491" s="46" t="s">
        <v>2377</v>
      </c>
      <c r="B3491" s="47"/>
      <c r="C3491" s="303"/>
      <c r="D3491" s="304"/>
      <c r="E3491" s="303"/>
      <c r="F3491" s="304"/>
      <c r="G3491" s="303" t="s">
        <v>10</v>
      </c>
      <c r="H3491" s="304"/>
      <c r="J3491" s="18" t="s">
        <v>2473</v>
      </c>
      <c r="K3491" s="18" t="s">
        <v>2473</v>
      </c>
      <c r="R3491" s="129"/>
      <c r="S3491" s="117"/>
      <c r="T3491" s="117"/>
      <c r="U3491" s="117"/>
      <c r="V3491" s="117"/>
      <c r="W3491" s="117"/>
      <c r="X3491" s="118"/>
      <c r="Y3491" s="118"/>
      <c r="Z3491" s="185"/>
      <c r="AA3491" s="185"/>
      <c r="AB3491" s="185"/>
      <c r="AC3491" s="185"/>
      <c r="AD3491" s="185"/>
      <c r="AE3491" s="186"/>
      <c r="AF3491" s="186"/>
      <c r="AG3491" s="185"/>
      <c r="AH3491" s="185"/>
      <c r="AI3491" s="185"/>
      <c r="AJ3491" s="185"/>
      <c r="AK3491" s="185"/>
      <c r="AL3491" s="185"/>
      <c r="AM3491" s="8" t="str">
        <f>IF(C3491&lt;&gt;"","CRQ-P5-"&amp;(AM$2+$AP3491*$AP$3),"")</f>
        <v/>
      </c>
      <c r="AN3491" s="8" t="str">
        <f>IF(E3491&lt;&gt;"","CRQ-P5-"&amp;(AN$2+$AP3491*$AP$3),"")</f>
        <v/>
      </c>
      <c r="AO3491" s="8" t="str">
        <f>IF(G3491&lt;&gt;"","CRQ-P5-"&amp;(AO$2+$AP3491*$AP$3),"")</f>
        <v>CRQ-P5-1764</v>
      </c>
      <c r="AP3491" s="117">
        <v>41</v>
      </c>
      <c r="AQ3491" s="117"/>
      <c r="AR3491" s="287"/>
      <c r="AS3491" s="258"/>
      <c r="AT3491" s="185"/>
      <c r="AU3491" s="6"/>
      <c r="AV3491" s="6" t="str">
        <f t="shared" si="70"/>
        <v/>
      </c>
    </row>
    <row r="3492" spans="1:48" ht="14.65" thickBot="1" x14ac:dyDescent="0.5">
      <c r="A3492" s="29" t="s">
        <v>3394</v>
      </c>
      <c r="B3492" s="9"/>
      <c r="C3492" s="305"/>
      <c r="D3492" s="306"/>
      <c r="E3492" s="305"/>
      <c r="F3492" s="306"/>
      <c r="G3492" s="305" t="s">
        <v>3395</v>
      </c>
      <c r="H3492" s="306"/>
      <c r="J3492" s="18" t="s">
        <v>2473</v>
      </c>
      <c r="K3492" s="18" t="s">
        <v>2473</v>
      </c>
      <c r="L3492" s="18" t="s">
        <v>2336</v>
      </c>
      <c r="R3492" s="111" t="s">
        <v>3429</v>
      </c>
      <c r="S3492" s="111" t="s">
        <v>3430</v>
      </c>
      <c r="T3492" s="111" t="s">
        <v>3427</v>
      </c>
      <c r="U3492" s="111" t="s">
        <v>3431</v>
      </c>
      <c r="V3492" s="111" t="s">
        <v>3432</v>
      </c>
      <c r="W3492" s="111" t="s">
        <v>3433</v>
      </c>
      <c r="X3492" s="119" t="s">
        <v>3434</v>
      </c>
      <c r="Y3492" s="118" t="s">
        <v>3965</v>
      </c>
      <c r="Z3492" s="185"/>
      <c r="AA3492" s="185"/>
      <c r="AB3492" s="185"/>
      <c r="AC3492" s="185"/>
      <c r="AD3492" s="185"/>
      <c r="AE3492" s="186"/>
      <c r="AF3492" s="186"/>
      <c r="AG3492" s="185"/>
      <c r="AH3492" s="185"/>
      <c r="AI3492" s="185"/>
      <c r="AJ3492" s="185"/>
      <c r="AK3492" s="185"/>
      <c r="AL3492" s="185"/>
      <c r="AM3492" s="185"/>
      <c r="AN3492" s="117"/>
      <c r="AO3492" s="117"/>
      <c r="AP3492" s="117"/>
      <c r="AQ3492" s="117"/>
      <c r="AR3492" s="287"/>
      <c r="AS3492" s="258"/>
      <c r="AT3492" s="185"/>
      <c r="AU3492" s="6"/>
      <c r="AV3492" s="6" t="str">
        <f t="shared" si="70"/>
        <v/>
      </c>
    </row>
    <row r="3493" spans="1:48" ht="15" customHeight="1" thickBot="1" x14ac:dyDescent="0.5">
      <c r="A3493" s="30" t="s">
        <v>4</v>
      </c>
      <c r="B3493" s="59" t="s">
        <v>5</v>
      </c>
      <c r="C3493" s="7" t="s">
        <v>6</v>
      </c>
      <c r="D3493" s="7" t="s">
        <v>7</v>
      </c>
      <c r="E3493" s="7" t="s">
        <v>6</v>
      </c>
      <c r="F3493" s="7" t="s">
        <v>7</v>
      </c>
      <c r="G3493" s="7" t="s">
        <v>6</v>
      </c>
      <c r="H3493" s="7" t="s">
        <v>7</v>
      </c>
      <c r="J3493" s="18" t="s">
        <v>2473</v>
      </c>
      <c r="K3493" s="18" t="s">
        <v>2473</v>
      </c>
      <c r="R3493" s="352" t="s">
        <v>4040</v>
      </c>
      <c r="S3493" s="353"/>
      <c r="T3493" s="353"/>
      <c r="U3493" s="353"/>
      <c r="V3493" s="353"/>
      <c r="W3493" s="353"/>
      <c r="X3493" s="357"/>
      <c r="Y3493" s="149"/>
      <c r="Z3493" s="183" t="s">
        <v>4347</v>
      </c>
      <c r="AA3493" s="183" t="s">
        <v>4343</v>
      </c>
      <c r="AB3493" s="183" t="s">
        <v>4172</v>
      </c>
      <c r="AC3493" s="183" t="s">
        <v>4340</v>
      </c>
      <c r="AD3493" s="183" t="s">
        <v>4339</v>
      </c>
      <c r="AE3493" s="184" t="s">
        <v>4341</v>
      </c>
      <c r="AF3493" s="184" t="s">
        <v>4342</v>
      </c>
      <c r="AG3493" s="183" t="s">
        <v>4353</v>
      </c>
      <c r="AH3493" s="183" t="s">
        <v>3429</v>
      </c>
      <c r="AI3493" s="183" t="s">
        <v>4356</v>
      </c>
      <c r="AJ3493" s="183" t="s">
        <v>4364</v>
      </c>
      <c r="AK3493" s="183" t="s">
        <v>4441</v>
      </c>
      <c r="AL3493" s="183" t="s">
        <v>694</v>
      </c>
      <c r="AM3493" s="183"/>
      <c r="AN3493" s="131"/>
      <c r="AO3493" s="131"/>
      <c r="AP3493" s="131"/>
      <c r="AQ3493" s="131"/>
      <c r="AR3493" s="288"/>
      <c r="AS3493" s="259"/>
      <c r="AT3493" s="183"/>
      <c r="AV3493" s="6" t="str">
        <f t="shared" si="70"/>
        <v/>
      </c>
    </row>
    <row r="3494" spans="1:48" ht="14.65" thickBot="1" x14ac:dyDescent="0.5">
      <c r="A3494" s="44" t="s">
        <v>8</v>
      </c>
      <c r="B3494" s="50" t="s">
        <v>9</v>
      </c>
      <c r="C3494" s="12"/>
      <c r="D3494" s="20"/>
      <c r="E3494" s="20"/>
      <c r="F3494" s="20"/>
      <c r="G3494" s="12"/>
      <c r="H3494" s="20"/>
      <c r="J3494" s="18" t="s">
        <v>2473</v>
      </c>
      <c r="K3494" s="18" t="s">
        <v>2473</v>
      </c>
      <c r="Z3494" s="8" t="s">
        <v>4</v>
      </c>
      <c r="AB3494" s="8" t="s">
        <v>4348</v>
      </c>
      <c r="AV3494" s="6" t="str">
        <f t="shared" si="70"/>
        <v/>
      </c>
    </row>
    <row r="3495" spans="1:48" ht="15" customHeight="1" thickBot="1" x14ac:dyDescent="0.5">
      <c r="A3495" s="44" t="s">
        <v>2338</v>
      </c>
      <c r="B3495" s="50" t="s">
        <v>4013</v>
      </c>
      <c r="C3495" s="12"/>
      <c r="D3495" s="20"/>
      <c r="E3495" s="12"/>
      <c r="F3495" s="20"/>
      <c r="G3495" s="12" t="s">
        <v>10</v>
      </c>
      <c r="H3495" s="20"/>
      <c r="J3495" s="18" t="s">
        <v>2473</v>
      </c>
      <c r="K3495" s="18" t="s">
        <v>2473</v>
      </c>
      <c r="R3495" s="122" t="s">
        <v>3529</v>
      </c>
      <c r="S3495" s="114" t="s">
        <v>4</v>
      </c>
      <c r="T3495" s="114" t="s">
        <v>2338</v>
      </c>
      <c r="U3495" s="114" t="s">
        <v>3521</v>
      </c>
      <c r="V3495" s="114" t="s">
        <v>3530</v>
      </c>
      <c r="W3495" s="114" t="s">
        <v>3436</v>
      </c>
      <c r="X3495" s="114" t="s">
        <v>13</v>
      </c>
      <c r="Y3495" s="149"/>
      <c r="Z3495" s="183" t="s">
        <v>4</v>
      </c>
      <c r="AA3495" s="183"/>
      <c r="AB3495" s="183" t="s">
        <v>758</v>
      </c>
      <c r="AC3495" s="183" t="s">
        <v>4346</v>
      </c>
      <c r="AD3495" s="183" t="s">
        <v>4760</v>
      </c>
      <c r="AE3495" s="184"/>
      <c r="AF3495" s="184"/>
      <c r="AG3495" s="183"/>
      <c r="AH3495" s="183"/>
      <c r="AI3495" s="183"/>
      <c r="AJ3495" s="183"/>
      <c r="AK3495" s="183"/>
      <c r="AL3495" s="183"/>
      <c r="AM3495" s="183"/>
      <c r="AN3495" s="131"/>
      <c r="AO3495" s="131"/>
      <c r="AP3495" s="131"/>
      <c r="AQ3495" s="131"/>
      <c r="AR3495" s="288"/>
      <c r="AS3495" s="259"/>
      <c r="AT3495" s="183"/>
      <c r="AV3495" s="6" t="str">
        <f t="shared" si="70"/>
        <v>OK</v>
      </c>
    </row>
    <row r="3496" spans="1:48" ht="58.5" thickBot="1" x14ac:dyDescent="0.5">
      <c r="A3496" s="44" t="s">
        <v>2339</v>
      </c>
      <c r="B3496" s="50" t="s">
        <v>4015</v>
      </c>
      <c r="C3496" s="12"/>
      <c r="D3496" s="20"/>
      <c r="E3496" s="12"/>
      <c r="F3496" s="20"/>
      <c r="G3496" s="12" t="s">
        <v>10</v>
      </c>
      <c r="H3496" s="20"/>
      <c r="J3496" s="18" t="s">
        <v>2473</v>
      </c>
      <c r="K3496" s="18" t="s">
        <v>2473</v>
      </c>
      <c r="R3496" s="122" t="s">
        <v>3529</v>
      </c>
      <c r="S3496" s="114" t="s">
        <v>4</v>
      </c>
      <c r="T3496" s="114" t="s">
        <v>2339</v>
      </c>
      <c r="U3496" s="114" t="s">
        <v>3521</v>
      </c>
      <c r="V3496" s="114" t="s">
        <v>3530</v>
      </c>
      <c r="W3496" s="114" t="s">
        <v>3436</v>
      </c>
      <c r="X3496" s="114" t="s">
        <v>13</v>
      </c>
      <c r="Y3496" s="149"/>
      <c r="Z3496" s="183" t="s">
        <v>4</v>
      </c>
      <c r="AA3496" s="183"/>
      <c r="AB3496" s="183" t="s">
        <v>4493</v>
      </c>
      <c r="AC3496" s="183" t="s">
        <v>6</v>
      </c>
      <c r="AD3496" s="183" t="s">
        <v>4761</v>
      </c>
      <c r="AE3496" s="184"/>
      <c r="AF3496" s="184"/>
      <c r="AG3496" s="183"/>
      <c r="AH3496" s="183"/>
      <c r="AI3496" s="183"/>
      <c r="AJ3496" s="183"/>
      <c r="AK3496" s="183"/>
      <c r="AL3496" s="183"/>
      <c r="AM3496" s="183"/>
      <c r="AN3496" s="131"/>
      <c r="AO3496" s="131"/>
      <c r="AP3496" s="131"/>
      <c r="AQ3496" s="131"/>
      <c r="AR3496" s="288"/>
      <c r="AS3496" s="259"/>
      <c r="AT3496" s="183"/>
      <c r="AV3496" s="6" t="str">
        <f t="shared" si="70"/>
        <v>OK</v>
      </c>
    </row>
    <row r="3497" spans="1:48" ht="70.150000000000006" thickBot="1" x14ac:dyDescent="0.5">
      <c r="A3497" s="44" t="s">
        <v>4507</v>
      </c>
      <c r="B3497" s="50" t="s">
        <v>4506</v>
      </c>
      <c r="C3497" s="12"/>
      <c r="D3497" s="20"/>
      <c r="E3497" s="12"/>
      <c r="F3497" s="20"/>
      <c r="G3497" s="12" t="s">
        <v>10</v>
      </c>
      <c r="H3497" s="20"/>
      <c r="J3497" s="18" t="s">
        <v>2473</v>
      </c>
      <c r="K3497" s="18" t="s">
        <v>2473</v>
      </c>
      <c r="R3497" s="122" t="s">
        <v>3529</v>
      </c>
      <c r="S3497" s="114" t="s">
        <v>4</v>
      </c>
      <c r="T3497" s="114" t="s">
        <v>4507</v>
      </c>
      <c r="U3497" s="114" t="s">
        <v>3521</v>
      </c>
      <c r="V3497" s="114" t="s">
        <v>3530</v>
      </c>
      <c r="W3497" s="114" t="s">
        <v>3436</v>
      </c>
      <c r="X3497" s="114" t="s">
        <v>13</v>
      </c>
      <c r="Y3497" s="149"/>
      <c r="Z3497" s="183" t="s">
        <v>4</v>
      </c>
      <c r="AA3497" s="183"/>
      <c r="AB3497" s="183" t="s">
        <v>4504</v>
      </c>
      <c r="AC3497" s="183" t="s">
        <v>6</v>
      </c>
      <c r="AD3497" s="183" t="s">
        <v>4762</v>
      </c>
      <c r="AE3497" s="184"/>
      <c r="AF3497" s="184"/>
      <c r="AG3497" s="183"/>
      <c r="AH3497" s="183"/>
      <c r="AI3497" s="183"/>
      <c r="AJ3497" s="183"/>
      <c r="AK3497" s="183"/>
      <c r="AL3497" s="183"/>
      <c r="AM3497" s="183"/>
      <c r="AN3497" s="131"/>
      <c r="AO3497" s="131"/>
      <c r="AP3497" s="131"/>
      <c r="AQ3497" s="131"/>
      <c r="AR3497" s="288"/>
      <c r="AS3497" s="259"/>
      <c r="AT3497" s="183"/>
      <c r="AV3497" s="6"/>
    </row>
    <row r="3498" spans="1:48" ht="128.25" thickBot="1" x14ac:dyDescent="0.5">
      <c r="A3498" s="44" t="s">
        <v>2340</v>
      </c>
      <c r="B3498" s="50" t="s">
        <v>4014</v>
      </c>
      <c r="C3498" s="12"/>
      <c r="D3498" s="20"/>
      <c r="E3498" s="12"/>
      <c r="F3498" s="20"/>
      <c r="G3498" s="12" t="s">
        <v>10</v>
      </c>
      <c r="H3498" s="20"/>
      <c r="J3498" s="18" t="s">
        <v>2473</v>
      </c>
      <c r="K3498" s="18" t="s">
        <v>2473</v>
      </c>
      <c r="R3498" s="122" t="s">
        <v>3529</v>
      </c>
      <c r="S3498" s="114" t="s">
        <v>4</v>
      </c>
      <c r="T3498" s="114" t="s">
        <v>2340</v>
      </c>
      <c r="U3498" s="114" t="s">
        <v>3521</v>
      </c>
      <c r="V3498" s="114" t="s">
        <v>3530</v>
      </c>
      <c r="W3498" s="114" t="s">
        <v>3436</v>
      </c>
      <c r="X3498" s="114" t="s">
        <v>13</v>
      </c>
      <c r="Y3498" s="149"/>
      <c r="Z3498" s="183" t="s">
        <v>4</v>
      </c>
      <c r="AA3498" s="183"/>
      <c r="AB3498" s="183" t="s">
        <v>758</v>
      </c>
      <c r="AC3498" s="183" t="s">
        <v>4346</v>
      </c>
      <c r="AD3498" s="183" t="s">
        <v>5050</v>
      </c>
      <c r="AE3498" s="184"/>
      <c r="AF3498" s="184"/>
      <c r="AG3498" s="183"/>
      <c r="AH3498" s="183"/>
      <c r="AI3498" s="183"/>
      <c r="AJ3498" s="183"/>
      <c r="AK3498" s="183"/>
      <c r="AL3498" s="183"/>
      <c r="AM3498" s="183"/>
      <c r="AN3498" s="131"/>
      <c r="AO3498" s="131"/>
      <c r="AP3498" s="131"/>
      <c r="AQ3498" s="131"/>
      <c r="AR3498" s="288"/>
      <c r="AS3498" s="259"/>
      <c r="AT3498" s="183"/>
      <c r="AV3498" s="6" t="str">
        <f t="shared" si="70"/>
        <v>OK</v>
      </c>
    </row>
    <row r="3499" spans="1:48" ht="139.9" thickBot="1" x14ac:dyDescent="0.5">
      <c r="A3499" s="44" t="s">
        <v>2341</v>
      </c>
      <c r="B3499" s="50" t="s">
        <v>3634</v>
      </c>
      <c r="C3499" s="12"/>
      <c r="D3499" s="20"/>
      <c r="E3499" s="12"/>
      <c r="F3499" s="20"/>
      <c r="G3499" s="12" t="s">
        <v>10</v>
      </c>
      <c r="H3499" s="20"/>
      <c r="J3499" s="18" t="s">
        <v>2473</v>
      </c>
      <c r="K3499" s="18" t="s">
        <v>2473</v>
      </c>
      <c r="R3499" s="122" t="s">
        <v>3529</v>
      </c>
      <c r="S3499" s="114" t="s">
        <v>4</v>
      </c>
      <c r="T3499" s="114" t="s">
        <v>2341</v>
      </c>
      <c r="U3499" s="114" t="s">
        <v>3521</v>
      </c>
      <c r="V3499" s="114" t="s">
        <v>3530</v>
      </c>
      <c r="W3499" s="114" t="s">
        <v>3436</v>
      </c>
      <c r="X3499" s="114" t="s">
        <v>13</v>
      </c>
      <c r="Y3499" s="149"/>
      <c r="Z3499" s="183" t="s">
        <v>4</v>
      </c>
      <c r="AA3499" s="183"/>
      <c r="AB3499" s="183" t="s">
        <v>758</v>
      </c>
      <c r="AC3499" s="183" t="s">
        <v>4346</v>
      </c>
      <c r="AD3499" s="183" t="s">
        <v>4763</v>
      </c>
      <c r="AE3499" s="184"/>
      <c r="AF3499" s="184"/>
      <c r="AG3499" s="183"/>
      <c r="AH3499" s="183"/>
      <c r="AI3499" s="183"/>
      <c r="AJ3499" s="183"/>
      <c r="AK3499" s="183"/>
      <c r="AL3499" s="183"/>
      <c r="AM3499" s="183"/>
      <c r="AN3499" s="131"/>
      <c r="AO3499" s="131"/>
      <c r="AP3499" s="131"/>
      <c r="AQ3499" s="131"/>
      <c r="AR3499" s="288"/>
      <c r="AS3499" s="259"/>
      <c r="AT3499" s="183"/>
      <c r="AV3499" s="6" t="str">
        <f t="shared" si="70"/>
        <v>OK</v>
      </c>
    </row>
    <row r="3500" spans="1:48" ht="116.65" thickBot="1" x14ac:dyDescent="0.5">
      <c r="A3500" s="44" t="s">
        <v>2342</v>
      </c>
      <c r="B3500" s="50" t="s">
        <v>3635</v>
      </c>
      <c r="C3500" s="12"/>
      <c r="D3500" s="20"/>
      <c r="E3500" s="12"/>
      <c r="F3500" s="20"/>
      <c r="G3500" s="12" t="s">
        <v>10</v>
      </c>
      <c r="H3500" s="20"/>
      <c r="J3500" s="18" t="s">
        <v>2473</v>
      </c>
      <c r="K3500" s="18" t="s">
        <v>2473</v>
      </c>
      <c r="R3500" s="122" t="s">
        <v>3529</v>
      </c>
      <c r="S3500" s="114" t="s">
        <v>4</v>
      </c>
      <c r="T3500" s="114" t="s">
        <v>2342</v>
      </c>
      <c r="U3500" s="114" t="s">
        <v>3521</v>
      </c>
      <c r="V3500" s="114" t="s">
        <v>3530</v>
      </c>
      <c r="W3500" s="114" t="s">
        <v>3436</v>
      </c>
      <c r="X3500" s="114" t="s">
        <v>13</v>
      </c>
      <c r="Y3500" s="149"/>
      <c r="Z3500" s="183" t="s">
        <v>4</v>
      </c>
      <c r="AA3500" s="183"/>
      <c r="AB3500" s="183" t="s">
        <v>758</v>
      </c>
      <c r="AC3500" s="183" t="s">
        <v>4346</v>
      </c>
      <c r="AD3500" s="183" t="s">
        <v>4764</v>
      </c>
      <c r="AE3500" s="184"/>
      <c r="AF3500" s="184"/>
      <c r="AG3500" s="183"/>
      <c r="AH3500" s="183"/>
      <c r="AI3500" s="183"/>
      <c r="AJ3500" s="183"/>
      <c r="AK3500" s="183"/>
      <c r="AL3500" s="183"/>
      <c r="AM3500" s="183"/>
      <c r="AN3500" s="131"/>
      <c r="AO3500" s="131"/>
      <c r="AP3500" s="131"/>
      <c r="AQ3500" s="131"/>
      <c r="AR3500" s="288"/>
      <c r="AS3500" s="259"/>
      <c r="AT3500" s="183"/>
      <c r="AV3500" s="6" t="str">
        <f t="shared" ref="AV3500" si="71">IF(A3500&lt;&gt;"",IF(T3500&lt;&gt;"",IF(LEFT(R3500,3)="Has",IF(TRIM(A3500)&lt;&gt;T3500,"ERROR","OK"),""),""),"")</f>
        <v>OK</v>
      </c>
    </row>
    <row r="3501" spans="1:48" ht="70.150000000000006" thickBot="1" x14ac:dyDescent="0.5">
      <c r="A3501" s="278" t="s">
        <v>5934</v>
      </c>
      <c r="B3501" s="281" t="s">
        <v>5936</v>
      </c>
      <c r="C3501" s="12"/>
      <c r="D3501" s="20"/>
      <c r="E3501" s="12"/>
      <c r="F3501" s="20"/>
      <c r="G3501" s="275" t="s">
        <v>10</v>
      </c>
      <c r="H3501" s="20"/>
      <c r="K3501" s="18" t="s">
        <v>2473</v>
      </c>
      <c r="R3501" s="122" t="s">
        <v>3529</v>
      </c>
      <c r="S3501" s="114" t="s">
        <v>4</v>
      </c>
      <c r="T3501" s="114" t="s">
        <v>2342</v>
      </c>
      <c r="U3501" s="114" t="s">
        <v>3521</v>
      </c>
      <c r="V3501" s="114" t="s">
        <v>3530</v>
      </c>
      <c r="W3501" s="114" t="s">
        <v>3436</v>
      </c>
      <c r="X3501" s="114" t="s">
        <v>13</v>
      </c>
      <c r="Y3501" s="149"/>
      <c r="Z3501" s="273" t="s">
        <v>4</v>
      </c>
      <c r="AA3501" s="183"/>
      <c r="AB3501" s="273" t="s">
        <v>4344</v>
      </c>
      <c r="AC3501" s="273" t="s">
        <v>6</v>
      </c>
      <c r="AD3501" s="281" t="s">
        <v>5936</v>
      </c>
      <c r="AE3501" s="184"/>
      <c r="AF3501" s="184"/>
      <c r="AG3501" s="183"/>
      <c r="AH3501" s="183"/>
      <c r="AI3501" s="183"/>
      <c r="AJ3501" s="183"/>
      <c r="AK3501" s="183"/>
      <c r="AL3501" s="183"/>
      <c r="AM3501" s="183"/>
      <c r="AN3501" s="131"/>
      <c r="AO3501" s="131"/>
      <c r="AP3501" s="131"/>
      <c r="AQ3501" s="131"/>
      <c r="AR3501" s="293" t="s">
        <v>5935</v>
      </c>
      <c r="AS3501" s="259"/>
      <c r="AT3501" s="183"/>
      <c r="AV3501" s="6" t="str">
        <f t="shared" ref="AV3501:AV3566" si="72">IF(A3501&lt;&gt;"",IF(T3501&lt;&gt;"",IF(LEFT(R3501,3)="Has",IF(TRIM(A3501)&lt;&gt;T3501,"ERROR","OK"),""),""),"")</f>
        <v>ERROR</v>
      </c>
    </row>
    <row r="3502" spans="1:48" ht="93.4" thickBot="1" x14ac:dyDescent="0.5">
      <c r="A3502" s="278" t="s">
        <v>5937</v>
      </c>
      <c r="B3502" s="281" t="s">
        <v>5938</v>
      </c>
      <c r="C3502" s="12"/>
      <c r="D3502" s="20"/>
      <c r="E3502" s="20"/>
      <c r="F3502" s="20"/>
      <c r="G3502" s="275" t="s">
        <v>13</v>
      </c>
      <c r="H3502" s="20"/>
      <c r="K3502" s="18" t="s">
        <v>2473</v>
      </c>
      <c r="Q3502" s="8" t="s">
        <v>4167</v>
      </c>
      <c r="R3502" s="122" t="s">
        <v>3529</v>
      </c>
      <c r="S3502" s="114" t="s">
        <v>4</v>
      </c>
      <c r="T3502" s="114" t="s">
        <v>3457</v>
      </c>
      <c r="U3502" s="114" t="s">
        <v>3521</v>
      </c>
      <c r="V3502" s="114" t="s">
        <v>3530</v>
      </c>
      <c r="W3502" s="114" t="s">
        <v>3436</v>
      </c>
      <c r="X3502" s="114" t="s">
        <v>13</v>
      </c>
      <c r="Y3502" s="149"/>
      <c r="Z3502" s="273" t="s">
        <v>4</v>
      </c>
      <c r="AA3502" s="183"/>
      <c r="AB3502" s="273" t="s">
        <v>4358</v>
      </c>
      <c r="AC3502" s="273" t="s">
        <v>6</v>
      </c>
      <c r="AD3502" s="281" t="s">
        <v>5938</v>
      </c>
      <c r="AE3502" s="184"/>
      <c r="AF3502" s="184"/>
      <c r="AG3502" s="183"/>
      <c r="AH3502" s="183"/>
      <c r="AI3502" s="183"/>
      <c r="AJ3502" s="183"/>
      <c r="AK3502" s="183"/>
      <c r="AL3502" s="183"/>
      <c r="AM3502" s="183"/>
      <c r="AN3502" s="131"/>
      <c r="AO3502" s="131"/>
      <c r="AP3502" s="131"/>
      <c r="AQ3502" s="131"/>
      <c r="AR3502" s="293" t="s">
        <v>5935</v>
      </c>
      <c r="AS3502" s="259"/>
      <c r="AT3502" s="183"/>
      <c r="AV3502" s="6" t="str">
        <f t="shared" ref="AV3502:AV3503" si="73">IF(A3502&lt;&gt;"",IF(T3502&lt;&gt;"",IF(LEFT(R3502,3)="Has",IF(TRIM(A3502)&lt;&gt;T3502,"ERROR","OK"),""),""),"")</f>
        <v>ERROR</v>
      </c>
    </row>
    <row r="3503" spans="1:48" ht="93.4" thickBot="1" x14ac:dyDescent="0.5">
      <c r="A3503" s="278" t="s">
        <v>5940</v>
      </c>
      <c r="B3503" s="281" t="s">
        <v>5941</v>
      </c>
      <c r="C3503" s="12"/>
      <c r="D3503" s="20"/>
      <c r="E3503" s="12"/>
      <c r="F3503" s="20"/>
      <c r="G3503" s="275" t="s">
        <v>10</v>
      </c>
      <c r="H3503" s="20"/>
      <c r="K3503" s="18" t="s">
        <v>2473</v>
      </c>
      <c r="R3503" s="122" t="s">
        <v>3529</v>
      </c>
      <c r="S3503" s="114" t="s">
        <v>4</v>
      </c>
      <c r="T3503" s="114" t="s">
        <v>2342</v>
      </c>
      <c r="U3503" s="114" t="s">
        <v>3521</v>
      </c>
      <c r="V3503" s="114" t="s">
        <v>3530</v>
      </c>
      <c r="W3503" s="114" t="s">
        <v>3436</v>
      </c>
      <c r="X3503" s="114" t="s">
        <v>13</v>
      </c>
      <c r="Y3503" s="149"/>
      <c r="Z3503" s="273" t="s">
        <v>4</v>
      </c>
      <c r="AA3503" s="183"/>
      <c r="AB3503" s="273" t="s">
        <v>758</v>
      </c>
      <c r="AC3503" s="273" t="s">
        <v>6</v>
      </c>
      <c r="AD3503" s="281" t="s">
        <v>5943</v>
      </c>
      <c r="AE3503" s="254" t="s">
        <v>5942</v>
      </c>
      <c r="AF3503" s="184"/>
      <c r="AG3503" s="183"/>
      <c r="AH3503" s="183"/>
      <c r="AI3503" s="183"/>
      <c r="AJ3503" s="183"/>
      <c r="AK3503" s="183"/>
      <c r="AL3503" s="183"/>
      <c r="AM3503" s="183"/>
      <c r="AN3503" s="131"/>
      <c r="AO3503" s="131"/>
      <c r="AP3503" s="131"/>
      <c r="AQ3503" s="131"/>
      <c r="AR3503" s="293" t="s">
        <v>5935</v>
      </c>
      <c r="AS3503" s="259"/>
      <c r="AT3503" s="183"/>
      <c r="AV3503" s="6" t="str">
        <f t="shared" si="73"/>
        <v>ERROR</v>
      </c>
    </row>
    <row r="3504" spans="1:48" ht="70.150000000000006" thickBot="1" x14ac:dyDescent="0.5">
      <c r="A3504" s="36" t="s">
        <v>387</v>
      </c>
      <c r="B3504" s="3" t="s">
        <v>388</v>
      </c>
      <c r="C3504" s="12"/>
      <c r="D3504" s="20"/>
      <c r="E3504" s="12"/>
      <c r="F3504" s="20"/>
      <c r="G3504" s="12" t="s">
        <v>10</v>
      </c>
      <c r="H3504" s="20"/>
      <c r="J3504" s="18" t="s">
        <v>2473</v>
      </c>
      <c r="K3504" s="18" t="s">
        <v>2473</v>
      </c>
      <c r="R3504" s="122" t="s">
        <v>3529</v>
      </c>
      <c r="S3504" s="114" t="s">
        <v>4</v>
      </c>
      <c r="T3504" s="114" t="s">
        <v>387</v>
      </c>
      <c r="U3504" s="114" t="s">
        <v>3521</v>
      </c>
      <c r="V3504" s="114" t="s">
        <v>3530</v>
      </c>
      <c r="W3504" s="114" t="s">
        <v>3436</v>
      </c>
      <c r="X3504" s="114" t="s">
        <v>13</v>
      </c>
      <c r="Y3504" s="149"/>
      <c r="Z3504" s="183" t="s">
        <v>4</v>
      </c>
      <c r="AA3504" s="183"/>
      <c r="AB3504" s="183" t="s">
        <v>5044</v>
      </c>
      <c r="AC3504" s="183" t="s">
        <v>4346</v>
      </c>
      <c r="AD3504" s="183" t="s">
        <v>5043</v>
      </c>
      <c r="AE3504" s="184"/>
      <c r="AF3504" s="184"/>
      <c r="AG3504" s="183"/>
      <c r="AH3504" s="183"/>
      <c r="AI3504" s="183"/>
      <c r="AJ3504" s="183"/>
      <c r="AK3504" s="183"/>
      <c r="AL3504" s="183"/>
      <c r="AM3504" s="183"/>
      <c r="AN3504" s="131"/>
      <c r="AO3504" s="131"/>
      <c r="AP3504" s="131"/>
      <c r="AQ3504" s="131"/>
      <c r="AR3504" s="288"/>
      <c r="AS3504" s="259"/>
      <c r="AT3504" s="183"/>
      <c r="AU3504" s="202" t="s">
        <v>5042</v>
      </c>
      <c r="AV3504" s="6" t="str">
        <f t="shared" ref="AV3504" si="74">IF(A3504&lt;&gt;"",IF(T3504&lt;&gt;"",IF(LEFT(R3504,3)="Has",IF(TRIM(A3504)&lt;&gt;T3504,"ERROR","OK"),""),""),"")</f>
        <v>OK</v>
      </c>
    </row>
    <row r="3505" spans="1:49" ht="116.65" thickBot="1" x14ac:dyDescent="0.5">
      <c r="A3505" s="44" t="s">
        <v>2697</v>
      </c>
      <c r="B3505" s="50" t="s">
        <v>4187</v>
      </c>
      <c r="C3505" s="12"/>
      <c r="D3505" s="20"/>
      <c r="E3505" s="12"/>
      <c r="F3505" s="20"/>
      <c r="G3505" s="12" t="s">
        <v>10</v>
      </c>
      <c r="H3505" s="20"/>
      <c r="J3505" s="18" t="s">
        <v>2473</v>
      </c>
      <c r="K3505" s="18" t="s">
        <v>2473</v>
      </c>
      <c r="R3505" s="122" t="s">
        <v>3529</v>
      </c>
      <c r="S3505" s="114" t="s">
        <v>4</v>
      </c>
      <c r="T3505" s="114" t="s">
        <v>2697</v>
      </c>
      <c r="U3505" s="114" t="s">
        <v>3521</v>
      </c>
      <c r="V3505" s="114" t="s">
        <v>3530</v>
      </c>
      <c r="W3505" s="114" t="s">
        <v>3436</v>
      </c>
      <c r="X3505" s="114" t="s">
        <v>13</v>
      </c>
      <c r="Y3505" s="149"/>
      <c r="Z3505" s="183" t="s">
        <v>4</v>
      </c>
      <c r="AA3505" s="183"/>
      <c r="AB3505" s="183" t="s">
        <v>758</v>
      </c>
      <c r="AC3505" s="183" t="s">
        <v>4346</v>
      </c>
      <c r="AD3505" s="183" t="s">
        <v>4765</v>
      </c>
      <c r="AE3505" s="184"/>
      <c r="AF3505" s="184"/>
      <c r="AG3505" s="183"/>
      <c r="AH3505" s="183"/>
      <c r="AI3505" s="183"/>
      <c r="AJ3505" s="183"/>
      <c r="AK3505" s="183"/>
      <c r="AL3505" s="183"/>
      <c r="AM3505" s="183"/>
      <c r="AN3505" s="131"/>
      <c r="AO3505" s="131"/>
      <c r="AP3505" s="131"/>
      <c r="AQ3505" s="131"/>
      <c r="AR3505" s="288"/>
      <c r="AS3505" s="259"/>
      <c r="AT3505" s="183"/>
      <c r="AV3505" s="6" t="str">
        <f t="shared" si="72"/>
        <v>OK</v>
      </c>
    </row>
    <row r="3506" spans="1:49" s="100" customFormat="1" ht="23.65" thickBot="1" x14ac:dyDescent="0.5">
      <c r="A3506" s="36" t="s">
        <v>3811</v>
      </c>
      <c r="B3506" s="3" t="s">
        <v>3387</v>
      </c>
      <c r="C3506" s="4"/>
      <c r="D3506" s="4"/>
      <c r="E3506" s="4"/>
      <c r="F3506" s="4"/>
      <c r="G3506" s="4"/>
      <c r="H3506" s="4"/>
      <c r="I3506" s="18"/>
      <c r="J3506" s="18" t="s">
        <v>2473</v>
      </c>
      <c r="K3506" s="18" t="s">
        <v>2473</v>
      </c>
      <c r="L3506" s="18"/>
      <c r="M3506" s="146"/>
      <c r="N3506" s="108"/>
      <c r="O3506" s="108"/>
      <c r="P3506" s="108"/>
      <c r="Q3506" s="108"/>
      <c r="R3506" s="120"/>
      <c r="S3506" s="120"/>
      <c r="T3506" s="120"/>
      <c r="U3506" s="120"/>
      <c r="V3506" s="120"/>
      <c r="W3506" s="120"/>
      <c r="X3506" s="120"/>
      <c r="Y3506" s="150"/>
      <c r="Z3506" s="189"/>
      <c r="AA3506" s="189"/>
      <c r="AB3506" s="189"/>
      <c r="AC3506" s="189"/>
      <c r="AD3506" s="189"/>
      <c r="AE3506" s="190"/>
      <c r="AF3506" s="190"/>
      <c r="AG3506" s="189"/>
      <c r="AH3506" s="189"/>
      <c r="AI3506" s="189"/>
      <c r="AJ3506" s="189"/>
      <c r="AK3506" s="189"/>
      <c r="AL3506" s="189"/>
      <c r="AM3506" s="189"/>
      <c r="AN3506" s="138"/>
      <c r="AO3506" s="138"/>
      <c r="AP3506" s="138"/>
      <c r="AQ3506" s="138"/>
      <c r="AR3506" s="294"/>
      <c r="AS3506" s="267"/>
      <c r="AT3506" s="189"/>
      <c r="AU3506" s="8"/>
      <c r="AV3506" s="6" t="str">
        <f t="shared" si="72"/>
        <v/>
      </c>
    </row>
    <row r="3507" spans="1:49" ht="70.150000000000006" thickBot="1" x14ac:dyDescent="0.5">
      <c r="A3507" s="36" t="s">
        <v>3812</v>
      </c>
      <c r="B3507" s="3" t="s">
        <v>4012</v>
      </c>
      <c r="C3507" s="4"/>
      <c r="D3507" s="4"/>
      <c r="E3507" s="4"/>
      <c r="F3507" s="4"/>
      <c r="G3507" s="4" t="s">
        <v>37</v>
      </c>
      <c r="H3507" s="4"/>
      <c r="J3507" s="18" t="s">
        <v>2473</v>
      </c>
      <c r="K3507" s="18" t="s">
        <v>2473</v>
      </c>
      <c r="R3507" s="122" t="s">
        <v>3529</v>
      </c>
      <c r="S3507" s="114" t="s">
        <v>4</v>
      </c>
      <c r="T3507" s="114" t="s">
        <v>3812</v>
      </c>
      <c r="U3507" s="114" t="s">
        <v>3816</v>
      </c>
      <c r="V3507" s="114" t="s">
        <v>3530</v>
      </c>
      <c r="W3507" s="114" t="s">
        <v>3436</v>
      </c>
      <c r="X3507" s="114" t="s">
        <v>13</v>
      </c>
      <c r="Y3507" s="149"/>
      <c r="Z3507" s="183" t="s">
        <v>4</v>
      </c>
      <c r="AA3507" s="183"/>
      <c r="AB3507" s="183" t="s">
        <v>4349</v>
      </c>
      <c r="AC3507" s="183" t="s">
        <v>4346</v>
      </c>
      <c r="AD3507" s="183" t="s">
        <v>4861</v>
      </c>
      <c r="AE3507" s="184"/>
      <c r="AF3507" s="184"/>
      <c r="AG3507" s="183"/>
      <c r="AH3507" s="183"/>
      <c r="AI3507" s="183" t="s">
        <v>4357</v>
      </c>
      <c r="AJ3507" s="183"/>
      <c r="AK3507" s="183" t="s">
        <v>4442</v>
      </c>
      <c r="AL3507" s="183"/>
      <c r="AM3507" s="183"/>
      <c r="AN3507" s="131"/>
      <c r="AO3507" s="131"/>
      <c r="AP3507" s="131"/>
      <c r="AQ3507" s="131"/>
      <c r="AR3507" s="288"/>
      <c r="AS3507" s="259"/>
      <c r="AT3507" s="183"/>
      <c r="AU3507" s="8"/>
      <c r="AV3507" s="6" t="str">
        <f t="shared" si="72"/>
        <v>OK</v>
      </c>
      <c r="AW3507" s="8"/>
    </row>
    <row r="3508" spans="1:49" ht="46.9" thickBot="1" x14ac:dyDescent="0.5">
      <c r="A3508" s="35" t="s">
        <v>3813</v>
      </c>
      <c r="B3508" s="3" t="s">
        <v>3815</v>
      </c>
      <c r="C3508" s="4"/>
      <c r="D3508" s="4"/>
      <c r="E3508" s="4"/>
      <c r="F3508" s="4"/>
      <c r="G3508" s="4"/>
      <c r="H3508" s="4"/>
      <c r="J3508" s="18" t="s">
        <v>2473</v>
      </c>
      <c r="K3508" s="18" t="s">
        <v>2473</v>
      </c>
      <c r="Q3508" s="8" t="s">
        <v>3816</v>
      </c>
      <c r="R3508" s="122" t="s">
        <v>3529</v>
      </c>
      <c r="S3508" s="114" t="s">
        <v>4</v>
      </c>
      <c r="T3508" s="114" t="s">
        <v>4171</v>
      </c>
      <c r="U3508" s="114" t="s">
        <v>3521</v>
      </c>
      <c r="V3508" s="114" t="s">
        <v>3530</v>
      </c>
      <c r="W3508" s="114" t="s">
        <v>3436</v>
      </c>
      <c r="X3508" s="114" t="s">
        <v>13</v>
      </c>
      <c r="Y3508" s="149"/>
      <c r="Z3508" s="183" t="s">
        <v>4</v>
      </c>
      <c r="AA3508" s="183" t="s">
        <v>3812</v>
      </c>
      <c r="AB3508" s="183" t="s">
        <v>758</v>
      </c>
      <c r="AC3508" s="183" t="s">
        <v>4346</v>
      </c>
      <c r="AD3508" s="183" t="s">
        <v>4767</v>
      </c>
      <c r="AE3508" s="184"/>
      <c r="AF3508" s="184"/>
      <c r="AG3508" s="183"/>
      <c r="AH3508" s="183"/>
      <c r="AI3508" s="183"/>
      <c r="AJ3508" s="183"/>
      <c r="AK3508" s="183"/>
      <c r="AL3508" s="183"/>
      <c r="AM3508" s="183"/>
      <c r="AN3508" s="131"/>
      <c r="AO3508" s="131"/>
      <c r="AP3508" s="131"/>
      <c r="AQ3508" s="131"/>
      <c r="AR3508" s="288"/>
      <c r="AS3508" s="259"/>
      <c r="AT3508" s="183"/>
      <c r="AU3508" s="8"/>
      <c r="AV3508" s="6" t="str">
        <f t="shared" si="72"/>
        <v>OK</v>
      </c>
      <c r="AW3508" s="8"/>
    </row>
    <row r="3509" spans="1:49" ht="58.5" thickBot="1" x14ac:dyDescent="0.5">
      <c r="A3509" s="35" t="s">
        <v>3814</v>
      </c>
      <c r="B3509" s="3" t="s">
        <v>4072</v>
      </c>
      <c r="C3509" s="4"/>
      <c r="D3509" s="4"/>
      <c r="E3509" s="4"/>
      <c r="F3509" s="4"/>
      <c r="G3509" s="4"/>
      <c r="H3509" s="4"/>
      <c r="J3509" s="18" t="s">
        <v>2473</v>
      </c>
      <c r="K3509" s="18" t="s">
        <v>2473</v>
      </c>
      <c r="Q3509" s="8" t="s">
        <v>3816</v>
      </c>
      <c r="R3509" s="122" t="s">
        <v>3529</v>
      </c>
      <c r="S3509" s="114" t="s">
        <v>4</v>
      </c>
      <c r="T3509" s="114" t="s">
        <v>4170</v>
      </c>
      <c r="U3509" s="114" t="s">
        <v>3521</v>
      </c>
      <c r="V3509" s="114" t="s">
        <v>3530</v>
      </c>
      <c r="W3509" s="114" t="s">
        <v>3436</v>
      </c>
      <c r="X3509" s="114" t="s">
        <v>13</v>
      </c>
      <c r="Y3509" s="149"/>
      <c r="Z3509" s="183" t="s">
        <v>4</v>
      </c>
      <c r="AA3509" s="183" t="s">
        <v>3812</v>
      </c>
      <c r="AB3509" s="183" t="s">
        <v>758</v>
      </c>
      <c r="AC3509" s="183" t="s">
        <v>4346</v>
      </c>
      <c r="AD3509" s="183" t="s">
        <v>4766</v>
      </c>
      <c r="AE3509" s="184"/>
      <c r="AF3509" s="184"/>
      <c r="AG3509" s="183"/>
      <c r="AH3509" s="183"/>
      <c r="AI3509" s="183"/>
      <c r="AJ3509" s="183"/>
      <c r="AK3509" s="183"/>
      <c r="AL3509" s="183"/>
      <c r="AM3509" s="183"/>
      <c r="AN3509" s="131"/>
      <c r="AO3509" s="131"/>
      <c r="AP3509" s="131"/>
      <c r="AQ3509" s="131"/>
      <c r="AR3509" s="288"/>
      <c r="AS3509" s="259"/>
      <c r="AT3509" s="183"/>
      <c r="AU3509" s="8"/>
      <c r="AV3509" s="6" t="str">
        <f t="shared" si="72"/>
        <v>OK</v>
      </c>
      <c r="AW3509" s="8"/>
    </row>
    <row r="3510" spans="1:49" s="100" customFormat="1" ht="35.25" thickBot="1" x14ac:dyDescent="0.5">
      <c r="A3510" s="158" t="s">
        <v>2789</v>
      </c>
      <c r="B3510" s="159" t="s">
        <v>2830</v>
      </c>
      <c r="C3510" s="160"/>
      <c r="D3510" s="161"/>
      <c r="E3510" s="161"/>
      <c r="F3510" s="161"/>
      <c r="G3510" s="160"/>
      <c r="H3510" s="161"/>
      <c r="I3510" s="162"/>
      <c r="J3510" s="162" t="s">
        <v>2473</v>
      </c>
      <c r="K3510" s="162" t="s">
        <v>2473</v>
      </c>
      <c r="L3510" s="162"/>
      <c r="M3510" s="146"/>
      <c r="N3510" s="108"/>
      <c r="O3510" s="108"/>
      <c r="P3510" s="108"/>
      <c r="Q3510" s="108"/>
      <c r="R3510" s="108"/>
      <c r="S3510" s="108"/>
      <c r="T3510" s="108"/>
      <c r="U3510" s="108"/>
      <c r="V3510" s="108"/>
      <c r="W3510" s="108"/>
      <c r="X3510" s="108"/>
      <c r="Y3510" s="146"/>
      <c r="Z3510" s="108"/>
      <c r="AA3510" s="108"/>
      <c r="AB3510" s="108"/>
      <c r="AC3510" s="108"/>
      <c r="AD3510" s="108"/>
      <c r="AE3510" s="157"/>
      <c r="AF3510" s="157"/>
      <c r="AG3510" s="108"/>
      <c r="AH3510" s="108"/>
      <c r="AI3510" s="108"/>
      <c r="AJ3510" s="108"/>
      <c r="AK3510" s="108"/>
      <c r="AL3510" s="108"/>
      <c r="AM3510" s="108"/>
      <c r="AN3510" s="108"/>
      <c r="AO3510" s="108"/>
      <c r="AP3510" s="108"/>
      <c r="AQ3510" s="108"/>
      <c r="AR3510" s="295"/>
      <c r="AS3510" s="108"/>
      <c r="AT3510" s="108"/>
      <c r="AU3510" s="19"/>
      <c r="AV3510" s="6" t="str">
        <f t="shared" si="72"/>
        <v/>
      </c>
    </row>
    <row r="3511" spans="1:49" s="100" customFormat="1" ht="14.65" thickBot="1" x14ac:dyDescent="0.5">
      <c r="A3511" s="163" t="s">
        <v>33</v>
      </c>
      <c r="B3511" s="159"/>
      <c r="C3511" s="160"/>
      <c r="D3511" s="161"/>
      <c r="E3511" s="161"/>
      <c r="F3511" s="161"/>
      <c r="G3511" s="160"/>
      <c r="H3511" s="161"/>
      <c r="I3511" s="162"/>
      <c r="J3511" s="162" t="s">
        <v>2473</v>
      </c>
      <c r="K3511" s="162" t="s">
        <v>2473</v>
      </c>
      <c r="L3511" s="162"/>
      <c r="M3511" s="146"/>
      <c r="N3511" s="108"/>
      <c r="O3511" s="108"/>
      <c r="P3511" s="108"/>
      <c r="Q3511" s="108"/>
      <c r="R3511" s="108"/>
      <c r="S3511" s="108"/>
      <c r="T3511" s="108"/>
      <c r="U3511" s="108"/>
      <c r="V3511" s="108"/>
      <c r="W3511" s="108"/>
      <c r="X3511" s="108"/>
      <c r="Y3511" s="146"/>
      <c r="Z3511" s="108"/>
      <c r="AA3511" s="108"/>
      <c r="AB3511" s="108"/>
      <c r="AC3511" s="108"/>
      <c r="AD3511" s="108"/>
      <c r="AE3511" s="157"/>
      <c r="AF3511" s="157"/>
      <c r="AG3511" s="108"/>
      <c r="AH3511" s="108"/>
      <c r="AI3511" s="108"/>
      <c r="AJ3511" s="108"/>
      <c r="AK3511" s="108"/>
      <c r="AL3511" s="108"/>
      <c r="AM3511" s="108"/>
      <c r="AN3511" s="108"/>
      <c r="AO3511" s="108"/>
      <c r="AP3511" s="108"/>
      <c r="AQ3511" s="108"/>
      <c r="AR3511" s="295"/>
      <c r="AS3511" s="108"/>
      <c r="AT3511" s="108"/>
      <c r="AU3511" s="19"/>
      <c r="AV3511" s="6" t="str">
        <f t="shared" si="72"/>
        <v/>
      </c>
    </row>
    <row r="3512" spans="1:49" s="100" customFormat="1" ht="35.25" thickBot="1" x14ac:dyDescent="0.5">
      <c r="A3512" s="158" t="s">
        <v>2832</v>
      </c>
      <c r="B3512" s="159" t="s">
        <v>2831</v>
      </c>
      <c r="C3512" s="160"/>
      <c r="D3512" s="161"/>
      <c r="E3512" s="161"/>
      <c r="F3512" s="161"/>
      <c r="G3512" s="160"/>
      <c r="H3512" s="161"/>
      <c r="I3512" s="162"/>
      <c r="J3512" s="162"/>
      <c r="K3512" s="162"/>
      <c r="L3512" s="162"/>
      <c r="M3512" s="146"/>
      <c r="N3512" s="108"/>
      <c r="O3512" s="108"/>
      <c r="P3512" s="108"/>
      <c r="Q3512" s="108"/>
      <c r="R3512" s="108"/>
      <c r="S3512" s="108"/>
      <c r="T3512" s="108"/>
      <c r="U3512" s="108"/>
      <c r="V3512" s="108"/>
      <c r="W3512" s="108"/>
      <c r="X3512" s="108"/>
      <c r="Y3512" s="146"/>
      <c r="Z3512" s="108"/>
      <c r="AA3512" s="108"/>
      <c r="AB3512" s="108"/>
      <c r="AC3512" s="108"/>
      <c r="AD3512" s="108"/>
      <c r="AE3512" s="157"/>
      <c r="AF3512" s="157"/>
      <c r="AG3512" s="108"/>
      <c r="AH3512" s="108"/>
      <c r="AI3512" s="108"/>
      <c r="AJ3512" s="108"/>
      <c r="AK3512" s="108"/>
      <c r="AL3512" s="108"/>
      <c r="AM3512" s="108"/>
      <c r="AN3512" s="108"/>
      <c r="AO3512" s="108"/>
      <c r="AP3512" s="108"/>
      <c r="AQ3512" s="108"/>
      <c r="AR3512" s="295"/>
      <c r="AS3512" s="108"/>
      <c r="AT3512" s="108"/>
      <c r="AU3512" s="19"/>
      <c r="AV3512" s="6" t="str">
        <f t="shared" si="72"/>
        <v/>
      </c>
    </row>
    <row r="3513" spans="1:49" s="100" customFormat="1" ht="14.65" thickBot="1" x14ac:dyDescent="0.5">
      <c r="A3513" s="163" t="s">
        <v>33</v>
      </c>
      <c r="B3513" s="159"/>
      <c r="C3513" s="160"/>
      <c r="D3513" s="161"/>
      <c r="E3513" s="161"/>
      <c r="F3513" s="161"/>
      <c r="G3513" s="160"/>
      <c r="H3513" s="161"/>
      <c r="I3513" s="162"/>
      <c r="J3513" s="162" t="s">
        <v>2473</v>
      </c>
      <c r="K3513" s="162" t="s">
        <v>2473</v>
      </c>
      <c r="L3513" s="162"/>
      <c r="M3513" s="146"/>
      <c r="N3513" s="108"/>
      <c r="O3513" s="108"/>
      <c r="P3513" s="108"/>
      <c r="Q3513" s="108"/>
      <c r="R3513" s="108"/>
      <c r="S3513" s="108"/>
      <c r="T3513" s="108"/>
      <c r="U3513" s="108"/>
      <c r="V3513" s="108"/>
      <c r="W3513" s="108"/>
      <c r="X3513" s="108"/>
      <c r="Y3513" s="146"/>
      <c r="Z3513" s="108"/>
      <c r="AA3513" s="108"/>
      <c r="AB3513" s="108"/>
      <c r="AC3513" s="108"/>
      <c r="AD3513" s="108"/>
      <c r="AE3513" s="157"/>
      <c r="AF3513" s="157"/>
      <c r="AG3513" s="108"/>
      <c r="AH3513" s="108"/>
      <c r="AI3513" s="108"/>
      <c r="AJ3513" s="108"/>
      <c r="AK3513" s="108"/>
      <c r="AL3513" s="108"/>
      <c r="AM3513" s="108"/>
      <c r="AN3513" s="108"/>
      <c r="AO3513" s="108"/>
      <c r="AP3513" s="108"/>
      <c r="AQ3513" s="108"/>
      <c r="AR3513" s="295"/>
      <c r="AS3513" s="108"/>
      <c r="AT3513" s="108"/>
      <c r="AU3513" s="19"/>
      <c r="AV3513" s="6" t="str">
        <f t="shared" si="72"/>
        <v/>
      </c>
    </row>
    <row r="3514" spans="1:49" ht="116.65" thickBot="1" x14ac:dyDescent="0.5">
      <c r="A3514" s="44" t="s">
        <v>231</v>
      </c>
      <c r="B3514" s="50" t="s">
        <v>4327</v>
      </c>
      <c r="C3514" s="12"/>
      <c r="D3514" s="20"/>
      <c r="E3514" s="20"/>
      <c r="F3514" s="20"/>
      <c r="G3514" s="12" t="s">
        <v>10</v>
      </c>
      <c r="H3514" s="20"/>
      <c r="J3514" s="18" t="s">
        <v>2473</v>
      </c>
      <c r="K3514" s="18" t="s">
        <v>2473</v>
      </c>
      <c r="R3514" s="122" t="s">
        <v>3435</v>
      </c>
      <c r="S3514" s="114" t="s">
        <v>3437</v>
      </c>
      <c r="T3514" s="114" t="s">
        <v>231</v>
      </c>
      <c r="U3514" s="114"/>
      <c r="V3514" s="114" t="s">
        <v>3440</v>
      </c>
      <c r="W3514" s="114" t="s">
        <v>3436</v>
      </c>
      <c r="X3514" s="114" t="s">
        <v>13</v>
      </c>
      <c r="Y3514" s="149"/>
      <c r="Z3514" s="183" t="s">
        <v>4</v>
      </c>
      <c r="AA3514" s="183"/>
      <c r="AB3514" s="183" t="s">
        <v>4354</v>
      </c>
      <c r="AC3514" s="183" t="s">
        <v>6</v>
      </c>
      <c r="AD3514" s="183" t="s">
        <v>4768</v>
      </c>
      <c r="AE3514" s="184"/>
      <c r="AF3514" s="184"/>
      <c r="AG3514" s="183" t="s">
        <v>4355</v>
      </c>
      <c r="AH3514" s="183" t="s">
        <v>5275</v>
      </c>
      <c r="AI3514" s="183" t="str">
        <f>"true"</f>
        <v>true</v>
      </c>
      <c r="AJ3514" s="183"/>
      <c r="AK3514" s="183"/>
      <c r="AL3514" s="183"/>
      <c r="AM3514" s="183"/>
      <c r="AN3514" s="131"/>
      <c r="AO3514" s="131"/>
      <c r="AP3514" s="131"/>
      <c r="AQ3514" s="131"/>
      <c r="AR3514" s="288"/>
      <c r="AS3514" s="259"/>
      <c r="AT3514" s="183"/>
      <c r="AU3514" s="202" t="s">
        <v>5281</v>
      </c>
      <c r="AV3514" s="6" t="str">
        <f t="shared" si="72"/>
        <v>OK</v>
      </c>
    </row>
    <row r="3515" spans="1:49" ht="14.65" thickBot="1" x14ac:dyDescent="0.5">
      <c r="A3515" s="41" t="s">
        <v>33</v>
      </c>
      <c r="B3515" s="50"/>
      <c r="C3515" s="12"/>
      <c r="D3515" s="20"/>
      <c r="E3515" s="20"/>
      <c r="F3515" s="20"/>
      <c r="G3515" s="12"/>
      <c r="H3515" s="20"/>
      <c r="J3515" s="18" t="s">
        <v>2473</v>
      </c>
      <c r="K3515" s="18" t="s">
        <v>2473</v>
      </c>
      <c r="Z3515" s="183"/>
      <c r="AV3515" s="6" t="str">
        <f t="shared" si="72"/>
        <v/>
      </c>
    </row>
    <row r="3516" spans="1:49" s="100" customFormat="1" ht="117.4" thickBot="1" x14ac:dyDescent="0.5">
      <c r="A3516" s="44" t="s">
        <v>4139</v>
      </c>
      <c r="B3516" s="50" t="s">
        <v>4140</v>
      </c>
      <c r="C3516" s="12"/>
      <c r="D3516" s="20"/>
      <c r="E3516" s="20"/>
      <c r="F3516" s="20"/>
      <c r="G3516" s="12" t="s">
        <v>10</v>
      </c>
      <c r="H3516" s="20"/>
      <c r="I3516" s="18"/>
      <c r="J3516" s="18"/>
      <c r="K3516" s="18"/>
      <c r="L3516" s="18"/>
      <c r="M3516" s="145"/>
      <c r="N3516" s="8"/>
      <c r="O3516" s="8"/>
      <c r="P3516" s="8"/>
      <c r="Q3516" s="8"/>
      <c r="R3516" s="122" t="s">
        <v>3529</v>
      </c>
      <c r="S3516" s="114" t="s">
        <v>4</v>
      </c>
      <c r="T3516" s="114" t="s">
        <v>4139</v>
      </c>
      <c r="U3516" s="114" t="s">
        <v>3521</v>
      </c>
      <c r="V3516" s="114" t="s">
        <v>3530</v>
      </c>
      <c r="W3516" s="114" t="s">
        <v>3436</v>
      </c>
      <c r="X3516" s="114" t="s">
        <v>13</v>
      </c>
      <c r="Y3516" s="145"/>
      <c r="Z3516" s="8" t="s">
        <v>4</v>
      </c>
      <c r="AA3516" s="8"/>
      <c r="AB3516" s="8" t="s">
        <v>758</v>
      </c>
      <c r="AC3516" s="8" t="s">
        <v>4346</v>
      </c>
      <c r="AD3516" s="8" t="s">
        <v>4769</v>
      </c>
      <c r="AE3516" s="154"/>
      <c r="AF3516" s="154"/>
      <c r="AG3516" s="183"/>
      <c r="AH3516" s="183"/>
      <c r="AI3516" s="183"/>
      <c r="AJ3516" s="8"/>
      <c r="AK3516" s="8"/>
      <c r="AL3516" s="8"/>
      <c r="AM3516" s="8"/>
      <c r="AN3516" s="8"/>
      <c r="AO3516" s="8"/>
      <c r="AP3516" s="8"/>
      <c r="AQ3516" s="8"/>
      <c r="AR3516" s="284"/>
      <c r="AS3516" s="8"/>
      <c r="AT3516" s="8"/>
      <c r="AU3516" s="19"/>
      <c r="AV3516" s="6" t="str">
        <f t="shared" si="72"/>
        <v>OK</v>
      </c>
    </row>
    <row r="3517" spans="1:49" s="100" customFormat="1" ht="35.25" thickBot="1" x14ac:dyDescent="0.5">
      <c r="A3517" s="158" t="s">
        <v>2343</v>
      </c>
      <c r="B3517" s="159" t="s">
        <v>4284</v>
      </c>
      <c r="C3517" s="160"/>
      <c r="D3517" s="161"/>
      <c r="E3517" s="161"/>
      <c r="F3517" s="161"/>
      <c r="G3517" s="160"/>
      <c r="H3517" s="161"/>
      <c r="I3517" s="162"/>
      <c r="J3517" s="162"/>
      <c r="K3517" s="162"/>
      <c r="L3517" s="162"/>
      <c r="M3517" s="146"/>
      <c r="N3517" s="108"/>
      <c r="O3517" s="108"/>
      <c r="P3517" s="108"/>
      <c r="Q3517" s="108"/>
      <c r="R3517" s="108"/>
      <c r="S3517" s="108"/>
      <c r="T3517" s="108"/>
      <c r="U3517" s="108"/>
      <c r="V3517" s="108"/>
      <c r="W3517" s="108"/>
      <c r="X3517" s="108"/>
      <c r="Y3517" s="146"/>
      <c r="Z3517" s="108"/>
      <c r="AA3517" s="108"/>
      <c r="AB3517" s="108"/>
      <c r="AC3517" s="108"/>
      <c r="AD3517" s="108"/>
      <c r="AE3517" s="157"/>
      <c r="AF3517" s="157"/>
      <c r="AG3517" s="108"/>
      <c r="AH3517" s="108"/>
      <c r="AI3517" s="108"/>
      <c r="AJ3517" s="108"/>
      <c r="AK3517" s="108"/>
      <c r="AL3517" s="108"/>
      <c r="AM3517" s="108"/>
      <c r="AN3517" s="108"/>
      <c r="AO3517" s="108"/>
      <c r="AP3517" s="108"/>
      <c r="AQ3517" s="108"/>
      <c r="AR3517" s="295"/>
      <c r="AS3517" s="108"/>
      <c r="AT3517" s="108"/>
      <c r="AU3517" s="19"/>
      <c r="AV3517" s="6" t="str">
        <f t="shared" si="72"/>
        <v/>
      </c>
    </row>
    <row r="3518" spans="1:49" s="100" customFormat="1" ht="14.65" thickBot="1" x14ac:dyDescent="0.5">
      <c r="A3518" s="163" t="s">
        <v>33</v>
      </c>
      <c r="B3518" s="159" t="s">
        <v>144</v>
      </c>
      <c r="C3518" s="160"/>
      <c r="D3518" s="161"/>
      <c r="E3518" s="161"/>
      <c r="F3518" s="161"/>
      <c r="G3518" s="160"/>
      <c r="H3518" s="161"/>
      <c r="I3518" s="162"/>
      <c r="J3518" s="162"/>
      <c r="K3518" s="162"/>
      <c r="L3518" s="162"/>
      <c r="M3518" s="146"/>
      <c r="N3518" s="108"/>
      <c r="O3518" s="108"/>
      <c r="P3518" s="108"/>
      <c r="Q3518" s="108"/>
      <c r="R3518" s="108"/>
      <c r="S3518" s="108"/>
      <c r="T3518" s="108"/>
      <c r="U3518" s="108"/>
      <c r="V3518" s="108"/>
      <c r="W3518" s="108"/>
      <c r="X3518" s="108"/>
      <c r="Y3518" s="146"/>
      <c r="Z3518" s="108"/>
      <c r="AA3518" s="108"/>
      <c r="AB3518" s="108"/>
      <c r="AC3518" s="108"/>
      <c r="AD3518" s="108"/>
      <c r="AE3518" s="157"/>
      <c r="AF3518" s="157"/>
      <c r="AG3518" s="108"/>
      <c r="AH3518" s="108"/>
      <c r="AI3518" s="108"/>
      <c r="AJ3518" s="108"/>
      <c r="AK3518" s="108"/>
      <c r="AL3518" s="108"/>
      <c r="AM3518" s="108"/>
      <c r="AN3518" s="108"/>
      <c r="AO3518" s="108"/>
      <c r="AP3518" s="108"/>
      <c r="AQ3518" s="108"/>
      <c r="AR3518" s="295"/>
      <c r="AS3518" s="108"/>
      <c r="AT3518" s="108"/>
      <c r="AU3518" s="19"/>
      <c r="AV3518" s="6" t="str">
        <f t="shared" si="72"/>
        <v/>
      </c>
    </row>
    <row r="3519" spans="1:49" s="100" customFormat="1" ht="35.25" thickBot="1" x14ac:dyDescent="0.5">
      <c r="A3519" s="158" t="s">
        <v>2481</v>
      </c>
      <c r="B3519" s="159" t="s">
        <v>4076</v>
      </c>
      <c r="C3519" s="160"/>
      <c r="D3519" s="161"/>
      <c r="E3519" s="161"/>
      <c r="F3519" s="161"/>
      <c r="G3519" s="160"/>
      <c r="H3519" s="161"/>
      <c r="I3519" s="162"/>
      <c r="J3519" s="162"/>
      <c r="K3519" s="162"/>
      <c r="L3519" s="162"/>
      <c r="M3519" s="146"/>
      <c r="N3519" s="108"/>
      <c r="O3519" s="108"/>
      <c r="P3519" s="108"/>
      <c r="Q3519" s="108"/>
      <c r="R3519" s="108"/>
      <c r="S3519" s="108"/>
      <c r="T3519" s="108"/>
      <c r="U3519" s="108"/>
      <c r="V3519" s="108"/>
      <c r="W3519" s="108"/>
      <c r="X3519" s="108"/>
      <c r="Y3519" s="146"/>
      <c r="Z3519" s="108"/>
      <c r="AA3519" s="108"/>
      <c r="AB3519" s="108"/>
      <c r="AC3519" s="108"/>
      <c r="AD3519" s="108"/>
      <c r="AE3519" s="157"/>
      <c r="AF3519" s="157"/>
      <c r="AG3519" s="108"/>
      <c r="AH3519" s="108"/>
      <c r="AI3519" s="108"/>
      <c r="AJ3519" s="108"/>
      <c r="AK3519" s="108"/>
      <c r="AL3519" s="108"/>
      <c r="AM3519" s="108"/>
      <c r="AN3519" s="108"/>
      <c r="AO3519" s="108"/>
      <c r="AP3519" s="108"/>
      <c r="AQ3519" s="108"/>
      <c r="AR3519" s="295"/>
      <c r="AS3519" s="108"/>
      <c r="AT3519" s="108"/>
      <c r="AU3519" s="19"/>
      <c r="AV3519" s="6" t="str">
        <f t="shared" si="72"/>
        <v/>
      </c>
    </row>
    <row r="3520" spans="1:49" s="100" customFormat="1" ht="14.65" thickBot="1" x14ac:dyDescent="0.5">
      <c r="A3520" s="163" t="s">
        <v>33</v>
      </c>
      <c r="B3520" s="159" t="s">
        <v>144</v>
      </c>
      <c r="C3520" s="160"/>
      <c r="D3520" s="161"/>
      <c r="E3520" s="161"/>
      <c r="F3520" s="161"/>
      <c r="G3520" s="160"/>
      <c r="H3520" s="161"/>
      <c r="I3520" s="162"/>
      <c r="J3520" s="162"/>
      <c r="K3520" s="162"/>
      <c r="L3520" s="162"/>
      <c r="M3520" s="146"/>
      <c r="N3520" s="108"/>
      <c r="O3520" s="108"/>
      <c r="P3520" s="108"/>
      <c r="Q3520" s="108"/>
      <c r="R3520" s="108"/>
      <c r="S3520" s="108"/>
      <c r="T3520" s="108"/>
      <c r="U3520" s="108"/>
      <c r="V3520" s="108"/>
      <c r="W3520" s="108"/>
      <c r="X3520" s="108"/>
      <c r="Y3520" s="146"/>
      <c r="Z3520" s="108"/>
      <c r="AA3520" s="108"/>
      <c r="AB3520" s="108"/>
      <c r="AC3520" s="108"/>
      <c r="AD3520" s="108"/>
      <c r="AE3520" s="157"/>
      <c r="AF3520" s="157"/>
      <c r="AG3520" s="108"/>
      <c r="AH3520" s="108"/>
      <c r="AI3520" s="108"/>
      <c r="AJ3520" s="108"/>
      <c r="AK3520" s="108"/>
      <c r="AL3520" s="108"/>
      <c r="AM3520" s="108"/>
      <c r="AN3520" s="108"/>
      <c r="AO3520" s="108"/>
      <c r="AP3520" s="108"/>
      <c r="AQ3520" s="108"/>
      <c r="AR3520" s="295"/>
      <c r="AS3520" s="108"/>
      <c r="AT3520" s="108"/>
      <c r="AU3520" s="19"/>
      <c r="AV3520" s="6" t="str">
        <f t="shared" si="72"/>
        <v/>
      </c>
    </row>
    <row r="3521" spans="1:48" s="100" customFormat="1" ht="35.25" thickBot="1" x14ac:dyDescent="0.5">
      <c r="A3521" s="158" t="s">
        <v>2671</v>
      </c>
      <c r="B3521" s="159" t="s">
        <v>3989</v>
      </c>
      <c r="C3521" s="160"/>
      <c r="D3521" s="161"/>
      <c r="E3521" s="161"/>
      <c r="F3521" s="161"/>
      <c r="G3521" s="160"/>
      <c r="H3521" s="161"/>
      <c r="I3521" s="162"/>
      <c r="J3521" s="162"/>
      <c r="K3521" s="162"/>
      <c r="L3521" s="162"/>
      <c r="M3521" s="146"/>
      <c r="N3521" s="108"/>
      <c r="O3521" s="108"/>
      <c r="P3521" s="108"/>
      <c r="Q3521" s="108"/>
      <c r="R3521" s="108"/>
      <c r="S3521" s="108"/>
      <c r="T3521" s="108"/>
      <c r="U3521" s="108"/>
      <c r="V3521" s="108"/>
      <c r="W3521" s="108"/>
      <c r="X3521" s="108"/>
      <c r="Y3521" s="146"/>
      <c r="Z3521" s="108"/>
      <c r="AA3521" s="108"/>
      <c r="AB3521" s="108"/>
      <c r="AC3521" s="108"/>
      <c r="AD3521" s="108"/>
      <c r="AE3521" s="157"/>
      <c r="AF3521" s="157"/>
      <c r="AG3521" s="108"/>
      <c r="AH3521" s="108"/>
      <c r="AI3521" s="108"/>
      <c r="AJ3521" s="108"/>
      <c r="AK3521" s="108"/>
      <c r="AL3521" s="108"/>
      <c r="AM3521" s="108"/>
      <c r="AN3521" s="108"/>
      <c r="AO3521" s="108"/>
      <c r="AP3521" s="108"/>
      <c r="AQ3521" s="108"/>
      <c r="AR3521" s="295"/>
      <c r="AS3521" s="108"/>
      <c r="AT3521" s="108"/>
      <c r="AU3521" s="19"/>
      <c r="AV3521" s="6" t="str">
        <f t="shared" si="72"/>
        <v/>
      </c>
    </row>
    <row r="3522" spans="1:48" s="100" customFormat="1" ht="14.65" thickBot="1" x14ac:dyDescent="0.5">
      <c r="A3522" s="163" t="s">
        <v>33</v>
      </c>
      <c r="B3522" s="159" t="s">
        <v>2346</v>
      </c>
      <c r="C3522" s="160"/>
      <c r="D3522" s="161"/>
      <c r="E3522" s="161"/>
      <c r="F3522" s="161"/>
      <c r="G3522" s="160"/>
      <c r="H3522" s="161"/>
      <c r="I3522" s="162"/>
      <c r="J3522" s="162"/>
      <c r="K3522" s="162"/>
      <c r="L3522" s="162"/>
      <c r="M3522" s="146"/>
      <c r="N3522" s="108"/>
      <c r="O3522" s="108"/>
      <c r="P3522" s="108"/>
      <c r="Q3522" s="108"/>
      <c r="R3522" s="108"/>
      <c r="S3522" s="108"/>
      <c r="T3522" s="108"/>
      <c r="U3522" s="108"/>
      <c r="V3522" s="108"/>
      <c r="W3522" s="108"/>
      <c r="X3522" s="108"/>
      <c r="Y3522" s="146"/>
      <c r="Z3522" s="108"/>
      <c r="AA3522" s="108"/>
      <c r="AB3522" s="108"/>
      <c r="AC3522" s="108"/>
      <c r="AD3522" s="108"/>
      <c r="AE3522" s="157"/>
      <c r="AF3522" s="157"/>
      <c r="AG3522" s="108"/>
      <c r="AH3522" s="108"/>
      <c r="AI3522" s="108"/>
      <c r="AJ3522" s="108"/>
      <c r="AK3522" s="108"/>
      <c r="AL3522" s="108"/>
      <c r="AM3522" s="108"/>
      <c r="AN3522" s="108"/>
      <c r="AO3522" s="108"/>
      <c r="AP3522" s="108"/>
      <c r="AQ3522" s="108"/>
      <c r="AR3522" s="295"/>
      <c r="AS3522" s="108"/>
      <c r="AT3522" s="108"/>
      <c r="AU3522" s="19"/>
      <c r="AV3522" s="6" t="str">
        <f t="shared" si="72"/>
        <v/>
      </c>
    </row>
    <row r="3523" spans="1:48" s="100" customFormat="1" ht="23.65" thickBot="1" x14ac:dyDescent="0.5">
      <c r="A3523" s="158" t="s">
        <v>2701</v>
      </c>
      <c r="B3523" s="159" t="s">
        <v>3799</v>
      </c>
      <c r="C3523" s="160"/>
      <c r="D3523" s="161"/>
      <c r="E3523" s="161"/>
      <c r="F3523" s="161"/>
      <c r="G3523" s="160"/>
      <c r="H3523" s="161"/>
      <c r="I3523" s="162"/>
      <c r="J3523" s="162"/>
      <c r="K3523" s="162"/>
      <c r="L3523" s="162"/>
      <c r="M3523" s="146"/>
      <c r="N3523" s="108"/>
      <c r="O3523" s="108"/>
      <c r="P3523" s="108"/>
      <c r="Q3523" s="108"/>
      <c r="R3523" s="108"/>
      <c r="S3523" s="108"/>
      <c r="T3523" s="108"/>
      <c r="U3523" s="108"/>
      <c r="V3523" s="108"/>
      <c r="W3523" s="108"/>
      <c r="X3523" s="108"/>
      <c r="Y3523" s="146"/>
      <c r="Z3523" s="108"/>
      <c r="AA3523" s="108"/>
      <c r="AB3523" s="108"/>
      <c r="AC3523" s="108"/>
      <c r="AD3523" s="108"/>
      <c r="AE3523" s="157"/>
      <c r="AF3523" s="157"/>
      <c r="AG3523" s="108"/>
      <c r="AH3523" s="108"/>
      <c r="AI3523" s="108"/>
      <c r="AJ3523" s="108"/>
      <c r="AK3523" s="108"/>
      <c r="AL3523" s="108"/>
      <c r="AM3523" s="108"/>
      <c r="AN3523" s="108"/>
      <c r="AO3523" s="108"/>
      <c r="AP3523" s="108"/>
      <c r="AQ3523" s="108"/>
      <c r="AR3523" s="295"/>
      <c r="AS3523" s="108"/>
      <c r="AT3523" s="108"/>
      <c r="AU3523" s="19"/>
      <c r="AV3523" s="6" t="str">
        <f t="shared" si="72"/>
        <v/>
      </c>
    </row>
    <row r="3524" spans="1:48" s="100" customFormat="1" ht="14.65" thickBot="1" x14ac:dyDescent="0.5">
      <c r="A3524" s="163" t="s">
        <v>33</v>
      </c>
      <c r="B3524" s="159"/>
      <c r="C3524" s="160"/>
      <c r="D3524" s="161"/>
      <c r="E3524" s="161"/>
      <c r="F3524" s="161"/>
      <c r="G3524" s="160"/>
      <c r="H3524" s="161"/>
      <c r="I3524" s="162"/>
      <c r="J3524" s="162"/>
      <c r="K3524" s="162"/>
      <c r="L3524" s="162"/>
      <c r="M3524" s="146"/>
      <c r="N3524" s="108"/>
      <c r="O3524" s="108"/>
      <c r="P3524" s="108"/>
      <c r="Q3524" s="108"/>
      <c r="R3524" s="108"/>
      <c r="S3524" s="108"/>
      <c r="T3524" s="108"/>
      <c r="U3524" s="108"/>
      <c r="V3524" s="108"/>
      <c r="W3524" s="108"/>
      <c r="X3524" s="108"/>
      <c r="Y3524" s="146"/>
      <c r="Z3524" s="108"/>
      <c r="AA3524" s="108"/>
      <c r="AB3524" s="108"/>
      <c r="AC3524" s="108"/>
      <c r="AD3524" s="108"/>
      <c r="AE3524" s="157"/>
      <c r="AF3524" s="157"/>
      <c r="AG3524" s="108"/>
      <c r="AH3524" s="108"/>
      <c r="AI3524" s="108"/>
      <c r="AJ3524" s="108"/>
      <c r="AK3524" s="108"/>
      <c r="AL3524" s="108"/>
      <c r="AM3524" s="108"/>
      <c r="AN3524" s="108"/>
      <c r="AO3524" s="108"/>
      <c r="AP3524" s="108"/>
      <c r="AQ3524" s="108"/>
      <c r="AR3524" s="295"/>
      <c r="AS3524" s="108"/>
      <c r="AT3524" s="108"/>
      <c r="AU3524" s="19"/>
      <c r="AV3524" s="6" t="str">
        <f t="shared" si="72"/>
        <v/>
      </c>
    </row>
    <row r="3525" spans="1:48" ht="105" thickBot="1" x14ac:dyDescent="0.5">
      <c r="A3525" s="44" t="s">
        <v>145</v>
      </c>
      <c r="B3525" s="50" t="s">
        <v>3968</v>
      </c>
      <c r="C3525" s="12"/>
      <c r="D3525" s="20"/>
      <c r="E3525" s="20"/>
      <c r="F3525" s="20"/>
      <c r="G3525" s="12" t="s">
        <v>10</v>
      </c>
      <c r="H3525" s="20"/>
      <c r="J3525" s="18" t="s">
        <v>2473</v>
      </c>
      <c r="K3525" s="18" t="s">
        <v>2473</v>
      </c>
      <c r="R3525" s="122" t="s">
        <v>3435</v>
      </c>
      <c r="S3525" s="114" t="s">
        <v>3437</v>
      </c>
      <c r="T3525" s="114" t="s">
        <v>145</v>
      </c>
      <c r="U3525" s="114"/>
      <c r="V3525" s="114" t="s">
        <v>3441</v>
      </c>
      <c r="W3525" s="114" t="s">
        <v>3436</v>
      </c>
      <c r="X3525" s="114" t="s">
        <v>13</v>
      </c>
      <c r="Y3525" s="149"/>
      <c r="Z3525" s="183" t="s">
        <v>4</v>
      </c>
      <c r="AA3525" s="183"/>
      <c r="AB3525" s="183" t="s">
        <v>4359</v>
      </c>
      <c r="AC3525" s="183" t="s">
        <v>6</v>
      </c>
      <c r="AD3525" s="183" t="s">
        <v>4770</v>
      </c>
      <c r="AE3525" s="184"/>
      <c r="AF3525" s="184"/>
      <c r="AG3525" s="183"/>
      <c r="AH3525" s="183"/>
      <c r="AI3525" s="183"/>
      <c r="AJ3525" s="183"/>
      <c r="AK3525" s="183"/>
      <c r="AL3525" s="183"/>
      <c r="AM3525" s="183"/>
      <c r="AN3525" s="131"/>
      <c r="AO3525" s="131"/>
      <c r="AP3525" s="131"/>
      <c r="AQ3525" s="131"/>
      <c r="AR3525" s="288"/>
      <c r="AS3525" s="266" t="s">
        <v>5861</v>
      </c>
      <c r="AT3525" s="183"/>
      <c r="AV3525" s="6" t="str">
        <f t="shared" si="72"/>
        <v>OK</v>
      </c>
    </row>
    <row r="3526" spans="1:48" ht="105.75" thickBot="1" x14ac:dyDescent="0.5">
      <c r="A3526" s="93" t="s">
        <v>5361</v>
      </c>
      <c r="B3526" s="22" t="s">
        <v>3534</v>
      </c>
      <c r="C3526" s="4"/>
      <c r="D3526" s="20"/>
      <c r="E3526" s="20"/>
      <c r="F3526" s="20"/>
      <c r="G3526" s="20" t="s">
        <v>10</v>
      </c>
      <c r="H3526" s="20"/>
      <c r="J3526" s="18" t="s">
        <v>2473</v>
      </c>
      <c r="K3526" s="18" t="s">
        <v>2473</v>
      </c>
      <c r="Q3526" s="8" t="s">
        <v>3441</v>
      </c>
      <c r="R3526" s="122" t="s">
        <v>3435</v>
      </c>
      <c r="S3526" s="114" t="s">
        <v>3443</v>
      </c>
      <c r="T3526" s="114" t="s">
        <v>749</v>
      </c>
      <c r="U3526" s="114" t="s">
        <v>3560</v>
      </c>
      <c r="V3526" s="114"/>
      <c r="W3526" s="114" t="s">
        <v>3436</v>
      </c>
      <c r="X3526" s="114" t="s">
        <v>13</v>
      </c>
      <c r="Y3526" s="149"/>
      <c r="Z3526" s="183"/>
      <c r="AA3526" s="183"/>
      <c r="AB3526" s="183"/>
      <c r="AC3526" s="183"/>
      <c r="AD3526" s="183"/>
      <c r="AE3526" s="184"/>
      <c r="AF3526" s="184"/>
      <c r="AG3526" s="183"/>
      <c r="AH3526" s="183"/>
      <c r="AI3526" s="183"/>
      <c r="AJ3526" s="183"/>
      <c r="AK3526" s="183"/>
      <c r="AL3526" s="183"/>
      <c r="AM3526" s="183"/>
      <c r="AN3526" s="131"/>
      <c r="AO3526" s="131"/>
      <c r="AP3526" s="131"/>
      <c r="AQ3526" s="131"/>
      <c r="AR3526" s="288"/>
      <c r="AS3526" s="139" t="s">
        <v>5939</v>
      </c>
      <c r="AT3526" s="183"/>
      <c r="AV3526" s="6" t="str">
        <f t="shared" si="72"/>
        <v>OK</v>
      </c>
    </row>
    <row r="3527" spans="1:48" ht="24.4" thickBot="1" x14ac:dyDescent="0.5">
      <c r="A3527" s="93" t="s">
        <v>3537</v>
      </c>
      <c r="B3527" s="22" t="s">
        <v>3535</v>
      </c>
      <c r="C3527" s="4"/>
      <c r="D3527" s="20"/>
      <c r="E3527" s="20"/>
      <c r="F3527" s="20"/>
      <c r="G3527" s="20"/>
      <c r="H3527" s="20"/>
      <c r="J3527" s="18" t="s">
        <v>2473</v>
      </c>
      <c r="K3527" s="18" t="s">
        <v>2473</v>
      </c>
      <c r="Q3527" s="8" t="s">
        <v>3441</v>
      </c>
      <c r="R3527" s="122" t="s">
        <v>3435</v>
      </c>
      <c r="S3527" s="114" t="s">
        <v>3443</v>
      </c>
      <c r="T3527" s="114" t="s">
        <v>751</v>
      </c>
      <c r="U3527" s="114" t="s">
        <v>3561</v>
      </c>
      <c r="V3527" s="114"/>
      <c r="W3527" s="114" t="s">
        <v>3436</v>
      </c>
      <c r="X3527" s="114" t="s">
        <v>13</v>
      </c>
      <c r="Y3527" s="149"/>
      <c r="Z3527" s="183"/>
      <c r="AA3527" s="183"/>
      <c r="AB3527" s="183"/>
      <c r="AC3527" s="183"/>
      <c r="AD3527" s="183"/>
      <c r="AE3527" s="184"/>
      <c r="AF3527" s="184"/>
      <c r="AG3527" s="183"/>
      <c r="AH3527" s="183"/>
      <c r="AI3527" s="183"/>
      <c r="AJ3527" s="183"/>
      <c r="AK3527" s="183"/>
      <c r="AL3527" s="183"/>
      <c r="AM3527" s="183"/>
      <c r="AN3527" s="131"/>
      <c r="AO3527" s="131"/>
      <c r="AP3527" s="131"/>
      <c r="AQ3527" s="131"/>
      <c r="AR3527" s="288"/>
      <c r="AS3527" s="259"/>
      <c r="AT3527" s="183"/>
      <c r="AV3527" s="6" t="str">
        <f t="shared" si="72"/>
        <v>OK</v>
      </c>
    </row>
    <row r="3528" spans="1:48" ht="24.4" thickBot="1" x14ac:dyDescent="0.5">
      <c r="A3528" s="93" t="s">
        <v>3538</v>
      </c>
      <c r="B3528" s="22" t="s">
        <v>3536</v>
      </c>
      <c r="C3528" s="4"/>
      <c r="D3528" s="20"/>
      <c r="E3528" s="20"/>
      <c r="F3528" s="20"/>
      <c r="G3528" s="20"/>
      <c r="H3528" s="20"/>
      <c r="J3528" s="18" t="s">
        <v>2473</v>
      </c>
      <c r="K3528" s="18" t="s">
        <v>2473</v>
      </c>
      <c r="Q3528" s="8" t="s">
        <v>3441</v>
      </c>
      <c r="R3528" s="122" t="s">
        <v>3435</v>
      </c>
      <c r="S3528" s="114" t="s">
        <v>3443</v>
      </c>
      <c r="T3528" s="114" t="s">
        <v>754</v>
      </c>
      <c r="U3528" s="114" t="s">
        <v>3562</v>
      </c>
      <c r="V3528" s="114"/>
      <c r="W3528" s="114" t="s">
        <v>3436</v>
      </c>
      <c r="X3528" s="114" t="s">
        <v>13</v>
      </c>
      <c r="Y3528" s="149"/>
      <c r="Z3528" s="183"/>
      <c r="AA3528" s="183"/>
      <c r="AB3528" s="183"/>
      <c r="AC3528" s="183"/>
      <c r="AD3528" s="183"/>
      <c r="AE3528" s="184"/>
      <c r="AF3528" s="184"/>
      <c r="AG3528" s="183"/>
      <c r="AH3528" s="183"/>
      <c r="AI3528" s="183"/>
      <c r="AJ3528" s="183"/>
      <c r="AK3528" s="183"/>
      <c r="AL3528" s="183"/>
      <c r="AM3528" s="183"/>
      <c r="AN3528" s="131"/>
      <c r="AO3528" s="131"/>
      <c r="AP3528" s="131"/>
      <c r="AQ3528" s="131"/>
      <c r="AR3528" s="288"/>
      <c r="AS3528" s="259"/>
      <c r="AT3528" s="183"/>
      <c r="AV3528" s="6" t="str">
        <f t="shared" si="72"/>
        <v>OK</v>
      </c>
    </row>
    <row r="3529" spans="1:48" ht="70.900000000000006" thickBot="1" x14ac:dyDescent="0.5">
      <c r="A3529" s="36" t="s">
        <v>97</v>
      </c>
      <c r="B3529" s="3" t="s">
        <v>4016</v>
      </c>
      <c r="C3529" s="4"/>
      <c r="D3529" s="4"/>
      <c r="E3529" s="4"/>
      <c r="F3529" s="4"/>
      <c r="G3529" s="4" t="s">
        <v>13</v>
      </c>
      <c r="H3529" s="4"/>
      <c r="J3529" s="18" t="s">
        <v>2473</v>
      </c>
      <c r="K3529" s="18" t="s">
        <v>2473</v>
      </c>
      <c r="R3529" s="122" t="s">
        <v>3435</v>
      </c>
      <c r="S3529" s="114" t="s">
        <v>3437</v>
      </c>
      <c r="T3529" s="114" t="s">
        <v>4141</v>
      </c>
      <c r="U3529" s="114"/>
      <c r="V3529" s="114" t="s">
        <v>3559</v>
      </c>
      <c r="W3529" s="114" t="s">
        <v>3436</v>
      </c>
      <c r="X3529" s="114" t="s">
        <v>13</v>
      </c>
      <c r="Y3529" s="149"/>
      <c r="Z3529" s="183" t="s">
        <v>4</v>
      </c>
      <c r="AA3529" s="183"/>
      <c r="AB3529" s="183" t="s">
        <v>4354</v>
      </c>
      <c r="AC3529" s="183" t="s">
        <v>6</v>
      </c>
      <c r="AD3529" s="183"/>
      <c r="AE3529" s="184"/>
      <c r="AF3529" s="184"/>
      <c r="AG3529" s="183" t="s">
        <v>4355</v>
      </c>
      <c r="AH3529" s="183" t="s">
        <v>4438</v>
      </c>
      <c r="AI3529" s="183" t="str">
        <f>"true"</f>
        <v>true</v>
      </c>
      <c r="AJ3529" s="183"/>
      <c r="AK3529" s="183"/>
      <c r="AL3529" s="183"/>
      <c r="AM3529" s="183"/>
      <c r="AN3529" s="131"/>
      <c r="AO3529" s="131"/>
      <c r="AP3529" s="131"/>
      <c r="AQ3529" s="131"/>
      <c r="AR3529" s="288"/>
      <c r="AS3529" s="259"/>
      <c r="AT3529" s="183"/>
      <c r="AU3529" s="202" t="s">
        <v>5079</v>
      </c>
      <c r="AV3529" s="6" t="str">
        <f t="shared" si="72"/>
        <v>ERROR</v>
      </c>
    </row>
    <row r="3530" spans="1:48" ht="14.65" thickBot="1" x14ac:dyDescent="0.5">
      <c r="A3530" s="35" t="s">
        <v>33</v>
      </c>
      <c r="B3530" s="3" t="s">
        <v>98</v>
      </c>
      <c r="C3530" s="4"/>
      <c r="D3530" s="4"/>
      <c r="E3530" s="4"/>
      <c r="F3530" s="4"/>
      <c r="G3530" s="4"/>
      <c r="H3530" s="4"/>
      <c r="J3530" s="18" t="s">
        <v>2473</v>
      </c>
      <c r="K3530" s="18" t="s">
        <v>2473</v>
      </c>
      <c r="Z3530" s="183"/>
      <c r="AV3530" s="6" t="str">
        <f t="shared" si="72"/>
        <v/>
      </c>
    </row>
    <row r="3531" spans="1:48" ht="116.65" thickBot="1" x14ac:dyDescent="0.5">
      <c r="A3531" s="44" t="s">
        <v>2376</v>
      </c>
      <c r="B3531" s="50" t="s">
        <v>4017</v>
      </c>
      <c r="C3531" s="12"/>
      <c r="D3531" s="20"/>
      <c r="E3531" s="20"/>
      <c r="F3531" s="20"/>
      <c r="G3531" s="12" t="s">
        <v>13</v>
      </c>
      <c r="H3531" s="20"/>
      <c r="J3531" s="18" t="s">
        <v>2473</v>
      </c>
      <c r="K3531" s="18" t="s">
        <v>2473</v>
      </c>
      <c r="R3531" s="122" t="s">
        <v>3435</v>
      </c>
      <c r="S3531" s="114" t="s">
        <v>3437</v>
      </c>
      <c r="T3531" s="114" t="s">
        <v>2376</v>
      </c>
      <c r="U3531" s="114"/>
      <c r="V3531" s="114" t="s">
        <v>3532</v>
      </c>
      <c r="W3531" s="114" t="s">
        <v>3436</v>
      </c>
      <c r="X3531" s="114" t="s">
        <v>13</v>
      </c>
      <c r="Y3531" s="149"/>
      <c r="Z3531" s="183" t="s">
        <v>4</v>
      </c>
      <c r="AA3531" s="183"/>
      <c r="AB3531" s="183" t="s">
        <v>4354</v>
      </c>
      <c r="AC3531" s="183" t="s">
        <v>4346</v>
      </c>
      <c r="AD3531" s="183" t="s">
        <v>4771</v>
      </c>
      <c r="AE3531" s="184"/>
      <c r="AF3531" s="184"/>
      <c r="AG3531" s="183" t="s">
        <v>4355</v>
      </c>
      <c r="AH3531" s="183" t="s">
        <v>5276</v>
      </c>
      <c r="AI3531" s="183" t="str">
        <f>"true"</f>
        <v>true</v>
      </c>
      <c r="AJ3531" s="183"/>
      <c r="AK3531" s="183"/>
      <c r="AL3531" s="183"/>
      <c r="AM3531" s="183"/>
      <c r="AN3531" s="131"/>
      <c r="AO3531" s="131"/>
      <c r="AP3531" s="131"/>
      <c r="AQ3531" s="131"/>
      <c r="AR3531" s="288"/>
      <c r="AS3531" s="259"/>
      <c r="AT3531" s="234" t="s">
        <v>5313</v>
      </c>
      <c r="AU3531" s="202" t="s">
        <v>5282</v>
      </c>
      <c r="AV3531" s="6" t="str">
        <f t="shared" si="72"/>
        <v>OK</v>
      </c>
    </row>
    <row r="3532" spans="1:48" ht="14.65" thickBot="1" x14ac:dyDescent="0.5">
      <c r="A3532" s="41" t="s">
        <v>33</v>
      </c>
      <c r="B3532" s="50" t="s">
        <v>2347</v>
      </c>
      <c r="C3532" s="12"/>
      <c r="D3532" s="20"/>
      <c r="E3532" s="20"/>
      <c r="F3532" s="20"/>
      <c r="G3532" s="12"/>
      <c r="H3532" s="20"/>
      <c r="J3532" s="18" t="s">
        <v>2473</v>
      </c>
      <c r="K3532" s="18" t="s">
        <v>2473</v>
      </c>
      <c r="Z3532" s="183"/>
      <c r="AV3532" s="6" t="str">
        <f t="shared" si="72"/>
        <v/>
      </c>
    </row>
    <row r="3533" spans="1:48" ht="116.65" thickBot="1" x14ac:dyDescent="0.5">
      <c r="A3533" s="44" t="s">
        <v>2698</v>
      </c>
      <c r="B3533" s="50" t="s">
        <v>4000</v>
      </c>
      <c r="C3533" s="12"/>
      <c r="D3533" s="20"/>
      <c r="E3533" s="20"/>
      <c r="F3533" s="20"/>
      <c r="G3533" s="12" t="s">
        <v>13</v>
      </c>
      <c r="H3533" s="20"/>
      <c r="J3533" s="18" t="s">
        <v>2473</v>
      </c>
      <c r="K3533" s="18" t="s">
        <v>2473</v>
      </c>
      <c r="R3533" s="122" t="s">
        <v>3435</v>
      </c>
      <c r="S3533" s="114" t="s">
        <v>3437</v>
      </c>
      <c r="T3533" s="114" t="s">
        <v>2698</v>
      </c>
      <c r="U3533" s="114"/>
      <c r="V3533" s="114" t="s">
        <v>3558</v>
      </c>
      <c r="W3533" s="114" t="s">
        <v>3436</v>
      </c>
      <c r="X3533" s="114" t="s">
        <v>13</v>
      </c>
      <c r="Y3533" s="149"/>
      <c r="Z3533" s="183" t="s">
        <v>4</v>
      </c>
      <c r="AA3533" s="183"/>
      <c r="AB3533" s="183" t="s">
        <v>4354</v>
      </c>
      <c r="AC3533" s="183" t="s">
        <v>4346</v>
      </c>
      <c r="AD3533" s="183" t="s">
        <v>4772</v>
      </c>
      <c r="AE3533" s="184"/>
      <c r="AF3533" s="184"/>
      <c r="AG3533" s="183" t="s">
        <v>4355</v>
      </c>
      <c r="AH3533" s="183" t="s">
        <v>5277</v>
      </c>
      <c r="AI3533" s="183" t="str">
        <f>"true"</f>
        <v>true</v>
      </c>
      <c r="AJ3533" s="183"/>
      <c r="AK3533" s="183"/>
      <c r="AL3533" s="183"/>
      <c r="AM3533" s="183"/>
      <c r="AN3533" s="131"/>
      <c r="AO3533" s="131"/>
      <c r="AP3533" s="131"/>
      <c r="AQ3533" s="131"/>
      <c r="AR3533" s="288"/>
      <c r="AS3533" s="259"/>
      <c r="AT3533" s="234" t="s">
        <v>5313</v>
      </c>
      <c r="AU3533" s="202" t="s">
        <v>5283</v>
      </c>
      <c r="AV3533" s="6" t="str">
        <f t="shared" si="72"/>
        <v>OK</v>
      </c>
    </row>
    <row r="3534" spans="1:48" ht="14.65" thickBot="1" x14ac:dyDescent="0.5">
      <c r="A3534" s="41" t="s">
        <v>33</v>
      </c>
      <c r="B3534" s="50" t="s">
        <v>3800</v>
      </c>
      <c r="C3534" s="12"/>
      <c r="D3534" s="20"/>
      <c r="E3534" s="20"/>
      <c r="F3534" s="20"/>
      <c r="G3534" s="12"/>
      <c r="H3534" s="20"/>
      <c r="J3534" s="18" t="s">
        <v>2473</v>
      </c>
      <c r="K3534" s="18" t="s">
        <v>2473</v>
      </c>
      <c r="Z3534" s="183"/>
      <c r="AV3534" s="6" t="str">
        <f t="shared" si="72"/>
        <v/>
      </c>
    </row>
    <row r="3535" spans="1:48" ht="105" thickBot="1" x14ac:dyDescent="0.5">
      <c r="A3535" s="44" t="s">
        <v>2829</v>
      </c>
      <c r="B3535" s="50" t="s">
        <v>5342</v>
      </c>
      <c r="C3535" s="12"/>
      <c r="D3535" s="20"/>
      <c r="E3535" s="20"/>
      <c r="F3535" s="20"/>
      <c r="G3535" s="12" t="s">
        <v>13</v>
      </c>
      <c r="H3535" s="20"/>
      <c r="J3535" s="18" t="s">
        <v>2473</v>
      </c>
      <c r="K3535" s="18" t="s">
        <v>2473</v>
      </c>
      <c r="R3535" s="122" t="s">
        <v>3435</v>
      </c>
      <c r="S3535" s="114" t="s">
        <v>3437</v>
      </c>
      <c r="T3535" s="114" t="s">
        <v>2829</v>
      </c>
      <c r="U3535" s="114"/>
      <c r="V3535" s="114" t="s">
        <v>3450</v>
      </c>
      <c r="W3535" s="114" t="s">
        <v>3436</v>
      </c>
      <c r="X3535" s="114" t="s">
        <v>13</v>
      </c>
      <c r="Y3535" s="149"/>
      <c r="Z3535" s="183" t="s">
        <v>4</v>
      </c>
      <c r="AA3535" s="183"/>
      <c r="AB3535" s="183" t="s">
        <v>4354</v>
      </c>
      <c r="AC3535" s="183" t="s">
        <v>6</v>
      </c>
      <c r="AD3535" s="183" t="s">
        <v>4773</v>
      </c>
      <c r="AE3535" s="184"/>
      <c r="AF3535" s="184"/>
      <c r="AG3535" s="183" t="s">
        <v>4355</v>
      </c>
      <c r="AH3535" s="249" t="s">
        <v>5850</v>
      </c>
      <c r="AI3535" s="183" t="str">
        <f>"true"</f>
        <v>true</v>
      </c>
      <c r="AJ3535" s="183"/>
      <c r="AK3535" s="183"/>
      <c r="AL3535" s="183"/>
      <c r="AM3535" s="183"/>
      <c r="AN3535" s="131"/>
      <c r="AO3535" s="131"/>
      <c r="AP3535" s="131"/>
      <c r="AQ3535" s="131"/>
      <c r="AR3535" s="288"/>
      <c r="AS3535" s="268" t="s">
        <v>5852</v>
      </c>
      <c r="AT3535" s="234" t="s">
        <v>5323</v>
      </c>
      <c r="AU3535" s="202" t="s">
        <v>5282</v>
      </c>
      <c r="AV3535" s="6" t="str">
        <f t="shared" si="72"/>
        <v>OK</v>
      </c>
    </row>
    <row r="3536" spans="1:48" ht="14.65" thickBot="1" x14ac:dyDescent="0.5">
      <c r="A3536" s="41" t="s">
        <v>33</v>
      </c>
      <c r="B3536" s="50" t="s">
        <v>2347</v>
      </c>
      <c r="C3536" s="12"/>
      <c r="D3536" s="20"/>
      <c r="E3536" s="20"/>
      <c r="F3536" s="20"/>
      <c r="G3536" s="12"/>
      <c r="H3536" s="20"/>
      <c r="J3536" s="18" t="s">
        <v>2473</v>
      </c>
      <c r="K3536" s="18" t="s">
        <v>2473</v>
      </c>
      <c r="Z3536" s="183"/>
      <c r="AV3536" s="6" t="str">
        <f t="shared" si="72"/>
        <v/>
      </c>
    </row>
    <row r="3537" spans="1:48" ht="70.150000000000006" thickBot="1" x14ac:dyDescent="0.5">
      <c r="A3537" s="44" t="s">
        <v>4142</v>
      </c>
      <c r="B3537" s="50" t="s">
        <v>4143</v>
      </c>
      <c r="C3537" s="12"/>
      <c r="D3537" s="20"/>
      <c r="E3537" s="20"/>
      <c r="F3537" s="20"/>
      <c r="G3537" s="12" t="s">
        <v>13</v>
      </c>
      <c r="H3537" s="20"/>
      <c r="J3537" s="18" t="s">
        <v>2473</v>
      </c>
      <c r="K3537" s="18" t="s">
        <v>2473</v>
      </c>
      <c r="R3537" s="122" t="s">
        <v>3435</v>
      </c>
      <c r="S3537" s="114" t="s">
        <v>3437</v>
      </c>
      <c r="T3537" s="114" t="s">
        <v>4142</v>
      </c>
      <c r="U3537" s="114"/>
      <c r="V3537" s="114" t="s">
        <v>4167</v>
      </c>
      <c r="W3537" s="114" t="s">
        <v>3436</v>
      </c>
      <c r="X3537" s="114" t="s">
        <v>13</v>
      </c>
      <c r="Y3537" s="149"/>
      <c r="Z3537" s="183" t="s">
        <v>4</v>
      </c>
      <c r="AA3537" s="183"/>
      <c r="AB3537" s="183" t="s">
        <v>4348</v>
      </c>
      <c r="AC3537" s="183"/>
      <c r="AD3537" s="183" t="s">
        <v>4776</v>
      </c>
      <c r="AE3537" s="184"/>
      <c r="AF3537" s="184"/>
      <c r="AG3537" s="183"/>
      <c r="AH3537" s="183"/>
      <c r="AI3537" s="183"/>
      <c r="AJ3537" s="183"/>
      <c r="AK3537" s="183"/>
      <c r="AL3537" s="183"/>
      <c r="AM3537" s="183"/>
      <c r="AN3537" s="131"/>
      <c r="AO3537" s="131"/>
      <c r="AP3537" s="131"/>
      <c r="AQ3537" s="131"/>
      <c r="AR3537" s="288"/>
      <c r="AS3537" s="259"/>
      <c r="AT3537" s="234" t="s">
        <v>5313</v>
      </c>
      <c r="AV3537" s="6" t="str">
        <f t="shared" si="72"/>
        <v>OK</v>
      </c>
    </row>
    <row r="3538" spans="1:48" ht="36" thickBot="1" x14ac:dyDescent="0.5">
      <c r="A3538" s="41" t="s">
        <v>4135</v>
      </c>
      <c r="B3538" s="50" t="s">
        <v>3801</v>
      </c>
      <c r="C3538" s="12"/>
      <c r="D3538" s="20"/>
      <c r="E3538" s="20"/>
      <c r="F3538" s="20"/>
      <c r="G3538" s="12" t="s">
        <v>10</v>
      </c>
      <c r="H3538" s="20"/>
      <c r="J3538" s="18" t="s">
        <v>2473</v>
      </c>
      <c r="K3538" s="18" t="s">
        <v>2473</v>
      </c>
      <c r="Q3538" s="8" t="s">
        <v>4167</v>
      </c>
      <c r="R3538" s="122" t="s">
        <v>3529</v>
      </c>
      <c r="S3538" s="114" t="s">
        <v>4</v>
      </c>
      <c r="T3538" s="114" t="s">
        <v>4172</v>
      </c>
      <c r="U3538" s="114" t="s">
        <v>3521</v>
      </c>
      <c r="V3538" s="114" t="s">
        <v>3530</v>
      </c>
      <c r="W3538" s="114" t="s">
        <v>3436</v>
      </c>
      <c r="X3538" s="114" t="s">
        <v>13</v>
      </c>
      <c r="Y3538" s="149"/>
      <c r="Z3538" s="183" t="s">
        <v>4</v>
      </c>
      <c r="AA3538" s="183" t="s">
        <v>4142</v>
      </c>
      <c r="AB3538" s="183" t="s">
        <v>758</v>
      </c>
      <c r="AC3538" s="183" t="s">
        <v>6</v>
      </c>
      <c r="AD3538" s="183"/>
      <c r="AE3538" s="184"/>
      <c r="AF3538" s="184"/>
      <c r="AG3538" s="183"/>
      <c r="AH3538" s="183"/>
      <c r="AI3538" s="183"/>
      <c r="AJ3538" s="183"/>
      <c r="AK3538" s="183"/>
      <c r="AL3538" s="183"/>
      <c r="AM3538" s="183"/>
      <c r="AN3538" s="131"/>
      <c r="AO3538" s="131"/>
      <c r="AP3538" s="131"/>
      <c r="AQ3538" s="131"/>
      <c r="AR3538" s="288"/>
      <c r="AS3538" s="259"/>
      <c r="AT3538" s="183"/>
      <c r="AV3538" s="6" t="str">
        <f t="shared" si="72"/>
        <v>OK</v>
      </c>
    </row>
    <row r="3539" spans="1:48" ht="36" thickBot="1" x14ac:dyDescent="0.5">
      <c r="A3539" s="41" t="s">
        <v>4136</v>
      </c>
      <c r="B3539" s="50" t="s">
        <v>3636</v>
      </c>
      <c r="C3539" s="12"/>
      <c r="D3539" s="20"/>
      <c r="E3539" s="20"/>
      <c r="F3539" s="20"/>
      <c r="G3539" s="12" t="s">
        <v>10</v>
      </c>
      <c r="H3539" s="20"/>
      <c r="J3539" s="18" t="s">
        <v>2473</v>
      </c>
      <c r="K3539" s="18" t="s">
        <v>2473</v>
      </c>
      <c r="Q3539" s="8" t="s">
        <v>4167</v>
      </c>
      <c r="R3539" s="122" t="s">
        <v>3529</v>
      </c>
      <c r="S3539" s="114" t="s">
        <v>4</v>
      </c>
      <c r="T3539" s="114" t="s">
        <v>1697</v>
      </c>
      <c r="U3539" s="114" t="s">
        <v>3521</v>
      </c>
      <c r="V3539" s="114" t="s">
        <v>3530</v>
      </c>
      <c r="W3539" s="114" t="s">
        <v>3436</v>
      </c>
      <c r="X3539" s="114" t="s">
        <v>13</v>
      </c>
      <c r="Y3539" s="149"/>
      <c r="Z3539" s="183" t="s">
        <v>4</v>
      </c>
      <c r="AA3539" s="183" t="s">
        <v>4142</v>
      </c>
      <c r="AB3539" s="183" t="s">
        <v>758</v>
      </c>
      <c r="AC3539" s="183" t="s">
        <v>6</v>
      </c>
      <c r="AD3539" s="183"/>
      <c r="AE3539" s="184"/>
      <c r="AF3539" s="184"/>
      <c r="AG3539" s="183"/>
      <c r="AH3539" s="183"/>
      <c r="AI3539" s="183"/>
      <c r="AJ3539" s="183"/>
      <c r="AK3539" s="183"/>
      <c r="AL3539" s="183"/>
      <c r="AM3539" s="183"/>
      <c r="AN3539" s="131"/>
      <c r="AO3539" s="131"/>
      <c r="AP3539" s="131"/>
      <c r="AQ3539" s="131"/>
      <c r="AR3539" s="288"/>
      <c r="AS3539" s="259"/>
      <c r="AT3539" s="183"/>
      <c r="AV3539" s="6" t="str">
        <f t="shared" si="72"/>
        <v>OK</v>
      </c>
    </row>
    <row r="3540" spans="1:48" ht="36" thickBot="1" x14ac:dyDescent="0.5">
      <c r="A3540" s="41" t="s">
        <v>2877</v>
      </c>
      <c r="B3540" s="50" t="s">
        <v>4144</v>
      </c>
      <c r="C3540" s="12"/>
      <c r="D3540" s="20"/>
      <c r="E3540" s="20"/>
      <c r="F3540" s="20"/>
      <c r="G3540" s="12" t="s">
        <v>10</v>
      </c>
      <c r="H3540" s="20"/>
      <c r="J3540" s="18" t="s">
        <v>2473</v>
      </c>
      <c r="K3540" s="18" t="s">
        <v>2473</v>
      </c>
      <c r="Q3540" s="8" t="s">
        <v>4167</v>
      </c>
      <c r="R3540" s="122" t="s">
        <v>3529</v>
      </c>
      <c r="S3540" s="114" t="s">
        <v>4</v>
      </c>
      <c r="T3540" s="114" t="s">
        <v>3457</v>
      </c>
      <c r="U3540" s="114" t="s">
        <v>3521</v>
      </c>
      <c r="V3540" s="114" t="s">
        <v>3530</v>
      </c>
      <c r="W3540" s="114" t="s">
        <v>3436</v>
      </c>
      <c r="X3540" s="114" t="s">
        <v>13</v>
      </c>
      <c r="Y3540" s="149"/>
      <c r="Z3540" s="183" t="s">
        <v>4</v>
      </c>
      <c r="AA3540" s="183" t="s">
        <v>4142</v>
      </c>
      <c r="AB3540" s="183" t="s">
        <v>4358</v>
      </c>
      <c r="AC3540" s="183" t="s">
        <v>6</v>
      </c>
      <c r="AD3540" s="183"/>
      <c r="AE3540" s="184"/>
      <c r="AF3540" s="184"/>
      <c r="AG3540" s="183"/>
      <c r="AH3540" s="183"/>
      <c r="AI3540" s="183"/>
      <c r="AJ3540" s="183"/>
      <c r="AK3540" s="183"/>
      <c r="AL3540" s="183"/>
      <c r="AM3540" s="183"/>
      <c r="AN3540" s="131"/>
      <c r="AO3540" s="131"/>
      <c r="AP3540" s="131"/>
      <c r="AQ3540" s="131"/>
      <c r="AR3540" s="288"/>
      <c r="AS3540" s="259"/>
      <c r="AT3540" s="183"/>
      <c r="AV3540" s="6" t="str">
        <f t="shared" si="72"/>
        <v>OK</v>
      </c>
    </row>
    <row r="3541" spans="1:48" ht="36" thickBot="1" x14ac:dyDescent="0.5">
      <c r="A3541" s="41" t="s">
        <v>2812</v>
      </c>
      <c r="B3541" s="50" t="s">
        <v>3637</v>
      </c>
      <c r="C3541" s="12"/>
      <c r="D3541" s="20"/>
      <c r="E3541" s="20"/>
      <c r="F3541" s="20"/>
      <c r="G3541" s="12" t="s">
        <v>37</v>
      </c>
      <c r="H3541" s="20"/>
      <c r="J3541" s="18" t="s">
        <v>2473</v>
      </c>
      <c r="K3541" s="18" t="s">
        <v>2473</v>
      </c>
      <c r="Q3541" s="8" t="s">
        <v>4167</v>
      </c>
      <c r="R3541" s="122" t="s">
        <v>3529</v>
      </c>
      <c r="S3541" s="114" t="s">
        <v>4</v>
      </c>
      <c r="T3541" s="114" t="s">
        <v>3458</v>
      </c>
      <c r="U3541" s="114" t="s">
        <v>3521</v>
      </c>
      <c r="V3541" s="114" t="s">
        <v>3530</v>
      </c>
      <c r="W3541" s="114" t="s">
        <v>3436</v>
      </c>
      <c r="X3541" s="114" t="s">
        <v>13</v>
      </c>
      <c r="Y3541" s="149"/>
      <c r="Z3541" s="183" t="s">
        <v>4</v>
      </c>
      <c r="AA3541" s="183" t="s">
        <v>4142</v>
      </c>
      <c r="AB3541" s="183" t="s">
        <v>758</v>
      </c>
      <c r="AC3541" s="183" t="s">
        <v>6</v>
      </c>
      <c r="AD3541" s="183"/>
      <c r="AE3541" s="184"/>
      <c r="AF3541" s="184"/>
      <c r="AG3541" s="183"/>
      <c r="AH3541" s="183"/>
      <c r="AI3541" s="183"/>
      <c r="AJ3541" s="183"/>
      <c r="AK3541" s="183"/>
      <c r="AL3541" s="183"/>
      <c r="AM3541" s="183"/>
      <c r="AN3541" s="131"/>
      <c r="AO3541" s="131"/>
      <c r="AP3541" s="131"/>
      <c r="AQ3541" s="131"/>
      <c r="AR3541" s="288"/>
      <c r="AS3541" s="259"/>
      <c r="AT3541" s="183"/>
      <c r="AV3541" s="6" t="str">
        <f t="shared" si="72"/>
        <v>OK</v>
      </c>
    </row>
    <row r="3542" spans="1:48" ht="116.65" thickBot="1" x14ac:dyDescent="0.5">
      <c r="A3542" s="44" t="s">
        <v>2348</v>
      </c>
      <c r="B3542" s="50" t="s">
        <v>3639</v>
      </c>
      <c r="C3542" s="12"/>
      <c r="D3542" s="20"/>
      <c r="E3542" s="20"/>
      <c r="F3542" s="20"/>
      <c r="G3542" s="12" t="s">
        <v>13</v>
      </c>
      <c r="H3542" s="20"/>
      <c r="J3542" s="18" t="s">
        <v>2473</v>
      </c>
      <c r="K3542" s="18" t="s">
        <v>2473</v>
      </c>
      <c r="R3542" s="122" t="s">
        <v>3435</v>
      </c>
      <c r="S3542" s="114" t="s">
        <v>3437</v>
      </c>
      <c r="T3542" s="114" t="s">
        <v>2348</v>
      </c>
      <c r="U3542" s="114"/>
      <c r="V3542" s="114" t="s">
        <v>3451</v>
      </c>
      <c r="W3542" s="114" t="s">
        <v>3436</v>
      </c>
      <c r="X3542" s="114" t="s">
        <v>13</v>
      </c>
      <c r="Y3542" s="149"/>
      <c r="Z3542" s="183" t="s">
        <v>4</v>
      </c>
      <c r="AA3542" s="183"/>
      <c r="AB3542" s="183" t="s">
        <v>4354</v>
      </c>
      <c r="AC3542" s="183" t="s">
        <v>6</v>
      </c>
      <c r="AD3542" s="183" t="s">
        <v>4774</v>
      </c>
      <c r="AE3542" s="184"/>
      <c r="AF3542" s="184"/>
      <c r="AG3542" s="183" t="s">
        <v>4355</v>
      </c>
      <c r="AH3542" s="183" t="s">
        <v>5279</v>
      </c>
      <c r="AI3542" s="183" t="str">
        <f>"true"</f>
        <v>true</v>
      </c>
      <c r="AJ3542" s="183"/>
      <c r="AK3542" s="183"/>
      <c r="AL3542" s="183"/>
      <c r="AM3542" s="183"/>
      <c r="AN3542" s="131"/>
      <c r="AO3542" s="131"/>
      <c r="AP3542" s="131"/>
      <c r="AQ3542" s="131"/>
      <c r="AR3542" s="288"/>
      <c r="AS3542" s="269" t="s">
        <v>5377</v>
      </c>
      <c r="AT3542" s="234" t="s">
        <v>5313</v>
      </c>
      <c r="AU3542" s="202" t="s">
        <v>5281</v>
      </c>
      <c r="AV3542" s="6" t="str">
        <f t="shared" si="72"/>
        <v>OK</v>
      </c>
    </row>
    <row r="3543" spans="1:48" ht="14.65" thickBot="1" x14ac:dyDescent="0.5">
      <c r="A3543" s="41" t="s">
        <v>33</v>
      </c>
      <c r="B3543" s="50" t="s">
        <v>3638</v>
      </c>
      <c r="C3543" s="12"/>
      <c r="D3543" s="20"/>
      <c r="E3543" s="20"/>
      <c r="F3543" s="20"/>
      <c r="G3543" s="12"/>
      <c r="H3543" s="20"/>
      <c r="J3543" s="18" t="s">
        <v>2473</v>
      </c>
      <c r="K3543" s="18" t="s">
        <v>2473</v>
      </c>
      <c r="Z3543" s="183"/>
      <c r="AV3543" s="6" t="str">
        <f t="shared" si="72"/>
        <v/>
      </c>
    </row>
    <row r="3544" spans="1:48" ht="70.150000000000006" thickBot="1" x14ac:dyDescent="0.5">
      <c r="A3544" s="44" t="s">
        <v>3459</v>
      </c>
      <c r="B3544" s="50" t="s">
        <v>4134</v>
      </c>
      <c r="C3544" s="12"/>
      <c r="D3544" s="20"/>
      <c r="E3544" s="20"/>
      <c r="F3544" s="20"/>
      <c r="G3544" s="12" t="s">
        <v>13</v>
      </c>
      <c r="H3544" s="20"/>
      <c r="J3544" s="18" t="s">
        <v>2473</v>
      </c>
      <c r="K3544" s="18" t="s">
        <v>2473</v>
      </c>
      <c r="R3544" s="122" t="s">
        <v>3435</v>
      </c>
      <c r="S3544" s="114" t="s">
        <v>3437</v>
      </c>
      <c r="T3544" s="114" t="s">
        <v>3459</v>
      </c>
      <c r="U3544" s="114"/>
      <c r="V3544" s="114" t="s">
        <v>4168</v>
      </c>
      <c r="W3544" s="114" t="s">
        <v>3436</v>
      </c>
      <c r="X3544" s="114" t="s">
        <v>13</v>
      </c>
      <c r="Y3544" s="149"/>
      <c r="Z3544" s="183" t="s">
        <v>4</v>
      </c>
      <c r="AA3544" s="183"/>
      <c r="AB3544" s="183" t="s">
        <v>4348</v>
      </c>
      <c r="AC3544" s="183"/>
      <c r="AD3544" s="183" t="s">
        <v>4777</v>
      </c>
      <c r="AE3544" s="184"/>
      <c r="AF3544" s="184"/>
      <c r="AG3544" s="183"/>
      <c r="AH3544" s="183"/>
      <c r="AI3544" s="183"/>
      <c r="AJ3544" s="183"/>
      <c r="AK3544" s="183"/>
      <c r="AL3544" s="183"/>
      <c r="AM3544" s="183"/>
      <c r="AN3544" s="131"/>
      <c r="AO3544" s="131"/>
      <c r="AP3544" s="131"/>
      <c r="AQ3544" s="131"/>
      <c r="AR3544" s="288"/>
      <c r="AS3544" s="259"/>
      <c r="AT3544" s="234" t="s">
        <v>5313</v>
      </c>
      <c r="AV3544" s="6" t="str">
        <f t="shared" si="72"/>
        <v>OK</v>
      </c>
    </row>
    <row r="3545" spans="1:48" ht="70.150000000000006" thickBot="1" x14ac:dyDescent="0.5">
      <c r="A3545" s="41" t="s">
        <v>4135</v>
      </c>
      <c r="B3545" s="50" t="s">
        <v>4137</v>
      </c>
      <c r="C3545" s="12"/>
      <c r="D3545" s="20"/>
      <c r="E3545" s="20"/>
      <c r="F3545" s="20"/>
      <c r="G3545" s="12" t="s">
        <v>10</v>
      </c>
      <c r="H3545" s="20"/>
      <c r="J3545" s="18" t="s">
        <v>2473</v>
      </c>
      <c r="K3545" s="18" t="s">
        <v>2473</v>
      </c>
      <c r="Q3545" s="8" t="s">
        <v>4168</v>
      </c>
      <c r="R3545" s="122" t="s">
        <v>3529</v>
      </c>
      <c r="S3545" s="114" t="s">
        <v>4</v>
      </c>
      <c r="T3545" s="114" t="s">
        <v>4172</v>
      </c>
      <c r="U3545" s="114" t="s">
        <v>3521</v>
      </c>
      <c r="V3545" s="114" t="s">
        <v>3530</v>
      </c>
      <c r="W3545" s="114" t="s">
        <v>3436</v>
      </c>
      <c r="X3545" s="114" t="s">
        <v>13</v>
      </c>
      <c r="Y3545" s="149"/>
      <c r="Z3545" s="183" t="s">
        <v>4</v>
      </c>
      <c r="AA3545" s="183" t="s">
        <v>3459</v>
      </c>
      <c r="AB3545" s="183" t="s">
        <v>758</v>
      </c>
      <c r="AC3545" s="183" t="s">
        <v>6</v>
      </c>
      <c r="AD3545" s="183" t="s">
        <v>4778</v>
      </c>
      <c r="AE3545" s="184"/>
      <c r="AF3545" s="184"/>
      <c r="AG3545" s="183"/>
      <c r="AH3545" s="183"/>
      <c r="AI3545" s="183"/>
      <c r="AJ3545" s="183"/>
      <c r="AK3545" s="183"/>
      <c r="AL3545" s="183"/>
      <c r="AM3545" s="183"/>
      <c r="AN3545" s="131"/>
      <c r="AO3545" s="131"/>
      <c r="AP3545" s="131"/>
      <c r="AQ3545" s="131"/>
      <c r="AR3545" s="288"/>
      <c r="AS3545" s="259"/>
      <c r="AT3545" s="183"/>
      <c r="AV3545" s="6" t="str">
        <f t="shared" si="72"/>
        <v>OK</v>
      </c>
    </row>
    <row r="3546" spans="1:48" ht="46.9" thickBot="1" x14ac:dyDescent="0.5">
      <c r="A3546" s="41" t="s">
        <v>4136</v>
      </c>
      <c r="B3546" s="50" t="s">
        <v>3640</v>
      </c>
      <c r="C3546" s="12"/>
      <c r="D3546" s="20"/>
      <c r="E3546" s="20"/>
      <c r="F3546" s="20"/>
      <c r="G3546" s="12" t="s">
        <v>10</v>
      </c>
      <c r="H3546" s="20"/>
      <c r="J3546" s="18" t="s">
        <v>2473</v>
      </c>
      <c r="K3546" s="18" t="s">
        <v>2473</v>
      </c>
      <c r="Q3546" s="8" t="s">
        <v>4168</v>
      </c>
      <c r="R3546" s="122" t="s">
        <v>3529</v>
      </c>
      <c r="S3546" s="114" t="s">
        <v>4</v>
      </c>
      <c r="T3546" s="114" t="s">
        <v>1697</v>
      </c>
      <c r="U3546" s="114" t="s">
        <v>3521</v>
      </c>
      <c r="V3546" s="114" t="s">
        <v>3530</v>
      </c>
      <c r="W3546" s="114" t="s">
        <v>3436</v>
      </c>
      <c r="X3546" s="114" t="s">
        <v>13</v>
      </c>
      <c r="Y3546" s="149"/>
      <c r="Z3546" s="183" t="s">
        <v>4</v>
      </c>
      <c r="AA3546" s="183" t="s">
        <v>3459</v>
      </c>
      <c r="AB3546" s="183" t="s">
        <v>758</v>
      </c>
      <c r="AC3546" s="183" t="s">
        <v>6</v>
      </c>
      <c r="AD3546" s="183" t="s">
        <v>4779</v>
      </c>
      <c r="AE3546" s="184"/>
      <c r="AF3546" s="184"/>
      <c r="AG3546" s="183"/>
      <c r="AH3546" s="183"/>
      <c r="AI3546" s="183"/>
      <c r="AJ3546" s="183"/>
      <c r="AK3546" s="183"/>
      <c r="AL3546" s="183"/>
      <c r="AM3546" s="183"/>
      <c r="AN3546" s="131"/>
      <c r="AO3546" s="131"/>
      <c r="AP3546" s="131"/>
      <c r="AQ3546" s="131"/>
      <c r="AR3546" s="288"/>
      <c r="AS3546" s="259"/>
      <c r="AT3546" s="183"/>
      <c r="AV3546" s="6" t="str">
        <f t="shared" si="72"/>
        <v>OK</v>
      </c>
    </row>
    <row r="3547" spans="1:48" ht="24.4" thickBot="1" x14ac:dyDescent="0.5">
      <c r="A3547" s="41" t="s">
        <v>2633</v>
      </c>
      <c r="B3547" s="50" t="s">
        <v>3990</v>
      </c>
      <c r="C3547" s="12"/>
      <c r="D3547" s="20"/>
      <c r="E3547" s="20"/>
      <c r="F3547" s="20"/>
      <c r="G3547" s="12"/>
      <c r="H3547" s="20"/>
      <c r="J3547" s="18" t="s">
        <v>2473</v>
      </c>
      <c r="K3547" s="18" t="s">
        <v>2473</v>
      </c>
      <c r="Q3547" s="8" t="s">
        <v>4168</v>
      </c>
      <c r="R3547" s="122" t="s">
        <v>3529</v>
      </c>
      <c r="S3547" s="114" t="s">
        <v>4</v>
      </c>
      <c r="T3547" s="114" t="s">
        <v>3460</v>
      </c>
      <c r="U3547" s="114" t="s">
        <v>3521</v>
      </c>
      <c r="V3547" s="114" t="s">
        <v>3530</v>
      </c>
      <c r="W3547" s="114" t="s">
        <v>3436</v>
      </c>
      <c r="X3547" s="114" t="s">
        <v>13</v>
      </c>
      <c r="Y3547" s="149"/>
      <c r="Z3547" s="183" t="s">
        <v>4</v>
      </c>
      <c r="AA3547" s="183" t="s">
        <v>3459</v>
      </c>
      <c r="AB3547" s="183" t="s">
        <v>4358</v>
      </c>
      <c r="AC3547" s="183" t="s">
        <v>6</v>
      </c>
      <c r="AD3547" s="183"/>
      <c r="AE3547" s="184"/>
      <c r="AF3547" s="184"/>
      <c r="AG3547" s="183"/>
      <c r="AH3547" s="183"/>
      <c r="AI3547" s="183"/>
      <c r="AJ3547" s="183"/>
      <c r="AK3547" s="183"/>
      <c r="AL3547" s="183"/>
      <c r="AM3547" s="183"/>
      <c r="AN3547" s="131"/>
      <c r="AO3547" s="131"/>
      <c r="AP3547" s="131"/>
      <c r="AQ3547" s="131"/>
      <c r="AR3547" s="288"/>
      <c r="AS3547" s="259"/>
      <c r="AT3547" s="183"/>
      <c r="AV3547" s="6" t="str">
        <f t="shared" si="72"/>
        <v>OK</v>
      </c>
    </row>
    <row r="3548" spans="1:48" ht="70.150000000000006" thickBot="1" x14ac:dyDescent="0.5">
      <c r="A3548" s="41" t="s">
        <v>2877</v>
      </c>
      <c r="B3548" s="50" t="s">
        <v>4138</v>
      </c>
      <c r="C3548" s="12"/>
      <c r="D3548" s="20"/>
      <c r="E3548" s="20"/>
      <c r="F3548" s="20"/>
      <c r="G3548" s="12" t="s">
        <v>10</v>
      </c>
      <c r="H3548" s="20"/>
      <c r="J3548" s="18" t="s">
        <v>2473</v>
      </c>
      <c r="K3548" s="18" t="s">
        <v>2473</v>
      </c>
      <c r="Q3548" s="8" t="s">
        <v>4168</v>
      </c>
      <c r="R3548" s="122" t="s">
        <v>3529</v>
      </c>
      <c r="S3548" s="114" t="s">
        <v>4</v>
      </c>
      <c r="T3548" s="114" t="s">
        <v>3457</v>
      </c>
      <c r="U3548" s="114" t="s">
        <v>3521</v>
      </c>
      <c r="V3548" s="114" t="s">
        <v>3530</v>
      </c>
      <c r="W3548" s="114" t="s">
        <v>3436</v>
      </c>
      <c r="X3548" s="114" t="s">
        <v>13</v>
      </c>
      <c r="Y3548" s="149"/>
      <c r="Z3548" s="183" t="s">
        <v>4</v>
      </c>
      <c r="AA3548" s="183" t="s">
        <v>3459</v>
      </c>
      <c r="AB3548" s="183" t="s">
        <v>4358</v>
      </c>
      <c r="AC3548" s="183" t="s">
        <v>6</v>
      </c>
      <c r="AD3548" s="183" t="s">
        <v>4780</v>
      </c>
      <c r="AE3548" s="184"/>
      <c r="AF3548" s="184"/>
      <c r="AG3548" s="183"/>
      <c r="AH3548" s="183"/>
      <c r="AI3548" s="183"/>
      <c r="AJ3548" s="183"/>
      <c r="AK3548" s="183"/>
      <c r="AL3548" s="183"/>
      <c r="AM3548" s="183"/>
      <c r="AN3548" s="131"/>
      <c r="AO3548" s="131"/>
      <c r="AP3548" s="131"/>
      <c r="AQ3548" s="131"/>
      <c r="AR3548" s="288"/>
      <c r="AS3548" s="259"/>
      <c r="AT3548" s="183"/>
      <c r="AV3548" s="6" t="str">
        <f t="shared" si="72"/>
        <v>OK</v>
      </c>
    </row>
    <row r="3549" spans="1:48" ht="70.150000000000006" thickBot="1" x14ac:dyDescent="0.5">
      <c r="A3549" s="41" t="s">
        <v>2812</v>
      </c>
      <c r="B3549" s="50" t="s">
        <v>3802</v>
      </c>
      <c r="C3549" s="12"/>
      <c r="D3549" s="20"/>
      <c r="E3549" s="20"/>
      <c r="F3549" s="20"/>
      <c r="G3549" s="12" t="s">
        <v>37</v>
      </c>
      <c r="H3549" s="20"/>
      <c r="J3549" s="18" t="s">
        <v>2473</v>
      </c>
      <c r="K3549" s="18" t="s">
        <v>2473</v>
      </c>
      <c r="Q3549" s="8" t="s">
        <v>4168</v>
      </c>
      <c r="R3549" s="122" t="s">
        <v>3529</v>
      </c>
      <c r="S3549" s="114" t="s">
        <v>4</v>
      </c>
      <c r="T3549" s="114" t="s">
        <v>3458</v>
      </c>
      <c r="U3549" s="114" t="s">
        <v>3521</v>
      </c>
      <c r="V3549" s="114" t="s">
        <v>3530</v>
      </c>
      <c r="W3549" s="114" t="s">
        <v>3436</v>
      </c>
      <c r="X3549" s="114" t="s">
        <v>13</v>
      </c>
      <c r="Y3549" s="149"/>
      <c r="Z3549" s="183" t="s">
        <v>4</v>
      </c>
      <c r="AA3549" s="183" t="s">
        <v>3459</v>
      </c>
      <c r="AB3549" s="183" t="s">
        <v>758</v>
      </c>
      <c r="AC3549" s="183" t="s">
        <v>6</v>
      </c>
      <c r="AD3549" s="183" t="s">
        <v>4781</v>
      </c>
      <c r="AE3549" s="184"/>
      <c r="AF3549" s="184"/>
      <c r="AG3549" s="183"/>
      <c r="AH3549" s="183"/>
      <c r="AI3549" s="183"/>
      <c r="AJ3549" s="183"/>
      <c r="AK3549" s="183"/>
      <c r="AL3549" s="183"/>
      <c r="AM3549" s="183"/>
      <c r="AN3549" s="131"/>
      <c r="AO3549" s="131"/>
      <c r="AP3549" s="131"/>
      <c r="AQ3549" s="131"/>
      <c r="AR3549" s="288"/>
      <c r="AS3549" s="259"/>
      <c r="AT3549" s="183"/>
      <c r="AV3549" s="6" t="str">
        <f t="shared" si="72"/>
        <v>OK</v>
      </c>
    </row>
    <row r="3550" spans="1:48" ht="105" thickBot="1" x14ac:dyDescent="0.5">
      <c r="A3550" s="44" t="s">
        <v>2349</v>
      </c>
      <c r="B3550" s="50" t="s">
        <v>3641</v>
      </c>
      <c r="C3550" s="12"/>
      <c r="D3550" s="20"/>
      <c r="E3550" s="20"/>
      <c r="F3550" s="20"/>
      <c r="G3550" s="12" t="s">
        <v>13</v>
      </c>
      <c r="H3550" s="20"/>
      <c r="J3550" s="18" t="s">
        <v>2473</v>
      </c>
      <c r="K3550" s="18" t="s">
        <v>2473</v>
      </c>
      <c r="R3550" s="122" t="s">
        <v>3435</v>
      </c>
      <c r="S3550" s="114" t="s">
        <v>3437</v>
      </c>
      <c r="T3550" s="114" t="s">
        <v>2349</v>
      </c>
      <c r="U3550" s="114"/>
      <c r="V3550" s="114" t="s">
        <v>3450</v>
      </c>
      <c r="W3550" s="114" t="s">
        <v>3436</v>
      </c>
      <c r="X3550" s="114" t="s">
        <v>13</v>
      </c>
      <c r="Y3550" s="149"/>
      <c r="Z3550" s="183" t="s">
        <v>4</v>
      </c>
      <c r="AA3550" s="183"/>
      <c r="AB3550" s="183" t="s">
        <v>4354</v>
      </c>
      <c r="AC3550" s="183" t="s">
        <v>6</v>
      </c>
      <c r="AD3550" s="183" t="s">
        <v>4775</v>
      </c>
      <c r="AE3550" s="184"/>
      <c r="AF3550" s="184"/>
      <c r="AG3550" s="183" t="s">
        <v>4355</v>
      </c>
      <c r="AH3550" s="183" t="s">
        <v>5280</v>
      </c>
      <c r="AI3550" s="183" t="str">
        <f>"true"</f>
        <v>true</v>
      </c>
      <c r="AJ3550" s="183"/>
      <c r="AK3550" s="183"/>
      <c r="AL3550" s="183"/>
      <c r="AM3550" s="183"/>
      <c r="AN3550" s="131"/>
      <c r="AO3550" s="131"/>
      <c r="AP3550" s="131"/>
      <c r="AQ3550" s="131"/>
      <c r="AR3550" s="288"/>
      <c r="AS3550" s="259"/>
      <c r="AT3550" s="234" t="s">
        <v>5313</v>
      </c>
      <c r="AU3550" s="202" t="s">
        <v>5281</v>
      </c>
      <c r="AV3550" s="6" t="str">
        <f t="shared" si="72"/>
        <v>OK</v>
      </c>
    </row>
    <row r="3551" spans="1:48" ht="14.65" thickBot="1" x14ac:dyDescent="0.5">
      <c r="A3551" s="41" t="s">
        <v>33</v>
      </c>
      <c r="B3551" s="50" t="s">
        <v>3642</v>
      </c>
      <c r="C3551" s="12"/>
      <c r="D3551" s="20"/>
      <c r="E3551" s="20"/>
      <c r="F3551" s="20"/>
      <c r="G3551" s="12"/>
      <c r="H3551" s="20"/>
      <c r="J3551" s="18" t="s">
        <v>2473</v>
      </c>
      <c r="K3551" s="18" t="s">
        <v>2473</v>
      </c>
      <c r="Z3551" s="183"/>
      <c r="AV3551" s="6" t="str">
        <f t="shared" si="72"/>
        <v/>
      </c>
    </row>
    <row r="3552" spans="1:48" ht="82.5" thickBot="1" x14ac:dyDescent="0.5">
      <c r="A3552" s="44" t="s">
        <v>75</v>
      </c>
      <c r="B3552" s="50" t="s">
        <v>76</v>
      </c>
      <c r="C3552" s="12"/>
      <c r="D3552" s="20"/>
      <c r="E3552" s="20"/>
      <c r="F3552" s="20"/>
      <c r="G3552" s="12" t="s">
        <v>13</v>
      </c>
      <c r="H3552" s="20"/>
      <c r="J3552" s="18" t="s">
        <v>2473</v>
      </c>
      <c r="K3552" s="18" t="s">
        <v>2473</v>
      </c>
      <c r="Z3552" s="183" t="s">
        <v>4</v>
      </c>
      <c r="AB3552" s="8" t="s">
        <v>4348</v>
      </c>
      <c r="AH3552" s="8" t="s">
        <v>2322</v>
      </c>
      <c r="AS3552" s="206" t="s">
        <v>5886</v>
      </c>
      <c r="AV3552" s="6" t="str">
        <f t="shared" si="72"/>
        <v/>
      </c>
    </row>
    <row r="3553" spans="1:48" ht="46.9" thickBot="1" x14ac:dyDescent="0.5">
      <c r="A3553" s="44" t="s">
        <v>2485</v>
      </c>
      <c r="B3553" s="50" t="s">
        <v>102</v>
      </c>
      <c r="C3553" s="12"/>
      <c r="D3553" s="20"/>
      <c r="E3553" s="12"/>
      <c r="F3553" s="20"/>
      <c r="G3553" s="12" t="s">
        <v>13</v>
      </c>
      <c r="H3553" s="20"/>
      <c r="J3553" s="18" t="s">
        <v>2473</v>
      </c>
      <c r="K3553" s="18" t="s">
        <v>2473</v>
      </c>
      <c r="R3553" s="122" t="s">
        <v>3529</v>
      </c>
      <c r="S3553" s="114" t="s">
        <v>4</v>
      </c>
      <c r="T3553" s="114" t="s">
        <v>101</v>
      </c>
      <c r="U3553" s="114" t="s">
        <v>3442</v>
      </c>
      <c r="V3553" s="114" t="s">
        <v>3530</v>
      </c>
      <c r="W3553" s="114" t="s">
        <v>3436</v>
      </c>
      <c r="X3553" s="114" t="s">
        <v>13</v>
      </c>
      <c r="Y3553" s="149"/>
      <c r="Z3553" s="183" t="s">
        <v>4</v>
      </c>
      <c r="AA3553" s="249" t="s">
        <v>75</v>
      </c>
      <c r="AB3553" s="183" t="s">
        <v>4354</v>
      </c>
      <c r="AC3553" s="183" t="s">
        <v>6</v>
      </c>
      <c r="AD3553" s="183" t="s">
        <v>4782</v>
      </c>
      <c r="AE3553" s="184"/>
      <c r="AF3553" s="184"/>
      <c r="AG3553" s="183" t="s">
        <v>4355</v>
      </c>
      <c r="AH3553" s="183" t="s">
        <v>4434</v>
      </c>
      <c r="AI3553" s="183" t="str">
        <f>"true"</f>
        <v>true</v>
      </c>
      <c r="AJ3553" s="183"/>
      <c r="AK3553" s="183"/>
      <c r="AL3553" s="183"/>
      <c r="AM3553" s="183"/>
      <c r="AN3553" s="131"/>
      <c r="AO3553" s="131"/>
      <c r="AP3553" s="131"/>
      <c r="AQ3553" s="131"/>
      <c r="AR3553" s="288"/>
      <c r="AS3553" s="268" t="s">
        <v>5851</v>
      </c>
      <c r="AT3553" s="183"/>
      <c r="AV3553" s="6" t="str">
        <f t="shared" si="72"/>
        <v>OK</v>
      </c>
    </row>
    <row r="3554" spans="1:48" ht="14.65" thickBot="1" x14ac:dyDescent="0.5">
      <c r="A3554" s="41" t="s">
        <v>43</v>
      </c>
      <c r="B3554" s="50" t="s">
        <v>103</v>
      </c>
      <c r="C3554" s="12"/>
      <c r="D3554" s="20"/>
      <c r="E3554" s="20"/>
      <c r="F3554" s="20"/>
      <c r="G3554" s="12"/>
      <c r="H3554" s="20"/>
      <c r="J3554" s="18" t="s">
        <v>2473</v>
      </c>
      <c r="K3554" s="18" t="s">
        <v>2473</v>
      </c>
      <c r="Z3554" s="183"/>
      <c r="AV3554" s="6" t="str">
        <f t="shared" si="72"/>
        <v/>
      </c>
    </row>
    <row r="3555" spans="1:48" ht="46.9" thickBot="1" x14ac:dyDescent="0.5">
      <c r="A3555" s="44" t="s">
        <v>2484</v>
      </c>
      <c r="B3555" s="50" t="s">
        <v>133</v>
      </c>
      <c r="C3555" s="12"/>
      <c r="D3555" s="20"/>
      <c r="E3555" s="12"/>
      <c r="F3555" s="20"/>
      <c r="G3555" s="12" t="s">
        <v>13</v>
      </c>
      <c r="H3555" s="20"/>
      <c r="J3555" s="18" t="s">
        <v>2473</v>
      </c>
      <c r="K3555" s="18" t="s">
        <v>2473</v>
      </c>
      <c r="R3555" s="122" t="s">
        <v>3529</v>
      </c>
      <c r="S3555" s="114" t="s">
        <v>4</v>
      </c>
      <c r="T3555" s="114" t="s">
        <v>132</v>
      </c>
      <c r="U3555" s="114" t="s">
        <v>3442</v>
      </c>
      <c r="V3555" s="114" t="s">
        <v>3530</v>
      </c>
      <c r="W3555" s="114" t="s">
        <v>3436</v>
      </c>
      <c r="X3555" s="114" t="s">
        <v>13</v>
      </c>
      <c r="Y3555" s="149"/>
      <c r="Z3555" s="183" t="s">
        <v>4</v>
      </c>
      <c r="AA3555" s="249" t="s">
        <v>75</v>
      </c>
      <c r="AB3555" s="183" t="s">
        <v>4354</v>
      </c>
      <c r="AC3555" s="183" t="s">
        <v>6</v>
      </c>
      <c r="AD3555" s="183" t="s">
        <v>4783</v>
      </c>
      <c r="AE3555" s="184"/>
      <c r="AF3555" s="184"/>
      <c r="AG3555" s="183" t="s">
        <v>4355</v>
      </c>
      <c r="AH3555" s="183" t="s">
        <v>4435</v>
      </c>
      <c r="AI3555" s="183" t="str">
        <f>"true"</f>
        <v>true</v>
      </c>
      <c r="AJ3555" s="183"/>
      <c r="AK3555" s="183"/>
      <c r="AL3555" s="183"/>
      <c r="AM3555" s="183"/>
      <c r="AN3555" s="131"/>
      <c r="AO3555" s="131"/>
      <c r="AP3555" s="131"/>
      <c r="AQ3555" s="131"/>
      <c r="AR3555" s="288"/>
      <c r="AS3555" s="268" t="s">
        <v>5851</v>
      </c>
      <c r="AT3555" s="183"/>
      <c r="AV3555" s="6" t="str">
        <f t="shared" si="72"/>
        <v>OK</v>
      </c>
    </row>
    <row r="3556" spans="1:48" ht="14.65" thickBot="1" x14ac:dyDescent="0.5">
      <c r="A3556" s="41" t="s">
        <v>43</v>
      </c>
      <c r="B3556" s="50" t="s">
        <v>134</v>
      </c>
      <c r="C3556" s="12"/>
      <c r="D3556" s="20"/>
      <c r="E3556" s="20"/>
      <c r="F3556" s="20"/>
      <c r="G3556" s="12"/>
      <c r="H3556" s="20"/>
      <c r="J3556" s="18" t="s">
        <v>2473</v>
      </c>
      <c r="K3556" s="18" t="s">
        <v>2473</v>
      </c>
      <c r="Z3556" s="183"/>
      <c r="AV3556" s="6" t="str">
        <f t="shared" si="72"/>
        <v/>
      </c>
    </row>
    <row r="3557" spans="1:48" ht="58.5" thickBot="1" x14ac:dyDescent="0.5">
      <c r="A3557" s="44" t="s">
        <v>2483</v>
      </c>
      <c r="B3557" s="50" t="s">
        <v>143</v>
      </c>
      <c r="C3557" s="12"/>
      <c r="D3557" s="20"/>
      <c r="E3557" s="20"/>
      <c r="F3557" s="20"/>
      <c r="G3557" s="12" t="s">
        <v>13</v>
      </c>
      <c r="H3557" s="20"/>
      <c r="J3557" s="18" t="s">
        <v>2473</v>
      </c>
      <c r="K3557" s="18" t="s">
        <v>2473</v>
      </c>
      <c r="R3557" s="122" t="s">
        <v>3529</v>
      </c>
      <c r="S3557" s="114" t="s">
        <v>4</v>
      </c>
      <c r="T3557" s="114" t="s">
        <v>142</v>
      </c>
      <c r="U3557" s="114" t="s">
        <v>3442</v>
      </c>
      <c r="V3557" s="114" t="s">
        <v>3530</v>
      </c>
      <c r="W3557" s="114" t="s">
        <v>3436</v>
      </c>
      <c r="X3557" s="114" t="s">
        <v>13</v>
      </c>
      <c r="Y3557" s="149"/>
      <c r="Z3557" s="183" t="s">
        <v>4</v>
      </c>
      <c r="AA3557" s="249" t="s">
        <v>75</v>
      </c>
      <c r="AB3557" s="183" t="s">
        <v>4354</v>
      </c>
      <c r="AC3557" s="183" t="s">
        <v>6</v>
      </c>
      <c r="AD3557" s="183" t="s">
        <v>4784</v>
      </c>
      <c r="AE3557" s="184"/>
      <c r="AF3557" s="184"/>
      <c r="AG3557" s="183" t="s">
        <v>4355</v>
      </c>
      <c r="AH3557" s="183" t="s">
        <v>4440</v>
      </c>
      <c r="AI3557" s="183" t="str">
        <f>"true"</f>
        <v>true</v>
      </c>
      <c r="AJ3557" s="183"/>
      <c r="AK3557" s="183"/>
      <c r="AL3557" s="183"/>
      <c r="AM3557" s="183"/>
      <c r="AN3557" s="131"/>
      <c r="AO3557" s="131"/>
      <c r="AP3557" s="131"/>
      <c r="AQ3557" s="131"/>
      <c r="AR3557" s="288"/>
      <c r="AS3557" s="268" t="s">
        <v>5851</v>
      </c>
      <c r="AT3557" s="183"/>
      <c r="AV3557" s="6" t="str">
        <f t="shared" si="72"/>
        <v>OK</v>
      </c>
    </row>
    <row r="3558" spans="1:48" ht="14.65" thickBot="1" x14ac:dyDescent="0.5">
      <c r="A3558" s="41" t="s">
        <v>43</v>
      </c>
      <c r="B3558" s="50" t="s">
        <v>144</v>
      </c>
      <c r="C3558" s="12"/>
      <c r="D3558" s="20"/>
      <c r="E3558" s="20"/>
      <c r="F3558" s="20"/>
      <c r="G3558" s="12"/>
      <c r="H3558" s="20"/>
      <c r="J3558" s="18" t="s">
        <v>2473</v>
      </c>
      <c r="K3558" s="18" t="s">
        <v>2473</v>
      </c>
      <c r="Z3558" s="183"/>
      <c r="AV3558" s="6" t="str">
        <f t="shared" si="72"/>
        <v/>
      </c>
    </row>
    <row r="3559" spans="1:48" ht="46.9" thickBot="1" x14ac:dyDescent="0.5">
      <c r="A3559" s="44" t="s">
        <v>1765</v>
      </c>
      <c r="B3559" s="50" t="s">
        <v>143</v>
      </c>
      <c r="C3559" s="12"/>
      <c r="D3559" s="20"/>
      <c r="E3559" s="20"/>
      <c r="F3559" s="20"/>
      <c r="G3559" s="12" t="s">
        <v>13</v>
      </c>
      <c r="H3559" s="20"/>
      <c r="J3559" s="18" t="s">
        <v>2473</v>
      </c>
      <c r="K3559" s="18" t="s">
        <v>2473</v>
      </c>
      <c r="R3559" s="122" t="s">
        <v>3529</v>
      </c>
      <c r="S3559" s="114" t="s">
        <v>4</v>
      </c>
      <c r="T3559" s="114" t="s">
        <v>146</v>
      </c>
      <c r="U3559" s="114" t="s">
        <v>3442</v>
      </c>
      <c r="V3559" s="114" t="s">
        <v>3530</v>
      </c>
      <c r="W3559" s="114" t="s">
        <v>3436</v>
      </c>
      <c r="X3559" s="114" t="s">
        <v>13</v>
      </c>
      <c r="Y3559" s="149"/>
      <c r="Z3559" s="183" t="s">
        <v>4</v>
      </c>
      <c r="AA3559" s="249" t="s">
        <v>75</v>
      </c>
      <c r="AB3559" s="183" t="s">
        <v>4354</v>
      </c>
      <c r="AC3559" s="183" t="s">
        <v>6</v>
      </c>
      <c r="AD3559" s="183" t="s">
        <v>4785</v>
      </c>
      <c r="AE3559" s="184"/>
      <c r="AF3559" s="184"/>
      <c r="AG3559" s="183" t="s">
        <v>4355</v>
      </c>
      <c r="AH3559" s="183" t="s">
        <v>4431</v>
      </c>
      <c r="AI3559" s="183" t="str">
        <f>"true"</f>
        <v>true</v>
      </c>
      <c r="AJ3559" s="183"/>
      <c r="AK3559" s="183"/>
      <c r="AL3559" s="183"/>
      <c r="AM3559" s="183"/>
      <c r="AN3559" s="131"/>
      <c r="AO3559" s="131"/>
      <c r="AP3559" s="131"/>
      <c r="AQ3559" s="131"/>
      <c r="AR3559" s="288"/>
      <c r="AS3559" s="268" t="s">
        <v>5851</v>
      </c>
      <c r="AT3559" s="183"/>
      <c r="AV3559" s="6" t="str">
        <f t="shared" si="72"/>
        <v>OK</v>
      </c>
    </row>
    <row r="3560" spans="1:48" ht="14.65" thickBot="1" x14ac:dyDescent="0.5">
      <c r="A3560" s="41" t="s">
        <v>43</v>
      </c>
      <c r="B3560" s="50" t="s">
        <v>147</v>
      </c>
      <c r="C3560" s="12"/>
      <c r="D3560" s="20"/>
      <c r="E3560" s="20"/>
      <c r="F3560" s="20"/>
      <c r="G3560" s="12"/>
      <c r="H3560" s="20"/>
      <c r="J3560" s="18" t="s">
        <v>2473</v>
      </c>
      <c r="K3560" s="18" t="s">
        <v>2473</v>
      </c>
      <c r="Z3560" s="183"/>
      <c r="AV3560" s="6" t="str">
        <f t="shared" si="72"/>
        <v/>
      </c>
    </row>
    <row r="3561" spans="1:48" ht="46.9" thickBot="1" x14ac:dyDescent="0.5">
      <c r="A3561" s="44" t="s">
        <v>1817</v>
      </c>
      <c r="B3561" s="50" t="s">
        <v>2345</v>
      </c>
      <c r="C3561" s="12"/>
      <c r="D3561" s="20"/>
      <c r="E3561" s="20"/>
      <c r="F3561" s="20"/>
      <c r="G3561" s="12" t="s">
        <v>13</v>
      </c>
      <c r="H3561" s="20"/>
      <c r="J3561" s="18" t="s">
        <v>2473</v>
      </c>
      <c r="K3561" s="18" t="s">
        <v>2473</v>
      </c>
      <c r="R3561" s="122" t="s">
        <v>3529</v>
      </c>
      <c r="S3561" s="114" t="s">
        <v>4</v>
      </c>
      <c r="T3561" s="114" t="s">
        <v>480</v>
      </c>
      <c r="U3561" s="114" t="s">
        <v>3442</v>
      </c>
      <c r="V3561" s="114" t="s">
        <v>3530</v>
      </c>
      <c r="W3561" s="114" t="s">
        <v>3436</v>
      </c>
      <c r="X3561" s="114" t="s">
        <v>13</v>
      </c>
      <c r="Y3561" s="149"/>
      <c r="Z3561" s="183" t="s">
        <v>4</v>
      </c>
      <c r="AA3561" s="249" t="s">
        <v>75</v>
      </c>
      <c r="AB3561" s="183" t="s">
        <v>4354</v>
      </c>
      <c r="AC3561" s="183" t="s">
        <v>6</v>
      </c>
      <c r="AD3561" s="183" t="s">
        <v>4786</v>
      </c>
      <c r="AE3561" s="184"/>
      <c r="AF3561" s="184"/>
      <c r="AG3561" s="183" t="s">
        <v>4355</v>
      </c>
      <c r="AH3561" s="183" t="s">
        <v>4432</v>
      </c>
      <c r="AI3561" s="183" t="str">
        <f>"true"</f>
        <v>true</v>
      </c>
      <c r="AJ3561" s="183"/>
      <c r="AK3561" s="183"/>
      <c r="AL3561" s="183"/>
      <c r="AM3561" s="183"/>
      <c r="AN3561" s="131"/>
      <c r="AO3561" s="131"/>
      <c r="AP3561" s="131"/>
      <c r="AQ3561" s="131"/>
      <c r="AR3561" s="288"/>
      <c r="AS3561" s="268" t="s">
        <v>5851</v>
      </c>
      <c r="AT3561" s="183"/>
      <c r="AV3561" s="6" t="str">
        <f t="shared" si="72"/>
        <v>OK</v>
      </c>
    </row>
    <row r="3562" spans="1:48" ht="14.65" thickBot="1" x14ac:dyDescent="0.5">
      <c r="A3562" s="41" t="s">
        <v>43</v>
      </c>
      <c r="B3562" s="50" t="s">
        <v>482</v>
      </c>
      <c r="C3562" s="12"/>
      <c r="D3562" s="20"/>
      <c r="E3562" s="20"/>
      <c r="F3562" s="20"/>
      <c r="G3562" s="12"/>
      <c r="H3562" s="20"/>
      <c r="J3562" s="18" t="s">
        <v>2473</v>
      </c>
      <c r="K3562" s="18" t="s">
        <v>2473</v>
      </c>
      <c r="Z3562" s="183"/>
      <c r="AV3562" s="6" t="str">
        <f t="shared" si="72"/>
        <v/>
      </c>
    </row>
    <row r="3563" spans="1:48" ht="58.5" thickBot="1" x14ac:dyDescent="0.5">
      <c r="A3563" s="44" t="s">
        <v>356</v>
      </c>
      <c r="B3563" s="50" t="s">
        <v>2700</v>
      </c>
      <c r="C3563" s="12"/>
      <c r="D3563" s="20"/>
      <c r="E3563" s="20"/>
      <c r="F3563" s="20"/>
      <c r="G3563" s="12" t="s">
        <v>13</v>
      </c>
      <c r="H3563" s="20"/>
      <c r="J3563" s="18" t="s">
        <v>2473</v>
      </c>
      <c r="K3563" s="18" t="s">
        <v>2473</v>
      </c>
      <c r="R3563" s="122" t="s">
        <v>3529</v>
      </c>
      <c r="S3563" s="114" t="s">
        <v>4</v>
      </c>
      <c r="T3563" s="114" t="s">
        <v>55</v>
      </c>
      <c r="U3563" s="114" t="s">
        <v>3442</v>
      </c>
      <c r="V3563" s="114" t="s">
        <v>3530</v>
      </c>
      <c r="W3563" s="114" t="s">
        <v>3436</v>
      </c>
      <c r="X3563" s="114" t="s">
        <v>13</v>
      </c>
      <c r="Y3563" s="149"/>
      <c r="Z3563" s="183" t="s">
        <v>4</v>
      </c>
      <c r="AA3563" s="249" t="s">
        <v>75</v>
      </c>
      <c r="AB3563" s="183" t="s">
        <v>4354</v>
      </c>
      <c r="AC3563" s="183" t="s">
        <v>6</v>
      </c>
      <c r="AD3563" s="183" t="s">
        <v>4787</v>
      </c>
      <c r="AE3563" s="184"/>
      <c r="AF3563" s="184"/>
      <c r="AG3563" s="183" t="s">
        <v>4355</v>
      </c>
      <c r="AH3563" s="183" t="s">
        <v>4433</v>
      </c>
      <c r="AI3563" s="183" t="str">
        <f>"true"</f>
        <v>true</v>
      </c>
      <c r="AJ3563" s="183"/>
      <c r="AK3563" s="183"/>
      <c r="AL3563" s="183"/>
      <c r="AM3563" s="183"/>
      <c r="AN3563" s="131"/>
      <c r="AO3563" s="131"/>
      <c r="AP3563" s="131"/>
      <c r="AQ3563" s="131"/>
      <c r="AR3563" s="288"/>
      <c r="AS3563" s="268" t="s">
        <v>5851</v>
      </c>
      <c r="AT3563" s="183"/>
      <c r="AV3563" s="6" t="str">
        <f t="shared" si="72"/>
        <v>OK</v>
      </c>
    </row>
    <row r="3564" spans="1:48" ht="14.65" thickBot="1" x14ac:dyDescent="0.5">
      <c r="A3564" s="41" t="s">
        <v>43</v>
      </c>
      <c r="B3564" s="50" t="s">
        <v>117</v>
      </c>
      <c r="C3564" s="12"/>
      <c r="D3564" s="20"/>
      <c r="E3564" s="20"/>
      <c r="F3564" s="20"/>
      <c r="G3564" s="12"/>
      <c r="H3564" s="20"/>
      <c r="J3564" s="18" t="s">
        <v>2473</v>
      </c>
      <c r="K3564" s="18" t="s">
        <v>2473</v>
      </c>
      <c r="Z3564" s="183"/>
      <c r="AV3564" s="6" t="str">
        <f t="shared" si="72"/>
        <v/>
      </c>
    </row>
    <row r="3565" spans="1:48" ht="14.65" thickBot="1" x14ac:dyDescent="0.5">
      <c r="A3565" s="35" t="s">
        <v>59</v>
      </c>
      <c r="B3565" s="3" t="s">
        <v>60</v>
      </c>
      <c r="C3565" s="4"/>
      <c r="D3565" s="4"/>
      <c r="E3565" s="4"/>
      <c r="F3565" s="4"/>
      <c r="G3565" s="4"/>
      <c r="H3565" s="4"/>
      <c r="J3565" s="18" t="s">
        <v>2473</v>
      </c>
      <c r="K3565" s="18" t="s">
        <v>2473</v>
      </c>
      <c r="Z3565" s="183"/>
      <c r="AU3565" s="8"/>
      <c r="AV3565" s="6" t="str">
        <f t="shared" si="72"/>
        <v/>
      </c>
    </row>
    <row r="3566" spans="1:48" x14ac:dyDescent="0.45">
      <c r="A3566" s="33" t="s">
        <v>2369</v>
      </c>
      <c r="J3566" s="18" t="s">
        <v>2473</v>
      </c>
      <c r="K3566" s="18" t="s">
        <v>2473</v>
      </c>
      <c r="L3566" s="18" t="s">
        <v>2335</v>
      </c>
      <c r="AU3566" s="8"/>
      <c r="AV3566" s="6" t="str">
        <f t="shared" si="72"/>
        <v/>
      </c>
    </row>
    <row r="3567" spans="1:48" x14ac:dyDescent="0.45">
      <c r="A3567" s="34" t="s">
        <v>3618</v>
      </c>
      <c r="J3567" s="18" t="s">
        <v>2473</v>
      </c>
      <c r="K3567" s="18" t="s">
        <v>2473</v>
      </c>
      <c r="L3567" s="18" t="s">
        <v>2335</v>
      </c>
      <c r="AU3567" s="8"/>
      <c r="AV3567" s="6" t="str">
        <f t="shared" ref="AV3567:AV3632" si="75">IF(A3567&lt;&gt;"",IF(T3567&lt;&gt;"",IF(LEFT(R3567,3)="Has",IF(TRIM(A3567)&lt;&gt;T3567,"ERROR","OK"),""),""),"")</f>
        <v/>
      </c>
    </row>
    <row r="3568" spans="1:48" s="79" customFormat="1" ht="14.65" thickBot="1" x14ac:dyDescent="0.5">
      <c r="A3568" s="75"/>
      <c r="B3568" s="76"/>
      <c r="C3568" s="77"/>
      <c r="D3568" s="77"/>
      <c r="E3568" s="77"/>
      <c r="F3568" s="77"/>
      <c r="G3568" s="77"/>
      <c r="H3568" s="77"/>
      <c r="I3568" s="77"/>
      <c r="J3568" s="77"/>
      <c r="K3568" s="77"/>
      <c r="L3568" s="77"/>
      <c r="M3568" s="148"/>
      <c r="N3568" s="78"/>
      <c r="O3568" s="78"/>
      <c r="P3568" s="78"/>
      <c r="Q3568" s="78"/>
      <c r="R3568" s="78"/>
      <c r="S3568" s="78"/>
      <c r="T3568" s="78"/>
      <c r="U3568" s="78"/>
      <c r="V3568" s="78"/>
      <c r="W3568" s="78"/>
      <c r="X3568" s="78"/>
      <c r="Y3568" s="148"/>
      <c r="Z3568" s="78"/>
      <c r="AA3568" s="78"/>
      <c r="AB3568" s="78"/>
      <c r="AC3568" s="78"/>
      <c r="AD3568" s="78"/>
      <c r="AE3568" s="156"/>
      <c r="AF3568" s="156"/>
      <c r="AG3568" s="78"/>
      <c r="AH3568" s="78"/>
      <c r="AI3568" s="78"/>
      <c r="AJ3568" s="78"/>
      <c r="AK3568" s="78"/>
      <c r="AL3568" s="78"/>
      <c r="AM3568" s="78"/>
      <c r="AN3568" s="78"/>
      <c r="AO3568" s="78"/>
      <c r="AP3568" s="78"/>
      <c r="AQ3568" s="78"/>
      <c r="AR3568" s="286"/>
      <c r="AS3568" s="78"/>
      <c r="AT3568" s="78"/>
      <c r="AU3568" s="8"/>
      <c r="AV3568" s="6" t="str">
        <f t="shared" si="75"/>
        <v/>
      </c>
    </row>
    <row r="3569" spans="1:48" ht="14.65" thickBot="1" x14ac:dyDescent="0.5">
      <c r="A3569" s="39" t="s">
        <v>2702</v>
      </c>
      <c r="J3569" s="18" t="s">
        <v>2473</v>
      </c>
      <c r="K3569" s="18" t="s">
        <v>2473</v>
      </c>
      <c r="R3569" s="111" t="s">
        <v>3426</v>
      </c>
      <c r="S3569" s="349" t="s">
        <v>823</v>
      </c>
      <c r="T3569" s="350"/>
      <c r="U3569" s="350"/>
      <c r="V3569" s="350"/>
      <c r="W3569" s="350"/>
      <c r="X3569" s="355"/>
      <c r="Y3569" s="118"/>
      <c r="Z3569" s="185"/>
      <c r="AA3569" s="185"/>
      <c r="AB3569" s="185"/>
      <c r="AC3569" s="185"/>
      <c r="AD3569" s="185"/>
      <c r="AE3569" s="186"/>
      <c r="AF3569" s="186"/>
      <c r="AG3569" s="185"/>
      <c r="AH3569" s="185"/>
      <c r="AI3569" s="185"/>
      <c r="AJ3569" s="185"/>
      <c r="AK3569" s="185"/>
      <c r="AL3569" s="185"/>
      <c r="AM3569" s="185"/>
      <c r="AN3569" s="117"/>
      <c r="AO3569" s="117"/>
      <c r="AP3569" s="117"/>
      <c r="AQ3569" s="117"/>
      <c r="AR3569" s="287"/>
      <c r="AS3569" s="258"/>
      <c r="AT3569" s="185"/>
      <c r="AV3569" s="6" t="str">
        <f t="shared" si="75"/>
        <v/>
      </c>
    </row>
    <row r="3570" spans="1:48" ht="23.65" thickBot="1" x14ac:dyDescent="0.5">
      <c r="A3570" s="40" t="s">
        <v>4328</v>
      </c>
      <c r="J3570" s="18" t="s">
        <v>2473</v>
      </c>
      <c r="K3570" s="18" t="s">
        <v>2473</v>
      </c>
      <c r="R3570" s="122" t="s">
        <v>3427</v>
      </c>
      <c r="S3570" s="352" t="s">
        <v>3455</v>
      </c>
      <c r="T3570" s="353"/>
      <c r="U3570" s="353"/>
      <c r="V3570" s="353"/>
      <c r="W3570" s="353"/>
      <c r="X3570" s="356"/>
      <c r="Y3570" s="149"/>
      <c r="Z3570" s="183" t="s">
        <v>4347</v>
      </c>
      <c r="AA3570" s="183" t="s">
        <v>2322</v>
      </c>
      <c r="AB3570" s="183" t="s">
        <v>1697</v>
      </c>
      <c r="AC3570" s="183" t="s">
        <v>5</v>
      </c>
      <c r="AD3570" s="183" t="s">
        <v>4339</v>
      </c>
      <c r="AE3570" s="184" t="s">
        <v>4338</v>
      </c>
      <c r="AF3570" s="184" t="s">
        <v>4350</v>
      </c>
      <c r="AG3570" s="183" t="s">
        <v>1695</v>
      </c>
      <c r="AH3570" s="183" t="s">
        <v>4351</v>
      </c>
      <c r="AI3570" s="183" t="s">
        <v>4455</v>
      </c>
      <c r="AJ3570" s="183" t="s">
        <v>5051</v>
      </c>
      <c r="AK3570" s="183"/>
      <c r="AL3570" s="183"/>
      <c r="AM3570" s="183"/>
      <c r="AN3570" s="131"/>
      <c r="AO3570" s="131"/>
      <c r="AP3570" s="131"/>
      <c r="AQ3570" s="131"/>
      <c r="AR3570" s="288"/>
      <c r="AS3570" s="259"/>
      <c r="AT3570" s="183"/>
      <c r="AV3570" s="6" t="str">
        <f t="shared" si="75"/>
        <v/>
      </c>
    </row>
    <row r="3571" spans="1:48" ht="279.39999999999998" thickBot="1" x14ac:dyDescent="0.5">
      <c r="A3571" s="315" t="s">
        <v>4375</v>
      </c>
      <c r="B3571" s="316"/>
      <c r="C3571" s="301" t="s">
        <v>1</v>
      </c>
      <c r="D3571" s="319"/>
      <c r="E3571" s="319"/>
      <c r="F3571" s="302"/>
      <c r="G3571" s="102"/>
      <c r="H3571" s="102"/>
      <c r="J3571" s="18" t="s">
        <v>2473</v>
      </c>
      <c r="K3571" s="18" t="s">
        <v>2473</v>
      </c>
      <c r="R3571" s="122" t="s">
        <v>3428</v>
      </c>
      <c r="S3571" s="352" t="b">
        <v>0</v>
      </c>
      <c r="T3571" s="353"/>
      <c r="U3571" s="353"/>
      <c r="V3571" s="353"/>
      <c r="W3571" s="353"/>
      <c r="X3571" s="356"/>
      <c r="Y3571" s="149"/>
      <c r="Z3571" s="183" t="s">
        <v>2322</v>
      </c>
      <c r="AA3571" s="183" t="str">
        <f>LEFT($A3571,FIND(" ",$A3571)-1)</f>
        <v>OperatingSystemMetrics</v>
      </c>
      <c r="AB3571" s="183" t="str">
        <f>MID($A3571,FIND("(",$A3571)+1,LEN($A3571)-FIND("(",$A3571)-1)</f>
        <v>1.0.0</v>
      </c>
      <c r="AC3571" s="101" t="str">
        <f>A3570</f>
        <v>Resource defining in-band operating system metrics.</v>
      </c>
      <c r="AD3571" s="101" t="s">
        <v>5004</v>
      </c>
      <c r="AE3571" s="188" t="s">
        <v>3625</v>
      </c>
      <c r="AF3571" s="184" t="s">
        <v>4352</v>
      </c>
      <c r="AG3571" s="183" t="s">
        <v>4357</v>
      </c>
      <c r="AH3571" s="183" t="s">
        <v>4352</v>
      </c>
      <c r="AI3571" s="183" t="s">
        <v>5248</v>
      </c>
      <c r="AJ3571" s="183"/>
      <c r="AK3571" s="183"/>
      <c r="AL3571" s="183"/>
      <c r="AM3571" s="183"/>
      <c r="AN3571" s="131"/>
      <c r="AO3571" s="131"/>
      <c r="AP3571" s="131"/>
      <c r="AQ3571" s="131"/>
      <c r="AR3571" s="288"/>
      <c r="AS3571" s="259"/>
      <c r="AT3571" s="183"/>
      <c r="AU3571" s="202" t="s">
        <v>5284</v>
      </c>
      <c r="AV3571" s="6" t="str">
        <f t="shared" si="75"/>
        <v/>
      </c>
    </row>
    <row r="3572" spans="1:48" ht="24.4" thickBot="1" x14ac:dyDescent="0.5">
      <c r="A3572" s="317"/>
      <c r="B3572" s="318"/>
      <c r="C3572" s="301" t="s">
        <v>2</v>
      </c>
      <c r="D3572" s="302"/>
      <c r="E3572" s="301" t="s">
        <v>3</v>
      </c>
      <c r="F3572" s="302"/>
      <c r="G3572" s="301" t="s">
        <v>2896</v>
      </c>
      <c r="H3572" s="302"/>
      <c r="J3572" s="18" t="s">
        <v>2473</v>
      </c>
      <c r="K3572" s="18" t="s">
        <v>2473</v>
      </c>
      <c r="R3572" s="115"/>
      <c r="S3572" s="115"/>
      <c r="T3572" s="115"/>
      <c r="U3572" s="115"/>
      <c r="V3572" s="115"/>
      <c r="W3572" s="115"/>
      <c r="X3572" s="115"/>
      <c r="Y3572" s="149"/>
      <c r="Z3572" s="183"/>
      <c r="AA3572" s="183"/>
      <c r="AB3572" s="183"/>
      <c r="AC3572" s="183"/>
      <c r="AD3572" s="183"/>
      <c r="AE3572" s="184"/>
      <c r="AF3572" s="184"/>
      <c r="AG3572" s="183"/>
      <c r="AH3572" s="183"/>
      <c r="AI3572" s="183"/>
      <c r="AJ3572" s="183"/>
      <c r="AK3572" s="183"/>
      <c r="AL3572" s="183"/>
      <c r="AM3572" s="8" t="str">
        <f>C3572</f>
        <v>OSM-Redfish</v>
      </c>
      <c r="AN3572" s="8" t="str">
        <f>E3572</f>
        <v>OSM-RedfishBMC</v>
      </c>
      <c r="AO3572" s="8" t="str">
        <f>G3572</f>
        <v>OSM-RedfishDCN</v>
      </c>
      <c r="AP3572" s="131"/>
      <c r="AQ3572" s="131"/>
      <c r="AR3572" s="288"/>
      <c r="AS3572" s="259"/>
      <c r="AT3572" s="183"/>
      <c r="AV3572" s="6" t="str">
        <f t="shared" si="75"/>
        <v/>
      </c>
    </row>
    <row r="3573" spans="1:48" ht="14.65" thickBot="1" x14ac:dyDescent="0.5">
      <c r="A3573" s="46" t="s">
        <v>2377</v>
      </c>
      <c r="B3573" s="47"/>
      <c r="C3573" s="303"/>
      <c r="D3573" s="304"/>
      <c r="E3573" s="303"/>
      <c r="F3573" s="304"/>
      <c r="G3573" s="303" t="s">
        <v>10</v>
      </c>
      <c r="H3573" s="304"/>
      <c r="J3573" s="18" t="s">
        <v>2473</v>
      </c>
      <c r="K3573" s="18" t="s">
        <v>2473</v>
      </c>
      <c r="R3573" s="129"/>
      <c r="S3573" s="117"/>
      <c r="T3573" s="117"/>
      <c r="U3573" s="117"/>
      <c r="V3573" s="117"/>
      <c r="W3573" s="117"/>
      <c r="X3573" s="216"/>
      <c r="Y3573" s="118"/>
      <c r="Z3573" s="185"/>
      <c r="AA3573" s="185"/>
      <c r="AB3573" s="185"/>
      <c r="AC3573" s="185"/>
      <c r="AD3573" s="185"/>
      <c r="AE3573" s="186"/>
      <c r="AF3573" s="186"/>
      <c r="AG3573" s="185"/>
      <c r="AH3573" s="185"/>
      <c r="AI3573" s="185"/>
      <c r="AJ3573" s="185"/>
      <c r="AK3573" s="185"/>
      <c r="AL3573" s="185"/>
      <c r="AM3573" s="8" t="str">
        <f>IF(C3573&lt;&gt;"","CRQ-P5-"&amp;(AM$2+$AP3573*$AP$3),"")</f>
        <v/>
      </c>
      <c r="AN3573" s="8" t="str">
        <f>IF(E3573&lt;&gt;"","CRQ-P5-"&amp;(AN$2+$AP3573*$AP$3),"")</f>
        <v/>
      </c>
      <c r="AO3573" s="8" t="str">
        <f>IF(G3573&lt;&gt;"","CRQ-P5-"&amp;(AO$2+$AP3573*$AP$3),"")</f>
        <v>CRQ-P5-1768</v>
      </c>
      <c r="AP3573" s="117">
        <v>42</v>
      </c>
      <c r="AQ3573" s="117"/>
      <c r="AR3573" s="287"/>
      <c r="AS3573" s="258"/>
      <c r="AT3573" s="185"/>
      <c r="AU3573" s="6"/>
      <c r="AV3573" s="6" t="str">
        <f t="shared" si="75"/>
        <v/>
      </c>
    </row>
    <row r="3574" spans="1:48" ht="14.65" thickBot="1" x14ac:dyDescent="0.5">
      <c r="A3574" s="29" t="s">
        <v>3394</v>
      </c>
      <c r="B3574" s="9"/>
      <c r="C3574" s="305"/>
      <c r="D3574" s="306"/>
      <c r="E3574" s="305"/>
      <c r="F3574" s="306"/>
      <c r="G3574" s="305" t="s">
        <v>3395</v>
      </c>
      <c r="H3574" s="306"/>
      <c r="J3574" s="18" t="s">
        <v>2473</v>
      </c>
      <c r="K3574" s="18" t="s">
        <v>2473</v>
      </c>
      <c r="R3574" s="111" t="s">
        <v>3429</v>
      </c>
      <c r="S3574" s="111" t="s">
        <v>3430</v>
      </c>
      <c r="T3574" s="111" t="s">
        <v>3427</v>
      </c>
      <c r="U3574" s="111" t="s">
        <v>3431</v>
      </c>
      <c r="V3574" s="111" t="s">
        <v>3432</v>
      </c>
      <c r="W3574" s="111" t="s">
        <v>3433</v>
      </c>
      <c r="X3574" s="217" t="s">
        <v>3434</v>
      </c>
      <c r="Y3574" s="118" t="s">
        <v>3965</v>
      </c>
      <c r="Z3574" s="185"/>
      <c r="AA3574" s="185"/>
      <c r="AB3574" s="185"/>
      <c r="AC3574" s="185"/>
      <c r="AD3574" s="185"/>
      <c r="AE3574" s="186"/>
      <c r="AF3574" s="186"/>
      <c r="AG3574" s="185"/>
      <c r="AH3574" s="185"/>
      <c r="AI3574" s="185"/>
      <c r="AJ3574" s="185"/>
      <c r="AK3574" s="185"/>
      <c r="AL3574" s="185"/>
      <c r="AM3574" s="185"/>
      <c r="AN3574" s="117"/>
      <c r="AO3574" s="117"/>
      <c r="AP3574" s="117"/>
      <c r="AQ3574" s="117"/>
      <c r="AR3574" s="287"/>
      <c r="AS3574" s="258"/>
      <c r="AT3574" s="185"/>
      <c r="AU3574" s="6"/>
      <c r="AV3574" s="6" t="str">
        <f t="shared" si="75"/>
        <v/>
      </c>
    </row>
    <row r="3575" spans="1:48" ht="15" customHeight="1" thickBot="1" x14ac:dyDescent="0.5">
      <c r="A3575" s="30" t="s">
        <v>4</v>
      </c>
      <c r="B3575" s="59" t="s">
        <v>5</v>
      </c>
      <c r="C3575" s="7" t="s">
        <v>6</v>
      </c>
      <c r="D3575" s="7" t="s">
        <v>7</v>
      </c>
      <c r="E3575" s="7" t="s">
        <v>6</v>
      </c>
      <c r="F3575" s="7" t="s">
        <v>7</v>
      </c>
      <c r="G3575" s="7" t="s">
        <v>6</v>
      </c>
      <c r="H3575" s="7" t="s">
        <v>7</v>
      </c>
      <c r="J3575" s="18" t="s">
        <v>2473</v>
      </c>
      <c r="K3575" s="18" t="s">
        <v>2473</v>
      </c>
      <c r="R3575" s="352" t="s">
        <v>4040</v>
      </c>
      <c r="S3575" s="353"/>
      <c r="T3575" s="353"/>
      <c r="U3575" s="353"/>
      <c r="V3575" s="353"/>
      <c r="W3575" s="353"/>
      <c r="X3575" s="357"/>
      <c r="Y3575" s="149"/>
      <c r="Z3575" s="183" t="s">
        <v>4347</v>
      </c>
      <c r="AA3575" s="183" t="s">
        <v>4343</v>
      </c>
      <c r="AB3575" s="183" t="s">
        <v>4172</v>
      </c>
      <c r="AC3575" s="183" t="s">
        <v>4340</v>
      </c>
      <c r="AD3575" s="183" t="s">
        <v>4339</v>
      </c>
      <c r="AE3575" s="184" t="s">
        <v>4341</v>
      </c>
      <c r="AF3575" s="184" t="s">
        <v>4342</v>
      </c>
      <c r="AG3575" s="183" t="s">
        <v>4353</v>
      </c>
      <c r="AH3575" s="183" t="s">
        <v>3429</v>
      </c>
      <c r="AI3575" s="183" t="s">
        <v>4356</v>
      </c>
      <c r="AJ3575" s="183" t="s">
        <v>4364</v>
      </c>
      <c r="AK3575" s="183" t="s">
        <v>4495</v>
      </c>
      <c r="AL3575" s="183" t="s">
        <v>694</v>
      </c>
      <c r="AM3575" s="183"/>
      <c r="AN3575" s="131"/>
      <c r="AO3575" s="131"/>
      <c r="AP3575" s="131"/>
      <c r="AQ3575" s="131"/>
      <c r="AR3575" s="288"/>
      <c r="AS3575" s="259"/>
      <c r="AT3575" s="183"/>
      <c r="AV3575" s="6" t="str">
        <f t="shared" si="75"/>
        <v/>
      </c>
    </row>
    <row r="3576" spans="1:48" ht="14.65" thickBot="1" x14ac:dyDescent="0.5">
      <c r="A3576" s="44" t="s">
        <v>8</v>
      </c>
      <c r="B3576" s="50" t="s">
        <v>9</v>
      </c>
      <c r="C3576" s="12"/>
      <c r="D3576" s="20"/>
      <c r="E3576" s="20"/>
      <c r="F3576" s="20"/>
      <c r="G3576" s="12"/>
      <c r="H3576" s="20"/>
      <c r="J3576" s="18" t="s">
        <v>2473</v>
      </c>
      <c r="K3576" s="18" t="s">
        <v>2473</v>
      </c>
      <c r="Z3576" s="8" t="s">
        <v>4</v>
      </c>
      <c r="AB3576" s="8" t="s">
        <v>4348</v>
      </c>
      <c r="AV3576" s="6" t="str">
        <f t="shared" si="75"/>
        <v/>
      </c>
    </row>
    <row r="3577" spans="1:48" ht="58.5" thickBot="1" x14ac:dyDescent="0.5">
      <c r="A3577" s="44" t="s">
        <v>577</v>
      </c>
      <c r="B3577" s="50" t="s">
        <v>4024</v>
      </c>
      <c r="C3577" s="12"/>
      <c r="D3577" s="20"/>
      <c r="E3577" s="20"/>
      <c r="F3577" s="20"/>
      <c r="G3577" s="12" t="s">
        <v>10</v>
      </c>
      <c r="H3577" s="20" t="s">
        <v>10</v>
      </c>
      <c r="J3577" s="18" t="s">
        <v>2473</v>
      </c>
      <c r="K3577" s="18" t="s">
        <v>2473</v>
      </c>
      <c r="Z3577" s="8" t="s">
        <v>4</v>
      </c>
      <c r="AB3577" s="8" t="s">
        <v>4344</v>
      </c>
      <c r="AC3577" s="8" t="s">
        <v>4346</v>
      </c>
      <c r="AD3577" s="183" t="s">
        <v>4938</v>
      </c>
      <c r="AV3577" s="6" t="str">
        <f t="shared" si="75"/>
        <v/>
      </c>
    </row>
    <row r="3578" spans="1:48" ht="46.9" thickBot="1" x14ac:dyDescent="0.5">
      <c r="A3578" s="44" t="s">
        <v>2814</v>
      </c>
      <c r="B3578" s="50" t="s">
        <v>3643</v>
      </c>
      <c r="C3578" s="12"/>
      <c r="D3578" s="20"/>
      <c r="E3578" s="20"/>
      <c r="F3578" s="20"/>
      <c r="G3578" s="12" t="s">
        <v>10</v>
      </c>
      <c r="H3578" s="20"/>
      <c r="J3578" s="18" t="s">
        <v>2473</v>
      </c>
      <c r="K3578" s="18" t="s">
        <v>2473</v>
      </c>
      <c r="R3578" s="122" t="s">
        <v>3435</v>
      </c>
      <c r="S3578" s="114" t="s">
        <v>3443</v>
      </c>
      <c r="T3578" s="114" t="s">
        <v>2814</v>
      </c>
      <c r="U3578" s="114" t="s">
        <v>4508</v>
      </c>
      <c r="V3578" s="114" t="s">
        <v>3531</v>
      </c>
      <c r="W3578" s="114" t="s">
        <v>3436</v>
      </c>
      <c r="X3578" s="114" t="s">
        <v>13</v>
      </c>
      <c r="Y3578" s="149"/>
      <c r="Z3578" s="183" t="s">
        <v>4</v>
      </c>
      <c r="AA3578" s="183"/>
      <c r="AB3578" s="183" t="s">
        <v>4493</v>
      </c>
      <c r="AC3578" s="183" t="s">
        <v>6</v>
      </c>
      <c r="AD3578" s="183" t="s">
        <v>4788</v>
      </c>
      <c r="AE3578" s="184"/>
      <c r="AF3578" s="184"/>
      <c r="AG3578" s="183"/>
      <c r="AH3578" s="183"/>
      <c r="AI3578" s="183"/>
      <c r="AJ3578" s="183"/>
      <c r="AK3578" s="183"/>
      <c r="AL3578" s="183"/>
      <c r="AM3578" s="183"/>
      <c r="AN3578" s="131"/>
      <c r="AO3578" s="131"/>
      <c r="AP3578" s="131"/>
      <c r="AQ3578" s="131"/>
      <c r="AR3578" s="288"/>
      <c r="AS3578" s="259"/>
      <c r="AT3578" s="183"/>
      <c r="AV3578" s="6" t="str">
        <f t="shared" si="75"/>
        <v>OK</v>
      </c>
    </row>
    <row r="3579" spans="1:48" ht="105" thickBot="1" x14ac:dyDescent="0.5">
      <c r="A3579" s="44" t="s">
        <v>2723</v>
      </c>
      <c r="B3579" s="50" t="s">
        <v>4285</v>
      </c>
      <c r="C3579" s="12"/>
      <c r="D3579" s="20"/>
      <c r="E3579" s="20"/>
      <c r="F3579" s="20"/>
      <c r="G3579" s="12" t="s">
        <v>13</v>
      </c>
      <c r="H3579" s="20"/>
      <c r="J3579" s="18" t="s">
        <v>2473</v>
      </c>
      <c r="K3579" s="18" t="s">
        <v>2473</v>
      </c>
      <c r="R3579" s="122" t="s">
        <v>3435</v>
      </c>
      <c r="S3579" s="114" t="s">
        <v>3437</v>
      </c>
      <c r="T3579" s="114" t="s">
        <v>2723</v>
      </c>
      <c r="U3579" s="114"/>
      <c r="V3579" s="114" t="s">
        <v>3545</v>
      </c>
      <c r="W3579" s="114" t="s">
        <v>3436</v>
      </c>
      <c r="X3579" s="114" t="s">
        <v>13</v>
      </c>
      <c r="Y3579" s="149"/>
      <c r="Z3579" s="183" t="s">
        <v>4</v>
      </c>
      <c r="AA3579" s="183"/>
      <c r="AB3579" s="183" t="s">
        <v>4349</v>
      </c>
      <c r="AC3579" s="183"/>
      <c r="AD3579" s="183" t="s">
        <v>4796</v>
      </c>
      <c r="AE3579" s="184"/>
      <c r="AF3579" s="184"/>
      <c r="AG3579" s="183"/>
      <c r="AH3579" s="183"/>
      <c r="AI3579" s="183" t="str">
        <f>"true"</f>
        <v>true</v>
      </c>
      <c r="AJ3579" s="183"/>
      <c r="AK3579" s="183" t="s">
        <v>2723</v>
      </c>
      <c r="AL3579" s="183"/>
      <c r="AM3579" s="183"/>
      <c r="AN3579" s="131"/>
      <c r="AO3579" s="131"/>
      <c r="AP3579" s="131"/>
      <c r="AQ3579" s="131"/>
      <c r="AR3579" s="288"/>
      <c r="AS3579" s="259"/>
      <c r="AT3579" s="183"/>
      <c r="AU3579" s="203" t="s">
        <v>5293</v>
      </c>
      <c r="AV3579" s="6" t="str">
        <f t="shared" si="75"/>
        <v>OK</v>
      </c>
    </row>
    <row r="3580" spans="1:48" ht="14.65" thickBot="1" x14ac:dyDescent="0.5">
      <c r="A3580" s="41" t="s">
        <v>33</v>
      </c>
      <c r="B3580" s="50" t="s">
        <v>3803</v>
      </c>
      <c r="C3580" s="12"/>
      <c r="D3580" s="20"/>
      <c r="E3580" s="20"/>
      <c r="F3580" s="20"/>
      <c r="G3580" s="12"/>
      <c r="H3580" s="20"/>
      <c r="J3580" s="18" t="s">
        <v>2473</v>
      </c>
      <c r="K3580" s="18" t="s">
        <v>2473</v>
      </c>
      <c r="R3580" s="114"/>
      <c r="S3580" s="114"/>
      <c r="T3580" s="114"/>
      <c r="U3580" s="114"/>
      <c r="V3580" s="114"/>
      <c r="W3580" s="114"/>
      <c r="X3580" s="114"/>
      <c r="Y3580" s="149"/>
      <c r="Z3580" s="183"/>
      <c r="AA3580" s="183"/>
      <c r="AB3580" s="183"/>
      <c r="AC3580" s="183"/>
      <c r="AD3580" s="183"/>
      <c r="AE3580" s="184"/>
      <c r="AF3580" s="184"/>
      <c r="AG3580" s="183"/>
      <c r="AH3580" s="183"/>
      <c r="AI3580" s="183"/>
      <c r="AJ3580" s="183"/>
      <c r="AK3580" s="183"/>
      <c r="AL3580" s="183"/>
      <c r="AM3580" s="183"/>
      <c r="AN3580" s="131"/>
      <c r="AO3580" s="131"/>
      <c r="AP3580" s="131"/>
      <c r="AQ3580" s="131"/>
      <c r="AR3580" s="288"/>
      <c r="AS3580" s="259"/>
      <c r="AT3580" s="183"/>
      <c r="AV3580" s="6" t="str">
        <f t="shared" si="75"/>
        <v/>
      </c>
    </row>
    <row r="3581" spans="1:48" ht="14.65" thickBot="1" x14ac:dyDescent="0.5">
      <c r="A3581" s="35" t="s">
        <v>461</v>
      </c>
      <c r="B3581" s="3" t="s">
        <v>462</v>
      </c>
      <c r="C3581" s="12"/>
      <c r="D3581" s="20"/>
      <c r="E3581" s="20"/>
      <c r="F3581" s="4"/>
      <c r="G3581" s="12"/>
      <c r="H3581" s="20"/>
      <c r="J3581" s="18" t="s">
        <v>2473</v>
      </c>
      <c r="K3581" s="18" t="s">
        <v>2473</v>
      </c>
      <c r="R3581" s="114"/>
      <c r="S3581" s="114"/>
      <c r="T3581" s="114"/>
      <c r="U3581" s="114"/>
      <c r="V3581" s="114"/>
      <c r="W3581" s="114"/>
      <c r="X3581" s="114"/>
      <c r="Y3581" s="149"/>
      <c r="Z3581" s="183"/>
      <c r="AA3581" s="183"/>
      <c r="AB3581" s="183"/>
      <c r="AC3581" s="183"/>
      <c r="AD3581" s="183"/>
      <c r="AE3581" s="184"/>
      <c r="AF3581" s="184"/>
      <c r="AG3581" s="183"/>
      <c r="AH3581" s="183"/>
      <c r="AI3581" s="183"/>
      <c r="AJ3581" s="183"/>
      <c r="AK3581" s="183"/>
      <c r="AL3581" s="183"/>
      <c r="AM3581" s="183"/>
      <c r="AN3581" s="131"/>
      <c r="AO3581" s="131"/>
      <c r="AP3581" s="131"/>
      <c r="AQ3581" s="131"/>
      <c r="AR3581" s="288"/>
      <c r="AS3581" s="259"/>
      <c r="AT3581" s="183"/>
      <c r="AU3581" s="8"/>
      <c r="AV3581" s="6" t="str">
        <f t="shared" si="75"/>
        <v/>
      </c>
    </row>
    <row r="3582" spans="1:48" ht="14.65" thickBot="1" x14ac:dyDescent="0.5">
      <c r="A3582" s="35" t="s">
        <v>424</v>
      </c>
      <c r="B3582" s="3" t="s">
        <v>2708</v>
      </c>
      <c r="C3582" s="12"/>
      <c r="D3582" s="20"/>
      <c r="E3582" s="20"/>
      <c r="F3582" s="4"/>
      <c r="G3582" s="12"/>
      <c r="H3582" s="20"/>
      <c r="J3582" s="18" t="s">
        <v>2473</v>
      </c>
      <c r="K3582" s="18" t="s">
        <v>2473</v>
      </c>
      <c r="R3582" s="114"/>
      <c r="S3582" s="114"/>
      <c r="T3582" s="114"/>
      <c r="U3582" s="114"/>
      <c r="V3582" s="114"/>
      <c r="W3582" s="114"/>
      <c r="X3582" s="114"/>
      <c r="Y3582" s="149"/>
      <c r="Z3582" s="183"/>
      <c r="AA3582" s="183"/>
      <c r="AB3582" s="183"/>
      <c r="AC3582" s="183"/>
      <c r="AD3582" s="183"/>
      <c r="AE3582" s="184"/>
      <c r="AF3582" s="184"/>
      <c r="AG3582" s="183"/>
      <c r="AH3582" s="183"/>
      <c r="AI3582" s="183"/>
      <c r="AJ3582" s="183"/>
      <c r="AK3582" s="183"/>
      <c r="AL3582" s="183"/>
      <c r="AM3582" s="183"/>
      <c r="AN3582" s="131"/>
      <c r="AO3582" s="131"/>
      <c r="AP3582" s="131"/>
      <c r="AQ3582" s="131"/>
      <c r="AR3582" s="288"/>
      <c r="AS3582" s="259"/>
      <c r="AT3582" s="183"/>
      <c r="AU3582" s="8"/>
      <c r="AV3582" s="6" t="str">
        <f t="shared" si="75"/>
        <v/>
      </c>
    </row>
    <row r="3583" spans="1:48" ht="58.5" thickBot="1" x14ac:dyDescent="0.5">
      <c r="A3583" s="41" t="s">
        <v>894</v>
      </c>
      <c r="B3583" s="50" t="s">
        <v>3646</v>
      </c>
      <c r="C3583" s="12"/>
      <c r="D3583" s="20"/>
      <c r="E3583" s="20"/>
      <c r="F3583" s="20"/>
      <c r="G3583" s="12" t="s">
        <v>10</v>
      </c>
      <c r="H3583" s="20" t="s">
        <v>10</v>
      </c>
      <c r="J3583" s="18" t="s">
        <v>2473</v>
      </c>
      <c r="K3583" s="18" t="s">
        <v>2473</v>
      </c>
      <c r="Q3583" s="8" t="s">
        <v>3545</v>
      </c>
      <c r="R3583" s="122" t="s">
        <v>3529</v>
      </c>
      <c r="S3583" s="114" t="s">
        <v>4</v>
      </c>
      <c r="T3583" s="114" t="s">
        <v>577</v>
      </c>
      <c r="U3583" s="114" t="s">
        <v>3522</v>
      </c>
      <c r="V3583" s="114" t="s">
        <v>3530</v>
      </c>
      <c r="W3583" s="114" t="s">
        <v>3436</v>
      </c>
      <c r="X3583" s="114" t="s">
        <v>13</v>
      </c>
      <c r="Y3583" s="149"/>
      <c r="Z3583" s="183" t="s">
        <v>4</v>
      </c>
      <c r="AA3583" s="183" t="s">
        <v>2723</v>
      </c>
      <c r="AB3583" s="183" t="s">
        <v>4344</v>
      </c>
      <c r="AC3583" s="183" t="s">
        <v>4346</v>
      </c>
      <c r="AD3583" s="183" t="s">
        <v>4790</v>
      </c>
      <c r="AE3583" s="184"/>
      <c r="AF3583" s="184"/>
      <c r="AG3583" s="183"/>
      <c r="AH3583" s="183"/>
      <c r="AI3583" s="183"/>
      <c r="AJ3583" s="183"/>
      <c r="AK3583" s="183"/>
      <c r="AL3583" s="183"/>
      <c r="AM3583" s="183"/>
      <c r="AN3583" s="131"/>
      <c r="AO3583" s="131"/>
      <c r="AP3583" s="131"/>
      <c r="AQ3583" s="131"/>
      <c r="AR3583" s="288"/>
      <c r="AS3583" s="259"/>
      <c r="AT3583" s="183"/>
      <c r="AV3583" s="6" t="str">
        <f t="shared" si="75"/>
        <v>OK</v>
      </c>
    </row>
    <row r="3584" spans="1:48" ht="46.9" thickBot="1" x14ac:dyDescent="0.5">
      <c r="A3584" s="35" t="s">
        <v>3347</v>
      </c>
      <c r="B3584" s="3" t="s">
        <v>3348</v>
      </c>
      <c r="C3584" s="12"/>
      <c r="D3584" s="20"/>
      <c r="E3584" s="12"/>
      <c r="F3584" s="20"/>
      <c r="G3584" s="12" t="s">
        <v>10</v>
      </c>
      <c r="H3584" s="20"/>
      <c r="J3584" s="18" t="s">
        <v>2473</v>
      </c>
      <c r="K3584" s="18" t="s">
        <v>2473</v>
      </c>
      <c r="Q3584" s="125" t="s">
        <v>3545</v>
      </c>
      <c r="R3584" s="122" t="s">
        <v>3529</v>
      </c>
      <c r="S3584" s="114" t="s">
        <v>4</v>
      </c>
      <c r="T3584" s="114" t="s">
        <v>3461</v>
      </c>
      <c r="U3584" s="114" t="s">
        <v>3523</v>
      </c>
      <c r="V3584" s="114" t="s">
        <v>3530</v>
      </c>
      <c r="W3584" s="114" t="s">
        <v>3436</v>
      </c>
      <c r="X3584" s="114" t="s">
        <v>13</v>
      </c>
      <c r="Y3584" s="149"/>
      <c r="Z3584" s="183" t="s">
        <v>4</v>
      </c>
      <c r="AA3584" s="183" t="s">
        <v>2723</v>
      </c>
      <c r="AB3584" s="183" t="s">
        <v>4361</v>
      </c>
      <c r="AC3584" s="183" t="s">
        <v>6</v>
      </c>
      <c r="AD3584" s="183" t="s">
        <v>4797</v>
      </c>
      <c r="AE3584" s="184"/>
      <c r="AF3584" s="184" t="s">
        <v>4436</v>
      </c>
      <c r="AG3584" s="183"/>
      <c r="AH3584" s="183"/>
      <c r="AI3584" s="183"/>
      <c r="AJ3584" s="183"/>
      <c r="AK3584" s="183"/>
      <c r="AL3584" s="183" t="s">
        <v>4496</v>
      </c>
      <c r="AM3584" s="183"/>
      <c r="AN3584" s="131"/>
      <c r="AO3584" s="131"/>
      <c r="AP3584" s="131"/>
      <c r="AQ3584" s="131"/>
      <c r="AR3584" s="288"/>
      <c r="AS3584" s="259"/>
      <c r="AT3584" s="183"/>
      <c r="AV3584" s="6" t="str">
        <f t="shared" si="75"/>
        <v>OK</v>
      </c>
    </row>
    <row r="3585" spans="1:48" ht="70.150000000000006" thickBot="1" x14ac:dyDescent="0.5">
      <c r="A3585" s="35" t="s">
        <v>2890</v>
      </c>
      <c r="B3585" s="3" t="s">
        <v>3647</v>
      </c>
      <c r="C3585" s="12"/>
      <c r="D3585" s="20"/>
      <c r="E3585" s="12"/>
      <c r="F3585" s="20"/>
      <c r="G3585" s="12" t="s">
        <v>37</v>
      </c>
      <c r="H3585" s="20"/>
      <c r="J3585" s="18" t="s">
        <v>2473</v>
      </c>
      <c r="K3585" s="18" t="s">
        <v>2473</v>
      </c>
      <c r="Q3585" s="125" t="s">
        <v>3545</v>
      </c>
      <c r="R3585" s="122" t="s">
        <v>3529</v>
      </c>
      <c r="S3585" s="114" t="s">
        <v>4</v>
      </c>
      <c r="T3585" s="114" t="s">
        <v>3462</v>
      </c>
      <c r="U3585" s="114" t="s">
        <v>3522</v>
      </c>
      <c r="V3585" s="114" t="s">
        <v>3530</v>
      </c>
      <c r="W3585" s="114" t="s">
        <v>3436</v>
      </c>
      <c r="X3585" s="114" t="s">
        <v>13</v>
      </c>
      <c r="Y3585" s="149"/>
      <c r="Z3585" s="183" t="s">
        <v>4</v>
      </c>
      <c r="AA3585" s="183" t="s">
        <v>2723</v>
      </c>
      <c r="AB3585" s="183" t="s">
        <v>4344</v>
      </c>
      <c r="AC3585" s="183" t="s">
        <v>6</v>
      </c>
      <c r="AD3585" s="183" t="s">
        <v>4798</v>
      </c>
      <c r="AE3585" s="184"/>
      <c r="AF3585" s="184"/>
      <c r="AG3585" s="183"/>
      <c r="AH3585" s="183"/>
      <c r="AI3585" s="183"/>
      <c r="AJ3585" s="183"/>
      <c r="AK3585" s="183"/>
      <c r="AL3585" s="183" t="s">
        <v>4496</v>
      </c>
      <c r="AM3585" s="183"/>
      <c r="AN3585" s="131"/>
      <c r="AO3585" s="131"/>
      <c r="AP3585" s="131"/>
      <c r="AQ3585" s="131"/>
      <c r="AR3585" s="288"/>
      <c r="AS3585" s="259"/>
      <c r="AT3585" s="183"/>
      <c r="AV3585" s="6" t="str">
        <f t="shared" si="75"/>
        <v>OK</v>
      </c>
    </row>
    <row r="3586" spans="1:48" ht="116.65" thickBot="1" x14ac:dyDescent="0.5">
      <c r="A3586" s="35" t="s">
        <v>3343</v>
      </c>
      <c r="B3586" s="3" t="s">
        <v>3349</v>
      </c>
      <c r="C3586" s="12"/>
      <c r="D3586" s="20"/>
      <c r="E3586" s="12"/>
      <c r="F3586" s="20"/>
      <c r="G3586" s="12" t="s">
        <v>10</v>
      </c>
      <c r="H3586" s="20"/>
      <c r="J3586" s="18" t="s">
        <v>2473</v>
      </c>
      <c r="K3586" s="18" t="s">
        <v>2473</v>
      </c>
      <c r="Q3586" s="125" t="s">
        <v>3545</v>
      </c>
      <c r="R3586" s="122" t="s">
        <v>3435</v>
      </c>
      <c r="S3586" s="114" t="s">
        <v>3443</v>
      </c>
      <c r="T3586" s="114" t="s">
        <v>3463</v>
      </c>
      <c r="U3586" s="114" t="s">
        <v>3523</v>
      </c>
      <c r="V3586" s="114" t="s">
        <v>3531</v>
      </c>
      <c r="W3586" s="114" t="s">
        <v>3436</v>
      </c>
      <c r="X3586" s="114" t="s">
        <v>13</v>
      </c>
      <c r="Y3586" s="149"/>
      <c r="Z3586" s="183" t="s">
        <v>4</v>
      </c>
      <c r="AA3586" s="183" t="s">
        <v>2723</v>
      </c>
      <c r="AB3586" s="183" t="s">
        <v>4361</v>
      </c>
      <c r="AC3586" s="183" t="s">
        <v>6</v>
      </c>
      <c r="AD3586" s="183" t="s">
        <v>4800</v>
      </c>
      <c r="AE3586" s="184"/>
      <c r="AF3586" s="184" t="s">
        <v>4436</v>
      </c>
      <c r="AG3586" s="183"/>
      <c r="AH3586" s="183"/>
      <c r="AI3586" s="183"/>
      <c r="AJ3586" s="183"/>
      <c r="AK3586" s="183"/>
      <c r="AL3586" s="183" t="s">
        <v>4496</v>
      </c>
      <c r="AM3586" s="183"/>
      <c r="AN3586" s="131"/>
      <c r="AO3586" s="131"/>
      <c r="AP3586" s="131"/>
      <c r="AQ3586" s="131"/>
      <c r="AR3586" s="288"/>
      <c r="AS3586" s="259"/>
      <c r="AT3586" s="183"/>
      <c r="AV3586" s="6" t="str">
        <f t="shared" si="75"/>
        <v>OK</v>
      </c>
    </row>
    <row r="3587" spans="1:48" ht="139.9" thickBot="1" x14ac:dyDescent="0.5">
      <c r="A3587" s="35" t="s">
        <v>3344</v>
      </c>
      <c r="B3587" s="3" t="s">
        <v>3350</v>
      </c>
      <c r="C3587" s="12"/>
      <c r="D3587" s="20"/>
      <c r="E3587" s="12"/>
      <c r="F3587" s="20"/>
      <c r="G3587" s="12" t="s">
        <v>10</v>
      </c>
      <c r="H3587" s="20"/>
      <c r="J3587" s="18" t="s">
        <v>2473</v>
      </c>
      <c r="K3587" s="18" t="s">
        <v>2473</v>
      </c>
      <c r="Q3587" s="125" t="s">
        <v>3545</v>
      </c>
      <c r="R3587" s="122" t="s">
        <v>3435</v>
      </c>
      <c r="S3587" s="114" t="s">
        <v>3443</v>
      </c>
      <c r="T3587" s="114" t="s">
        <v>3464</v>
      </c>
      <c r="U3587" s="114" t="s">
        <v>3523</v>
      </c>
      <c r="V3587" s="114" t="s">
        <v>3531</v>
      </c>
      <c r="W3587" s="114" t="s">
        <v>3436</v>
      </c>
      <c r="X3587" s="114" t="s">
        <v>13</v>
      </c>
      <c r="Y3587" s="149"/>
      <c r="Z3587" s="183" t="s">
        <v>4</v>
      </c>
      <c r="AA3587" s="183" t="s">
        <v>2723</v>
      </c>
      <c r="AB3587" s="183" t="s">
        <v>4361</v>
      </c>
      <c r="AC3587" s="183" t="s">
        <v>6</v>
      </c>
      <c r="AD3587" s="183" t="s">
        <v>4799</v>
      </c>
      <c r="AE3587" s="184"/>
      <c r="AF3587" s="184" t="s">
        <v>4436</v>
      </c>
      <c r="AG3587" s="183"/>
      <c r="AH3587" s="183"/>
      <c r="AI3587" s="183"/>
      <c r="AJ3587" s="183"/>
      <c r="AK3587" s="183"/>
      <c r="AL3587" s="183" t="s">
        <v>4496</v>
      </c>
      <c r="AM3587" s="183"/>
      <c r="AN3587" s="131"/>
      <c r="AO3587" s="131"/>
      <c r="AP3587" s="131"/>
      <c r="AQ3587" s="131"/>
      <c r="AR3587" s="288"/>
      <c r="AS3587" s="259"/>
      <c r="AT3587" s="183"/>
      <c r="AV3587" s="6" t="str">
        <f t="shared" si="75"/>
        <v>OK</v>
      </c>
    </row>
    <row r="3588" spans="1:48" ht="93.4" thickBot="1" x14ac:dyDescent="0.5">
      <c r="A3588" s="35" t="s">
        <v>3345</v>
      </c>
      <c r="B3588" s="3" t="s">
        <v>3351</v>
      </c>
      <c r="C3588" s="12"/>
      <c r="D3588" s="20"/>
      <c r="E3588" s="12"/>
      <c r="F3588" s="20"/>
      <c r="G3588" s="12" t="s">
        <v>10</v>
      </c>
      <c r="H3588" s="20"/>
      <c r="J3588" s="18" t="s">
        <v>2473</v>
      </c>
      <c r="K3588" s="18" t="s">
        <v>2473</v>
      </c>
      <c r="Q3588" s="125" t="s">
        <v>3545</v>
      </c>
      <c r="R3588" s="122" t="s">
        <v>3435</v>
      </c>
      <c r="S3588" s="114" t="s">
        <v>3443</v>
      </c>
      <c r="T3588" s="114" t="s">
        <v>3465</v>
      </c>
      <c r="U3588" s="114" t="s">
        <v>3523</v>
      </c>
      <c r="V3588" s="114" t="s">
        <v>3531</v>
      </c>
      <c r="W3588" s="114" t="s">
        <v>3436</v>
      </c>
      <c r="X3588" s="114" t="s">
        <v>13</v>
      </c>
      <c r="Y3588" s="149"/>
      <c r="Z3588" s="183" t="s">
        <v>4</v>
      </c>
      <c r="AA3588" s="183" t="s">
        <v>2723</v>
      </c>
      <c r="AB3588" s="183" t="s">
        <v>4361</v>
      </c>
      <c r="AC3588" s="183" t="s">
        <v>6</v>
      </c>
      <c r="AD3588" s="183" t="s">
        <v>4801</v>
      </c>
      <c r="AE3588" s="184"/>
      <c r="AF3588" s="184" t="s">
        <v>4436</v>
      </c>
      <c r="AG3588" s="183"/>
      <c r="AH3588" s="183"/>
      <c r="AI3588" s="183"/>
      <c r="AJ3588" s="183"/>
      <c r="AK3588" s="183"/>
      <c r="AL3588" s="183" t="s">
        <v>4496</v>
      </c>
      <c r="AM3588" s="183"/>
      <c r="AN3588" s="131"/>
      <c r="AO3588" s="131"/>
      <c r="AP3588" s="131"/>
      <c r="AQ3588" s="131"/>
      <c r="AR3588" s="288"/>
      <c r="AS3588" s="259"/>
      <c r="AT3588" s="183"/>
      <c r="AV3588" s="6" t="str">
        <f t="shared" si="75"/>
        <v>OK</v>
      </c>
    </row>
    <row r="3589" spans="1:48" ht="93.4" thickBot="1" x14ac:dyDescent="0.5">
      <c r="A3589" s="35" t="s">
        <v>3346</v>
      </c>
      <c r="B3589" s="3" t="s">
        <v>3351</v>
      </c>
      <c r="C3589" s="12"/>
      <c r="D3589" s="20"/>
      <c r="E3589" s="12"/>
      <c r="F3589" s="20"/>
      <c r="G3589" s="12" t="s">
        <v>10</v>
      </c>
      <c r="H3589" s="20"/>
      <c r="J3589" s="18" t="s">
        <v>2473</v>
      </c>
      <c r="K3589" s="18" t="s">
        <v>2473</v>
      </c>
      <c r="Q3589" s="125" t="s">
        <v>3545</v>
      </c>
      <c r="R3589" s="122" t="s">
        <v>3435</v>
      </c>
      <c r="S3589" s="114" t="s">
        <v>3443</v>
      </c>
      <c r="T3589" s="114" t="s">
        <v>3466</v>
      </c>
      <c r="U3589" s="114" t="s">
        <v>3523</v>
      </c>
      <c r="V3589" s="114" t="s">
        <v>3531</v>
      </c>
      <c r="W3589" s="114" t="s">
        <v>3436</v>
      </c>
      <c r="X3589" s="114" t="s">
        <v>13</v>
      </c>
      <c r="Y3589" s="149"/>
      <c r="Z3589" s="183" t="s">
        <v>4</v>
      </c>
      <c r="AA3589" s="183" t="s">
        <v>2723</v>
      </c>
      <c r="AB3589" s="183" t="s">
        <v>4361</v>
      </c>
      <c r="AC3589" s="183" t="s">
        <v>6</v>
      </c>
      <c r="AD3589" s="183" t="s">
        <v>4802</v>
      </c>
      <c r="AE3589" s="184"/>
      <c r="AF3589" s="184" t="s">
        <v>4436</v>
      </c>
      <c r="AG3589" s="183"/>
      <c r="AH3589" s="183"/>
      <c r="AI3589" s="183"/>
      <c r="AJ3589" s="183"/>
      <c r="AK3589" s="183"/>
      <c r="AL3589" s="183" t="s">
        <v>4496</v>
      </c>
      <c r="AM3589" s="183"/>
      <c r="AN3589" s="131"/>
      <c r="AO3589" s="131"/>
      <c r="AP3589" s="131"/>
      <c r="AQ3589" s="131"/>
      <c r="AR3589" s="288"/>
      <c r="AS3589" s="259"/>
      <c r="AT3589" s="183"/>
      <c r="AV3589" s="6" t="str">
        <f t="shared" si="75"/>
        <v>OK</v>
      </c>
    </row>
    <row r="3590" spans="1:48" ht="70.150000000000006" thickBot="1" x14ac:dyDescent="0.5">
      <c r="A3590" s="35" t="s">
        <v>2712</v>
      </c>
      <c r="B3590" s="3" t="s">
        <v>3652</v>
      </c>
      <c r="C3590" s="12"/>
      <c r="D3590" s="20"/>
      <c r="E3590" s="12"/>
      <c r="F3590" s="20"/>
      <c r="G3590" s="12" t="s">
        <v>10</v>
      </c>
      <c r="H3590" s="20"/>
      <c r="J3590" s="18" t="s">
        <v>2473</v>
      </c>
      <c r="K3590" s="18" t="s">
        <v>2473</v>
      </c>
      <c r="Q3590" s="125" t="s">
        <v>3545</v>
      </c>
      <c r="R3590" s="122" t="s">
        <v>3435</v>
      </c>
      <c r="S3590" s="114" t="s">
        <v>3443</v>
      </c>
      <c r="T3590" s="114" t="s">
        <v>3467</v>
      </c>
      <c r="U3590" s="114" t="s">
        <v>3524</v>
      </c>
      <c r="V3590" s="114" t="s">
        <v>3531</v>
      </c>
      <c r="W3590" s="114" t="s">
        <v>3436</v>
      </c>
      <c r="X3590" s="114" t="s">
        <v>13</v>
      </c>
      <c r="Y3590" s="149"/>
      <c r="Z3590" s="183" t="s">
        <v>4</v>
      </c>
      <c r="AA3590" s="183" t="s">
        <v>2723</v>
      </c>
      <c r="AB3590" s="183" t="s">
        <v>4361</v>
      </c>
      <c r="AC3590" s="183" t="s">
        <v>6</v>
      </c>
      <c r="AD3590" s="183" t="s">
        <v>4803</v>
      </c>
      <c r="AE3590" s="184"/>
      <c r="AF3590" s="184" t="s">
        <v>4436</v>
      </c>
      <c r="AG3590" s="183"/>
      <c r="AH3590" s="183"/>
      <c r="AI3590" s="183"/>
      <c r="AJ3590" s="183"/>
      <c r="AK3590" s="183"/>
      <c r="AL3590" s="183"/>
      <c r="AM3590" s="183"/>
      <c r="AN3590" s="131"/>
      <c r="AO3590" s="131"/>
      <c r="AP3590" s="131"/>
      <c r="AQ3590" s="131"/>
      <c r="AR3590" s="288"/>
      <c r="AS3590" s="259"/>
      <c r="AT3590" s="183"/>
      <c r="AV3590" s="6" t="str">
        <f t="shared" si="75"/>
        <v>OK</v>
      </c>
    </row>
    <row r="3591" spans="1:48" ht="81.75" thickBot="1" x14ac:dyDescent="0.5">
      <c r="A3591" s="35" t="s">
        <v>2713</v>
      </c>
      <c r="B3591" s="3" t="s">
        <v>3653</v>
      </c>
      <c r="C3591" s="12"/>
      <c r="D3591" s="20"/>
      <c r="E3591" s="12"/>
      <c r="F3591" s="20"/>
      <c r="G3591" s="12" t="s">
        <v>10</v>
      </c>
      <c r="H3591" s="20"/>
      <c r="J3591" s="18" t="s">
        <v>2473</v>
      </c>
      <c r="K3591" s="18" t="s">
        <v>2473</v>
      </c>
      <c r="Q3591" s="125" t="s">
        <v>3545</v>
      </c>
      <c r="R3591" s="122" t="s">
        <v>3435</v>
      </c>
      <c r="S3591" s="114" t="s">
        <v>3443</v>
      </c>
      <c r="T3591" s="114" t="s">
        <v>3468</v>
      </c>
      <c r="U3591" s="114" t="s">
        <v>3524</v>
      </c>
      <c r="V3591" s="114" t="s">
        <v>3531</v>
      </c>
      <c r="W3591" s="114" t="s">
        <v>3436</v>
      </c>
      <c r="X3591" s="114" t="s">
        <v>13</v>
      </c>
      <c r="Y3591" s="149"/>
      <c r="Z3591" s="183" t="s">
        <v>4</v>
      </c>
      <c r="AA3591" s="183" t="s">
        <v>2723</v>
      </c>
      <c r="AB3591" s="183" t="s">
        <v>4361</v>
      </c>
      <c r="AC3591" s="183" t="s">
        <v>6</v>
      </c>
      <c r="AD3591" s="183" t="s">
        <v>4804</v>
      </c>
      <c r="AE3591" s="184"/>
      <c r="AF3591" s="184" t="s">
        <v>4436</v>
      </c>
      <c r="AG3591" s="183"/>
      <c r="AH3591" s="183"/>
      <c r="AI3591" s="183"/>
      <c r="AJ3591" s="183"/>
      <c r="AK3591" s="183"/>
      <c r="AL3591" s="183"/>
      <c r="AM3591" s="183"/>
      <c r="AN3591" s="131"/>
      <c r="AO3591" s="131"/>
      <c r="AP3591" s="131"/>
      <c r="AQ3591" s="131"/>
      <c r="AR3591" s="288"/>
      <c r="AS3591" s="259"/>
      <c r="AT3591" s="183"/>
      <c r="AV3591" s="6" t="str">
        <f t="shared" si="75"/>
        <v>OK</v>
      </c>
    </row>
    <row r="3592" spans="1:48" ht="70.150000000000006" thickBot="1" x14ac:dyDescent="0.5">
      <c r="A3592" s="35" t="s">
        <v>3342</v>
      </c>
      <c r="B3592" s="3" t="s">
        <v>3648</v>
      </c>
      <c r="C3592" s="12"/>
      <c r="D3592" s="20"/>
      <c r="E3592" s="12"/>
      <c r="F3592" s="20"/>
      <c r="G3592" s="12" t="s">
        <v>10</v>
      </c>
      <c r="H3592" s="20"/>
      <c r="J3592" s="18" t="s">
        <v>2473</v>
      </c>
      <c r="K3592" s="18" t="s">
        <v>2473</v>
      </c>
      <c r="Q3592" s="125" t="s">
        <v>3545</v>
      </c>
      <c r="R3592" s="122" t="s">
        <v>3435</v>
      </c>
      <c r="S3592" s="114" t="s">
        <v>3443</v>
      </c>
      <c r="T3592" s="114" t="s">
        <v>3469</v>
      </c>
      <c r="U3592" s="114" t="s">
        <v>3523</v>
      </c>
      <c r="V3592" s="114" t="s">
        <v>3531</v>
      </c>
      <c r="W3592" s="114" t="s">
        <v>3436</v>
      </c>
      <c r="X3592" s="114" t="s">
        <v>13</v>
      </c>
      <c r="Y3592" s="149"/>
      <c r="Z3592" s="183" t="s">
        <v>4</v>
      </c>
      <c r="AA3592" s="183" t="s">
        <v>2723</v>
      </c>
      <c r="AB3592" s="183" t="s">
        <v>4361</v>
      </c>
      <c r="AC3592" s="183" t="s">
        <v>6</v>
      </c>
      <c r="AD3592" s="183" t="s">
        <v>4805</v>
      </c>
      <c r="AE3592" s="184"/>
      <c r="AF3592" s="184" t="s">
        <v>4436</v>
      </c>
      <c r="AG3592" s="183"/>
      <c r="AH3592" s="183"/>
      <c r="AI3592" s="183"/>
      <c r="AJ3592" s="183"/>
      <c r="AK3592" s="183"/>
      <c r="AL3592" s="183" t="s">
        <v>4496</v>
      </c>
      <c r="AM3592" s="183"/>
      <c r="AN3592" s="131"/>
      <c r="AO3592" s="131"/>
      <c r="AP3592" s="131"/>
      <c r="AQ3592" s="131"/>
      <c r="AR3592" s="288"/>
      <c r="AS3592" s="259"/>
      <c r="AT3592" s="183"/>
      <c r="AV3592" s="6" t="str">
        <f t="shared" si="75"/>
        <v>OK</v>
      </c>
    </row>
    <row r="3593" spans="1:48" ht="116.65" thickBot="1" x14ac:dyDescent="0.5">
      <c r="A3593" s="44" t="s">
        <v>2705</v>
      </c>
      <c r="B3593" s="50" t="s">
        <v>4070</v>
      </c>
      <c r="C3593" s="12"/>
      <c r="D3593" s="20"/>
      <c r="E3593" s="20"/>
      <c r="F3593" s="20"/>
      <c r="G3593" s="12" t="s">
        <v>10</v>
      </c>
      <c r="H3593" s="20"/>
      <c r="J3593" s="18" t="s">
        <v>2473</v>
      </c>
      <c r="K3593" s="18" t="s">
        <v>2473</v>
      </c>
      <c r="R3593" s="122" t="s">
        <v>3435</v>
      </c>
      <c r="S3593" s="114" t="s">
        <v>3437</v>
      </c>
      <c r="T3593" s="114" t="s">
        <v>2705</v>
      </c>
      <c r="U3593" s="114"/>
      <c r="V3593" s="114" t="s">
        <v>3546</v>
      </c>
      <c r="W3593" s="114" t="s">
        <v>3436</v>
      </c>
      <c r="X3593" s="114" t="s">
        <v>13</v>
      </c>
      <c r="Y3593" s="149"/>
      <c r="Z3593" s="183" t="s">
        <v>4</v>
      </c>
      <c r="AA3593" s="183"/>
      <c r="AB3593" s="183" t="s">
        <v>4349</v>
      </c>
      <c r="AC3593" s="183"/>
      <c r="AD3593" s="183" t="s">
        <v>4795</v>
      </c>
      <c r="AE3593" s="184"/>
      <c r="AF3593" s="184"/>
      <c r="AG3593" s="183"/>
      <c r="AH3593" s="183"/>
      <c r="AI3593" s="183" t="str">
        <f>"true"</f>
        <v>true</v>
      </c>
      <c r="AJ3593" s="183"/>
      <c r="AK3593" s="183" t="s">
        <v>2705</v>
      </c>
      <c r="AL3593" s="183"/>
      <c r="AM3593" s="183"/>
      <c r="AN3593" s="131"/>
      <c r="AO3593" s="131"/>
      <c r="AP3593" s="131"/>
      <c r="AQ3593" s="131"/>
      <c r="AR3593" s="288"/>
      <c r="AS3593" s="259"/>
      <c r="AT3593" s="183"/>
      <c r="AV3593" s="6" t="str">
        <f t="shared" si="75"/>
        <v>OK</v>
      </c>
    </row>
    <row r="3594" spans="1:48" ht="14.65" thickBot="1" x14ac:dyDescent="0.5">
      <c r="A3594" s="41" t="s">
        <v>33</v>
      </c>
      <c r="B3594" s="50" t="s">
        <v>144</v>
      </c>
      <c r="C3594" s="12"/>
      <c r="D3594" s="20"/>
      <c r="E3594" s="20"/>
      <c r="F3594" s="20"/>
      <c r="G3594" s="12"/>
      <c r="H3594" s="20"/>
      <c r="J3594" s="18" t="s">
        <v>2473</v>
      </c>
      <c r="K3594" s="18" t="s">
        <v>2473</v>
      </c>
      <c r="R3594" s="114"/>
      <c r="S3594" s="114"/>
      <c r="T3594" s="114"/>
      <c r="U3594" s="114"/>
      <c r="V3594" s="114"/>
      <c r="W3594" s="114"/>
      <c r="X3594" s="114"/>
      <c r="Y3594" s="149"/>
      <c r="Z3594" s="183"/>
      <c r="AA3594" s="183"/>
      <c r="AB3594" s="183"/>
      <c r="AC3594" s="183"/>
      <c r="AD3594" s="183"/>
      <c r="AE3594" s="184"/>
      <c r="AF3594" s="184"/>
      <c r="AG3594" s="183"/>
      <c r="AH3594" s="183"/>
      <c r="AI3594" s="183"/>
      <c r="AJ3594" s="183"/>
      <c r="AK3594" s="183"/>
      <c r="AL3594" s="183"/>
      <c r="AM3594" s="183"/>
      <c r="AN3594" s="131"/>
      <c r="AO3594" s="131"/>
      <c r="AP3594" s="131"/>
      <c r="AQ3594" s="131"/>
      <c r="AR3594" s="288"/>
      <c r="AS3594" s="259"/>
      <c r="AT3594" s="183"/>
      <c r="AV3594" s="6" t="str">
        <f t="shared" si="75"/>
        <v/>
      </c>
    </row>
    <row r="3595" spans="1:48" ht="14.65" thickBot="1" x14ac:dyDescent="0.5">
      <c r="A3595" s="35" t="s">
        <v>461</v>
      </c>
      <c r="B3595" s="3" t="s">
        <v>462</v>
      </c>
      <c r="C3595" s="12"/>
      <c r="D3595" s="20"/>
      <c r="E3595" s="20"/>
      <c r="F3595" s="4"/>
      <c r="G3595" s="12"/>
      <c r="H3595" s="20"/>
      <c r="J3595" s="18" t="s">
        <v>2473</v>
      </c>
      <c r="K3595" s="18" t="s">
        <v>2473</v>
      </c>
      <c r="R3595" s="114"/>
      <c r="S3595" s="114"/>
      <c r="T3595" s="114"/>
      <c r="U3595" s="114"/>
      <c r="V3595" s="114"/>
      <c r="W3595" s="114"/>
      <c r="X3595" s="114"/>
      <c r="Y3595" s="149"/>
      <c r="Z3595" s="183"/>
      <c r="AA3595" s="183"/>
      <c r="AB3595" s="183"/>
      <c r="AC3595" s="183"/>
      <c r="AD3595" s="183"/>
      <c r="AE3595" s="184"/>
      <c r="AF3595" s="184"/>
      <c r="AG3595" s="183"/>
      <c r="AH3595" s="183"/>
      <c r="AI3595" s="183"/>
      <c r="AJ3595" s="183"/>
      <c r="AK3595" s="183"/>
      <c r="AL3595" s="183"/>
      <c r="AM3595" s="183"/>
      <c r="AN3595" s="131"/>
      <c r="AO3595" s="131"/>
      <c r="AP3595" s="131"/>
      <c r="AQ3595" s="131"/>
      <c r="AR3595" s="288"/>
      <c r="AS3595" s="259"/>
      <c r="AT3595" s="183"/>
      <c r="AU3595" s="8"/>
      <c r="AV3595" s="6" t="str">
        <f t="shared" si="75"/>
        <v/>
      </c>
    </row>
    <row r="3596" spans="1:48" ht="14.65" thickBot="1" x14ac:dyDescent="0.5">
      <c r="A3596" s="35" t="s">
        <v>424</v>
      </c>
      <c r="B3596" s="3" t="s">
        <v>2707</v>
      </c>
      <c r="C3596" s="12"/>
      <c r="D3596" s="20"/>
      <c r="E3596" s="20"/>
      <c r="F3596" s="4"/>
      <c r="G3596" s="12"/>
      <c r="H3596" s="20"/>
      <c r="J3596" s="18" t="s">
        <v>2473</v>
      </c>
      <c r="K3596" s="18" t="s">
        <v>2473</v>
      </c>
      <c r="R3596" s="114"/>
      <c r="S3596" s="114"/>
      <c r="T3596" s="114"/>
      <c r="U3596" s="114"/>
      <c r="V3596" s="114"/>
      <c r="W3596" s="114"/>
      <c r="X3596" s="114"/>
      <c r="Y3596" s="149"/>
      <c r="Z3596" s="183"/>
      <c r="AA3596" s="183"/>
      <c r="AB3596" s="183"/>
      <c r="AC3596" s="183"/>
      <c r="AD3596" s="183"/>
      <c r="AE3596" s="184"/>
      <c r="AF3596" s="184"/>
      <c r="AG3596" s="183"/>
      <c r="AH3596" s="183"/>
      <c r="AI3596" s="183"/>
      <c r="AJ3596" s="183"/>
      <c r="AK3596" s="183"/>
      <c r="AL3596" s="183"/>
      <c r="AM3596" s="183"/>
      <c r="AN3596" s="131"/>
      <c r="AO3596" s="131"/>
      <c r="AP3596" s="131"/>
      <c r="AQ3596" s="131"/>
      <c r="AR3596" s="288"/>
      <c r="AS3596" s="259"/>
      <c r="AT3596" s="183"/>
      <c r="AU3596" s="8"/>
      <c r="AV3596" s="6" t="str">
        <f t="shared" si="75"/>
        <v/>
      </c>
    </row>
    <row r="3597" spans="1:48" ht="58.5" thickBot="1" x14ac:dyDescent="0.5">
      <c r="A3597" s="41" t="s">
        <v>894</v>
      </c>
      <c r="B3597" s="50" t="s">
        <v>3644</v>
      </c>
      <c r="C3597" s="12"/>
      <c r="D3597" s="20"/>
      <c r="E3597" s="20"/>
      <c r="F3597" s="20"/>
      <c r="G3597" s="12" t="s">
        <v>10</v>
      </c>
      <c r="H3597" s="20" t="s">
        <v>10</v>
      </c>
      <c r="J3597" s="18" t="s">
        <v>2473</v>
      </c>
      <c r="K3597" s="18" t="s">
        <v>2473</v>
      </c>
      <c r="Q3597" s="8" t="s">
        <v>3546</v>
      </c>
      <c r="R3597" s="122" t="s">
        <v>3529</v>
      </c>
      <c r="S3597" s="114" t="s">
        <v>4</v>
      </c>
      <c r="T3597" s="114" t="s">
        <v>577</v>
      </c>
      <c r="U3597" s="114" t="s">
        <v>3522</v>
      </c>
      <c r="V3597" s="114" t="s">
        <v>3530</v>
      </c>
      <c r="W3597" s="114" t="s">
        <v>3436</v>
      </c>
      <c r="X3597" s="114" t="s">
        <v>13</v>
      </c>
      <c r="Y3597" s="149"/>
      <c r="Z3597" s="183" t="s">
        <v>4</v>
      </c>
      <c r="AA3597" s="183" t="s">
        <v>2705</v>
      </c>
      <c r="AB3597" s="183" t="s">
        <v>4344</v>
      </c>
      <c r="AC3597" s="183" t="s">
        <v>4346</v>
      </c>
      <c r="AD3597" s="183" t="s">
        <v>4789</v>
      </c>
      <c r="AE3597" s="184"/>
      <c r="AF3597" s="184"/>
      <c r="AG3597" s="183"/>
      <c r="AH3597" s="183"/>
      <c r="AI3597" s="183"/>
      <c r="AJ3597" s="183"/>
      <c r="AK3597" s="183"/>
      <c r="AL3597" s="183"/>
      <c r="AM3597" s="183"/>
      <c r="AN3597" s="131"/>
      <c r="AO3597" s="131"/>
      <c r="AP3597" s="131"/>
      <c r="AQ3597" s="131"/>
      <c r="AR3597" s="288"/>
      <c r="AS3597" s="259"/>
      <c r="AT3597" s="183"/>
      <c r="AV3597" s="6" t="str">
        <f t="shared" si="75"/>
        <v>OK</v>
      </c>
    </row>
    <row r="3598" spans="1:48" ht="93.4" thickBot="1" x14ac:dyDescent="0.5">
      <c r="A3598" s="243" t="s">
        <v>5944</v>
      </c>
      <c r="B3598" s="274" t="s">
        <v>5945</v>
      </c>
      <c r="C3598" s="12"/>
      <c r="D3598" s="20"/>
      <c r="E3598" s="12"/>
      <c r="F3598" s="20"/>
      <c r="G3598" s="275" t="s">
        <v>37</v>
      </c>
      <c r="H3598" s="20"/>
      <c r="K3598" s="276" t="s">
        <v>2473</v>
      </c>
      <c r="N3598" s="271" t="s">
        <v>5935</v>
      </c>
      <c r="Q3598" s="125"/>
      <c r="R3598" s="122"/>
      <c r="S3598" s="114"/>
      <c r="T3598" s="114"/>
      <c r="U3598" s="114"/>
      <c r="V3598" s="114"/>
      <c r="W3598" s="114"/>
      <c r="X3598" s="114"/>
      <c r="Y3598" s="149"/>
      <c r="Z3598" s="273" t="s">
        <v>4</v>
      </c>
      <c r="AA3598" s="273" t="s">
        <v>2705</v>
      </c>
      <c r="AB3598" s="273" t="s">
        <v>4361</v>
      </c>
      <c r="AC3598" s="273" t="s">
        <v>6</v>
      </c>
      <c r="AD3598" s="277" t="s">
        <v>5946</v>
      </c>
      <c r="AE3598" s="184"/>
      <c r="AF3598" s="254" t="s">
        <v>4436</v>
      </c>
      <c r="AG3598" s="183"/>
      <c r="AH3598" s="183"/>
      <c r="AI3598" s="183"/>
      <c r="AJ3598" s="183"/>
      <c r="AK3598" s="183"/>
      <c r="AL3598" s="183"/>
      <c r="AM3598" s="183"/>
      <c r="AN3598" s="131"/>
      <c r="AO3598" s="131"/>
      <c r="AP3598" s="131"/>
      <c r="AQ3598" s="131"/>
      <c r="AR3598" s="288"/>
      <c r="AS3598" s="259"/>
      <c r="AT3598" s="183"/>
      <c r="AV3598" s="6" t="str">
        <f t="shared" ref="AV3598" si="76">IF(A3598&lt;&gt;"",IF(T3598&lt;&gt;"",IF(LEFT(R3598,3)="Has",IF(TRIM(A3598)&lt;&gt;T3598,"ERROR","OK"),""),""),"")</f>
        <v/>
      </c>
    </row>
    <row r="3599" spans="1:48" ht="70.150000000000006" thickBot="1" x14ac:dyDescent="0.5">
      <c r="A3599" s="243" t="s">
        <v>5973</v>
      </c>
      <c r="B3599" s="274" t="s">
        <v>5974</v>
      </c>
      <c r="C3599" s="12"/>
      <c r="D3599" s="20"/>
      <c r="E3599" s="12"/>
      <c r="F3599" s="20"/>
      <c r="G3599" s="275" t="s">
        <v>37</v>
      </c>
      <c r="H3599" s="20"/>
      <c r="K3599" s="276" t="s">
        <v>2473</v>
      </c>
      <c r="N3599" s="272"/>
      <c r="Q3599" s="125"/>
      <c r="R3599" s="122"/>
      <c r="S3599" s="114"/>
      <c r="T3599" s="114"/>
      <c r="U3599" s="114"/>
      <c r="V3599" s="114"/>
      <c r="W3599" s="114"/>
      <c r="X3599" s="114"/>
      <c r="Y3599" s="149"/>
      <c r="Z3599" s="273" t="s">
        <v>4</v>
      </c>
      <c r="AA3599" s="273" t="s">
        <v>2705</v>
      </c>
      <c r="AB3599" s="273" t="s">
        <v>5981</v>
      </c>
      <c r="AC3599" s="273" t="s">
        <v>6</v>
      </c>
      <c r="AD3599" s="274" t="s">
        <v>5975</v>
      </c>
      <c r="AE3599" s="184"/>
      <c r="AF3599" s="184"/>
      <c r="AG3599" s="183"/>
      <c r="AH3599" s="183"/>
      <c r="AI3599" s="183"/>
      <c r="AJ3599" s="183"/>
      <c r="AK3599" s="183"/>
      <c r="AL3599" s="183"/>
      <c r="AM3599" s="183"/>
      <c r="AN3599" s="131"/>
      <c r="AO3599" s="131"/>
      <c r="AP3599" s="131"/>
      <c r="AQ3599" s="131"/>
      <c r="AR3599" s="293" t="s">
        <v>5976</v>
      </c>
      <c r="AS3599" s="259"/>
      <c r="AT3599" s="183"/>
      <c r="AV3599" s="6"/>
    </row>
    <row r="3600" spans="1:48" ht="58.5" thickBot="1" x14ac:dyDescent="0.5">
      <c r="A3600" s="35" t="s">
        <v>128</v>
      </c>
      <c r="B3600" s="3" t="s">
        <v>3651</v>
      </c>
      <c r="C3600" s="12"/>
      <c r="D3600" s="20"/>
      <c r="E3600" s="12"/>
      <c r="F3600" s="20"/>
      <c r="G3600" s="12" t="s">
        <v>37</v>
      </c>
      <c r="H3600" s="20"/>
      <c r="J3600" s="18" t="s">
        <v>2473</v>
      </c>
      <c r="K3600" s="18" t="s">
        <v>2473</v>
      </c>
      <c r="Q3600" s="125" t="s">
        <v>3546</v>
      </c>
      <c r="R3600" s="122" t="s">
        <v>3529</v>
      </c>
      <c r="S3600" s="114" t="s">
        <v>4</v>
      </c>
      <c r="T3600" s="114" t="s">
        <v>2480</v>
      </c>
      <c r="U3600" s="114" t="s">
        <v>3524</v>
      </c>
      <c r="V3600" s="114" t="s">
        <v>3530</v>
      </c>
      <c r="W3600" s="114" t="s">
        <v>3436</v>
      </c>
      <c r="X3600" s="114" t="s">
        <v>13</v>
      </c>
      <c r="Y3600" s="149"/>
      <c r="Z3600" s="183" t="s">
        <v>4</v>
      </c>
      <c r="AA3600" s="183" t="s">
        <v>2705</v>
      </c>
      <c r="AB3600" s="183" t="s">
        <v>4361</v>
      </c>
      <c r="AC3600" s="183" t="s">
        <v>6</v>
      </c>
      <c r="AD3600" s="183" t="s">
        <v>4806</v>
      </c>
      <c r="AE3600" s="184"/>
      <c r="AF3600" s="184" t="s">
        <v>4436</v>
      </c>
      <c r="AG3600" s="183"/>
      <c r="AH3600" s="183"/>
      <c r="AI3600" s="183"/>
      <c r="AJ3600" s="183"/>
      <c r="AK3600" s="183"/>
      <c r="AL3600" s="183"/>
      <c r="AM3600" s="183"/>
      <c r="AN3600" s="131"/>
      <c r="AO3600" s="131"/>
      <c r="AP3600" s="131"/>
      <c r="AQ3600" s="131"/>
      <c r="AR3600" s="288"/>
      <c r="AS3600" s="259"/>
      <c r="AT3600" s="183"/>
      <c r="AV3600" s="6" t="str">
        <f t="shared" si="75"/>
        <v>OK</v>
      </c>
    </row>
    <row r="3601" spans="1:48" ht="81.75" thickBot="1" x14ac:dyDescent="0.5">
      <c r="A3601" s="35" t="s">
        <v>4173</v>
      </c>
      <c r="B3601" s="3" t="s">
        <v>3650</v>
      </c>
      <c r="C3601" s="12"/>
      <c r="D3601" s="20"/>
      <c r="E3601" s="12"/>
      <c r="F3601" s="20"/>
      <c r="G3601" s="12" t="s">
        <v>37</v>
      </c>
      <c r="H3601" s="20"/>
      <c r="J3601" s="18" t="s">
        <v>2473</v>
      </c>
      <c r="K3601" s="18" t="s">
        <v>2473</v>
      </c>
      <c r="Q3601" s="125" t="s">
        <v>3546</v>
      </c>
      <c r="R3601" s="122" t="s">
        <v>3435</v>
      </c>
      <c r="S3601" s="114" t="s">
        <v>3443</v>
      </c>
      <c r="T3601" s="114" t="s">
        <v>3470</v>
      </c>
      <c r="U3601" s="114" t="s">
        <v>3524</v>
      </c>
      <c r="V3601" s="114" t="s">
        <v>3531</v>
      </c>
      <c r="W3601" s="114" t="s">
        <v>3436</v>
      </c>
      <c r="X3601" s="114" t="s">
        <v>13</v>
      </c>
      <c r="Y3601" s="149"/>
      <c r="Z3601" s="183" t="s">
        <v>4</v>
      </c>
      <c r="AA3601" s="183" t="s">
        <v>2705</v>
      </c>
      <c r="AB3601" s="183" t="s">
        <v>4361</v>
      </c>
      <c r="AC3601" s="183" t="s">
        <v>6</v>
      </c>
      <c r="AD3601" s="183" t="s">
        <v>4807</v>
      </c>
      <c r="AE3601" s="184"/>
      <c r="AF3601" s="184" t="s">
        <v>4436</v>
      </c>
      <c r="AG3601" s="183"/>
      <c r="AH3601" s="183"/>
      <c r="AI3601" s="183"/>
      <c r="AJ3601" s="183"/>
      <c r="AK3601" s="183"/>
      <c r="AL3601" s="183"/>
      <c r="AM3601" s="183"/>
      <c r="AN3601" s="131"/>
      <c r="AO3601" s="131"/>
      <c r="AP3601" s="131"/>
      <c r="AQ3601" s="131"/>
      <c r="AR3601" s="288"/>
      <c r="AS3601" s="259"/>
      <c r="AT3601" s="183"/>
      <c r="AV3601" s="6" t="str">
        <f t="shared" si="75"/>
        <v>OK</v>
      </c>
    </row>
    <row r="3602" spans="1:48" ht="93.4" thickBot="1" x14ac:dyDescent="0.5">
      <c r="A3602" s="35" t="s">
        <v>2710</v>
      </c>
      <c r="B3602" s="3" t="s">
        <v>3649</v>
      </c>
      <c r="C3602" s="12"/>
      <c r="D3602" s="20"/>
      <c r="E3602" s="12"/>
      <c r="F3602" s="20"/>
      <c r="G3602" s="12" t="s">
        <v>37</v>
      </c>
      <c r="H3602" s="20"/>
      <c r="J3602" s="18" t="s">
        <v>2473</v>
      </c>
      <c r="K3602" s="18" t="s">
        <v>2473</v>
      </c>
      <c r="Q3602" s="125" t="s">
        <v>3546</v>
      </c>
      <c r="R3602" s="122" t="s">
        <v>3435</v>
      </c>
      <c r="S3602" s="114" t="s">
        <v>3443</v>
      </c>
      <c r="T3602" s="114" t="s">
        <v>3471</v>
      </c>
      <c r="U3602" s="114" t="s">
        <v>3524</v>
      </c>
      <c r="V3602" s="114" t="s">
        <v>3531</v>
      </c>
      <c r="W3602" s="114" t="s">
        <v>3436</v>
      </c>
      <c r="X3602" s="114" t="s">
        <v>13</v>
      </c>
      <c r="Y3602" s="149"/>
      <c r="Z3602" s="183" t="s">
        <v>4</v>
      </c>
      <c r="AA3602" s="183" t="s">
        <v>2705</v>
      </c>
      <c r="AB3602" s="183" t="s">
        <v>4361</v>
      </c>
      <c r="AC3602" s="183" t="s">
        <v>6</v>
      </c>
      <c r="AD3602" s="183" t="s">
        <v>4808</v>
      </c>
      <c r="AE3602" s="184"/>
      <c r="AF3602" s="184" t="s">
        <v>4436</v>
      </c>
      <c r="AG3602" s="183"/>
      <c r="AH3602" s="183"/>
      <c r="AI3602" s="183"/>
      <c r="AJ3602" s="183"/>
      <c r="AK3602" s="183"/>
      <c r="AL3602" s="183"/>
      <c r="AM3602" s="183"/>
      <c r="AN3602" s="131"/>
      <c r="AO3602" s="131"/>
      <c r="AP3602" s="131"/>
      <c r="AQ3602" s="131"/>
      <c r="AR3602" s="288"/>
      <c r="AS3602" s="259"/>
      <c r="AT3602" s="183"/>
      <c r="AU3602" s="19" t="s">
        <v>5045</v>
      </c>
      <c r="AV3602" s="6" t="str">
        <f t="shared" si="75"/>
        <v>OK</v>
      </c>
    </row>
    <row r="3603" spans="1:48" ht="58.5" thickBot="1" x14ac:dyDescent="0.5">
      <c r="A3603" s="35" t="s">
        <v>3335</v>
      </c>
      <c r="B3603" s="3" t="s">
        <v>4999</v>
      </c>
      <c r="C3603" s="12"/>
      <c r="D3603" s="20"/>
      <c r="E3603" s="12"/>
      <c r="F3603" s="20"/>
      <c r="G3603" s="12" t="s">
        <v>10</v>
      </c>
      <c r="H3603" s="20"/>
      <c r="J3603" s="18" t="s">
        <v>2473</v>
      </c>
      <c r="K3603" s="18" t="s">
        <v>2473</v>
      </c>
      <c r="Q3603" s="125" t="s">
        <v>3546</v>
      </c>
      <c r="R3603" s="122" t="s">
        <v>3435</v>
      </c>
      <c r="S3603" s="114" t="s">
        <v>3443</v>
      </c>
      <c r="T3603" s="114" t="s">
        <v>3472</v>
      </c>
      <c r="U3603" s="114" t="s">
        <v>3524</v>
      </c>
      <c r="V3603" s="114" t="s">
        <v>3531</v>
      </c>
      <c r="W3603" s="114" t="s">
        <v>3436</v>
      </c>
      <c r="X3603" s="114" t="s">
        <v>13</v>
      </c>
      <c r="Y3603" s="149"/>
      <c r="Z3603" s="183" t="s">
        <v>4</v>
      </c>
      <c r="AA3603" s="183" t="s">
        <v>2705</v>
      </c>
      <c r="AB3603" s="183" t="s">
        <v>4345</v>
      </c>
      <c r="AC3603" s="183" t="s">
        <v>6</v>
      </c>
      <c r="AD3603" s="183" t="s">
        <v>5067</v>
      </c>
      <c r="AE3603" s="184"/>
      <c r="AF3603" s="184"/>
      <c r="AG3603" s="183"/>
      <c r="AH3603" s="183"/>
      <c r="AI3603" s="183"/>
      <c r="AJ3603" s="183"/>
      <c r="AK3603" s="183"/>
      <c r="AL3603" s="183" t="s">
        <v>4497</v>
      </c>
      <c r="AM3603" s="183"/>
      <c r="AN3603" s="131"/>
      <c r="AO3603" s="131"/>
      <c r="AP3603" s="131"/>
      <c r="AQ3603" s="131"/>
      <c r="AR3603" s="288"/>
      <c r="AS3603" s="259"/>
      <c r="AT3603" s="183"/>
      <c r="AV3603" s="6" t="str">
        <f t="shared" si="75"/>
        <v>OK</v>
      </c>
    </row>
    <row r="3604" spans="1:48" ht="58.5" thickBot="1" x14ac:dyDescent="0.5">
      <c r="A3604" s="35" t="s">
        <v>3336</v>
      </c>
      <c r="B3604" s="3" t="s">
        <v>5000</v>
      </c>
      <c r="C3604" s="12"/>
      <c r="D3604" s="20"/>
      <c r="E3604" s="12"/>
      <c r="F3604" s="20"/>
      <c r="G3604" s="12" t="s">
        <v>10</v>
      </c>
      <c r="H3604" s="20"/>
      <c r="J3604" s="18" t="s">
        <v>2473</v>
      </c>
      <c r="K3604" s="18" t="s">
        <v>2473</v>
      </c>
      <c r="Q3604" s="125" t="s">
        <v>3546</v>
      </c>
      <c r="R3604" s="122" t="s">
        <v>3435</v>
      </c>
      <c r="S3604" s="114" t="s">
        <v>3443</v>
      </c>
      <c r="T3604" s="114" t="s">
        <v>3473</v>
      </c>
      <c r="U3604" s="114" t="s">
        <v>3525</v>
      </c>
      <c r="V3604" s="114"/>
      <c r="W3604" s="114" t="s">
        <v>3436</v>
      </c>
      <c r="X3604" s="114" t="s">
        <v>13</v>
      </c>
      <c r="Y3604" s="149"/>
      <c r="Z3604" s="183" t="s">
        <v>4</v>
      </c>
      <c r="AA3604" s="183" t="s">
        <v>2705</v>
      </c>
      <c r="AB3604" s="183" t="s">
        <v>4345</v>
      </c>
      <c r="AC3604" s="183" t="s">
        <v>6</v>
      </c>
      <c r="AD3604" s="183" t="s">
        <v>5068</v>
      </c>
      <c r="AE3604" s="184"/>
      <c r="AF3604" s="184"/>
      <c r="AG3604" s="183"/>
      <c r="AH3604" s="183"/>
      <c r="AI3604" s="183"/>
      <c r="AJ3604" s="183"/>
      <c r="AK3604" s="183"/>
      <c r="AL3604" s="183" t="s">
        <v>4497</v>
      </c>
      <c r="AM3604" s="183"/>
      <c r="AN3604" s="131"/>
      <c r="AO3604" s="131"/>
      <c r="AP3604" s="131"/>
      <c r="AQ3604" s="131"/>
      <c r="AR3604" s="288"/>
      <c r="AS3604" s="259"/>
      <c r="AT3604" s="183"/>
      <c r="AV3604" s="6" t="str">
        <f t="shared" si="75"/>
        <v>OK</v>
      </c>
    </row>
    <row r="3605" spans="1:48" ht="31.25" customHeight="1" thickBot="1" x14ac:dyDescent="0.5">
      <c r="A3605" s="35" t="s">
        <v>3337</v>
      </c>
      <c r="B3605" s="3" t="s">
        <v>5001</v>
      </c>
      <c r="C3605" s="12"/>
      <c r="D3605" s="20"/>
      <c r="E3605" s="12"/>
      <c r="F3605" s="20"/>
      <c r="G3605" s="12" t="s">
        <v>10</v>
      </c>
      <c r="H3605" s="20"/>
      <c r="J3605" s="18" t="s">
        <v>2473</v>
      </c>
      <c r="K3605" s="18" t="s">
        <v>2473</v>
      </c>
      <c r="Q3605" s="125" t="s">
        <v>3546</v>
      </c>
      <c r="R3605" s="122" t="s">
        <v>3435</v>
      </c>
      <c r="S3605" s="114" t="s">
        <v>3443</v>
      </c>
      <c r="T3605" s="114" t="s">
        <v>3474</v>
      </c>
      <c r="U3605" s="114" t="s">
        <v>3525</v>
      </c>
      <c r="V3605" s="114"/>
      <c r="W3605" s="114" t="s">
        <v>3436</v>
      </c>
      <c r="X3605" s="114" t="s">
        <v>13</v>
      </c>
      <c r="Y3605" s="149"/>
      <c r="Z3605" s="183" t="s">
        <v>4</v>
      </c>
      <c r="AA3605" s="183" t="s">
        <v>2705</v>
      </c>
      <c r="AB3605" s="183" t="s">
        <v>4345</v>
      </c>
      <c r="AC3605" s="183" t="s">
        <v>6</v>
      </c>
      <c r="AD3605" s="183" t="s">
        <v>5069</v>
      </c>
      <c r="AE3605" s="184"/>
      <c r="AF3605" s="184"/>
      <c r="AG3605" s="183"/>
      <c r="AH3605" s="183"/>
      <c r="AI3605" s="183"/>
      <c r="AJ3605" s="183"/>
      <c r="AK3605" s="183"/>
      <c r="AL3605" s="183" t="s">
        <v>4497</v>
      </c>
      <c r="AM3605" s="183"/>
      <c r="AN3605" s="131"/>
      <c r="AO3605" s="131"/>
      <c r="AP3605" s="131"/>
      <c r="AQ3605" s="131"/>
      <c r="AR3605" s="288"/>
      <c r="AS3605" s="259"/>
      <c r="AT3605" s="183"/>
      <c r="AV3605" s="6" t="str">
        <f t="shared" si="75"/>
        <v>OK</v>
      </c>
    </row>
    <row r="3606" spans="1:48" ht="139.9" thickBot="1" x14ac:dyDescent="0.5">
      <c r="A3606" s="35" t="s">
        <v>3338</v>
      </c>
      <c r="B3606" s="3" t="s">
        <v>3655</v>
      </c>
      <c r="C3606" s="12"/>
      <c r="D3606" s="20"/>
      <c r="E3606" s="12"/>
      <c r="F3606" s="20"/>
      <c r="G3606" s="12" t="s">
        <v>37</v>
      </c>
      <c r="H3606" s="20"/>
      <c r="J3606" s="18" t="s">
        <v>2473</v>
      </c>
      <c r="K3606" s="18" t="s">
        <v>2473</v>
      </c>
      <c r="Q3606" s="125" t="s">
        <v>3546</v>
      </c>
      <c r="R3606" s="122" t="s">
        <v>3435</v>
      </c>
      <c r="S3606" s="114" t="s">
        <v>3443</v>
      </c>
      <c r="T3606" s="114" t="s">
        <v>3475</v>
      </c>
      <c r="U3606" s="114" t="s">
        <v>3525</v>
      </c>
      <c r="V3606" s="114"/>
      <c r="W3606" s="114" t="s">
        <v>3436</v>
      </c>
      <c r="X3606" s="114" t="s">
        <v>13</v>
      </c>
      <c r="Y3606" s="149"/>
      <c r="Z3606" s="183" t="s">
        <v>4</v>
      </c>
      <c r="AA3606" s="183" t="s">
        <v>2705</v>
      </c>
      <c r="AB3606" s="183" t="s">
        <v>4345</v>
      </c>
      <c r="AC3606" s="183" t="s">
        <v>6</v>
      </c>
      <c r="AD3606" s="183" t="s">
        <v>4811</v>
      </c>
      <c r="AE3606" s="184"/>
      <c r="AF3606" s="184"/>
      <c r="AG3606" s="183"/>
      <c r="AH3606" s="183"/>
      <c r="AI3606" s="183"/>
      <c r="AJ3606" s="183"/>
      <c r="AK3606" s="183"/>
      <c r="AL3606" s="183" t="s">
        <v>4497</v>
      </c>
      <c r="AM3606" s="183"/>
      <c r="AN3606" s="131"/>
      <c r="AO3606" s="131"/>
      <c r="AP3606" s="131"/>
      <c r="AQ3606" s="131"/>
      <c r="AR3606" s="288"/>
      <c r="AS3606" s="259"/>
      <c r="AT3606" s="183"/>
      <c r="AV3606" s="6" t="str">
        <f t="shared" si="75"/>
        <v>OK</v>
      </c>
    </row>
    <row r="3607" spans="1:48" ht="81.75" thickBot="1" x14ac:dyDescent="0.5">
      <c r="A3607" s="35" t="s">
        <v>3339</v>
      </c>
      <c r="B3607" s="3" t="s">
        <v>5002</v>
      </c>
      <c r="C3607" s="12"/>
      <c r="D3607" s="20"/>
      <c r="E3607" s="12"/>
      <c r="F3607" s="20"/>
      <c r="G3607" s="12" t="s">
        <v>10</v>
      </c>
      <c r="H3607" s="20"/>
      <c r="J3607" s="18" t="s">
        <v>2473</v>
      </c>
      <c r="K3607" s="18" t="s">
        <v>2473</v>
      </c>
      <c r="Q3607" s="125" t="s">
        <v>3546</v>
      </c>
      <c r="R3607" s="122" t="s">
        <v>3435</v>
      </c>
      <c r="S3607" s="114" t="s">
        <v>3443</v>
      </c>
      <c r="T3607" s="114" t="s">
        <v>3476</v>
      </c>
      <c r="U3607" s="114" t="s">
        <v>3525</v>
      </c>
      <c r="V3607" s="114"/>
      <c r="W3607" s="114" t="s">
        <v>3436</v>
      </c>
      <c r="X3607" s="114" t="s">
        <v>13</v>
      </c>
      <c r="Y3607" s="149"/>
      <c r="Z3607" s="183" t="s">
        <v>4</v>
      </c>
      <c r="AA3607" s="183" t="s">
        <v>2705</v>
      </c>
      <c r="AB3607" s="183" t="s">
        <v>4345</v>
      </c>
      <c r="AC3607" s="183" t="s">
        <v>6</v>
      </c>
      <c r="AD3607" s="183" t="s">
        <v>4810</v>
      </c>
      <c r="AE3607" s="184"/>
      <c r="AF3607" s="184"/>
      <c r="AG3607" s="183"/>
      <c r="AH3607" s="183"/>
      <c r="AI3607" s="183"/>
      <c r="AJ3607" s="183"/>
      <c r="AK3607" s="183"/>
      <c r="AL3607" s="183" t="s">
        <v>4497</v>
      </c>
      <c r="AM3607" s="183"/>
      <c r="AN3607" s="131"/>
      <c r="AO3607" s="131"/>
      <c r="AP3607" s="131"/>
      <c r="AQ3607" s="131"/>
      <c r="AR3607" s="288"/>
      <c r="AS3607" s="259"/>
      <c r="AT3607" s="183"/>
      <c r="AV3607" s="6" t="str">
        <f t="shared" si="75"/>
        <v>OK</v>
      </c>
    </row>
    <row r="3608" spans="1:48" ht="81.75" thickBot="1" x14ac:dyDescent="0.5">
      <c r="A3608" s="35" t="s">
        <v>3340</v>
      </c>
      <c r="B3608" s="3" t="s">
        <v>5003</v>
      </c>
      <c r="C3608" s="12"/>
      <c r="D3608" s="20"/>
      <c r="E3608" s="12"/>
      <c r="F3608" s="20"/>
      <c r="G3608" s="12" t="s">
        <v>10</v>
      </c>
      <c r="H3608" s="20"/>
      <c r="J3608" s="18" t="s">
        <v>2473</v>
      </c>
      <c r="K3608" s="18" t="s">
        <v>2473</v>
      </c>
      <c r="Q3608" s="125" t="s">
        <v>3546</v>
      </c>
      <c r="R3608" s="122" t="s">
        <v>3435</v>
      </c>
      <c r="S3608" s="114" t="s">
        <v>3443</v>
      </c>
      <c r="T3608" s="114" t="s">
        <v>3477</v>
      </c>
      <c r="U3608" s="114" t="s">
        <v>3525</v>
      </c>
      <c r="V3608" s="114"/>
      <c r="W3608" s="114" t="s">
        <v>3436</v>
      </c>
      <c r="X3608" s="114" t="s">
        <v>13</v>
      </c>
      <c r="Y3608" s="149"/>
      <c r="Z3608" s="183" t="s">
        <v>4</v>
      </c>
      <c r="AA3608" s="183" t="s">
        <v>2705</v>
      </c>
      <c r="AB3608" s="183" t="s">
        <v>4345</v>
      </c>
      <c r="AC3608" s="183" t="s">
        <v>6</v>
      </c>
      <c r="AD3608" s="183" t="s">
        <v>4809</v>
      </c>
      <c r="AE3608" s="184"/>
      <c r="AF3608" s="184"/>
      <c r="AG3608" s="183"/>
      <c r="AH3608" s="183"/>
      <c r="AI3608" s="183"/>
      <c r="AJ3608" s="183"/>
      <c r="AK3608" s="183"/>
      <c r="AL3608" s="183" t="s">
        <v>4497</v>
      </c>
      <c r="AM3608" s="183"/>
      <c r="AN3608" s="131"/>
      <c r="AO3608" s="131"/>
      <c r="AP3608" s="131"/>
      <c r="AQ3608" s="131"/>
      <c r="AR3608" s="288"/>
      <c r="AS3608" s="259"/>
      <c r="AT3608" s="183"/>
      <c r="AV3608" s="6" t="str">
        <f t="shared" si="75"/>
        <v>OK</v>
      </c>
    </row>
    <row r="3609" spans="1:48" ht="105" thickBot="1" x14ac:dyDescent="0.5">
      <c r="A3609" s="35" t="s">
        <v>3564</v>
      </c>
      <c r="B3609" s="3" t="s">
        <v>3654</v>
      </c>
      <c r="C3609" s="12"/>
      <c r="D3609" s="20"/>
      <c r="E3609" s="12"/>
      <c r="F3609" s="20"/>
      <c r="G3609" s="12" t="s">
        <v>37</v>
      </c>
      <c r="H3609" s="20"/>
      <c r="J3609" s="18" t="s">
        <v>2473</v>
      </c>
      <c r="K3609" s="18" t="s">
        <v>2473</v>
      </c>
      <c r="Q3609" s="125" t="s">
        <v>3546</v>
      </c>
      <c r="R3609" s="122" t="s">
        <v>3435</v>
      </c>
      <c r="S3609" s="114" t="s">
        <v>3443</v>
      </c>
      <c r="T3609" s="114" t="s">
        <v>3478</v>
      </c>
      <c r="U3609" s="114" t="s">
        <v>3525</v>
      </c>
      <c r="V3609" s="114"/>
      <c r="W3609" s="114" t="s">
        <v>3436</v>
      </c>
      <c r="X3609" s="114" t="s">
        <v>13</v>
      </c>
      <c r="Y3609" s="149"/>
      <c r="Z3609" s="183" t="s">
        <v>4</v>
      </c>
      <c r="AA3609" s="183" t="s">
        <v>2705</v>
      </c>
      <c r="AB3609" s="183" t="s">
        <v>4345</v>
      </c>
      <c r="AC3609" s="183" t="s">
        <v>6</v>
      </c>
      <c r="AD3609" s="183" t="s">
        <v>4812</v>
      </c>
      <c r="AE3609" s="184"/>
      <c r="AF3609" s="184"/>
      <c r="AG3609" s="183"/>
      <c r="AH3609" s="183"/>
      <c r="AI3609" s="183"/>
      <c r="AJ3609" s="183"/>
      <c r="AK3609" s="183"/>
      <c r="AL3609" s="183" t="s">
        <v>4497</v>
      </c>
      <c r="AM3609" s="183"/>
      <c r="AN3609" s="131"/>
      <c r="AO3609" s="131"/>
      <c r="AP3609" s="131"/>
      <c r="AQ3609" s="131"/>
      <c r="AR3609" s="288"/>
      <c r="AS3609" s="259"/>
      <c r="AT3609" s="183"/>
      <c r="AV3609" s="6" t="str">
        <f t="shared" si="75"/>
        <v>OK</v>
      </c>
    </row>
    <row r="3610" spans="1:48" ht="128.25" thickBot="1" x14ac:dyDescent="0.5">
      <c r="A3610" s="44" t="s">
        <v>2704</v>
      </c>
      <c r="B3610" s="50" t="s">
        <v>3991</v>
      </c>
      <c r="C3610" s="12"/>
      <c r="D3610" s="20"/>
      <c r="E3610" s="20"/>
      <c r="F3610" s="20"/>
      <c r="G3610" s="12" t="s">
        <v>10</v>
      </c>
      <c r="H3610" s="20"/>
      <c r="J3610" s="18" t="s">
        <v>2473</v>
      </c>
      <c r="K3610" s="18" t="s">
        <v>2473</v>
      </c>
      <c r="R3610" s="122" t="s">
        <v>3435</v>
      </c>
      <c r="S3610" s="114" t="s">
        <v>3437</v>
      </c>
      <c r="T3610" s="114" t="s">
        <v>2704</v>
      </c>
      <c r="U3610" s="114"/>
      <c r="V3610" s="114" t="s">
        <v>3547</v>
      </c>
      <c r="W3610" s="114" t="s">
        <v>3436</v>
      </c>
      <c r="X3610" s="114" t="s">
        <v>13</v>
      </c>
      <c r="Y3610" s="149"/>
      <c r="Z3610" s="183" t="s">
        <v>4</v>
      </c>
      <c r="AA3610" s="183"/>
      <c r="AB3610" s="183" t="s">
        <v>4349</v>
      </c>
      <c r="AC3610" s="183"/>
      <c r="AD3610" s="183" t="s">
        <v>4793</v>
      </c>
      <c r="AE3610" s="184"/>
      <c r="AF3610" s="184"/>
      <c r="AG3610" s="183"/>
      <c r="AH3610" s="183"/>
      <c r="AI3610" s="183" t="str">
        <f>"true"</f>
        <v>true</v>
      </c>
      <c r="AJ3610" s="183"/>
      <c r="AK3610" s="183" t="s">
        <v>2704</v>
      </c>
      <c r="AL3610" s="183"/>
      <c r="AM3610" s="183"/>
      <c r="AN3610" s="131"/>
      <c r="AO3610" s="131"/>
      <c r="AP3610" s="131"/>
      <c r="AQ3610" s="131"/>
      <c r="AR3610" s="288"/>
      <c r="AS3610" s="259"/>
      <c r="AT3610" s="183"/>
      <c r="AV3610" s="6" t="str">
        <f t="shared" si="75"/>
        <v>OK</v>
      </c>
    </row>
    <row r="3611" spans="1:48" ht="14.65" thickBot="1" x14ac:dyDescent="0.5">
      <c r="A3611" s="41" t="s">
        <v>33</v>
      </c>
      <c r="B3611" s="50" t="s">
        <v>2346</v>
      </c>
      <c r="C3611" s="12"/>
      <c r="D3611" s="20"/>
      <c r="E3611" s="20"/>
      <c r="F3611" s="20"/>
      <c r="G3611" s="12"/>
      <c r="H3611" s="20"/>
      <c r="J3611" s="18" t="s">
        <v>2473</v>
      </c>
      <c r="K3611" s="18" t="s">
        <v>2473</v>
      </c>
      <c r="R3611" s="114"/>
      <c r="S3611" s="114"/>
      <c r="T3611" s="114"/>
      <c r="U3611" s="114"/>
      <c r="V3611" s="114"/>
      <c r="W3611" s="114"/>
      <c r="X3611" s="114"/>
      <c r="Y3611" s="149"/>
      <c r="Z3611" s="183"/>
      <c r="AA3611" s="183"/>
      <c r="AB3611" s="183"/>
      <c r="AC3611" s="183"/>
      <c r="AD3611" s="183"/>
      <c r="AE3611" s="184"/>
      <c r="AF3611" s="184"/>
      <c r="AG3611" s="183"/>
      <c r="AH3611" s="183"/>
      <c r="AI3611" s="183"/>
      <c r="AJ3611" s="183"/>
      <c r="AK3611" s="183"/>
      <c r="AL3611" s="183"/>
      <c r="AM3611" s="183"/>
      <c r="AN3611" s="131"/>
      <c r="AO3611" s="131"/>
      <c r="AP3611" s="131"/>
      <c r="AQ3611" s="131"/>
      <c r="AR3611" s="288"/>
      <c r="AS3611" s="259"/>
      <c r="AT3611" s="183"/>
      <c r="AV3611" s="6" t="str">
        <f t="shared" si="75"/>
        <v/>
      </c>
    </row>
    <row r="3612" spans="1:48" ht="14.65" thickBot="1" x14ac:dyDescent="0.5">
      <c r="A3612" s="35" t="s">
        <v>461</v>
      </c>
      <c r="B3612" s="3" t="s">
        <v>462</v>
      </c>
      <c r="C3612" s="12"/>
      <c r="D3612" s="20"/>
      <c r="E3612" s="20"/>
      <c r="F3612" s="4"/>
      <c r="G3612" s="12"/>
      <c r="H3612" s="20"/>
      <c r="J3612" s="18" t="s">
        <v>2473</v>
      </c>
      <c r="K3612" s="18" t="s">
        <v>2473</v>
      </c>
      <c r="R3612" s="114"/>
      <c r="S3612" s="114"/>
      <c r="T3612" s="114"/>
      <c r="U3612" s="114"/>
      <c r="V3612" s="114"/>
      <c r="W3612" s="114"/>
      <c r="X3612" s="114"/>
      <c r="Y3612" s="149"/>
      <c r="Z3612" s="183"/>
      <c r="AA3612" s="183"/>
      <c r="AB3612" s="183"/>
      <c r="AC3612" s="183"/>
      <c r="AD3612" s="183"/>
      <c r="AE3612" s="184"/>
      <c r="AF3612" s="184"/>
      <c r="AG3612" s="183"/>
      <c r="AH3612" s="183"/>
      <c r="AI3612" s="183"/>
      <c r="AJ3612" s="183"/>
      <c r="AK3612" s="183"/>
      <c r="AL3612" s="183"/>
      <c r="AM3612" s="183"/>
      <c r="AN3612" s="131"/>
      <c r="AO3612" s="131"/>
      <c r="AP3612" s="131"/>
      <c r="AQ3612" s="131"/>
      <c r="AR3612" s="288"/>
      <c r="AS3612" s="259"/>
      <c r="AT3612" s="183"/>
      <c r="AU3612" s="8"/>
      <c r="AV3612" s="6" t="str">
        <f t="shared" si="75"/>
        <v/>
      </c>
    </row>
    <row r="3613" spans="1:48" ht="14.65" thickBot="1" x14ac:dyDescent="0.5">
      <c r="A3613" s="35" t="s">
        <v>424</v>
      </c>
      <c r="B3613" s="3" t="s">
        <v>2706</v>
      </c>
      <c r="C3613" s="12"/>
      <c r="D3613" s="20"/>
      <c r="E3613" s="20"/>
      <c r="F3613" s="4"/>
      <c r="G3613" s="12"/>
      <c r="H3613" s="20"/>
      <c r="J3613" s="18" t="s">
        <v>2473</v>
      </c>
      <c r="K3613" s="18" t="s">
        <v>2473</v>
      </c>
      <c r="R3613" s="114"/>
      <c r="S3613" s="114"/>
      <c r="T3613" s="114"/>
      <c r="U3613" s="114"/>
      <c r="V3613" s="114"/>
      <c r="W3613" s="114"/>
      <c r="X3613" s="114"/>
      <c r="Y3613" s="149"/>
      <c r="Z3613" s="183"/>
      <c r="AA3613" s="183"/>
      <c r="AB3613" s="183"/>
      <c r="AC3613" s="183"/>
      <c r="AD3613" s="183"/>
      <c r="AE3613" s="184"/>
      <c r="AF3613" s="184"/>
      <c r="AG3613" s="183"/>
      <c r="AH3613" s="183"/>
      <c r="AI3613" s="183"/>
      <c r="AJ3613" s="183"/>
      <c r="AK3613" s="183"/>
      <c r="AL3613" s="183"/>
      <c r="AM3613" s="183"/>
      <c r="AN3613" s="131"/>
      <c r="AO3613" s="131"/>
      <c r="AP3613" s="131"/>
      <c r="AQ3613" s="131"/>
      <c r="AR3613" s="288"/>
      <c r="AS3613" s="259"/>
      <c r="AT3613" s="183"/>
      <c r="AU3613" s="8"/>
      <c r="AV3613" s="6" t="str">
        <f t="shared" si="75"/>
        <v/>
      </c>
    </row>
    <row r="3614" spans="1:48" ht="70.150000000000006" thickBot="1" x14ac:dyDescent="0.5">
      <c r="A3614" s="41" t="s">
        <v>894</v>
      </c>
      <c r="B3614" s="50" t="s">
        <v>3645</v>
      </c>
      <c r="C3614" s="12"/>
      <c r="D3614" s="20"/>
      <c r="E3614" s="20"/>
      <c r="F3614" s="20"/>
      <c r="G3614" s="12" t="s">
        <v>10</v>
      </c>
      <c r="H3614" s="20" t="s">
        <v>10</v>
      </c>
      <c r="J3614" s="18" t="s">
        <v>2473</v>
      </c>
      <c r="K3614" s="18" t="s">
        <v>2473</v>
      </c>
      <c r="Q3614" s="8" t="s">
        <v>3547</v>
      </c>
      <c r="R3614" s="122" t="s">
        <v>3529</v>
      </c>
      <c r="S3614" s="114" t="s">
        <v>4</v>
      </c>
      <c r="T3614" s="114" t="s">
        <v>577</v>
      </c>
      <c r="U3614" s="114" t="s">
        <v>3522</v>
      </c>
      <c r="V3614" s="114" t="s">
        <v>3530</v>
      </c>
      <c r="W3614" s="114" t="s">
        <v>3436</v>
      </c>
      <c r="X3614" s="114" t="s">
        <v>13</v>
      </c>
      <c r="Y3614" s="149"/>
      <c r="Z3614" s="183" t="s">
        <v>4</v>
      </c>
      <c r="AA3614" s="183" t="s">
        <v>2704</v>
      </c>
      <c r="AB3614" s="183" t="s">
        <v>4344</v>
      </c>
      <c r="AC3614" s="183" t="s">
        <v>4346</v>
      </c>
      <c r="AD3614" s="183" t="s">
        <v>4792</v>
      </c>
      <c r="AE3614" s="184"/>
      <c r="AF3614" s="184"/>
      <c r="AG3614" s="183"/>
      <c r="AH3614" s="183"/>
      <c r="AI3614" s="183"/>
      <c r="AJ3614" s="183"/>
      <c r="AK3614" s="183"/>
      <c r="AL3614" s="183"/>
      <c r="AM3614" s="183"/>
      <c r="AN3614" s="131"/>
      <c r="AO3614" s="131"/>
      <c r="AP3614" s="131"/>
      <c r="AQ3614" s="131"/>
      <c r="AR3614" s="288"/>
      <c r="AS3614" s="259"/>
      <c r="AT3614" s="183"/>
      <c r="AV3614" s="6" t="str">
        <f t="shared" si="75"/>
        <v>OK</v>
      </c>
    </row>
    <row r="3615" spans="1:48" ht="58.5" thickBot="1" x14ac:dyDescent="0.5">
      <c r="A3615" s="42" t="s">
        <v>420</v>
      </c>
      <c r="B3615" s="13" t="s">
        <v>3656</v>
      </c>
      <c r="C3615" s="14"/>
      <c r="D3615" s="20"/>
      <c r="E3615" s="12"/>
      <c r="F3615" s="20"/>
      <c r="G3615" s="14" t="s">
        <v>10</v>
      </c>
      <c r="H3615" s="20"/>
      <c r="J3615" s="18" t="s">
        <v>2473</v>
      </c>
      <c r="K3615" s="18" t="s">
        <v>2473</v>
      </c>
      <c r="Q3615" s="8" t="s">
        <v>3547</v>
      </c>
      <c r="R3615" s="122" t="s">
        <v>3529</v>
      </c>
      <c r="S3615" s="114" t="s">
        <v>4</v>
      </c>
      <c r="T3615" s="114" t="s">
        <v>490</v>
      </c>
      <c r="U3615" s="114" t="s">
        <v>3523</v>
      </c>
      <c r="V3615" s="114" t="s">
        <v>3530</v>
      </c>
      <c r="W3615" s="114" t="s">
        <v>3436</v>
      </c>
      <c r="X3615" s="114" t="s">
        <v>13</v>
      </c>
      <c r="Y3615" s="149"/>
      <c r="Z3615" s="183" t="s">
        <v>4</v>
      </c>
      <c r="AA3615" s="183" t="s">
        <v>2704</v>
      </c>
      <c r="AB3615" s="183" t="s">
        <v>4361</v>
      </c>
      <c r="AC3615" s="183" t="s">
        <v>6</v>
      </c>
      <c r="AD3615" s="183" t="s">
        <v>4813</v>
      </c>
      <c r="AE3615" s="184"/>
      <c r="AF3615" s="184" t="s">
        <v>4436</v>
      </c>
      <c r="AG3615" s="183"/>
      <c r="AH3615" s="183"/>
      <c r="AI3615" s="183"/>
      <c r="AJ3615" s="183"/>
      <c r="AK3615" s="183"/>
      <c r="AL3615" s="183" t="s">
        <v>4496</v>
      </c>
      <c r="AM3615" s="183"/>
      <c r="AN3615" s="131"/>
      <c r="AO3615" s="131"/>
      <c r="AP3615" s="131"/>
      <c r="AQ3615" s="131"/>
      <c r="AR3615" s="288"/>
      <c r="AS3615" s="259"/>
      <c r="AT3615" s="183"/>
      <c r="AV3615" s="6" t="str">
        <f t="shared" si="75"/>
        <v>OK</v>
      </c>
    </row>
    <row r="3616" spans="1:48" ht="70.150000000000006" thickBot="1" x14ac:dyDescent="0.5">
      <c r="A3616" s="42" t="s">
        <v>2656</v>
      </c>
      <c r="B3616" s="13" t="s">
        <v>3657</v>
      </c>
      <c r="C3616" s="14"/>
      <c r="D3616" s="20"/>
      <c r="E3616" s="12"/>
      <c r="F3616" s="20"/>
      <c r="G3616" s="14" t="s">
        <v>10</v>
      </c>
      <c r="H3616" s="20"/>
      <c r="J3616" s="18" t="s">
        <v>2473</v>
      </c>
      <c r="K3616" s="18" t="s">
        <v>2473</v>
      </c>
      <c r="Q3616" s="8" t="s">
        <v>3547</v>
      </c>
      <c r="R3616" s="122" t="s">
        <v>3435</v>
      </c>
      <c r="S3616" s="114" t="s">
        <v>3443</v>
      </c>
      <c r="T3616" s="114" t="s">
        <v>2378</v>
      </c>
      <c r="U3616" s="114" t="s">
        <v>3523</v>
      </c>
      <c r="V3616" s="114" t="s">
        <v>3531</v>
      </c>
      <c r="W3616" s="114" t="s">
        <v>3436</v>
      </c>
      <c r="X3616" s="114" t="s">
        <v>13</v>
      </c>
      <c r="Y3616" s="149"/>
      <c r="Z3616" s="183" t="s">
        <v>4</v>
      </c>
      <c r="AA3616" s="183" t="s">
        <v>2704</v>
      </c>
      <c r="AB3616" s="183" t="s">
        <v>4361</v>
      </c>
      <c r="AC3616" s="183" t="s">
        <v>6</v>
      </c>
      <c r="AD3616" s="183" t="s">
        <v>4815</v>
      </c>
      <c r="AE3616" s="184"/>
      <c r="AF3616" s="184" t="s">
        <v>4436</v>
      </c>
      <c r="AG3616" s="183"/>
      <c r="AH3616" s="183"/>
      <c r="AI3616" s="183"/>
      <c r="AJ3616" s="183"/>
      <c r="AK3616" s="183"/>
      <c r="AL3616" s="183" t="s">
        <v>4496</v>
      </c>
      <c r="AM3616" s="183"/>
      <c r="AN3616" s="131"/>
      <c r="AO3616" s="131"/>
      <c r="AP3616" s="131"/>
      <c r="AQ3616" s="131"/>
      <c r="AR3616" s="288"/>
      <c r="AS3616" s="259"/>
      <c r="AT3616" s="183"/>
      <c r="AV3616" s="6" t="str">
        <f t="shared" si="75"/>
        <v>OK</v>
      </c>
    </row>
    <row r="3617" spans="1:48" ht="70.150000000000006" thickBot="1" x14ac:dyDescent="0.5">
      <c r="A3617" s="42" t="s">
        <v>2657</v>
      </c>
      <c r="B3617" s="13" t="s">
        <v>3658</v>
      </c>
      <c r="C3617" s="14"/>
      <c r="D3617" s="20"/>
      <c r="E3617" s="12"/>
      <c r="F3617" s="20"/>
      <c r="G3617" s="14" t="s">
        <v>10</v>
      </c>
      <c r="H3617" s="20"/>
      <c r="J3617" s="18" t="s">
        <v>2473</v>
      </c>
      <c r="K3617" s="18" t="s">
        <v>2473</v>
      </c>
      <c r="Q3617" s="8" t="s">
        <v>3547</v>
      </c>
      <c r="R3617" s="122" t="s">
        <v>3435</v>
      </c>
      <c r="S3617" s="114" t="s">
        <v>3443</v>
      </c>
      <c r="T3617" s="114" t="s">
        <v>2379</v>
      </c>
      <c r="U3617" s="114" t="s">
        <v>3523</v>
      </c>
      <c r="V3617" s="114" t="s">
        <v>3531</v>
      </c>
      <c r="W3617" s="114" t="s">
        <v>3436</v>
      </c>
      <c r="X3617" s="114" t="s">
        <v>13</v>
      </c>
      <c r="Y3617" s="149"/>
      <c r="Z3617" s="183" t="s">
        <v>4</v>
      </c>
      <c r="AA3617" s="183" t="s">
        <v>2704</v>
      </c>
      <c r="AB3617" s="183" t="s">
        <v>4361</v>
      </c>
      <c r="AC3617" s="183" t="s">
        <v>6</v>
      </c>
      <c r="AD3617" s="183" t="s">
        <v>4814</v>
      </c>
      <c r="AE3617" s="184"/>
      <c r="AF3617" s="184" t="s">
        <v>4436</v>
      </c>
      <c r="AG3617" s="183"/>
      <c r="AH3617" s="183"/>
      <c r="AI3617" s="183"/>
      <c r="AJ3617" s="183"/>
      <c r="AK3617" s="183"/>
      <c r="AL3617" s="183" t="s">
        <v>4496</v>
      </c>
      <c r="AM3617" s="183"/>
      <c r="AN3617" s="131"/>
      <c r="AO3617" s="131"/>
      <c r="AP3617" s="131"/>
      <c r="AQ3617" s="131"/>
      <c r="AR3617" s="288"/>
      <c r="AS3617" s="259"/>
      <c r="AT3617" s="183"/>
      <c r="AV3617" s="6" t="str">
        <f t="shared" si="75"/>
        <v>OK</v>
      </c>
    </row>
    <row r="3618" spans="1:48" ht="93.4" thickBot="1" x14ac:dyDescent="0.5">
      <c r="A3618" s="42" t="s">
        <v>2658</v>
      </c>
      <c r="B3618" s="13" t="s">
        <v>3992</v>
      </c>
      <c r="C3618" s="14"/>
      <c r="D3618" s="20"/>
      <c r="E3618" s="14"/>
      <c r="F3618" s="20"/>
      <c r="G3618" s="14" t="s">
        <v>13</v>
      </c>
      <c r="H3618" s="20"/>
      <c r="J3618" s="18" t="s">
        <v>2473</v>
      </c>
      <c r="K3618" s="18" t="s">
        <v>2473</v>
      </c>
      <c r="Q3618" s="8" t="s">
        <v>3547</v>
      </c>
      <c r="R3618" s="122" t="s">
        <v>3435</v>
      </c>
      <c r="S3618" s="114" t="s">
        <v>3443</v>
      </c>
      <c r="T3618" s="114" t="s">
        <v>2380</v>
      </c>
      <c r="U3618" s="114" t="s">
        <v>3524</v>
      </c>
      <c r="V3618" s="114" t="s">
        <v>3531</v>
      </c>
      <c r="W3618" s="114" t="s">
        <v>3436</v>
      </c>
      <c r="X3618" s="114" t="s">
        <v>13</v>
      </c>
      <c r="Y3618" s="149"/>
      <c r="Z3618" s="183" t="s">
        <v>4</v>
      </c>
      <c r="AA3618" s="183" t="s">
        <v>2704</v>
      </c>
      <c r="AB3618" s="183" t="s">
        <v>4361</v>
      </c>
      <c r="AC3618" s="183" t="s">
        <v>6</v>
      </c>
      <c r="AD3618" s="183" t="s">
        <v>4816</v>
      </c>
      <c r="AE3618" s="184"/>
      <c r="AF3618" s="184" t="s">
        <v>4436</v>
      </c>
      <c r="AG3618" s="183"/>
      <c r="AH3618" s="183"/>
      <c r="AI3618" s="183"/>
      <c r="AJ3618" s="183"/>
      <c r="AK3618" s="183"/>
      <c r="AL3618" s="183" t="s">
        <v>4498</v>
      </c>
      <c r="AM3618" s="183"/>
      <c r="AN3618" s="131"/>
      <c r="AO3618" s="131"/>
      <c r="AP3618" s="131"/>
      <c r="AQ3618" s="131"/>
      <c r="AR3618" s="288"/>
      <c r="AS3618" s="259"/>
      <c r="AT3618" s="183"/>
      <c r="AV3618" s="6" t="str">
        <f t="shared" si="75"/>
        <v>OK</v>
      </c>
    </row>
    <row r="3619" spans="1:48" ht="93.4" thickBot="1" x14ac:dyDescent="0.5">
      <c r="A3619" s="42" t="s">
        <v>2662</v>
      </c>
      <c r="B3619" s="13" t="s">
        <v>3659</v>
      </c>
      <c r="C3619" s="14"/>
      <c r="D3619" s="20"/>
      <c r="E3619" s="14"/>
      <c r="F3619" s="20"/>
      <c r="G3619" s="14" t="s">
        <v>13</v>
      </c>
      <c r="H3619" s="20"/>
      <c r="J3619" s="18" t="s">
        <v>2473</v>
      </c>
      <c r="K3619" s="18" t="s">
        <v>2473</v>
      </c>
      <c r="Q3619" s="8" t="s">
        <v>3547</v>
      </c>
      <c r="R3619" s="122" t="s">
        <v>3435</v>
      </c>
      <c r="S3619" s="114" t="s">
        <v>3443</v>
      </c>
      <c r="T3619" s="114" t="s">
        <v>2381</v>
      </c>
      <c r="U3619" s="114" t="s">
        <v>3524</v>
      </c>
      <c r="V3619" s="114" t="s">
        <v>3531</v>
      </c>
      <c r="W3619" s="114" t="s">
        <v>3436</v>
      </c>
      <c r="X3619" s="114" t="s">
        <v>13</v>
      </c>
      <c r="Y3619" s="149"/>
      <c r="Z3619" s="183" t="s">
        <v>4</v>
      </c>
      <c r="AA3619" s="183" t="s">
        <v>2704</v>
      </c>
      <c r="AB3619" s="183" t="s">
        <v>4361</v>
      </c>
      <c r="AC3619" s="183" t="s">
        <v>6</v>
      </c>
      <c r="AD3619" s="183" t="s">
        <v>4817</v>
      </c>
      <c r="AE3619" s="184"/>
      <c r="AF3619" s="184" t="s">
        <v>4436</v>
      </c>
      <c r="AG3619" s="183"/>
      <c r="AH3619" s="183"/>
      <c r="AI3619" s="183"/>
      <c r="AJ3619" s="183"/>
      <c r="AK3619" s="183"/>
      <c r="AL3619" s="183" t="s">
        <v>4498</v>
      </c>
      <c r="AM3619" s="183"/>
      <c r="AN3619" s="131"/>
      <c r="AO3619" s="131"/>
      <c r="AP3619" s="131"/>
      <c r="AQ3619" s="131"/>
      <c r="AR3619" s="288"/>
      <c r="AS3619" s="259"/>
      <c r="AT3619" s="183"/>
      <c r="AV3619" s="6" t="str">
        <f t="shared" si="75"/>
        <v>OK</v>
      </c>
    </row>
    <row r="3620" spans="1:48" ht="81.75" thickBot="1" x14ac:dyDescent="0.5">
      <c r="A3620" s="42" t="s">
        <v>2661</v>
      </c>
      <c r="B3620" s="13" t="s">
        <v>3660</v>
      </c>
      <c r="C3620" s="14"/>
      <c r="D3620" s="20"/>
      <c r="E3620" s="14"/>
      <c r="F3620" s="20"/>
      <c r="G3620" s="14" t="s">
        <v>13</v>
      </c>
      <c r="H3620" s="20"/>
      <c r="J3620" s="18" t="s">
        <v>2473</v>
      </c>
      <c r="K3620" s="18" t="s">
        <v>2473</v>
      </c>
      <c r="Q3620" s="8" t="s">
        <v>3547</v>
      </c>
      <c r="R3620" s="122" t="s">
        <v>3435</v>
      </c>
      <c r="S3620" s="114" t="s">
        <v>3443</v>
      </c>
      <c r="T3620" s="114" t="s">
        <v>2383</v>
      </c>
      <c r="U3620" s="114" t="s">
        <v>3525</v>
      </c>
      <c r="V3620" s="114"/>
      <c r="W3620" s="114" t="s">
        <v>3436</v>
      </c>
      <c r="X3620" s="114" t="s">
        <v>13</v>
      </c>
      <c r="Y3620" s="149"/>
      <c r="Z3620" s="183" t="s">
        <v>4</v>
      </c>
      <c r="AA3620" s="183" t="s">
        <v>2704</v>
      </c>
      <c r="AB3620" s="183" t="s">
        <v>4345</v>
      </c>
      <c r="AC3620" s="183" t="s">
        <v>6</v>
      </c>
      <c r="AD3620" s="183" t="s">
        <v>5005</v>
      </c>
      <c r="AE3620" s="184"/>
      <c r="AF3620" s="184"/>
      <c r="AG3620" s="183"/>
      <c r="AH3620" s="183"/>
      <c r="AI3620" s="183"/>
      <c r="AJ3620" s="183"/>
      <c r="AK3620" s="183"/>
      <c r="AL3620" s="183" t="s">
        <v>4499</v>
      </c>
      <c r="AM3620" s="183"/>
      <c r="AN3620" s="131"/>
      <c r="AO3620" s="131"/>
      <c r="AP3620" s="131"/>
      <c r="AQ3620" s="131"/>
      <c r="AR3620" s="288"/>
      <c r="AS3620" s="259"/>
      <c r="AT3620" s="183"/>
      <c r="AV3620" s="6" t="str">
        <f t="shared" si="75"/>
        <v>OK</v>
      </c>
    </row>
    <row r="3621" spans="1:48" ht="81.75" thickBot="1" x14ac:dyDescent="0.5">
      <c r="A3621" s="42" t="s">
        <v>2660</v>
      </c>
      <c r="B3621" s="13" t="s">
        <v>3661</v>
      </c>
      <c r="C3621" s="14"/>
      <c r="D3621" s="20"/>
      <c r="E3621" s="14"/>
      <c r="F3621" s="20"/>
      <c r="G3621" s="14" t="s">
        <v>13</v>
      </c>
      <c r="H3621" s="20"/>
      <c r="J3621" s="18" t="s">
        <v>2473</v>
      </c>
      <c r="K3621" s="18" t="s">
        <v>2473</v>
      </c>
      <c r="Q3621" s="8" t="s">
        <v>3547</v>
      </c>
      <c r="R3621" s="122" t="s">
        <v>3435</v>
      </c>
      <c r="S3621" s="114" t="s">
        <v>3443</v>
      </c>
      <c r="T3621" s="114" t="s">
        <v>2382</v>
      </c>
      <c r="U3621" s="114" t="s">
        <v>3525</v>
      </c>
      <c r="V3621" s="114"/>
      <c r="W3621" s="114" t="s">
        <v>3436</v>
      </c>
      <c r="X3621" s="114" t="s">
        <v>13</v>
      </c>
      <c r="Y3621" s="149"/>
      <c r="Z3621" s="183" t="s">
        <v>4</v>
      </c>
      <c r="AA3621" s="183" t="s">
        <v>2704</v>
      </c>
      <c r="AB3621" s="183" t="s">
        <v>4345</v>
      </c>
      <c r="AC3621" s="183" t="s">
        <v>6</v>
      </c>
      <c r="AD3621" s="183" t="s">
        <v>5006</v>
      </c>
      <c r="AE3621" s="184"/>
      <c r="AF3621" s="184"/>
      <c r="AG3621" s="183"/>
      <c r="AH3621" s="183"/>
      <c r="AI3621" s="183"/>
      <c r="AJ3621" s="183"/>
      <c r="AK3621" s="183"/>
      <c r="AL3621" s="183" t="s">
        <v>4499</v>
      </c>
      <c r="AM3621" s="183"/>
      <c r="AN3621" s="131"/>
      <c r="AO3621" s="131"/>
      <c r="AP3621" s="131"/>
      <c r="AQ3621" s="131"/>
      <c r="AR3621" s="288"/>
      <c r="AS3621" s="259"/>
      <c r="AT3621" s="183"/>
      <c r="AV3621" s="6" t="str">
        <f t="shared" si="75"/>
        <v>OK</v>
      </c>
    </row>
    <row r="3622" spans="1:48" ht="151.5" thickBot="1" x14ac:dyDescent="0.5">
      <c r="A3622" s="42" t="s">
        <v>2659</v>
      </c>
      <c r="B3622" s="13" t="s">
        <v>3662</v>
      </c>
      <c r="C3622" s="14"/>
      <c r="D3622" s="20"/>
      <c r="E3622" s="14"/>
      <c r="F3622" s="20"/>
      <c r="G3622" s="14" t="s">
        <v>13</v>
      </c>
      <c r="H3622" s="20"/>
      <c r="J3622" s="18" t="s">
        <v>2473</v>
      </c>
      <c r="K3622" s="18" t="s">
        <v>2473</v>
      </c>
      <c r="Q3622" s="8" t="s">
        <v>3547</v>
      </c>
      <c r="R3622" s="122" t="s">
        <v>3435</v>
      </c>
      <c r="S3622" s="114" t="s">
        <v>3443</v>
      </c>
      <c r="T3622" s="114" t="s">
        <v>2486</v>
      </c>
      <c r="U3622" s="114" t="s">
        <v>3525</v>
      </c>
      <c r="V3622" s="114"/>
      <c r="W3622" s="114" t="s">
        <v>3436</v>
      </c>
      <c r="X3622" s="114" t="s">
        <v>13</v>
      </c>
      <c r="Y3622" s="149"/>
      <c r="Z3622" s="183" t="s">
        <v>4</v>
      </c>
      <c r="AA3622" s="183" t="s">
        <v>2704</v>
      </c>
      <c r="AB3622" s="183" t="s">
        <v>4345</v>
      </c>
      <c r="AC3622" s="183" t="s">
        <v>6</v>
      </c>
      <c r="AD3622" s="183" t="s">
        <v>5007</v>
      </c>
      <c r="AE3622" s="184"/>
      <c r="AF3622" s="184"/>
      <c r="AG3622" s="183"/>
      <c r="AH3622" s="183"/>
      <c r="AI3622" s="183"/>
      <c r="AJ3622" s="183"/>
      <c r="AK3622" s="183"/>
      <c r="AL3622" s="183" t="s">
        <v>4497</v>
      </c>
      <c r="AM3622" s="183"/>
      <c r="AN3622" s="131"/>
      <c r="AO3622" s="131"/>
      <c r="AP3622" s="131"/>
      <c r="AQ3622" s="131"/>
      <c r="AR3622" s="288"/>
      <c r="AS3622" s="259"/>
      <c r="AT3622" s="183"/>
      <c r="AV3622" s="6" t="str">
        <f t="shared" si="75"/>
        <v>OK</v>
      </c>
    </row>
    <row r="3623" spans="1:48" ht="81.75" thickBot="1" x14ac:dyDescent="0.5">
      <c r="A3623" s="197" t="s">
        <v>3341</v>
      </c>
      <c r="B3623" s="198" t="s">
        <v>3663</v>
      </c>
      <c r="C3623" s="199"/>
      <c r="D3623" s="161"/>
      <c r="E3623" s="199"/>
      <c r="F3623" s="161"/>
      <c r="G3623" s="199"/>
      <c r="H3623" s="161"/>
      <c r="I3623" s="162"/>
      <c r="J3623" s="162"/>
      <c r="K3623" s="162"/>
      <c r="L3623" s="162"/>
      <c r="Q3623" s="8" t="s">
        <v>3547</v>
      </c>
      <c r="R3623" s="122" t="s">
        <v>3435</v>
      </c>
      <c r="S3623" s="114" t="s">
        <v>3443</v>
      </c>
      <c r="T3623" s="114" t="s">
        <v>3479</v>
      </c>
      <c r="U3623" s="114" t="s">
        <v>3525</v>
      </c>
      <c r="V3623" s="114"/>
      <c r="W3623" s="114" t="s">
        <v>3436</v>
      </c>
      <c r="X3623" s="114" t="s">
        <v>13</v>
      </c>
      <c r="Y3623" s="149"/>
      <c r="Z3623" s="183"/>
      <c r="AA3623" s="183"/>
      <c r="AB3623" s="183"/>
      <c r="AC3623" s="183"/>
      <c r="AD3623" s="183" t="s">
        <v>5008</v>
      </c>
      <c r="AE3623" s="184"/>
      <c r="AF3623" s="184"/>
      <c r="AG3623" s="183"/>
      <c r="AH3623" s="183"/>
      <c r="AI3623" s="183"/>
      <c r="AJ3623" s="183"/>
      <c r="AK3623" s="183"/>
      <c r="AL3623" s="183" t="s">
        <v>4500</v>
      </c>
      <c r="AM3623" s="183"/>
      <c r="AN3623" s="131"/>
      <c r="AO3623" s="131"/>
      <c r="AP3623" s="131"/>
      <c r="AQ3623" s="131"/>
      <c r="AR3623" s="288"/>
      <c r="AS3623" s="259"/>
      <c r="AT3623" s="183"/>
      <c r="AU3623" s="202" t="s">
        <v>5046</v>
      </c>
      <c r="AV3623" s="6" t="str">
        <f t="shared" si="75"/>
        <v>OK</v>
      </c>
    </row>
    <row r="3624" spans="1:48" ht="58.5" thickBot="1" x14ac:dyDescent="0.5">
      <c r="A3624" s="35" t="s">
        <v>2079</v>
      </c>
      <c r="B3624" s="3" t="s">
        <v>3664</v>
      </c>
      <c r="C3624" s="4"/>
      <c r="D3624" s="4"/>
      <c r="E3624" s="4"/>
      <c r="F3624" s="4"/>
      <c r="G3624" s="4" t="s">
        <v>13</v>
      </c>
      <c r="H3624" s="4"/>
      <c r="J3624" s="18" t="s">
        <v>2473</v>
      </c>
      <c r="K3624" s="18" t="s">
        <v>2473</v>
      </c>
      <c r="Q3624" s="8" t="s">
        <v>3550</v>
      </c>
      <c r="R3624" s="122" t="s">
        <v>3529</v>
      </c>
      <c r="S3624" s="114" t="s">
        <v>4</v>
      </c>
      <c r="T3624" s="114" t="s">
        <v>1124</v>
      </c>
      <c r="U3624" s="114" t="s">
        <v>3521</v>
      </c>
      <c r="V3624" s="114" t="s">
        <v>3530</v>
      </c>
      <c r="W3624" s="114" t="s">
        <v>3436</v>
      </c>
      <c r="X3624" s="114" t="s">
        <v>13</v>
      </c>
      <c r="Y3624" s="149"/>
      <c r="Z3624" s="183" t="s">
        <v>4</v>
      </c>
      <c r="AA3624" s="183" t="s">
        <v>2704</v>
      </c>
      <c r="AB3624" s="183" t="s">
        <v>4358</v>
      </c>
      <c r="AC3624" s="183" t="s">
        <v>6</v>
      </c>
      <c r="AD3624" s="183" t="s">
        <v>4818</v>
      </c>
      <c r="AE3624" s="184"/>
      <c r="AF3624" s="184"/>
      <c r="AG3624" s="183"/>
      <c r="AH3624" s="183"/>
      <c r="AI3624" s="183"/>
      <c r="AJ3624" s="183"/>
      <c r="AK3624" s="183"/>
      <c r="AL3624" s="183"/>
      <c r="AM3624" s="183"/>
      <c r="AN3624" s="131"/>
      <c r="AO3624" s="131"/>
      <c r="AP3624" s="131"/>
      <c r="AQ3624" s="131"/>
      <c r="AR3624" s="288"/>
      <c r="AS3624" s="259"/>
      <c r="AT3624" s="183"/>
      <c r="AU3624" s="6"/>
      <c r="AV3624" s="6" t="str">
        <f t="shared" si="75"/>
        <v>OK</v>
      </c>
    </row>
    <row r="3625" spans="1:48" ht="116.65" thickBot="1" x14ac:dyDescent="0.5">
      <c r="A3625" s="44" t="s">
        <v>2703</v>
      </c>
      <c r="B3625" s="50" t="s">
        <v>3997</v>
      </c>
      <c r="C3625" s="12"/>
      <c r="D3625" s="20"/>
      <c r="E3625" s="20"/>
      <c r="F3625" s="20"/>
      <c r="G3625" s="12" t="s">
        <v>10</v>
      </c>
      <c r="H3625" s="20"/>
      <c r="J3625" s="18" t="s">
        <v>2473</v>
      </c>
      <c r="K3625" s="18" t="s">
        <v>2473</v>
      </c>
      <c r="R3625" s="122" t="s">
        <v>3435</v>
      </c>
      <c r="S3625" s="114" t="s">
        <v>3437</v>
      </c>
      <c r="T3625" s="114" t="s">
        <v>2703</v>
      </c>
      <c r="U3625" s="114"/>
      <c r="V3625" s="114" t="s">
        <v>3548</v>
      </c>
      <c r="W3625" s="114" t="s">
        <v>3436</v>
      </c>
      <c r="X3625" s="114" t="s">
        <v>13</v>
      </c>
      <c r="Y3625" s="149"/>
      <c r="Z3625" s="183" t="s">
        <v>4</v>
      </c>
      <c r="AA3625" s="183"/>
      <c r="AB3625" s="183" t="s">
        <v>4349</v>
      </c>
      <c r="AC3625" s="183"/>
      <c r="AD3625" s="183" t="s">
        <v>4794</v>
      </c>
      <c r="AE3625" s="184"/>
      <c r="AF3625" s="184"/>
      <c r="AG3625" s="183"/>
      <c r="AH3625" s="183"/>
      <c r="AI3625" s="183" t="str">
        <f>"true"</f>
        <v>true</v>
      </c>
      <c r="AJ3625" s="183"/>
      <c r="AK3625" s="183"/>
      <c r="AL3625" s="183" t="s">
        <v>2703</v>
      </c>
      <c r="AM3625" s="183"/>
      <c r="AN3625" s="131"/>
      <c r="AO3625" s="131"/>
      <c r="AP3625" s="131"/>
      <c r="AQ3625" s="131"/>
      <c r="AR3625" s="288"/>
      <c r="AS3625" s="259"/>
      <c r="AT3625" s="183"/>
      <c r="AV3625" s="6" t="str">
        <f t="shared" si="75"/>
        <v>OK</v>
      </c>
    </row>
    <row r="3626" spans="1:48" ht="14.65" thickBot="1" x14ac:dyDescent="0.5">
      <c r="A3626" s="41" t="s">
        <v>33</v>
      </c>
      <c r="B3626" s="50" t="s">
        <v>3804</v>
      </c>
      <c r="C3626" s="12"/>
      <c r="D3626" s="20"/>
      <c r="E3626" s="20"/>
      <c r="F3626" s="20"/>
      <c r="G3626" s="12"/>
      <c r="H3626" s="20"/>
      <c r="J3626" s="18" t="s">
        <v>2473</v>
      </c>
      <c r="K3626" s="18" t="s">
        <v>2473</v>
      </c>
      <c r="R3626" s="114"/>
      <c r="S3626" s="114"/>
      <c r="T3626" s="114"/>
      <c r="U3626" s="114"/>
      <c r="V3626" s="114"/>
      <c r="W3626" s="114"/>
      <c r="X3626" s="114"/>
      <c r="Y3626" s="149"/>
      <c r="Z3626" s="183"/>
      <c r="AA3626" s="183"/>
      <c r="AB3626" s="183"/>
      <c r="AC3626" s="183"/>
      <c r="AD3626" s="183"/>
      <c r="AE3626" s="184"/>
      <c r="AF3626" s="184"/>
      <c r="AG3626" s="183"/>
      <c r="AH3626" s="183"/>
      <c r="AI3626" s="183"/>
      <c r="AJ3626" s="183"/>
      <c r="AK3626" s="183"/>
      <c r="AL3626" s="183"/>
      <c r="AM3626" s="183"/>
      <c r="AN3626" s="131"/>
      <c r="AO3626" s="131"/>
      <c r="AP3626" s="131"/>
      <c r="AQ3626" s="131"/>
      <c r="AR3626" s="288"/>
      <c r="AS3626" s="259"/>
      <c r="AT3626" s="183"/>
      <c r="AV3626" s="6" t="str">
        <f t="shared" si="75"/>
        <v/>
      </c>
    </row>
    <row r="3627" spans="1:48" ht="14.65" thickBot="1" x14ac:dyDescent="0.5">
      <c r="A3627" s="35" t="s">
        <v>461</v>
      </c>
      <c r="B3627" s="3" t="s">
        <v>462</v>
      </c>
      <c r="C3627" s="12"/>
      <c r="D3627" s="20"/>
      <c r="E3627" s="20"/>
      <c r="F3627" s="4"/>
      <c r="G3627" s="12"/>
      <c r="H3627" s="20"/>
      <c r="J3627" s="18" t="s">
        <v>2473</v>
      </c>
      <c r="K3627" s="18" t="s">
        <v>2473</v>
      </c>
      <c r="R3627" s="114"/>
      <c r="S3627" s="114"/>
      <c r="T3627" s="114"/>
      <c r="U3627" s="114"/>
      <c r="V3627" s="114"/>
      <c r="W3627" s="114"/>
      <c r="X3627" s="114"/>
      <c r="Y3627" s="149"/>
      <c r="Z3627" s="183"/>
      <c r="AA3627" s="183"/>
      <c r="AB3627" s="183"/>
      <c r="AC3627" s="183"/>
      <c r="AD3627" s="183"/>
      <c r="AE3627" s="184"/>
      <c r="AF3627" s="184"/>
      <c r="AG3627" s="183"/>
      <c r="AH3627" s="183"/>
      <c r="AI3627" s="183"/>
      <c r="AJ3627" s="183"/>
      <c r="AK3627" s="183"/>
      <c r="AL3627" s="183"/>
      <c r="AM3627" s="183"/>
      <c r="AN3627" s="131"/>
      <c r="AO3627" s="131"/>
      <c r="AP3627" s="131"/>
      <c r="AQ3627" s="131"/>
      <c r="AR3627" s="288"/>
      <c r="AS3627" s="259"/>
      <c r="AT3627" s="183"/>
      <c r="AU3627" s="8"/>
      <c r="AV3627" s="6" t="str">
        <f t="shared" si="75"/>
        <v/>
      </c>
    </row>
    <row r="3628" spans="1:48" ht="14.65" thickBot="1" x14ac:dyDescent="0.5">
      <c r="A3628" s="35" t="s">
        <v>424</v>
      </c>
      <c r="B3628" s="15" t="s">
        <v>2350</v>
      </c>
      <c r="C3628" s="12"/>
      <c r="D3628" s="20"/>
      <c r="E3628" s="20"/>
      <c r="F3628" s="4"/>
      <c r="G3628" s="12"/>
      <c r="H3628" s="20"/>
      <c r="J3628" s="18" t="s">
        <v>2473</v>
      </c>
      <c r="K3628" s="18" t="s">
        <v>2473</v>
      </c>
      <c r="R3628" s="114"/>
      <c r="S3628" s="114"/>
      <c r="T3628" s="114"/>
      <c r="U3628" s="114"/>
      <c r="V3628" s="114"/>
      <c r="W3628" s="114"/>
      <c r="X3628" s="114"/>
      <c r="Y3628" s="149"/>
      <c r="Z3628" s="183"/>
      <c r="AA3628" s="183"/>
      <c r="AB3628" s="183"/>
      <c r="AC3628" s="183"/>
      <c r="AD3628" s="183"/>
      <c r="AE3628" s="184"/>
      <c r="AF3628" s="184"/>
      <c r="AG3628" s="183"/>
      <c r="AH3628" s="183"/>
      <c r="AI3628" s="183"/>
      <c r="AJ3628" s="183"/>
      <c r="AK3628" s="183"/>
      <c r="AL3628" s="183"/>
      <c r="AM3628" s="183"/>
      <c r="AN3628" s="131"/>
      <c r="AO3628" s="131"/>
      <c r="AP3628" s="131"/>
      <c r="AQ3628" s="131"/>
      <c r="AR3628" s="288"/>
      <c r="AS3628" s="259"/>
      <c r="AT3628" s="183"/>
      <c r="AU3628" s="8"/>
      <c r="AV3628" s="6" t="str">
        <f t="shared" si="75"/>
        <v/>
      </c>
    </row>
    <row r="3629" spans="1:48" ht="70.150000000000006" thickBot="1" x14ac:dyDescent="0.5">
      <c r="A3629" s="41" t="s">
        <v>894</v>
      </c>
      <c r="B3629" s="50" t="s">
        <v>3805</v>
      </c>
      <c r="C3629" s="12"/>
      <c r="D3629" s="20"/>
      <c r="E3629" s="20"/>
      <c r="F3629" s="20"/>
      <c r="G3629" s="12" t="s">
        <v>10</v>
      </c>
      <c r="H3629" s="20" t="s">
        <v>10</v>
      </c>
      <c r="J3629" s="18" t="s">
        <v>2473</v>
      </c>
      <c r="K3629" s="18" t="s">
        <v>2473</v>
      </c>
      <c r="Q3629" s="8" t="s">
        <v>3548</v>
      </c>
      <c r="R3629" s="122" t="s">
        <v>3529</v>
      </c>
      <c r="S3629" s="114" t="s">
        <v>4</v>
      </c>
      <c r="T3629" s="114" t="s">
        <v>577</v>
      </c>
      <c r="U3629" s="114" t="s">
        <v>3522</v>
      </c>
      <c r="V3629" s="114" t="s">
        <v>3530</v>
      </c>
      <c r="W3629" s="114" t="s">
        <v>3436</v>
      </c>
      <c r="X3629" s="114" t="s">
        <v>13</v>
      </c>
      <c r="Y3629" s="149"/>
      <c r="Z3629" s="183" t="s">
        <v>4</v>
      </c>
      <c r="AA3629" s="183" t="s">
        <v>2703</v>
      </c>
      <c r="AB3629" s="183" t="s">
        <v>4344</v>
      </c>
      <c r="AC3629" s="183" t="s">
        <v>4346</v>
      </c>
      <c r="AD3629" s="183" t="s">
        <v>4791</v>
      </c>
      <c r="AE3629" s="184"/>
      <c r="AF3629" s="184"/>
      <c r="AG3629" s="183"/>
      <c r="AH3629" s="183"/>
      <c r="AI3629" s="183"/>
      <c r="AJ3629" s="183"/>
      <c r="AK3629" s="183"/>
      <c r="AL3629" s="183"/>
      <c r="AM3629" s="183"/>
      <c r="AN3629" s="131"/>
      <c r="AO3629" s="131"/>
      <c r="AP3629" s="131"/>
      <c r="AQ3629" s="131"/>
      <c r="AR3629" s="288"/>
      <c r="AS3629" s="259"/>
      <c r="AT3629" s="183"/>
      <c r="AV3629" s="6" t="str">
        <f t="shared" si="75"/>
        <v>OK</v>
      </c>
    </row>
    <row r="3630" spans="1:48" ht="81.75" thickBot="1" x14ac:dyDescent="0.5">
      <c r="A3630" s="42" t="s">
        <v>2663</v>
      </c>
      <c r="B3630" s="13" t="s">
        <v>4022</v>
      </c>
      <c r="C3630" s="14"/>
      <c r="D3630" s="20"/>
      <c r="E3630" s="12"/>
      <c r="F3630" s="20"/>
      <c r="G3630" s="14" t="s">
        <v>10</v>
      </c>
      <c r="H3630" s="20"/>
      <c r="J3630" s="18" t="s">
        <v>2473</v>
      </c>
      <c r="K3630" s="18" t="s">
        <v>2473</v>
      </c>
      <c r="Q3630" s="8" t="s">
        <v>3548</v>
      </c>
      <c r="R3630" s="122" t="s">
        <v>3529</v>
      </c>
      <c r="S3630" s="114" t="s">
        <v>4</v>
      </c>
      <c r="T3630" s="114" t="s">
        <v>2351</v>
      </c>
      <c r="U3630" s="114" t="s">
        <v>3523</v>
      </c>
      <c r="V3630" s="114" t="s">
        <v>3530</v>
      </c>
      <c r="W3630" s="114" t="s">
        <v>3436</v>
      </c>
      <c r="X3630" s="114" t="s">
        <v>13</v>
      </c>
      <c r="Y3630" s="149"/>
      <c r="Z3630" s="183" t="s">
        <v>4</v>
      </c>
      <c r="AA3630" s="183" t="s">
        <v>2703</v>
      </c>
      <c r="AB3630" s="183" t="s">
        <v>4361</v>
      </c>
      <c r="AC3630" s="183" t="s">
        <v>6</v>
      </c>
      <c r="AD3630" s="183" t="s">
        <v>4824</v>
      </c>
      <c r="AE3630" s="184"/>
      <c r="AF3630" s="184" t="s">
        <v>4437</v>
      </c>
      <c r="AG3630" s="183"/>
      <c r="AH3630" s="183"/>
      <c r="AI3630" s="183"/>
      <c r="AJ3630" s="183"/>
      <c r="AK3630" s="183"/>
      <c r="AL3630" s="183" t="s">
        <v>4501</v>
      </c>
      <c r="AM3630" s="183"/>
      <c r="AN3630" s="131"/>
      <c r="AO3630" s="131"/>
      <c r="AP3630" s="131"/>
      <c r="AQ3630" s="131"/>
      <c r="AR3630" s="288"/>
      <c r="AS3630" s="259"/>
      <c r="AT3630" s="183"/>
      <c r="AV3630" s="6" t="str">
        <f t="shared" si="75"/>
        <v>OK</v>
      </c>
    </row>
    <row r="3631" spans="1:48" ht="58.5" thickBot="1" x14ac:dyDescent="0.5">
      <c r="A3631" s="42" t="s">
        <v>2664</v>
      </c>
      <c r="B3631" s="13" t="s">
        <v>3671</v>
      </c>
      <c r="C3631" s="14"/>
      <c r="D3631" s="20"/>
      <c r="E3631" s="12"/>
      <c r="F3631" s="20"/>
      <c r="G3631" s="14" t="s">
        <v>10</v>
      </c>
      <c r="H3631" s="20"/>
      <c r="J3631" s="18" t="s">
        <v>2473</v>
      </c>
      <c r="K3631" s="18" t="s">
        <v>2473</v>
      </c>
      <c r="Q3631" s="8" t="s">
        <v>3548</v>
      </c>
      <c r="R3631" s="122" t="s">
        <v>3435</v>
      </c>
      <c r="S3631" s="114" t="s">
        <v>3443</v>
      </c>
      <c r="T3631" s="114" t="s">
        <v>2352</v>
      </c>
      <c r="U3631" s="114" t="s">
        <v>3525</v>
      </c>
      <c r="V3631" s="114"/>
      <c r="W3631" s="114" t="s">
        <v>3436</v>
      </c>
      <c r="X3631" s="114" t="s">
        <v>13</v>
      </c>
      <c r="Y3631" s="149"/>
      <c r="Z3631" s="183" t="s">
        <v>4</v>
      </c>
      <c r="AA3631" s="183" t="s">
        <v>2703</v>
      </c>
      <c r="AB3631" s="183" t="s">
        <v>4361</v>
      </c>
      <c r="AC3631" s="183" t="s">
        <v>6</v>
      </c>
      <c r="AD3631" s="183" t="s">
        <v>4827</v>
      </c>
      <c r="AE3631" s="184"/>
      <c r="AF3631" s="184" t="s">
        <v>4436</v>
      </c>
      <c r="AG3631" s="183"/>
      <c r="AH3631" s="183"/>
      <c r="AI3631" s="183"/>
      <c r="AJ3631" s="183"/>
      <c r="AK3631" s="183"/>
      <c r="AL3631" s="183" t="s">
        <v>4505</v>
      </c>
      <c r="AM3631" s="183"/>
      <c r="AN3631" s="131"/>
      <c r="AO3631" s="131"/>
      <c r="AP3631" s="131"/>
      <c r="AQ3631" s="131"/>
      <c r="AR3631" s="288"/>
      <c r="AS3631" s="259"/>
      <c r="AT3631" s="183"/>
      <c r="AV3631" s="6" t="str">
        <f t="shared" si="75"/>
        <v>OK</v>
      </c>
    </row>
    <row r="3632" spans="1:48" ht="58.5" thickBot="1" x14ac:dyDescent="0.5">
      <c r="A3632" s="42" t="s">
        <v>2665</v>
      </c>
      <c r="B3632" s="13" t="s">
        <v>3670</v>
      </c>
      <c r="C3632" s="14"/>
      <c r="D3632" s="20"/>
      <c r="E3632" s="12"/>
      <c r="F3632" s="20"/>
      <c r="G3632" s="14" t="s">
        <v>10</v>
      </c>
      <c r="H3632" s="20"/>
      <c r="J3632" s="18" t="s">
        <v>2473</v>
      </c>
      <c r="K3632" s="18" t="s">
        <v>2473</v>
      </c>
      <c r="Q3632" s="8" t="s">
        <v>3548</v>
      </c>
      <c r="R3632" s="122" t="s">
        <v>3435</v>
      </c>
      <c r="S3632" s="114" t="s">
        <v>3443</v>
      </c>
      <c r="T3632" s="114" t="s">
        <v>2353</v>
      </c>
      <c r="U3632" s="114" t="s">
        <v>3525</v>
      </c>
      <c r="V3632" s="114"/>
      <c r="W3632" s="114" t="s">
        <v>3436</v>
      </c>
      <c r="X3632" s="114" t="s">
        <v>13</v>
      </c>
      <c r="Y3632" s="149"/>
      <c r="Z3632" s="183" t="s">
        <v>4</v>
      </c>
      <c r="AA3632" s="183" t="s">
        <v>2703</v>
      </c>
      <c r="AB3632" s="183" t="s">
        <v>4361</v>
      </c>
      <c r="AC3632" s="183" t="s">
        <v>6</v>
      </c>
      <c r="AD3632" s="183" t="s">
        <v>4828</v>
      </c>
      <c r="AE3632" s="184"/>
      <c r="AF3632" s="184" t="s">
        <v>4436</v>
      </c>
      <c r="AG3632" s="183"/>
      <c r="AH3632" s="183"/>
      <c r="AI3632" s="183"/>
      <c r="AJ3632" s="183"/>
      <c r="AK3632" s="183"/>
      <c r="AL3632" s="183" t="s">
        <v>4505</v>
      </c>
      <c r="AM3632" s="183"/>
      <c r="AN3632" s="131"/>
      <c r="AO3632" s="131"/>
      <c r="AP3632" s="131"/>
      <c r="AQ3632" s="131"/>
      <c r="AR3632" s="288"/>
      <c r="AS3632" s="259"/>
      <c r="AT3632" s="183"/>
      <c r="AV3632" s="6" t="str">
        <f t="shared" si="75"/>
        <v>OK</v>
      </c>
    </row>
    <row r="3633" spans="1:48" ht="58.5" thickBot="1" x14ac:dyDescent="0.5">
      <c r="A3633" s="42" t="s">
        <v>2666</v>
      </c>
      <c r="B3633" s="13" t="s">
        <v>4023</v>
      </c>
      <c r="C3633" s="14"/>
      <c r="D3633" s="20"/>
      <c r="E3633" s="12"/>
      <c r="F3633" s="20"/>
      <c r="G3633" s="14" t="s">
        <v>10</v>
      </c>
      <c r="H3633" s="20"/>
      <c r="J3633" s="18" t="s">
        <v>2473</v>
      </c>
      <c r="K3633" s="18" t="s">
        <v>2473</v>
      </c>
      <c r="Q3633" s="8" t="s">
        <v>3548</v>
      </c>
      <c r="R3633" s="122" t="s">
        <v>3435</v>
      </c>
      <c r="S3633" s="114" t="s">
        <v>3443</v>
      </c>
      <c r="T3633" s="114" t="s">
        <v>2354</v>
      </c>
      <c r="U3633" s="114" t="s">
        <v>3525</v>
      </c>
      <c r="V3633" s="114"/>
      <c r="W3633" s="114" t="s">
        <v>3436</v>
      </c>
      <c r="X3633" s="114" t="s">
        <v>13</v>
      </c>
      <c r="Y3633" s="149"/>
      <c r="Z3633" s="183" t="s">
        <v>4</v>
      </c>
      <c r="AA3633" s="183" t="s">
        <v>2703</v>
      </c>
      <c r="AB3633" s="183" t="s">
        <v>4361</v>
      </c>
      <c r="AC3633" s="183" t="s">
        <v>6</v>
      </c>
      <c r="AD3633" s="183" t="s">
        <v>4825</v>
      </c>
      <c r="AE3633" s="184"/>
      <c r="AF3633" s="184" t="s">
        <v>4436</v>
      </c>
      <c r="AG3633" s="183"/>
      <c r="AH3633" s="183"/>
      <c r="AI3633" s="183"/>
      <c r="AJ3633" s="183"/>
      <c r="AK3633" s="183"/>
      <c r="AL3633" s="183" t="s">
        <v>4502</v>
      </c>
      <c r="AM3633" s="183"/>
      <c r="AN3633" s="131"/>
      <c r="AO3633" s="131"/>
      <c r="AP3633" s="131"/>
      <c r="AQ3633" s="131"/>
      <c r="AR3633" s="288"/>
      <c r="AS3633" s="259"/>
      <c r="AT3633" s="183"/>
      <c r="AV3633" s="6" t="str">
        <f t="shared" ref="AV3633:AV3709" si="77">IF(A3633&lt;&gt;"",IF(T3633&lt;&gt;"",IF(LEFT(R3633,3)="Has",IF(TRIM(A3633)&lt;&gt;T3633,"ERROR","OK"),""),""),"")</f>
        <v>OK</v>
      </c>
    </row>
    <row r="3634" spans="1:48" ht="58.5" thickBot="1" x14ac:dyDescent="0.5">
      <c r="A3634" s="42" t="s">
        <v>2667</v>
      </c>
      <c r="B3634" s="13" t="s">
        <v>3669</v>
      </c>
      <c r="C3634" s="14"/>
      <c r="D3634" s="20"/>
      <c r="E3634" s="12"/>
      <c r="F3634" s="20"/>
      <c r="G3634" s="14" t="s">
        <v>10</v>
      </c>
      <c r="H3634" s="20"/>
      <c r="J3634" s="18" t="s">
        <v>2473</v>
      </c>
      <c r="K3634" s="18" t="s">
        <v>2473</v>
      </c>
      <c r="Q3634" s="8" t="s">
        <v>3548</v>
      </c>
      <c r="R3634" s="122" t="s">
        <v>3435</v>
      </c>
      <c r="S3634" s="114" t="s">
        <v>3443</v>
      </c>
      <c r="T3634" s="114" t="s">
        <v>2355</v>
      </c>
      <c r="U3634" s="114" t="s">
        <v>3525</v>
      </c>
      <c r="V3634" s="114"/>
      <c r="W3634" s="114" t="s">
        <v>3436</v>
      </c>
      <c r="X3634" s="114" t="s">
        <v>13</v>
      </c>
      <c r="Y3634" s="149"/>
      <c r="Z3634" s="183" t="s">
        <v>4</v>
      </c>
      <c r="AA3634" s="183" t="s">
        <v>2703</v>
      </c>
      <c r="AB3634" s="183" t="s">
        <v>4361</v>
      </c>
      <c r="AC3634" s="183" t="s">
        <v>6</v>
      </c>
      <c r="AD3634" s="183" t="s">
        <v>4826</v>
      </c>
      <c r="AE3634" s="184"/>
      <c r="AF3634" s="184" t="s">
        <v>4436</v>
      </c>
      <c r="AG3634" s="183"/>
      <c r="AH3634" s="183"/>
      <c r="AI3634" s="183"/>
      <c r="AJ3634" s="183"/>
      <c r="AK3634" s="183"/>
      <c r="AL3634" s="183" t="s">
        <v>4502</v>
      </c>
      <c r="AM3634" s="183"/>
      <c r="AN3634" s="131"/>
      <c r="AO3634" s="131"/>
      <c r="AP3634" s="131"/>
      <c r="AQ3634" s="131"/>
      <c r="AR3634" s="288"/>
      <c r="AS3634" s="259"/>
      <c r="AT3634" s="183"/>
      <c r="AV3634" s="6" t="str">
        <f t="shared" si="77"/>
        <v>OK</v>
      </c>
    </row>
    <row r="3635" spans="1:48" ht="47.65" thickBot="1" x14ac:dyDescent="0.5">
      <c r="A3635" s="42" t="s">
        <v>2668</v>
      </c>
      <c r="B3635" s="13" t="s">
        <v>4021</v>
      </c>
      <c r="C3635" s="14"/>
      <c r="D3635" s="20"/>
      <c r="E3635" s="12"/>
      <c r="F3635" s="20"/>
      <c r="G3635" s="14" t="s">
        <v>10</v>
      </c>
      <c r="H3635" s="20"/>
      <c r="J3635" s="18" t="s">
        <v>2473</v>
      </c>
      <c r="K3635" s="18" t="s">
        <v>2473</v>
      </c>
      <c r="Q3635" s="8" t="s">
        <v>3548</v>
      </c>
      <c r="R3635" s="122" t="s">
        <v>3435</v>
      </c>
      <c r="S3635" s="114" t="s">
        <v>3443</v>
      </c>
      <c r="T3635" s="114" t="s">
        <v>2356</v>
      </c>
      <c r="U3635" s="114" t="s">
        <v>3523</v>
      </c>
      <c r="V3635" s="114" t="s">
        <v>3531</v>
      </c>
      <c r="W3635" s="114" t="s">
        <v>3436</v>
      </c>
      <c r="X3635" s="114" t="s">
        <v>13</v>
      </c>
      <c r="Y3635" s="149"/>
      <c r="Z3635" s="183" t="s">
        <v>4</v>
      </c>
      <c r="AA3635" s="183" t="s">
        <v>2703</v>
      </c>
      <c r="AB3635" s="183" t="s">
        <v>4361</v>
      </c>
      <c r="AC3635" s="183" t="s">
        <v>6</v>
      </c>
      <c r="AD3635" s="183" t="s">
        <v>4829</v>
      </c>
      <c r="AE3635" s="184"/>
      <c r="AF3635" s="184" t="s">
        <v>4436</v>
      </c>
      <c r="AG3635" s="183"/>
      <c r="AH3635" s="183"/>
      <c r="AI3635" s="183"/>
      <c r="AJ3635" s="183"/>
      <c r="AK3635" s="183"/>
      <c r="AL3635" s="183"/>
      <c r="AM3635" s="183"/>
      <c r="AN3635" s="131"/>
      <c r="AO3635" s="131"/>
      <c r="AP3635" s="131"/>
      <c r="AQ3635" s="131"/>
      <c r="AR3635" s="288"/>
      <c r="AS3635" s="259"/>
      <c r="AT3635" s="183"/>
      <c r="AV3635" s="6" t="str">
        <f t="shared" si="77"/>
        <v>OK</v>
      </c>
    </row>
    <row r="3636" spans="1:48" ht="47.65" thickBot="1" x14ac:dyDescent="0.5">
      <c r="A3636" s="42" t="s">
        <v>2669</v>
      </c>
      <c r="B3636" s="13" t="s">
        <v>4020</v>
      </c>
      <c r="C3636" s="14"/>
      <c r="D3636" s="20"/>
      <c r="E3636" s="12"/>
      <c r="F3636" s="20"/>
      <c r="G3636" s="14" t="s">
        <v>10</v>
      </c>
      <c r="H3636" s="20"/>
      <c r="J3636" s="18" t="s">
        <v>2473</v>
      </c>
      <c r="K3636" s="18" t="s">
        <v>2473</v>
      </c>
      <c r="Q3636" s="8" t="s">
        <v>3548</v>
      </c>
      <c r="R3636" s="122" t="s">
        <v>3435</v>
      </c>
      <c r="S3636" s="114" t="s">
        <v>3443</v>
      </c>
      <c r="T3636" s="114" t="s">
        <v>2357</v>
      </c>
      <c r="U3636" s="114" t="s">
        <v>3523</v>
      </c>
      <c r="V3636" s="114" t="s">
        <v>3531</v>
      </c>
      <c r="W3636" s="114" t="s">
        <v>3436</v>
      </c>
      <c r="X3636" s="114" t="s">
        <v>13</v>
      </c>
      <c r="Y3636" s="149"/>
      <c r="Z3636" s="183" t="s">
        <v>4</v>
      </c>
      <c r="AA3636" s="183" t="s">
        <v>2703</v>
      </c>
      <c r="AB3636" s="183" t="s">
        <v>4361</v>
      </c>
      <c r="AC3636" s="183" t="s">
        <v>6</v>
      </c>
      <c r="AD3636" s="183" t="s">
        <v>4830</v>
      </c>
      <c r="AE3636" s="184"/>
      <c r="AF3636" s="184" t="s">
        <v>4436</v>
      </c>
      <c r="AG3636" s="183"/>
      <c r="AH3636" s="183"/>
      <c r="AI3636" s="183"/>
      <c r="AJ3636" s="183"/>
      <c r="AK3636" s="183"/>
      <c r="AL3636" s="183"/>
      <c r="AM3636" s="183"/>
      <c r="AN3636" s="131"/>
      <c r="AO3636" s="131"/>
      <c r="AP3636" s="131"/>
      <c r="AQ3636" s="131"/>
      <c r="AR3636" s="288"/>
      <c r="AS3636" s="259"/>
      <c r="AT3636" s="183"/>
      <c r="AV3636" s="6" t="str">
        <f t="shared" si="77"/>
        <v>OK</v>
      </c>
    </row>
    <row r="3637" spans="1:48" ht="47.65" thickBot="1" x14ac:dyDescent="0.5">
      <c r="A3637" s="42" t="s">
        <v>2670</v>
      </c>
      <c r="B3637" s="13" t="s">
        <v>4019</v>
      </c>
      <c r="C3637" s="14"/>
      <c r="D3637" s="20"/>
      <c r="E3637" s="12"/>
      <c r="F3637" s="20"/>
      <c r="G3637" s="14" t="s">
        <v>10</v>
      </c>
      <c r="H3637" s="20"/>
      <c r="J3637" s="18" t="s">
        <v>2473</v>
      </c>
      <c r="K3637" s="18" t="s">
        <v>2473</v>
      </c>
      <c r="Q3637" s="8" t="s">
        <v>3548</v>
      </c>
      <c r="R3637" s="122" t="s">
        <v>3435</v>
      </c>
      <c r="S3637" s="114" t="s">
        <v>3443</v>
      </c>
      <c r="T3637" s="114" t="s">
        <v>2358</v>
      </c>
      <c r="U3637" s="114" t="s">
        <v>3523</v>
      </c>
      <c r="V3637" s="114" t="s">
        <v>3531</v>
      </c>
      <c r="W3637" s="114" t="s">
        <v>3436</v>
      </c>
      <c r="X3637" s="114" t="s">
        <v>13</v>
      </c>
      <c r="Y3637" s="149"/>
      <c r="Z3637" s="183" t="s">
        <v>4</v>
      </c>
      <c r="AA3637" s="183" t="s">
        <v>2703</v>
      </c>
      <c r="AB3637" s="183" t="s">
        <v>4361</v>
      </c>
      <c r="AC3637" s="183" t="s">
        <v>6</v>
      </c>
      <c r="AD3637" s="183" t="s">
        <v>4831</v>
      </c>
      <c r="AE3637" s="184"/>
      <c r="AF3637" s="184" t="s">
        <v>4436</v>
      </c>
      <c r="AG3637" s="183"/>
      <c r="AH3637" s="183"/>
      <c r="AI3637" s="183"/>
      <c r="AJ3637" s="183"/>
      <c r="AK3637" s="183"/>
      <c r="AL3637" s="183"/>
      <c r="AM3637" s="183"/>
      <c r="AN3637" s="131"/>
      <c r="AO3637" s="131"/>
      <c r="AP3637" s="131"/>
      <c r="AQ3637" s="131"/>
      <c r="AR3637" s="288"/>
      <c r="AS3637" s="259"/>
      <c r="AT3637" s="183"/>
      <c r="AV3637" s="6" t="str">
        <f t="shared" si="77"/>
        <v>OK</v>
      </c>
    </row>
    <row r="3638" spans="1:48" ht="58.5" thickBot="1" x14ac:dyDescent="0.5">
      <c r="A3638" s="35" t="s">
        <v>2079</v>
      </c>
      <c r="B3638" s="3" t="s">
        <v>3665</v>
      </c>
      <c r="C3638" s="4"/>
      <c r="D3638" s="4"/>
      <c r="E3638" s="4"/>
      <c r="F3638" s="4"/>
      <c r="G3638" s="4" t="s">
        <v>13</v>
      </c>
      <c r="H3638" s="4"/>
      <c r="J3638" s="18" t="s">
        <v>2473</v>
      </c>
      <c r="K3638" s="18" t="s">
        <v>2473</v>
      </c>
      <c r="Q3638" s="8" t="s">
        <v>3550</v>
      </c>
      <c r="R3638" s="122" t="s">
        <v>3529</v>
      </c>
      <c r="S3638" s="114" t="s">
        <v>4</v>
      </c>
      <c r="T3638" s="114" t="s">
        <v>1124</v>
      </c>
      <c r="U3638" s="114" t="s">
        <v>3521</v>
      </c>
      <c r="V3638" s="114" t="s">
        <v>3530</v>
      </c>
      <c r="W3638" s="114" t="s">
        <v>3436</v>
      </c>
      <c r="X3638" s="114" t="s">
        <v>13</v>
      </c>
      <c r="Y3638" s="149"/>
      <c r="Z3638" s="183" t="s">
        <v>4</v>
      </c>
      <c r="AA3638" s="183" t="s">
        <v>2703</v>
      </c>
      <c r="AB3638" s="183" t="s">
        <v>4358</v>
      </c>
      <c r="AC3638" s="183" t="s">
        <v>6</v>
      </c>
      <c r="AD3638" s="183" t="s">
        <v>4819</v>
      </c>
      <c r="AE3638" s="184"/>
      <c r="AF3638" s="184"/>
      <c r="AG3638" s="183"/>
      <c r="AH3638" s="183"/>
      <c r="AI3638" s="183"/>
      <c r="AJ3638" s="183"/>
      <c r="AK3638" s="183"/>
      <c r="AL3638" s="183"/>
      <c r="AM3638" s="183"/>
      <c r="AN3638" s="131"/>
      <c r="AO3638" s="131"/>
      <c r="AP3638" s="131"/>
      <c r="AQ3638" s="131"/>
      <c r="AR3638" s="288"/>
      <c r="AS3638" s="259"/>
      <c r="AT3638" s="183"/>
      <c r="AU3638" s="6"/>
      <c r="AV3638" s="6" t="str">
        <f t="shared" si="77"/>
        <v>OK</v>
      </c>
    </row>
    <row r="3639" spans="1:48" ht="14.65" thickBot="1" x14ac:dyDescent="0.5">
      <c r="A3639" s="36" t="s">
        <v>753</v>
      </c>
      <c r="B3639" s="3" t="s">
        <v>60</v>
      </c>
      <c r="C3639" s="4"/>
      <c r="D3639" s="4"/>
      <c r="E3639" s="4"/>
      <c r="F3639" s="4"/>
      <c r="G3639" s="4"/>
      <c r="H3639" s="4"/>
      <c r="J3639" s="18" t="s">
        <v>2473</v>
      </c>
      <c r="K3639" s="18" t="s">
        <v>2473</v>
      </c>
      <c r="AU3639" s="8"/>
      <c r="AV3639" s="6" t="str">
        <f t="shared" si="77"/>
        <v/>
      </c>
    </row>
    <row r="3640" spans="1:48" x14ac:dyDescent="0.45">
      <c r="A3640" s="33" t="s">
        <v>2813</v>
      </c>
      <c r="J3640" s="18" t="s">
        <v>2473</v>
      </c>
      <c r="K3640" s="18" t="s">
        <v>2473</v>
      </c>
      <c r="L3640" s="18" t="s">
        <v>2335</v>
      </c>
      <c r="AU3640" s="8"/>
      <c r="AV3640" s="6" t="str">
        <f t="shared" si="77"/>
        <v/>
      </c>
    </row>
    <row r="3641" spans="1:48" x14ac:dyDescent="0.45">
      <c r="A3641" s="34" t="s">
        <v>3625</v>
      </c>
      <c r="J3641" s="18" t="s">
        <v>2473</v>
      </c>
      <c r="K3641" s="18" t="s">
        <v>2473</v>
      </c>
      <c r="L3641" s="18" t="s">
        <v>2335</v>
      </c>
      <c r="AU3641" s="8"/>
      <c r="AV3641" s="6" t="str">
        <f t="shared" si="77"/>
        <v/>
      </c>
    </row>
    <row r="3642" spans="1:48" s="79" customFormat="1" x14ac:dyDescent="0.45">
      <c r="A3642" s="75"/>
      <c r="B3642" s="76"/>
      <c r="C3642" s="77"/>
      <c r="D3642" s="77"/>
      <c r="E3642" s="77"/>
      <c r="F3642" s="77"/>
      <c r="G3642" s="77"/>
      <c r="H3642" s="77"/>
      <c r="I3642" s="77"/>
      <c r="J3642" s="77"/>
      <c r="K3642" s="77"/>
      <c r="L3642" s="77"/>
      <c r="M3642" s="148"/>
      <c r="N3642" s="78"/>
      <c r="O3642" s="78"/>
      <c r="P3642" s="78"/>
      <c r="Q3642" s="78"/>
      <c r="R3642" s="78"/>
      <c r="S3642" s="78"/>
      <c r="T3642" s="78"/>
      <c r="U3642" s="78"/>
      <c r="V3642" s="78"/>
      <c r="W3642" s="78"/>
      <c r="X3642" s="78"/>
      <c r="Y3642" s="148"/>
      <c r="Z3642" s="78"/>
      <c r="AA3642" s="78"/>
      <c r="AB3642" s="78"/>
      <c r="AC3642" s="78"/>
      <c r="AD3642" s="78"/>
      <c r="AE3642" s="156"/>
      <c r="AF3642" s="156"/>
      <c r="AG3642" s="78"/>
      <c r="AH3642" s="78"/>
      <c r="AI3642" s="78"/>
      <c r="AJ3642" s="78"/>
      <c r="AK3642" s="78"/>
      <c r="AL3642" s="78"/>
      <c r="AM3642" s="78"/>
      <c r="AN3642" s="78"/>
      <c r="AO3642" s="78"/>
      <c r="AP3642" s="78"/>
      <c r="AQ3642" s="78"/>
      <c r="AR3642" s="286"/>
      <c r="AS3642" s="78"/>
      <c r="AT3642" s="78"/>
      <c r="AU3642" s="8"/>
      <c r="AV3642" s="6" t="str">
        <f t="shared" si="77"/>
        <v/>
      </c>
    </row>
    <row r="3643" spans="1:48" x14ac:dyDescent="0.45">
      <c r="A3643" s="27" t="s">
        <v>4390</v>
      </c>
      <c r="J3643" s="18" t="s">
        <v>2473</v>
      </c>
      <c r="K3643" s="18" t="s">
        <v>2473</v>
      </c>
      <c r="L3643" s="18" t="s">
        <v>2335</v>
      </c>
      <c r="AU3643" s="6"/>
      <c r="AV3643" s="6" t="str">
        <f t="shared" si="77"/>
        <v/>
      </c>
    </row>
    <row r="3644" spans="1:48" ht="23.65" thickBot="1" x14ac:dyDescent="0.5">
      <c r="A3644" s="323" t="s">
        <v>4391</v>
      </c>
      <c r="B3644" s="324"/>
      <c r="C3644" s="324"/>
      <c r="D3644" s="324"/>
      <c r="E3644" s="324"/>
      <c r="F3644" s="324"/>
      <c r="G3644" s="101"/>
      <c r="H3644" s="101"/>
      <c r="J3644" s="18" t="s">
        <v>2473</v>
      </c>
      <c r="K3644" s="18" t="s">
        <v>2473</v>
      </c>
      <c r="L3644" s="18" t="s">
        <v>2335</v>
      </c>
      <c r="Z3644" s="183" t="s">
        <v>4347</v>
      </c>
      <c r="AA3644" s="183" t="s">
        <v>2322</v>
      </c>
      <c r="AB3644" s="183" t="s">
        <v>1697</v>
      </c>
      <c r="AC3644" s="183" t="s">
        <v>5</v>
      </c>
      <c r="AD3644" s="183" t="s">
        <v>4339</v>
      </c>
      <c r="AE3644" s="184" t="s">
        <v>4338</v>
      </c>
      <c r="AF3644" s="184" t="s">
        <v>4350</v>
      </c>
      <c r="AG3644" s="183" t="s">
        <v>1695</v>
      </c>
      <c r="AH3644" s="183" t="s">
        <v>4351</v>
      </c>
      <c r="AI3644" s="183" t="s">
        <v>4455</v>
      </c>
      <c r="AJ3644" s="183" t="s">
        <v>5051</v>
      </c>
      <c r="AU3644" s="6"/>
      <c r="AV3644" s="6" t="str">
        <f t="shared" si="77"/>
        <v/>
      </c>
    </row>
    <row r="3645" spans="1:48" ht="94.15" thickBot="1" x14ac:dyDescent="0.5">
      <c r="A3645" s="309" t="s">
        <v>4392</v>
      </c>
      <c r="B3645" s="310"/>
      <c r="C3645" s="301" t="s">
        <v>1</v>
      </c>
      <c r="D3645" s="319"/>
      <c r="E3645" s="319"/>
      <c r="F3645" s="302"/>
      <c r="G3645" s="102"/>
      <c r="H3645" s="102"/>
      <c r="J3645" s="18" t="s">
        <v>2473</v>
      </c>
      <c r="K3645" s="18" t="s">
        <v>2473</v>
      </c>
      <c r="L3645" s="18" t="s">
        <v>2335</v>
      </c>
      <c r="Z3645" s="183" t="s">
        <v>4387</v>
      </c>
      <c r="AA3645" s="183" t="str">
        <f>LEFT($A3645,FIND(" ",$A3645)-1)</f>
        <v>MetricsAgentCollection</v>
      </c>
      <c r="AB3645" s="183" t="str">
        <f>MID($A3645,FIND("(",$A3645)+1,LEN($A3645)-FIND("(",$A3645)-1)</f>
        <v>1.0.0</v>
      </c>
      <c r="AC3645" s="101" t="str">
        <f>A3644</f>
        <v>A MetricsAgentCollection is a collection of MetricsAgent Resources running on a node.</v>
      </c>
      <c r="AD3645" s="101" t="s">
        <v>4748</v>
      </c>
      <c r="AE3645" s="188" t="s">
        <v>4485</v>
      </c>
      <c r="AF3645" s="184" t="s">
        <v>4352</v>
      </c>
      <c r="AG3645" s="183" t="s">
        <v>4352</v>
      </c>
      <c r="AH3645" s="183" t="s">
        <v>4352</v>
      </c>
      <c r="AI3645" s="8" t="s">
        <v>5248</v>
      </c>
      <c r="AK3645" s="8" t="s">
        <v>5244</v>
      </c>
      <c r="AU3645" s="202" t="s">
        <v>5281</v>
      </c>
      <c r="AV3645" s="6" t="str">
        <f t="shared" si="77"/>
        <v/>
      </c>
    </row>
    <row r="3646" spans="1:48" ht="14.65" thickBot="1" x14ac:dyDescent="0.5">
      <c r="A3646" s="311"/>
      <c r="B3646" s="312"/>
      <c r="C3646" s="301" t="s">
        <v>2</v>
      </c>
      <c r="D3646" s="302"/>
      <c r="E3646" s="301" t="s">
        <v>3</v>
      </c>
      <c r="F3646" s="302"/>
      <c r="G3646" s="301" t="s">
        <v>2896</v>
      </c>
      <c r="H3646" s="302"/>
      <c r="J3646" s="18" t="s">
        <v>2473</v>
      </c>
      <c r="K3646" s="18" t="s">
        <v>2473</v>
      </c>
      <c r="L3646" s="18" t="s">
        <v>2335</v>
      </c>
      <c r="AU3646" s="6"/>
      <c r="AV3646" s="6" t="str">
        <f t="shared" si="77"/>
        <v/>
      </c>
    </row>
    <row r="3647" spans="1:48" ht="14.65" thickBot="1" x14ac:dyDescent="0.5">
      <c r="A3647" s="46" t="s">
        <v>2377</v>
      </c>
      <c r="B3647" s="47"/>
      <c r="C3647" s="303"/>
      <c r="D3647" s="304"/>
      <c r="E3647" s="303"/>
      <c r="F3647" s="304"/>
      <c r="G3647" s="303"/>
      <c r="H3647" s="304"/>
      <c r="J3647" s="18" t="s">
        <v>2473</v>
      </c>
      <c r="K3647" s="18" t="s">
        <v>2473</v>
      </c>
      <c r="AU3647" s="6"/>
      <c r="AV3647" s="6" t="str">
        <f t="shared" si="77"/>
        <v/>
      </c>
    </row>
    <row r="3648" spans="1:48" ht="14.65" thickBot="1" x14ac:dyDescent="0.5">
      <c r="A3648" s="30" t="s">
        <v>4</v>
      </c>
      <c r="B3648" s="59" t="s">
        <v>5</v>
      </c>
      <c r="C3648" s="7" t="s">
        <v>6</v>
      </c>
      <c r="D3648" s="7" t="s">
        <v>7</v>
      </c>
      <c r="E3648" s="7" t="s">
        <v>6</v>
      </c>
      <c r="F3648" s="7" t="s">
        <v>7</v>
      </c>
      <c r="G3648" s="7" t="s">
        <v>6</v>
      </c>
      <c r="H3648" s="7" t="s">
        <v>7</v>
      </c>
      <c r="J3648" s="18" t="s">
        <v>2473</v>
      </c>
      <c r="K3648" s="18" t="s">
        <v>2473</v>
      </c>
      <c r="L3648" s="18" t="s">
        <v>2335</v>
      </c>
      <c r="Z3648" s="183" t="s">
        <v>4347</v>
      </c>
      <c r="AA3648" s="183" t="s">
        <v>4343</v>
      </c>
      <c r="AB3648" s="183" t="s">
        <v>4172</v>
      </c>
      <c r="AC3648" s="183" t="s">
        <v>4340</v>
      </c>
      <c r="AD3648" s="183" t="s">
        <v>4339</v>
      </c>
      <c r="AE3648" s="184" t="s">
        <v>4341</v>
      </c>
      <c r="AF3648" s="184" t="s">
        <v>4342</v>
      </c>
      <c r="AG3648" s="183" t="s">
        <v>4353</v>
      </c>
      <c r="AH3648" s="183" t="s">
        <v>3429</v>
      </c>
      <c r="AI3648" s="183" t="s">
        <v>4356</v>
      </c>
      <c r="AJ3648" s="183" t="s">
        <v>4364</v>
      </c>
      <c r="AK3648" s="8" t="s">
        <v>4441</v>
      </c>
      <c r="AL3648" s="8" t="s">
        <v>694</v>
      </c>
      <c r="AU3648" s="6"/>
      <c r="AV3648" s="6" t="str">
        <f t="shared" si="77"/>
        <v/>
      </c>
    </row>
    <row r="3649" spans="1:48" ht="117.4" thickBot="1" x14ac:dyDescent="0.5">
      <c r="A3649" s="36" t="s">
        <v>2792</v>
      </c>
      <c r="B3649" s="3" t="s">
        <v>4393</v>
      </c>
      <c r="C3649" s="4"/>
      <c r="D3649" s="4"/>
      <c r="E3649" s="4"/>
      <c r="F3649" s="4"/>
      <c r="G3649" s="4" t="s">
        <v>10</v>
      </c>
      <c r="H3649" s="4"/>
      <c r="J3649" s="18" t="s">
        <v>2473</v>
      </c>
      <c r="K3649" s="18" t="s">
        <v>2473</v>
      </c>
      <c r="Z3649" s="8" t="s">
        <v>4</v>
      </c>
      <c r="AB3649" s="8" t="s">
        <v>4354</v>
      </c>
      <c r="AC3649" s="183" t="s">
        <v>6</v>
      </c>
      <c r="AD3649" s="183" t="s">
        <v>5292</v>
      </c>
      <c r="AE3649" s="184"/>
      <c r="AF3649" s="184"/>
      <c r="AG3649" s="183" t="s">
        <v>4355</v>
      </c>
      <c r="AH3649" s="183" t="s">
        <v>5285</v>
      </c>
      <c r="AI3649" s="183" t="s">
        <v>4357</v>
      </c>
      <c r="AU3649" s="202" t="s">
        <v>5289</v>
      </c>
      <c r="AV3649" s="6" t="str">
        <f t="shared" si="77"/>
        <v/>
      </c>
    </row>
    <row r="3650" spans="1:48" ht="14.65" thickBot="1" x14ac:dyDescent="0.5">
      <c r="A3650" s="35" t="s">
        <v>33</v>
      </c>
      <c r="B3650" s="3" t="s">
        <v>4394</v>
      </c>
      <c r="C3650" s="2"/>
      <c r="D3650" s="2"/>
      <c r="E3650" s="2"/>
      <c r="F3650" s="2"/>
      <c r="G3650" s="2"/>
      <c r="H3650" s="2"/>
      <c r="J3650" s="18" t="s">
        <v>2473</v>
      </c>
      <c r="K3650" s="18" t="s">
        <v>2473</v>
      </c>
      <c r="L3650" s="18" t="s">
        <v>2335</v>
      </c>
      <c r="AU3650" s="6"/>
      <c r="AV3650" s="6" t="str">
        <f t="shared" si="77"/>
        <v/>
      </c>
    </row>
    <row r="3651" spans="1:48" x14ac:dyDescent="0.45">
      <c r="A3651" s="33" t="s">
        <v>4395</v>
      </c>
      <c r="J3651" s="18" t="s">
        <v>2473</v>
      </c>
      <c r="K3651" s="18" t="s">
        <v>2473</v>
      </c>
      <c r="L3651" s="18" t="s">
        <v>2335</v>
      </c>
      <c r="AU3651" s="6"/>
      <c r="AV3651" s="6" t="str">
        <f t="shared" si="77"/>
        <v/>
      </c>
    </row>
    <row r="3652" spans="1:48" x14ac:dyDescent="0.45">
      <c r="A3652" s="34" t="s">
        <v>4485</v>
      </c>
      <c r="J3652" s="18" t="s">
        <v>2473</v>
      </c>
      <c r="K3652" s="18" t="s">
        <v>2473</v>
      </c>
      <c r="L3652" s="18" t="s">
        <v>2335</v>
      </c>
      <c r="AU3652" s="6"/>
      <c r="AV3652" s="6" t="str">
        <f t="shared" si="77"/>
        <v/>
      </c>
    </row>
    <row r="3653" spans="1:48" s="79" customFormat="1" ht="14.65" thickBot="1" x14ac:dyDescent="0.5">
      <c r="A3653" s="75"/>
      <c r="B3653" s="76"/>
      <c r="C3653" s="77"/>
      <c r="D3653" s="77"/>
      <c r="E3653" s="77"/>
      <c r="F3653" s="77"/>
      <c r="G3653" s="77"/>
      <c r="H3653" s="77"/>
      <c r="I3653" s="77"/>
      <c r="J3653" s="77"/>
      <c r="K3653" s="77"/>
      <c r="L3653" s="77"/>
      <c r="M3653" s="148"/>
      <c r="N3653" s="78"/>
      <c r="O3653" s="78"/>
      <c r="P3653" s="78"/>
      <c r="Q3653" s="78"/>
      <c r="R3653" s="78"/>
      <c r="S3653" s="78"/>
      <c r="T3653" s="78"/>
      <c r="U3653" s="78"/>
      <c r="V3653" s="78"/>
      <c r="W3653" s="78"/>
      <c r="X3653" s="78"/>
      <c r="Y3653" s="148"/>
      <c r="Z3653" s="78"/>
      <c r="AA3653" s="78"/>
      <c r="AB3653" s="78"/>
      <c r="AC3653" s="78"/>
      <c r="AD3653" s="78"/>
      <c r="AE3653" s="156"/>
      <c r="AF3653" s="156"/>
      <c r="AG3653" s="78"/>
      <c r="AH3653" s="78"/>
      <c r="AI3653" s="78"/>
      <c r="AJ3653" s="78"/>
      <c r="AK3653" s="78"/>
      <c r="AL3653" s="78"/>
      <c r="AM3653" s="78"/>
      <c r="AN3653" s="78"/>
      <c r="AO3653" s="78"/>
      <c r="AP3653" s="78"/>
      <c r="AQ3653" s="78"/>
      <c r="AR3653" s="286"/>
      <c r="AS3653" s="78"/>
      <c r="AT3653" s="78"/>
      <c r="AU3653" s="8"/>
      <c r="AV3653" s="6" t="str">
        <f t="shared" si="77"/>
        <v/>
      </c>
    </row>
    <row r="3654" spans="1:48" ht="14.65" thickBot="1" x14ac:dyDescent="0.5">
      <c r="A3654" s="39" t="s">
        <v>2374</v>
      </c>
      <c r="J3654" s="18" t="s">
        <v>2473</v>
      </c>
      <c r="K3654" s="18" t="s">
        <v>2473</v>
      </c>
      <c r="R3654" s="111" t="s">
        <v>3426</v>
      </c>
      <c r="S3654" s="349" t="s">
        <v>823</v>
      </c>
      <c r="T3654" s="350"/>
      <c r="U3654" s="350"/>
      <c r="V3654" s="350"/>
      <c r="W3654" s="350"/>
      <c r="X3654" s="351"/>
      <c r="Y3654" s="118"/>
      <c r="Z3654" s="185"/>
      <c r="AA3654" s="185"/>
      <c r="AB3654" s="185"/>
      <c r="AC3654" s="185"/>
      <c r="AD3654" s="185"/>
      <c r="AE3654" s="186"/>
      <c r="AF3654" s="186"/>
      <c r="AG3654" s="185"/>
      <c r="AH3654" s="185"/>
      <c r="AI3654" s="185"/>
      <c r="AJ3654" s="185"/>
      <c r="AK3654" s="185"/>
      <c r="AL3654" s="185"/>
      <c r="AM3654" s="185"/>
      <c r="AN3654" s="117"/>
      <c r="AO3654" s="117"/>
      <c r="AP3654" s="117"/>
      <c r="AQ3654" s="117"/>
      <c r="AR3654" s="287"/>
      <c r="AS3654" s="258"/>
      <c r="AT3654" s="185"/>
      <c r="AV3654" s="6" t="str">
        <f t="shared" si="77"/>
        <v/>
      </c>
    </row>
    <row r="3655" spans="1:48" ht="23.65" thickBot="1" x14ac:dyDescent="0.5">
      <c r="A3655" s="40" t="s">
        <v>4001</v>
      </c>
      <c r="J3655" s="18" t="s">
        <v>2473</v>
      </c>
      <c r="K3655" s="18" t="s">
        <v>2473</v>
      </c>
      <c r="R3655" s="122" t="s">
        <v>3427</v>
      </c>
      <c r="S3655" s="352" t="s">
        <v>3532</v>
      </c>
      <c r="T3655" s="353"/>
      <c r="U3655" s="353"/>
      <c r="V3655" s="353"/>
      <c r="W3655" s="353"/>
      <c r="X3655" s="354"/>
      <c r="Y3655" s="149"/>
      <c r="Z3655" s="183" t="s">
        <v>4347</v>
      </c>
      <c r="AA3655" s="183" t="s">
        <v>4343</v>
      </c>
      <c r="AB3655" s="183" t="s">
        <v>1697</v>
      </c>
      <c r="AC3655" s="183" t="s">
        <v>5</v>
      </c>
      <c r="AD3655" s="183" t="s">
        <v>4339</v>
      </c>
      <c r="AE3655" s="184" t="s">
        <v>4338</v>
      </c>
      <c r="AF3655" s="184" t="s">
        <v>4350</v>
      </c>
      <c r="AG3655" s="183" t="s">
        <v>1695</v>
      </c>
      <c r="AH3655" s="183" t="s">
        <v>4351</v>
      </c>
      <c r="AI3655" s="183" t="s">
        <v>4455</v>
      </c>
      <c r="AJ3655" s="183" t="s">
        <v>5051</v>
      </c>
      <c r="AK3655" s="183"/>
      <c r="AL3655" s="183"/>
      <c r="AM3655" s="183"/>
      <c r="AN3655" s="131"/>
      <c r="AO3655" s="131"/>
      <c r="AP3655" s="131"/>
      <c r="AQ3655" s="131"/>
      <c r="AR3655" s="288"/>
      <c r="AS3655" s="259"/>
      <c r="AT3655" s="183"/>
      <c r="AV3655" s="6" t="str">
        <f t="shared" si="77"/>
        <v/>
      </c>
    </row>
    <row r="3656" spans="1:48" ht="139.9" thickBot="1" x14ac:dyDescent="0.5">
      <c r="A3656" s="315" t="s">
        <v>4376</v>
      </c>
      <c r="B3656" s="316"/>
      <c r="C3656" s="301" t="s">
        <v>1</v>
      </c>
      <c r="D3656" s="319"/>
      <c r="E3656" s="319"/>
      <c r="F3656" s="302"/>
      <c r="G3656" s="102"/>
      <c r="H3656" s="102"/>
      <c r="J3656" s="18" t="s">
        <v>2473</v>
      </c>
      <c r="K3656" s="18" t="s">
        <v>2473</v>
      </c>
      <c r="R3656" s="122" t="s">
        <v>3428</v>
      </c>
      <c r="S3656" s="352" t="b">
        <v>0</v>
      </c>
      <c r="T3656" s="353"/>
      <c r="U3656" s="353"/>
      <c r="V3656" s="353"/>
      <c r="W3656" s="353"/>
      <c r="X3656" s="354"/>
      <c r="Y3656" s="149"/>
      <c r="Z3656" s="183" t="s">
        <v>2322</v>
      </c>
      <c r="AA3656" s="183" t="str">
        <f>LEFT($A3656,FIND(" ",$A3656)-1)</f>
        <v>MetricsAgent</v>
      </c>
      <c r="AB3656" s="183" t="str">
        <f>MID($A3656,FIND("(",$A3656)+1,LEN($A3656)-FIND("(",$A3656)-1)</f>
        <v>1.0.0</v>
      </c>
      <c r="AC3656" s="101" t="str">
        <f>A3655</f>
        <v>Resource to expose third-party or open sources metrics agent running on the platform; for example, NAGIOS, Prometheus Node Exporter, etc.</v>
      </c>
      <c r="AD3656" s="101" t="s">
        <v>4750</v>
      </c>
      <c r="AE3656" s="188" t="s">
        <v>4486</v>
      </c>
      <c r="AF3656" s="184" t="s">
        <v>4352</v>
      </c>
      <c r="AG3656" s="183" t="s">
        <v>4357</v>
      </c>
      <c r="AH3656" s="183" t="s">
        <v>4352</v>
      </c>
      <c r="AI3656" s="183" t="s">
        <v>5248</v>
      </c>
      <c r="AJ3656" s="183"/>
      <c r="AK3656" s="183"/>
      <c r="AL3656" s="183"/>
      <c r="AM3656" s="183"/>
      <c r="AN3656" s="131"/>
      <c r="AO3656" s="131"/>
      <c r="AP3656" s="131"/>
      <c r="AQ3656" s="131"/>
      <c r="AR3656" s="288"/>
      <c r="AS3656" s="259"/>
      <c r="AT3656" s="183"/>
      <c r="AU3656" s="202" t="s">
        <v>5281</v>
      </c>
      <c r="AV3656" s="6" t="str">
        <f t="shared" si="77"/>
        <v/>
      </c>
    </row>
    <row r="3657" spans="1:48" ht="24.4" thickBot="1" x14ac:dyDescent="0.5">
      <c r="A3657" s="317"/>
      <c r="B3657" s="318"/>
      <c r="C3657" s="301" t="s">
        <v>2</v>
      </c>
      <c r="D3657" s="302"/>
      <c r="E3657" s="301" t="s">
        <v>3</v>
      </c>
      <c r="F3657" s="302"/>
      <c r="G3657" s="301" t="s">
        <v>2896</v>
      </c>
      <c r="H3657" s="302"/>
      <c r="J3657" s="18" t="s">
        <v>2473</v>
      </c>
      <c r="K3657" s="18" t="s">
        <v>2473</v>
      </c>
      <c r="R3657" s="115"/>
      <c r="S3657" s="115"/>
      <c r="T3657" s="115"/>
      <c r="U3657" s="115"/>
      <c r="V3657" s="115"/>
      <c r="W3657" s="115"/>
      <c r="X3657" s="116"/>
      <c r="Y3657" s="149"/>
      <c r="Z3657" s="183"/>
      <c r="AA3657" s="183"/>
      <c r="AB3657" s="183"/>
      <c r="AC3657" s="183"/>
      <c r="AD3657" s="183"/>
      <c r="AE3657" s="184"/>
      <c r="AF3657" s="184"/>
      <c r="AG3657" s="183"/>
      <c r="AH3657" s="183"/>
      <c r="AI3657" s="183"/>
      <c r="AJ3657" s="183"/>
      <c r="AK3657" s="183"/>
      <c r="AL3657" s="183"/>
      <c r="AM3657" s="8" t="str">
        <f>C3657</f>
        <v>OSM-Redfish</v>
      </c>
      <c r="AN3657" s="8" t="str">
        <f>E3657</f>
        <v>OSM-RedfishBMC</v>
      </c>
      <c r="AO3657" s="8" t="str">
        <f>G3657</f>
        <v>OSM-RedfishDCN</v>
      </c>
      <c r="AP3657" s="131"/>
      <c r="AQ3657" s="131"/>
      <c r="AR3657" s="288"/>
      <c r="AS3657" s="259"/>
      <c r="AT3657" s="183"/>
      <c r="AV3657" s="6" t="str">
        <f t="shared" si="77"/>
        <v/>
      </c>
    </row>
    <row r="3658" spans="1:48" ht="35.25" thickBot="1" x14ac:dyDescent="0.5">
      <c r="A3658" s="46" t="s">
        <v>2377</v>
      </c>
      <c r="B3658" s="47"/>
      <c r="C3658" s="303"/>
      <c r="D3658" s="304"/>
      <c r="E3658" s="303"/>
      <c r="F3658" s="304"/>
      <c r="G3658" s="344" t="s">
        <v>13</v>
      </c>
      <c r="H3658" s="345"/>
      <c r="J3658" s="18" t="s">
        <v>2473</v>
      </c>
      <c r="K3658" s="18" t="s">
        <v>2473</v>
      </c>
      <c r="R3658" s="129"/>
      <c r="S3658" s="117"/>
      <c r="T3658" s="117"/>
      <c r="U3658" s="117"/>
      <c r="V3658" s="117"/>
      <c r="W3658" s="117"/>
      <c r="X3658" s="118"/>
      <c r="Y3658" s="118"/>
      <c r="Z3658" s="185"/>
      <c r="AA3658" s="185"/>
      <c r="AB3658" s="185"/>
      <c r="AC3658" s="185"/>
      <c r="AD3658" s="185"/>
      <c r="AE3658" s="186"/>
      <c r="AF3658" s="186"/>
      <c r="AG3658" s="185"/>
      <c r="AH3658" s="185"/>
      <c r="AI3658" s="185"/>
      <c r="AJ3658" s="185"/>
      <c r="AK3658" s="185"/>
      <c r="AL3658" s="185"/>
      <c r="AM3658" s="8" t="str">
        <f>IF(C3658&lt;&gt;"","CRQ-P5-"&amp;(AM$2+$AP3658*$AP$3),"")</f>
        <v/>
      </c>
      <c r="AN3658" s="8" t="str">
        <f>IF(E3658&lt;&gt;"","CRQ-P5-"&amp;(AN$2+$AP3658*$AP$3),"")</f>
        <v/>
      </c>
      <c r="AO3658" s="8" t="str">
        <f>IF(G3658&lt;&gt;"","CRQ-P5-"&amp;(AO$2+$AP3658*$AP$3),"")</f>
        <v>CRQ-P5-1744</v>
      </c>
      <c r="AP3658" s="117">
        <v>36</v>
      </c>
      <c r="AQ3658" s="117"/>
      <c r="AR3658" s="287"/>
      <c r="AS3658" s="258"/>
      <c r="AT3658" s="183" t="s">
        <v>5313</v>
      </c>
      <c r="AU3658" s="6"/>
      <c r="AV3658" s="6" t="str">
        <f t="shared" si="77"/>
        <v/>
      </c>
    </row>
    <row r="3659" spans="1:48" ht="14.65" thickBot="1" x14ac:dyDescent="0.5">
      <c r="A3659" s="29" t="s">
        <v>3394</v>
      </c>
      <c r="B3659" s="9"/>
      <c r="C3659" s="305"/>
      <c r="D3659" s="306"/>
      <c r="E3659" s="305"/>
      <c r="F3659" s="306"/>
      <c r="G3659" s="305" t="s">
        <v>3395</v>
      </c>
      <c r="H3659" s="306"/>
      <c r="J3659" s="18" t="s">
        <v>2473</v>
      </c>
      <c r="K3659" s="18" t="s">
        <v>2473</v>
      </c>
      <c r="R3659" s="111" t="s">
        <v>3429</v>
      </c>
      <c r="S3659" s="111" t="s">
        <v>3430</v>
      </c>
      <c r="T3659" s="111" t="s">
        <v>3427</v>
      </c>
      <c r="U3659" s="111" t="s">
        <v>3431</v>
      </c>
      <c r="V3659" s="111" t="s">
        <v>3432</v>
      </c>
      <c r="W3659" s="111" t="s">
        <v>3433</v>
      </c>
      <c r="X3659" s="119" t="s">
        <v>3434</v>
      </c>
      <c r="Y3659" s="118" t="s">
        <v>3965</v>
      </c>
      <c r="Z3659" s="185"/>
      <c r="AA3659" s="185"/>
      <c r="AB3659" s="185"/>
      <c r="AC3659" s="185"/>
      <c r="AD3659" s="185"/>
      <c r="AE3659" s="186"/>
      <c r="AF3659" s="186"/>
      <c r="AG3659" s="185"/>
      <c r="AH3659" s="185"/>
      <c r="AI3659" s="185"/>
      <c r="AJ3659" s="185"/>
      <c r="AK3659" s="185"/>
      <c r="AL3659" s="185"/>
      <c r="AM3659" s="185"/>
      <c r="AN3659" s="117"/>
      <c r="AO3659" s="117"/>
      <c r="AP3659" s="117"/>
      <c r="AQ3659" s="117"/>
      <c r="AR3659" s="287"/>
      <c r="AS3659" s="258"/>
      <c r="AT3659" s="185"/>
      <c r="AU3659" s="6"/>
      <c r="AV3659" s="6" t="str">
        <f t="shared" si="77"/>
        <v/>
      </c>
    </row>
    <row r="3660" spans="1:48" ht="15" customHeight="1" thickBot="1" x14ac:dyDescent="0.5">
      <c r="A3660" s="52" t="s">
        <v>4</v>
      </c>
      <c r="B3660" s="53" t="s">
        <v>5</v>
      </c>
      <c r="C3660" s="54" t="s">
        <v>6</v>
      </c>
      <c r="D3660" s="54" t="s">
        <v>7</v>
      </c>
      <c r="E3660" s="54" t="s">
        <v>6</v>
      </c>
      <c r="F3660" s="54" t="s">
        <v>7</v>
      </c>
      <c r="G3660" s="54" t="s">
        <v>6</v>
      </c>
      <c r="H3660" s="54" t="s">
        <v>7</v>
      </c>
      <c r="J3660" s="18" t="s">
        <v>2473</v>
      </c>
      <c r="K3660" s="18" t="s">
        <v>2473</v>
      </c>
      <c r="R3660" s="352" t="s">
        <v>4040</v>
      </c>
      <c r="S3660" s="353"/>
      <c r="T3660" s="353"/>
      <c r="U3660" s="353"/>
      <c r="V3660" s="353"/>
      <c r="W3660" s="353"/>
      <c r="X3660" s="357"/>
      <c r="Y3660" s="149"/>
      <c r="Z3660" s="183" t="s">
        <v>4347</v>
      </c>
      <c r="AA3660" s="183" t="s">
        <v>4343</v>
      </c>
      <c r="AB3660" s="183" t="s">
        <v>4172</v>
      </c>
      <c r="AC3660" s="183" t="s">
        <v>4340</v>
      </c>
      <c r="AD3660" s="183" t="s">
        <v>4339</v>
      </c>
      <c r="AE3660" s="184" t="s">
        <v>4341</v>
      </c>
      <c r="AF3660" s="184" t="s">
        <v>4342</v>
      </c>
      <c r="AG3660" s="183" t="s">
        <v>4353</v>
      </c>
      <c r="AH3660" s="183" t="s">
        <v>3429</v>
      </c>
      <c r="AI3660" s="183" t="s">
        <v>4356</v>
      </c>
      <c r="AJ3660" s="183" t="s">
        <v>4364</v>
      </c>
      <c r="AK3660" s="183" t="s">
        <v>4441</v>
      </c>
      <c r="AL3660" s="183" t="s">
        <v>694</v>
      </c>
      <c r="AM3660" s="183"/>
      <c r="AN3660" s="131"/>
      <c r="AO3660" s="131"/>
      <c r="AP3660" s="131"/>
      <c r="AQ3660" s="131"/>
      <c r="AR3660" s="288"/>
      <c r="AS3660" s="259"/>
      <c r="AT3660" s="183"/>
      <c r="AV3660" s="6" t="str">
        <f t="shared" si="77"/>
        <v/>
      </c>
    </row>
    <row r="3661" spans="1:48" ht="15" thickTop="1" thickBot="1" x14ac:dyDescent="0.5">
      <c r="A3661" s="80" t="s">
        <v>8</v>
      </c>
      <c r="B3661" s="3" t="s">
        <v>9</v>
      </c>
      <c r="C3661" s="55"/>
      <c r="D3661" s="55"/>
      <c r="E3661" s="55"/>
      <c r="F3661" s="55"/>
      <c r="G3661" s="55"/>
      <c r="H3661" s="55"/>
      <c r="J3661" s="18" t="s">
        <v>2473</v>
      </c>
      <c r="K3661" s="18" t="s">
        <v>2473</v>
      </c>
      <c r="L3661" s="18" t="s">
        <v>2336</v>
      </c>
      <c r="Z3661" s="8" t="s">
        <v>4</v>
      </c>
      <c r="AB3661" s="8" t="s">
        <v>4348</v>
      </c>
      <c r="AV3661" s="6" t="str">
        <f t="shared" si="77"/>
        <v/>
      </c>
    </row>
    <row r="3662" spans="1:48" ht="35.65" thickTop="1" thickBot="1" x14ac:dyDescent="0.5">
      <c r="A3662" s="81" t="s">
        <v>2359</v>
      </c>
      <c r="B3662" s="56" t="s">
        <v>4079</v>
      </c>
      <c r="C3662" s="57"/>
      <c r="D3662" s="58"/>
      <c r="E3662" s="57"/>
      <c r="F3662" s="58"/>
      <c r="G3662" s="57" t="s">
        <v>10</v>
      </c>
      <c r="H3662" s="58"/>
      <c r="J3662" s="18" t="s">
        <v>2473</v>
      </c>
      <c r="K3662" s="18" t="s">
        <v>2473</v>
      </c>
      <c r="R3662" s="122" t="s">
        <v>3529</v>
      </c>
      <c r="S3662" s="114" t="s">
        <v>4</v>
      </c>
      <c r="T3662" s="114" t="s">
        <v>2359</v>
      </c>
      <c r="U3662" s="114" t="s">
        <v>3521</v>
      </c>
      <c r="V3662" s="114" t="s">
        <v>3530</v>
      </c>
      <c r="W3662" s="114" t="s">
        <v>3436</v>
      </c>
      <c r="X3662" s="114" t="s">
        <v>13</v>
      </c>
      <c r="Y3662" s="149"/>
      <c r="Z3662" s="183" t="s">
        <v>4</v>
      </c>
      <c r="AA3662" s="183"/>
      <c r="AB3662" s="183" t="s">
        <v>758</v>
      </c>
      <c r="AC3662" s="183" t="s">
        <v>6</v>
      </c>
      <c r="AD3662" s="183" t="s">
        <v>4832</v>
      </c>
      <c r="AE3662" s="184"/>
      <c r="AF3662" s="184"/>
      <c r="AG3662" s="183"/>
      <c r="AH3662" s="183"/>
      <c r="AI3662" s="183"/>
      <c r="AJ3662" s="183"/>
      <c r="AK3662" s="183"/>
      <c r="AL3662" s="183"/>
      <c r="AM3662" s="183"/>
      <c r="AN3662" s="131"/>
      <c r="AO3662" s="131"/>
      <c r="AP3662" s="131"/>
      <c r="AQ3662" s="131"/>
      <c r="AR3662" s="288"/>
      <c r="AS3662" s="259"/>
      <c r="AT3662" s="183"/>
      <c r="AV3662" s="6" t="str">
        <f t="shared" si="77"/>
        <v>OK</v>
      </c>
    </row>
    <row r="3663" spans="1:48" ht="186.75" thickTop="1" thickBot="1" x14ac:dyDescent="0.5">
      <c r="A3663" s="81" t="s">
        <v>2839</v>
      </c>
      <c r="B3663" s="56" t="s">
        <v>4130</v>
      </c>
      <c r="C3663" s="57"/>
      <c r="D3663" s="58"/>
      <c r="E3663" s="57"/>
      <c r="F3663" s="58"/>
      <c r="G3663" s="57" t="s">
        <v>37</v>
      </c>
      <c r="H3663" s="58"/>
      <c r="J3663" s="18" t="s">
        <v>2473</v>
      </c>
      <c r="K3663" s="18" t="s">
        <v>2473</v>
      </c>
      <c r="R3663" s="122" t="s">
        <v>3529</v>
      </c>
      <c r="S3663" s="114" t="s">
        <v>4</v>
      </c>
      <c r="T3663" s="114" t="s">
        <v>2839</v>
      </c>
      <c r="U3663" s="114" t="s">
        <v>3521</v>
      </c>
      <c r="V3663" s="114" t="s">
        <v>3530</v>
      </c>
      <c r="W3663" s="114" t="s">
        <v>3436</v>
      </c>
      <c r="X3663" s="114" t="s">
        <v>13</v>
      </c>
      <c r="Y3663" s="149"/>
      <c r="Z3663" s="183" t="s">
        <v>4</v>
      </c>
      <c r="AA3663" s="183"/>
      <c r="AB3663" s="183" t="s">
        <v>758</v>
      </c>
      <c r="AC3663" s="183" t="s">
        <v>6</v>
      </c>
      <c r="AD3663" s="183" t="s">
        <v>5009</v>
      </c>
      <c r="AE3663" s="184"/>
      <c r="AF3663" s="184"/>
      <c r="AG3663" s="183"/>
      <c r="AH3663" s="183"/>
      <c r="AI3663" s="183"/>
      <c r="AJ3663" s="183"/>
      <c r="AK3663" s="183"/>
      <c r="AL3663" s="183"/>
      <c r="AM3663" s="183"/>
      <c r="AN3663" s="131"/>
      <c r="AO3663" s="131"/>
      <c r="AP3663" s="131"/>
      <c r="AQ3663" s="131"/>
      <c r="AR3663" s="288"/>
      <c r="AS3663" s="259"/>
      <c r="AT3663" s="183"/>
      <c r="AV3663" s="6" t="str">
        <f t="shared" si="77"/>
        <v>OK</v>
      </c>
    </row>
    <row r="3664" spans="1:48" ht="175.15" thickTop="1" thickBot="1" x14ac:dyDescent="0.5">
      <c r="A3664" s="81" t="s">
        <v>2838</v>
      </c>
      <c r="B3664" s="56" t="s">
        <v>3672</v>
      </c>
      <c r="C3664" s="57"/>
      <c r="D3664" s="58"/>
      <c r="E3664" s="57"/>
      <c r="F3664" s="58"/>
      <c r="G3664" s="57" t="s">
        <v>37</v>
      </c>
      <c r="H3664" s="58" t="s">
        <v>37</v>
      </c>
      <c r="J3664" s="18" t="s">
        <v>2473</v>
      </c>
      <c r="K3664" s="18" t="s">
        <v>2473</v>
      </c>
      <c r="R3664" s="122" t="s">
        <v>3529</v>
      </c>
      <c r="S3664" s="114" t="s">
        <v>4</v>
      </c>
      <c r="T3664" s="114" t="s">
        <v>2838</v>
      </c>
      <c r="U3664" s="114" t="s">
        <v>3521</v>
      </c>
      <c r="V3664" s="114" t="s">
        <v>3530</v>
      </c>
      <c r="W3664" s="114" t="s">
        <v>3436</v>
      </c>
      <c r="X3664" s="114" t="s">
        <v>13</v>
      </c>
      <c r="Y3664" s="149"/>
      <c r="Z3664" s="183" t="s">
        <v>4</v>
      </c>
      <c r="AA3664" s="183"/>
      <c r="AB3664" s="183" t="s">
        <v>758</v>
      </c>
      <c r="AC3664" s="183" t="s">
        <v>4346</v>
      </c>
      <c r="AD3664" s="183" t="s">
        <v>4836</v>
      </c>
      <c r="AE3664" s="184"/>
      <c r="AF3664" s="184"/>
      <c r="AG3664" s="183"/>
      <c r="AH3664" s="183"/>
      <c r="AI3664" s="183"/>
      <c r="AJ3664" s="183"/>
      <c r="AK3664" s="183"/>
      <c r="AL3664" s="183"/>
      <c r="AM3664" s="183"/>
      <c r="AN3664" s="131"/>
      <c r="AO3664" s="131"/>
      <c r="AP3664" s="131"/>
      <c r="AQ3664" s="131"/>
      <c r="AR3664" s="288"/>
      <c r="AS3664" s="259"/>
      <c r="AT3664" s="183"/>
      <c r="AV3664" s="6" t="str">
        <f t="shared" si="77"/>
        <v>OK</v>
      </c>
    </row>
    <row r="3665" spans="1:48" ht="117" thickTop="1" thickBot="1" x14ac:dyDescent="0.5">
      <c r="A3665" s="81" t="s">
        <v>2840</v>
      </c>
      <c r="B3665" s="56" t="s">
        <v>3673</v>
      </c>
      <c r="C3665" s="57"/>
      <c r="D3665" s="58"/>
      <c r="E3665" s="57"/>
      <c r="F3665" s="58"/>
      <c r="G3665" s="57" t="s">
        <v>37</v>
      </c>
      <c r="H3665" s="58" t="s">
        <v>37</v>
      </c>
      <c r="J3665" s="18" t="s">
        <v>2473</v>
      </c>
      <c r="K3665" s="18" t="s">
        <v>2473</v>
      </c>
      <c r="R3665" s="122" t="s">
        <v>3529</v>
      </c>
      <c r="S3665" s="114" t="s">
        <v>4</v>
      </c>
      <c r="T3665" s="114" t="s">
        <v>2840</v>
      </c>
      <c r="U3665" s="114" t="s">
        <v>3521</v>
      </c>
      <c r="V3665" s="114" t="s">
        <v>3530</v>
      </c>
      <c r="W3665" s="114" t="s">
        <v>3436</v>
      </c>
      <c r="X3665" s="114" t="s">
        <v>13</v>
      </c>
      <c r="Y3665" s="149"/>
      <c r="Z3665" s="183" t="s">
        <v>4</v>
      </c>
      <c r="AA3665" s="183"/>
      <c r="AB3665" s="183" t="s">
        <v>758</v>
      </c>
      <c r="AC3665" s="183" t="s">
        <v>4346</v>
      </c>
      <c r="AD3665" s="183" t="s">
        <v>4833</v>
      </c>
      <c r="AE3665" s="184"/>
      <c r="AF3665" s="184"/>
      <c r="AG3665" s="183"/>
      <c r="AH3665" s="183"/>
      <c r="AI3665" s="183"/>
      <c r="AJ3665" s="183"/>
      <c r="AK3665" s="183"/>
      <c r="AL3665" s="183"/>
      <c r="AM3665" s="183"/>
      <c r="AN3665" s="131"/>
      <c r="AO3665" s="131"/>
      <c r="AP3665" s="131"/>
      <c r="AQ3665" s="131"/>
      <c r="AR3665" s="288"/>
      <c r="AS3665" s="259"/>
      <c r="AT3665" s="183"/>
      <c r="AV3665" s="6" t="str">
        <f t="shared" si="77"/>
        <v>OK</v>
      </c>
    </row>
    <row r="3666" spans="1:48" ht="47.25" thickTop="1" thickBot="1" x14ac:dyDescent="0.5">
      <c r="A3666" s="81" t="s">
        <v>577</v>
      </c>
      <c r="B3666" s="56" t="s">
        <v>3674</v>
      </c>
      <c r="C3666" s="57"/>
      <c r="D3666" s="58"/>
      <c r="E3666" s="57"/>
      <c r="F3666" s="58"/>
      <c r="G3666" s="57" t="s">
        <v>10</v>
      </c>
      <c r="H3666" s="58" t="s">
        <v>10</v>
      </c>
      <c r="J3666" s="18" t="s">
        <v>2473</v>
      </c>
      <c r="K3666" s="18" t="s">
        <v>2473</v>
      </c>
      <c r="R3666" s="122" t="s">
        <v>3529</v>
      </c>
      <c r="S3666" s="114" t="s">
        <v>4</v>
      </c>
      <c r="T3666" s="114" t="s">
        <v>577</v>
      </c>
      <c r="U3666" s="114" t="s">
        <v>3522</v>
      </c>
      <c r="V3666" s="114" t="s">
        <v>3530</v>
      </c>
      <c r="W3666" s="114" t="s">
        <v>3436</v>
      </c>
      <c r="X3666" s="114" t="s">
        <v>13</v>
      </c>
      <c r="Y3666" s="149"/>
      <c r="Z3666" s="183" t="s">
        <v>4</v>
      </c>
      <c r="AA3666" s="183"/>
      <c r="AB3666" s="183" t="s">
        <v>4344</v>
      </c>
      <c r="AC3666" s="183" t="s">
        <v>4346</v>
      </c>
      <c r="AD3666" s="183" t="s">
        <v>4834</v>
      </c>
      <c r="AE3666" s="184"/>
      <c r="AF3666" s="184"/>
      <c r="AG3666" s="183"/>
      <c r="AH3666" s="183"/>
      <c r="AI3666" s="183"/>
      <c r="AJ3666" s="183"/>
      <c r="AK3666" s="183"/>
      <c r="AL3666" s="183"/>
      <c r="AM3666" s="183"/>
      <c r="AN3666" s="131"/>
      <c r="AO3666" s="131"/>
      <c r="AP3666" s="131"/>
      <c r="AQ3666" s="131"/>
      <c r="AR3666" s="288"/>
      <c r="AS3666" s="259"/>
      <c r="AT3666" s="183"/>
      <c r="AV3666" s="6" t="str">
        <f t="shared" si="77"/>
        <v>OK</v>
      </c>
    </row>
    <row r="3667" spans="1:48" ht="105.4" thickTop="1" thickBot="1" x14ac:dyDescent="0.5">
      <c r="A3667" s="81" t="s">
        <v>145</v>
      </c>
      <c r="B3667" s="56" t="s">
        <v>3675</v>
      </c>
      <c r="C3667" s="57"/>
      <c r="D3667" s="58"/>
      <c r="E3667" s="57"/>
      <c r="F3667" s="58"/>
      <c r="G3667" s="57" t="s">
        <v>10</v>
      </c>
      <c r="H3667" s="58"/>
      <c r="J3667" s="18" t="s">
        <v>2473</v>
      </c>
      <c r="K3667" s="18" t="s">
        <v>2473</v>
      </c>
      <c r="R3667" s="122" t="s">
        <v>3435</v>
      </c>
      <c r="S3667" s="114" t="s">
        <v>3437</v>
      </c>
      <c r="T3667" s="114" t="s">
        <v>145</v>
      </c>
      <c r="U3667" s="114"/>
      <c r="V3667" s="114" t="s">
        <v>3441</v>
      </c>
      <c r="W3667" s="114" t="s">
        <v>3436</v>
      </c>
      <c r="X3667" s="114" t="s">
        <v>13</v>
      </c>
      <c r="Y3667" s="149"/>
      <c r="Z3667" s="183" t="s">
        <v>4</v>
      </c>
      <c r="AA3667" s="183"/>
      <c r="AB3667" s="183" t="s">
        <v>4359</v>
      </c>
      <c r="AC3667" s="183" t="s">
        <v>6</v>
      </c>
      <c r="AD3667" s="183" t="s">
        <v>4770</v>
      </c>
      <c r="AE3667" s="184"/>
      <c r="AF3667" s="184"/>
      <c r="AG3667" s="183"/>
      <c r="AH3667" s="183"/>
      <c r="AI3667" s="183"/>
      <c r="AJ3667" s="183"/>
      <c r="AK3667" s="183"/>
      <c r="AL3667" s="183"/>
      <c r="AM3667" s="183"/>
      <c r="AN3667" s="131"/>
      <c r="AO3667" s="131"/>
      <c r="AP3667" s="131"/>
      <c r="AQ3667" s="131"/>
      <c r="AR3667" s="288"/>
      <c r="AS3667" s="266" t="s">
        <v>5861</v>
      </c>
      <c r="AT3667" s="183"/>
      <c r="AU3667" s="8"/>
      <c r="AV3667" s="6" t="str">
        <f t="shared" si="77"/>
        <v>OK</v>
      </c>
    </row>
    <row r="3668" spans="1:48" ht="48" thickTop="1" thickBot="1" x14ac:dyDescent="0.5">
      <c r="A3668" s="35" t="s">
        <v>5361</v>
      </c>
      <c r="B3668" s="3" t="s">
        <v>5352</v>
      </c>
      <c r="C3668" s="57"/>
      <c r="D3668" s="58"/>
      <c r="E3668" s="57"/>
      <c r="F3668" s="58"/>
      <c r="G3668" s="4" t="s">
        <v>10</v>
      </c>
      <c r="H3668" s="4"/>
      <c r="J3668" s="18" t="s">
        <v>2473</v>
      </c>
      <c r="K3668" s="18" t="s">
        <v>2473</v>
      </c>
      <c r="Q3668" s="131"/>
      <c r="R3668" s="131"/>
      <c r="S3668" s="131"/>
      <c r="T3668" s="131"/>
      <c r="U3668" s="131"/>
      <c r="V3668" s="131"/>
      <c r="W3668" s="131"/>
      <c r="X3668" s="131"/>
      <c r="AS3668" s="139" t="s">
        <v>5355</v>
      </c>
      <c r="AU3668" s="6"/>
      <c r="AV3668" s="6"/>
    </row>
    <row r="3669" spans="1:48" ht="82.5" thickBot="1" x14ac:dyDescent="0.5">
      <c r="A3669" s="35" t="s">
        <v>5360</v>
      </c>
      <c r="B3669" s="3" t="s">
        <v>5353</v>
      </c>
      <c r="C3669" s="4"/>
      <c r="D3669" s="4"/>
      <c r="E3669" s="4"/>
      <c r="F3669" s="4"/>
      <c r="G3669" s="4"/>
      <c r="H3669" s="4"/>
      <c r="J3669" s="18" t="s">
        <v>2473</v>
      </c>
      <c r="K3669" s="18" t="s">
        <v>2473</v>
      </c>
      <c r="Q3669" s="131"/>
      <c r="R3669" s="131"/>
      <c r="S3669" s="131"/>
      <c r="T3669" s="131"/>
      <c r="U3669" s="131"/>
      <c r="V3669" s="131"/>
      <c r="W3669" s="131"/>
      <c r="X3669" s="131"/>
      <c r="AS3669" s="139" t="s">
        <v>5356</v>
      </c>
      <c r="AU3669" s="6"/>
      <c r="AV3669" s="6"/>
    </row>
    <row r="3670" spans="1:48" x14ac:dyDescent="0.45">
      <c r="A3670" s="33" t="s">
        <v>2375</v>
      </c>
      <c r="J3670" s="18" t="s">
        <v>2473</v>
      </c>
      <c r="K3670" s="18" t="s">
        <v>2473</v>
      </c>
      <c r="AU3670" s="8"/>
      <c r="AV3670" s="6" t="str">
        <f t="shared" si="77"/>
        <v/>
      </c>
    </row>
    <row r="3671" spans="1:48" x14ac:dyDescent="0.45">
      <c r="A3671" s="34" t="s">
        <v>4486</v>
      </c>
      <c r="J3671" s="18" t="s">
        <v>2473</v>
      </c>
      <c r="K3671" s="18" t="s">
        <v>2473</v>
      </c>
      <c r="AU3671" s="8"/>
      <c r="AV3671" s="6" t="str">
        <f t="shared" si="77"/>
        <v/>
      </c>
    </row>
    <row r="3672" spans="1:48" s="79" customFormat="1" x14ac:dyDescent="0.45">
      <c r="A3672" s="75"/>
      <c r="B3672" s="76"/>
      <c r="C3672" s="77"/>
      <c r="D3672" s="77"/>
      <c r="E3672" s="77"/>
      <c r="F3672" s="77"/>
      <c r="G3672" s="77"/>
      <c r="H3672" s="77"/>
      <c r="I3672" s="77"/>
      <c r="J3672" s="77"/>
      <c r="K3672" s="77"/>
      <c r="L3672" s="77"/>
      <c r="M3672" s="148"/>
      <c r="N3672" s="78"/>
      <c r="O3672" s="78"/>
      <c r="P3672" s="78"/>
      <c r="Q3672" s="78"/>
      <c r="R3672" s="78"/>
      <c r="S3672" s="78"/>
      <c r="T3672" s="78"/>
      <c r="U3672" s="78"/>
      <c r="V3672" s="78"/>
      <c r="W3672" s="78"/>
      <c r="X3672" s="78"/>
      <c r="Y3672" s="148"/>
      <c r="Z3672" s="78"/>
      <c r="AA3672" s="78"/>
      <c r="AB3672" s="78"/>
      <c r="AC3672" s="78"/>
      <c r="AD3672" s="78"/>
      <c r="AE3672" s="156"/>
      <c r="AF3672" s="156"/>
      <c r="AG3672" s="78"/>
      <c r="AH3672" s="78"/>
      <c r="AI3672" s="78"/>
      <c r="AJ3672" s="78"/>
      <c r="AK3672" s="78"/>
      <c r="AL3672" s="78"/>
      <c r="AM3672" s="78"/>
      <c r="AN3672" s="78"/>
      <c r="AO3672" s="78"/>
      <c r="AP3672" s="78"/>
      <c r="AQ3672" s="78"/>
      <c r="AR3672" s="286"/>
      <c r="AS3672" s="78"/>
      <c r="AT3672" s="78"/>
      <c r="AU3672" s="8"/>
      <c r="AV3672" s="6" t="str">
        <f t="shared" si="77"/>
        <v/>
      </c>
    </row>
    <row r="3673" spans="1:48" x14ac:dyDescent="0.45">
      <c r="A3673" s="39" t="s">
        <v>2833</v>
      </c>
      <c r="AV3673" s="6" t="str">
        <f t="shared" si="77"/>
        <v/>
      </c>
    </row>
    <row r="3674" spans="1:48" ht="14.65" thickBot="1" x14ac:dyDescent="0.5">
      <c r="A3674" s="40" t="s">
        <v>2837</v>
      </c>
      <c r="AV3674" s="6" t="str">
        <f t="shared" si="77"/>
        <v/>
      </c>
    </row>
    <row r="3675" spans="1:48" ht="14.65" thickBot="1" x14ac:dyDescent="0.5">
      <c r="A3675" s="315" t="s">
        <v>4377</v>
      </c>
      <c r="B3675" s="316"/>
      <c r="C3675" s="301" t="s">
        <v>1</v>
      </c>
      <c r="D3675" s="319"/>
      <c r="E3675" s="319"/>
      <c r="F3675" s="302"/>
      <c r="G3675" s="102"/>
      <c r="H3675" s="102"/>
      <c r="AV3675" s="6" t="str">
        <f t="shared" si="77"/>
        <v/>
      </c>
    </row>
    <row r="3676" spans="1:48" ht="14.65" thickBot="1" x14ac:dyDescent="0.5">
      <c r="A3676" s="317"/>
      <c r="B3676" s="318"/>
      <c r="C3676" s="301" t="s">
        <v>2</v>
      </c>
      <c r="D3676" s="302"/>
      <c r="E3676" s="301" t="s">
        <v>3</v>
      </c>
      <c r="F3676" s="302"/>
      <c r="G3676" s="301" t="s">
        <v>2896</v>
      </c>
      <c r="H3676" s="302"/>
      <c r="AV3676" s="6" t="str">
        <f t="shared" si="77"/>
        <v/>
      </c>
    </row>
    <row r="3677" spans="1:48" ht="36" thickBot="1" x14ac:dyDescent="0.5">
      <c r="A3677" s="46" t="s">
        <v>2377</v>
      </c>
      <c r="B3677" s="47"/>
      <c r="C3677" s="303"/>
      <c r="D3677" s="304"/>
      <c r="E3677" s="303"/>
      <c r="F3677" s="304"/>
      <c r="G3677" s="303"/>
      <c r="H3677" s="304"/>
      <c r="M3677" s="145" t="s">
        <v>2791</v>
      </c>
      <c r="AU3677" s="6"/>
      <c r="AV3677" s="6" t="str">
        <f t="shared" si="77"/>
        <v/>
      </c>
    </row>
    <row r="3678" spans="1:48" ht="14.65" thickBot="1" x14ac:dyDescent="0.5">
      <c r="A3678" s="29" t="s">
        <v>3394</v>
      </c>
      <c r="B3678" s="9"/>
      <c r="C3678" s="301"/>
      <c r="D3678" s="302"/>
      <c r="E3678" s="301"/>
      <c r="F3678" s="302"/>
      <c r="G3678" s="301" t="s">
        <v>3395</v>
      </c>
      <c r="H3678" s="302"/>
      <c r="AU3678" s="6"/>
      <c r="AV3678" s="6" t="str">
        <f t="shared" si="77"/>
        <v/>
      </c>
    </row>
    <row r="3679" spans="1:48" ht="14.65" thickBot="1" x14ac:dyDescent="0.5">
      <c r="A3679" s="30" t="s">
        <v>4</v>
      </c>
      <c r="B3679" s="59" t="s">
        <v>5</v>
      </c>
      <c r="C3679" s="7" t="s">
        <v>6</v>
      </c>
      <c r="D3679" s="7" t="s">
        <v>7</v>
      </c>
      <c r="E3679" s="7" t="s">
        <v>6</v>
      </c>
      <c r="F3679" s="7" t="s">
        <v>7</v>
      </c>
      <c r="G3679" s="7" t="s">
        <v>6</v>
      </c>
      <c r="H3679" s="7" t="s">
        <v>7</v>
      </c>
      <c r="AV3679" s="6" t="str">
        <f t="shared" si="77"/>
        <v/>
      </c>
    </row>
    <row r="3680" spans="1:48" s="105" customFormat="1" ht="35.25" thickBot="1" x14ac:dyDescent="0.5">
      <c r="A3680" s="158" t="s">
        <v>2832</v>
      </c>
      <c r="B3680" s="159" t="s">
        <v>2831</v>
      </c>
      <c r="C3680" s="160"/>
      <c r="D3680" s="175"/>
      <c r="E3680" s="175"/>
      <c r="F3680" s="175"/>
      <c r="G3680" s="160"/>
      <c r="H3680" s="175"/>
      <c r="I3680" s="176"/>
      <c r="J3680" s="176"/>
      <c r="K3680" s="176"/>
      <c r="L3680" s="176"/>
      <c r="M3680" s="181"/>
      <c r="N3680" s="96"/>
      <c r="O3680" s="96"/>
      <c r="P3680" s="96"/>
      <c r="Q3680" s="96"/>
      <c r="R3680" s="96"/>
      <c r="S3680" s="96"/>
      <c r="T3680" s="96"/>
      <c r="U3680" s="96"/>
      <c r="V3680" s="96"/>
      <c r="W3680" s="96"/>
      <c r="X3680" s="96"/>
      <c r="Y3680" s="144"/>
      <c r="Z3680" s="96"/>
      <c r="AA3680" s="96"/>
      <c r="AB3680" s="96"/>
      <c r="AC3680" s="96"/>
      <c r="AD3680" s="96"/>
      <c r="AE3680" s="155"/>
      <c r="AF3680" s="155"/>
      <c r="AG3680" s="96"/>
      <c r="AH3680" s="96"/>
      <c r="AI3680" s="96"/>
      <c r="AJ3680" s="96"/>
      <c r="AK3680" s="96"/>
      <c r="AL3680" s="96"/>
      <c r="AM3680" s="96"/>
      <c r="AN3680" s="96"/>
      <c r="AO3680" s="96"/>
      <c r="AP3680" s="96"/>
      <c r="AQ3680" s="96"/>
      <c r="AR3680" s="285"/>
      <c r="AS3680" s="96"/>
      <c r="AT3680" s="96"/>
      <c r="AU3680" s="103"/>
      <c r="AV3680" s="6" t="str">
        <f t="shared" si="77"/>
        <v/>
      </c>
    </row>
    <row r="3681" spans="1:48" ht="14.65" thickBot="1" x14ac:dyDescent="0.5">
      <c r="A3681" s="163" t="s">
        <v>33</v>
      </c>
      <c r="B3681" s="159"/>
      <c r="C3681" s="160"/>
      <c r="D3681" s="161"/>
      <c r="E3681" s="161"/>
      <c r="F3681" s="161"/>
      <c r="G3681" s="160"/>
      <c r="H3681" s="161"/>
      <c r="I3681" s="162"/>
      <c r="J3681" s="162"/>
      <c r="K3681" s="162"/>
      <c r="L3681" s="162"/>
      <c r="M3681" s="146"/>
      <c r="AV3681" s="6" t="str">
        <f t="shared" si="77"/>
        <v/>
      </c>
    </row>
    <row r="3682" spans="1:48" x14ac:dyDescent="0.45">
      <c r="A3682" s="33" t="s">
        <v>2834</v>
      </c>
      <c r="AU3682" s="8"/>
      <c r="AV3682" s="6" t="str">
        <f t="shared" si="77"/>
        <v/>
      </c>
    </row>
    <row r="3683" spans="1:48" x14ac:dyDescent="0.45">
      <c r="A3683" s="34" t="s">
        <v>3619</v>
      </c>
      <c r="AU3683" s="8"/>
      <c r="AV3683" s="6" t="str">
        <f t="shared" si="77"/>
        <v/>
      </c>
    </row>
    <row r="3684" spans="1:48" s="79" customFormat="1" x14ac:dyDescent="0.45">
      <c r="A3684" s="75"/>
      <c r="B3684" s="76"/>
      <c r="C3684" s="77"/>
      <c r="D3684" s="77"/>
      <c r="E3684" s="77"/>
      <c r="F3684" s="77"/>
      <c r="G3684" s="77"/>
      <c r="H3684" s="77"/>
      <c r="I3684" s="77"/>
      <c r="J3684" s="77"/>
      <c r="K3684" s="77"/>
      <c r="L3684" s="77"/>
      <c r="M3684" s="148"/>
      <c r="N3684" s="78"/>
      <c r="O3684" s="78"/>
      <c r="P3684" s="78"/>
      <c r="Q3684" s="78"/>
      <c r="R3684" s="78"/>
      <c r="S3684" s="78"/>
      <c r="T3684" s="78"/>
      <c r="U3684" s="78"/>
      <c r="V3684" s="78"/>
      <c r="W3684" s="78"/>
      <c r="X3684" s="78"/>
      <c r="Y3684" s="148"/>
      <c r="Z3684" s="78"/>
      <c r="AA3684" s="78"/>
      <c r="AB3684" s="78"/>
      <c r="AC3684" s="78"/>
      <c r="AD3684" s="78"/>
      <c r="AE3684" s="156"/>
      <c r="AF3684" s="156"/>
      <c r="AG3684" s="78"/>
      <c r="AH3684" s="78"/>
      <c r="AI3684" s="78"/>
      <c r="AJ3684" s="78"/>
      <c r="AK3684" s="78"/>
      <c r="AL3684" s="78"/>
      <c r="AM3684" s="78"/>
      <c r="AN3684" s="78"/>
      <c r="AO3684" s="78"/>
      <c r="AP3684" s="78"/>
      <c r="AQ3684" s="78"/>
      <c r="AR3684" s="286"/>
      <c r="AS3684" s="78"/>
      <c r="AT3684" s="78"/>
      <c r="AU3684" s="8"/>
      <c r="AV3684" s="6" t="str">
        <f t="shared" si="77"/>
        <v/>
      </c>
    </row>
    <row r="3685" spans="1:48" x14ac:dyDescent="0.45">
      <c r="A3685" s="39" t="s">
        <v>2835</v>
      </c>
      <c r="AV3685" s="6" t="str">
        <f t="shared" si="77"/>
        <v/>
      </c>
    </row>
    <row r="3686" spans="1:48" ht="14.65" thickBot="1" x14ac:dyDescent="0.5">
      <c r="A3686" s="40" t="s">
        <v>4006</v>
      </c>
      <c r="AV3686" s="6" t="str">
        <f t="shared" si="77"/>
        <v/>
      </c>
    </row>
    <row r="3687" spans="1:48" ht="14.65" thickBot="1" x14ac:dyDescent="0.5">
      <c r="A3687" s="315" t="s">
        <v>4378</v>
      </c>
      <c r="B3687" s="316"/>
      <c r="C3687" s="301" t="s">
        <v>1</v>
      </c>
      <c r="D3687" s="319"/>
      <c r="E3687" s="319"/>
      <c r="F3687" s="302"/>
      <c r="G3687" s="102"/>
      <c r="H3687" s="102"/>
      <c r="AV3687" s="6" t="str">
        <f t="shared" si="77"/>
        <v/>
      </c>
    </row>
    <row r="3688" spans="1:48" ht="14.65" thickBot="1" x14ac:dyDescent="0.5">
      <c r="A3688" s="317"/>
      <c r="B3688" s="318"/>
      <c r="C3688" s="301" t="s">
        <v>2</v>
      </c>
      <c r="D3688" s="302"/>
      <c r="E3688" s="301" t="s">
        <v>3</v>
      </c>
      <c r="F3688" s="302"/>
      <c r="G3688" s="301" t="s">
        <v>2896</v>
      </c>
      <c r="H3688" s="302"/>
      <c r="AV3688" s="6" t="str">
        <f t="shared" si="77"/>
        <v/>
      </c>
    </row>
    <row r="3689" spans="1:48" ht="14.65" thickBot="1" x14ac:dyDescent="0.5">
      <c r="A3689" s="46" t="s">
        <v>2377</v>
      </c>
      <c r="B3689" s="47"/>
      <c r="C3689" s="303"/>
      <c r="D3689" s="304"/>
      <c r="E3689" s="303"/>
      <c r="F3689" s="304"/>
      <c r="G3689" s="303"/>
      <c r="H3689" s="304"/>
      <c r="AU3689" s="6"/>
      <c r="AV3689" s="6" t="str">
        <f t="shared" si="77"/>
        <v/>
      </c>
    </row>
    <row r="3690" spans="1:48" ht="14.65" thickBot="1" x14ac:dyDescent="0.5">
      <c r="A3690" s="29" t="s">
        <v>3394</v>
      </c>
      <c r="B3690" s="9"/>
      <c r="C3690" s="305"/>
      <c r="D3690" s="306"/>
      <c r="E3690" s="305"/>
      <c r="F3690" s="306"/>
      <c r="G3690" s="305"/>
      <c r="H3690" s="306"/>
      <c r="AU3690" s="6"/>
      <c r="AV3690" s="6" t="str">
        <f t="shared" si="77"/>
        <v/>
      </c>
    </row>
    <row r="3691" spans="1:48" ht="14.65" thickBot="1" x14ac:dyDescent="0.5">
      <c r="A3691" s="52" t="s">
        <v>4</v>
      </c>
      <c r="B3691" s="53" t="s">
        <v>5</v>
      </c>
      <c r="C3691" s="54" t="s">
        <v>6</v>
      </c>
      <c r="D3691" s="54" t="s">
        <v>7</v>
      </c>
      <c r="E3691" s="54" t="s">
        <v>6</v>
      </c>
      <c r="F3691" s="54" t="s">
        <v>7</v>
      </c>
      <c r="G3691" s="54" t="s">
        <v>6</v>
      </c>
      <c r="H3691" s="54" t="s">
        <v>7</v>
      </c>
      <c r="AV3691" s="6" t="str">
        <f t="shared" si="77"/>
        <v/>
      </c>
    </row>
    <row r="3692" spans="1:48" ht="15" thickTop="1" thickBot="1" x14ac:dyDescent="0.5">
      <c r="A3692" s="177" t="s">
        <v>2857</v>
      </c>
      <c r="B3692" s="178" t="s">
        <v>2861</v>
      </c>
      <c r="C3692" s="179"/>
      <c r="D3692" s="180"/>
      <c r="E3692" s="179"/>
      <c r="F3692" s="180"/>
      <c r="G3692" s="179"/>
      <c r="H3692" s="180"/>
      <c r="I3692" s="162"/>
      <c r="J3692" s="162"/>
      <c r="K3692" s="162"/>
      <c r="L3692" s="162"/>
      <c r="M3692" s="146"/>
      <c r="AV3692" s="6" t="str">
        <f t="shared" si="77"/>
        <v/>
      </c>
    </row>
    <row r="3693" spans="1:48" ht="15" thickTop="1" thickBot="1" x14ac:dyDescent="0.5">
      <c r="A3693" s="177" t="s">
        <v>2858</v>
      </c>
      <c r="B3693" s="178" t="s">
        <v>2860</v>
      </c>
      <c r="C3693" s="179"/>
      <c r="D3693" s="180"/>
      <c r="E3693" s="179"/>
      <c r="F3693" s="180"/>
      <c r="G3693" s="179"/>
      <c r="H3693" s="180"/>
      <c r="I3693" s="162"/>
      <c r="J3693" s="162"/>
      <c r="K3693" s="162"/>
      <c r="L3693" s="162"/>
      <c r="M3693" s="146"/>
      <c r="AV3693" s="6" t="str">
        <f t="shared" si="77"/>
        <v/>
      </c>
    </row>
    <row r="3694" spans="1:48" ht="24" thickTop="1" thickBot="1" x14ac:dyDescent="0.5">
      <c r="A3694" s="177" t="s">
        <v>2859</v>
      </c>
      <c r="B3694" s="178" t="s">
        <v>3806</v>
      </c>
      <c r="C3694" s="179"/>
      <c r="D3694" s="180"/>
      <c r="E3694" s="179"/>
      <c r="F3694" s="180"/>
      <c r="G3694" s="179"/>
      <c r="H3694" s="180"/>
      <c r="I3694" s="162"/>
      <c r="J3694" s="162"/>
      <c r="K3694" s="162"/>
      <c r="L3694" s="162"/>
      <c r="M3694" s="146"/>
      <c r="AV3694" s="6" t="str">
        <f t="shared" si="77"/>
        <v/>
      </c>
    </row>
    <row r="3695" spans="1:48" ht="15" thickTop="1" thickBot="1" x14ac:dyDescent="0.5">
      <c r="A3695" s="177" t="s">
        <v>2863</v>
      </c>
      <c r="B3695" s="178" t="s">
        <v>2862</v>
      </c>
      <c r="C3695" s="179"/>
      <c r="D3695" s="180"/>
      <c r="E3695" s="179"/>
      <c r="F3695" s="180"/>
      <c r="G3695" s="179"/>
      <c r="H3695" s="180"/>
      <c r="I3695" s="162"/>
      <c r="J3695" s="162"/>
      <c r="K3695" s="162"/>
      <c r="L3695" s="162"/>
      <c r="M3695" s="146"/>
      <c r="AV3695" s="6" t="str">
        <f t="shared" si="77"/>
        <v/>
      </c>
    </row>
    <row r="3696" spans="1:48" ht="14.65" thickTop="1" x14ac:dyDescent="0.45">
      <c r="A3696" s="33" t="s">
        <v>2836</v>
      </c>
      <c r="AU3696" s="8"/>
      <c r="AV3696" s="6" t="str">
        <f t="shared" si="77"/>
        <v/>
      </c>
    </row>
    <row r="3697" spans="1:48" x14ac:dyDescent="0.45">
      <c r="A3697" s="34" t="s">
        <v>3620</v>
      </c>
      <c r="AU3697" s="8"/>
      <c r="AV3697" s="6" t="str">
        <f t="shared" si="77"/>
        <v/>
      </c>
    </row>
    <row r="3698" spans="1:48" s="79" customFormat="1" x14ac:dyDescent="0.45">
      <c r="A3698" s="75"/>
      <c r="B3698" s="76"/>
      <c r="C3698" s="77"/>
      <c r="D3698" s="77"/>
      <c r="E3698" s="77"/>
      <c r="F3698" s="77"/>
      <c r="G3698" s="77"/>
      <c r="H3698" s="77"/>
      <c r="I3698" s="77"/>
      <c r="J3698" s="77"/>
      <c r="K3698" s="77"/>
      <c r="L3698" s="77"/>
      <c r="M3698" s="148"/>
      <c r="N3698" s="78"/>
      <c r="O3698" s="78"/>
      <c r="P3698" s="78"/>
      <c r="Q3698" s="78"/>
      <c r="R3698" s="78"/>
      <c r="S3698" s="78"/>
      <c r="T3698" s="78"/>
      <c r="U3698" s="78"/>
      <c r="V3698" s="78"/>
      <c r="W3698" s="78"/>
      <c r="X3698" s="78"/>
      <c r="Y3698" s="148"/>
      <c r="Z3698" s="78"/>
      <c r="AA3698" s="78"/>
      <c r="AB3698" s="78"/>
      <c r="AC3698" s="78"/>
      <c r="AD3698" s="78"/>
      <c r="AE3698" s="156"/>
      <c r="AF3698" s="156"/>
      <c r="AG3698" s="78"/>
      <c r="AH3698" s="78"/>
      <c r="AI3698" s="78"/>
      <c r="AJ3698" s="78"/>
      <c r="AK3698" s="78"/>
      <c r="AL3698" s="78"/>
      <c r="AM3698" s="78"/>
      <c r="AN3698" s="78"/>
      <c r="AO3698" s="78"/>
      <c r="AP3698" s="78"/>
      <c r="AQ3698" s="78"/>
      <c r="AR3698" s="286"/>
      <c r="AS3698" s="78"/>
      <c r="AT3698" s="78"/>
      <c r="AU3698" s="8"/>
      <c r="AV3698" s="6" t="str">
        <f t="shared" si="77"/>
        <v/>
      </c>
    </row>
    <row r="3699" spans="1:48" x14ac:dyDescent="0.45">
      <c r="A3699" s="39" t="s">
        <v>2851</v>
      </c>
      <c r="AV3699" s="6" t="str">
        <f t="shared" si="77"/>
        <v/>
      </c>
    </row>
    <row r="3700" spans="1:48" ht="14.65" thickBot="1" x14ac:dyDescent="0.5">
      <c r="A3700" s="40" t="s">
        <v>4007</v>
      </c>
      <c r="AV3700" s="6" t="str">
        <f t="shared" si="77"/>
        <v/>
      </c>
    </row>
    <row r="3701" spans="1:48" ht="14.65" thickBot="1" x14ac:dyDescent="0.5">
      <c r="A3701" s="315" t="s">
        <v>4379</v>
      </c>
      <c r="B3701" s="316"/>
      <c r="C3701" s="301" t="s">
        <v>1</v>
      </c>
      <c r="D3701" s="319"/>
      <c r="E3701" s="319"/>
      <c r="F3701" s="302"/>
      <c r="G3701" s="102"/>
      <c r="H3701" s="102"/>
      <c r="AV3701" s="6" t="str">
        <f t="shared" si="77"/>
        <v/>
      </c>
    </row>
    <row r="3702" spans="1:48" ht="14.65" thickBot="1" x14ac:dyDescent="0.5">
      <c r="A3702" s="317"/>
      <c r="B3702" s="318"/>
      <c r="C3702" s="301" t="s">
        <v>2</v>
      </c>
      <c r="D3702" s="302"/>
      <c r="E3702" s="301" t="s">
        <v>3</v>
      </c>
      <c r="F3702" s="302"/>
      <c r="G3702" s="301" t="s">
        <v>2896</v>
      </c>
      <c r="H3702" s="302"/>
      <c r="AV3702" s="6" t="str">
        <f t="shared" si="77"/>
        <v/>
      </c>
    </row>
    <row r="3703" spans="1:48" ht="14.65" thickBot="1" x14ac:dyDescent="0.5">
      <c r="A3703" s="46" t="s">
        <v>2377</v>
      </c>
      <c r="B3703" s="47"/>
      <c r="C3703" s="303"/>
      <c r="D3703" s="304"/>
      <c r="E3703" s="303"/>
      <c r="F3703" s="304"/>
      <c r="G3703" s="303"/>
      <c r="H3703" s="304"/>
      <c r="AU3703" s="6"/>
      <c r="AV3703" s="6" t="str">
        <f t="shared" si="77"/>
        <v/>
      </c>
    </row>
    <row r="3704" spans="1:48" ht="14.65" thickBot="1" x14ac:dyDescent="0.5">
      <c r="A3704" s="29" t="s">
        <v>3394</v>
      </c>
      <c r="B3704" s="9"/>
      <c r="C3704" s="305"/>
      <c r="D3704" s="306"/>
      <c r="E3704" s="305"/>
      <c r="F3704" s="306"/>
      <c r="G3704" s="305" t="s">
        <v>3395</v>
      </c>
      <c r="H3704" s="306"/>
      <c r="AU3704" s="6"/>
      <c r="AV3704" s="6" t="str">
        <f t="shared" si="77"/>
        <v/>
      </c>
    </row>
    <row r="3705" spans="1:48" x14ac:dyDescent="0.45">
      <c r="A3705" s="52" t="s">
        <v>4</v>
      </c>
      <c r="B3705" s="53" t="s">
        <v>5</v>
      </c>
      <c r="C3705" s="54" t="s">
        <v>6</v>
      </c>
      <c r="D3705" s="54" t="s">
        <v>7</v>
      </c>
      <c r="E3705" s="54" t="s">
        <v>6</v>
      </c>
      <c r="F3705" s="54" t="s">
        <v>7</v>
      </c>
      <c r="G3705" s="54" t="s">
        <v>6</v>
      </c>
      <c r="H3705" s="54" t="s">
        <v>7</v>
      </c>
      <c r="AV3705" s="6" t="str">
        <f t="shared" si="77"/>
        <v/>
      </c>
    </row>
    <row r="3706" spans="1:48" ht="14.65" thickBot="1" x14ac:dyDescent="0.5">
      <c r="A3706" s="182" t="s">
        <v>8</v>
      </c>
      <c r="B3706" s="165" t="s">
        <v>9</v>
      </c>
      <c r="C3706" s="166"/>
      <c r="D3706" s="166"/>
      <c r="E3706" s="166"/>
      <c r="F3706" s="166"/>
      <c r="G3706" s="166"/>
      <c r="H3706" s="166"/>
      <c r="I3706" s="162"/>
      <c r="J3706" s="162"/>
      <c r="K3706" s="162"/>
      <c r="L3706" s="162"/>
      <c r="M3706" s="146"/>
      <c r="AU3706" s="6"/>
      <c r="AV3706" s="6" t="str">
        <f t="shared" si="77"/>
        <v/>
      </c>
    </row>
    <row r="3707" spans="1:48" ht="23.65" thickBot="1" x14ac:dyDescent="0.5">
      <c r="A3707" s="164" t="s">
        <v>2855</v>
      </c>
      <c r="B3707" s="165" t="s">
        <v>2856</v>
      </c>
      <c r="C3707" s="166"/>
      <c r="D3707" s="166"/>
      <c r="E3707" s="166"/>
      <c r="F3707" s="166"/>
      <c r="G3707" s="166"/>
      <c r="H3707" s="166"/>
      <c r="I3707" s="162"/>
      <c r="J3707" s="162"/>
      <c r="K3707" s="162"/>
      <c r="L3707" s="162"/>
      <c r="M3707" s="146"/>
      <c r="AU3707" s="6"/>
      <c r="AV3707" s="6" t="str">
        <f t="shared" si="77"/>
        <v/>
      </c>
    </row>
    <row r="3708" spans="1:48" ht="14.65" thickBot="1" x14ac:dyDescent="0.5">
      <c r="A3708" s="164" t="s">
        <v>2866</v>
      </c>
      <c r="B3708" s="165" t="s">
        <v>2867</v>
      </c>
      <c r="C3708" s="166"/>
      <c r="D3708" s="166"/>
      <c r="E3708" s="166"/>
      <c r="F3708" s="166"/>
      <c r="G3708" s="166"/>
      <c r="H3708" s="166"/>
      <c r="I3708" s="162"/>
      <c r="J3708" s="162"/>
      <c r="K3708" s="162"/>
      <c r="L3708" s="162"/>
      <c r="M3708" s="146"/>
      <c r="AU3708" s="6"/>
      <c r="AV3708" s="6" t="str">
        <f t="shared" si="77"/>
        <v/>
      </c>
    </row>
    <row r="3709" spans="1:48" ht="23.65" thickBot="1" x14ac:dyDescent="0.5">
      <c r="A3709" s="164" t="s">
        <v>2865</v>
      </c>
      <c r="B3709" s="165" t="s">
        <v>2868</v>
      </c>
      <c r="C3709" s="166"/>
      <c r="D3709" s="166"/>
      <c r="E3709" s="166"/>
      <c r="F3709" s="166"/>
      <c r="G3709" s="166"/>
      <c r="H3709" s="166"/>
      <c r="I3709" s="162"/>
      <c r="J3709" s="162"/>
      <c r="K3709" s="162"/>
      <c r="L3709" s="162"/>
      <c r="M3709" s="146"/>
      <c r="AU3709" s="6"/>
      <c r="AV3709" s="6" t="str">
        <f t="shared" si="77"/>
        <v/>
      </c>
    </row>
    <row r="3710" spans="1:48" ht="14.65" thickBot="1" x14ac:dyDescent="0.5">
      <c r="A3710" s="182" t="s">
        <v>2864</v>
      </c>
      <c r="B3710" s="165" t="s">
        <v>2853</v>
      </c>
      <c r="C3710" s="166"/>
      <c r="D3710" s="166"/>
      <c r="E3710" s="166"/>
      <c r="F3710" s="166"/>
      <c r="G3710" s="166"/>
      <c r="H3710" s="166"/>
      <c r="I3710" s="162"/>
      <c r="J3710" s="162"/>
      <c r="K3710" s="162"/>
      <c r="L3710" s="162"/>
      <c r="M3710" s="146"/>
      <c r="AU3710" s="6"/>
      <c r="AV3710" s="6" t="str">
        <f t="shared" ref="AV3710:AV3812" si="78">IF(A3710&lt;&gt;"",IF(T3710&lt;&gt;"",IF(LEFT(R3710,3)="Has",IF(TRIM(A3710)&lt;&gt;T3710,"ERROR","OK"),""),""),"")</f>
        <v/>
      </c>
    </row>
    <row r="3711" spans="1:48" ht="14.65" thickBot="1" x14ac:dyDescent="0.5">
      <c r="A3711" s="164" t="s">
        <v>33</v>
      </c>
      <c r="B3711" s="165" t="s">
        <v>2854</v>
      </c>
      <c r="C3711" s="166"/>
      <c r="D3711" s="166"/>
      <c r="E3711" s="166"/>
      <c r="F3711" s="166"/>
      <c r="G3711" s="166"/>
      <c r="H3711" s="166"/>
      <c r="I3711" s="162"/>
      <c r="J3711" s="162"/>
      <c r="K3711" s="162"/>
      <c r="L3711" s="162"/>
      <c r="M3711" s="146"/>
      <c r="AU3711" s="6"/>
      <c r="AV3711" s="6" t="str">
        <f t="shared" si="78"/>
        <v/>
      </c>
    </row>
    <row r="3712" spans="1:48" ht="14.65" thickBot="1" x14ac:dyDescent="0.5">
      <c r="A3712" s="182" t="s">
        <v>577</v>
      </c>
      <c r="B3712" s="165" t="s">
        <v>578</v>
      </c>
      <c r="C3712" s="166"/>
      <c r="D3712" s="166"/>
      <c r="E3712" s="166"/>
      <c r="F3712" s="166"/>
      <c r="G3712" s="166"/>
      <c r="H3712" s="166"/>
      <c r="I3712" s="162"/>
      <c r="J3712" s="162"/>
      <c r="K3712" s="162"/>
      <c r="L3712" s="162"/>
      <c r="M3712" s="146"/>
      <c r="AU3712" s="8"/>
      <c r="AV3712" s="6" t="str">
        <f t="shared" si="78"/>
        <v/>
      </c>
    </row>
    <row r="3713" spans="1:48" ht="47.65" thickBot="1" x14ac:dyDescent="0.5">
      <c r="A3713" s="182" t="s">
        <v>145</v>
      </c>
      <c r="B3713" s="165" t="s">
        <v>3968</v>
      </c>
      <c r="C3713" s="166"/>
      <c r="D3713" s="166"/>
      <c r="E3713" s="166"/>
      <c r="F3713" s="166"/>
      <c r="G3713" s="166"/>
      <c r="H3713" s="166"/>
      <c r="I3713" s="162"/>
      <c r="J3713" s="162"/>
      <c r="K3713" s="162"/>
      <c r="L3713" s="162"/>
      <c r="M3713" s="146"/>
      <c r="AS3713" s="139" t="s">
        <v>5364</v>
      </c>
      <c r="AU3713" s="6"/>
      <c r="AV3713" s="6" t="str">
        <f t="shared" si="78"/>
        <v/>
      </c>
    </row>
    <row r="3714" spans="1:48" ht="47.65" thickBot="1" x14ac:dyDescent="0.5">
      <c r="A3714" s="35" t="s">
        <v>5361</v>
      </c>
      <c r="B3714" s="3" t="s">
        <v>5352</v>
      </c>
      <c r="C3714" s="4"/>
      <c r="D3714" s="4"/>
      <c r="E3714" s="4"/>
      <c r="F3714" s="4"/>
      <c r="G3714" s="4"/>
      <c r="H3714" s="4"/>
      <c r="Q3714" s="131"/>
      <c r="R3714" s="131"/>
      <c r="S3714" s="131"/>
      <c r="T3714" s="131"/>
      <c r="U3714" s="131"/>
      <c r="V3714" s="131"/>
      <c r="W3714" s="131"/>
      <c r="X3714" s="131"/>
      <c r="AS3714" s="139" t="s">
        <v>5364</v>
      </c>
      <c r="AU3714" s="6"/>
      <c r="AV3714" s="6"/>
    </row>
    <row r="3715" spans="1:48" ht="47.65" thickBot="1" x14ac:dyDescent="0.5">
      <c r="A3715" s="35" t="s">
        <v>5360</v>
      </c>
      <c r="B3715" s="3" t="s">
        <v>5353</v>
      </c>
      <c r="C3715" s="4"/>
      <c r="D3715" s="4"/>
      <c r="E3715" s="4"/>
      <c r="F3715" s="4"/>
      <c r="G3715" s="4"/>
      <c r="H3715" s="4"/>
      <c r="Q3715" s="131"/>
      <c r="R3715" s="131"/>
      <c r="S3715" s="131"/>
      <c r="T3715" s="131"/>
      <c r="U3715" s="131"/>
      <c r="V3715" s="131"/>
      <c r="W3715" s="131"/>
      <c r="X3715" s="131"/>
      <c r="AS3715" s="139" t="s">
        <v>5364</v>
      </c>
      <c r="AU3715" s="6"/>
      <c r="AV3715" s="6"/>
    </row>
    <row r="3716" spans="1:48" x14ac:dyDescent="0.45">
      <c r="A3716" s="33" t="s">
        <v>2852</v>
      </c>
      <c r="AU3716" s="8"/>
      <c r="AV3716" s="6" t="str">
        <f t="shared" si="78"/>
        <v/>
      </c>
    </row>
    <row r="3717" spans="1:48" x14ac:dyDescent="0.45">
      <c r="A3717" s="34" t="s">
        <v>3621</v>
      </c>
      <c r="AU3717" s="8"/>
      <c r="AV3717" s="6" t="str">
        <f t="shared" si="78"/>
        <v/>
      </c>
    </row>
    <row r="3718" spans="1:48" s="79" customFormat="1" x14ac:dyDescent="0.45">
      <c r="A3718" s="75"/>
      <c r="B3718" s="76"/>
      <c r="C3718" s="77"/>
      <c r="D3718" s="77"/>
      <c r="E3718" s="77"/>
      <c r="F3718" s="77"/>
      <c r="G3718" s="77"/>
      <c r="H3718" s="77"/>
      <c r="I3718" s="77"/>
      <c r="J3718" s="77"/>
      <c r="K3718" s="77"/>
      <c r="L3718" s="77"/>
      <c r="M3718" s="148"/>
      <c r="N3718" s="78"/>
      <c r="O3718" s="78"/>
      <c r="P3718" s="78"/>
      <c r="Q3718" s="78"/>
      <c r="R3718" s="78"/>
      <c r="S3718" s="78"/>
      <c r="T3718" s="78"/>
      <c r="U3718" s="78"/>
      <c r="V3718" s="78"/>
      <c r="W3718" s="78"/>
      <c r="X3718" s="78"/>
      <c r="Y3718" s="148"/>
      <c r="Z3718" s="78"/>
      <c r="AA3718" s="78"/>
      <c r="AB3718" s="78"/>
      <c r="AC3718" s="78"/>
      <c r="AD3718" s="78"/>
      <c r="AE3718" s="156"/>
      <c r="AF3718" s="156"/>
      <c r="AG3718" s="78"/>
      <c r="AH3718" s="78"/>
      <c r="AI3718" s="78"/>
      <c r="AJ3718" s="78"/>
      <c r="AK3718" s="78"/>
      <c r="AL3718" s="78"/>
      <c r="AM3718" s="78"/>
      <c r="AN3718" s="78"/>
      <c r="AO3718" s="78"/>
      <c r="AP3718" s="78"/>
      <c r="AQ3718" s="78"/>
      <c r="AR3718" s="286"/>
      <c r="AS3718" s="78"/>
      <c r="AT3718" s="78"/>
      <c r="AU3718" s="8"/>
      <c r="AV3718" s="6" t="str">
        <f t="shared" si="78"/>
        <v/>
      </c>
    </row>
    <row r="3719" spans="1:48" x14ac:dyDescent="0.45">
      <c r="A3719" s="27" t="s">
        <v>4396</v>
      </c>
      <c r="J3719" s="18" t="s">
        <v>2473</v>
      </c>
      <c r="K3719" s="18" t="s">
        <v>2473</v>
      </c>
      <c r="L3719" s="18" t="s">
        <v>2335</v>
      </c>
      <c r="AU3719" s="6"/>
      <c r="AV3719" s="6" t="str">
        <f t="shared" si="78"/>
        <v/>
      </c>
    </row>
    <row r="3720" spans="1:48" ht="23.65" thickBot="1" x14ac:dyDescent="0.5">
      <c r="A3720" s="323" t="s">
        <v>4397</v>
      </c>
      <c r="B3720" s="324"/>
      <c r="C3720" s="324"/>
      <c r="D3720" s="324"/>
      <c r="E3720" s="324"/>
      <c r="F3720" s="324"/>
      <c r="G3720" s="101"/>
      <c r="H3720" s="101"/>
      <c r="J3720" s="18" t="s">
        <v>2473</v>
      </c>
      <c r="K3720" s="18" t="s">
        <v>2473</v>
      </c>
      <c r="L3720" s="18" t="s">
        <v>2335</v>
      </c>
      <c r="Z3720" s="183" t="s">
        <v>4347</v>
      </c>
      <c r="AA3720" s="183" t="s">
        <v>2322</v>
      </c>
      <c r="AB3720" s="183" t="s">
        <v>1697</v>
      </c>
      <c r="AC3720" s="183" t="s">
        <v>5</v>
      </c>
      <c r="AD3720" s="183" t="s">
        <v>4339</v>
      </c>
      <c r="AE3720" s="184" t="s">
        <v>4338</v>
      </c>
      <c r="AF3720" s="184" t="s">
        <v>4350</v>
      </c>
      <c r="AG3720" s="183" t="s">
        <v>1695</v>
      </c>
      <c r="AH3720" s="183" t="s">
        <v>4351</v>
      </c>
      <c r="AI3720" s="183" t="s">
        <v>4455</v>
      </c>
      <c r="AJ3720" s="183" t="s">
        <v>5051</v>
      </c>
      <c r="AU3720" s="6"/>
      <c r="AV3720" s="6" t="str">
        <f t="shared" si="78"/>
        <v/>
      </c>
    </row>
    <row r="3721" spans="1:48" ht="105" thickBot="1" x14ac:dyDescent="0.5">
      <c r="A3721" s="309" t="s">
        <v>4398</v>
      </c>
      <c r="B3721" s="310"/>
      <c r="C3721" s="301" t="s">
        <v>1</v>
      </c>
      <c r="D3721" s="319"/>
      <c r="E3721" s="319"/>
      <c r="F3721" s="302"/>
      <c r="G3721" s="102"/>
      <c r="H3721" s="102"/>
      <c r="J3721" s="18" t="s">
        <v>2473</v>
      </c>
      <c r="K3721" s="18" t="s">
        <v>2473</v>
      </c>
      <c r="L3721" s="18" t="s">
        <v>2335</v>
      </c>
      <c r="Z3721" s="183" t="s">
        <v>4387</v>
      </c>
      <c r="AA3721" s="183" t="str">
        <f>LEFT($A3721,FIND(" ",$A3721)-1)</f>
        <v>RemoteLoggingAgentCollection</v>
      </c>
      <c r="AB3721" s="183" t="str">
        <f>MID($A3721,FIND("(",$A3721)+1,LEN($A3721)-FIND("(",$A3721)-1)</f>
        <v>1.0.0</v>
      </c>
      <c r="AC3721" s="101" t="str">
        <f>A3720</f>
        <v>A RemoteLoggingAgentCollection is a collection of RemoteLoggingAgent Resources running on a node.</v>
      </c>
      <c r="AD3721" s="101" t="s">
        <v>5010</v>
      </c>
      <c r="AE3721" s="188" t="s">
        <v>4487</v>
      </c>
      <c r="AF3721" s="184" t="s">
        <v>4352</v>
      </c>
      <c r="AG3721" s="183" t="s">
        <v>4352</v>
      </c>
      <c r="AH3721" s="183" t="s">
        <v>4352</v>
      </c>
      <c r="AI3721" s="183" t="s">
        <v>5248</v>
      </c>
      <c r="AU3721" s="202" t="s">
        <v>5281</v>
      </c>
      <c r="AV3721" s="6" t="str">
        <f t="shared" si="78"/>
        <v/>
      </c>
    </row>
    <row r="3722" spans="1:48" ht="14.65" thickBot="1" x14ac:dyDescent="0.5">
      <c r="A3722" s="311"/>
      <c r="B3722" s="312"/>
      <c r="C3722" s="301" t="s">
        <v>2</v>
      </c>
      <c r="D3722" s="302"/>
      <c r="E3722" s="301" t="s">
        <v>3</v>
      </c>
      <c r="F3722" s="302"/>
      <c r="G3722" s="301" t="s">
        <v>2896</v>
      </c>
      <c r="H3722" s="302"/>
      <c r="J3722" s="18" t="s">
        <v>2473</v>
      </c>
      <c r="K3722" s="18" t="s">
        <v>2473</v>
      </c>
      <c r="L3722" s="18" t="s">
        <v>2335</v>
      </c>
      <c r="AU3722" s="6"/>
      <c r="AV3722" s="6" t="str">
        <f t="shared" si="78"/>
        <v/>
      </c>
    </row>
    <row r="3723" spans="1:48" ht="14.65" thickBot="1" x14ac:dyDescent="0.5">
      <c r="A3723" s="46" t="s">
        <v>2377</v>
      </c>
      <c r="B3723" s="47"/>
      <c r="C3723" s="303"/>
      <c r="D3723" s="304"/>
      <c r="E3723" s="303"/>
      <c r="F3723" s="304"/>
      <c r="G3723" s="303"/>
      <c r="H3723" s="304"/>
      <c r="J3723" s="18" t="s">
        <v>2473</v>
      </c>
      <c r="K3723" s="18" t="s">
        <v>2473</v>
      </c>
      <c r="AU3723" s="6"/>
      <c r="AV3723" s="6" t="str">
        <f t="shared" si="78"/>
        <v/>
      </c>
    </row>
    <row r="3724" spans="1:48" ht="14.65" thickBot="1" x14ac:dyDescent="0.5">
      <c r="A3724" s="30" t="s">
        <v>4</v>
      </c>
      <c r="B3724" s="59" t="s">
        <v>5</v>
      </c>
      <c r="C3724" s="7" t="s">
        <v>6</v>
      </c>
      <c r="D3724" s="7" t="s">
        <v>7</v>
      </c>
      <c r="E3724" s="7" t="s">
        <v>6</v>
      </c>
      <c r="F3724" s="7" t="s">
        <v>7</v>
      </c>
      <c r="G3724" s="7" t="s">
        <v>6</v>
      </c>
      <c r="H3724" s="7" t="s">
        <v>7</v>
      </c>
      <c r="J3724" s="18" t="s">
        <v>2473</v>
      </c>
      <c r="K3724" s="18" t="s">
        <v>2473</v>
      </c>
      <c r="L3724" s="18" t="s">
        <v>2335</v>
      </c>
      <c r="Z3724" s="183" t="s">
        <v>4347</v>
      </c>
      <c r="AA3724" s="183" t="s">
        <v>4343</v>
      </c>
      <c r="AB3724" s="183" t="s">
        <v>4172</v>
      </c>
      <c r="AC3724" s="183" t="s">
        <v>4340</v>
      </c>
      <c r="AD3724" s="183" t="s">
        <v>4339</v>
      </c>
      <c r="AE3724" s="184" t="s">
        <v>4341</v>
      </c>
      <c r="AF3724" s="184" t="s">
        <v>4342</v>
      </c>
      <c r="AG3724" s="183" t="s">
        <v>4353</v>
      </c>
      <c r="AH3724" s="183" t="s">
        <v>3429</v>
      </c>
      <c r="AI3724" s="183" t="s">
        <v>4356</v>
      </c>
      <c r="AJ3724" s="183" t="s">
        <v>4364</v>
      </c>
      <c r="AK3724" s="183" t="s">
        <v>4441</v>
      </c>
      <c r="AL3724" s="183" t="s">
        <v>694</v>
      </c>
      <c r="AU3724" s="6"/>
      <c r="AV3724" s="6" t="str">
        <f t="shared" si="78"/>
        <v/>
      </c>
    </row>
    <row r="3725" spans="1:48" ht="117.4" thickBot="1" x14ac:dyDescent="0.5">
      <c r="A3725" s="36" t="s">
        <v>2792</v>
      </c>
      <c r="B3725" s="3" t="s">
        <v>4399</v>
      </c>
      <c r="C3725" s="4"/>
      <c r="D3725" s="4"/>
      <c r="E3725" s="4"/>
      <c r="F3725" s="4"/>
      <c r="G3725" s="4" t="s">
        <v>10</v>
      </c>
      <c r="H3725" s="4"/>
      <c r="J3725" s="18" t="s">
        <v>2473</v>
      </c>
      <c r="K3725" s="18" t="s">
        <v>2473</v>
      </c>
      <c r="Z3725" s="8" t="s">
        <v>4</v>
      </c>
      <c r="AB3725" s="8" t="s">
        <v>4354</v>
      </c>
      <c r="AC3725" s="183" t="s">
        <v>6</v>
      </c>
      <c r="AD3725" s="183" t="s">
        <v>5292</v>
      </c>
      <c r="AE3725" s="184"/>
      <c r="AF3725" s="184"/>
      <c r="AG3725" s="183" t="s">
        <v>4355</v>
      </c>
      <c r="AH3725" s="183" t="s">
        <v>5286</v>
      </c>
      <c r="AI3725" s="183" t="s">
        <v>4357</v>
      </c>
      <c r="AU3725" s="202" t="s">
        <v>5289</v>
      </c>
      <c r="AV3725" s="6" t="str">
        <f t="shared" si="78"/>
        <v/>
      </c>
    </row>
    <row r="3726" spans="1:48" ht="14.65" thickBot="1" x14ac:dyDescent="0.5">
      <c r="A3726" s="35" t="s">
        <v>33</v>
      </c>
      <c r="B3726" s="3" t="s">
        <v>4400</v>
      </c>
      <c r="C3726" s="2"/>
      <c r="D3726" s="2"/>
      <c r="E3726" s="2"/>
      <c r="F3726" s="2"/>
      <c r="G3726" s="2"/>
      <c r="H3726" s="2"/>
      <c r="J3726" s="18" t="s">
        <v>2473</v>
      </c>
      <c r="K3726" s="18" t="s">
        <v>2473</v>
      </c>
      <c r="L3726" s="18" t="s">
        <v>2335</v>
      </c>
      <c r="AU3726" s="6"/>
      <c r="AV3726" s="6" t="str">
        <f t="shared" si="78"/>
        <v/>
      </c>
    </row>
    <row r="3727" spans="1:48" x14ac:dyDescent="0.45">
      <c r="A3727" s="33" t="s">
        <v>4401</v>
      </c>
      <c r="J3727" s="18" t="s">
        <v>2473</v>
      </c>
      <c r="K3727" s="18" t="s">
        <v>2473</v>
      </c>
      <c r="L3727" s="18" t="s">
        <v>2335</v>
      </c>
      <c r="AU3727" s="6"/>
      <c r="AV3727" s="6" t="str">
        <f t="shared" si="78"/>
        <v/>
      </c>
    </row>
    <row r="3728" spans="1:48" x14ac:dyDescent="0.45">
      <c r="A3728" s="34" t="s">
        <v>4487</v>
      </c>
      <c r="J3728" s="18" t="s">
        <v>2473</v>
      </c>
      <c r="K3728" s="18" t="s">
        <v>2473</v>
      </c>
      <c r="L3728" s="18" t="s">
        <v>2335</v>
      </c>
      <c r="AU3728" s="6"/>
      <c r="AV3728" s="6" t="str">
        <f t="shared" si="78"/>
        <v/>
      </c>
    </row>
    <row r="3729" spans="1:48" s="79" customFormat="1" ht="14.65" thickBot="1" x14ac:dyDescent="0.5">
      <c r="A3729" s="75"/>
      <c r="B3729" s="76"/>
      <c r="C3729" s="77"/>
      <c r="D3729" s="77"/>
      <c r="E3729" s="77"/>
      <c r="F3729" s="77"/>
      <c r="G3729" s="77"/>
      <c r="H3729" s="77"/>
      <c r="I3729" s="77"/>
      <c r="J3729" s="77"/>
      <c r="K3729" s="77"/>
      <c r="L3729" s="77"/>
      <c r="M3729" s="148"/>
      <c r="N3729" s="78"/>
      <c r="O3729" s="78"/>
      <c r="P3729" s="78"/>
      <c r="Q3729" s="78"/>
      <c r="R3729" s="78"/>
      <c r="S3729" s="78"/>
      <c r="T3729" s="78"/>
      <c r="U3729" s="78"/>
      <c r="V3729" s="78"/>
      <c r="W3729" s="78"/>
      <c r="X3729" s="78"/>
      <c r="Y3729" s="148"/>
      <c r="Z3729" s="78"/>
      <c r="AA3729" s="78"/>
      <c r="AB3729" s="78"/>
      <c r="AC3729" s="78"/>
      <c r="AD3729" s="78"/>
      <c r="AE3729" s="156"/>
      <c r="AF3729" s="156"/>
      <c r="AG3729" s="78"/>
      <c r="AH3729" s="78"/>
      <c r="AI3729" s="78"/>
      <c r="AJ3729" s="78"/>
      <c r="AK3729" s="78"/>
      <c r="AL3729" s="78"/>
      <c r="AM3729" s="78"/>
      <c r="AN3729" s="78"/>
      <c r="AO3729" s="78"/>
      <c r="AP3729" s="78"/>
      <c r="AQ3729" s="78"/>
      <c r="AR3729" s="286"/>
      <c r="AS3729" s="78"/>
      <c r="AT3729" s="78"/>
      <c r="AU3729" s="8"/>
      <c r="AV3729" s="6" t="str">
        <f t="shared" si="78"/>
        <v/>
      </c>
    </row>
    <row r="3730" spans="1:48" ht="14.65" thickBot="1" x14ac:dyDescent="0.5">
      <c r="A3730" s="39" t="s">
        <v>2634</v>
      </c>
      <c r="J3730" s="18" t="s">
        <v>2473</v>
      </c>
      <c r="K3730" s="18" t="s">
        <v>2473</v>
      </c>
      <c r="R3730" s="111" t="s">
        <v>3426</v>
      </c>
      <c r="S3730" s="349" t="s">
        <v>823</v>
      </c>
      <c r="T3730" s="350"/>
      <c r="U3730" s="350"/>
      <c r="V3730" s="350"/>
      <c r="W3730" s="350"/>
      <c r="X3730" s="351"/>
      <c r="Y3730" s="118"/>
      <c r="Z3730" s="185"/>
      <c r="AA3730" s="185"/>
      <c r="AB3730" s="185"/>
      <c r="AC3730" s="185"/>
      <c r="AD3730" s="185"/>
      <c r="AE3730" s="186"/>
      <c r="AF3730" s="186"/>
      <c r="AG3730" s="185"/>
      <c r="AH3730" s="185"/>
      <c r="AI3730" s="185"/>
      <c r="AJ3730" s="185"/>
      <c r="AK3730" s="185"/>
      <c r="AL3730" s="185"/>
      <c r="AM3730" s="185"/>
      <c r="AN3730" s="117"/>
      <c r="AO3730" s="117"/>
      <c r="AP3730" s="117"/>
      <c r="AQ3730" s="117"/>
      <c r="AR3730" s="287"/>
      <c r="AS3730" s="258"/>
      <c r="AT3730" s="185"/>
      <c r="AV3730" s="6" t="str">
        <f t="shared" si="78"/>
        <v/>
      </c>
    </row>
    <row r="3731" spans="1:48" ht="23.65" thickBot="1" x14ac:dyDescent="0.5">
      <c r="A3731" s="40" t="s">
        <v>4025</v>
      </c>
      <c r="J3731" s="18" t="s">
        <v>2473</v>
      </c>
      <c r="K3731" s="18" t="s">
        <v>2473</v>
      </c>
      <c r="R3731" s="122" t="s">
        <v>3427</v>
      </c>
      <c r="S3731" s="352" t="s">
        <v>3449</v>
      </c>
      <c r="T3731" s="353"/>
      <c r="U3731" s="353"/>
      <c r="V3731" s="353"/>
      <c r="W3731" s="353"/>
      <c r="X3731" s="354"/>
      <c r="Y3731" s="149"/>
      <c r="Z3731" s="183" t="s">
        <v>4347</v>
      </c>
      <c r="AA3731" s="183" t="s">
        <v>2322</v>
      </c>
      <c r="AB3731" s="183" t="s">
        <v>1697</v>
      </c>
      <c r="AC3731" s="183" t="s">
        <v>5</v>
      </c>
      <c r="AD3731" s="183" t="s">
        <v>4339</v>
      </c>
      <c r="AE3731" s="184" t="s">
        <v>4338</v>
      </c>
      <c r="AF3731" s="184" t="s">
        <v>4350</v>
      </c>
      <c r="AG3731" s="183" t="s">
        <v>1695</v>
      </c>
      <c r="AH3731" s="183" t="s">
        <v>4351</v>
      </c>
      <c r="AI3731" s="183" t="s">
        <v>4455</v>
      </c>
      <c r="AJ3731" s="183" t="s">
        <v>5051</v>
      </c>
      <c r="AK3731" s="183"/>
      <c r="AL3731" s="183"/>
      <c r="AM3731" s="183"/>
      <c r="AN3731" s="131"/>
      <c r="AO3731" s="131"/>
      <c r="AP3731" s="131"/>
      <c r="AQ3731" s="131"/>
      <c r="AR3731" s="288"/>
      <c r="AS3731" s="259"/>
      <c r="AT3731" s="183"/>
      <c r="AV3731" s="6" t="str">
        <f t="shared" si="78"/>
        <v/>
      </c>
    </row>
    <row r="3732" spans="1:48" ht="128.25" thickBot="1" x14ac:dyDescent="0.5">
      <c r="A3732" s="315" t="s">
        <v>4380</v>
      </c>
      <c r="B3732" s="316"/>
      <c r="C3732" s="301" t="s">
        <v>1</v>
      </c>
      <c r="D3732" s="319"/>
      <c r="E3732" s="319"/>
      <c r="F3732" s="302"/>
      <c r="G3732" s="102"/>
      <c r="H3732" s="102"/>
      <c r="J3732" s="18" t="s">
        <v>2473</v>
      </c>
      <c r="K3732" s="18" t="s">
        <v>2473</v>
      </c>
      <c r="R3732" s="122" t="s">
        <v>3428</v>
      </c>
      <c r="S3732" s="352" t="b">
        <v>0</v>
      </c>
      <c r="T3732" s="353"/>
      <c r="U3732" s="353"/>
      <c r="V3732" s="353"/>
      <c r="W3732" s="353"/>
      <c r="X3732" s="354"/>
      <c r="Y3732" s="149"/>
      <c r="Z3732" s="183" t="s">
        <v>2322</v>
      </c>
      <c r="AA3732" s="183" t="str">
        <f>LEFT($A3732,FIND(" ",$A3732)-1)</f>
        <v>RemoteLoggingAgent</v>
      </c>
      <c r="AB3732" s="183" t="str">
        <f>MID($A3732,FIND("(",$A3732)+1,LEN($A3732)-FIND("(",$A3732)-1)</f>
        <v>1.0.0</v>
      </c>
      <c r="AC3732" s="101" t="str">
        <f>A3731</f>
        <v>Resource to expose remote logging capabilities supported by the platform; for example, syslog, logstash, fluentd, etc.</v>
      </c>
      <c r="AD3732" s="101" t="s">
        <v>4749</v>
      </c>
      <c r="AE3732" s="188" t="s">
        <v>4488</v>
      </c>
      <c r="AF3732" s="184" t="s">
        <v>4352</v>
      </c>
      <c r="AG3732" s="183" t="s">
        <v>4357</v>
      </c>
      <c r="AH3732" s="183" t="s">
        <v>4352</v>
      </c>
      <c r="AI3732" s="183" t="s">
        <v>5248</v>
      </c>
      <c r="AJ3732" s="183"/>
      <c r="AK3732" s="183"/>
      <c r="AL3732" s="183"/>
      <c r="AM3732" s="183"/>
      <c r="AN3732" s="131"/>
      <c r="AO3732" s="131"/>
      <c r="AP3732" s="131"/>
      <c r="AQ3732" s="131"/>
      <c r="AR3732" s="288"/>
      <c r="AS3732" s="259"/>
      <c r="AT3732" s="183"/>
      <c r="AU3732" s="202" t="s">
        <v>5281</v>
      </c>
      <c r="AV3732" s="6" t="str">
        <f t="shared" si="78"/>
        <v/>
      </c>
    </row>
    <row r="3733" spans="1:48" ht="24.4" thickBot="1" x14ac:dyDescent="0.5">
      <c r="A3733" s="317"/>
      <c r="B3733" s="318"/>
      <c r="C3733" s="301" t="s">
        <v>2</v>
      </c>
      <c r="D3733" s="302"/>
      <c r="E3733" s="301" t="s">
        <v>3</v>
      </c>
      <c r="F3733" s="302"/>
      <c r="G3733" s="301" t="s">
        <v>2896</v>
      </c>
      <c r="H3733" s="302"/>
      <c r="J3733" s="18" t="s">
        <v>2473</v>
      </c>
      <c r="K3733" s="18" t="s">
        <v>2473</v>
      </c>
      <c r="R3733" s="115"/>
      <c r="S3733" s="115"/>
      <c r="T3733" s="115"/>
      <c r="U3733" s="115"/>
      <c r="V3733" s="115"/>
      <c r="W3733" s="115"/>
      <c r="X3733" s="116"/>
      <c r="Y3733" s="149"/>
      <c r="Z3733" s="183"/>
      <c r="AA3733" s="183"/>
      <c r="AB3733" s="183"/>
      <c r="AC3733" s="183"/>
      <c r="AD3733" s="183"/>
      <c r="AE3733" s="184"/>
      <c r="AF3733" s="184"/>
      <c r="AG3733" s="183"/>
      <c r="AH3733" s="183"/>
      <c r="AI3733" s="183"/>
      <c r="AJ3733" s="183"/>
      <c r="AK3733" s="183"/>
      <c r="AL3733" s="183"/>
      <c r="AM3733" s="8" t="str">
        <f>C3733</f>
        <v>OSM-Redfish</v>
      </c>
      <c r="AN3733" s="8" t="str">
        <f>E3733</f>
        <v>OSM-RedfishBMC</v>
      </c>
      <c r="AO3733" s="8" t="str">
        <f>G3733</f>
        <v>OSM-RedfishDCN</v>
      </c>
      <c r="AP3733" s="131"/>
      <c r="AQ3733" s="131"/>
      <c r="AR3733" s="288"/>
      <c r="AS3733" s="259"/>
      <c r="AT3733" s="183"/>
      <c r="AV3733" s="6" t="str">
        <f t="shared" si="78"/>
        <v/>
      </c>
    </row>
    <row r="3734" spans="1:48" ht="35.25" thickBot="1" x14ac:dyDescent="0.5">
      <c r="A3734" s="46" t="s">
        <v>2377</v>
      </c>
      <c r="B3734" s="47"/>
      <c r="C3734" s="303"/>
      <c r="D3734" s="304"/>
      <c r="E3734" s="303"/>
      <c r="F3734" s="304"/>
      <c r="G3734" s="303" t="s">
        <v>13</v>
      </c>
      <c r="H3734" s="304"/>
      <c r="J3734" s="18" t="s">
        <v>2473</v>
      </c>
      <c r="K3734" s="18" t="s">
        <v>2473</v>
      </c>
      <c r="R3734" s="129"/>
      <c r="S3734" s="117"/>
      <c r="T3734" s="117"/>
      <c r="U3734" s="117"/>
      <c r="V3734" s="117"/>
      <c r="W3734" s="117"/>
      <c r="X3734" s="118"/>
      <c r="Y3734" s="118"/>
      <c r="Z3734" s="185"/>
      <c r="AA3734" s="185"/>
      <c r="AB3734" s="185"/>
      <c r="AC3734" s="185"/>
      <c r="AD3734" s="185"/>
      <c r="AE3734" s="186"/>
      <c r="AF3734" s="186"/>
      <c r="AG3734" s="185"/>
      <c r="AH3734" s="185"/>
      <c r="AI3734" s="185"/>
      <c r="AJ3734" s="185"/>
      <c r="AK3734" s="185"/>
      <c r="AL3734" s="185"/>
      <c r="AM3734" s="8" t="str">
        <f>IF(C3734&lt;&gt;"","CRQ-P5-"&amp;(AM$2+$AP3734*$AP$3),"")</f>
        <v/>
      </c>
      <c r="AN3734" s="8" t="str">
        <f>IF(E3734&lt;&gt;"","CRQ-P5-"&amp;(AN$2+$AP3734*$AP$3),"")</f>
        <v/>
      </c>
      <c r="AO3734" s="8" t="str">
        <f>IF(G3734&lt;&gt;"","CRQ-P5-"&amp;(AO$2+$AP3734*$AP$3),"")</f>
        <v>CRQ-P5-1796</v>
      </c>
      <c r="AP3734" s="117">
        <v>49</v>
      </c>
      <c r="AQ3734" s="117"/>
      <c r="AR3734" s="287"/>
      <c r="AS3734" s="258"/>
      <c r="AT3734" s="183" t="s">
        <v>5313</v>
      </c>
      <c r="AU3734" s="6"/>
      <c r="AV3734" s="6" t="str">
        <f t="shared" si="78"/>
        <v/>
      </c>
    </row>
    <row r="3735" spans="1:48" ht="14.65" thickBot="1" x14ac:dyDescent="0.5">
      <c r="A3735" s="29" t="s">
        <v>3394</v>
      </c>
      <c r="B3735" s="9"/>
      <c r="C3735" s="305"/>
      <c r="D3735" s="306"/>
      <c r="E3735" s="305"/>
      <c r="F3735" s="306"/>
      <c r="G3735" s="305" t="s">
        <v>3395</v>
      </c>
      <c r="H3735" s="306"/>
      <c r="J3735" s="18" t="s">
        <v>2473</v>
      </c>
      <c r="K3735" s="18" t="s">
        <v>2473</v>
      </c>
      <c r="R3735" s="111" t="s">
        <v>3429</v>
      </c>
      <c r="S3735" s="111" t="s">
        <v>3430</v>
      </c>
      <c r="T3735" s="111" t="s">
        <v>3427</v>
      </c>
      <c r="U3735" s="111" t="s">
        <v>3431</v>
      </c>
      <c r="V3735" s="111" t="s">
        <v>3432</v>
      </c>
      <c r="W3735" s="111" t="s">
        <v>3433</v>
      </c>
      <c r="X3735" s="119" t="s">
        <v>3434</v>
      </c>
      <c r="Y3735" s="118" t="s">
        <v>3965</v>
      </c>
      <c r="Z3735" s="185"/>
      <c r="AA3735" s="185"/>
      <c r="AB3735" s="185"/>
      <c r="AC3735" s="185"/>
      <c r="AD3735" s="185"/>
      <c r="AE3735" s="186"/>
      <c r="AF3735" s="186"/>
      <c r="AG3735" s="185"/>
      <c r="AH3735" s="185"/>
      <c r="AI3735" s="185"/>
      <c r="AJ3735" s="185"/>
      <c r="AK3735" s="185"/>
      <c r="AL3735" s="185"/>
      <c r="AM3735" s="185"/>
      <c r="AN3735" s="117"/>
      <c r="AO3735" s="117"/>
      <c r="AP3735" s="117"/>
      <c r="AQ3735" s="117"/>
      <c r="AR3735" s="287"/>
      <c r="AS3735" s="258"/>
      <c r="AT3735" s="185"/>
      <c r="AU3735" s="6"/>
      <c r="AV3735" s="6" t="str">
        <f t="shared" si="78"/>
        <v/>
      </c>
    </row>
    <row r="3736" spans="1:48" ht="15" customHeight="1" thickBot="1" x14ac:dyDescent="0.5">
      <c r="A3736" s="52" t="s">
        <v>4</v>
      </c>
      <c r="B3736" s="53" t="s">
        <v>5</v>
      </c>
      <c r="C3736" s="54" t="s">
        <v>6</v>
      </c>
      <c r="D3736" s="54" t="s">
        <v>7</v>
      </c>
      <c r="E3736" s="54" t="s">
        <v>6</v>
      </c>
      <c r="F3736" s="54" t="s">
        <v>7</v>
      </c>
      <c r="G3736" s="54" t="s">
        <v>6</v>
      </c>
      <c r="H3736" s="54" t="s">
        <v>7</v>
      </c>
      <c r="J3736" s="18" t="s">
        <v>2473</v>
      </c>
      <c r="K3736" s="18" t="s">
        <v>2473</v>
      </c>
      <c r="R3736" s="352" t="s">
        <v>4040</v>
      </c>
      <c r="S3736" s="353"/>
      <c r="T3736" s="353"/>
      <c r="U3736" s="353"/>
      <c r="V3736" s="353"/>
      <c r="W3736" s="353"/>
      <c r="X3736" s="357"/>
      <c r="Y3736" s="149"/>
      <c r="Z3736" s="183" t="s">
        <v>4347</v>
      </c>
      <c r="AA3736" s="183" t="s">
        <v>4343</v>
      </c>
      <c r="AB3736" s="183" t="s">
        <v>4172</v>
      </c>
      <c r="AC3736" s="183" t="s">
        <v>4340</v>
      </c>
      <c r="AD3736" s="183" t="s">
        <v>4339</v>
      </c>
      <c r="AE3736" s="184" t="s">
        <v>4341</v>
      </c>
      <c r="AF3736" s="184" t="s">
        <v>4342</v>
      </c>
      <c r="AG3736" s="183" t="s">
        <v>4353</v>
      </c>
      <c r="AH3736" s="183" t="s">
        <v>3429</v>
      </c>
      <c r="AI3736" s="183" t="s">
        <v>4356</v>
      </c>
      <c r="AJ3736" s="183" t="s">
        <v>4364</v>
      </c>
      <c r="AK3736" s="183" t="s">
        <v>4441</v>
      </c>
      <c r="AL3736" s="183" t="s">
        <v>694</v>
      </c>
      <c r="AM3736" s="183"/>
      <c r="AN3736" s="131"/>
      <c r="AO3736" s="131"/>
      <c r="AP3736" s="131"/>
      <c r="AQ3736" s="131"/>
      <c r="AR3736" s="288"/>
      <c r="AS3736" s="259"/>
      <c r="AT3736" s="183"/>
      <c r="AV3736" s="6" t="str">
        <f t="shared" si="78"/>
        <v/>
      </c>
    </row>
    <row r="3737" spans="1:48" ht="15" thickTop="1" thickBot="1" x14ac:dyDescent="0.5">
      <c r="A3737" s="80" t="s">
        <v>8</v>
      </c>
      <c r="B3737" s="3" t="s">
        <v>9</v>
      </c>
      <c r="C3737" s="55"/>
      <c r="D3737" s="55"/>
      <c r="E3737" s="55"/>
      <c r="F3737" s="55"/>
      <c r="G3737" s="55"/>
      <c r="H3737" s="55"/>
      <c r="J3737" s="18" t="s">
        <v>2473</v>
      </c>
      <c r="K3737" s="18" t="s">
        <v>2473</v>
      </c>
      <c r="L3737" s="18" t="s">
        <v>2336</v>
      </c>
      <c r="Z3737" s="8" t="s">
        <v>4</v>
      </c>
      <c r="AB3737" s="8" t="s">
        <v>4348</v>
      </c>
      <c r="AV3737" s="6" t="str">
        <f t="shared" si="78"/>
        <v/>
      </c>
    </row>
    <row r="3738" spans="1:48" ht="35.65" thickTop="1" thickBot="1" x14ac:dyDescent="0.5">
      <c r="A3738" s="81" t="s">
        <v>2841</v>
      </c>
      <c r="B3738" s="56" t="s">
        <v>5047</v>
      </c>
      <c r="C3738" s="57"/>
      <c r="D3738" s="58"/>
      <c r="E3738" s="57"/>
      <c r="F3738" s="58"/>
      <c r="G3738" s="57" t="s">
        <v>10</v>
      </c>
      <c r="H3738" s="58"/>
      <c r="J3738" s="18" t="s">
        <v>2473</v>
      </c>
      <c r="K3738" s="18" t="s">
        <v>2473</v>
      </c>
      <c r="R3738" s="122" t="s">
        <v>3529</v>
      </c>
      <c r="S3738" s="114" t="s">
        <v>4</v>
      </c>
      <c r="T3738" s="114" t="s">
        <v>2841</v>
      </c>
      <c r="U3738" s="114" t="s">
        <v>3521</v>
      </c>
      <c r="V3738" s="114" t="s">
        <v>3530</v>
      </c>
      <c r="W3738" s="114" t="s">
        <v>3436</v>
      </c>
      <c r="X3738" s="114" t="s">
        <v>13</v>
      </c>
      <c r="Y3738" s="149"/>
      <c r="Z3738" s="183" t="s">
        <v>4</v>
      </c>
      <c r="AA3738" s="183"/>
      <c r="AB3738" s="183" t="s">
        <v>758</v>
      </c>
      <c r="AC3738" s="183" t="s">
        <v>6</v>
      </c>
      <c r="AD3738" s="183" t="s">
        <v>4837</v>
      </c>
      <c r="AE3738" s="184"/>
      <c r="AF3738" s="184"/>
      <c r="AG3738" s="183"/>
      <c r="AH3738" s="183"/>
      <c r="AI3738" s="183"/>
      <c r="AJ3738" s="183"/>
      <c r="AK3738" s="183"/>
      <c r="AL3738" s="183"/>
      <c r="AM3738" s="183"/>
      <c r="AN3738" s="131"/>
      <c r="AO3738" s="131"/>
      <c r="AP3738" s="131"/>
      <c r="AQ3738" s="131"/>
      <c r="AR3738" s="288"/>
      <c r="AS3738" s="259"/>
      <c r="AT3738" s="183"/>
      <c r="AU3738" s="202" t="s">
        <v>5048</v>
      </c>
      <c r="AV3738" s="6" t="str">
        <f t="shared" si="78"/>
        <v>OK</v>
      </c>
    </row>
    <row r="3739" spans="1:48" ht="186.75" thickTop="1" thickBot="1" x14ac:dyDescent="0.5">
      <c r="A3739" s="81" t="s">
        <v>2842</v>
      </c>
      <c r="B3739" s="56" t="s">
        <v>5053</v>
      </c>
      <c r="C3739" s="57"/>
      <c r="D3739" s="58"/>
      <c r="E3739" s="57"/>
      <c r="F3739" s="58"/>
      <c r="G3739" s="57" t="s">
        <v>10</v>
      </c>
      <c r="H3739" s="58"/>
      <c r="J3739" s="18" t="s">
        <v>2473</v>
      </c>
      <c r="K3739" s="18" t="s">
        <v>2473</v>
      </c>
      <c r="R3739" s="122" t="s">
        <v>3529</v>
      </c>
      <c r="S3739" s="114" t="s">
        <v>4</v>
      </c>
      <c r="T3739" s="114" t="s">
        <v>2842</v>
      </c>
      <c r="U3739" s="114" t="s">
        <v>3521</v>
      </c>
      <c r="V3739" s="114" t="s">
        <v>3530</v>
      </c>
      <c r="W3739" s="114" t="s">
        <v>3436</v>
      </c>
      <c r="X3739" s="114" t="s">
        <v>13</v>
      </c>
      <c r="Y3739" s="149"/>
      <c r="Z3739" s="183" t="s">
        <v>4</v>
      </c>
      <c r="AA3739" s="183"/>
      <c r="AB3739" s="183" t="s">
        <v>758</v>
      </c>
      <c r="AC3739" s="183" t="s">
        <v>6</v>
      </c>
      <c r="AD3739" s="183" t="s">
        <v>4838</v>
      </c>
      <c r="AE3739" s="184"/>
      <c r="AF3739" s="184"/>
      <c r="AG3739" s="183"/>
      <c r="AH3739" s="183"/>
      <c r="AI3739" s="183"/>
      <c r="AJ3739" s="183"/>
      <c r="AK3739" s="183"/>
      <c r="AL3739" s="183"/>
      <c r="AM3739" s="183"/>
      <c r="AN3739" s="131"/>
      <c r="AO3739" s="131"/>
      <c r="AP3739" s="131"/>
      <c r="AQ3739" s="131"/>
      <c r="AR3739" s="288"/>
      <c r="AS3739" s="259"/>
      <c r="AT3739" s="183"/>
      <c r="AU3739" s="202" t="s">
        <v>5049</v>
      </c>
      <c r="AV3739" s="6" t="str">
        <f t="shared" si="78"/>
        <v>OK</v>
      </c>
    </row>
    <row r="3740" spans="1:48" ht="117" thickTop="1" thickBot="1" x14ac:dyDescent="0.5">
      <c r="A3740" s="81" t="s">
        <v>2838</v>
      </c>
      <c r="B3740" s="56" t="s">
        <v>3676</v>
      </c>
      <c r="C3740" s="57"/>
      <c r="D3740" s="58"/>
      <c r="E3740" s="57"/>
      <c r="F3740" s="58"/>
      <c r="G3740" s="57" t="s">
        <v>10</v>
      </c>
      <c r="H3740" s="58" t="s">
        <v>10</v>
      </c>
      <c r="J3740" s="18" t="s">
        <v>2473</v>
      </c>
      <c r="K3740" s="18" t="s">
        <v>2473</v>
      </c>
      <c r="R3740" s="122" t="s">
        <v>3529</v>
      </c>
      <c r="S3740" s="114" t="s">
        <v>4</v>
      </c>
      <c r="T3740" s="114" t="s">
        <v>2838</v>
      </c>
      <c r="U3740" s="114" t="s">
        <v>3521</v>
      </c>
      <c r="V3740" s="114" t="s">
        <v>3530</v>
      </c>
      <c r="W3740" s="114" t="s">
        <v>3436</v>
      </c>
      <c r="X3740" s="114" t="s">
        <v>13</v>
      </c>
      <c r="Y3740" s="149"/>
      <c r="Z3740" s="183" t="s">
        <v>4</v>
      </c>
      <c r="AA3740" s="183"/>
      <c r="AB3740" s="183" t="s">
        <v>758</v>
      </c>
      <c r="AC3740" s="183" t="s">
        <v>4346</v>
      </c>
      <c r="AD3740" s="183" t="s">
        <v>5011</v>
      </c>
      <c r="AE3740" s="184"/>
      <c r="AF3740" s="184"/>
      <c r="AG3740" s="183"/>
      <c r="AH3740" s="183"/>
      <c r="AI3740" s="183"/>
      <c r="AJ3740" s="183"/>
      <c r="AK3740" s="183"/>
      <c r="AL3740" s="183"/>
      <c r="AM3740" s="183"/>
      <c r="AN3740" s="131"/>
      <c r="AO3740" s="131"/>
      <c r="AP3740" s="131"/>
      <c r="AQ3740" s="131"/>
      <c r="AR3740" s="288"/>
      <c r="AS3740" s="259"/>
      <c r="AT3740" s="183"/>
      <c r="AV3740" s="6" t="str">
        <f t="shared" si="78"/>
        <v>OK</v>
      </c>
    </row>
    <row r="3741" spans="1:48" ht="47.25" thickTop="1" thickBot="1" x14ac:dyDescent="0.5">
      <c r="A3741" s="81" t="s">
        <v>577</v>
      </c>
      <c r="B3741" s="56" t="s">
        <v>3674</v>
      </c>
      <c r="C3741" s="57"/>
      <c r="D3741" s="58"/>
      <c r="E3741" s="57"/>
      <c r="F3741" s="58"/>
      <c r="G3741" s="57" t="s">
        <v>10</v>
      </c>
      <c r="H3741" s="58" t="s">
        <v>10</v>
      </c>
      <c r="J3741" s="18" t="s">
        <v>2473</v>
      </c>
      <c r="K3741" s="18" t="s">
        <v>2473</v>
      </c>
      <c r="R3741" s="122" t="s">
        <v>3529</v>
      </c>
      <c r="S3741" s="114" t="s">
        <v>4</v>
      </c>
      <c r="T3741" s="114" t="s">
        <v>577</v>
      </c>
      <c r="U3741" s="114" t="s">
        <v>3526</v>
      </c>
      <c r="V3741" s="114" t="s">
        <v>3530</v>
      </c>
      <c r="W3741" s="114" t="s">
        <v>3436</v>
      </c>
      <c r="X3741" s="114" t="s">
        <v>13</v>
      </c>
      <c r="Y3741" s="149"/>
      <c r="Z3741" s="183" t="s">
        <v>4</v>
      </c>
      <c r="AA3741" s="183"/>
      <c r="AB3741" s="183" t="s">
        <v>4344</v>
      </c>
      <c r="AC3741" s="183" t="s">
        <v>4346</v>
      </c>
      <c r="AD3741" s="183" t="s">
        <v>4835</v>
      </c>
      <c r="AE3741" s="184"/>
      <c r="AF3741" s="184"/>
      <c r="AG3741" s="183"/>
      <c r="AH3741" s="183"/>
      <c r="AI3741" s="183"/>
      <c r="AJ3741" s="183"/>
      <c r="AK3741" s="183"/>
      <c r="AL3741" s="183"/>
      <c r="AM3741" s="183"/>
      <c r="AN3741" s="131"/>
      <c r="AO3741" s="131"/>
      <c r="AP3741" s="131"/>
      <c r="AQ3741" s="131"/>
      <c r="AR3741" s="288"/>
      <c r="AS3741" s="259"/>
      <c r="AT3741" s="183"/>
      <c r="AV3741" s="6" t="str">
        <f t="shared" si="78"/>
        <v>OK</v>
      </c>
    </row>
    <row r="3742" spans="1:48" ht="105.4" thickTop="1" thickBot="1" x14ac:dyDescent="0.5">
      <c r="A3742" s="81" t="s">
        <v>145</v>
      </c>
      <c r="B3742" s="56" t="s">
        <v>3807</v>
      </c>
      <c r="C3742" s="57"/>
      <c r="D3742" s="58"/>
      <c r="E3742" s="57"/>
      <c r="F3742" s="58"/>
      <c r="G3742" s="57" t="s">
        <v>10</v>
      </c>
      <c r="H3742" s="58"/>
      <c r="J3742" s="18" t="s">
        <v>2473</v>
      </c>
      <c r="K3742" s="18" t="s">
        <v>2473</v>
      </c>
      <c r="R3742" s="122" t="s">
        <v>3435</v>
      </c>
      <c r="S3742" s="114" t="s">
        <v>3437</v>
      </c>
      <c r="T3742" s="114" t="s">
        <v>145</v>
      </c>
      <c r="U3742" s="114"/>
      <c r="V3742" s="114" t="s">
        <v>3441</v>
      </c>
      <c r="W3742" s="114" t="s">
        <v>3436</v>
      </c>
      <c r="X3742" s="114" t="s">
        <v>13</v>
      </c>
      <c r="Y3742" s="149"/>
      <c r="Z3742" s="183" t="s">
        <v>4</v>
      </c>
      <c r="AA3742" s="183"/>
      <c r="AB3742" s="183" t="s">
        <v>4348</v>
      </c>
      <c r="AC3742" s="183" t="s">
        <v>6</v>
      </c>
      <c r="AD3742" s="183" t="s">
        <v>4770</v>
      </c>
      <c r="AE3742" s="184"/>
      <c r="AF3742" s="184"/>
      <c r="AG3742" s="183"/>
      <c r="AH3742" s="183"/>
      <c r="AI3742" s="183"/>
      <c r="AJ3742" s="183"/>
      <c r="AK3742" s="183"/>
      <c r="AL3742" s="183"/>
      <c r="AM3742" s="183"/>
      <c r="AN3742" s="131"/>
      <c r="AO3742" s="131"/>
      <c r="AP3742" s="131"/>
      <c r="AQ3742" s="131"/>
      <c r="AR3742" s="288"/>
      <c r="AS3742" s="266" t="s">
        <v>5861</v>
      </c>
      <c r="AT3742" s="183"/>
      <c r="AU3742" s="8"/>
      <c r="AV3742" s="6" t="str">
        <f t="shared" si="78"/>
        <v>OK</v>
      </c>
    </row>
    <row r="3743" spans="1:48" ht="48" thickTop="1" thickBot="1" x14ac:dyDescent="0.5">
      <c r="A3743" s="35" t="s">
        <v>5361</v>
      </c>
      <c r="B3743" s="3" t="s">
        <v>5352</v>
      </c>
      <c r="C3743" s="57"/>
      <c r="D3743" s="58"/>
      <c r="E3743" s="57"/>
      <c r="F3743" s="58"/>
      <c r="G3743" s="4" t="s">
        <v>10</v>
      </c>
      <c r="H3743" s="4"/>
      <c r="J3743" s="18" t="s">
        <v>2473</v>
      </c>
      <c r="K3743" s="18" t="s">
        <v>2473</v>
      </c>
      <c r="Q3743" s="131"/>
      <c r="R3743" s="131"/>
      <c r="S3743" s="131"/>
      <c r="T3743" s="131"/>
      <c r="U3743" s="131"/>
      <c r="V3743" s="131"/>
      <c r="W3743" s="131"/>
      <c r="X3743" s="131"/>
      <c r="AS3743" s="139" t="s">
        <v>5355</v>
      </c>
      <c r="AU3743" s="6"/>
      <c r="AV3743" s="6"/>
    </row>
    <row r="3744" spans="1:48" ht="82.5" thickBot="1" x14ac:dyDescent="0.5">
      <c r="A3744" s="35" t="s">
        <v>5360</v>
      </c>
      <c r="B3744" s="3" t="s">
        <v>5353</v>
      </c>
      <c r="C3744" s="4"/>
      <c r="D3744" s="4"/>
      <c r="E3744" s="4"/>
      <c r="F3744" s="4"/>
      <c r="G3744" s="4"/>
      <c r="H3744" s="4"/>
      <c r="J3744" s="18" t="s">
        <v>2473</v>
      </c>
      <c r="K3744" s="18" t="s">
        <v>2473</v>
      </c>
      <c r="Q3744" s="131"/>
      <c r="R3744" s="131"/>
      <c r="S3744" s="131"/>
      <c r="T3744" s="131"/>
      <c r="U3744" s="131"/>
      <c r="V3744" s="131"/>
      <c r="W3744" s="131"/>
      <c r="X3744" s="131"/>
      <c r="AS3744" s="139" t="s">
        <v>5356</v>
      </c>
      <c r="AU3744" s="6"/>
      <c r="AV3744" s="6"/>
    </row>
    <row r="3745" spans="1:48" x14ac:dyDescent="0.45">
      <c r="A3745" s="33" t="s">
        <v>2635</v>
      </c>
      <c r="J3745" s="18" t="s">
        <v>2473</v>
      </c>
      <c r="K3745" s="18" t="s">
        <v>2473</v>
      </c>
      <c r="AU3745" s="8"/>
      <c r="AV3745" s="6" t="str">
        <f t="shared" si="78"/>
        <v/>
      </c>
    </row>
    <row r="3746" spans="1:48" x14ac:dyDescent="0.45">
      <c r="A3746" s="34" t="s">
        <v>4488</v>
      </c>
      <c r="J3746" s="18" t="s">
        <v>2473</v>
      </c>
      <c r="K3746" s="18" t="s">
        <v>2473</v>
      </c>
      <c r="AC3746" s="8" t="s">
        <v>4362</v>
      </c>
      <c r="AU3746" s="8"/>
      <c r="AV3746" s="6" t="str">
        <f t="shared" si="78"/>
        <v/>
      </c>
    </row>
    <row r="3747" spans="1:48" s="79" customFormat="1" x14ac:dyDescent="0.45">
      <c r="A3747" s="75"/>
      <c r="B3747" s="76"/>
      <c r="C3747" s="77"/>
      <c r="D3747" s="77"/>
      <c r="E3747" s="77"/>
      <c r="F3747" s="77"/>
      <c r="G3747" s="77"/>
      <c r="H3747" s="77"/>
      <c r="I3747" s="77"/>
      <c r="J3747" s="77"/>
      <c r="K3747" s="77"/>
      <c r="L3747" s="77"/>
      <c r="M3747" s="148"/>
      <c r="N3747" s="78"/>
      <c r="O3747" s="78"/>
      <c r="P3747" s="78"/>
      <c r="Q3747" s="78"/>
      <c r="R3747" s="78"/>
      <c r="S3747" s="78"/>
      <c r="T3747" s="78"/>
      <c r="U3747" s="78"/>
      <c r="V3747" s="78"/>
      <c r="W3747" s="78"/>
      <c r="X3747" s="78"/>
      <c r="Y3747" s="148"/>
      <c r="Z3747" s="78"/>
      <c r="AA3747" s="78"/>
      <c r="AB3747" s="78"/>
      <c r="AC3747" s="78"/>
      <c r="AD3747" s="78"/>
      <c r="AE3747" s="156"/>
      <c r="AF3747" s="156"/>
      <c r="AG3747" s="78"/>
      <c r="AH3747" s="78"/>
      <c r="AI3747" s="78"/>
      <c r="AJ3747" s="78"/>
      <c r="AK3747" s="78"/>
      <c r="AL3747" s="78"/>
      <c r="AM3747" s="78"/>
      <c r="AN3747" s="78"/>
      <c r="AO3747" s="78"/>
      <c r="AP3747" s="78"/>
      <c r="AQ3747" s="78"/>
      <c r="AR3747" s="286"/>
      <c r="AS3747" s="78"/>
      <c r="AT3747" s="78"/>
      <c r="AU3747" s="8"/>
      <c r="AV3747" s="6" t="str">
        <f t="shared" si="78"/>
        <v/>
      </c>
    </row>
    <row r="3748" spans="1:48" x14ac:dyDescent="0.45">
      <c r="A3748" s="27" t="s">
        <v>4402</v>
      </c>
      <c r="J3748" s="18" t="s">
        <v>2473</v>
      </c>
      <c r="K3748" s="18" t="s">
        <v>2473</v>
      </c>
      <c r="L3748" s="18" t="s">
        <v>2335</v>
      </c>
      <c r="AU3748" s="6"/>
      <c r="AV3748" s="6" t="str">
        <f t="shared" ref="AV3748:AV3758" si="79">IF(A3748&lt;&gt;"",IF(T3748&lt;&gt;"",IF(LEFT(R3748,3)="Has",IF(TRIM(A3748)&lt;&gt;T3748,"ERROR","OK"),""),""),"")</f>
        <v/>
      </c>
    </row>
    <row r="3749" spans="1:48" ht="23.65" thickBot="1" x14ac:dyDescent="0.5">
      <c r="A3749" s="323" t="s">
        <v>5070</v>
      </c>
      <c r="B3749" s="324"/>
      <c r="C3749" s="324"/>
      <c r="D3749" s="324"/>
      <c r="E3749" s="324"/>
      <c r="F3749" s="324"/>
      <c r="G3749" s="101"/>
      <c r="H3749" s="101"/>
      <c r="J3749" s="18" t="s">
        <v>2473</v>
      </c>
      <c r="K3749" s="18" t="s">
        <v>2473</v>
      </c>
      <c r="L3749" s="18" t="s">
        <v>2335</v>
      </c>
      <c r="Z3749" s="183" t="s">
        <v>4347</v>
      </c>
      <c r="AA3749" s="183" t="s">
        <v>2322</v>
      </c>
      <c r="AB3749" s="183" t="s">
        <v>1697</v>
      </c>
      <c r="AC3749" s="183" t="s">
        <v>5</v>
      </c>
      <c r="AD3749" s="183" t="s">
        <v>4339</v>
      </c>
      <c r="AE3749" s="184" t="s">
        <v>4338</v>
      </c>
      <c r="AF3749" s="184" t="s">
        <v>4350</v>
      </c>
      <c r="AG3749" s="183" t="s">
        <v>1695</v>
      </c>
      <c r="AH3749" s="183" t="s">
        <v>4351</v>
      </c>
      <c r="AI3749" s="183" t="s">
        <v>4455</v>
      </c>
      <c r="AJ3749" s="183" t="s">
        <v>5051</v>
      </c>
      <c r="AU3749" s="6"/>
      <c r="AV3749" s="6" t="str">
        <f t="shared" si="79"/>
        <v/>
      </c>
    </row>
    <row r="3750" spans="1:48" ht="93.4" thickBot="1" x14ac:dyDescent="0.5">
      <c r="A3750" s="309" t="s">
        <v>4403</v>
      </c>
      <c r="B3750" s="310"/>
      <c r="C3750" s="301" t="s">
        <v>1</v>
      </c>
      <c r="D3750" s="319"/>
      <c r="E3750" s="319"/>
      <c r="F3750" s="302"/>
      <c r="G3750" s="102"/>
      <c r="H3750" s="102"/>
      <c r="J3750" s="18" t="s">
        <v>2473</v>
      </c>
      <c r="K3750" s="18" t="s">
        <v>2473</v>
      </c>
      <c r="L3750" s="18" t="s">
        <v>2335</v>
      </c>
      <c r="Z3750" s="183" t="s">
        <v>4387</v>
      </c>
      <c r="AA3750" s="183" t="str">
        <f>LEFT($A3750,FIND(" ",$A3750)-1)</f>
        <v>ApplicationCollection</v>
      </c>
      <c r="AB3750" s="183" t="str">
        <f>MID($A3750,FIND("(",$A3750)+1,LEN($A3750)-FIND("(",$A3750)-1)</f>
        <v>1.0.0</v>
      </c>
      <c r="AC3750" s="101" t="str">
        <f>A3749</f>
        <v>An ApplicationCollection is a collection of Application Resources running on a node.</v>
      </c>
      <c r="AD3750" s="101" t="s">
        <v>5012</v>
      </c>
      <c r="AE3750" s="188" t="s">
        <v>4489</v>
      </c>
      <c r="AF3750" s="184" t="s">
        <v>4352</v>
      </c>
      <c r="AG3750" s="183" t="s">
        <v>4352</v>
      </c>
      <c r="AH3750" s="183" t="s">
        <v>4352</v>
      </c>
      <c r="AI3750" s="183" t="s">
        <v>5248</v>
      </c>
      <c r="AU3750" s="202" t="s">
        <v>5281</v>
      </c>
      <c r="AV3750" s="6" t="str">
        <f t="shared" si="79"/>
        <v/>
      </c>
    </row>
    <row r="3751" spans="1:48" ht="14.65" thickBot="1" x14ac:dyDescent="0.5">
      <c r="A3751" s="311"/>
      <c r="B3751" s="312"/>
      <c r="C3751" s="301" t="s">
        <v>2</v>
      </c>
      <c r="D3751" s="302"/>
      <c r="E3751" s="301" t="s">
        <v>3</v>
      </c>
      <c r="F3751" s="302"/>
      <c r="G3751" s="301" t="s">
        <v>2896</v>
      </c>
      <c r="H3751" s="302"/>
      <c r="J3751" s="18" t="s">
        <v>2473</v>
      </c>
      <c r="K3751" s="18" t="s">
        <v>2473</v>
      </c>
      <c r="L3751" s="18" t="s">
        <v>2335</v>
      </c>
      <c r="AU3751" s="6"/>
      <c r="AV3751" s="6" t="str">
        <f t="shared" si="79"/>
        <v/>
      </c>
    </row>
    <row r="3752" spans="1:48" ht="14.65" thickBot="1" x14ac:dyDescent="0.5">
      <c r="A3752" s="46" t="s">
        <v>2377</v>
      </c>
      <c r="B3752" s="47"/>
      <c r="C3752" s="303"/>
      <c r="D3752" s="304"/>
      <c r="E3752" s="303"/>
      <c r="F3752" s="304"/>
      <c r="G3752" s="303"/>
      <c r="H3752" s="304"/>
      <c r="J3752" s="18" t="s">
        <v>2473</v>
      </c>
      <c r="K3752" s="18" t="s">
        <v>2473</v>
      </c>
      <c r="AU3752" s="6"/>
      <c r="AV3752" s="6" t="str">
        <f t="shared" si="79"/>
        <v/>
      </c>
    </row>
    <row r="3753" spans="1:48" ht="14.65" thickBot="1" x14ac:dyDescent="0.5">
      <c r="A3753" s="30" t="s">
        <v>4</v>
      </c>
      <c r="B3753" s="59" t="s">
        <v>5</v>
      </c>
      <c r="C3753" s="7" t="s">
        <v>6</v>
      </c>
      <c r="D3753" s="7" t="s">
        <v>7</v>
      </c>
      <c r="E3753" s="7" t="s">
        <v>6</v>
      </c>
      <c r="F3753" s="7" t="s">
        <v>7</v>
      </c>
      <c r="G3753" s="7" t="s">
        <v>6</v>
      </c>
      <c r="H3753" s="7" t="s">
        <v>7</v>
      </c>
      <c r="J3753" s="18" t="s">
        <v>2473</v>
      </c>
      <c r="K3753" s="18" t="s">
        <v>2473</v>
      </c>
      <c r="L3753" s="18" t="s">
        <v>2335</v>
      </c>
      <c r="Z3753" s="183" t="s">
        <v>4347</v>
      </c>
      <c r="AA3753" s="183" t="s">
        <v>4343</v>
      </c>
      <c r="AB3753" s="183" t="s">
        <v>4172</v>
      </c>
      <c r="AC3753" s="183" t="s">
        <v>4340</v>
      </c>
      <c r="AD3753" s="183" t="s">
        <v>4339</v>
      </c>
      <c r="AE3753" s="184" t="s">
        <v>4341</v>
      </c>
      <c r="AF3753" s="184" t="s">
        <v>4342</v>
      </c>
      <c r="AG3753" s="183" t="s">
        <v>4353</v>
      </c>
      <c r="AH3753" s="183" t="s">
        <v>3429</v>
      </c>
      <c r="AI3753" s="183" t="s">
        <v>4356</v>
      </c>
      <c r="AJ3753" s="183" t="s">
        <v>4364</v>
      </c>
      <c r="AK3753" s="8" t="s">
        <v>4441</v>
      </c>
      <c r="AL3753" s="8" t="s">
        <v>694</v>
      </c>
      <c r="AU3753" s="6"/>
      <c r="AV3753" s="6" t="str">
        <f t="shared" si="79"/>
        <v/>
      </c>
    </row>
    <row r="3754" spans="1:48" ht="117.4" thickBot="1" x14ac:dyDescent="0.5">
      <c r="A3754" s="36" t="s">
        <v>2792</v>
      </c>
      <c r="B3754" s="3" t="s">
        <v>4404</v>
      </c>
      <c r="C3754" s="4"/>
      <c r="D3754" s="4"/>
      <c r="E3754" s="4"/>
      <c r="F3754" s="4"/>
      <c r="G3754" s="4" t="s">
        <v>10</v>
      </c>
      <c r="H3754" s="4"/>
      <c r="J3754" s="18" t="s">
        <v>2473</v>
      </c>
      <c r="K3754" s="18" t="s">
        <v>2473</v>
      </c>
      <c r="Z3754" s="8" t="s">
        <v>4</v>
      </c>
      <c r="AB3754" s="8" t="s">
        <v>4354</v>
      </c>
      <c r="AC3754" s="183" t="s">
        <v>6</v>
      </c>
      <c r="AD3754" s="183" t="s">
        <v>5292</v>
      </c>
      <c r="AE3754" s="184"/>
      <c r="AF3754" s="184"/>
      <c r="AG3754" s="183" t="s">
        <v>4355</v>
      </c>
      <c r="AH3754" s="183" t="s">
        <v>5278</v>
      </c>
      <c r="AI3754" s="183" t="s">
        <v>4357</v>
      </c>
      <c r="AU3754" s="202" t="s">
        <v>5289</v>
      </c>
      <c r="AV3754" s="6" t="str">
        <f t="shared" si="79"/>
        <v/>
      </c>
    </row>
    <row r="3755" spans="1:48" ht="14.65" thickBot="1" x14ac:dyDescent="0.5">
      <c r="A3755" s="35" t="s">
        <v>33</v>
      </c>
      <c r="B3755" s="3" t="s">
        <v>4405</v>
      </c>
      <c r="C3755" s="2"/>
      <c r="D3755" s="2"/>
      <c r="E3755" s="2"/>
      <c r="F3755" s="2"/>
      <c r="G3755" s="2"/>
      <c r="H3755" s="2"/>
      <c r="J3755" s="18" t="s">
        <v>2473</v>
      </c>
      <c r="K3755" s="18" t="s">
        <v>2473</v>
      </c>
      <c r="L3755" s="18" t="s">
        <v>2335</v>
      </c>
      <c r="AU3755" s="6"/>
      <c r="AV3755" s="6" t="str">
        <f t="shared" si="79"/>
        <v/>
      </c>
    </row>
    <row r="3756" spans="1:48" x14ac:dyDescent="0.45">
      <c r="A3756" s="33" t="s">
        <v>4406</v>
      </c>
      <c r="J3756" s="18" t="s">
        <v>2473</v>
      </c>
      <c r="K3756" s="18" t="s">
        <v>2473</v>
      </c>
      <c r="L3756" s="18" t="s">
        <v>2335</v>
      </c>
      <c r="AU3756" s="6"/>
      <c r="AV3756" s="6" t="str">
        <f t="shared" si="79"/>
        <v/>
      </c>
    </row>
    <row r="3757" spans="1:48" x14ac:dyDescent="0.45">
      <c r="A3757" s="34" t="s">
        <v>4489</v>
      </c>
      <c r="J3757" s="18" t="s">
        <v>2473</v>
      </c>
      <c r="K3757" s="18" t="s">
        <v>2473</v>
      </c>
      <c r="L3757" s="18" t="s">
        <v>2335</v>
      </c>
      <c r="AU3757" s="6"/>
      <c r="AV3757" s="6" t="str">
        <f t="shared" si="79"/>
        <v/>
      </c>
    </row>
    <row r="3758" spans="1:48" s="79" customFormat="1" ht="14.65" thickBot="1" x14ac:dyDescent="0.5">
      <c r="A3758" s="75"/>
      <c r="B3758" s="76"/>
      <c r="C3758" s="77"/>
      <c r="D3758" s="77"/>
      <c r="E3758" s="77"/>
      <c r="F3758" s="77"/>
      <c r="G3758" s="77"/>
      <c r="H3758" s="77"/>
      <c r="I3758" s="77"/>
      <c r="J3758" s="77"/>
      <c r="K3758" s="77"/>
      <c r="L3758" s="77"/>
      <c r="M3758" s="148"/>
      <c r="N3758" s="78"/>
      <c r="O3758" s="78"/>
      <c r="P3758" s="78"/>
      <c r="Q3758" s="78"/>
      <c r="R3758" s="78"/>
      <c r="S3758" s="78"/>
      <c r="T3758" s="78"/>
      <c r="U3758" s="78"/>
      <c r="V3758" s="78"/>
      <c r="W3758" s="78"/>
      <c r="X3758" s="78"/>
      <c r="Y3758" s="148"/>
      <c r="Z3758" s="78"/>
      <c r="AA3758" s="78"/>
      <c r="AB3758" s="78"/>
      <c r="AC3758" s="78"/>
      <c r="AD3758" s="78"/>
      <c r="AE3758" s="156"/>
      <c r="AF3758" s="156"/>
      <c r="AG3758" s="78"/>
      <c r="AH3758" s="78"/>
      <c r="AI3758" s="78"/>
      <c r="AJ3758" s="78"/>
      <c r="AK3758" s="78"/>
      <c r="AL3758" s="78"/>
      <c r="AM3758" s="78"/>
      <c r="AN3758" s="78"/>
      <c r="AO3758" s="78"/>
      <c r="AP3758" s="78"/>
      <c r="AQ3758" s="78"/>
      <c r="AR3758" s="286"/>
      <c r="AS3758" s="78"/>
      <c r="AT3758" s="78"/>
      <c r="AU3758" s="8"/>
      <c r="AV3758" s="6" t="str">
        <f t="shared" si="79"/>
        <v/>
      </c>
    </row>
    <row r="3759" spans="1:48" ht="14.65" thickBot="1" x14ac:dyDescent="0.5">
      <c r="A3759" s="39" t="s">
        <v>2815</v>
      </c>
      <c r="J3759" s="18" t="s">
        <v>2473</v>
      </c>
      <c r="K3759" s="18" t="s">
        <v>2473</v>
      </c>
      <c r="R3759" s="111" t="s">
        <v>3426</v>
      </c>
      <c r="S3759" s="349" t="s">
        <v>823</v>
      </c>
      <c r="T3759" s="350"/>
      <c r="U3759" s="350"/>
      <c r="V3759" s="350"/>
      <c r="W3759" s="350"/>
      <c r="X3759" s="351"/>
      <c r="Y3759" s="118"/>
      <c r="Z3759" s="185"/>
      <c r="AA3759" s="185"/>
      <c r="AB3759" s="185"/>
      <c r="AC3759" s="185"/>
      <c r="AD3759" s="185"/>
      <c r="AE3759" s="186"/>
      <c r="AF3759" s="186"/>
      <c r="AG3759" s="185"/>
      <c r="AH3759" s="185"/>
      <c r="AI3759" s="185"/>
      <c r="AJ3759" s="185"/>
      <c r="AK3759" s="185"/>
      <c r="AL3759" s="185"/>
      <c r="AM3759" s="185"/>
      <c r="AN3759" s="117"/>
      <c r="AO3759" s="117"/>
      <c r="AP3759" s="117"/>
      <c r="AQ3759" s="117"/>
      <c r="AR3759" s="287"/>
      <c r="AS3759" s="258"/>
      <c r="AT3759" s="185"/>
      <c r="AV3759" s="6" t="str">
        <f t="shared" si="78"/>
        <v/>
      </c>
    </row>
    <row r="3760" spans="1:48" ht="35.25" thickBot="1" x14ac:dyDescent="0.5">
      <c r="A3760" s="340" t="s">
        <v>5343</v>
      </c>
      <c r="B3760" s="341"/>
      <c r="C3760" s="341"/>
      <c r="D3760" s="341"/>
      <c r="E3760" s="341"/>
      <c r="F3760" s="341"/>
      <c r="G3760" s="103"/>
      <c r="H3760" s="103"/>
      <c r="J3760" s="18" t="s">
        <v>2473</v>
      </c>
      <c r="K3760" s="18" t="s">
        <v>2473</v>
      </c>
      <c r="R3760" s="122" t="s">
        <v>3427</v>
      </c>
      <c r="S3760" s="352" t="s">
        <v>3450</v>
      </c>
      <c r="T3760" s="353"/>
      <c r="U3760" s="353"/>
      <c r="V3760" s="353"/>
      <c r="W3760" s="353"/>
      <c r="X3760" s="354"/>
      <c r="Y3760" s="149"/>
      <c r="Z3760" s="183" t="s">
        <v>4347</v>
      </c>
      <c r="AA3760" s="183" t="s">
        <v>2322</v>
      </c>
      <c r="AB3760" s="183" t="s">
        <v>1697</v>
      </c>
      <c r="AC3760" s="183" t="s">
        <v>5</v>
      </c>
      <c r="AD3760" s="183" t="s">
        <v>4339</v>
      </c>
      <c r="AE3760" s="184" t="s">
        <v>4338</v>
      </c>
      <c r="AF3760" s="184" t="s">
        <v>4350</v>
      </c>
      <c r="AG3760" s="183" t="s">
        <v>1695</v>
      </c>
      <c r="AH3760" s="183" t="s">
        <v>4351</v>
      </c>
      <c r="AI3760" s="183" t="s">
        <v>4455</v>
      </c>
      <c r="AJ3760" s="183" t="s">
        <v>5051</v>
      </c>
      <c r="AK3760" s="183"/>
      <c r="AL3760" s="183"/>
      <c r="AM3760" s="183"/>
      <c r="AN3760" s="131"/>
      <c r="AO3760" s="131"/>
      <c r="AP3760" s="131"/>
      <c r="AQ3760" s="131"/>
      <c r="AR3760" s="288"/>
      <c r="AS3760" s="259"/>
      <c r="AT3760" s="234" t="s">
        <v>5324</v>
      </c>
      <c r="AV3760" s="6" t="str">
        <f t="shared" si="78"/>
        <v/>
      </c>
    </row>
    <row r="3761" spans="1:48" ht="360.75" thickBot="1" x14ac:dyDescent="0.5">
      <c r="A3761" s="315" t="s">
        <v>4381</v>
      </c>
      <c r="B3761" s="316"/>
      <c r="C3761" s="301" t="s">
        <v>1</v>
      </c>
      <c r="D3761" s="319"/>
      <c r="E3761" s="319"/>
      <c r="F3761" s="302"/>
      <c r="G3761" s="102"/>
      <c r="H3761" s="102"/>
      <c r="J3761" s="18" t="s">
        <v>2473</v>
      </c>
      <c r="K3761" s="18" t="s">
        <v>2473</v>
      </c>
      <c r="R3761" s="122" t="s">
        <v>3428</v>
      </c>
      <c r="S3761" s="352" t="b">
        <v>0</v>
      </c>
      <c r="T3761" s="353"/>
      <c r="U3761" s="353"/>
      <c r="V3761" s="353"/>
      <c r="W3761" s="353"/>
      <c r="X3761" s="354"/>
      <c r="Y3761" s="149"/>
      <c r="Z3761" s="183" t="s">
        <v>2322</v>
      </c>
      <c r="AA3761" s="183" t="str">
        <f>LEFT($A3761,FIND(" ",$A3761)-1)</f>
        <v>Application</v>
      </c>
      <c r="AB3761" s="183" t="str">
        <f>MID($A3761,FIND("(",$A3761)+1,LEN($A3761)-FIND("(",$A3761)-1)</f>
        <v>1.0.0</v>
      </c>
      <c r="AC3761" s="101" t="str">
        <f>A3760</f>
        <v>This is a resource for the platform to expose key applications on the platform, usually because it is important to know externally; for example, an O-PAS Function Block Execution Engine, Alarm Engine, or I/O Services Engine. Expect this may be a pointer to things like the Execution Engine environment, in which case it needs to provide sufficient information to determine capabilities.</v>
      </c>
      <c r="AD3761" s="101" t="s">
        <v>5013</v>
      </c>
      <c r="AE3761" s="188" t="s">
        <v>3622</v>
      </c>
      <c r="AF3761" s="184" t="s">
        <v>4352</v>
      </c>
      <c r="AG3761" s="183" t="s">
        <v>4357</v>
      </c>
      <c r="AH3761" s="183" t="s">
        <v>4352</v>
      </c>
      <c r="AI3761" s="183" t="s">
        <v>5248</v>
      </c>
      <c r="AJ3761" s="183"/>
      <c r="AK3761" s="183"/>
      <c r="AL3761" s="183"/>
      <c r="AM3761" s="183"/>
      <c r="AN3761" s="131"/>
      <c r="AO3761" s="131"/>
      <c r="AP3761" s="131"/>
      <c r="AQ3761" s="131"/>
      <c r="AR3761" s="288"/>
      <c r="AS3761" s="259"/>
      <c r="AT3761" s="183"/>
      <c r="AU3761" s="202" t="s">
        <v>5281</v>
      </c>
      <c r="AV3761" s="6" t="str">
        <f t="shared" si="78"/>
        <v/>
      </c>
    </row>
    <row r="3762" spans="1:48" ht="24.4" thickBot="1" x14ac:dyDescent="0.5">
      <c r="A3762" s="317"/>
      <c r="B3762" s="318"/>
      <c r="C3762" s="301" t="s">
        <v>2</v>
      </c>
      <c r="D3762" s="302"/>
      <c r="E3762" s="301" t="s">
        <v>3</v>
      </c>
      <c r="F3762" s="302"/>
      <c r="G3762" s="301" t="s">
        <v>2896</v>
      </c>
      <c r="H3762" s="302"/>
      <c r="J3762" s="18" t="s">
        <v>2473</v>
      </c>
      <c r="K3762" s="18" t="s">
        <v>2473</v>
      </c>
      <c r="R3762" s="113"/>
      <c r="S3762" s="352"/>
      <c r="T3762" s="353"/>
      <c r="U3762" s="353"/>
      <c r="V3762" s="353"/>
      <c r="W3762" s="353"/>
      <c r="X3762" s="354"/>
      <c r="Y3762" s="149"/>
      <c r="Z3762" s="183"/>
      <c r="AA3762" s="183"/>
      <c r="AB3762" s="183"/>
      <c r="AC3762" s="183"/>
      <c r="AD3762" s="183"/>
      <c r="AE3762" s="184"/>
      <c r="AF3762" s="184"/>
      <c r="AG3762" s="183"/>
      <c r="AH3762" s="183"/>
      <c r="AI3762" s="183"/>
      <c r="AJ3762" s="183"/>
      <c r="AK3762" s="183"/>
      <c r="AL3762" s="183"/>
      <c r="AM3762" s="8" t="str">
        <f>C3762</f>
        <v>OSM-Redfish</v>
      </c>
      <c r="AN3762" s="8" t="str">
        <f>E3762</f>
        <v>OSM-RedfishBMC</v>
      </c>
      <c r="AO3762" s="8" t="str">
        <f>G3762</f>
        <v>OSM-RedfishDCN</v>
      </c>
      <c r="AP3762" s="131"/>
      <c r="AQ3762" s="131"/>
      <c r="AR3762" s="288"/>
      <c r="AS3762" s="259"/>
      <c r="AT3762" s="183"/>
      <c r="AV3762" s="6" t="str">
        <f t="shared" si="78"/>
        <v/>
      </c>
    </row>
    <row r="3763" spans="1:48" ht="35.25" thickBot="1" x14ac:dyDescent="0.5">
      <c r="A3763" s="46" t="s">
        <v>2377</v>
      </c>
      <c r="B3763" s="47"/>
      <c r="C3763" s="303"/>
      <c r="D3763" s="304"/>
      <c r="E3763" s="303"/>
      <c r="F3763" s="304"/>
      <c r="G3763" s="303" t="s">
        <v>13</v>
      </c>
      <c r="H3763" s="304"/>
      <c r="J3763" s="18" t="s">
        <v>2473</v>
      </c>
      <c r="K3763" s="18" t="s">
        <v>2473</v>
      </c>
      <c r="R3763" s="130"/>
      <c r="S3763" s="358" t="s">
        <v>3430</v>
      </c>
      <c r="T3763" s="358" t="s">
        <v>3427</v>
      </c>
      <c r="U3763" s="358" t="s">
        <v>3431</v>
      </c>
      <c r="V3763" s="358" t="s">
        <v>3432</v>
      </c>
      <c r="W3763" s="358" t="s">
        <v>3433</v>
      </c>
      <c r="X3763" s="360" t="s">
        <v>3434</v>
      </c>
      <c r="Y3763" s="118" t="s">
        <v>3965</v>
      </c>
      <c r="Z3763" s="185"/>
      <c r="AA3763" s="185"/>
      <c r="AB3763" s="185"/>
      <c r="AC3763" s="185"/>
      <c r="AD3763" s="185"/>
      <c r="AE3763" s="186"/>
      <c r="AF3763" s="186"/>
      <c r="AG3763" s="185"/>
      <c r="AH3763" s="185"/>
      <c r="AI3763" s="185"/>
      <c r="AJ3763" s="185"/>
      <c r="AK3763" s="185"/>
      <c r="AL3763" s="185"/>
      <c r="AM3763" s="8" t="str">
        <f>IF(C3763&lt;&gt;"","CRQ-P5-"&amp;(AM$2+$AP3763*$AP$3),"")</f>
        <v/>
      </c>
      <c r="AN3763" s="8" t="str">
        <f>IF(E3763&lt;&gt;"","CRQ-P5-"&amp;(AN$2+$AP3763*$AP$3),"")</f>
        <v/>
      </c>
      <c r="AO3763" s="8" t="str">
        <f>IF(G3763&lt;&gt;"","CRQ-P5-"&amp;(AO$2+$AP3763*$AP$3),"")</f>
        <v>CRQ-P5-1612</v>
      </c>
      <c r="AP3763" s="117">
        <v>3</v>
      </c>
      <c r="AQ3763" s="117"/>
      <c r="AR3763" s="287"/>
      <c r="AS3763" s="258"/>
      <c r="AT3763" s="234" t="s">
        <v>5316</v>
      </c>
      <c r="AU3763" s="6"/>
      <c r="AV3763" s="6" t="str">
        <f t="shared" si="78"/>
        <v/>
      </c>
    </row>
    <row r="3764" spans="1:48" ht="14.65" thickBot="1" x14ac:dyDescent="0.5">
      <c r="A3764" s="29" t="s">
        <v>3394</v>
      </c>
      <c r="B3764" s="9"/>
      <c r="C3764" s="305"/>
      <c r="D3764" s="306"/>
      <c r="E3764" s="305"/>
      <c r="F3764" s="306"/>
      <c r="G3764" s="305" t="s">
        <v>3395</v>
      </c>
      <c r="H3764" s="306"/>
      <c r="J3764" s="18" t="s">
        <v>2473</v>
      </c>
      <c r="K3764" s="18" t="s">
        <v>2473</v>
      </c>
      <c r="R3764" s="111" t="s">
        <v>3429</v>
      </c>
      <c r="S3764" s="359"/>
      <c r="T3764" s="359"/>
      <c r="U3764" s="359"/>
      <c r="V3764" s="359"/>
      <c r="W3764" s="359"/>
      <c r="X3764" s="361"/>
      <c r="Y3764" s="118"/>
      <c r="Z3764" s="185"/>
      <c r="AA3764" s="185"/>
      <c r="AB3764" s="185"/>
      <c r="AC3764" s="185"/>
      <c r="AD3764" s="185"/>
      <c r="AE3764" s="186"/>
      <c r="AF3764" s="186"/>
      <c r="AG3764" s="185"/>
      <c r="AH3764" s="185"/>
      <c r="AI3764" s="185"/>
      <c r="AJ3764" s="185"/>
      <c r="AK3764" s="185"/>
      <c r="AL3764" s="185"/>
      <c r="AM3764" s="185"/>
      <c r="AN3764" s="117"/>
      <c r="AO3764" s="117"/>
      <c r="AP3764" s="117"/>
      <c r="AQ3764" s="117"/>
      <c r="AR3764" s="287"/>
      <c r="AS3764" s="258"/>
      <c r="AT3764" s="185"/>
      <c r="AU3764" s="6"/>
      <c r="AV3764" s="6" t="str">
        <f t="shared" si="78"/>
        <v/>
      </c>
    </row>
    <row r="3765" spans="1:48" ht="14.65" thickBot="1" x14ac:dyDescent="0.5">
      <c r="A3765" s="30" t="s">
        <v>4</v>
      </c>
      <c r="B3765" s="59" t="s">
        <v>5</v>
      </c>
      <c r="C3765" s="7" t="s">
        <v>6</v>
      </c>
      <c r="D3765" s="7" t="s">
        <v>7</v>
      </c>
      <c r="E3765" s="7" t="s">
        <v>6</v>
      </c>
      <c r="F3765" s="7" t="s">
        <v>7</v>
      </c>
      <c r="G3765" s="7" t="s">
        <v>6</v>
      </c>
      <c r="H3765" s="7" t="s">
        <v>7</v>
      </c>
      <c r="J3765" s="18" t="s">
        <v>2473</v>
      </c>
      <c r="K3765" s="18" t="s">
        <v>2473</v>
      </c>
      <c r="R3765" s="352" t="s">
        <v>4040</v>
      </c>
      <c r="S3765" s="353"/>
      <c r="T3765" s="353"/>
      <c r="U3765" s="353"/>
      <c r="V3765" s="353"/>
      <c r="W3765" s="357"/>
      <c r="X3765" s="113"/>
      <c r="Y3765" s="149"/>
      <c r="Z3765" s="183" t="s">
        <v>4347</v>
      </c>
      <c r="AA3765" s="183" t="s">
        <v>4343</v>
      </c>
      <c r="AB3765" s="183" t="s">
        <v>4172</v>
      </c>
      <c r="AC3765" s="183" t="s">
        <v>4340</v>
      </c>
      <c r="AD3765" s="183" t="s">
        <v>4339</v>
      </c>
      <c r="AE3765" s="184" t="s">
        <v>4341</v>
      </c>
      <c r="AF3765" s="184" t="s">
        <v>4342</v>
      </c>
      <c r="AG3765" s="183" t="s">
        <v>4353</v>
      </c>
      <c r="AH3765" s="183" t="s">
        <v>3429</v>
      </c>
      <c r="AI3765" s="183" t="s">
        <v>4356</v>
      </c>
      <c r="AJ3765" s="183" t="s">
        <v>4364</v>
      </c>
      <c r="AK3765" s="183"/>
      <c r="AL3765" s="183"/>
      <c r="AM3765" s="183"/>
      <c r="AN3765" s="131"/>
      <c r="AO3765" s="131"/>
      <c r="AP3765" s="131"/>
      <c r="AQ3765" s="131"/>
      <c r="AR3765" s="288"/>
      <c r="AS3765" s="259"/>
      <c r="AT3765" s="183"/>
      <c r="AV3765" s="6" t="str">
        <f t="shared" si="78"/>
        <v/>
      </c>
    </row>
    <row r="3766" spans="1:48" ht="47.65" thickBot="1" x14ac:dyDescent="0.5">
      <c r="A3766" s="36" t="s">
        <v>8</v>
      </c>
      <c r="B3766" s="3" t="s">
        <v>4731</v>
      </c>
      <c r="C3766" s="51"/>
      <c r="D3766" s="51"/>
      <c r="E3766" s="51"/>
      <c r="F3766" s="51"/>
      <c r="G3766" s="4" t="s">
        <v>13</v>
      </c>
      <c r="H3766" s="51"/>
      <c r="J3766" s="18" t="s">
        <v>2473</v>
      </c>
      <c r="K3766" s="18" t="s">
        <v>2473</v>
      </c>
      <c r="L3766" s="18" t="s">
        <v>2336</v>
      </c>
      <c r="Z3766" s="8" t="s">
        <v>4</v>
      </c>
      <c r="AB3766" s="8" t="s">
        <v>4348</v>
      </c>
      <c r="AS3766" s="206" t="s">
        <v>5885</v>
      </c>
      <c r="AV3766" s="6" t="str">
        <f t="shared" si="78"/>
        <v/>
      </c>
    </row>
    <row r="3767" spans="1:48" ht="47.65" thickBot="1" x14ac:dyDescent="0.5">
      <c r="A3767" s="35" t="s">
        <v>2816</v>
      </c>
      <c r="B3767" s="3" t="s">
        <v>4732</v>
      </c>
      <c r="C3767" s="4"/>
      <c r="D3767" s="4"/>
      <c r="E3767" s="4"/>
      <c r="F3767" s="4"/>
      <c r="G3767" s="4" t="s">
        <v>13</v>
      </c>
      <c r="H3767" s="4"/>
      <c r="J3767" s="18" t="s">
        <v>2473</v>
      </c>
      <c r="K3767" s="18" t="s">
        <v>2473</v>
      </c>
      <c r="L3767" s="18" t="s">
        <v>2336</v>
      </c>
      <c r="Z3767" s="8" t="s">
        <v>4363</v>
      </c>
      <c r="AD3767" s="8" t="s">
        <v>4839</v>
      </c>
      <c r="AJ3767" s="8" t="s">
        <v>4357</v>
      </c>
      <c r="AU3767" s="8"/>
      <c r="AV3767" s="6" t="str">
        <f t="shared" si="78"/>
        <v/>
      </c>
    </row>
    <row r="3768" spans="1:48" ht="47.65" thickBot="1" x14ac:dyDescent="0.5">
      <c r="A3768" s="35" t="s">
        <v>2817</v>
      </c>
      <c r="B3768" s="3" t="s">
        <v>4733</v>
      </c>
      <c r="C3768" s="4"/>
      <c r="D3768" s="4"/>
      <c r="E3768" s="4"/>
      <c r="F3768" s="4"/>
      <c r="G3768" s="4" t="s">
        <v>13</v>
      </c>
      <c r="H3768" s="4"/>
      <c r="J3768" s="18" t="s">
        <v>2473</v>
      </c>
      <c r="K3768" s="18" t="s">
        <v>2473</v>
      </c>
      <c r="L3768" s="18" t="s">
        <v>2336</v>
      </c>
      <c r="Z3768" s="8" t="s">
        <v>4363</v>
      </c>
      <c r="AD3768" s="8" t="s">
        <v>4840</v>
      </c>
      <c r="AJ3768" s="8" t="s">
        <v>4357</v>
      </c>
      <c r="AU3768" s="8"/>
      <c r="AV3768" s="6" t="str">
        <f t="shared" si="78"/>
        <v/>
      </c>
    </row>
    <row r="3769" spans="1:48" ht="47.65" thickBot="1" x14ac:dyDescent="0.5">
      <c r="A3769" s="35" t="s">
        <v>2818</v>
      </c>
      <c r="B3769" s="3" t="s">
        <v>4734</v>
      </c>
      <c r="C3769" s="4"/>
      <c r="D3769" s="4"/>
      <c r="E3769" s="4"/>
      <c r="F3769" s="4"/>
      <c r="G3769" s="4" t="s">
        <v>13</v>
      </c>
      <c r="H3769" s="4"/>
      <c r="J3769" s="18" t="s">
        <v>2473</v>
      </c>
      <c r="K3769" s="18" t="s">
        <v>2473</v>
      </c>
      <c r="L3769" s="18" t="s">
        <v>2336</v>
      </c>
      <c r="Z3769" s="8" t="s">
        <v>4363</v>
      </c>
      <c r="AD3769" s="8" t="s">
        <v>4841</v>
      </c>
      <c r="AJ3769" s="8" t="s">
        <v>4357</v>
      </c>
      <c r="AU3769" s="8"/>
      <c r="AV3769" s="6" t="str">
        <f t="shared" si="78"/>
        <v/>
      </c>
    </row>
    <row r="3770" spans="1:48" ht="70.900000000000006" thickBot="1" x14ac:dyDescent="0.5">
      <c r="A3770" s="44" t="s">
        <v>4618</v>
      </c>
      <c r="B3770" s="50" t="s">
        <v>4725</v>
      </c>
      <c r="C3770" s="14"/>
      <c r="D3770" s="20"/>
      <c r="E3770" s="14"/>
      <c r="F3770" s="20"/>
      <c r="G3770" s="14" t="s">
        <v>10</v>
      </c>
      <c r="H3770" s="20"/>
      <c r="J3770" s="18" t="s">
        <v>2473</v>
      </c>
      <c r="K3770" s="18" t="s">
        <v>2473</v>
      </c>
      <c r="R3770" s="122" t="s">
        <v>3529</v>
      </c>
      <c r="S3770" s="114" t="s">
        <v>4</v>
      </c>
      <c r="T3770" s="114" t="s">
        <v>2843</v>
      </c>
      <c r="U3770" s="114" t="s">
        <v>3521</v>
      </c>
      <c r="V3770" s="114" t="s">
        <v>3530</v>
      </c>
      <c r="W3770" s="114" t="s">
        <v>3436</v>
      </c>
      <c r="X3770" s="114" t="s">
        <v>13</v>
      </c>
      <c r="Y3770" s="149"/>
      <c r="Z3770" s="183" t="s">
        <v>4</v>
      </c>
      <c r="AA3770" s="183"/>
      <c r="AB3770" s="183" t="s">
        <v>4493</v>
      </c>
      <c r="AC3770" s="183" t="s">
        <v>6</v>
      </c>
      <c r="AD3770" s="183" t="s">
        <v>4848</v>
      </c>
      <c r="AE3770" s="184"/>
      <c r="AF3770" s="184"/>
      <c r="AG3770" s="183"/>
      <c r="AH3770" s="183"/>
      <c r="AI3770" s="183"/>
      <c r="AJ3770" s="183"/>
      <c r="AK3770" s="183"/>
      <c r="AL3770" s="183"/>
      <c r="AM3770" s="183"/>
      <c r="AN3770" s="131"/>
      <c r="AO3770" s="131"/>
      <c r="AP3770" s="131"/>
      <c r="AQ3770" s="131"/>
      <c r="AR3770" s="288"/>
      <c r="AS3770" s="259"/>
      <c r="AT3770" s="183"/>
      <c r="AU3770" s="202" t="s">
        <v>4494</v>
      </c>
      <c r="AV3770" s="6" t="str">
        <f t="shared" si="78"/>
        <v>ERROR</v>
      </c>
    </row>
    <row r="3771" spans="1:48" ht="58.5" thickBot="1" x14ac:dyDescent="0.5">
      <c r="A3771" s="44" t="s">
        <v>3577</v>
      </c>
      <c r="B3771" s="50" t="s">
        <v>4726</v>
      </c>
      <c r="C3771" s="14"/>
      <c r="D3771" s="20"/>
      <c r="E3771" s="14"/>
      <c r="F3771" s="20"/>
      <c r="G3771" s="14" t="s">
        <v>10</v>
      </c>
      <c r="H3771" s="20"/>
      <c r="J3771" s="18" t="s">
        <v>2473</v>
      </c>
      <c r="K3771" s="18" t="s">
        <v>2473</v>
      </c>
      <c r="R3771" s="122" t="s">
        <v>3529</v>
      </c>
      <c r="S3771" s="114" t="s">
        <v>4</v>
      </c>
      <c r="T3771" s="114" t="s">
        <v>3577</v>
      </c>
      <c r="U3771" s="114" t="s">
        <v>3521</v>
      </c>
      <c r="V3771" s="114" t="s">
        <v>3530</v>
      </c>
      <c r="W3771" s="114" t="s">
        <v>3436</v>
      </c>
      <c r="X3771" s="114" t="s">
        <v>13</v>
      </c>
      <c r="Y3771" s="149"/>
      <c r="Z3771" s="183" t="s">
        <v>4</v>
      </c>
      <c r="AA3771" s="183"/>
      <c r="AB3771" s="183" t="s">
        <v>758</v>
      </c>
      <c r="AC3771" s="183" t="s">
        <v>6</v>
      </c>
      <c r="AD3771" s="183" t="s">
        <v>4849</v>
      </c>
      <c r="AE3771" s="184"/>
      <c r="AF3771" s="184"/>
      <c r="AG3771" s="183"/>
      <c r="AH3771" s="183"/>
      <c r="AI3771" s="183"/>
      <c r="AJ3771" s="183"/>
      <c r="AK3771" s="183"/>
      <c r="AL3771" s="183"/>
      <c r="AM3771" s="183"/>
      <c r="AN3771" s="131"/>
      <c r="AO3771" s="131"/>
      <c r="AP3771" s="131"/>
      <c r="AQ3771" s="131"/>
      <c r="AR3771" s="288"/>
      <c r="AS3771" s="259"/>
      <c r="AT3771" s="183"/>
      <c r="AV3771" s="6" t="str">
        <f t="shared" si="78"/>
        <v>OK</v>
      </c>
    </row>
    <row r="3772" spans="1:48" ht="58.5" thickBot="1" x14ac:dyDescent="0.5">
      <c r="A3772" s="44" t="s">
        <v>1697</v>
      </c>
      <c r="B3772" s="50" t="s">
        <v>4727</v>
      </c>
      <c r="C3772" s="14"/>
      <c r="D3772" s="20"/>
      <c r="E3772" s="14"/>
      <c r="F3772" s="20"/>
      <c r="G3772" s="14" t="s">
        <v>10</v>
      </c>
      <c r="H3772" s="20"/>
      <c r="J3772" s="18" t="s">
        <v>2473</v>
      </c>
      <c r="K3772" s="18" t="s">
        <v>2473</v>
      </c>
      <c r="R3772" s="122" t="s">
        <v>3529</v>
      </c>
      <c r="S3772" s="114" t="s">
        <v>4</v>
      </c>
      <c r="T3772" s="114" t="s">
        <v>2360</v>
      </c>
      <c r="U3772" s="114" t="s">
        <v>3521</v>
      </c>
      <c r="V3772" s="114" t="s">
        <v>3530</v>
      </c>
      <c r="W3772" s="114" t="s">
        <v>3436</v>
      </c>
      <c r="X3772" s="114" t="s">
        <v>13</v>
      </c>
      <c r="Y3772" s="149"/>
      <c r="Z3772" s="183" t="s">
        <v>4</v>
      </c>
      <c r="AA3772" s="183"/>
      <c r="AB3772" s="183" t="s">
        <v>758</v>
      </c>
      <c r="AC3772" s="183" t="s">
        <v>6</v>
      </c>
      <c r="AD3772" s="183" t="s">
        <v>4850</v>
      </c>
      <c r="AE3772" s="184"/>
      <c r="AF3772" s="184"/>
      <c r="AG3772" s="183"/>
      <c r="AH3772" s="183"/>
      <c r="AI3772" s="183"/>
      <c r="AJ3772" s="183"/>
      <c r="AK3772" s="183"/>
      <c r="AL3772" s="183"/>
      <c r="AM3772" s="183"/>
      <c r="AN3772" s="131"/>
      <c r="AO3772" s="131"/>
      <c r="AP3772" s="131"/>
      <c r="AQ3772" s="131"/>
      <c r="AR3772" s="288"/>
      <c r="AS3772" s="259"/>
      <c r="AT3772" s="183"/>
      <c r="AV3772" s="6" t="str">
        <f t="shared" si="78"/>
        <v>ERROR</v>
      </c>
    </row>
    <row r="3773" spans="1:48" ht="70.150000000000006" thickBot="1" x14ac:dyDescent="0.5">
      <c r="A3773" s="44" t="s">
        <v>2899</v>
      </c>
      <c r="B3773" s="50" t="s">
        <v>4728</v>
      </c>
      <c r="C3773" s="14"/>
      <c r="D3773" s="20"/>
      <c r="E3773" s="14"/>
      <c r="F3773" s="20"/>
      <c r="G3773" s="14" t="s">
        <v>10</v>
      </c>
      <c r="H3773" s="20"/>
      <c r="J3773" s="18" t="s">
        <v>2473</v>
      </c>
      <c r="K3773" s="18" t="s">
        <v>2473</v>
      </c>
      <c r="R3773" s="122" t="s">
        <v>3529</v>
      </c>
      <c r="S3773" s="114" t="s">
        <v>4</v>
      </c>
      <c r="T3773" s="114" t="s">
        <v>3480</v>
      </c>
      <c r="U3773" s="114" t="s">
        <v>3521</v>
      </c>
      <c r="V3773" s="114" t="s">
        <v>3530</v>
      </c>
      <c r="W3773" s="114" t="s">
        <v>3436</v>
      </c>
      <c r="X3773" s="114" t="s">
        <v>13</v>
      </c>
      <c r="Y3773" s="149"/>
      <c r="Z3773" s="183" t="s">
        <v>4</v>
      </c>
      <c r="AA3773" s="183"/>
      <c r="AB3773" s="183" t="s">
        <v>758</v>
      </c>
      <c r="AC3773" s="183" t="s">
        <v>6</v>
      </c>
      <c r="AD3773" s="183" t="s">
        <v>4851</v>
      </c>
      <c r="AE3773" s="184"/>
      <c r="AF3773" s="184"/>
      <c r="AG3773" s="183"/>
      <c r="AH3773" s="183"/>
      <c r="AI3773" s="183"/>
      <c r="AJ3773" s="183"/>
      <c r="AK3773" s="183"/>
      <c r="AL3773" s="183"/>
      <c r="AM3773" s="183"/>
      <c r="AN3773" s="131"/>
      <c r="AO3773" s="131"/>
      <c r="AP3773" s="131"/>
      <c r="AQ3773" s="131"/>
      <c r="AR3773" s="288"/>
      <c r="AS3773" s="259"/>
      <c r="AT3773" s="183"/>
      <c r="AV3773" s="6" t="str">
        <f t="shared" si="78"/>
        <v>ERROR</v>
      </c>
    </row>
    <row r="3774" spans="1:48" ht="81.75" thickBot="1" x14ac:dyDescent="0.5">
      <c r="A3774" s="44" t="s">
        <v>2716</v>
      </c>
      <c r="B3774" s="50" t="s">
        <v>4729</v>
      </c>
      <c r="C3774" s="14"/>
      <c r="D3774" s="20"/>
      <c r="E3774" s="14"/>
      <c r="F3774" s="20"/>
      <c r="G3774" s="14" t="s">
        <v>10</v>
      </c>
      <c r="H3774" s="20"/>
      <c r="J3774" s="18" t="s">
        <v>2473</v>
      </c>
      <c r="K3774" s="18" t="s">
        <v>2473</v>
      </c>
      <c r="R3774" s="122" t="s">
        <v>3529</v>
      </c>
      <c r="S3774" s="114" t="s">
        <v>4</v>
      </c>
      <c r="T3774" s="114" t="s">
        <v>2716</v>
      </c>
      <c r="U3774" s="114" t="s">
        <v>3521</v>
      </c>
      <c r="V3774" s="114" t="s">
        <v>3530</v>
      </c>
      <c r="W3774" s="114" t="s">
        <v>3436</v>
      </c>
      <c r="X3774" s="114" t="s">
        <v>13</v>
      </c>
      <c r="Y3774" s="149"/>
      <c r="Z3774" s="183" t="s">
        <v>4</v>
      </c>
      <c r="AA3774" s="183"/>
      <c r="AB3774" s="183" t="s">
        <v>758</v>
      </c>
      <c r="AC3774" s="183" t="s">
        <v>6</v>
      </c>
      <c r="AD3774" s="183" t="s">
        <v>4852</v>
      </c>
      <c r="AE3774" s="184"/>
      <c r="AF3774" s="184"/>
      <c r="AG3774" s="183"/>
      <c r="AH3774" s="183"/>
      <c r="AI3774" s="183"/>
      <c r="AJ3774" s="183"/>
      <c r="AK3774" s="183"/>
      <c r="AL3774" s="183"/>
      <c r="AM3774" s="183"/>
      <c r="AN3774" s="131"/>
      <c r="AO3774" s="131"/>
      <c r="AP3774" s="131"/>
      <c r="AQ3774" s="131"/>
      <c r="AR3774" s="288"/>
      <c r="AS3774" s="259"/>
      <c r="AT3774" s="183"/>
      <c r="AV3774" s="6" t="str">
        <f t="shared" si="78"/>
        <v>OK</v>
      </c>
    </row>
    <row r="3775" spans="1:48" ht="14.65" thickBot="1" x14ac:dyDescent="0.5">
      <c r="A3775" s="36" t="s">
        <v>753</v>
      </c>
      <c r="B3775" s="3" t="s">
        <v>60</v>
      </c>
      <c r="C3775" s="4"/>
      <c r="D3775" s="4"/>
      <c r="E3775" s="4"/>
      <c r="F3775" s="4"/>
      <c r="G3775" s="4"/>
      <c r="H3775" s="4"/>
      <c r="J3775" s="18" t="s">
        <v>2473</v>
      </c>
      <c r="K3775" s="18" t="s">
        <v>2473</v>
      </c>
      <c r="AU3775" s="8"/>
      <c r="AV3775" s="6" t="str">
        <f t="shared" si="78"/>
        <v/>
      </c>
    </row>
    <row r="3776" spans="1:48" ht="105" thickBot="1" x14ac:dyDescent="0.5">
      <c r="A3776" s="43" t="s">
        <v>145</v>
      </c>
      <c r="B3776" s="22" t="s">
        <v>4730</v>
      </c>
      <c r="C3776" s="20"/>
      <c r="D3776" s="20"/>
      <c r="E3776" s="20"/>
      <c r="F3776" s="20"/>
      <c r="G3776" s="20" t="s">
        <v>10</v>
      </c>
      <c r="H3776" s="20"/>
      <c r="J3776" s="18" t="s">
        <v>2473</v>
      </c>
      <c r="K3776" s="18" t="s">
        <v>2473</v>
      </c>
      <c r="R3776" s="122" t="s">
        <v>3435</v>
      </c>
      <c r="S3776" s="114" t="s">
        <v>3437</v>
      </c>
      <c r="T3776" s="114" t="s">
        <v>145</v>
      </c>
      <c r="U3776" s="114"/>
      <c r="V3776" s="114" t="s">
        <v>3441</v>
      </c>
      <c r="W3776" s="114" t="s">
        <v>3436</v>
      </c>
      <c r="X3776" s="114" t="s">
        <v>13</v>
      </c>
      <c r="Y3776" s="149"/>
      <c r="Z3776" s="183" t="s">
        <v>4</v>
      </c>
      <c r="AA3776" s="183"/>
      <c r="AB3776" s="183" t="s">
        <v>4359</v>
      </c>
      <c r="AC3776" s="183" t="s">
        <v>6</v>
      </c>
      <c r="AD3776" s="183" t="s">
        <v>4770</v>
      </c>
      <c r="AE3776" s="184"/>
      <c r="AF3776" s="184"/>
      <c r="AG3776" s="183"/>
      <c r="AH3776" s="183"/>
      <c r="AI3776" s="183"/>
      <c r="AJ3776" s="183"/>
      <c r="AK3776" s="183"/>
      <c r="AL3776" s="183"/>
      <c r="AM3776" s="183"/>
      <c r="AN3776" s="131"/>
      <c r="AO3776" s="131"/>
      <c r="AP3776" s="131"/>
      <c r="AQ3776" s="131"/>
      <c r="AR3776" s="288"/>
      <c r="AS3776" s="266" t="s">
        <v>5861</v>
      </c>
      <c r="AT3776" s="183"/>
      <c r="AV3776" s="6" t="str">
        <f t="shared" si="78"/>
        <v>OK</v>
      </c>
    </row>
    <row r="3777" spans="1:48" ht="47.65" thickBot="1" x14ac:dyDescent="0.5">
      <c r="A3777" s="35" t="s">
        <v>5361</v>
      </c>
      <c r="B3777" s="3" t="s">
        <v>5352</v>
      </c>
      <c r="C3777" s="4"/>
      <c r="D3777" s="4"/>
      <c r="E3777" s="4"/>
      <c r="F3777" s="4"/>
      <c r="G3777" s="4" t="s">
        <v>10</v>
      </c>
      <c r="H3777" s="4"/>
      <c r="J3777" s="18" t="s">
        <v>2473</v>
      </c>
      <c r="K3777" s="18" t="s">
        <v>2473</v>
      </c>
      <c r="Q3777" s="131"/>
      <c r="R3777" s="131"/>
      <c r="S3777" s="131"/>
      <c r="T3777" s="131"/>
      <c r="U3777" s="131"/>
      <c r="V3777" s="131"/>
      <c r="W3777" s="131"/>
      <c r="X3777" s="131"/>
      <c r="AS3777" s="139" t="s">
        <v>5355</v>
      </c>
      <c r="AU3777" s="6"/>
      <c r="AV3777" s="6"/>
    </row>
    <row r="3778" spans="1:48" ht="82.5" thickBot="1" x14ac:dyDescent="0.5">
      <c r="A3778" s="35" t="s">
        <v>5360</v>
      </c>
      <c r="B3778" s="3" t="s">
        <v>5353</v>
      </c>
      <c r="C3778" s="4"/>
      <c r="D3778" s="4"/>
      <c r="E3778" s="4"/>
      <c r="F3778" s="4"/>
      <c r="G3778" s="4"/>
      <c r="H3778" s="4"/>
      <c r="J3778" s="18" t="s">
        <v>2473</v>
      </c>
      <c r="K3778" s="18" t="s">
        <v>2473</v>
      </c>
      <c r="Q3778" s="131"/>
      <c r="R3778" s="131"/>
      <c r="S3778" s="131"/>
      <c r="T3778" s="131"/>
      <c r="U3778" s="131"/>
      <c r="V3778" s="131"/>
      <c r="W3778" s="131"/>
      <c r="X3778" s="131"/>
      <c r="AS3778" s="139" t="s">
        <v>5356</v>
      </c>
      <c r="AU3778" s="6"/>
      <c r="AV3778" s="6"/>
    </row>
    <row r="3779" spans="1:48" x14ac:dyDescent="0.45">
      <c r="A3779" s="33" t="s">
        <v>2819</v>
      </c>
      <c r="J3779" s="18" t="s">
        <v>2473</v>
      </c>
      <c r="K3779" s="18" t="s">
        <v>2473</v>
      </c>
      <c r="AU3779" s="8"/>
      <c r="AV3779" s="6" t="str">
        <f t="shared" si="78"/>
        <v/>
      </c>
    </row>
    <row r="3780" spans="1:48" x14ac:dyDescent="0.45">
      <c r="A3780" s="34" t="s">
        <v>3622</v>
      </c>
      <c r="J3780" s="18" t="s">
        <v>2473</v>
      </c>
      <c r="K3780" s="18" t="s">
        <v>2473</v>
      </c>
      <c r="AU3780" s="8"/>
      <c r="AV3780" s="6" t="str">
        <f t="shared" si="78"/>
        <v/>
      </c>
    </row>
    <row r="3781" spans="1:48" s="79" customFormat="1" x14ac:dyDescent="0.45">
      <c r="A3781" s="75"/>
      <c r="B3781" s="76"/>
      <c r="C3781" s="77"/>
      <c r="D3781" s="77"/>
      <c r="E3781" s="77"/>
      <c r="F3781" s="77"/>
      <c r="G3781" s="77"/>
      <c r="H3781" s="77"/>
      <c r="I3781" s="77"/>
      <c r="J3781" s="77"/>
      <c r="K3781" s="77"/>
      <c r="L3781" s="77"/>
      <c r="M3781" s="148"/>
      <c r="N3781" s="78"/>
      <c r="O3781" s="78"/>
      <c r="P3781" s="78"/>
      <c r="Q3781" s="78"/>
      <c r="R3781" s="78"/>
      <c r="S3781" s="78"/>
      <c r="T3781" s="78"/>
      <c r="U3781" s="78"/>
      <c r="V3781" s="78"/>
      <c r="W3781" s="78"/>
      <c r="X3781" s="78"/>
      <c r="Y3781" s="148"/>
      <c r="Z3781" s="78"/>
      <c r="AA3781" s="78"/>
      <c r="AB3781" s="78"/>
      <c r="AC3781" s="78"/>
      <c r="AD3781" s="78"/>
      <c r="AE3781" s="156"/>
      <c r="AF3781" s="156"/>
      <c r="AG3781" s="78"/>
      <c r="AH3781" s="78"/>
      <c r="AI3781" s="78"/>
      <c r="AJ3781" s="78"/>
      <c r="AK3781" s="78"/>
      <c r="AL3781" s="78"/>
      <c r="AM3781" s="78"/>
      <c r="AN3781" s="78"/>
      <c r="AO3781" s="78"/>
      <c r="AP3781" s="78"/>
      <c r="AQ3781" s="78"/>
      <c r="AR3781" s="286"/>
      <c r="AS3781" s="78"/>
      <c r="AT3781" s="78"/>
      <c r="AU3781" s="8"/>
      <c r="AV3781" s="6" t="str">
        <f t="shared" si="78"/>
        <v/>
      </c>
    </row>
    <row r="3782" spans="1:48" x14ac:dyDescent="0.45">
      <c r="A3782" s="27" t="s">
        <v>4407</v>
      </c>
      <c r="J3782" s="18" t="s">
        <v>2473</v>
      </c>
      <c r="K3782" s="18" t="s">
        <v>2473</v>
      </c>
      <c r="L3782" s="18" t="s">
        <v>2335</v>
      </c>
      <c r="AU3782" s="6"/>
      <c r="AV3782" s="6" t="str">
        <f t="shared" si="78"/>
        <v/>
      </c>
    </row>
    <row r="3783" spans="1:48" ht="23.65" thickBot="1" x14ac:dyDescent="0.5">
      <c r="A3783" s="323" t="s">
        <v>4408</v>
      </c>
      <c r="B3783" s="324"/>
      <c r="C3783" s="324"/>
      <c r="D3783" s="324"/>
      <c r="E3783" s="324"/>
      <c r="F3783" s="324"/>
      <c r="G3783" s="101"/>
      <c r="H3783" s="101"/>
      <c r="J3783" s="18" t="s">
        <v>2473</v>
      </c>
      <c r="K3783" s="18" t="s">
        <v>2473</v>
      </c>
      <c r="L3783" s="18" t="s">
        <v>2335</v>
      </c>
      <c r="Z3783" s="183" t="s">
        <v>4347</v>
      </c>
      <c r="AA3783" s="183" t="s">
        <v>2322</v>
      </c>
      <c r="AB3783" s="183" t="s">
        <v>1697</v>
      </c>
      <c r="AC3783" s="183" t="s">
        <v>5</v>
      </c>
      <c r="AD3783" s="183" t="s">
        <v>4339</v>
      </c>
      <c r="AE3783" s="184" t="s">
        <v>4338</v>
      </c>
      <c r="AF3783" s="184" t="s">
        <v>4350</v>
      </c>
      <c r="AG3783" s="183" t="s">
        <v>1695</v>
      </c>
      <c r="AH3783" s="183" t="s">
        <v>4351</v>
      </c>
      <c r="AI3783" s="8" t="s">
        <v>4455</v>
      </c>
      <c r="AJ3783" s="183" t="s">
        <v>5051</v>
      </c>
      <c r="AU3783" s="6"/>
      <c r="AV3783" s="6" t="str">
        <f t="shared" si="78"/>
        <v/>
      </c>
    </row>
    <row r="3784" spans="1:48" ht="94.15" thickBot="1" x14ac:dyDescent="0.5">
      <c r="A3784" s="309" t="s">
        <v>4409</v>
      </c>
      <c r="B3784" s="310"/>
      <c r="C3784" s="301" t="s">
        <v>1</v>
      </c>
      <c r="D3784" s="319"/>
      <c r="E3784" s="319"/>
      <c r="F3784" s="302"/>
      <c r="G3784" s="102"/>
      <c r="H3784" s="102"/>
      <c r="J3784" s="18" t="s">
        <v>2473</v>
      </c>
      <c r="K3784" s="18" t="s">
        <v>2473</v>
      </c>
      <c r="L3784" s="18" t="s">
        <v>2335</v>
      </c>
      <c r="Z3784" s="183" t="s">
        <v>4387</v>
      </c>
      <c r="AA3784" s="183" t="str">
        <f>LEFT($A3784,FIND(" ",$A3784)-1)</f>
        <v>VirtualMachineCollection</v>
      </c>
      <c r="AB3784" s="183" t="str">
        <f>MID($A3784,FIND("(",$A3784)+1,LEN($A3784)-FIND("(",$A3784)-1)</f>
        <v>1.0.0</v>
      </c>
      <c r="AC3784" s="101" t="str">
        <f>A3783</f>
        <v>A VirtualMachineCollection is a collection of VirtualMachine Resources running on a node.</v>
      </c>
      <c r="AD3784" s="101" t="s">
        <v>4752</v>
      </c>
      <c r="AE3784" s="188" t="s">
        <v>4490</v>
      </c>
      <c r="AF3784" s="184" t="s">
        <v>4352</v>
      </c>
      <c r="AG3784" s="183" t="s">
        <v>4352</v>
      </c>
      <c r="AH3784" s="183" t="s">
        <v>4352</v>
      </c>
      <c r="AI3784" s="8" t="s">
        <v>5248</v>
      </c>
      <c r="AU3784" s="202" t="s">
        <v>5245</v>
      </c>
      <c r="AV3784" s="6" t="str">
        <f t="shared" si="78"/>
        <v/>
      </c>
    </row>
    <row r="3785" spans="1:48" ht="14.65" thickBot="1" x14ac:dyDescent="0.5">
      <c r="A3785" s="311"/>
      <c r="B3785" s="312"/>
      <c r="C3785" s="301" t="s">
        <v>2</v>
      </c>
      <c r="D3785" s="302"/>
      <c r="E3785" s="301" t="s">
        <v>3</v>
      </c>
      <c r="F3785" s="302"/>
      <c r="G3785" s="301" t="s">
        <v>2896</v>
      </c>
      <c r="H3785" s="302"/>
      <c r="J3785" s="18" t="s">
        <v>2473</v>
      </c>
      <c r="K3785" s="18" t="s">
        <v>2473</v>
      </c>
      <c r="L3785" s="18" t="s">
        <v>2335</v>
      </c>
      <c r="AU3785" s="6"/>
      <c r="AV3785" s="6" t="str">
        <f t="shared" si="78"/>
        <v/>
      </c>
    </row>
    <row r="3786" spans="1:48" ht="14.65" thickBot="1" x14ac:dyDescent="0.5">
      <c r="A3786" s="46" t="s">
        <v>2377</v>
      </c>
      <c r="B3786" s="47"/>
      <c r="C3786" s="303"/>
      <c r="D3786" s="304"/>
      <c r="E3786" s="303"/>
      <c r="F3786" s="304"/>
      <c r="G3786" s="303"/>
      <c r="H3786" s="304"/>
      <c r="J3786" s="18" t="s">
        <v>2473</v>
      </c>
      <c r="K3786" s="18" t="s">
        <v>2473</v>
      </c>
      <c r="AU3786" s="6"/>
      <c r="AV3786" s="6" t="str">
        <f t="shared" si="78"/>
        <v/>
      </c>
    </row>
    <row r="3787" spans="1:48" ht="14.65" thickBot="1" x14ac:dyDescent="0.5">
      <c r="A3787" s="30" t="s">
        <v>4</v>
      </c>
      <c r="B3787" s="59" t="s">
        <v>5</v>
      </c>
      <c r="C3787" s="7" t="s">
        <v>6</v>
      </c>
      <c r="D3787" s="7" t="s">
        <v>7</v>
      </c>
      <c r="E3787" s="7" t="s">
        <v>6</v>
      </c>
      <c r="F3787" s="7" t="s">
        <v>7</v>
      </c>
      <c r="G3787" s="7" t="s">
        <v>6</v>
      </c>
      <c r="H3787" s="7" t="s">
        <v>7</v>
      </c>
      <c r="J3787" s="18" t="s">
        <v>2473</v>
      </c>
      <c r="K3787" s="18" t="s">
        <v>2473</v>
      </c>
      <c r="L3787" s="18" t="s">
        <v>2335</v>
      </c>
      <c r="Z3787" s="183" t="s">
        <v>4347</v>
      </c>
      <c r="AA3787" s="183" t="s">
        <v>4343</v>
      </c>
      <c r="AB3787" s="183" t="s">
        <v>4172</v>
      </c>
      <c r="AC3787" s="183" t="s">
        <v>4340</v>
      </c>
      <c r="AD3787" s="183" t="s">
        <v>4339</v>
      </c>
      <c r="AE3787" s="184" t="s">
        <v>4341</v>
      </c>
      <c r="AF3787" s="184" t="s">
        <v>4342</v>
      </c>
      <c r="AG3787" s="183" t="s">
        <v>4353</v>
      </c>
      <c r="AH3787" s="183" t="s">
        <v>3429</v>
      </c>
      <c r="AI3787" s="183" t="s">
        <v>4356</v>
      </c>
      <c r="AJ3787" s="183" t="s">
        <v>4364</v>
      </c>
      <c r="AU3787" s="6"/>
      <c r="AV3787" s="6" t="str">
        <f t="shared" si="78"/>
        <v/>
      </c>
    </row>
    <row r="3788" spans="1:48" ht="117.4" thickBot="1" x14ac:dyDescent="0.5">
      <c r="A3788" s="36" t="s">
        <v>2792</v>
      </c>
      <c r="B3788" s="3" t="s">
        <v>4410</v>
      </c>
      <c r="C3788" s="4"/>
      <c r="D3788" s="4"/>
      <c r="E3788" s="4"/>
      <c r="F3788" s="4"/>
      <c r="G3788" s="4" t="s">
        <v>10</v>
      </c>
      <c r="H3788" s="4"/>
      <c r="J3788" s="18" t="s">
        <v>2473</v>
      </c>
      <c r="K3788" s="18" t="s">
        <v>2473</v>
      </c>
      <c r="Z3788" s="8" t="s">
        <v>4</v>
      </c>
      <c r="AB3788" s="8" t="s">
        <v>4354</v>
      </c>
      <c r="AC3788" s="183" t="s">
        <v>6</v>
      </c>
      <c r="AD3788" s="183" t="s">
        <v>5292</v>
      </c>
      <c r="AE3788" s="184"/>
      <c r="AF3788" s="184"/>
      <c r="AG3788" s="183" t="s">
        <v>4355</v>
      </c>
      <c r="AH3788" s="183" t="s">
        <v>5287</v>
      </c>
      <c r="AI3788" s="183" t="s">
        <v>4357</v>
      </c>
      <c r="AU3788" s="202" t="s">
        <v>5290</v>
      </c>
      <c r="AV3788" s="6" t="str">
        <f t="shared" si="78"/>
        <v/>
      </c>
    </row>
    <row r="3789" spans="1:48" ht="14.65" thickBot="1" x14ac:dyDescent="0.5">
      <c r="A3789" s="35" t="s">
        <v>33</v>
      </c>
      <c r="B3789" s="3" t="s">
        <v>4411</v>
      </c>
      <c r="C3789" s="2"/>
      <c r="D3789" s="2"/>
      <c r="E3789" s="2"/>
      <c r="F3789" s="2"/>
      <c r="G3789" s="2"/>
      <c r="H3789" s="2"/>
      <c r="J3789" s="18" t="s">
        <v>2473</v>
      </c>
      <c r="K3789" s="18" t="s">
        <v>2473</v>
      </c>
      <c r="L3789" s="18" t="s">
        <v>2335</v>
      </c>
      <c r="AU3789" s="6"/>
      <c r="AV3789" s="6" t="str">
        <f t="shared" si="78"/>
        <v/>
      </c>
    </row>
    <row r="3790" spans="1:48" x14ac:dyDescent="0.45">
      <c r="A3790" s="33" t="s">
        <v>4412</v>
      </c>
      <c r="J3790" s="18" t="s">
        <v>2473</v>
      </c>
      <c r="K3790" s="18" t="s">
        <v>2473</v>
      </c>
      <c r="L3790" s="18" t="s">
        <v>2335</v>
      </c>
      <c r="AU3790" s="6"/>
      <c r="AV3790" s="6" t="str">
        <f t="shared" si="78"/>
        <v/>
      </c>
    </row>
    <row r="3791" spans="1:48" x14ac:dyDescent="0.45">
      <c r="A3791" s="34" t="s">
        <v>4490</v>
      </c>
      <c r="J3791" s="18" t="s">
        <v>2473</v>
      </c>
      <c r="K3791" s="18" t="s">
        <v>2473</v>
      </c>
      <c r="L3791" s="18" t="s">
        <v>2335</v>
      </c>
      <c r="AU3791" s="6"/>
      <c r="AV3791" s="6" t="str">
        <f t="shared" si="78"/>
        <v/>
      </c>
    </row>
    <row r="3792" spans="1:48" s="79" customFormat="1" ht="14.65" thickBot="1" x14ac:dyDescent="0.5">
      <c r="A3792" s="75"/>
      <c r="B3792" s="76"/>
      <c r="C3792" s="77"/>
      <c r="D3792" s="77"/>
      <c r="E3792" s="77"/>
      <c r="F3792" s="77"/>
      <c r="G3792" s="77"/>
      <c r="H3792" s="77"/>
      <c r="I3792" s="77"/>
      <c r="J3792" s="77"/>
      <c r="K3792" s="77"/>
      <c r="L3792" s="77"/>
      <c r="M3792" s="148"/>
      <c r="N3792" s="78"/>
      <c r="O3792" s="78"/>
      <c r="P3792" s="78"/>
      <c r="Q3792" s="78"/>
      <c r="R3792" s="78"/>
      <c r="S3792" s="78"/>
      <c r="T3792" s="78"/>
      <c r="U3792" s="78"/>
      <c r="V3792" s="78"/>
      <c r="W3792" s="78"/>
      <c r="X3792" s="78"/>
      <c r="Y3792" s="148"/>
      <c r="Z3792" s="78"/>
      <c r="AA3792" s="78"/>
      <c r="AB3792" s="78"/>
      <c r="AC3792" s="78"/>
      <c r="AD3792" s="78"/>
      <c r="AE3792" s="156"/>
      <c r="AF3792" s="156"/>
      <c r="AG3792" s="78"/>
      <c r="AH3792" s="78"/>
      <c r="AI3792" s="78"/>
      <c r="AJ3792" s="78"/>
      <c r="AK3792" s="78"/>
      <c r="AL3792" s="78"/>
      <c r="AM3792" s="78"/>
      <c r="AN3792" s="78"/>
      <c r="AO3792" s="78"/>
      <c r="AP3792" s="78"/>
      <c r="AQ3792" s="78"/>
      <c r="AR3792" s="286"/>
      <c r="AS3792" s="78"/>
      <c r="AT3792" s="78"/>
      <c r="AU3792" s="8"/>
      <c r="AV3792" s="6" t="str">
        <f t="shared" si="78"/>
        <v/>
      </c>
    </row>
    <row r="3793" spans="1:48" ht="14.65" thickBot="1" x14ac:dyDescent="0.5">
      <c r="A3793" s="39" t="s">
        <v>2370</v>
      </c>
      <c r="J3793" s="18" t="s">
        <v>2473</v>
      </c>
      <c r="K3793" s="18" t="s">
        <v>2473</v>
      </c>
      <c r="R3793" s="111" t="s">
        <v>3426</v>
      </c>
      <c r="S3793" s="349" t="s">
        <v>823</v>
      </c>
      <c r="T3793" s="350"/>
      <c r="U3793" s="350"/>
      <c r="V3793" s="350"/>
      <c r="W3793" s="350"/>
      <c r="X3793" s="351"/>
      <c r="Y3793" s="118"/>
      <c r="Z3793" s="185"/>
      <c r="AA3793" s="185"/>
      <c r="AB3793" s="185"/>
      <c r="AC3793" s="185"/>
      <c r="AD3793" s="185"/>
      <c r="AE3793" s="186"/>
      <c r="AF3793" s="186"/>
      <c r="AG3793" s="185"/>
      <c r="AH3793" s="185"/>
      <c r="AI3793" s="185"/>
      <c r="AJ3793" s="185"/>
      <c r="AK3793" s="185"/>
      <c r="AL3793" s="185"/>
      <c r="AM3793" s="185"/>
      <c r="AN3793" s="117"/>
      <c r="AO3793" s="117"/>
      <c r="AP3793" s="117"/>
      <c r="AQ3793" s="117"/>
      <c r="AR3793" s="287"/>
      <c r="AS3793" s="258"/>
      <c r="AT3793" s="185"/>
      <c r="AV3793" s="6" t="str">
        <f t="shared" si="78"/>
        <v/>
      </c>
    </row>
    <row r="3794" spans="1:48" ht="23.65" thickBot="1" x14ac:dyDescent="0.5">
      <c r="A3794" s="40" t="s">
        <v>5340</v>
      </c>
      <c r="J3794" s="18" t="s">
        <v>2473</v>
      </c>
      <c r="K3794" s="18" t="s">
        <v>2473</v>
      </c>
      <c r="R3794" s="122" t="s">
        <v>3427</v>
      </c>
      <c r="S3794" s="352" t="s">
        <v>3451</v>
      </c>
      <c r="T3794" s="353"/>
      <c r="U3794" s="353"/>
      <c r="V3794" s="353"/>
      <c r="W3794" s="353"/>
      <c r="X3794" s="354"/>
      <c r="Y3794" s="149"/>
      <c r="Z3794" s="183" t="s">
        <v>4347</v>
      </c>
      <c r="AA3794" s="183" t="s">
        <v>2322</v>
      </c>
      <c r="AB3794" s="183" t="s">
        <v>1697</v>
      </c>
      <c r="AC3794" s="183" t="s">
        <v>5</v>
      </c>
      <c r="AD3794" s="183" t="s">
        <v>4339</v>
      </c>
      <c r="AE3794" s="184" t="s">
        <v>4338</v>
      </c>
      <c r="AF3794" s="184" t="s">
        <v>4350</v>
      </c>
      <c r="AG3794" s="183" t="s">
        <v>1695</v>
      </c>
      <c r="AH3794" s="183" t="s">
        <v>4351</v>
      </c>
      <c r="AI3794" s="8" t="s">
        <v>4455</v>
      </c>
      <c r="AJ3794" s="183" t="s">
        <v>5051</v>
      </c>
      <c r="AK3794" s="183"/>
      <c r="AL3794" s="183"/>
      <c r="AM3794" s="183"/>
      <c r="AN3794" s="131"/>
      <c r="AO3794" s="131"/>
      <c r="AP3794" s="131"/>
      <c r="AQ3794" s="131"/>
      <c r="AR3794" s="288"/>
      <c r="AS3794" s="259"/>
      <c r="AT3794" s="183"/>
      <c r="AV3794" s="6" t="str">
        <f t="shared" si="78"/>
        <v/>
      </c>
    </row>
    <row r="3795" spans="1:48" ht="151.5" thickBot="1" x14ac:dyDescent="0.5">
      <c r="A3795" s="315" t="s">
        <v>4382</v>
      </c>
      <c r="B3795" s="316"/>
      <c r="C3795" s="301" t="s">
        <v>1</v>
      </c>
      <c r="D3795" s="319"/>
      <c r="E3795" s="319"/>
      <c r="F3795" s="302"/>
      <c r="G3795" s="102"/>
      <c r="H3795" s="102"/>
      <c r="J3795" s="18" t="s">
        <v>2473</v>
      </c>
      <c r="K3795" s="18" t="s">
        <v>2473</v>
      </c>
      <c r="R3795" s="122" t="s">
        <v>3428</v>
      </c>
      <c r="S3795" s="352" t="b">
        <v>0</v>
      </c>
      <c r="T3795" s="353"/>
      <c r="U3795" s="353"/>
      <c r="V3795" s="353"/>
      <c r="W3795" s="353"/>
      <c r="X3795" s="354"/>
      <c r="Y3795" s="149"/>
      <c r="Z3795" s="183" t="s">
        <v>2322</v>
      </c>
      <c r="AA3795" s="183" t="str">
        <f>LEFT($A3795,FIND(" ",$A3795)-1)</f>
        <v>VirtualMachine</v>
      </c>
      <c r="AB3795" s="183" t="str">
        <f>MID($A3795,FIND("(",$A3795)+1,LEN($A3795)-FIND("(",$A3795)-1)</f>
        <v>1.0.0</v>
      </c>
      <c r="AC3795" s="101" t="str">
        <f>A3794</f>
        <v>This resource describes a virtual machine running on the device from the host perspective. Note that the VM may be statically provisioned or dynamically orchestrated.</v>
      </c>
      <c r="AD3795" s="101" t="s">
        <v>4751</v>
      </c>
      <c r="AE3795" s="188" t="s">
        <v>3623</v>
      </c>
      <c r="AF3795" s="184" t="s">
        <v>4352</v>
      </c>
      <c r="AG3795" s="183" t="s">
        <v>4357</v>
      </c>
      <c r="AH3795" s="183" t="s">
        <v>4352</v>
      </c>
      <c r="AI3795" s="183" t="s">
        <v>5248</v>
      </c>
      <c r="AJ3795" s="183"/>
      <c r="AK3795" s="183"/>
      <c r="AL3795" s="183"/>
      <c r="AM3795" s="183"/>
      <c r="AN3795" s="131"/>
      <c r="AO3795" s="131"/>
      <c r="AP3795" s="131"/>
      <c r="AQ3795" s="131"/>
      <c r="AR3795" s="288"/>
      <c r="AS3795" s="259"/>
      <c r="AT3795" s="183"/>
      <c r="AU3795" s="202" t="s">
        <v>5281</v>
      </c>
      <c r="AV3795" s="6" t="str">
        <f t="shared" si="78"/>
        <v/>
      </c>
    </row>
    <row r="3796" spans="1:48" ht="24.4" thickBot="1" x14ac:dyDescent="0.5">
      <c r="A3796" s="317"/>
      <c r="B3796" s="318"/>
      <c r="C3796" s="301" t="s">
        <v>2</v>
      </c>
      <c r="D3796" s="302"/>
      <c r="E3796" s="301" t="s">
        <v>3</v>
      </c>
      <c r="F3796" s="302"/>
      <c r="G3796" s="301" t="s">
        <v>2896</v>
      </c>
      <c r="H3796" s="302"/>
      <c r="J3796" s="18" t="s">
        <v>2473</v>
      </c>
      <c r="K3796" s="18" t="s">
        <v>2473</v>
      </c>
      <c r="R3796" s="113"/>
      <c r="S3796" s="352"/>
      <c r="T3796" s="353"/>
      <c r="U3796" s="353"/>
      <c r="V3796" s="353"/>
      <c r="W3796" s="353"/>
      <c r="X3796" s="354"/>
      <c r="Y3796" s="149"/>
      <c r="Z3796" s="183"/>
      <c r="AA3796" s="183"/>
      <c r="AB3796" s="183"/>
      <c r="AC3796" s="183"/>
      <c r="AD3796" s="183"/>
      <c r="AE3796" s="184"/>
      <c r="AF3796" s="184"/>
      <c r="AG3796" s="183"/>
      <c r="AH3796" s="183"/>
      <c r="AI3796" s="183"/>
      <c r="AJ3796" s="183"/>
      <c r="AK3796" s="183"/>
      <c r="AL3796" s="183"/>
      <c r="AM3796" s="8" t="str">
        <f>C3796</f>
        <v>OSM-Redfish</v>
      </c>
      <c r="AN3796" s="8" t="str">
        <f>E3796</f>
        <v>OSM-RedfishBMC</v>
      </c>
      <c r="AO3796" s="8" t="str">
        <f>G3796</f>
        <v>OSM-RedfishDCN</v>
      </c>
      <c r="AP3796" s="131"/>
      <c r="AQ3796" s="131"/>
      <c r="AR3796" s="288"/>
      <c r="AS3796" s="259"/>
      <c r="AT3796" s="183"/>
      <c r="AV3796" s="6" t="str">
        <f t="shared" si="78"/>
        <v/>
      </c>
    </row>
    <row r="3797" spans="1:48" ht="35.25" thickBot="1" x14ac:dyDescent="0.5">
      <c r="A3797" s="46" t="s">
        <v>2377</v>
      </c>
      <c r="B3797" s="47"/>
      <c r="C3797" s="303"/>
      <c r="D3797" s="304"/>
      <c r="E3797" s="303"/>
      <c r="F3797" s="304"/>
      <c r="G3797" s="303" t="s">
        <v>13</v>
      </c>
      <c r="H3797" s="304"/>
      <c r="J3797" s="18" t="s">
        <v>2473</v>
      </c>
      <c r="K3797" s="18" t="s">
        <v>2473</v>
      </c>
      <c r="R3797" s="130"/>
      <c r="S3797" s="358" t="s">
        <v>3430</v>
      </c>
      <c r="T3797" s="358" t="s">
        <v>3427</v>
      </c>
      <c r="U3797" s="358" t="s">
        <v>3431</v>
      </c>
      <c r="V3797" s="358" t="s">
        <v>3432</v>
      </c>
      <c r="W3797" s="358" t="s">
        <v>3433</v>
      </c>
      <c r="X3797" s="360" t="s">
        <v>3434</v>
      </c>
      <c r="Y3797" s="118" t="s">
        <v>3965</v>
      </c>
      <c r="Z3797" s="185"/>
      <c r="AA3797" s="185"/>
      <c r="AB3797" s="185"/>
      <c r="AC3797" s="185"/>
      <c r="AD3797" s="185"/>
      <c r="AE3797" s="186"/>
      <c r="AF3797" s="186"/>
      <c r="AG3797" s="185"/>
      <c r="AH3797" s="185"/>
      <c r="AI3797" s="185"/>
      <c r="AJ3797" s="185"/>
      <c r="AK3797" s="185"/>
      <c r="AL3797" s="185"/>
      <c r="AM3797" s="8" t="str">
        <f>IF(C3797&lt;&gt;"","CRQ-P5-"&amp;(AM$2+$AP3797*$AP$3),"")</f>
        <v/>
      </c>
      <c r="AN3797" s="8" t="str">
        <f>IF(E3797&lt;&gt;"","CRQ-P5-"&amp;(AN$2+$AP3797*$AP$3),"")</f>
        <v/>
      </c>
      <c r="AO3797" s="8" t="str">
        <f>IF(G3797&lt;&gt;"","CRQ-P5-"&amp;(AO$2+$AP3797*$AP$3),"")</f>
        <v>CRQ-P5-1860</v>
      </c>
      <c r="AP3797" s="117">
        <v>65</v>
      </c>
      <c r="AQ3797" s="117"/>
      <c r="AR3797" s="287"/>
      <c r="AS3797" s="258"/>
      <c r="AT3797" s="234" t="s">
        <v>5316</v>
      </c>
      <c r="AU3797" s="6"/>
      <c r="AV3797" s="6" t="str">
        <f t="shared" si="78"/>
        <v/>
      </c>
    </row>
    <row r="3798" spans="1:48" ht="14.65" thickBot="1" x14ac:dyDescent="0.5">
      <c r="A3798" s="29" t="s">
        <v>3394</v>
      </c>
      <c r="B3798" s="9"/>
      <c r="C3798" s="305"/>
      <c r="D3798" s="306"/>
      <c r="E3798" s="305"/>
      <c r="F3798" s="306"/>
      <c r="G3798" s="305" t="s">
        <v>3395</v>
      </c>
      <c r="H3798" s="306"/>
      <c r="J3798" s="18" t="s">
        <v>2473</v>
      </c>
      <c r="K3798" s="18" t="s">
        <v>2473</v>
      </c>
      <c r="R3798" s="111" t="s">
        <v>3429</v>
      </c>
      <c r="S3798" s="359"/>
      <c r="T3798" s="359"/>
      <c r="U3798" s="359"/>
      <c r="V3798" s="359"/>
      <c r="W3798" s="359"/>
      <c r="X3798" s="361"/>
      <c r="Y3798" s="118"/>
      <c r="Z3798" s="185"/>
      <c r="AA3798" s="185"/>
      <c r="AB3798" s="185"/>
      <c r="AC3798" s="185"/>
      <c r="AD3798" s="185"/>
      <c r="AE3798" s="186"/>
      <c r="AF3798" s="186"/>
      <c r="AG3798" s="185"/>
      <c r="AH3798" s="185"/>
      <c r="AI3798" s="185"/>
      <c r="AJ3798" s="185"/>
      <c r="AK3798" s="185"/>
      <c r="AL3798" s="185"/>
      <c r="AM3798" s="185"/>
      <c r="AN3798" s="117"/>
      <c r="AO3798" s="117"/>
      <c r="AP3798" s="117"/>
      <c r="AQ3798" s="117"/>
      <c r="AR3798" s="287"/>
      <c r="AS3798" s="258"/>
      <c r="AT3798" s="185"/>
      <c r="AU3798" s="6"/>
      <c r="AV3798" s="6" t="str">
        <f t="shared" si="78"/>
        <v/>
      </c>
    </row>
    <row r="3799" spans="1:48" ht="14.65" thickBot="1" x14ac:dyDescent="0.5">
      <c r="A3799" s="30" t="s">
        <v>4</v>
      </c>
      <c r="B3799" s="59" t="s">
        <v>5</v>
      </c>
      <c r="C3799" s="7" t="s">
        <v>6</v>
      </c>
      <c r="D3799" s="7" t="s">
        <v>7</v>
      </c>
      <c r="E3799" s="7" t="s">
        <v>6</v>
      </c>
      <c r="F3799" s="7" t="s">
        <v>7</v>
      </c>
      <c r="G3799" s="7" t="s">
        <v>6</v>
      </c>
      <c r="H3799" s="7" t="s">
        <v>7</v>
      </c>
      <c r="J3799" s="18" t="s">
        <v>2473</v>
      </c>
      <c r="K3799" s="18" t="s">
        <v>2473</v>
      </c>
      <c r="R3799" s="352" t="s">
        <v>4040</v>
      </c>
      <c r="S3799" s="353"/>
      <c r="T3799" s="353"/>
      <c r="U3799" s="353"/>
      <c r="V3799" s="353"/>
      <c r="W3799" s="357"/>
      <c r="X3799" s="113"/>
      <c r="Y3799" s="149"/>
      <c r="Z3799" s="183" t="s">
        <v>4347</v>
      </c>
      <c r="AA3799" s="183" t="s">
        <v>4343</v>
      </c>
      <c r="AB3799" s="183" t="s">
        <v>4172</v>
      </c>
      <c r="AC3799" s="183" t="s">
        <v>4340</v>
      </c>
      <c r="AD3799" s="183" t="s">
        <v>4339</v>
      </c>
      <c r="AE3799" s="184" t="s">
        <v>4341</v>
      </c>
      <c r="AF3799" s="184" t="s">
        <v>4342</v>
      </c>
      <c r="AG3799" s="183" t="s">
        <v>4353</v>
      </c>
      <c r="AH3799" s="183" t="s">
        <v>3429</v>
      </c>
      <c r="AI3799" s="183" t="s">
        <v>4356</v>
      </c>
      <c r="AJ3799" s="183" t="s">
        <v>4364</v>
      </c>
      <c r="AK3799" s="183" t="s">
        <v>4441</v>
      </c>
      <c r="AL3799" s="183" t="s">
        <v>694</v>
      </c>
      <c r="AM3799" s="183"/>
      <c r="AN3799" s="131"/>
      <c r="AO3799" s="131"/>
      <c r="AP3799" s="131"/>
      <c r="AQ3799" s="131"/>
      <c r="AR3799" s="288"/>
      <c r="AS3799" s="259"/>
      <c r="AT3799" s="183"/>
      <c r="AV3799" s="6" t="str">
        <f t="shared" si="78"/>
        <v/>
      </c>
    </row>
    <row r="3800" spans="1:48" ht="14.65" thickBot="1" x14ac:dyDescent="0.5">
      <c r="A3800" s="36" t="s">
        <v>8</v>
      </c>
      <c r="B3800" s="3" t="s">
        <v>3677</v>
      </c>
      <c r="C3800" s="51"/>
      <c r="D3800" s="51"/>
      <c r="E3800" s="51"/>
      <c r="F3800" s="51"/>
      <c r="G3800" s="4" t="s">
        <v>13</v>
      </c>
      <c r="H3800" s="51"/>
      <c r="J3800" s="18" t="s">
        <v>2473</v>
      </c>
      <c r="K3800" s="18" t="s">
        <v>2473</v>
      </c>
      <c r="L3800" s="18" t="s">
        <v>2336</v>
      </c>
      <c r="Z3800" s="8" t="s">
        <v>4</v>
      </c>
      <c r="AB3800" s="8" t="s">
        <v>4348</v>
      </c>
      <c r="AV3800" s="6" t="str">
        <f t="shared" si="78"/>
        <v/>
      </c>
    </row>
    <row r="3801" spans="1:48" ht="47.65" thickBot="1" x14ac:dyDescent="0.5">
      <c r="A3801" s="35" t="s">
        <v>3398</v>
      </c>
      <c r="B3801" s="3" t="s">
        <v>3678</v>
      </c>
      <c r="C3801" s="4"/>
      <c r="D3801" s="4"/>
      <c r="E3801" s="4"/>
      <c r="F3801" s="4"/>
      <c r="G3801" s="4" t="s">
        <v>13</v>
      </c>
      <c r="H3801" s="4"/>
      <c r="J3801" s="18" t="s">
        <v>2473</v>
      </c>
      <c r="K3801" s="18" t="s">
        <v>2473</v>
      </c>
      <c r="L3801" s="18" t="s">
        <v>2336</v>
      </c>
      <c r="Z3801" s="8" t="s">
        <v>4363</v>
      </c>
      <c r="AD3801" s="8" t="s">
        <v>4842</v>
      </c>
      <c r="AJ3801" s="8" t="s">
        <v>4357</v>
      </c>
      <c r="AU3801" s="8"/>
      <c r="AV3801" s="6" t="str">
        <f t="shared" si="78"/>
        <v/>
      </c>
    </row>
    <row r="3802" spans="1:48" ht="47.65" thickBot="1" x14ac:dyDescent="0.5">
      <c r="A3802" s="35" t="s">
        <v>3399</v>
      </c>
      <c r="B3802" s="3" t="s">
        <v>3679</v>
      </c>
      <c r="C3802" s="4"/>
      <c r="D3802" s="4"/>
      <c r="E3802" s="4"/>
      <c r="F3802" s="4"/>
      <c r="G3802" s="4" t="s">
        <v>13</v>
      </c>
      <c r="H3802" s="4"/>
      <c r="J3802" s="18" t="s">
        <v>2473</v>
      </c>
      <c r="K3802" s="18" t="s">
        <v>2473</v>
      </c>
      <c r="L3802" s="18" t="s">
        <v>2336</v>
      </c>
      <c r="Z3802" s="8" t="s">
        <v>4363</v>
      </c>
      <c r="AD3802" s="8" t="s">
        <v>4843</v>
      </c>
      <c r="AJ3802" s="8" t="s">
        <v>4357</v>
      </c>
      <c r="AU3802" s="8"/>
      <c r="AV3802" s="6" t="str">
        <f t="shared" si="78"/>
        <v/>
      </c>
    </row>
    <row r="3803" spans="1:48" ht="47.65" thickBot="1" x14ac:dyDescent="0.5">
      <c r="A3803" s="35" t="s">
        <v>3400</v>
      </c>
      <c r="B3803" s="3" t="s">
        <v>3680</v>
      </c>
      <c r="C3803" s="4"/>
      <c r="D3803" s="4"/>
      <c r="E3803" s="4"/>
      <c r="F3803" s="4"/>
      <c r="G3803" s="4" t="s">
        <v>13</v>
      </c>
      <c r="H3803" s="4"/>
      <c r="J3803" s="18" t="s">
        <v>2473</v>
      </c>
      <c r="K3803" s="18" t="s">
        <v>2473</v>
      </c>
      <c r="L3803" s="18" t="s">
        <v>2336</v>
      </c>
      <c r="Z3803" s="8" t="s">
        <v>4363</v>
      </c>
      <c r="AD3803" s="8" t="s">
        <v>4844</v>
      </c>
      <c r="AJ3803" s="8" t="s">
        <v>4357</v>
      </c>
      <c r="AU3803" s="8"/>
      <c r="AV3803" s="6" t="str">
        <f t="shared" si="78"/>
        <v/>
      </c>
    </row>
    <row r="3804" spans="1:48" ht="47.65" thickBot="1" x14ac:dyDescent="0.5">
      <c r="A3804" s="35" t="s">
        <v>2554</v>
      </c>
      <c r="B3804" s="3" t="s">
        <v>3681</v>
      </c>
      <c r="C3804" s="4"/>
      <c r="D3804" s="4"/>
      <c r="E3804" s="4"/>
      <c r="F3804" s="4"/>
      <c r="G3804" s="4" t="s">
        <v>13</v>
      </c>
      <c r="H3804" s="4"/>
      <c r="J3804" s="18" t="s">
        <v>2473</v>
      </c>
      <c r="K3804" s="18" t="s">
        <v>2473</v>
      </c>
      <c r="L3804" s="18" t="s">
        <v>2336</v>
      </c>
      <c r="Z3804" s="8" t="s">
        <v>4363</v>
      </c>
      <c r="AD3804" s="8" t="s">
        <v>4845</v>
      </c>
      <c r="AJ3804" s="8" t="s">
        <v>4357</v>
      </c>
      <c r="AU3804" s="8"/>
      <c r="AV3804" s="6" t="str">
        <f t="shared" si="78"/>
        <v/>
      </c>
    </row>
    <row r="3805" spans="1:48" ht="47.65" thickBot="1" x14ac:dyDescent="0.5">
      <c r="A3805" s="35" t="s">
        <v>3401</v>
      </c>
      <c r="B3805" s="3" t="s">
        <v>3682</v>
      </c>
      <c r="C3805" s="4"/>
      <c r="D3805" s="4"/>
      <c r="E3805" s="4"/>
      <c r="F3805" s="4"/>
      <c r="G3805" s="4" t="s">
        <v>13</v>
      </c>
      <c r="H3805" s="4"/>
      <c r="J3805" s="18" t="s">
        <v>2473</v>
      </c>
      <c r="K3805" s="18" t="s">
        <v>2473</v>
      </c>
      <c r="L3805" s="18" t="s">
        <v>2336</v>
      </c>
      <c r="Z3805" s="8" t="s">
        <v>4363</v>
      </c>
      <c r="AD3805" s="8" t="s">
        <v>4846</v>
      </c>
      <c r="AJ3805" s="8" t="s">
        <v>4357</v>
      </c>
      <c r="AU3805" s="8"/>
      <c r="AV3805" s="6" t="str">
        <f t="shared" si="78"/>
        <v/>
      </c>
    </row>
    <row r="3806" spans="1:48" ht="47.65" thickBot="1" x14ac:dyDescent="0.5">
      <c r="A3806" s="35" t="s">
        <v>3402</v>
      </c>
      <c r="B3806" s="3" t="s">
        <v>3683</v>
      </c>
      <c r="C3806" s="4"/>
      <c r="D3806" s="4"/>
      <c r="E3806" s="4"/>
      <c r="F3806" s="4"/>
      <c r="G3806" s="4" t="s">
        <v>13</v>
      </c>
      <c r="H3806" s="4"/>
      <c r="J3806" s="18" t="s">
        <v>2473</v>
      </c>
      <c r="K3806" s="18" t="s">
        <v>2473</v>
      </c>
      <c r="L3806" s="18" t="s">
        <v>2336</v>
      </c>
      <c r="Z3806" s="8" t="s">
        <v>4363</v>
      </c>
      <c r="AD3806" s="8" t="s">
        <v>4847</v>
      </c>
      <c r="AJ3806" s="8" t="s">
        <v>4357</v>
      </c>
      <c r="AU3806" s="8"/>
      <c r="AV3806" s="6" t="str">
        <f t="shared" si="78"/>
        <v/>
      </c>
    </row>
    <row r="3807" spans="1:48" ht="46.9" thickBot="1" x14ac:dyDescent="0.5">
      <c r="A3807" s="44" t="s">
        <v>4618</v>
      </c>
      <c r="B3807" s="50" t="s">
        <v>3684</v>
      </c>
      <c r="C3807" s="14"/>
      <c r="D3807" s="20"/>
      <c r="E3807" s="14"/>
      <c r="F3807" s="20"/>
      <c r="G3807" s="14" t="s">
        <v>10</v>
      </c>
      <c r="H3807" s="20"/>
      <c r="J3807" s="18" t="s">
        <v>2473</v>
      </c>
      <c r="K3807" s="18" t="s">
        <v>2473</v>
      </c>
      <c r="R3807" s="122" t="s">
        <v>3529</v>
      </c>
      <c r="S3807" s="114" t="s">
        <v>4</v>
      </c>
      <c r="T3807" s="114" t="s">
        <v>3425</v>
      </c>
      <c r="U3807" s="114" t="s">
        <v>3521</v>
      </c>
      <c r="V3807" s="114" t="s">
        <v>3530</v>
      </c>
      <c r="W3807" s="114" t="s">
        <v>3436</v>
      </c>
      <c r="X3807" s="114" t="s">
        <v>13</v>
      </c>
      <c r="Y3807" s="149"/>
      <c r="Z3807" s="183" t="s">
        <v>4</v>
      </c>
      <c r="AA3807" s="183"/>
      <c r="AB3807" s="183" t="s">
        <v>4493</v>
      </c>
      <c r="AC3807" s="183" t="s">
        <v>6</v>
      </c>
      <c r="AD3807" s="183" t="s">
        <v>4853</v>
      </c>
      <c r="AE3807" s="184"/>
      <c r="AF3807" s="184"/>
      <c r="AG3807" s="183"/>
      <c r="AH3807" s="183"/>
      <c r="AI3807" s="183"/>
      <c r="AJ3807" s="183"/>
      <c r="AK3807" s="183"/>
      <c r="AL3807" s="183"/>
      <c r="AM3807" s="183"/>
      <c r="AN3807" s="131"/>
      <c r="AO3807" s="131"/>
      <c r="AP3807" s="131"/>
      <c r="AQ3807" s="131"/>
      <c r="AR3807" s="288"/>
      <c r="AS3807" s="259"/>
      <c r="AT3807" s="183"/>
      <c r="AV3807" s="6" t="str">
        <f t="shared" si="78"/>
        <v>ERROR</v>
      </c>
    </row>
    <row r="3808" spans="1:48" ht="35.25" thickBot="1" x14ac:dyDescent="0.5">
      <c r="A3808" s="44" t="s">
        <v>2361</v>
      </c>
      <c r="B3808" s="50" t="s">
        <v>3685</v>
      </c>
      <c r="C3808" s="14"/>
      <c r="D3808" s="20"/>
      <c r="E3808" s="14"/>
      <c r="F3808" s="20"/>
      <c r="G3808" s="14" t="s">
        <v>10</v>
      </c>
      <c r="H3808" s="20"/>
      <c r="J3808" s="18" t="s">
        <v>2473</v>
      </c>
      <c r="K3808" s="18" t="s">
        <v>2473</v>
      </c>
      <c r="R3808" s="122" t="s">
        <v>3529</v>
      </c>
      <c r="S3808" s="114" t="s">
        <v>4</v>
      </c>
      <c r="T3808" s="114" t="s">
        <v>2361</v>
      </c>
      <c r="U3808" s="114" t="s">
        <v>3521</v>
      </c>
      <c r="V3808" s="114" t="s">
        <v>3530</v>
      </c>
      <c r="W3808" s="114" t="s">
        <v>3436</v>
      </c>
      <c r="X3808" s="114" t="s">
        <v>13</v>
      </c>
      <c r="Y3808" s="149"/>
      <c r="Z3808" s="183" t="s">
        <v>4</v>
      </c>
      <c r="AA3808" s="183"/>
      <c r="AB3808" s="183" t="s">
        <v>758</v>
      </c>
      <c r="AC3808" s="183" t="s">
        <v>6</v>
      </c>
      <c r="AD3808" s="183" t="s">
        <v>4854</v>
      </c>
      <c r="AE3808" s="184"/>
      <c r="AF3808" s="184"/>
      <c r="AG3808" s="183"/>
      <c r="AH3808" s="183"/>
      <c r="AI3808" s="183"/>
      <c r="AJ3808" s="183"/>
      <c r="AK3808" s="183"/>
      <c r="AL3808" s="183"/>
      <c r="AM3808" s="183"/>
      <c r="AN3808" s="131"/>
      <c r="AO3808" s="131"/>
      <c r="AP3808" s="131"/>
      <c r="AQ3808" s="131"/>
      <c r="AR3808" s="288"/>
      <c r="AS3808" s="259"/>
      <c r="AT3808" s="183"/>
      <c r="AV3808" s="6" t="str">
        <f t="shared" si="78"/>
        <v>OK</v>
      </c>
    </row>
    <row r="3809" spans="1:48" ht="93.4" thickBot="1" x14ac:dyDescent="0.5">
      <c r="A3809" s="44" t="s">
        <v>2362</v>
      </c>
      <c r="B3809" s="50" t="s">
        <v>4034</v>
      </c>
      <c r="C3809" s="14"/>
      <c r="D3809" s="20"/>
      <c r="E3809" s="14"/>
      <c r="F3809" s="20"/>
      <c r="G3809" s="14" t="s">
        <v>10</v>
      </c>
      <c r="H3809" s="20"/>
      <c r="J3809" s="18" t="s">
        <v>2473</v>
      </c>
      <c r="K3809" s="18" t="s">
        <v>2473</v>
      </c>
      <c r="R3809" s="122" t="s">
        <v>3529</v>
      </c>
      <c r="S3809" s="114" t="s">
        <v>4</v>
      </c>
      <c r="T3809" s="114" t="s">
        <v>2362</v>
      </c>
      <c r="U3809" s="114" t="s">
        <v>3521</v>
      </c>
      <c r="V3809" s="114" t="s">
        <v>3530</v>
      </c>
      <c r="W3809" s="114" t="s">
        <v>3436</v>
      </c>
      <c r="X3809" s="114" t="s">
        <v>13</v>
      </c>
      <c r="Y3809" s="149"/>
      <c r="Z3809" s="183" t="s">
        <v>4</v>
      </c>
      <c r="AA3809" s="183"/>
      <c r="AB3809" s="183" t="s">
        <v>758</v>
      </c>
      <c r="AC3809" s="183" t="s">
        <v>6</v>
      </c>
      <c r="AD3809" s="183" t="s">
        <v>4860</v>
      </c>
      <c r="AE3809" s="184"/>
      <c r="AF3809" s="184"/>
      <c r="AG3809" s="183"/>
      <c r="AH3809" s="183"/>
      <c r="AI3809" s="183"/>
      <c r="AJ3809" s="183"/>
      <c r="AK3809" s="183"/>
      <c r="AL3809" s="183"/>
      <c r="AM3809" s="183"/>
      <c r="AN3809" s="131"/>
      <c r="AO3809" s="131"/>
      <c r="AP3809" s="131"/>
      <c r="AQ3809" s="131"/>
      <c r="AR3809" s="288"/>
      <c r="AS3809" s="259"/>
      <c r="AT3809" s="183"/>
      <c r="AV3809" s="6" t="str">
        <f t="shared" si="78"/>
        <v>OK</v>
      </c>
    </row>
    <row r="3810" spans="1:48" ht="58.5" thickBot="1" x14ac:dyDescent="0.5">
      <c r="A3810" s="44" t="s">
        <v>4617</v>
      </c>
      <c r="B3810" s="50" t="s">
        <v>3687</v>
      </c>
      <c r="C3810" s="14"/>
      <c r="D3810" s="20"/>
      <c r="E3810" s="14"/>
      <c r="F3810" s="20"/>
      <c r="G3810" s="14" t="s">
        <v>10</v>
      </c>
      <c r="H3810" s="20"/>
      <c r="J3810" s="18" t="s">
        <v>2473</v>
      </c>
      <c r="K3810" s="18" t="s">
        <v>2473</v>
      </c>
      <c r="R3810" s="122" t="s">
        <v>3435</v>
      </c>
      <c r="S3810" s="114" t="s">
        <v>3437</v>
      </c>
      <c r="T3810" s="114" t="s">
        <v>2884</v>
      </c>
      <c r="U3810" s="114"/>
      <c r="V3810" s="114" t="s">
        <v>3549</v>
      </c>
      <c r="W3810" s="114" t="s">
        <v>3436</v>
      </c>
      <c r="X3810" s="114" t="s">
        <v>13</v>
      </c>
      <c r="Y3810" s="149"/>
      <c r="Z3810" s="183" t="s">
        <v>4</v>
      </c>
      <c r="AA3810" s="183"/>
      <c r="AB3810" s="183" t="s">
        <v>4349</v>
      </c>
      <c r="AC3810" s="183"/>
      <c r="AD3810" s="183" t="s">
        <v>4862</v>
      </c>
      <c r="AE3810" s="184"/>
      <c r="AF3810" s="184"/>
      <c r="AG3810" s="183"/>
      <c r="AH3810" s="183"/>
      <c r="AI3810" s="183" t="str">
        <f>"true"</f>
        <v>true</v>
      </c>
      <c r="AJ3810" s="183"/>
      <c r="AK3810" s="183" t="s">
        <v>4443</v>
      </c>
      <c r="AL3810" s="183"/>
      <c r="AM3810" s="183"/>
      <c r="AN3810" s="131"/>
      <c r="AO3810" s="131"/>
      <c r="AP3810" s="131"/>
      <c r="AQ3810" s="131"/>
      <c r="AR3810" s="288"/>
      <c r="AS3810" s="259"/>
      <c r="AT3810" s="183"/>
      <c r="AV3810" s="6" t="str">
        <f t="shared" si="78"/>
        <v>ERROR</v>
      </c>
    </row>
    <row r="3811" spans="1:48" ht="14.65" thickBot="1" x14ac:dyDescent="0.5">
      <c r="A3811" s="41" t="s">
        <v>33</v>
      </c>
      <c r="B3811" s="50" t="s">
        <v>3686</v>
      </c>
      <c r="C3811" s="12"/>
      <c r="D3811" s="20"/>
      <c r="E3811" s="20"/>
      <c r="F3811" s="20"/>
      <c r="G3811" s="12"/>
      <c r="H3811" s="20"/>
      <c r="J3811" s="18" t="s">
        <v>2473</v>
      </c>
      <c r="K3811" s="18" t="s">
        <v>2473</v>
      </c>
      <c r="R3811" s="114"/>
      <c r="S3811" s="114"/>
      <c r="T3811" s="114"/>
      <c r="U3811" s="114"/>
      <c r="V3811" s="114"/>
      <c r="W3811" s="114"/>
      <c r="X3811" s="114"/>
      <c r="Y3811" s="149"/>
      <c r="Z3811" s="183"/>
      <c r="AA3811" s="183"/>
      <c r="AB3811" s="183"/>
      <c r="AC3811" s="183"/>
      <c r="AD3811" s="183"/>
      <c r="AE3811" s="184"/>
      <c r="AF3811" s="184"/>
      <c r="AG3811" s="183"/>
      <c r="AH3811" s="183"/>
      <c r="AI3811" s="183"/>
      <c r="AJ3811" s="183"/>
      <c r="AK3811" s="183"/>
      <c r="AL3811" s="183"/>
      <c r="AM3811" s="183"/>
      <c r="AN3811" s="131"/>
      <c r="AO3811" s="131"/>
      <c r="AP3811" s="131"/>
      <c r="AQ3811" s="131"/>
      <c r="AR3811" s="288"/>
      <c r="AS3811" s="259"/>
      <c r="AT3811" s="183"/>
      <c r="AV3811" s="6" t="str">
        <f t="shared" si="78"/>
        <v/>
      </c>
    </row>
    <row r="3812" spans="1:48" ht="14.65" thickBot="1" x14ac:dyDescent="0.5">
      <c r="A3812" s="35" t="s">
        <v>461</v>
      </c>
      <c r="B3812" s="3" t="s">
        <v>3688</v>
      </c>
      <c r="C3812" s="12"/>
      <c r="D3812" s="20"/>
      <c r="E3812" s="20"/>
      <c r="F3812" s="4"/>
      <c r="G3812" s="12"/>
      <c r="H3812" s="20"/>
      <c r="J3812" s="18" t="s">
        <v>2473</v>
      </c>
      <c r="K3812" s="18" t="s">
        <v>2473</v>
      </c>
      <c r="R3812" s="114"/>
      <c r="S3812" s="114"/>
      <c r="T3812" s="114"/>
      <c r="U3812" s="114"/>
      <c r="V3812" s="114"/>
      <c r="W3812" s="114"/>
      <c r="X3812" s="114"/>
      <c r="Y3812" s="149"/>
      <c r="Z3812" s="183"/>
      <c r="AA3812" s="183"/>
      <c r="AB3812" s="183"/>
      <c r="AC3812" s="183"/>
      <c r="AD3812" s="183"/>
      <c r="AE3812" s="184"/>
      <c r="AF3812" s="184"/>
      <c r="AG3812" s="183"/>
      <c r="AH3812" s="183"/>
      <c r="AI3812" s="183"/>
      <c r="AJ3812" s="183"/>
      <c r="AK3812" s="183"/>
      <c r="AL3812" s="183"/>
      <c r="AM3812" s="183"/>
      <c r="AN3812" s="131"/>
      <c r="AO3812" s="131"/>
      <c r="AP3812" s="131"/>
      <c r="AQ3812" s="131"/>
      <c r="AR3812" s="288"/>
      <c r="AS3812" s="259"/>
      <c r="AT3812" s="183"/>
      <c r="AU3812" s="8"/>
      <c r="AV3812" s="6" t="str">
        <f t="shared" si="78"/>
        <v/>
      </c>
    </row>
    <row r="3813" spans="1:48" ht="14.65" thickBot="1" x14ac:dyDescent="0.5">
      <c r="A3813" s="35" t="s">
        <v>424</v>
      </c>
      <c r="B3813" s="3" t="s">
        <v>3689</v>
      </c>
      <c r="C3813" s="12"/>
      <c r="D3813" s="20"/>
      <c r="E3813" s="20"/>
      <c r="F3813" s="4"/>
      <c r="G3813" s="12"/>
      <c r="H3813" s="20"/>
      <c r="J3813" s="18" t="s">
        <v>2473</v>
      </c>
      <c r="K3813" s="18" t="s">
        <v>2473</v>
      </c>
      <c r="R3813" s="114"/>
      <c r="S3813" s="114"/>
      <c r="T3813" s="114"/>
      <c r="U3813" s="114"/>
      <c r="V3813" s="114"/>
      <c r="W3813" s="114"/>
      <c r="X3813" s="114"/>
      <c r="Y3813" s="149"/>
      <c r="Z3813" s="183"/>
      <c r="AA3813" s="183"/>
      <c r="AB3813" s="183"/>
      <c r="AC3813" s="183"/>
      <c r="AD3813" s="183"/>
      <c r="AE3813" s="184"/>
      <c r="AF3813" s="184"/>
      <c r="AG3813" s="183"/>
      <c r="AH3813" s="183"/>
      <c r="AI3813" s="183"/>
      <c r="AJ3813" s="183"/>
      <c r="AK3813" s="183"/>
      <c r="AL3813" s="183"/>
      <c r="AM3813" s="183"/>
      <c r="AN3813" s="131"/>
      <c r="AO3813" s="131"/>
      <c r="AP3813" s="131"/>
      <c r="AQ3813" s="131"/>
      <c r="AR3813" s="288"/>
      <c r="AS3813" s="259"/>
      <c r="AT3813" s="183"/>
      <c r="AU3813" s="8"/>
      <c r="AV3813" s="6" t="str">
        <f t="shared" ref="AV3813:AV3889" si="80">IF(A3813&lt;&gt;"",IF(T3813&lt;&gt;"",IF(LEFT(R3813,3)="Has",IF(TRIM(A3813)&lt;&gt;T3813,"ERROR","OK"),""),""),"")</f>
        <v/>
      </c>
    </row>
    <row r="3814" spans="1:48" ht="36" thickBot="1" x14ac:dyDescent="0.5">
      <c r="A3814" s="41" t="s">
        <v>2846</v>
      </c>
      <c r="B3814" s="50" t="s">
        <v>3690</v>
      </c>
      <c r="C3814" s="14"/>
      <c r="D3814" s="20"/>
      <c r="E3814" s="14"/>
      <c r="F3814" s="20"/>
      <c r="G3814" s="14" t="s">
        <v>10</v>
      </c>
      <c r="H3814" s="20"/>
      <c r="J3814" s="18" t="s">
        <v>2473</v>
      </c>
      <c r="K3814" s="18" t="s">
        <v>2473</v>
      </c>
      <c r="Q3814" s="8" t="s">
        <v>3549</v>
      </c>
      <c r="R3814" s="122" t="s">
        <v>3529</v>
      </c>
      <c r="S3814" s="114" t="s">
        <v>4</v>
      </c>
      <c r="T3814" s="114" t="s">
        <v>3481</v>
      </c>
      <c r="U3814" s="114" t="s">
        <v>3521</v>
      </c>
      <c r="V3814" s="114" t="s">
        <v>3530</v>
      </c>
      <c r="W3814" s="114" t="s">
        <v>3436</v>
      </c>
      <c r="X3814" s="114" t="s">
        <v>13</v>
      </c>
      <c r="Y3814" s="149"/>
      <c r="Z3814" s="183" t="s">
        <v>4</v>
      </c>
      <c r="AA3814" s="183" t="s">
        <v>4617</v>
      </c>
      <c r="AB3814" s="183" t="s">
        <v>758</v>
      </c>
      <c r="AC3814" s="183" t="s">
        <v>6</v>
      </c>
      <c r="AD3814" s="183" t="s">
        <v>4863</v>
      </c>
      <c r="AE3814" s="184"/>
      <c r="AF3814" s="184"/>
      <c r="AG3814" s="183"/>
      <c r="AH3814" s="183"/>
      <c r="AI3814" s="183"/>
      <c r="AJ3814" s="183"/>
      <c r="AK3814" s="183"/>
      <c r="AL3814" s="183"/>
      <c r="AM3814" s="183"/>
      <c r="AN3814" s="131"/>
      <c r="AO3814" s="131"/>
      <c r="AP3814" s="131"/>
      <c r="AQ3814" s="131"/>
      <c r="AR3814" s="288"/>
      <c r="AS3814" s="259"/>
      <c r="AT3814" s="183"/>
      <c r="AV3814" s="6" t="str">
        <f t="shared" si="80"/>
        <v>OK</v>
      </c>
    </row>
    <row r="3815" spans="1:48" ht="81.75" thickBot="1" x14ac:dyDescent="0.5">
      <c r="A3815" s="35" t="s">
        <v>3418</v>
      </c>
      <c r="B3815" s="3" t="s">
        <v>3693</v>
      </c>
      <c r="C3815" s="12"/>
      <c r="D3815" s="20"/>
      <c r="E3815" s="20"/>
      <c r="F3815" s="4"/>
      <c r="G3815" s="12" t="s">
        <v>13</v>
      </c>
      <c r="H3815" s="20"/>
      <c r="J3815" s="18" t="s">
        <v>2473</v>
      </c>
      <c r="K3815" s="18" t="s">
        <v>2473</v>
      </c>
      <c r="Q3815" s="8" t="s">
        <v>3549</v>
      </c>
      <c r="R3815" s="122" t="s">
        <v>3529</v>
      </c>
      <c r="S3815" s="114" t="s">
        <v>4</v>
      </c>
      <c r="T3815" s="114" t="s">
        <v>3482</v>
      </c>
      <c r="U3815" s="114" t="s">
        <v>3521</v>
      </c>
      <c r="V3815" s="114" t="s">
        <v>3530</v>
      </c>
      <c r="W3815" s="114" t="s">
        <v>3436</v>
      </c>
      <c r="X3815" s="114" t="s">
        <v>13</v>
      </c>
      <c r="Y3815" s="149"/>
      <c r="Z3815" s="183" t="s">
        <v>4</v>
      </c>
      <c r="AA3815" s="183" t="s">
        <v>4617</v>
      </c>
      <c r="AB3815" s="183" t="s">
        <v>758</v>
      </c>
      <c r="AC3815" s="183" t="s">
        <v>6</v>
      </c>
      <c r="AD3815" s="183" t="s">
        <v>5014</v>
      </c>
      <c r="AE3815" s="184"/>
      <c r="AF3815" s="184"/>
      <c r="AG3815" s="183"/>
      <c r="AH3815" s="183"/>
      <c r="AI3815" s="183"/>
      <c r="AJ3815" s="183"/>
      <c r="AK3815" s="183"/>
      <c r="AL3815" s="183"/>
      <c r="AM3815" s="183"/>
      <c r="AN3815" s="131"/>
      <c r="AO3815" s="131"/>
      <c r="AP3815" s="131"/>
      <c r="AQ3815" s="131"/>
      <c r="AR3815" s="288"/>
      <c r="AS3815" s="259"/>
      <c r="AT3815" s="183"/>
      <c r="AU3815" s="8"/>
      <c r="AV3815" s="6" t="str">
        <f t="shared" si="80"/>
        <v>OK</v>
      </c>
    </row>
    <row r="3816" spans="1:48" ht="58.5" thickBot="1" x14ac:dyDescent="0.5">
      <c r="A3816" s="41" t="s">
        <v>2847</v>
      </c>
      <c r="B3816" s="50" t="s">
        <v>3691</v>
      </c>
      <c r="C3816" s="14"/>
      <c r="D3816" s="20"/>
      <c r="E3816" s="14"/>
      <c r="F3816" s="20"/>
      <c r="G3816" s="14" t="s">
        <v>13</v>
      </c>
      <c r="H3816" s="20"/>
      <c r="J3816" s="18" t="s">
        <v>2473</v>
      </c>
      <c r="K3816" s="18" t="s">
        <v>2473</v>
      </c>
      <c r="Q3816" s="8" t="s">
        <v>3549</v>
      </c>
      <c r="R3816" s="122" t="s">
        <v>3529</v>
      </c>
      <c r="S3816" s="114" t="s">
        <v>4</v>
      </c>
      <c r="T3816" s="114" t="s">
        <v>3483</v>
      </c>
      <c r="U3816" s="114" t="s">
        <v>3521</v>
      </c>
      <c r="V3816" s="114" t="s">
        <v>3530</v>
      </c>
      <c r="W3816" s="114" t="s">
        <v>3436</v>
      </c>
      <c r="X3816" s="114" t="s">
        <v>13</v>
      </c>
      <c r="Y3816" s="149"/>
      <c r="Z3816" s="183" t="s">
        <v>4</v>
      </c>
      <c r="AA3816" s="183" t="s">
        <v>4617</v>
      </c>
      <c r="AB3816" s="183" t="s">
        <v>758</v>
      </c>
      <c r="AC3816" s="183" t="s">
        <v>6</v>
      </c>
      <c r="AD3816" s="183" t="s">
        <v>4864</v>
      </c>
      <c r="AE3816" s="184"/>
      <c r="AF3816" s="184"/>
      <c r="AG3816" s="183"/>
      <c r="AH3816" s="183"/>
      <c r="AI3816" s="183"/>
      <c r="AJ3816" s="183"/>
      <c r="AK3816" s="183"/>
      <c r="AL3816" s="183"/>
      <c r="AM3816" s="183"/>
      <c r="AN3816" s="131"/>
      <c r="AO3816" s="131"/>
      <c r="AP3816" s="131"/>
      <c r="AQ3816" s="131"/>
      <c r="AR3816" s="288"/>
      <c r="AS3816" s="259"/>
      <c r="AT3816" s="183"/>
      <c r="AV3816" s="6" t="str">
        <f t="shared" si="80"/>
        <v>OK</v>
      </c>
    </row>
    <row r="3817" spans="1:48" ht="36" thickBot="1" x14ac:dyDescent="0.5">
      <c r="A3817" s="41" t="s">
        <v>3415</v>
      </c>
      <c r="B3817" s="50" t="s">
        <v>3692</v>
      </c>
      <c r="C3817" s="14"/>
      <c r="D3817" s="20"/>
      <c r="E3817" s="14"/>
      <c r="F3817" s="20"/>
      <c r="G3817" s="14" t="s">
        <v>10</v>
      </c>
      <c r="H3817" s="20"/>
      <c r="J3817" s="18" t="s">
        <v>2473</v>
      </c>
      <c r="K3817" s="18" t="s">
        <v>2473</v>
      </c>
      <c r="Q3817" s="8" t="s">
        <v>3549</v>
      </c>
      <c r="R3817" s="122" t="s">
        <v>3529</v>
      </c>
      <c r="S3817" s="114" t="s">
        <v>4</v>
      </c>
      <c r="T3817" s="114" t="s">
        <v>3484</v>
      </c>
      <c r="U3817" s="114" t="s">
        <v>3523</v>
      </c>
      <c r="V3817" s="114" t="s">
        <v>3530</v>
      </c>
      <c r="W3817" s="114" t="s">
        <v>3436</v>
      </c>
      <c r="X3817" s="114" t="s">
        <v>13</v>
      </c>
      <c r="Y3817" s="149"/>
      <c r="Z3817" s="183" t="s">
        <v>4</v>
      </c>
      <c r="AA3817" s="183" t="s">
        <v>4617</v>
      </c>
      <c r="AB3817" s="183" t="s">
        <v>4361</v>
      </c>
      <c r="AC3817" s="183" t="s">
        <v>6</v>
      </c>
      <c r="AD3817" s="183" t="s">
        <v>4865</v>
      </c>
      <c r="AE3817" s="184"/>
      <c r="AF3817" s="184" t="s">
        <v>4436</v>
      </c>
      <c r="AG3817" s="183"/>
      <c r="AH3817" s="183"/>
      <c r="AI3817" s="183"/>
      <c r="AJ3817" s="183"/>
      <c r="AK3817" s="183"/>
      <c r="AL3817" s="183" t="s">
        <v>4496</v>
      </c>
      <c r="AM3817" s="183"/>
      <c r="AN3817" s="131"/>
      <c r="AO3817" s="131"/>
      <c r="AP3817" s="131"/>
      <c r="AQ3817" s="131"/>
      <c r="AR3817" s="288"/>
      <c r="AS3817" s="259"/>
      <c r="AT3817" s="183"/>
      <c r="AV3817" s="6" t="str">
        <f t="shared" si="80"/>
        <v>OK</v>
      </c>
    </row>
    <row r="3818" spans="1:48" ht="70.150000000000006" thickBot="1" x14ac:dyDescent="0.5">
      <c r="A3818" s="41" t="s">
        <v>2878</v>
      </c>
      <c r="B3818" s="50" t="s">
        <v>4031</v>
      </c>
      <c r="C3818" s="14"/>
      <c r="D3818" s="20"/>
      <c r="E3818" s="14"/>
      <c r="F3818" s="20"/>
      <c r="G3818" s="14" t="s">
        <v>10</v>
      </c>
      <c r="H3818" s="20"/>
      <c r="J3818" s="18" t="s">
        <v>2473</v>
      </c>
      <c r="K3818" s="18" t="s">
        <v>2473</v>
      </c>
      <c r="Q3818" s="8" t="s">
        <v>3549</v>
      </c>
      <c r="R3818" s="122" t="s">
        <v>3529</v>
      </c>
      <c r="S3818" s="114" t="s">
        <v>4</v>
      </c>
      <c r="T3818" s="114" t="s">
        <v>3485</v>
      </c>
      <c r="U3818" s="114" t="s">
        <v>3521</v>
      </c>
      <c r="V3818" s="114" t="s">
        <v>3530</v>
      </c>
      <c r="W3818" s="114" t="s">
        <v>3436</v>
      </c>
      <c r="X3818" s="114" t="s">
        <v>13</v>
      </c>
      <c r="Y3818" s="149"/>
      <c r="Z3818" s="183" t="s">
        <v>4</v>
      </c>
      <c r="AA3818" s="183" t="s">
        <v>4617</v>
      </c>
      <c r="AB3818" s="183" t="s">
        <v>758</v>
      </c>
      <c r="AC3818" s="183" t="s">
        <v>6</v>
      </c>
      <c r="AD3818" s="183" t="s">
        <v>4866</v>
      </c>
      <c r="AE3818" s="184"/>
      <c r="AF3818" s="184"/>
      <c r="AG3818" s="183"/>
      <c r="AH3818" s="183"/>
      <c r="AI3818" s="183"/>
      <c r="AJ3818" s="183"/>
      <c r="AK3818" s="183"/>
      <c r="AL3818" s="183"/>
      <c r="AM3818" s="183"/>
      <c r="AN3818" s="131"/>
      <c r="AO3818" s="131"/>
      <c r="AP3818" s="131"/>
      <c r="AQ3818" s="131"/>
      <c r="AR3818" s="288"/>
      <c r="AS3818" s="259"/>
      <c r="AT3818" s="183"/>
      <c r="AV3818" s="6" t="str">
        <f t="shared" si="80"/>
        <v>OK</v>
      </c>
    </row>
    <row r="3819" spans="1:48" ht="46.9" thickBot="1" x14ac:dyDescent="0.5">
      <c r="A3819" s="44" t="s">
        <v>4614</v>
      </c>
      <c r="B3819" s="50" t="s">
        <v>3694</v>
      </c>
      <c r="C3819" s="14"/>
      <c r="D3819" s="20"/>
      <c r="E3819" s="14"/>
      <c r="F3819" s="20"/>
      <c r="G3819" s="14" t="s">
        <v>10</v>
      </c>
      <c r="H3819" s="20"/>
      <c r="J3819" s="18" t="s">
        <v>2473</v>
      </c>
      <c r="K3819" s="18" t="s">
        <v>2473</v>
      </c>
      <c r="R3819" s="122" t="s">
        <v>3529</v>
      </c>
      <c r="S3819" s="114" t="s">
        <v>4</v>
      </c>
      <c r="T3819" s="114" t="s">
        <v>2363</v>
      </c>
      <c r="U3819" s="114" t="s">
        <v>3524</v>
      </c>
      <c r="V3819" s="114" t="s">
        <v>3530</v>
      </c>
      <c r="W3819" s="114" t="s">
        <v>3436</v>
      </c>
      <c r="X3819" s="114" t="s">
        <v>13</v>
      </c>
      <c r="Y3819" s="149"/>
      <c r="Z3819" s="183" t="s">
        <v>4</v>
      </c>
      <c r="AA3819" s="183"/>
      <c r="AB3819" s="183" t="s">
        <v>4361</v>
      </c>
      <c r="AC3819" s="183" t="s">
        <v>6</v>
      </c>
      <c r="AD3819" s="183" t="s">
        <v>4867</v>
      </c>
      <c r="AE3819" s="184"/>
      <c r="AF3819" s="184" t="s">
        <v>4436</v>
      </c>
      <c r="AG3819" s="183"/>
      <c r="AH3819" s="183"/>
      <c r="AI3819" s="183"/>
      <c r="AJ3819" s="183"/>
      <c r="AK3819" s="183"/>
      <c r="AL3819" s="183"/>
      <c r="AM3819" s="183"/>
      <c r="AN3819" s="131"/>
      <c r="AO3819" s="131"/>
      <c r="AP3819" s="131"/>
      <c r="AQ3819" s="131"/>
      <c r="AR3819" s="288"/>
      <c r="AS3819" s="259"/>
      <c r="AT3819" s="183"/>
      <c r="AV3819" s="6" t="str">
        <f t="shared" si="80"/>
        <v>ERROR</v>
      </c>
    </row>
    <row r="3820" spans="1:48" ht="174.75" thickBot="1" x14ac:dyDescent="0.5">
      <c r="A3820" s="44" t="s">
        <v>4625</v>
      </c>
      <c r="B3820" s="50" t="s">
        <v>3808</v>
      </c>
      <c r="C3820" s="14"/>
      <c r="D3820" s="20"/>
      <c r="E3820" s="14"/>
      <c r="F3820" s="20"/>
      <c r="G3820" s="14" t="s">
        <v>37</v>
      </c>
      <c r="H3820" s="20"/>
      <c r="J3820" s="18" t="s">
        <v>2473</v>
      </c>
      <c r="K3820" s="18" t="s">
        <v>2473</v>
      </c>
      <c r="R3820" s="122" t="s">
        <v>3529</v>
      </c>
      <c r="S3820" s="114" t="s">
        <v>4</v>
      </c>
      <c r="T3820" s="114" t="s">
        <v>2558</v>
      </c>
      <c r="U3820" s="114" t="s">
        <v>3524</v>
      </c>
      <c r="V3820" s="114" t="s">
        <v>3530</v>
      </c>
      <c r="W3820" s="114" t="s">
        <v>3436</v>
      </c>
      <c r="X3820" s="114" t="s">
        <v>13</v>
      </c>
      <c r="Y3820" s="149"/>
      <c r="Z3820" s="183" t="s">
        <v>4</v>
      </c>
      <c r="AA3820" s="183"/>
      <c r="AB3820" s="183" t="s">
        <v>4361</v>
      </c>
      <c r="AC3820" s="183" t="s">
        <v>6</v>
      </c>
      <c r="AD3820" s="183" t="s">
        <v>5015</v>
      </c>
      <c r="AE3820" s="184"/>
      <c r="AF3820" s="184" t="s">
        <v>4436</v>
      </c>
      <c r="AG3820" s="183"/>
      <c r="AH3820" s="183"/>
      <c r="AI3820" s="183"/>
      <c r="AJ3820" s="183"/>
      <c r="AK3820" s="183"/>
      <c r="AL3820" s="183"/>
      <c r="AM3820" s="183"/>
      <c r="AN3820" s="131"/>
      <c r="AO3820" s="131"/>
      <c r="AP3820" s="131"/>
      <c r="AQ3820" s="131"/>
      <c r="AR3820" s="288"/>
      <c r="AS3820" s="259"/>
      <c r="AT3820" s="183"/>
      <c r="AV3820" s="6" t="str">
        <f t="shared" si="80"/>
        <v>ERROR</v>
      </c>
    </row>
    <row r="3821" spans="1:48" ht="46.9" thickBot="1" x14ac:dyDescent="0.5">
      <c r="A3821" s="44" t="s">
        <v>4615</v>
      </c>
      <c r="B3821" s="50" t="s">
        <v>3695</v>
      </c>
      <c r="C3821" s="14"/>
      <c r="D3821" s="20"/>
      <c r="E3821" s="14"/>
      <c r="F3821" s="20"/>
      <c r="G3821" s="14" t="s">
        <v>10</v>
      </c>
      <c r="H3821" s="20"/>
      <c r="J3821" s="18" t="s">
        <v>2473</v>
      </c>
      <c r="K3821" s="18" t="s">
        <v>2473</v>
      </c>
      <c r="R3821" s="122" t="s">
        <v>3529</v>
      </c>
      <c r="S3821" s="114" t="s">
        <v>4</v>
      </c>
      <c r="T3821" s="114" t="s">
        <v>3626</v>
      </c>
      <c r="U3821" s="114" t="s">
        <v>3523</v>
      </c>
      <c r="V3821" s="114" t="s">
        <v>3530</v>
      </c>
      <c r="W3821" s="114" t="s">
        <v>3436</v>
      </c>
      <c r="X3821" s="114" t="s">
        <v>13</v>
      </c>
      <c r="Y3821" s="149"/>
      <c r="Z3821" s="183" t="s">
        <v>4</v>
      </c>
      <c r="AA3821" s="183"/>
      <c r="AB3821" s="183" t="s">
        <v>4361</v>
      </c>
      <c r="AC3821" s="183" t="s">
        <v>6</v>
      </c>
      <c r="AD3821" s="183" t="s">
        <v>4868</v>
      </c>
      <c r="AE3821" s="184"/>
      <c r="AF3821" s="184" t="s">
        <v>4436</v>
      </c>
      <c r="AG3821" s="183"/>
      <c r="AH3821" s="183"/>
      <c r="AI3821" s="183"/>
      <c r="AJ3821" s="183"/>
      <c r="AK3821" s="183"/>
      <c r="AL3821" s="183"/>
      <c r="AM3821" s="183"/>
      <c r="AN3821" s="131"/>
      <c r="AO3821" s="131"/>
      <c r="AP3821" s="131"/>
      <c r="AQ3821" s="131"/>
      <c r="AR3821" s="288"/>
      <c r="AS3821" s="259"/>
      <c r="AT3821" s="183"/>
      <c r="AV3821" s="6" t="str">
        <f t="shared" si="80"/>
        <v>ERROR</v>
      </c>
    </row>
    <row r="3822" spans="1:48" ht="139.9" thickBot="1" x14ac:dyDescent="0.5">
      <c r="A3822" s="44" t="s">
        <v>4624</v>
      </c>
      <c r="B3822" s="50" t="s">
        <v>3809</v>
      </c>
      <c r="C3822" s="14"/>
      <c r="D3822" s="20"/>
      <c r="E3822" s="14"/>
      <c r="F3822" s="20"/>
      <c r="G3822" s="14" t="s">
        <v>10</v>
      </c>
      <c r="H3822" s="20"/>
      <c r="J3822" s="18" t="s">
        <v>2473</v>
      </c>
      <c r="K3822" s="18" t="s">
        <v>2473</v>
      </c>
      <c r="R3822" s="122" t="s">
        <v>3529</v>
      </c>
      <c r="S3822" s="114" t="s">
        <v>4</v>
      </c>
      <c r="T3822" s="114" t="s">
        <v>2559</v>
      </c>
      <c r="U3822" s="114" t="s">
        <v>3523</v>
      </c>
      <c r="V3822" s="114" t="s">
        <v>3530</v>
      </c>
      <c r="W3822" s="114" t="s">
        <v>3436</v>
      </c>
      <c r="X3822" s="114" t="s">
        <v>13</v>
      </c>
      <c r="Y3822" s="149"/>
      <c r="Z3822" s="183" t="s">
        <v>4</v>
      </c>
      <c r="AA3822" s="183"/>
      <c r="AB3822" s="183" t="s">
        <v>4344</v>
      </c>
      <c r="AC3822" s="183" t="s">
        <v>6</v>
      </c>
      <c r="AD3822" s="183" t="s">
        <v>4869</v>
      </c>
      <c r="AE3822" s="184"/>
      <c r="AF3822" s="184"/>
      <c r="AG3822" s="183"/>
      <c r="AH3822" s="183"/>
      <c r="AI3822" s="183"/>
      <c r="AJ3822" s="183"/>
      <c r="AK3822" s="183"/>
      <c r="AL3822" s="183"/>
      <c r="AM3822" s="183"/>
      <c r="AN3822" s="131"/>
      <c r="AO3822" s="131"/>
      <c r="AP3822" s="131"/>
      <c r="AQ3822" s="131"/>
      <c r="AR3822" s="288"/>
      <c r="AS3822" s="259"/>
      <c r="AT3822" s="183"/>
      <c r="AV3822" s="6" t="str">
        <f t="shared" si="80"/>
        <v>ERROR</v>
      </c>
    </row>
    <row r="3823" spans="1:48" ht="58.5" thickBot="1" x14ac:dyDescent="0.5">
      <c r="A3823" s="44" t="s">
        <v>480</v>
      </c>
      <c r="B3823" s="50" t="s">
        <v>2364</v>
      </c>
      <c r="C3823" s="14"/>
      <c r="D3823" s="20"/>
      <c r="E3823" s="14"/>
      <c r="F3823" s="20"/>
      <c r="G3823" s="14" t="s">
        <v>10</v>
      </c>
      <c r="H3823" s="20"/>
      <c r="J3823" s="18" t="s">
        <v>2473</v>
      </c>
      <c r="K3823" s="18" t="s">
        <v>2473</v>
      </c>
      <c r="R3823" s="122" t="s">
        <v>3435</v>
      </c>
      <c r="S3823" s="114" t="s">
        <v>3437</v>
      </c>
      <c r="T3823" s="114" t="s">
        <v>2560</v>
      </c>
      <c r="U3823" s="114"/>
      <c r="V3823" s="114" t="s">
        <v>3550</v>
      </c>
      <c r="W3823" s="114" t="s">
        <v>3436</v>
      </c>
      <c r="X3823" s="114" t="s">
        <v>13</v>
      </c>
      <c r="Y3823" s="149"/>
      <c r="Z3823" s="183" t="s">
        <v>4</v>
      </c>
      <c r="AA3823" s="183"/>
      <c r="AB3823" s="183" t="s">
        <v>4349</v>
      </c>
      <c r="AC3823" s="183"/>
      <c r="AD3823" s="183" t="s">
        <v>4870</v>
      </c>
      <c r="AE3823" s="184"/>
      <c r="AF3823" s="184"/>
      <c r="AG3823" s="183"/>
      <c r="AH3823" s="183"/>
      <c r="AI3823" s="183" t="str">
        <f>"true"</f>
        <v>true</v>
      </c>
      <c r="AJ3823" s="183"/>
      <c r="AK3823" s="183" t="s">
        <v>4444</v>
      </c>
      <c r="AL3823" s="183"/>
      <c r="AM3823" s="183"/>
      <c r="AN3823" s="131"/>
      <c r="AO3823" s="131"/>
      <c r="AP3823" s="131"/>
      <c r="AQ3823" s="131"/>
      <c r="AR3823" s="288"/>
      <c r="AS3823" s="259"/>
      <c r="AT3823" s="183"/>
      <c r="AV3823" s="6" t="str">
        <f t="shared" si="80"/>
        <v>ERROR</v>
      </c>
    </row>
    <row r="3824" spans="1:48" ht="14.65" thickBot="1" x14ac:dyDescent="0.5">
      <c r="A3824" s="41" t="s">
        <v>33</v>
      </c>
      <c r="B3824" s="50" t="s">
        <v>3686</v>
      </c>
      <c r="C3824" s="12"/>
      <c r="D3824" s="20"/>
      <c r="E3824" s="20"/>
      <c r="F3824" s="20"/>
      <c r="G3824" s="12"/>
      <c r="H3824" s="20"/>
      <c r="J3824" s="18" t="s">
        <v>2473</v>
      </c>
      <c r="K3824" s="18" t="s">
        <v>2473</v>
      </c>
      <c r="R3824" s="114"/>
      <c r="S3824" s="114"/>
      <c r="T3824" s="114"/>
      <c r="U3824" s="114"/>
      <c r="V3824" s="114"/>
      <c r="W3824" s="114"/>
      <c r="X3824" s="114"/>
      <c r="Y3824" s="149"/>
      <c r="Z3824" s="183"/>
      <c r="AA3824" s="183"/>
      <c r="AB3824" s="183"/>
      <c r="AC3824" s="183"/>
      <c r="AD3824" s="183"/>
      <c r="AE3824" s="184"/>
      <c r="AF3824" s="184"/>
      <c r="AG3824" s="183"/>
      <c r="AH3824" s="183"/>
      <c r="AI3824" s="183"/>
      <c r="AJ3824" s="183"/>
      <c r="AK3824" s="183"/>
      <c r="AL3824" s="183"/>
      <c r="AM3824" s="183"/>
      <c r="AN3824" s="131"/>
      <c r="AO3824" s="131"/>
      <c r="AP3824" s="131"/>
      <c r="AQ3824" s="131"/>
      <c r="AR3824" s="288"/>
      <c r="AS3824" s="259"/>
      <c r="AT3824" s="183"/>
      <c r="AV3824" s="6" t="str">
        <f t="shared" si="80"/>
        <v/>
      </c>
    </row>
    <row r="3825" spans="1:48" ht="14.65" thickBot="1" x14ac:dyDescent="0.5">
      <c r="A3825" s="35" t="s">
        <v>461</v>
      </c>
      <c r="B3825" s="3" t="s">
        <v>3688</v>
      </c>
      <c r="C3825" s="12"/>
      <c r="D3825" s="20"/>
      <c r="E3825" s="20"/>
      <c r="F3825" s="4"/>
      <c r="G3825" s="12"/>
      <c r="H3825" s="20"/>
      <c r="J3825" s="18" t="s">
        <v>2473</v>
      </c>
      <c r="K3825" s="18" t="s">
        <v>2473</v>
      </c>
      <c r="R3825" s="114"/>
      <c r="S3825" s="114"/>
      <c r="T3825" s="114"/>
      <c r="U3825" s="114"/>
      <c r="V3825" s="114"/>
      <c r="W3825" s="114"/>
      <c r="X3825" s="114"/>
      <c r="Y3825" s="149"/>
      <c r="Z3825" s="183"/>
      <c r="AA3825" s="183"/>
      <c r="AB3825" s="183"/>
      <c r="AC3825" s="183"/>
      <c r="AD3825" s="183"/>
      <c r="AE3825" s="184"/>
      <c r="AF3825" s="184"/>
      <c r="AG3825" s="183"/>
      <c r="AH3825" s="183"/>
      <c r="AI3825" s="183"/>
      <c r="AJ3825" s="183"/>
      <c r="AK3825" s="183"/>
      <c r="AL3825" s="183"/>
      <c r="AM3825" s="183"/>
      <c r="AN3825" s="131"/>
      <c r="AO3825" s="131"/>
      <c r="AP3825" s="131"/>
      <c r="AQ3825" s="131"/>
      <c r="AR3825" s="288"/>
      <c r="AS3825" s="259"/>
      <c r="AT3825" s="183"/>
      <c r="AU3825" s="8"/>
      <c r="AV3825" s="6" t="str">
        <f t="shared" si="80"/>
        <v/>
      </c>
    </row>
    <row r="3826" spans="1:48" ht="14.65" thickBot="1" x14ac:dyDescent="0.5">
      <c r="A3826" s="35" t="s">
        <v>424</v>
      </c>
      <c r="B3826" s="3" t="s">
        <v>3689</v>
      </c>
      <c r="C3826" s="12"/>
      <c r="D3826" s="20"/>
      <c r="E3826" s="20"/>
      <c r="F3826" s="4"/>
      <c r="G3826" s="12"/>
      <c r="H3826" s="20"/>
      <c r="J3826" s="18" t="s">
        <v>2473</v>
      </c>
      <c r="K3826" s="18" t="s">
        <v>2473</v>
      </c>
      <c r="R3826" s="114"/>
      <c r="S3826" s="114"/>
      <c r="T3826" s="114"/>
      <c r="U3826" s="114"/>
      <c r="V3826" s="114"/>
      <c r="W3826" s="114"/>
      <c r="X3826" s="114"/>
      <c r="Y3826" s="149"/>
      <c r="Z3826" s="183"/>
      <c r="AA3826" s="183"/>
      <c r="AB3826" s="183"/>
      <c r="AC3826" s="183"/>
      <c r="AD3826" s="183"/>
      <c r="AE3826" s="184"/>
      <c r="AF3826" s="184"/>
      <c r="AG3826" s="183"/>
      <c r="AH3826" s="183"/>
      <c r="AI3826" s="183"/>
      <c r="AJ3826" s="183"/>
      <c r="AK3826" s="183"/>
      <c r="AL3826" s="183"/>
      <c r="AM3826" s="183"/>
      <c r="AN3826" s="131"/>
      <c r="AO3826" s="131"/>
      <c r="AP3826" s="131"/>
      <c r="AQ3826" s="131"/>
      <c r="AR3826" s="288"/>
      <c r="AS3826" s="259"/>
      <c r="AT3826" s="183"/>
      <c r="AU3826" s="8"/>
      <c r="AV3826" s="6" t="str">
        <f t="shared" si="80"/>
        <v/>
      </c>
    </row>
    <row r="3827" spans="1:48" ht="36" thickBot="1" x14ac:dyDescent="0.5">
      <c r="A3827" s="35" t="s">
        <v>2880</v>
      </c>
      <c r="B3827" s="3" t="s">
        <v>3696</v>
      </c>
      <c r="C3827" s="12"/>
      <c r="D3827" s="20"/>
      <c r="E3827" s="20"/>
      <c r="F3827" s="4"/>
      <c r="G3827" s="12" t="s">
        <v>10</v>
      </c>
      <c r="H3827" s="20"/>
      <c r="J3827" s="18" t="s">
        <v>2473</v>
      </c>
      <c r="K3827" s="18" t="s">
        <v>2473</v>
      </c>
      <c r="Q3827" s="8" t="s">
        <v>3550</v>
      </c>
      <c r="R3827" s="122" t="s">
        <v>3529</v>
      </c>
      <c r="S3827" s="114" t="s">
        <v>4</v>
      </c>
      <c r="T3827" s="114" t="s">
        <v>3486</v>
      </c>
      <c r="U3827" s="114" t="s">
        <v>3521</v>
      </c>
      <c r="V3827" s="114" t="s">
        <v>3530</v>
      </c>
      <c r="W3827" s="114" t="s">
        <v>3436</v>
      </c>
      <c r="X3827" s="114" t="s">
        <v>13</v>
      </c>
      <c r="Y3827" s="149"/>
      <c r="Z3827" s="183" t="s">
        <v>4</v>
      </c>
      <c r="AA3827" s="183" t="s">
        <v>480</v>
      </c>
      <c r="AB3827" s="183" t="s">
        <v>758</v>
      </c>
      <c r="AC3827" s="183" t="s">
        <v>6</v>
      </c>
      <c r="AD3827" s="183" t="s">
        <v>4871</v>
      </c>
      <c r="AE3827" s="183"/>
      <c r="AF3827" s="184"/>
      <c r="AG3827" s="183"/>
      <c r="AH3827" s="183"/>
      <c r="AI3827" s="183"/>
      <c r="AJ3827" s="183"/>
      <c r="AK3827" s="183"/>
      <c r="AL3827" s="183"/>
      <c r="AM3827" s="183"/>
      <c r="AN3827" s="131"/>
      <c r="AO3827" s="131"/>
      <c r="AP3827" s="131"/>
      <c r="AQ3827" s="131"/>
      <c r="AR3827" s="288"/>
      <c r="AS3827" s="259"/>
      <c r="AT3827" s="183"/>
      <c r="AU3827" s="8"/>
      <c r="AV3827" s="6" t="str">
        <f t="shared" si="80"/>
        <v>OK</v>
      </c>
    </row>
    <row r="3828" spans="1:48" ht="81.75" thickBot="1" x14ac:dyDescent="0.5">
      <c r="A3828" s="35" t="s">
        <v>3416</v>
      </c>
      <c r="B3828" s="3" t="s">
        <v>3697</v>
      </c>
      <c r="C3828" s="12"/>
      <c r="D3828" s="20"/>
      <c r="E3828" s="20"/>
      <c r="F3828" s="4"/>
      <c r="G3828" s="12" t="s">
        <v>13</v>
      </c>
      <c r="H3828" s="20"/>
      <c r="J3828" s="18" t="s">
        <v>2473</v>
      </c>
      <c r="K3828" s="18" t="s">
        <v>2473</v>
      </c>
      <c r="Q3828" s="8" t="s">
        <v>3550</v>
      </c>
      <c r="R3828" s="122" t="s">
        <v>3529</v>
      </c>
      <c r="S3828" s="114" t="s">
        <v>4</v>
      </c>
      <c r="T3828" s="114" t="s">
        <v>3487</v>
      </c>
      <c r="U3828" s="114" t="s">
        <v>3521</v>
      </c>
      <c r="V3828" s="114" t="s">
        <v>3530</v>
      </c>
      <c r="W3828" s="114" t="s">
        <v>3436</v>
      </c>
      <c r="X3828" s="114" t="s">
        <v>13</v>
      </c>
      <c r="Y3828" s="149"/>
      <c r="Z3828" s="183" t="s">
        <v>4</v>
      </c>
      <c r="AA3828" s="183" t="s">
        <v>480</v>
      </c>
      <c r="AB3828" s="183" t="s">
        <v>758</v>
      </c>
      <c r="AC3828" s="183" t="s">
        <v>6</v>
      </c>
      <c r="AD3828" s="183" t="s">
        <v>5016</v>
      </c>
      <c r="AE3828" s="183"/>
      <c r="AF3828" s="184"/>
      <c r="AG3828" s="183"/>
      <c r="AH3828" s="183"/>
      <c r="AI3828" s="183"/>
      <c r="AJ3828" s="183"/>
      <c r="AK3828" s="183"/>
      <c r="AL3828" s="183"/>
      <c r="AM3828" s="183"/>
      <c r="AN3828" s="131"/>
      <c r="AO3828" s="131"/>
      <c r="AP3828" s="131"/>
      <c r="AQ3828" s="131"/>
      <c r="AR3828" s="288"/>
      <c r="AS3828" s="259"/>
      <c r="AT3828" s="183"/>
      <c r="AU3828" s="8"/>
      <c r="AV3828" s="6" t="str">
        <f t="shared" si="80"/>
        <v>OK</v>
      </c>
    </row>
    <row r="3829" spans="1:48" ht="70.150000000000006" thickBot="1" x14ac:dyDescent="0.5">
      <c r="A3829" s="35" t="s">
        <v>3417</v>
      </c>
      <c r="B3829" s="3" t="s">
        <v>3978</v>
      </c>
      <c r="C3829" s="12"/>
      <c r="D3829" s="20"/>
      <c r="E3829" s="20"/>
      <c r="F3829" s="4"/>
      <c r="G3829" s="12" t="s">
        <v>13</v>
      </c>
      <c r="H3829" s="20"/>
      <c r="J3829" s="18" t="s">
        <v>2473</v>
      </c>
      <c r="K3829" s="18" t="s">
        <v>2473</v>
      </c>
      <c r="Q3829" s="8" t="s">
        <v>3550</v>
      </c>
      <c r="R3829" s="122" t="s">
        <v>3529</v>
      </c>
      <c r="S3829" s="114" t="s">
        <v>4</v>
      </c>
      <c r="T3829" s="114" t="s">
        <v>3488</v>
      </c>
      <c r="U3829" s="114" t="s">
        <v>3521</v>
      </c>
      <c r="V3829" s="114" t="s">
        <v>3530</v>
      </c>
      <c r="W3829" s="114" t="s">
        <v>3436</v>
      </c>
      <c r="X3829" s="114" t="s">
        <v>13</v>
      </c>
      <c r="Y3829" s="149"/>
      <c r="Z3829" s="183" t="s">
        <v>4</v>
      </c>
      <c r="AA3829" s="183" t="s">
        <v>480</v>
      </c>
      <c r="AB3829" s="183" t="s">
        <v>758</v>
      </c>
      <c r="AC3829" s="183" t="s">
        <v>6</v>
      </c>
      <c r="AD3829" s="183" t="s">
        <v>4874</v>
      </c>
      <c r="AE3829" s="183"/>
      <c r="AF3829" s="184"/>
      <c r="AG3829" s="183"/>
      <c r="AH3829" s="183"/>
      <c r="AI3829" s="183"/>
      <c r="AJ3829" s="183"/>
      <c r="AK3829" s="183"/>
      <c r="AL3829" s="183"/>
      <c r="AM3829" s="183"/>
      <c r="AN3829" s="131"/>
      <c r="AO3829" s="131"/>
      <c r="AP3829" s="131"/>
      <c r="AQ3829" s="131"/>
      <c r="AR3829" s="288"/>
      <c r="AS3829" s="259"/>
      <c r="AT3829" s="183"/>
      <c r="AU3829" s="8"/>
      <c r="AV3829" s="6" t="str">
        <f t="shared" si="80"/>
        <v>OK</v>
      </c>
    </row>
    <row r="3830" spans="1:48" ht="46.9" thickBot="1" x14ac:dyDescent="0.5">
      <c r="A3830" s="35" t="s">
        <v>420</v>
      </c>
      <c r="B3830" s="3" t="s">
        <v>3698</v>
      </c>
      <c r="C3830" s="12"/>
      <c r="D3830" s="20"/>
      <c r="E3830" s="20"/>
      <c r="F3830" s="4"/>
      <c r="G3830" s="12" t="s">
        <v>10</v>
      </c>
      <c r="H3830" s="20"/>
      <c r="J3830" s="18" t="s">
        <v>2473</v>
      </c>
      <c r="K3830" s="18" t="s">
        <v>2473</v>
      </c>
      <c r="Q3830" s="8" t="s">
        <v>3550</v>
      </c>
      <c r="R3830" s="122" t="s">
        <v>3529</v>
      </c>
      <c r="S3830" s="114" t="s">
        <v>4</v>
      </c>
      <c r="T3830" s="114" t="s">
        <v>490</v>
      </c>
      <c r="U3830" s="114" t="s">
        <v>3523</v>
      </c>
      <c r="V3830" s="114" t="s">
        <v>3530</v>
      </c>
      <c r="W3830" s="114" t="s">
        <v>3436</v>
      </c>
      <c r="X3830" s="114" t="s">
        <v>13</v>
      </c>
      <c r="Y3830" s="149"/>
      <c r="Z3830" s="183" t="s">
        <v>4</v>
      </c>
      <c r="AA3830" s="183" t="s">
        <v>480</v>
      </c>
      <c r="AB3830" s="183" t="s">
        <v>4361</v>
      </c>
      <c r="AC3830" s="183" t="s">
        <v>6</v>
      </c>
      <c r="AD3830" s="183" t="s">
        <v>4873</v>
      </c>
      <c r="AE3830" s="183"/>
      <c r="AF3830" s="184" t="s">
        <v>4436</v>
      </c>
      <c r="AG3830" s="183"/>
      <c r="AH3830" s="183"/>
      <c r="AI3830" s="183"/>
      <c r="AJ3830" s="183"/>
      <c r="AK3830" s="183"/>
      <c r="AL3830" s="183" t="s">
        <v>4496</v>
      </c>
      <c r="AM3830" s="183"/>
      <c r="AN3830" s="131"/>
      <c r="AO3830" s="131"/>
      <c r="AP3830" s="131"/>
      <c r="AQ3830" s="131"/>
      <c r="AR3830" s="288"/>
      <c r="AS3830" s="259"/>
      <c r="AT3830" s="183"/>
      <c r="AU3830" s="8"/>
      <c r="AV3830" s="6" t="str">
        <f t="shared" si="80"/>
        <v>OK</v>
      </c>
    </row>
    <row r="3831" spans="1:48" ht="70.150000000000006" thickBot="1" x14ac:dyDescent="0.5">
      <c r="A3831" s="35" t="s">
        <v>2079</v>
      </c>
      <c r="B3831" s="3" t="s">
        <v>3993</v>
      </c>
      <c r="C3831" s="4"/>
      <c r="D3831" s="4"/>
      <c r="E3831" s="4"/>
      <c r="F3831" s="4"/>
      <c r="G3831" s="4" t="s">
        <v>13</v>
      </c>
      <c r="H3831" s="4"/>
      <c r="J3831" s="18" t="s">
        <v>2473</v>
      </c>
      <c r="K3831" s="18" t="s">
        <v>2473</v>
      </c>
      <c r="Q3831" s="8" t="s">
        <v>3550</v>
      </c>
      <c r="R3831" s="122" t="s">
        <v>3529</v>
      </c>
      <c r="S3831" s="114" t="s">
        <v>4</v>
      </c>
      <c r="T3831" s="114" t="s">
        <v>1124</v>
      </c>
      <c r="U3831" s="114" t="s">
        <v>3521</v>
      </c>
      <c r="V3831" s="114" t="s">
        <v>3530</v>
      </c>
      <c r="W3831" s="114" t="s">
        <v>3436</v>
      </c>
      <c r="X3831" s="114" t="s">
        <v>13</v>
      </c>
      <c r="Y3831" s="149"/>
      <c r="Z3831" s="183" t="s">
        <v>4</v>
      </c>
      <c r="AA3831" s="183" t="s">
        <v>480</v>
      </c>
      <c r="AB3831" s="183" t="s">
        <v>4358</v>
      </c>
      <c r="AC3831" s="183" t="s">
        <v>6</v>
      </c>
      <c r="AD3831" s="183" t="s">
        <v>4820</v>
      </c>
      <c r="AE3831" s="183"/>
      <c r="AF3831" s="184"/>
      <c r="AG3831" s="183"/>
      <c r="AH3831" s="183"/>
      <c r="AI3831" s="183"/>
      <c r="AJ3831" s="183"/>
      <c r="AK3831" s="183"/>
      <c r="AL3831" s="183"/>
      <c r="AM3831" s="183"/>
      <c r="AN3831" s="131"/>
      <c r="AO3831" s="131"/>
      <c r="AP3831" s="131"/>
      <c r="AQ3831" s="131"/>
      <c r="AR3831" s="288"/>
      <c r="AS3831" s="259"/>
      <c r="AT3831" s="183"/>
      <c r="AU3831" s="6"/>
      <c r="AV3831" s="6" t="str">
        <f t="shared" si="80"/>
        <v>OK</v>
      </c>
    </row>
    <row r="3832" spans="1:48" ht="58.5" thickBot="1" x14ac:dyDescent="0.5">
      <c r="A3832" s="44" t="s">
        <v>116</v>
      </c>
      <c r="B3832" s="50" t="s">
        <v>4071</v>
      </c>
      <c r="C3832" s="14"/>
      <c r="D3832" s="20"/>
      <c r="E3832" s="14"/>
      <c r="F3832" s="20"/>
      <c r="G3832" s="14" t="s">
        <v>10</v>
      </c>
      <c r="H3832" s="20"/>
      <c r="J3832" s="18" t="s">
        <v>2473</v>
      </c>
      <c r="K3832" s="18" t="s">
        <v>2473</v>
      </c>
      <c r="R3832" s="122" t="s">
        <v>3435</v>
      </c>
      <c r="S3832" s="114" t="s">
        <v>3437</v>
      </c>
      <c r="T3832" s="114" t="s">
        <v>3423</v>
      </c>
      <c r="U3832" s="114"/>
      <c r="V3832" s="114" t="s">
        <v>3551</v>
      </c>
      <c r="W3832" s="114" t="s">
        <v>3436</v>
      </c>
      <c r="X3832" s="114" t="s">
        <v>13</v>
      </c>
      <c r="Y3832" s="149"/>
      <c r="Z3832" s="183" t="s">
        <v>4</v>
      </c>
      <c r="AA3832" s="183"/>
      <c r="AB3832" s="183" t="s">
        <v>4349</v>
      </c>
      <c r="AC3832" s="183"/>
      <c r="AD3832" s="183" t="s">
        <v>4884</v>
      </c>
      <c r="AE3832" s="184"/>
      <c r="AF3832" s="184"/>
      <c r="AG3832" s="183"/>
      <c r="AH3832" s="183"/>
      <c r="AI3832" s="183" t="str">
        <f>"true"</f>
        <v>true</v>
      </c>
      <c r="AJ3832" s="183"/>
      <c r="AK3832" s="183" t="s">
        <v>4445</v>
      </c>
      <c r="AL3832" s="183"/>
      <c r="AM3832" s="183"/>
      <c r="AN3832" s="131"/>
      <c r="AO3832" s="131"/>
      <c r="AP3832" s="131"/>
      <c r="AQ3832" s="131"/>
      <c r="AR3832" s="288"/>
      <c r="AS3832" s="259"/>
      <c r="AT3832" s="183"/>
      <c r="AV3832" s="6" t="str">
        <f t="shared" si="80"/>
        <v>ERROR</v>
      </c>
    </row>
    <row r="3833" spans="1:48" ht="14.65" thickBot="1" x14ac:dyDescent="0.5">
      <c r="A3833" s="41" t="s">
        <v>33</v>
      </c>
      <c r="B3833" s="50" t="s">
        <v>2881</v>
      </c>
      <c r="C3833" s="12"/>
      <c r="D3833" s="20"/>
      <c r="E3833" s="20"/>
      <c r="F3833" s="20"/>
      <c r="G3833" s="12"/>
      <c r="H3833" s="20"/>
      <c r="J3833" s="18" t="s">
        <v>2473</v>
      </c>
      <c r="K3833" s="18" t="s">
        <v>2473</v>
      </c>
      <c r="R3833" s="114"/>
      <c r="S3833" s="114"/>
      <c r="T3833" s="114"/>
      <c r="U3833" s="114"/>
      <c r="V3833" s="114"/>
      <c r="W3833" s="114"/>
      <c r="X3833" s="114"/>
      <c r="Y3833" s="149"/>
      <c r="Z3833" s="183"/>
      <c r="AA3833" s="183"/>
      <c r="AB3833" s="183"/>
      <c r="AC3833" s="183"/>
      <c r="AD3833" s="183"/>
      <c r="AE3833" s="184"/>
      <c r="AF3833" s="184"/>
      <c r="AG3833" s="183"/>
      <c r="AH3833" s="183"/>
      <c r="AI3833" s="183"/>
      <c r="AJ3833" s="183"/>
      <c r="AK3833" s="183"/>
      <c r="AL3833" s="183"/>
      <c r="AM3833" s="183"/>
      <c r="AN3833" s="131"/>
      <c r="AO3833" s="131"/>
      <c r="AP3833" s="131"/>
      <c r="AQ3833" s="131"/>
      <c r="AR3833" s="288"/>
      <c r="AS3833" s="259"/>
      <c r="AT3833" s="183"/>
      <c r="AV3833" s="6" t="str">
        <f t="shared" si="80"/>
        <v/>
      </c>
    </row>
    <row r="3834" spans="1:48" ht="14.65" thickBot="1" x14ac:dyDescent="0.5">
      <c r="A3834" s="35" t="s">
        <v>461</v>
      </c>
      <c r="B3834" s="3" t="s">
        <v>2883</v>
      </c>
      <c r="C3834" s="12"/>
      <c r="D3834" s="20"/>
      <c r="E3834" s="20"/>
      <c r="F3834" s="4"/>
      <c r="G3834" s="12"/>
      <c r="H3834" s="20"/>
      <c r="J3834" s="18" t="s">
        <v>2473</v>
      </c>
      <c r="K3834" s="18" t="s">
        <v>2473</v>
      </c>
      <c r="R3834" s="114"/>
      <c r="S3834" s="114"/>
      <c r="T3834" s="114"/>
      <c r="U3834" s="114"/>
      <c r="V3834" s="114"/>
      <c r="W3834" s="114"/>
      <c r="X3834" s="114"/>
      <c r="Y3834" s="149"/>
      <c r="Z3834" s="183"/>
      <c r="AA3834" s="183"/>
      <c r="AB3834" s="183"/>
      <c r="AC3834" s="183"/>
      <c r="AD3834" s="183"/>
      <c r="AE3834" s="184"/>
      <c r="AF3834" s="184"/>
      <c r="AG3834" s="183"/>
      <c r="AH3834" s="183"/>
      <c r="AI3834" s="183"/>
      <c r="AJ3834" s="183"/>
      <c r="AK3834" s="183"/>
      <c r="AL3834" s="183"/>
      <c r="AM3834" s="183"/>
      <c r="AN3834" s="131"/>
      <c r="AO3834" s="131"/>
      <c r="AP3834" s="131"/>
      <c r="AQ3834" s="131"/>
      <c r="AR3834" s="288"/>
      <c r="AS3834" s="259"/>
      <c r="AT3834" s="183"/>
      <c r="AU3834" s="8"/>
      <c r="AV3834" s="6" t="str">
        <f t="shared" si="80"/>
        <v/>
      </c>
    </row>
    <row r="3835" spans="1:48" ht="14.65" thickBot="1" x14ac:dyDescent="0.5">
      <c r="A3835" s="35" t="s">
        <v>424</v>
      </c>
      <c r="B3835" s="3" t="s">
        <v>3689</v>
      </c>
      <c r="C3835" s="12"/>
      <c r="D3835" s="20"/>
      <c r="E3835" s="20"/>
      <c r="F3835" s="4"/>
      <c r="G3835" s="12"/>
      <c r="H3835" s="20"/>
      <c r="J3835" s="18" t="s">
        <v>2473</v>
      </c>
      <c r="K3835" s="18" t="s">
        <v>2473</v>
      </c>
      <c r="R3835" s="114"/>
      <c r="S3835" s="114"/>
      <c r="T3835" s="114"/>
      <c r="U3835" s="114"/>
      <c r="V3835" s="114"/>
      <c r="W3835" s="114"/>
      <c r="X3835" s="114"/>
      <c r="Y3835" s="149"/>
      <c r="Z3835" s="183"/>
      <c r="AA3835" s="183"/>
      <c r="AB3835" s="183"/>
      <c r="AC3835" s="183"/>
      <c r="AD3835" s="183"/>
      <c r="AE3835" s="184"/>
      <c r="AF3835" s="184"/>
      <c r="AG3835" s="183"/>
      <c r="AH3835" s="183"/>
      <c r="AI3835" s="183"/>
      <c r="AJ3835" s="183"/>
      <c r="AK3835" s="183"/>
      <c r="AL3835" s="183"/>
      <c r="AM3835" s="183"/>
      <c r="AN3835" s="131"/>
      <c r="AO3835" s="131"/>
      <c r="AP3835" s="131"/>
      <c r="AQ3835" s="131"/>
      <c r="AR3835" s="288"/>
      <c r="AS3835" s="259"/>
      <c r="AT3835" s="183"/>
      <c r="AU3835" s="8"/>
      <c r="AV3835" s="6" t="str">
        <f t="shared" si="80"/>
        <v/>
      </c>
    </row>
    <row r="3836" spans="1:48" ht="47.65" thickBot="1" x14ac:dyDescent="0.5">
      <c r="A3836" s="35" t="s">
        <v>3419</v>
      </c>
      <c r="B3836" s="3" t="s">
        <v>3699</v>
      </c>
      <c r="C3836" s="12"/>
      <c r="D3836" s="20"/>
      <c r="E3836" s="20"/>
      <c r="F3836" s="4"/>
      <c r="G3836" s="12" t="s">
        <v>10</v>
      </c>
      <c r="H3836" s="20"/>
      <c r="J3836" s="18" t="s">
        <v>2473</v>
      </c>
      <c r="K3836" s="18" t="s">
        <v>2473</v>
      </c>
      <c r="Q3836" s="8" t="s">
        <v>3551</v>
      </c>
      <c r="R3836" s="122" t="s">
        <v>3529</v>
      </c>
      <c r="S3836" s="114" t="s">
        <v>4</v>
      </c>
      <c r="T3836" s="114" t="s">
        <v>3489</v>
      </c>
      <c r="U3836" s="114" t="s">
        <v>3521</v>
      </c>
      <c r="V3836" s="114" t="s">
        <v>3530</v>
      </c>
      <c r="W3836" s="114" t="s">
        <v>3436</v>
      </c>
      <c r="X3836" s="114" t="s">
        <v>13</v>
      </c>
      <c r="Y3836" s="149"/>
      <c r="Z3836" s="183" t="s">
        <v>4</v>
      </c>
      <c r="AA3836" s="183" t="s">
        <v>116</v>
      </c>
      <c r="AB3836" s="183" t="s">
        <v>758</v>
      </c>
      <c r="AC3836" s="183" t="s">
        <v>6</v>
      </c>
      <c r="AD3836" s="183" t="s">
        <v>4886</v>
      </c>
      <c r="AE3836" s="184"/>
      <c r="AF3836" s="184"/>
      <c r="AG3836" s="183"/>
      <c r="AH3836" s="183"/>
      <c r="AI3836" s="183"/>
      <c r="AJ3836" s="183"/>
      <c r="AK3836" s="183"/>
      <c r="AL3836" s="183"/>
      <c r="AM3836" s="183"/>
      <c r="AN3836" s="131"/>
      <c r="AO3836" s="131"/>
      <c r="AP3836" s="131"/>
      <c r="AQ3836" s="131"/>
      <c r="AR3836" s="288"/>
      <c r="AS3836" s="259"/>
      <c r="AT3836" s="183"/>
      <c r="AU3836" s="8"/>
      <c r="AV3836" s="6" t="str">
        <f t="shared" si="80"/>
        <v>OK</v>
      </c>
    </row>
    <row r="3837" spans="1:48" ht="105" thickBot="1" x14ac:dyDescent="0.5">
      <c r="A3837" s="35" t="s">
        <v>157</v>
      </c>
      <c r="B3837" s="3" t="s">
        <v>3700</v>
      </c>
      <c r="C3837" s="12"/>
      <c r="D3837" s="20"/>
      <c r="E3837" s="20"/>
      <c r="F3837" s="4"/>
      <c r="G3837" s="12" t="s">
        <v>10</v>
      </c>
      <c r="H3837" s="20"/>
      <c r="J3837" s="18" t="s">
        <v>2473</v>
      </c>
      <c r="K3837" s="18" t="s">
        <v>2473</v>
      </c>
      <c r="Q3837" s="8" t="s">
        <v>3551</v>
      </c>
      <c r="R3837" s="122" t="s">
        <v>3529</v>
      </c>
      <c r="S3837" s="114" t="s">
        <v>4</v>
      </c>
      <c r="T3837" s="114" t="s">
        <v>3490</v>
      </c>
      <c r="U3837" s="114" t="s">
        <v>3521</v>
      </c>
      <c r="V3837" s="114" t="s">
        <v>3530</v>
      </c>
      <c r="W3837" s="114" t="s">
        <v>3436</v>
      </c>
      <c r="X3837" s="114" t="s">
        <v>13</v>
      </c>
      <c r="Y3837" s="149"/>
      <c r="Z3837" s="183" t="s">
        <v>4</v>
      </c>
      <c r="AA3837" s="183" t="s">
        <v>116</v>
      </c>
      <c r="AB3837" s="183" t="s">
        <v>758</v>
      </c>
      <c r="AC3837" s="183" t="s">
        <v>6</v>
      </c>
      <c r="AD3837" s="183" t="s">
        <v>4875</v>
      </c>
      <c r="AE3837" s="184"/>
      <c r="AF3837" s="184"/>
      <c r="AG3837" s="183"/>
      <c r="AH3837" s="183"/>
      <c r="AI3837" s="183"/>
      <c r="AJ3837" s="183"/>
      <c r="AK3837" s="183"/>
      <c r="AL3837" s="183"/>
      <c r="AM3837" s="183"/>
      <c r="AN3837" s="131"/>
      <c r="AO3837" s="131"/>
      <c r="AP3837" s="131"/>
      <c r="AQ3837" s="131"/>
      <c r="AR3837" s="288"/>
      <c r="AS3837" s="259"/>
      <c r="AT3837" s="183"/>
      <c r="AU3837" s="8"/>
      <c r="AV3837" s="6" t="str">
        <f t="shared" si="80"/>
        <v>OK</v>
      </c>
    </row>
    <row r="3838" spans="1:48" ht="70.150000000000006" thickBot="1" x14ac:dyDescent="0.5">
      <c r="A3838" s="35" t="s">
        <v>2718</v>
      </c>
      <c r="B3838" s="3" t="s">
        <v>3701</v>
      </c>
      <c r="C3838" s="12"/>
      <c r="D3838" s="20"/>
      <c r="E3838" s="20"/>
      <c r="F3838" s="4"/>
      <c r="G3838" s="12" t="s">
        <v>10</v>
      </c>
      <c r="H3838" s="20"/>
      <c r="J3838" s="18" t="s">
        <v>2473</v>
      </c>
      <c r="K3838" s="18" t="s">
        <v>2473</v>
      </c>
      <c r="Q3838" s="8" t="s">
        <v>3551</v>
      </c>
      <c r="R3838" s="122" t="s">
        <v>3529</v>
      </c>
      <c r="S3838" s="114" t="s">
        <v>4</v>
      </c>
      <c r="T3838" s="114" t="s">
        <v>3491</v>
      </c>
      <c r="U3838" s="114" t="s">
        <v>3521</v>
      </c>
      <c r="V3838" s="114" t="s">
        <v>3530</v>
      </c>
      <c r="W3838" s="114" t="s">
        <v>3436</v>
      </c>
      <c r="X3838" s="114" t="s">
        <v>13</v>
      </c>
      <c r="Y3838" s="149"/>
      <c r="Z3838" s="183" t="s">
        <v>4</v>
      </c>
      <c r="AA3838" s="183" t="s">
        <v>116</v>
      </c>
      <c r="AB3838" s="183" t="s">
        <v>758</v>
      </c>
      <c r="AC3838" s="183" t="s">
        <v>6</v>
      </c>
      <c r="AD3838" s="183" t="s">
        <v>4876</v>
      </c>
      <c r="AE3838" s="184"/>
      <c r="AF3838" s="184"/>
      <c r="AG3838" s="183"/>
      <c r="AH3838" s="183"/>
      <c r="AI3838" s="183"/>
      <c r="AJ3838" s="183"/>
      <c r="AK3838" s="183"/>
      <c r="AL3838" s="183"/>
      <c r="AM3838" s="183"/>
      <c r="AN3838" s="131"/>
      <c r="AO3838" s="131"/>
      <c r="AP3838" s="131"/>
      <c r="AQ3838" s="131"/>
      <c r="AR3838" s="288"/>
      <c r="AS3838" s="259"/>
      <c r="AT3838" s="183"/>
      <c r="AU3838" s="8"/>
      <c r="AV3838" s="6" t="str">
        <f t="shared" si="80"/>
        <v>OK</v>
      </c>
    </row>
    <row r="3839" spans="1:48" ht="70.150000000000006" thickBot="1" x14ac:dyDescent="0.5">
      <c r="A3839" s="35" t="s">
        <v>2719</v>
      </c>
      <c r="B3839" s="3" t="s">
        <v>3702</v>
      </c>
      <c r="C3839" s="12"/>
      <c r="D3839" s="20"/>
      <c r="E3839" s="20"/>
      <c r="F3839" s="4"/>
      <c r="G3839" s="12" t="s">
        <v>10</v>
      </c>
      <c r="H3839" s="20"/>
      <c r="J3839" s="18" t="s">
        <v>2473</v>
      </c>
      <c r="K3839" s="18" t="s">
        <v>2473</v>
      </c>
      <c r="Q3839" s="8" t="s">
        <v>3551</v>
      </c>
      <c r="R3839" s="122" t="s">
        <v>3529</v>
      </c>
      <c r="S3839" s="114" t="s">
        <v>4</v>
      </c>
      <c r="T3839" s="114" t="s">
        <v>3492</v>
      </c>
      <c r="U3839" s="114" t="s">
        <v>3521</v>
      </c>
      <c r="V3839" s="114" t="s">
        <v>3530</v>
      </c>
      <c r="W3839" s="114" t="s">
        <v>3436</v>
      </c>
      <c r="X3839" s="114" t="s">
        <v>13</v>
      </c>
      <c r="Y3839" s="149"/>
      <c r="Z3839" s="183" t="s">
        <v>4</v>
      </c>
      <c r="AA3839" s="183" t="s">
        <v>116</v>
      </c>
      <c r="AB3839" s="183" t="s">
        <v>758</v>
      </c>
      <c r="AC3839" s="183" t="s">
        <v>6</v>
      </c>
      <c r="AD3839" s="183" t="s">
        <v>4877</v>
      </c>
      <c r="AE3839" s="184"/>
      <c r="AF3839" s="184"/>
      <c r="AG3839" s="183"/>
      <c r="AH3839" s="183"/>
      <c r="AI3839" s="183"/>
      <c r="AJ3839" s="183"/>
      <c r="AK3839" s="183"/>
      <c r="AL3839" s="183"/>
      <c r="AM3839" s="183"/>
      <c r="AN3839" s="131"/>
      <c r="AO3839" s="131"/>
      <c r="AP3839" s="131"/>
      <c r="AQ3839" s="131"/>
      <c r="AR3839" s="288"/>
      <c r="AS3839" s="259"/>
      <c r="AT3839" s="183"/>
      <c r="AU3839" s="8"/>
      <c r="AV3839" s="6" t="str">
        <f t="shared" si="80"/>
        <v>OK</v>
      </c>
    </row>
    <row r="3840" spans="1:48" ht="81.75" thickBot="1" x14ac:dyDescent="0.5">
      <c r="A3840" s="35" t="s">
        <v>2721</v>
      </c>
      <c r="B3840" s="3" t="s">
        <v>3703</v>
      </c>
      <c r="C3840" s="12"/>
      <c r="D3840" s="20"/>
      <c r="E3840" s="20"/>
      <c r="F3840" s="4"/>
      <c r="G3840" s="12" t="s">
        <v>37</v>
      </c>
      <c r="H3840" s="20"/>
      <c r="J3840" s="18" t="s">
        <v>2473</v>
      </c>
      <c r="K3840" s="18" t="s">
        <v>2473</v>
      </c>
      <c r="Q3840" s="8" t="s">
        <v>3551</v>
      </c>
      <c r="R3840" s="122" t="s">
        <v>3529</v>
      </c>
      <c r="S3840" s="114" t="s">
        <v>4</v>
      </c>
      <c r="T3840" s="114" t="s">
        <v>3493</v>
      </c>
      <c r="U3840" s="114" t="s">
        <v>3521</v>
      </c>
      <c r="V3840" s="114" t="s">
        <v>3530</v>
      </c>
      <c r="W3840" s="114" t="s">
        <v>3436</v>
      </c>
      <c r="X3840" s="114" t="s">
        <v>13</v>
      </c>
      <c r="Y3840" s="149"/>
      <c r="Z3840" s="183" t="s">
        <v>4</v>
      </c>
      <c r="AA3840" s="183" t="s">
        <v>116</v>
      </c>
      <c r="AB3840" s="183" t="s">
        <v>758</v>
      </c>
      <c r="AC3840" s="183" t="s">
        <v>6</v>
      </c>
      <c r="AD3840" s="183" t="s">
        <v>4878</v>
      </c>
      <c r="AE3840" s="184"/>
      <c r="AF3840" s="184"/>
      <c r="AG3840" s="183"/>
      <c r="AH3840" s="183"/>
      <c r="AI3840" s="183"/>
      <c r="AJ3840" s="183"/>
      <c r="AK3840" s="183"/>
      <c r="AL3840" s="183"/>
      <c r="AM3840" s="183"/>
      <c r="AN3840" s="131"/>
      <c r="AO3840" s="131"/>
      <c r="AP3840" s="131"/>
      <c r="AQ3840" s="131"/>
      <c r="AR3840" s="288"/>
      <c r="AS3840" s="259"/>
      <c r="AT3840" s="183"/>
      <c r="AU3840" s="8"/>
      <c r="AV3840" s="6" t="str">
        <f t="shared" si="80"/>
        <v>OK</v>
      </c>
    </row>
    <row r="3841" spans="1:48" ht="58.5" thickBot="1" x14ac:dyDescent="0.5">
      <c r="A3841" s="35" t="s">
        <v>2895</v>
      </c>
      <c r="B3841" s="3" t="s">
        <v>3704</v>
      </c>
      <c r="C3841" s="12"/>
      <c r="D3841" s="20"/>
      <c r="E3841" s="20"/>
      <c r="F3841" s="4"/>
      <c r="G3841" s="12" t="s">
        <v>37</v>
      </c>
      <c r="H3841" s="20"/>
      <c r="J3841" s="18" t="s">
        <v>2473</v>
      </c>
      <c r="K3841" s="18" t="s">
        <v>2473</v>
      </c>
      <c r="Q3841" s="8" t="s">
        <v>3551</v>
      </c>
      <c r="R3841" s="122" t="s">
        <v>3529</v>
      </c>
      <c r="S3841" s="114" t="s">
        <v>4</v>
      </c>
      <c r="T3841" s="114" t="s">
        <v>3494</v>
      </c>
      <c r="U3841" s="114" t="s">
        <v>3521</v>
      </c>
      <c r="V3841" s="114" t="s">
        <v>3530</v>
      </c>
      <c r="W3841" s="114" t="s">
        <v>3436</v>
      </c>
      <c r="X3841" s="114" t="s">
        <v>13</v>
      </c>
      <c r="Y3841" s="149"/>
      <c r="Z3841" s="183" t="s">
        <v>4</v>
      </c>
      <c r="AA3841" s="183" t="s">
        <v>116</v>
      </c>
      <c r="AB3841" s="183" t="s">
        <v>4358</v>
      </c>
      <c r="AC3841" s="183" t="s">
        <v>6</v>
      </c>
      <c r="AD3841" s="183" t="s">
        <v>4879</v>
      </c>
      <c r="AE3841" s="184"/>
      <c r="AF3841" s="184"/>
      <c r="AG3841" s="183"/>
      <c r="AH3841" s="183"/>
      <c r="AI3841" s="183"/>
      <c r="AJ3841" s="183"/>
      <c r="AK3841" s="183"/>
      <c r="AL3841" s="183"/>
      <c r="AM3841" s="183"/>
      <c r="AN3841" s="131"/>
      <c r="AO3841" s="131"/>
      <c r="AP3841" s="131"/>
      <c r="AQ3841" s="131"/>
      <c r="AR3841" s="288"/>
      <c r="AS3841" s="259"/>
      <c r="AT3841" s="183"/>
      <c r="AU3841" s="8"/>
      <c r="AV3841" s="6" t="str">
        <f t="shared" si="80"/>
        <v>OK</v>
      </c>
    </row>
    <row r="3842" spans="1:48" ht="70.150000000000006" thickBot="1" x14ac:dyDescent="0.5">
      <c r="A3842" s="35" t="s">
        <v>3420</v>
      </c>
      <c r="B3842" s="3" t="s">
        <v>3728</v>
      </c>
      <c r="C3842" s="12"/>
      <c r="D3842" s="20"/>
      <c r="E3842" s="20"/>
      <c r="F3842" s="4"/>
      <c r="G3842" s="12" t="s">
        <v>10</v>
      </c>
      <c r="H3842" s="20"/>
      <c r="J3842" s="18" t="s">
        <v>2473</v>
      </c>
      <c r="K3842" s="18" t="s">
        <v>2473</v>
      </c>
      <c r="Q3842" s="8" t="s">
        <v>3551</v>
      </c>
      <c r="R3842" s="122" t="s">
        <v>3529</v>
      </c>
      <c r="S3842" s="114" t="s">
        <v>4</v>
      </c>
      <c r="T3842" s="114" t="s">
        <v>3495</v>
      </c>
      <c r="U3842" s="114" t="s">
        <v>3521</v>
      </c>
      <c r="V3842" s="114" t="s">
        <v>3530</v>
      </c>
      <c r="W3842" s="114" t="s">
        <v>3436</v>
      </c>
      <c r="X3842" s="114" t="s">
        <v>13</v>
      </c>
      <c r="Y3842" s="149"/>
      <c r="Z3842" s="183" t="s">
        <v>4</v>
      </c>
      <c r="AA3842" s="183" t="s">
        <v>116</v>
      </c>
      <c r="AB3842" s="183" t="s">
        <v>4358</v>
      </c>
      <c r="AC3842" s="183" t="s">
        <v>6</v>
      </c>
      <c r="AD3842" s="183" t="s">
        <v>4880</v>
      </c>
      <c r="AE3842" s="184"/>
      <c r="AF3842" s="184"/>
      <c r="AG3842" s="183"/>
      <c r="AH3842" s="183"/>
      <c r="AI3842" s="183"/>
      <c r="AJ3842" s="183"/>
      <c r="AK3842" s="183"/>
      <c r="AL3842" s="183"/>
      <c r="AM3842" s="183"/>
      <c r="AN3842" s="131"/>
      <c r="AO3842" s="131"/>
      <c r="AP3842" s="131"/>
      <c r="AQ3842" s="131"/>
      <c r="AR3842" s="288"/>
      <c r="AS3842" s="259"/>
      <c r="AT3842" s="183"/>
      <c r="AU3842" s="8"/>
      <c r="AV3842" s="6" t="str">
        <f t="shared" si="80"/>
        <v>OK</v>
      </c>
    </row>
    <row r="3843" spans="1:48" ht="58.5" thickBot="1" x14ac:dyDescent="0.5">
      <c r="A3843" s="35" t="s">
        <v>3421</v>
      </c>
      <c r="B3843" s="3" t="s">
        <v>3705</v>
      </c>
      <c r="C3843" s="12"/>
      <c r="D3843" s="20"/>
      <c r="E3843" s="20"/>
      <c r="F3843" s="4"/>
      <c r="G3843" s="12" t="s">
        <v>37</v>
      </c>
      <c r="H3843" s="20"/>
      <c r="J3843" s="18" t="s">
        <v>2473</v>
      </c>
      <c r="K3843" s="18" t="s">
        <v>2473</v>
      </c>
      <c r="Q3843" s="8" t="s">
        <v>3551</v>
      </c>
      <c r="R3843" s="122" t="s">
        <v>3529</v>
      </c>
      <c r="S3843" s="114" t="s">
        <v>4</v>
      </c>
      <c r="T3843" s="114" t="s">
        <v>1281</v>
      </c>
      <c r="U3843" s="114" t="s">
        <v>3521</v>
      </c>
      <c r="V3843" s="114" t="s">
        <v>3530</v>
      </c>
      <c r="W3843" s="114" t="s">
        <v>3436</v>
      </c>
      <c r="X3843" s="114" t="s">
        <v>13</v>
      </c>
      <c r="Y3843" s="149"/>
      <c r="Z3843" s="183" t="s">
        <v>4</v>
      </c>
      <c r="AA3843" s="183" t="s">
        <v>116</v>
      </c>
      <c r="AB3843" s="183" t="s">
        <v>758</v>
      </c>
      <c r="AC3843" s="183" t="s">
        <v>6</v>
      </c>
      <c r="AD3843" s="183" t="s">
        <v>4881</v>
      </c>
      <c r="AE3843" s="184"/>
      <c r="AF3843" s="184"/>
      <c r="AG3843" s="183"/>
      <c r="AH3843" s="183"/>
      <c r="AI3843" s="183"/>
      <c r="AJ3843" s="183"/>
      <c r="AK3843" s="183"/>
      <c r="AL3843" s="183"/>
      <c r="AM3843" s="183"/>
      <c r="AN3843" s="131"/>
      <c r="AO3843" s="131"/>
      <c r="AP3843" s="131"/>
      <c r="AQ3843" s="131"/>
      <c r="AR3843" s="288"/>
      <c r="AS3843" s="259"/>
      <c r="AT3843" s="183"/>
      <c r="AU3843" s="8"/>
      <c r="AV3843" s="6" t="str">
        <f t="shared" si="80"/>
        <v>OK</v>
      </c>
    </row>
    <row r="3844" spans="1:48" ht="81.75" thickBot="1" x14ac:dyDescent="0.5">
      <c r="A3844" s="35" t="s">
        <v>3422</v>
      </c>
      <c r="B3844" s="3" t="s">
        <v>4032</v>
      </c>
      <c r="C3844" s="12"/>
      <c r="D3844" s="20"/>
      <c r="E3844" s="20"/>
      <c r="F3844" s="4"/>
      <c r="G3844" s="12" t="s">
        <v>37</v>
      </c>
      <c r="H3844" s="20"/>
      <c r="J3844" s="18" t="s">
        <v>2473</v>
      </c>
      <c r="K3844" s="18" t="s">
        <v>2473</v>
      </c>
      <c r="Q3844" s="8" t="s">
        <v>3551</v>
      </c>
      <c r="R3844" s="122" t="s">
        <v>3529</v>
      </c>
      <c r="S3844" s="114" t="s">
        <v>4</v>
      </c>
      <c r="T3844" s="114" t="s">
        <v>3496</v>
      </c>
      <c r="U3844" s="114" t="s">
        <v>3521</v>
      </c>
      <c r="V3844" s="114" t="s">
        <v>3530</v>
      </c>
      <c r="W3844" s="114" t="s">
        <v>3436</v>
      </c>
      <c r="X3844" s="114" t="s">
        <v>13</v>
      </c>
      <c r="Y3844" s="149"/>
      <c r="Z3844" s="183" t="s">
        <v>4</v>
      </c>
      <c r="AA3844" s="183" t="s">
        <v>116</v>
      </c>
      <c r="AB3844" s="183" t="s">
        <v>758</v>
      </c>
      <c r="AC3844" s="183" t="s">
        <v>6</v>
      </c>
      <c r="AD3844" s="183" t="s">
        <v>4882</v>
      </c>
      <c r="AE3844" s="184"/>
      <c r="AF3844" s="184"/>
      <c r="AG3844" s="183"/>
      <c r="AH3844" s="183"/>
      <c r="AI3844" s="183"/>
      <c r="AJ3844" s="183"/>
      <c r="AK3844" s="183"/>
      <c r="AL3844" s="183"/>
      <c r="AM3844" s="183"/>
      <c r="AN3844" s="131"/>
      <c r="AO3844" s="131"/>
      <c r="AP3844" s="131"/>
      <c r="AQ3844" s="131"/>
      <c r="AR3844" s="288"/>
      <c r="AS3844" s="259"/>
      <c r="AT3844" s="183"/>
      <c r="AU3844" s="8"/>
      <c r="AV3844" s="6" t="str">
        <f t="shared" si="80"/>
        <v>OK</v>
      </c>
    </row>
    <row r="3845" spans="1:48" ht="70.150000000000006" thickBot="1" x14ac:dyDescent="0.5">
      <c r="A3845" s="35" t="s">
        <v>2079</v>
      </c>
      <c r="B3845" s="3" t="s">
        <v>4033</v>
      </c>
      <c r="C3845" s="4"/>
      <c r="D3845" s="4"/>
      <c r="E3845" s="4"/>
      <c r="F3845" s="4"/>
      <c r="G3845" s="4" t="s">
        <v>13</v>
      </c>
      <c r="H3845" s="4"/>
      <c r="J3845" s="18" t="s">
        <v>2473</v>
      </c>
      <c r="K3845" s="18" t="s">
        <v>2473</v>
      </c>
      <c r="Q3845" s="8" t="s">
        <v>3551</v>
      </c>
      <c r="R3845" s="122" t="s">
        <v>3529</v>
      </c>
      <c r="S3845" s="114" t="s">
        <v>4</v>
      </c>
      <c r="T3845" s="114" t="s">
        <v>1124</v>
      </c>
      <c r="U3845" s="114" t="s">
        <v>3521</v>
      </c>
      <c r="V3845" s="114" t="s">
        <v>3530</v>
      </c>
      <c r="W3845" s="114" t="s">
        <v>3436</v>
      </c>
      <c r="X3845" s="114" t="s">
        <v>13</v>
      </c>
      <c r="Y3845" s="149"/>
      <c r="Z3845" s="183" t="s">
        <v>4</v>
      </c>
      <c r="AA3845" s="183" t="s">
        <v>116</v>
      </c>
      <c r="AB3845" s="183" t="s">
        <v>4358</v>
      </c>
      <c r="AC3845" s="183" t="s">
        <v>6</v>
      </c>
      <c r="AD3845" s="183" t="s">
        <v>4821</v>
      </c>
      <c r="AE3845" s="184"/>
      <c r="AF3845" s="184"/>
      <c r="AG3845" s="183"/>
      <c r="AH3845" s="183"/>
      <c r="AI3845" s="183"/>
      <c r="AJ3845" s="183"/>
      <c r="AK3845" s="183"/>
      <c r="AL3845" s="183"/>
      <c r="AM3845" s="183"/>
      <c r="AN3845" s="131"/>
      <c r="AO3845" s="131"/>
      <c r="AP3845" s="131"/>
      <c r="AQ3845" s="131"/>
      <c r="AR3845" s="288"/>
      <c r="AS3845" s="259"/>
      <c r="AT3845" s="183"/>
      <c r="AU3845" s="6"/>
      <c r="AV3845" s="6" t="str">
        <f t="shared" si="80"/>
        <v>OK</v>
      </c>
    </row>
    <row r="3846" spans="1:48" ht="58.5" thickBot="1" x14ac:dyDescent="0.5">
      <c r="A3846" s="44" t="s">
        <v>418</v>
      </c>
      <c r="B3846" s="50" t="s">
        <v>4367</v>
      </c>
      <c r="C3846" s="14"/>
      <c r="D3846" s="20"/>
      <c r="E3846" s="14"/>
      <c r="F3846" s="20"/>
      <c r="G3846" s="14" t="s">
        <v>37</v>
      </c>
      <c r="H3846" s="20"/>
      <c r="J3846" s="18" t="s">
        <v>2473</v>
      </c>
      <c r="K3846" s="18" t="s">
        <v>2473</v>
      </c>
      <c r="R3846" s="122" t="s">
        <v>3435</v>
      </c>
      <c r="S3846" s="114" t="s">
        <v>3437</v>
      </c>
      <c r="T3846" s="114" t="s">
        <v>2365</v>
      </c>
      <c r="U3846" s="114"/>
      <c r="V3846" s="114" t="s">
        <v>3551</v>
      </c>
      <c r="W3846" s="114" t="s">
        <v>3436</v>
      </c>
      <c r="X3846" s="114" t="s">
        <v>13</v>
      </c>
      <c r="Y3846" s="149"/>
      <c r="Z3846" s="183" t="s">
        <v>4</v>
      </c>
      <c r="AA3846" s="183"/>
      <c r="AB3846" s="183" t="s">
        <v>4349</v>
      </c>
      <c r="AC3846" s="183"/>
      <c r="AD3846" s="183" t="s">
        <v>4883</v>
      </c>
      <c r="AE3846" s="184"/>
      <c r="AF3846" s="184"/>
      <c r="AG3846" s="183"/>
      <c r="AH3846" s="183"/>
      <c r="AI3846" s="183" t="str">
        <f>"true"</f>
        <v>true</v>
      </c>
      <c r="AJ3846" s="183"/>
      <c r="AK3846" s="183" t="s">
        <v>4446</v>
      </c>
      <c r="AL3846" s="183"/>
      <c r="AM3846" s="183"/>
      <c r="AN3846" s="131"/>
      <c r="AO3846" s="131"/>
      <c r="AP3846" s="131"/>
      <c r="AQ3846" s="131"/>
      <c r="AR3846" s="288"/>
      <c r="AS3846" s="259"/>
      <c r="AT3846" s="183"/>
      <c r="AV3846" s="6" t="str">
        <f t="shared" si="80"/>
        <v>ERROR</v>
      </c>
    </row>
    <row r="3847" spans="1:48" ht="14.65" thickBot="1" x14ac:dyDescent="0.5">
      <c r="A3847" s="41" t="s">
        <v>33</v>
      </c>
      <c r="B3847" s="50" t="s">
        <v>3686</v>
      </c>
      <c r="C3847" s="12"/>
      <c r="D3847" s="20"/>
      <c r="E3847" s="20"/>
      <c r="F3847" s="20"/>
      <c r="G3847" s="12"/>
      <c r="H3847" s="20"/>
      <c r="J3847" s="18" t="s">
        <v>2473</v>
      </c>
      <c r="K3847" s="18" t="s">
        <v>2473</v>
      </c>
      <c r="R3847" s="114"/>
      <c r="S3847" s="114"/>
      <c r="T3847" s="114"/>
      <c r="U3847" s="114"/>
      <c r="V3847" s="114"/>
      <c r="W3847" s="114"/>
      <c r="X3847" s="114"/>
      <c r="Y3847" s="149"/>
      <c r="Z3847" s="183"/>
      <c r="AA3847" s="183"/>
      <c r="AB3847" s="183"/>
      <c r="AC3847" s="183"/>
      <c r="AD3847" s="183"/>
      <c r="AE3847" s="184"/>
      <c r="AF3847" s="184"/>
      <c r="AG3847" s="183"/>
      <c r="AH3847" s="183"/>
      <c r="AI3847" s="183"/>
      <c r="AJ3847" s="183"/>
      <c r="AK3847" s="183"/>
      <c r="AL3847" s="183"/>
      <c r="AM3847" s="183"/>
      <c r="AN3847" s="131"/>
      <c r="AO3847" s="131"/>
      <c r="AP3847" s="131"/>
      <c r="AQ3847" s="131"/>
      <c r="AR3847" s="288"/>
      <c r="AS3847" s="259"/>
      <c r="AT3847" s="183"/>
      <c r="AV3847" s="6" t="str">
        <f t="shared" si="80"/>
        <v/>
      </c>
    </row>
    <row r="3848" spans="1:48" ht="14.65" thickBot="1" x14ac:dyDescent="0.5">
      <c r="A3848" s="35" t="s">
        <v>461</v>
      </c>
      <c r="B3848" s="3" t="s">
        <v>2883</v>
      </c>
      <c r="C3848" s="12"/>
      <c r="D3848" s="20"/>
      <c r="E3848" s="20"/>
      <c r="F3848" s="4"/>
      <c r="G3848" s="12"/>
      <c r="H3848" s="20"/>
      <c r="J3848" s="18" t="s">
        <v>2473</v>
      </c>
      <c r="K3848" s="18" t="s">
        <v>2473</v>
      </c>
      <c r="R3848" s="114"/>
      <c r="S3848" s="114"/>
      <c r="T3848" s="114"/>
      <c r="U3848" s="114"/>
      <c r="V3848" s="114"/>
      <c r="W3848" s="114"/>
      <c r="X3848" s="114"/>
      <c r="Y3848" s="149"/>
      <c r="Z3848" s="183"/>
      <c r="AA3848" s="183"/>
      <c r="AB3848" s="183"/>
      <c r="AC3848" s="183"/>
      <c r="AD3848" s="183"/>
      <c r="AE3848" s="184"/>
      <c r="AF3848" s="184"/>
      <c r="AG3848" s="183"/>
      <c r="AH3848" s="183"/>
      <c r="AI3848" s="183"/>
      <c r="AJ3848" s="183"/>
      <c r="AK3848" s="183"/>
      <c r="AL3848" s="183"/>
      <c r="AM3848" s="183"/>
      <c r="AN3848" s="131"/>
      <c r="AO3848" s="131"/>
      <c r="AP3848" s="131"/>
      <c r="AQ3848" s="131"/>
      <c r="AR3848" s="288"/>
      <c r="AS3848" s="259"/>
      <c r="AT3848" s="183"/>
      <c r="AU3848" s="8"/>
      <c r="AV3848" s="6" t="str">
        <f t="shared" si="80"/>
        <v/>
      </c>
    </row>
    <row r="3849" spans="1:48" ht="14.65" thickBot="1" x14ac:dyDescent="0.5">
      <c r="A3849" s="35" t="s">
        <v>424</v>
      </c>
      <c r="B3849" s="3" t="s">
        <v>2882</v>
      </c>
      <c r="C3849" s="12"/>
      <c r="D3849" s="20"/>
      <c r="E3849" s="20"/>
      <c r="F3849" s="4"/>
      <c r="G3849" s="12"/>
      <c r="H3849" s="20"/>
      <c r="J3849" s="18" t="s">
        <v>2473</v>
      </c>
      <c r="K3849" s="18" t="s">
        <v>2473</v>
      </c>
      <c r="R3849" s="114"/>
      <c r="S3849" s="114"/>
      <c r="T3849" s="114"/>
      <c r="U3849" s="114"/>
      <c r="V3849" s="114"/>
      <c r="W3849" s="114"/>
      <c r="X3849" s="114"/>
      <c r="Y3849" s="149"/>
      <c r="Z3849" s="183"/>
      <c r="AA3849" s="183"/>
      <c r="AB3849" s="183"/>
      <c r="AC3849" s="183"/>
      <c r="AD3849" s="183"/>
      <c r="AE3849" s="184"/>
      <c r="AF3849" s="184"/>
      <c r="AG3849" s="183"/>
      <c r="AH3849" s="183"/>
      <c r="AI3849" s="183"/>
      <c r="AJ3849" s="183"/>
      <c r="AK3849" s="183"/>
      <c r="AL3849" s="183"/>
      <c r="AM3849" s="183"/>
      <c r="AN3849" s="131"/>
      <c r="AO3849" s="131"/>
      <c r="AP3849" s="131"/>
      <c r="AQ3849" s="131"/>
      <c r="AR3849" s="288"/>
      <c r="AS3849" s="259"/>
      <c r="AT3849" s="183"/>
      <c r="AU3849" s="8"/>
      <c r="AV3849" s="6" t="str">
        <f t="shared" si="80"/>
        <v/>
      </c>
    </row>
    <row r="3850" spans="1:48" ht="47.65" thickBot="1" x14ac:dyDescent="0.5">
      <c r="A3850" s="35" t="s">
        <v>2653</v>
      </c>
      <c r="B3850" s="3" t="s">
        <v>3706</v>
      </c>
      <c r="C3850" s="12"/>
      <c r="D3850" s="20"/>
      <c r="E3850" s="20"/>
      <c r="F3850" s="4"/>
      <c r="G3850" s="12" t="s">
        <v>10</v>
      </c>
      <c r="H3850" s="20"/>
      <c r="J3850" s="18" t="s">
        <v>2473</v>
      </c>
      <c r="K3850" s="18" t="s">
        <v>2473</v>
      </c>
      <c r="Q3850" s="8" t="s">
        <v>3551</v>
      </c>
      <c r="R3850" s="122" t="s">
        <v>3529</v>
      </c>
      <c r="S3850" s="114" t="s">
        <v>4</v>
      </c>
      <c r="T3850" s="114" t="s">
        <v>2678</v>
      </c>
      <c r="U3850" s="114" t="s">
        <v>3521</v>
      </c>
      <c r="V3850" s="114" t="s">
        <v>3530</v>
      </c>
      <c r="W3850" s="114" t="s">
        <v>3436</v>
      </c>
      <c r="X3850" s="114" t="s">
        <v>13</v>
      </c>
      <c r="Y3850" s="149"/>
      <c r="Z3850" s="183" t="s">
        <v>4</v>
      </c>
      <c r="AA3850" s="183" t="s">
        <v>418</v>
      </c>
      <c r="AB3850" s="183" t="s">
        <v>758</v>
      </c>
      <c r="AC3850" s="183" t="s">
        <v>6</v>
      </c>
      <c r="AD3850" s="183" t="s">
        <v>4885</v>
      </c>
      <c r="AE3850" s="183"/>
      <c r="AF3850" s="184"/>
      <c r="AG3850" s="183"/>
      <c r="AH3850" s="183"/>
      <c r="AI3850" s="183"/>
      <c r="AJ3850" s="183"/>
      <c r="AK3850" s="183"/>
      <c r="AL3850" s="183"/>
      <c r="AM3850" s="183"/>
      <c r="AN3850" s="131"/>
      <c r="AO3850" s="131"/>
      <c r="AP3850" s="131"/>
      <c r="AQ3850" s="131"/>
      <c r="AR3850" s="288"/>
      <c r="AS3850" s="259"/>
      <c r="AT3850" s="183"/>
      <c r="AU3850" s="8"/>
      <c r="AV3850" s="6" t="str">
        <f t="shared" si="80"/>
        <v>OK</v>
      </c>
    </row>
    <row r="3851" spans="1:48" ht="70.150000000000006" thickBot="1" x14ac:dyDescent="0.5">
      <c r="A3851" s="35" t="s">
        <v>2720</v>
      </c>
      <c r="B3851" s="3" t="s">
        <v>4030</v>
      </c>
      <c r="C3851" s="12"/>
      <c r="D3851" s="20"/>
      <c r="E3851" s="20"/>
      <c r="F3851" s="4"/>
      <c r="G3851" s="12" t="s">
        <v>13</v>
      </c>
      <c r="H3851" s="20"/>
      <c r="J3851" s="18" t="s">
        <v>2473</v>
      </c>
      <c r="K3851" s="18" t="s">
        <v>2473</v>
      </c>
      <c r="Q3851" s="8" t="s">
        <v>3551</v>
      </c>
      <c r="R3851" s="122" t="s">
        <v>3529</v>
      </c>
      <c r="S3851" s="114" t="s">
        <v>4</v>
      </c>
      <c r="T3851" s="114" t="s">
        <v>2007</v>
      </c>
      <c r="U3851" s="114" t="s">
        <v>3521</v>
      </c>
      <c r="V3851" s="114" t="s">
        <v>3530</v>
      </c>
      <c r="W3851" s="114" t="s">
        <v>3436</v>
      </c>
      <c r="X3851" s="114" t="s">
        <v>13</v>
      </c>
      <c r="Y3851" s="149"/>
      <c r="Z3851" s="183" t="s">
        <v>4</v>
      </c>
      <c r="AA3851" s="183" t="s">
        <v>418</v>
      </c>
      <c r="AB3851" s="183" t="s">
        <v>758</v>
      </c>
      <c r="AC3851" s="183"/>
      <c r="AD3851" s="183" t="s">
        <v>5017</v>
      </c>
      <c r="AE3851" s="183"/>
      <c r="AF3851" s="184"/>
      <c r="AG3851" s="183"/>
      <c r="AH3851" s="183"/>
      <c r="AI3851" s="183"/>
      <c r="AJ3851" s="183"/>
      <c r="AK3851" s="183"/>
      <c r="AL3851" s="183"/>
      <c r="AM3851" s="183"/>
      <c r="AN3851" s="131"/>
      <c r="AO3851" s="131"/>
      <c r="AP3851" s="131"/>
      <c r="AQ3851" s="131"/>
      <c r="AR3851" s="288"/>
      <c r="AS3851" s="259"/>
      <c r="AT3851" s="183"/>
      <c r="AU3851" s="8"/>
      <c r="AV3851" s="6" t="str">
        <f t="shared" si="80"/>
        <v>OK</v>
      </c>
    </row>
    <row r="3852" spans="1:48" ht="93.4" thickBot="1" x14ac:dyDescent="0.5">
      <c r="A3852" s="35" t="s">
        <v>3424</v>
      </c>
      <c r="B3852" s="3" t="s">
        <v>3707</v>
      </c>
      <c r="C3852" s="12"/>
      <c r="D3852" s="20"/>
      <c r="E3852" s="20"/>
      <c r="F3852" s="4"/>
      <c r="G3852" s="12" t="s">
        <v>13</v>
      </c>
      <c r="H3852" s="20"/>
      <c r="J3852" s="18" t="s">
        <v>2473</v>
      </c>
      <c r="K3852" s="18" t="s">
        <v>2473</v>
      </c>
      <c r="Q3852" s="8" t="s">
        <v>3551</v>
      </c>
      <c r="R3852" s="122" t="s">
        <v>3529</v>
      </c>
      <c r="S3852" s="114" t="s">
        <v>4</v>
      </c>
      <c r="T3852" s="114" t="s">
        <v>3497</v>
      </c>
      <c r="U3852" s="114" t="s">
        <v>3521</v>
      </c>
      <c r="V3852" s="114" t="s">
        <v>3530</v>
      </c>
      <c r="W3852" s="114" t="s">
        <v>3436</v>
      </c>
      <c r="X3852" s="114" t="s">
        <v>13</v>
      </c>
      <c r="Y3852" s="149"/>
      <c r="Z3852" s="183" t="s">
        <v>4</v>
      </c>
      <c r="AA3852" s="183" t="s">
        <v>418</v>
      </c>
      <c r="AB3852" s="183" t="s">
        <v>758</v>
      </c>
      <c r="AC3852" s="183" t="s">
        <v>6</v>
      </c>
      <c r="AD3852" s="183" t="s">
        <v>4887</v>
      </c>
      <c r="AE3852" s="183"/>
      <c r="AF3852" s="184"/>
      <c r="AG3852" s="183"/>
      <c r="AH3852" s="183"/>
      <c r="AI3852" s="183"/>
      <c r="AJ3852" s="183"/>
      <c r="AK3852" s="183"/>
      <c r="AL3852" s="183"/>
      <c r="AM3852" s="183"/>
      <c r="AN3852" s="131"/>
      <c r="AO3852" s="131"/>
      <c r="AP3852" s="131"/>
      <c r="AQ3852" s="131"/>
      <c r="AR3852" s="288"/>
      <c r="AS3852" s="259"/>
      <c r="AT3852" s="183"/>
      <c r="AU3852" s="8"/>
      <c r="AV3852" s="6" t="str">
        <f t="shared" si="80"/>
        <v>OK</v>
      </c>
    </row>
    <row r="3853" spans="1:48" ht="58.5" thickBot="1" x14ac:dyDescent="0.5">
      <c r="A3853" s="35" t="s">
        <v>2079</v>
      </c>
      <c r="B3853" s="3" t="s">
        <v>4033</v>
      </c>
      <c r="C3853" s="4"/>
      <c r="D3853" s="4"/>
      <c r="E3853" s="4"/>
      <c r="F3853" s="4"/>
      <c r="G3853" s="4" t="s">
        <v>13</v>
      </c>
      <c r="H3853" s="4"/>
      <c r="J3853" s="18" t="s">
        <v>2473</v>
      </c>
      <c r="K3853" s="18" t="s">
        <v>2473</v>
      </c>
      <c r="Q3853" s="8" t="s">
        <v>3551</v>
      </c>
      <c r="R3853" s="122" t="s">
        <v>3529</v>
      </c>
      <c r="S3853" s="114" t="s">
        <v>4</v>
      </c>
      <c r="T3853" s="114" t="s">
        <v>1124</v>
      </c>
      <c r="U3853" s="114" t="s">
        <v>3521</v>
      </c>
      <c r="V3853" s="114" t="s">
        <v>3530</v>
      </c>
      <c r="W3853" s="114" t="s">
        <v>3436</v>
      </c>
      <c r="X3853" s="114" t="s">
        <v>13</v>
      </c>
      <c r="Y3853" s="149"/>
      <c r="Z3853" s="183" t="s">
        <v>4</v>
      </c>
      <c r="AA3853" s="183" t="s">
        <v>418</v>
      </c>
      <c r="AB3853" s="183" t="s">
        <v>4358</v>
      </c>
      <c r="AC3853" s="183" t="s">
        <v>6</v>
      </c>
      <c r="AD3853" s="183" t="s">
        <v>4822</v>
      </c>
      <c r="AE3853" s="183"/>
      <c r="AF3853" s="184"/>
      <c r="AG3853" s="183"/>
      <c r="AH3853" s="183"/>
      <c r="AI3853" s="183"/>
      <c r="AJ3853" s="183"/>
      <c r="AK3853" s="183"/>
      <c r="AL3853" s="183"/>
      <c r="AM3853" s="183"/>
      <c r="AN3853" s="131"/>
      <c r="AO3853" s="131"/>
      <c r="AP3853" s="131"/>
      <c r="AQ3853" s="131"/>
      <c r="AR3853" s="288"/>
      <c r="AS3853" s="259"/>
      <c r="AT3853" s="183"/>
      <c r="AU3853" s="6"/>
      <c r="AV3853" s="6" t="str">
        <f t="shared" si="80"/>
        <v>OK</v>
      </c>
    </row>
    <row r="3854" spans="1:48" ht="81.75" thickBot="1" x14ac:dyDescent="0.5">
      <c r="A3854" s="44" t="s">
        <v>2366</v>
      </c>
      <c r="B3854" s="50" t="s">
        <v>4626</v>
      </c>
      <c r="C3854" s="14"/>
      <c r="D3854" s="20"/>
      <c r="E3854" s="14"/>
      <c r="F3854" s="20"/>
      <c r="G3854" s="14" t="s">
        <v>37</v>
      </c>
      <c r="H3854" s="20"/>
      <c r="J3854" s="18" t="s">
        <v>2473</v>
      </c>
      <c r="K3854" s="18" t="s">
        <v>2473</v>
      </c>
      <c r="R3854" s="122" t="s">
        <v>3529</v>
      </c>
      <c r="S3854" s="114" t="s">
        <v>4</v>
      </c>
      <c r="T3854" s="114" t="s">
        <v>2366</v>
      </c>
      <c r="U3854" s="114" t="s">
        <v>3521</v>
      </c>
      <c r="V3854" s="114" t="s">
        <v>3530</v>
      </c>
      <c r="W3854" s="114" t="s">
        <v>3436</v>
      </c>
      <c r="X3854" s="114" t="s">
        <v>13</v>
      </c>
      <c r="Y3854" s="149"/>
      <c r="Z3854" s="183" t="s">
        <v>4</v>
      </c>
      <c r="AA3854" s="183"/>
      <c r="AB3854" s="183" t="s">
        <v>758</v>
      </c>
      <c r="AC3854" s="183" t="s">
        <v>6</v>
      </c>
      <c r="AD3854" s="183" t="s">
        <v>4888</v>
      </c>
      <c r="AE3854" s="184"/>
      <c r="AF3854" s="184"/>
      <c r="AG3854" s="183"/>
      <c r="AH3854" s="183"/>
      <c r="AI3854" s="183"/>
      <c r="AJ3854" s="183"/>
      <c r="AK3854" s="183"/>
      <c r="AL3854" s="183"/>
      <c r="AM3854" s="183"/>
      <c r="AN3854" s="131"/>
      <c r="AO3854" s="131"/>
      <c r="AP3854" s="131"/>
      <c r="AQ3854" s="131"/>
      <c r="AR3854" s="288"/>
      <c r="AS3854" s="259"/>
      <c r="AT3854" s="183"/>
      <c r="AV3854" s="6" t="str">
        <f t="shared" si="80"/>
        <v>OK</v>
      </c>
    </row>
    <row r="3855" spans="1:48" ht="70.150000000000006" thickBot="1" x14ac:dyDescent="0.5">
      <c r="A3855" s="44" t="s">
        <v>2715</v>
      </c>
      <c r="B3855" s="50" t="s">
        <v>3708</v>
      </c>
      <c r="C3855" s="12"/>
      <c r="D3855" s="20"/>
      <c r="E3855" s="12"/>
      <c r="F3855" s="20"/>
      <c r="G3855" s="12" t="s">
        <v>10</v>
      </c>
      <c r="H3855" s="20"/>
      <c r="J3855" s="18" t="s">
        <v>2473</v>
      </c>
      <c r="K3855" s="18" t="s">
        <v>2473</v>
      </c>
      <c r="R3855" s="122" t="s">
        <v>3529</v>
      </c>
      <c r="S3855" s="114" t="s">
        <v>4</v>
      </c>
      <c r="T3855" s="114" t="s">
        <v>2715</v>
      </c>
      <c r="U3855" s="114" t="s">
        <v>3521</v>
      </c>
      <c r="V3855" s="114" t="s">
        <v>3530</v>
      </c>
      <c r="W3855" s="114" t="s">
        <v>3436</v>
      </c>
      <c r="X3855" s="114" t="s">
        <v>13</v>
      </c>
      <c r="Y3855" s="149"/>
      <c r="Z3855" s="183" t="s">
        <v>4</v>
      </c>
      <c r="AA3855" s="183"/>
      <c r="AB3855" s="183" t="s">
        <v>758</v>
      </c>
      <c r="AC3855" s="183" t="s">
        <v>6</v>
      </c>
      <c r="AD3855" s="183" t="s">
        <v>4889</v>
      </c>
      <c r="AE3855" s="184"/>
      <c r="AF3855" s="184"/>
      <c r="AG3855" s="183"/>
      <c r="AH3855" s="183"/>
      <c r="AI3855" s="183"/>
      <c r="AJ3855" s="183"/>
      <c r="AK3855" s="183"/>
      <c r="AL3855" s="183"/>
      <c r="AM3855" s="183"/>
      <c r="AN3855" s="131"/>
      <c r="AO3855" s="131"/>
      <c r="AP3855" s="131"/>
      <c r="AQ3855" s="131"/>
      <c r="AR3855" s="288"/>
      <c r="AS3855" s="259"/>
      <c r="AT3855" s="183"/>
      <c r="AV3855" s="6" t="str">
        <f t="shared" si="80"/>
        <v>OK</v>
      </c>
    </row>
    <row r="3856" spans="1:48" ht="116.65" thickBot="1" x14ac:dyDescent="0.5">
      <c r="A3856" s="44" t="s">
        <v>2893</v>
      </c>
      <c r="B3856" s="50" t="s">
        <v>3979</v>
      </c>
      <c r="C3856" s="12"/>
      <c r="D3856" s="20"/>
      <c r="E3856" s="12"/>
      <c r="F3856" s="20"/>
      <c r="G3856" s="12" t="s">
        <v>37</v>
      </c>
      <c r="H3856" s="20"/>
      <c r="J3856" s="18" t="s">
        <v>2473</v>
      </c>
      <c r="K3856" s="18" t="s">
        <v>2473</v>
      </c>
      <c r="R3856" s="122" t="s">
        <v>3529</v>
      </c>
      <c r="S3856" s="114" t="s">
        <v>4</v>
      </c>
      <c r="T3856" s="114" t="s">
        <v>2893</v>
      </c>
      <c r="U3856" s="114" t="s">
        <v>3521</v>
      </c>
      <c r="V3856" s="114" t="s">
        <v>3530</v>
      </c>
      <c r="W3856" s="114" t="s">
        <v>3436</v>
      </c>
      <c r="X3856" s="114" t="s">
        <v>13</v>
      </c>
      <c r="Y3856" s="149"/>
      <c r="Z3856" s="183" t="s">
        <v>4</v>
      </c>
      <c r="AA3856" s="183"/>
      <c r="AB3856" s="183" t="s">
        <v>758</v>
      </c>
      <c r="AC3856" s="183" t="s">
        <v>6</v>
      </c>
      <c r="AD3856" s="183" t="s">
        <v>5018</v>
      </c>
      <c r="AE3856" s="184"/>
      <c r="AF3856" s="184"/>
      <c r="AG3856" s="183"/>
      <c r="AH3856" s="183"/>
      <c r="AI3856" s="183"/>
      <c r="AJ3856" s="183"/>
      <c r="AK3856" s="183"/>
      <c r="AL3856" s="183"/>
      <c r="AM3856" s="183"/>
      <c r="AN3856" s="131"/>
      <c r="AO3856" s="131"/>
      <c r="AP3856" s="131"/>
      <c r="AQ3856" s="131"/>
      <c r="AR3856" s="288"/>
      <c r="AS3856" s="259"/>
      <c r="AT3856" s="183"/>
      <c r="AV3856" s="6" t="str">
        <f t="shared" si="80"/>
        <v>OK</v>
      </c>
    </row>
    <row r="3857" spans="1:48" ht="128.25" thickBot="1" x14ac:dyDescent="0.5">
      <c r="A3857" s="44" t="s">
        <v>3615</v>
      </c>
      <c r="B3857" s="50" t="s">
        <v>4029</v>
      </c>
      <c r="C3857" s="12"/>
      <c r="D3857" s="20"/>
      <c r="E3857" s="12"/>
      <c r="F3857" s="20"/>
      <c r="G3857" s="12" t="s">
        <v>37</v>
      </c>
      <c r="H3857" s="104" t="s">
        <v>13</v>
      </c>
      <c r="J3857" s="18" t="s">
        <v>2473</v>
      </c>
      <c r="K3857" s="18" t="s">
        <v>2473</v>
      </c>
      <c r="R3857" s="122" t="s">
        <v>3529</v>
      </c>
      <c r="S3857" s="114" t="s">
        <v>4</v>
      </c>
      <c r="T3857" s="114" t="s">
        <v>3616</v>
      </c>
      <c r="U3857" s="114" t="s">
        <v>3521</v>
      </c>
      <c r="V3857" s="114" t="s">
        <v>3530</v>
      </c>
      <c r="W3857" s="114" t="s">
        <v>3436</v>
      </c>
      <c r="X3857" s="114" t="s">
        <v>13</v>
      </c>
      <c r="Y3857" s="149"/>
      <c r="Z3857" s="183" t="s">
        <v>4</v>
      </c>
      <c r="AA3857" s="183"/>
      <c r="AB3857" s="183" t="s">
        <v>758</v>
      </c>
      <c r="AC3857" s="183" t="s">
        <v>6</v>
      </c>
      <c r="AD3857" s="183" t="s">
        <v>4890</v>
      </c>
      <c r="AE3857" s="184"/>
      <c r="AF3857" s="184"/>
      <c r="AG3857" s="183"/>
      <c r="AH3857" s="183"/>
      <c r="AI3857" s="183"/>
      <c r="AJ3857" s="183"/>
      <c r="AK3857" s="183"/>
      <c r="AL3857" s="183"/>
      <c r="AM3857" s="183"/>
      <c r="AN3857" s="131"/>
      <c r="AO3857" s="131"/>
      <c r="AP3857" s="131"/>
      <c r="AQ3857" s="131"/>
      <c r="AR3857" s="288"/>
      <c r="AS3857" s="259"/>
      <c r="AT3857" s="183"/>
      <c r="AV3857" s="6" t="str">
        <f t="shared" si="80"/>
        <v>OK</v>
      </c>
    </row>
    <row r="3858" spans="1:48" ht="14.65" thickBot="1" x14ac:dyDescent="0.5">
      <c r="A3858" s="36" t="s">
        <v>753</v>
      </c>
      <c r="B3858" s="3" t="s">
        <v>60</v>
      </c>
      <c r="C3858" s="4"/>
      <c r="D3858" s="4"/>
      <c r="E3858" s="4"/>
      <c r="F3858" s="4"/>
      <c r="G3858" s="4"/>
      <c r="H3858" s="4"/>
      <c r="J3858" s="18" t="s">
        <v>2473</v>
      </c>
      <c r="K3858" s="18" t="s">
        <v>2473</v>
      </c>
      <c r="AU3858" s="8"/>
      <c r="AV3858" s="6" t="str">
        <f t="shared" si="80"/>
        <v/>
      </c>
    </row>
    <row r="3859" spans="1:48" ht="105" thickBot="1" x14ac:dyDescent="0.5">
      <c r="A3859" s="43" t="s">
        <v>145</v>
      </c>
      <c r="B3859" s="22" t="s">
        <v>2482</v>
      </c>
      <c r="C3859" s="20"/>
      <c r="D3859" s="20"/>
      <c r="E3859" s="20"/>
      <c r="F3859" s="20"/>
      <c r="G3859" s="20" t="s">
        <v>10</v>
      </c>
      <c r="H3859" s="20"/>
      <c r="J3859" s="18" t="s">
        <v>2473</v>
      </c>
      <c r="K3859" s="18" t="s">
        <v>2473</v>
      </c>
      <c r="R3859" s="122" t="s">
        <v>3435</v>
      </c>
      <c r="S3859" s="114" t="s">
        <v>3437</v>
      </c>
      <c r="T3859" s="114" t="s">
        <v>145</v>
      </c>
      <c r="U3859" s="114"/>
      <c r="V3859" s="114" t="s">
        <v>3441</v>
      </c>
      <c r="W3859" s="114" t="s">
        <v>3436</v>
      </c>
      <c r="X3859" s="114" t="s">
        <v>13</v>
      </c>
      <c r="Y3859" s="149"/>
      <c r="Z3859" s="183" t="s">
        <v>4</v>
      </c>
      <c r="AA3859" s="183"/>
      <c r="AB3859" s="183" t="s">
        <v>4359</v>
      </c>
      <c r="AC3859" s="183" t="s">
        <v>6</v>
      </c>
      <c r="AD3859" s="183" t="s">
        <v>4770</v>
      </c>
      <c r="AE3859" s="184"/>
      <c r="AF3859" s="184"/>
      <c r="AG3859" s="183"/>
      <c r="AH3859" s="183"/>
      <c r="AI3859" s="183"/>
      <c r="AJ3859" s="183"/>
      <c r="AK3859" s="183"/>
      <c r="AL3859" s="183"/>
      <c r="AM3859" s="183"/>
      <c r="AN3859" s="131"/>
      <c r="AO3859" s="131"/>
      <c r="AP3859" s="131"/>
      <c r="AQ3859" s="131"/>
      <c r="AR3859" s="288"/>
      <c r="AS3859" s="266" t="s">
        <v>5861</v>
      </c>
      <c r="AT3859" s="183"/>
      <c r="AV3859" s="6" t="str">
        <f t="shared" si="80"/>
        <v>OK</v>
      </c>
    </row>
    <row r="3860" spans="1:48" ht="47.65" thickBot="1" x14ac:dyDescent="0.5">
      <c r="A3860" s="35" t="s">
        <v>5361</v>
      </c>
      <c r="B3860" s="3" t="s">
        <v>5352</v>
      </c>
      <c r="C3860" s="20"/>
      <c r="D3860" s="20"/>
      <c r="E3860" s="20"/>
      <c r="F3860" s="20"/>
      <c r="G3860" s="4" t="s">
        <v>10</v>
      </c>
      <c r="H3860" s="4"/>
      <c r="J3860" s="18" t="s">
        <v>2473</v>
      </c>
      <c r="K3860" s="18" t="s">
        <v>2473</v>
      </c>
      <c r="Q3860" s="131"/>
      <c r="R3860" s="131"/>
      <c r="S3860" s="131"/>
      <c r="T3860" s="131"/>
      <c r="U3860" s="131"/>
      <c r="V3860" s="131"/>
      <c r="W3860" s="131"/>
      <c r="X3860" s="131"/>
      <c r="AS3860" s="139" t="s">
        <v>5355</v>
      </c>
      <c r="AU3860" s="6"/>
      <c r="AV3860" s="6"/>
    </row>
    <row r="3861" spans="1:48" ht="82.5" thickBot="1" x14ac:dyDescent="0.5">
      <c r="A3861" s="35" t="s">
        <v>5360</v>
      </c>
      <c r="B3861" s="3" t="s">
        <v>5353</v>
      </c>
      <c r="C3861" s="4"/>
      <c r="D3861" s="4"/>
      <c r="E3861" s="4"/>
      <c r="F3861" s="4"/>
      <c r="G3861" s="4"/>
      <c r="H3861" s="4"/>
      <c r="J3861" s="18" t="s">
        <v>2473</v>
      </c>
      <c r="K3861" s="18" t="s">
        <v>2473</v>
      </c>
      <c r="Q3861" s="131"/>
      <c r="R3861" s="131"/>
      <c r="S3861" s="131"/>
      <c r="T3861" s="131"/>
      <c r="U3861" s="131"/>
      <c r="V3861" s="131"/>
      <c r="W3861" s="131"/>
      <c r="X3861" s="131"/>
      <c r="AS3861" s="139" t="s">
        <v>5356</v>
      </c>
      <c r="AU3861" s="6"/>
      <c r="AV3861" s="6"/>
    </row>
    <row r="3862" spans="1:48" x14ac:dyDescent="0.45">
      <c r="A3862" s="33" t="s">
        <v>2371</v>
      </c>
      <c r="J3862" s="18" t="s">
        <v>2473</v>
      </c>
      <c r="K3862" s="18" t="s">
        <v>2473</v>
      </c>
      <c r="AU3862" s="8"/>
      <c r="AV3862" s="6" t="str">
        <f t="shared" si="80"/>
        <v/>
      </c>
    </row>
    <row r="3863" spans="1:48" x14ac:dyDescent="0.45">
      <c r="A3863" s="34" t="s">
        <v>3623</v>
      </c>
      <c r="J3863" s="18" t="s">
        <v>2473</v>
      </c>
      <c r="K3863" s="18" t="s">
        <v>2473</v>
      </c>
      <c r="AU3863" s="8"/>
      <c r="AV3863" s="6" t="str">
        <f t="shared" si="80"/>
        <v/>
      </c>
    </row>
    <row r="3864" spans="1:48" s="79" customFormat="1" x14ac:dyDescent="0.45">
      <c r="A3864" s="75"/>
      <c r="B3864" s="76"/>
      <c r="C3864" s="77"/>
      <c r="D3864" s="77"/>
      <c r="E3864" s="77"/>
      <c r="F3864" s="77"/>
      <c r="G3864" s="77"/>
      <c r="H3864" s="77"/>
      <c r="I3864" s="77"/>
      <c r="J3864" s="77"/>
      <c r="K3864" s="77"/>
      <c r="L3864" s="77"/>
      <c r="M3864" s="148"/>
      <c r="N3864" s="78"/>
      <c r="O3864" s="78"/>
      <c r="P3864" s="78"/>
      <c r="Q3864" s="78"/>
      <c r="R3864" s="78"/>
      <c r="S3864" s="78"/>
      <c r="T3864" s="78"/>
      <c r="U3864" s="78"/>
      <c r="V3864" s="78"/>
      <c r="W3864" s="78"/>
      <c r="X3864" s="78"/>
      <c r="Y3864" s="148"/>
      <c r="Z3864" s="78"/>
      <c r="AA3864" s="78"/>
      <c r="AB3864" s="78"/>
      <c r="AC3864" s="78"/>
      <c r="AD3864" s="78"/>
      <c r="AE3864" s="156"/>
      <c r="AF3864" s="156"/>
      <c r="AG3864" s="78"/>
      <c r="AH3864" s="78"/>
      <c r="AI3864" s="78"/>
      <c r="AJ3864" s="78"/>
      <c r="AK3864" s="78"/>
      <c r="AL3864" s="78"/>
      <c r="AM3864" s="78"/>
      <c r="AN3864" s="78"/>
      <c r="AO3864" s="78"/>
      <c r="AP3864" s="78"/>
      <c r="AQ3864" s="78"/>
      <c r="AR3864" s="286"/>
      <c r="AS3864" s="78"/>
      <c r="AT3864" s="78"/>
      <c r="AU3864" s="8"/>
      <c r="AV3864" s="6" t="str">
        <f t="shared" si="80"/>
        <v/>
      </c>
    </row>
    <row r="3865" spans="1:48" x14ac:dyDescent="0.45">
      <c r="A3865" s="27" t="s">
        <v>4413</v>
      </c>
      <c r="J3865" s="18" t="s">
        <v>2473</v>
      </c>
      <c r="K3865" s="18" t="s">
        <v>2473</v>
      </c>
      <c r="L3865" s="18" t="s">
        <v>2335</v>
      </c>
      <c r="AU3865" s="6"/>
      <c r="AV3865" s="6" t="str">
        <f t="shared" si="80"/>
        <v/>
      </c>
    </row>
    <row r="3866" spans="1:48" ht="23.65" thickBot="1" x14ac:dyDescent="0.5">
      <c r="A3866" s="323" t="s">
        <v>4414</v>
      </c>
      <c r="B3866" s="324"/>
      <c r="C3866" s="324"/>
      <c r="D3866" s="324"/>
      <c r="E3866" s="324"/>
      <c r="F3866" s="324"/>
      <c r="G3866" s="101"/>
      <c r="H3866" s="101"/>
      <c r="J3866" s="18" t="s">
        <v>2473</v>
      </c>
      <c r="K3866" s="18" t="s">
        <v>2473</v>
      </c>
      <c r="L3866" s="18" t="s">
        <v>2335</v>
      </c>
      <c r="Z3866" s="183" t="s">
        <v>4347</v>
      </c>
      <c r="AA3866" s="183" t="s">
        <v>2322</v>
      </c>
      <c r="AB3866" s="183" t="s">
        <v>1697</v>
      </c>
      <c r="AC3866" s="183" t="s">
        <v>5</v>
      </c>
      <c r="AD3866" s="183" t="s">
        <v>4339</v>
      </c>
      <c r="AE3866" s="184" t="s">
        <v>4338</v>
      </c>
      <c r="AF3866" s="184" t="s">
        <v>4350</v>
      </c>
      <c r="AG3866" s="183" t="s">
        <v>1695</v>
      </c>
      <c r="AH3866" s="183" t="s">
        <v>4351</v>
      </c>
      <c r="AI3866" s="8" t="s">
        <v>4455</v>
      </c>
      <c r="AJ3866" s="183" t="s">
        <v>5051</v>
      </c>
      <c r="AU3866" s="6"/>
      <c r="AV3866" s="6" t="str">
        <f t="shared" si="80"/>
        <v/>
      </c>
    </row>
    <row r="3867" spans="1:48" ht="94.15" thickBot="1" x14ac:dyDescent="0.5">
      <c r="A3867" s="309" t="s">
        <v>4415</v>
      </c>
      <c r="B3867" s="310"/>
      <c r="C3867" s="301" t="s">
        <v>1</v>
      </c>
      <c r="D3867" s="319"/>
      <c r="E3867" s="319"/>
      <c r="F3867" s="302"/>
      <c r="G3867" s="102"/>
      <c r="H3867" s="102"/>
      <c r="J3867" s="18" t="s">
        <v>2473</v>
      </c>
      <c r="K3867" s="18" t="s">
        <v>2473</v>
      </c>
      <c r="L3867" s="18" t="s">
        <v>2335</v>
      </c>
      <c r="Z3867" s="183" t="s">
        <v>4387</v>
      </c>
      <c r="AA3867" s="183" t="str">
        <f>LEFT($A3867,FIND(" ",$A3867)-1)</f>
        <v>ContainerCollection</v>
      </c>
      <c r="AB3867" s="183" t="str">
        <f>MID($A3867,FIND("(",$A3867)+1,LEN($A3867)-FIND("(",$A3867)-1)</f>
        <v>1.0.0</v>
      </c>
      <c r="AC3867" s="101" t="str">
        <f>A3866</f>
        <v>A ContainerCollection is a collection of Container Resources running on a node.</v>
      </c>
      <c r="AD3867" s="101" t="s">
        <v>5065</v>
      </c>
      <c r="AE3867" s="188" t="s">
        <v>4491</v>
      </c>
      <c r="AF3867" s="184" t="s">
        <v>4352</v>
      </c>
      <c r="AG3867" s="183" t="s">
        <v>4352</v>
      </c>
      <c r="AH3867" s="183" t="s">
        <v>4352</v>
      </c>
      <c r="AI3867" s="8" t="s">
        <v>5248</v>
      </c>
      <c r="AU3867" s="202" t="s">
        <v>5281</v>
      </c>
      <c r="AV3867" s="6" t="str">
        <f t="shared" si="80"/>
        <v/>
      </c>
    </row>
    <row r="3868" spans="1:48" ht="14.65" thickBot="1" x14ac:dyDescent="0.5">
      <c r="A3868" s="311"/>
      <c r="B3868" s="312"/>
      <c r="C3868" s="301" t="s">
        <v>2</v>
      </c>
      <c r="D3868" s="302"/>
      <c r="E3868" s="301" t="s">
        <v>3</v>
      </c>
      <c r="F3868" s="302"/>
      <c r="G3868" s="301" t="s">
        <v>2896</v>
      </c>
      <c r="H3868" s="302"/>
      <c r="J3868" s="18" t="s">
        <v>2473</v>
      </c>
      <c r="K3868" s="18" t="s">
        <v>2473</v>
      </c>
      <c r="L3868" s="18" t="s">
        <v>2335</v>
      </c>
      <c r="AU3868" s="6"/>
      <c r="AV3868" s="6" t="str">
        <f t="shared" si="80"/>
        <v/>
      </c>
    </row>
    <row r="3869" spans="1:48" ht="14.65" thickBot="1" x14ac:dyDescent="0.5">
      <c r="A3869" s="46" t="s">
        <v>2377</v>
      </c>
      <c r="B3869" s="47"/>
      <c r="C3869" s="303"/>
      <c r="D3869" s="304"/>
      <c r="E3869" s="303"/>
      <c r="F3869" s="304"/>
      <c r="G3869" s="303"/>
      <c r="H3869" s="304"/>
      <c r="J3869" s="18" t="s">
        <v>2473</v>
      </c>
      <c r="K3869" s="18" t="s">
        <v>2473</v>
      </c>
      <c r="AU3869" s="6"/>
      <c r="AV3869" s="6" t="str">
        <f t="shared" si="80"/>
        <v/>
      </c>
    </row>
    <row r="3870" spans="1:48" ht="14.65" thickBot="1" x14ac:dyDescent="0.5">
      <c r="A3870" s="30" t="s">
        <v>4</v>
      </c>
      <c r="B3870" s="59" t="s">
        <v>5</v>
      </c>
      <c r="C3870" s="7" t="s">
        <v>6</v>
      </c>
      <c r="D3870" s="7" t="s">
        <v>7</v>
      </c>
      <c r="E3870" s="7" t="s">
        <v>6</v>
      </c>
      <c r="F3870" s="7" t="s">
        <v>7</v>
      </c>
      <c r="G3870" s="7" t="s">
        <v>6</v>
      </c>
      <c r="H3870" s="7" t="s">
        <v>7</v>
      </c>
      <c r="J3870" s="18" t="s">
        <v>2473</v>
      </c>
      <c r="K3870" s="18" t="s">
        <v>2473</v>
      </c>
      <c r="L3870" s="18" t="s">
        <v>2335</v>
      </c>
      <c r="Z3870" s="183" t="s">
        <v>4347</v>
      </c>
      <c r="AA3870" s="183" t="s">
        <v>4343</v>
      </c>
      <c r="AB3870" s="183" t="s">
        <v>4172</v>
      </c>
      <c r="AC3870" s="183" t="s">
        <v>4340</v>
      </c>
      <c r="AD3870" s="183" t="s">
        <v>4339</v>
      </c>
      <c r="AE3870" s="184" t="s">
        <v>4341</v>
      </c>
      <c r="AF3870" s="184" t="s">
        <v>4342</v>
      </c>
      <c r="AG3870" s="183" t="s">
        <v>4353</v>
      </c>
      <c r="AH3870" s="183" t="s">
        <v>3429</v>
      </c>
      <c r="AI3870" s="183" t="s">
        <v>4356</v>
      </c>
      <c r="AJ3870" s="183" t="s">
        <v>4364</v>
      </c>
      <c r="AK3870" s="8" t="s">
        <v>4441</v>
      </c>
      <c r="AL3870" s="8" t="s">
        <v>694</v>
      </c>
      <c r="AU3870" s="6"/>
      <c r="AV3870" s="6" t="str">
        <f t="shared" si="80"/>
        <v/>
      </c>
    </row>
    <row r="3871" spans="1:48" ht="117.4" thickBot="1" x14ac:dyDescent="0.5">
      <c r="A3871" s="36" t="s">
        <v>2792</v>
      </c>
      <c r="B3871" s="3" t="s">
        <v>4416</v>
      </c>
      <c r="C3871" s="4"/>
      <c r="D3871" s="4"/>
      <c r="E3871" s="4"/>
      <c r="F3871" s="4"/>
      <c r="G3871" s="4" t="s">
        <v>10</v>
      </c>
      <c r="H3871" s="4"/>
      <c r="J3871" s="18" t="s">
        <v>2473</v>
      </c>
      <c r="K3871" s="18" t="s">
        <v>2473</v>
      </c>
      <c r="Z3871" s="8" t="s">
        <v>4</v>
      </c>
      <c r="AB3871" s="8" t="s">
        <v>4354</v>
      </c>
      <c r="AC3871" s="183" t="s">
        <v>6</v>
      </c>
      <c r="AD3871" s="183" t="s">
        <v>5292</v>
      </c>
      <c r="AE3871" s="184"/>
      <c r="AF3871" s="184"/>
      <c r="AG3871" s="183" t="s">
        <v>4355</v>
      </c>
      <c r="AH3871" s="183" t="s">
        <v>5288</v>
      </c>
      <c r="AI3871" s="183" t="s">
        <v>4357</v>
      </c>
      <c r="AU3871" s="202" t="s">
        <v>5289</v>
      </c>
      <c r="AV3871" s="6" t="str">
        <f t="shared" si="80"/>
        <v/>
      </c>
    </row>
    <row r="3872" spans="1:48" ht="14.65" thickBot="1" x14ac:dyDescent="0.5">
      <c r="A3872" s="35" t="s">
        <v>33</v>
      </c>
      <c r="B3872" s="3" t="s">
        <v>4417</v>
      </c>
      <c r="C3872" s="2"/>
      <c r="D3872" s="2"/>
      <c r="E3872" s="2"/>
      <c r="F3872" s="2"/>
      <c r="G3872" s="2"/>
      <c r="H3872" s="2"/>
      <c r="J3872" s="18" t="s">
        <v>2473</v>
      </c>
      <c r="K3872" s="18" t="s">
        <v>2473</v>
      </c>
      <c r="L3872" s="18" t="s">
        <v>2335</v>
      </c>
      <c r="AU3872" s="6"/>
      <c r="AV3872" s="6" t="str">
        <f t="shared" si="80"/>
        <v/>
      </c>
    </row>
    <row r="3873" spans="1:48" x14ac:dyDescent="0.45">
      <c r="A3873" s="33" t="s">
        <v>4418</v>
      </c>
      <c r="J3873" s="18" t="s">
        <v>2473</v>
      </c>
      <c r="K3873" s="18" t="s">
        <v>2473</v>
      </c>
      <c r="L3873" s="18" t="s">
        <v>2335</v>
      </c>
      <c r="AU3873" s="6"/>
      <c r="AV3873" s="6" t="str">
        <f t="shared" si="80"/>
        <v/>
      </c>
    </row>
    <row r="3874" spans="1:48" x14ac:dyDescent="0.45">
      <c r="A3874" s="34" t="s">
        <v>4491</v>
      </c>
      <c r="J3874" s="18" t="s">
        <v>2473</v>
      </c>
      <c r="K3874" s="18" t="s">
        <v>2473</v>
      </c>
      <c r="L3874" s="18" t="s">
        <v>2335</v>
      </c>
      <c r="AU3874" s="6"/>
      <c r="AV3874" s="6" t="str">
        <f t="shared" si="80"/>
        <v/>
      </c>
    </row>
    <row r="3875" spans="1:48" s="79" customFormat="1" ht="14.65" thickBot="1" x14ac:dyDescent="0.5">
      <c r="A3875" s="75"/>
      <c r="B3875" s="76"/>
      <c r="C3875" s="77"/>
      <c r="D3875" s="77"/>
      <c r="E3875" s="77"/>
      <c r="F3875" s="77"/>
      <c r="G3875" s="77"/>
      <c r="H3875" s="77"/>
      <c r="I3875" s="77"/>
      <c r="J3875" s="77"/>
      <c r="K3875" s="77"/>
      <c r="L3875" s="77"/>
      <c r="M3875" s="148"/>
      <c r="N3875" s="78"/>
      <c r="O3875" s="78"/>
      <c r="P3875" s="78"/>
      <c r="Q3875" s="78"/>
      <c r="R3875" s="78"/>
      <c r="S3875" s="78"/>
      <c r="T3875" s="78"/>
      <c r="U3875" s="78"/>
      <c r="V3875" s="78"/>
      <c r="W3875" s="78"/>
      <c r="X3875" s="78"/>
      <c r="Y3875" s="148"/>
      <c r="Z3875" s="78"/>
      <c r="AA3875" s="78"/>
      <c r="AB3875" s="78"/>
      <c r="AC3875" s="78"/>
      <c r="AD3875" s="78"/>
      <c r="AE3875" s="156"/>
      <c r="AF3875" s="156"/>
      <c r="AG3875" s="78"/>
      <c r="AH3875" s="78"/>
      <c r="AI3875" s="78"/>
      <c r="AJ3875" s="78"/>
      <c r="AK3875" s="78"/>
      <c r="AL3875" s="78"/>
      <c r="AM3875" s="78"/>
      <c r="AN3875" s="78"/>
      <c r="AO3875" s="78"/>
      <c r="AP3875" s="78"/>
      <c r="AQ3875" s="78"/>
      <c r="AR3875" s="286"/>
      <c r="AS3875" s="78"/>
      <c r="AT3875" s="78"/>
      <c r="AU3875" s="8"/>
      <c r="AV3875" s="6" t="str">
        <f t="shared" si="80"/>
        <v/>
      </c>
    </row>
    <row r="3876" spans="1:48" ht="14.65" thickBot="1" x14ac:dyDescent="0.5">
      <c r="A3876" s="39" t="s">
        <v>2372</v>
      </c>
      <c r="J3876" s="18" t="s">
        <v>2473</v>
      </c>
      <c r="K3876" s="18" t="s">
        <v>2473</v>
      </c>
      <c r="R3876" s="111" t="s">
        <v>3426</v>
      </c>
      <c r="S3876" s="349" t="s">
        <v>823</v>
      </c>
      <c r="T3876" s="350"/>
      <c r="U3876" s="350"/>
      <c r="V3876" s="350"/>
      <c r="W3876" s="350"/>
      <c r="X3876" s="351"/>
      <c r="Y3876" s="118"/>
      <c r="Z3876" s="185"/>
      <c r="AA3876" s="185"/>
      <c r="AB3876" s="185"/>
      <c r="AC3876" s="185"/>
      <c r="AD3876" s="185"/>
      <c r="AE3876" s="186"/>
      <c r="AF3876" s="186"/>
      <c r="AG3876" s="185"/>
      <c r="AH3876" s="185"/>
      <c r="AI3876" s="185"/>
      <c r="AJ3876" s="185"/>
      <c r="AK3876" s="185"/>
      <c r="AL3876" s="185"/>
      <c r="AM3876" s="185"/>
      <c r="AN3876" s="117"/>
      <c r="AO3876" s="117"/>
      <c r="AP3876" s="117"/>
      <c r="AQ3876" s="117"/>
      <c r="AR3876" s="287"/>
      <c r="AS3876" s="258"/>
      <c r="AT3876" s="185"/>
      <c r="AV3876" s="6" t="str">
        <f t="shared" si="80"/>
        <v/>
      </c>
    </row>
    <row r="3877" spans="1:48" ht="23.65" thickBot="1" x14ac:dyDescent="0.5">
      <c r="A3877" s="40" t="s">
        <v>3970</v>
      </c>
      <c r="J3877" s="18" t="s">
        <v>2473</v>
      </c>
      <c r="K3877" s="18" t="s">
        <v>2473</v>
      </c>
      <c r="R3877" s="122" t="s">
        <v>3427</v>
      </c>
      <c r="S3877" s="352" t="s">
        <v>3533</v>
      </c>
      <c r="T3877" s="353"/>
      <c r="U3877" s="353"/>
      <c r="V3877" s="353"/>
      <c r="W3877" s="353"/>
      <c r="X3877" s="354"/>
      <c r="Y3877" s="149"/>
      <c r="Z3877" s="183" t="s">
        <v>4347</v>
      </c>
      <c r="AA3877" s="183" t="s">
        <v>2322</v>
      </c>
      <c r="AB3877" s="183" t="s">
        <v>1697</v>
      </c>
      <c r="AC3877" s="183" t="s">
        <v>5</v>
      </c>
      <c r="AD3877" s="183" t="s">
        <v>4339</v>
      </c>
      <c r="AE3877" s="184" t="s">
        <v>4338</v>
      </c>
      <c r="AF3877" s="184" t="s">
        <v>4350</v>
      </c>
      <c r="AG3877" s="183" t="s">
        <v>1695</v>
      </c>
      <c r="AH3877" s="183" t="s">
        <v>4351</v>
      </c>
      <c r="AI3877" s="8" t="s">
        <v>4455</v>
      </c>
      <c r="AJ3877" s="183" t="s">
        <v>5051</v>
      </c>
      <c r="AK3877" s="183"/>
      <c r="AL3877" s="183"/>
      <c r="AM3877" s="183"/>
      <c r="AN3877" s="131"/>
      <c r="AO3877" s="131"/>
      <c r="AP3877" s="131"/>
      <c r="AQ3877" s="131"/>
      <c r="AR3877" s="288"/>
      <c r="AS3877" s="259"/>
      <c r="AT3877" s="183"/>
      <c r="AV3877" s="6" t="str">
        <f t="shared" si="80"/>
        <v/>
      </c>
    </row>
    <row r="3878" spans="1:48" ht="128.25" thickBot="1" x14ac:dyDescent="0.5">
      <c r="A3878" s="315" t="s">
        <v>4368</v>
      </c>
      <c r="B3878" s="316"/>
      <c r="C3878" s="301" t="s">
        <v>1</v>
      </c>
      <c r="D3878" s="319"/>
      <c r="E3878" s="319"/>
      <c r="F3878" s="302"/>
      <c r="G3878" s="102"/>
      <c r="H3878" s="102"/>
      <c r="J3878" s="18" t="s">
        <v>2473</v>
      </c>
      <c r="K3878" s="18" t="s">
        <v>2473</v>
      </c>
      <c r="R3878" s="122" t="s">
        <v>3428</v>
      </c>
      <c r="S3878" s="352" t="b">
        <v>0</v>
      </c>
      <c r="T3878" s="353"/>
      <c r="U3878" s="353"/>
      <c r="V3878" s="353"/>
      <c r="W3878" s="353"/>
      <c r="X3878" s="354"/>
      <c r="Y3878" s="149"/>
      <c r="Z3878" s="183" t="s">
        <v>2322</v>
      </c>
      <c r="AA3878" s="183" t="str">
        <f>LEFT($A3878,FIND(" ",$A3878)-1)</f>
        <v>Container</v>
      </c>
      <c r="AB3878" s="183" t="str">
        <f>MID($A3878,FIND("(",$A3878)+1,LEN($A3878)-FIND("(",$A3878)-1)</f>
        <v>1.0.0</v>
      </c>
      <c r="AC3878" s="101" t="str">
        <f>A3877</f>
        <v>This resource describes a container running on the device. Note that the container may be statically provisioned or dynamically orchestrated.</v>
      </c>
      <c r="AD3878" s="101" t="s">
        <v>4753</v>
      </c>
      <c r="AE3878" s="188" t="s">
        <v>3624</v>
      </c>
      <c r="AF3878" s="184" t="s">
        <v>4352</v>
      </c>
      <c r="AG3878" s="183" t="s">
        <v>4357</v>
      </c>
      <c r="AH3878" s="183" t="s">
        <v>4352</v>
      </c>
      <c r="AI3878" s="183" t="s">
        <v>5248</v>
      </c>
      <c r="AJ3878" s="183"/>
      <c r="AK3878" s="183"/>
      <c r="AL3878" s="183"/>
      <c r="AM3878" s="183"/>
      <c r="AN3878" s="131"/>
      <c r="AO3878" s="131"/>
      <c r="AP3878" s="131"/>
      <c r="AQ3878" s="131"/>
      <c r="AR3878" s="288"/>
      <c r="AS3878" s="259"/>
      <c r="AT3878" s="183"/>
      <c r="AU3878" s="202" t="s">
        <v>5281</v>
      </c>
      <c r="AV3878" s="6" t="str">
        <f t="shared" si="80"/>
        <v/>
      </c>
    </row>
    <row r="3879" spans="1:48" ht="24.4" thickBot="1" x14ac:dyDescent="0.5">
      <c r="A3879" s="317"/>
      <c r="B3879" s="318"/>
      <c r="C3879" s="301" t="s">
        <v>2</v>
      </c>
      <c r="D3879" s="302"/>
      <c r="E3879" s="301" t="s">
        <v>3</v>
      </c>
      <c r="F3879" s="302"/>
      <c r="G3879" s="301" t="s">
        <v>2896</v>
      </c>
      <c r="H3879" s="302"/>
      <c r="J3879" s="18" t="s">
        <v>2473</v>
      </c>
      <c r="K3879" s="18" t="s">
        <v>2473</v>
      </c>
      <c r="R3879" s="115"/>
      <c r="S3879" s="115"/>
      <c r="T3879" s="115"/>
      <c r="U3879" s="115"/>
      <c r="V3879" s="115"/>
      <c r="W3879" s="115"/>
      <c r="X3879" s="116"/>
      <c r="Y3879" s="149"/>
      <c r="Z3879" s="183"/>
      <c r="AA3879" s="183"/>
      <c r="AB3879" s="183"/>
      <c r="AC3879" s="183"/>
      <c r="AD3879" s="183"/>
      <c r="AE3879" s="184"/>
      <c r="AF3879" s="184"/>
      <c r="AG3879" s="183"/>
      <c r="AH3879" s="183"/>
      <c r="AI3879" s="183"/>
      <c r="AJ3879" s="183"/>
      <c r="AK3879" s="183"/>
      <c r="AL3879" s="183"/>
      <c r="AM3879" s="8" t="str">
        <f>C3879</f>
        <v>OSM-Redfish</v>
      </c>
      <c r="AN3879" s="8" t="str">
        <f>E3879</f>
        <v>OSM-RedfishBMC</v>
      </c>
      <c r="AO3879" s="8" t="str">
        <f>G3879</f>
        <v>OSM-RedfishDCN</v>
      </c>
      <c r="AP3879" s="131"/>
      <c r="AQ3879" s="131"/>
      <c r="AR3879" s="288"/>
      <c r="AS3879" s="259"/>
      <c r="AT3879" s="183"/>
      <c r="AV3879" s="6" t="str">
        <f t="shared" si="80"/>
        <v/>
      </c>
    </row>
    <row r="3880" spans="1:48" ht="35.25" thickBot="1" x14ac:dyDescent="0.5">
      <c r="A3880" s="46" t="s">
        <v>2377</v>
      </c>
      <c r="B3880" s="47"/>
      <c r="C3880" s="303"/>
      <c r="D3880" s="304"/>
      <c r="E3880" s="303"/>
      <c r="F3880" s="304"/>
      <c r="G3880" s="303" t="s">
        <v>13</v>
      </c>
      <c r="H3880" s="304"/>
      <c r="J3880" s="18" t="s">
        <v>2473</v>
      </c>
      <c r="K3880" s="18" t="s">
        <v>2473</v>
      </c>
      <c r="R3880" s="129"/>
      <c r="S3880" s="117"/>
      <c r="T3880" s="117"/>
      <c r="U3880" s="117"/>
      <c r="V3880" s="117"/>
      <c r="W3880" s="117"/>
      <c r="X3880" s="118"/>
      <c r="Y3880" s="118"/>
      <c r="Z3880" s="185"/>
      <c r="AA3880" s="185"/>
      <c r="AB3880" s="185"/>
      <c r="AC3880" s="185"/>
      <c r="AD3880" s="185"/>
      <c r="AE3880" s="186"/>
      <c r="AF3880" s="186"/>
      <c r="AG3880" s="185"/>
      <c r="AH3880" s="185"/>
      <c r="AI3880" s="185"/>
      <c r="AJ3880" s="185"/>
      <c r="AK3880" s="185"/>
      <c r="AL3880" s="185"/>
      <c r="AM3880" s="8" t="str">
        <f>IF(C3880&lt;&gt;"","CRQ-P5-"&amp;(AM$2+$AP3880*$AP$3),"")</f>
        <v/>
      </c>
      <c r="AN3880" s="8" t="str">
        <f>IF(E3880&lt;&gt;"","CRQ-P5-"&amp;(AN$2+$AP3880*$AP$3),"")</f>
        <v/>
      </c>
      <c r="AO3880" s="8" t="str">
        <f>IF(G3880&lt;&gt;"","CRQ-P5-"&amp;(AO$2+$AP3880*$AP$3),"")</f>
        <v>CRQ-P5-1640</v>
      </c>
      <c r="AP3880" s="117">
        <v>10</v>
      </c>
      <c r="AQ3880" s="117"/>
      <c r="AR3880" s="287"/>
      <c r="AS3880" s="258"/>
      <c r="AT3880" s="234" t="s">
        <v>5316</v>
      </c>
      <c r="AU3880" s="6"/>
      <c r="AV3880" s="6" t="str">
        <f t="shared" si="80"/>
        <v/>
      </c>
    </row>
    <row r="3881" spans="1:48" ht="14.65" thickBot="1" x14ac:dyDescent="0.5">
      <c r="A3881" s="29" t="s">
        <v>3394</v>
      </c>
      <c r="B3881" s="9"/>
      <c r="C3881" s="305"/>
      <c r="D3881" s="306"/>
      <c r="E3881" s="305"/>
      <c r="F3881" s="306"/>
      <c r="G3881" s="305" t="s">
        <v>3395</v>
      </c>
      <c r="H3881" s="306"/>
      <c r="J3881" s="18" t="s">
        <v>2473</v>
      </c>
      <c r="K3881" s="18" t="s">
        <v>2473</v>
      </c>
      <c r="L3881" s="18" t="s">
        <v>2336</v>
      </c>
      <c r="R3881" s="111" t="s">
        <v>3429</v>
      </c>
      <c r="S3881" s="111" t="s">
        <v>3430</v>
      </c>
      <c r="T3881" s="111" t="s">
        <v>3427</v>
      </c>
      <c r="U3881" s="111" t="s">
        <v>3431</v>
      </c>
      <c r="V3881" s="111" t="s">
        <v>3432</v>
      </c>
      <c r="W3881" s="111" t="s">
        <v>3433</v>
      </c>
      <c r="X3881" s="119" t="s">
        <v>3434</v>
      </c>
      <c r="Y3881" s="118" t="s">
        <v>3965</v>
      </c>
      <c r="Z3881" s="185"/>
      <c r="AA3881" s="185"/>
      <c r="AB3881" s="185"/>
      <c r="AC3881" s="185"/>
      <c r="AD3881" s="185"/>
      <c r="AE3881" s="186"/>
      <c r="AF3881" s="186"/>
      <c r="AG3881" s="185"/>
      <c r="AH3881" s="185"/>
      <c r="AI3881" s="185"/>
      <c r="AJ3881" s="185"/>
      <c r="AK3881" s="185"/>
      <c r="AL3881" s="185"/>
      <c r="AM3881" s="185"/>
      <c r="AN3881" s="117"/>
      <c r="AO3881" s="117"/>
      <c r="AP3881" s="117"/>
      <c r="AQ3881" s="117"/>
      <c r="AR3881" s="287"/>
      <c r="AS3881" s="258"/>
      <c r="AT3881" s="185"/>
      <c r="AU3881" s="6"/>
      <c r="AV3881" s="6" t="str">
        <f t="shared" si="80"/>
        <v/>
      </c>
    </row>
    <row r="3882" spans="1:48" ht="15" customHeight="1" thickBot="1" x14ac:dyDescent="0.5">
      <c r="A3882" s="30" t="s">
        <v>4</v>
      </c>
      <c r="B3882" s="59" t="s">
        <v>5</v>
      </c>
      <c r="C3882" s="7" t="s">
        <v>6</v>
      </c>
      <c r="D3882" s="7" t="s">
        <v>7</v>
      </c>
      <c r="E3882" s="7" t="s">
        <v>6</v>
      </c>
      <c r="F3882" s="7" t="s">
        <v>7</v>
      </c>
      <c r="G3882" s="7" t="s">
        <v>6</v>
      </c>
      <c r="H3882" s="7" t="s">
        <v>7</v>
      </c>
      <c r="J3882" s="18" t="s">
        <v>2473</v>
      </c>
      <c r="K3882" s="18" t="s">
        <v>2473</v>
      </c>
      <c r="R3882" s="352" t="s">
        <v>4040</v>
      </c>
      <c r="S3882" s="353"/>
      <c r="T3882" s="353"/>
      <c r="U3882" s="353"/>
      <c r="V3882" s="353"/>
      <c r="W3882" s="353"/>
      <c r="X3882" s="357"/>
      <c r="Y3882" s="149"/>
      <c r="Z3882" s="183" t="s">
        <v>4347</v>
      </c>
      <c r="AA3882" s="183" t="s">
        <v>4343</v>
      </c>
      <c r="AB3882" s="183" t="s">
        <v>4172</v>
      </c>
      <c r="AC3882" s="183" t="s">
        <v>4340</v>
      </c>
      <c r="AD3882" s="183" t="s">
        <v>4339</v>
      </c>
      <c r="AE3882" s="184" t="s">
        <v>4341</v>
      </c>
      <c r="AF3882" s="184" t="s">
        <v>4342</v>
      </c>
      <c r="AG3882" s="183" t="s">
        <v>4353</v>
      </c>
      <c r="AH3882" s="183" t="s">
        <v>3429</v>
      </c>
      <c r="AI3882" s="183" t="s">
        <v>4356</v>
      </c>
      <c r="AJ3882" s="183" t="s">
        <v>4364</v>
      </c>
      <c r="AK3882" s="8" t="s">
        <v>4441</v>
      </c>
      <c r="AL3882" s="8" t="s">
        <v>694</v>
      </c>
      <c r="AM3882" s="183"/>
      <c r="AN3882" s="131"/>
      <c r="AO3882" s="131"/>
      <c r="AP3882" s="131"/>
      <c r="AQ3882" s="131"/>
      <c r="AR3882" s="288"/>
      <c r="AS3882" s="259"/>
      <c r="AT3882" s="183"/>
      <c r="AV3882" s="6" t="str">
        <f t="shared" si="80"/>
        <v/>
      </c>
    </row>
    <row r="3883" spans="1:48" ht="14.65" thickBot="1" x14ac:dyDescent="0.5">
      <c r="A3883" s="36" t="s">
        <v>8</v>
      </c>
      <c r="B3883" s="3" t="s">
        <v>3709</v>
      </c>
      <c r="C3883" s="51"/>
      <c r="D3883" s="51"/>
      <c r="E3883" s="51"/>
      <c r="F3883" s="51"/>
      <c r="G3883" s="4" t="s">
        <v>13</v>
      </c>
      <c r="H3883" s="51"/>
      <c r="J3883" s="18" t="s">
        <v>2473</v>
      </c>
      <c r="K3883" s="18" t="s">
        <v>2473</v>
      </c>
      <c r="L3883" s="18" t="s">
        <v>2336</v>
      </c>
      <c r="Z3883" s="8" t="s">
        <v>4</v>
      </c>
      <c r="AB3883" s="8" t="s">
        <v>4348</v>
      </c>
      <c r="AV3883" s="6" t="str">
        <f t="shared" si="80"/>
        <v/>
      </c>
    </row>
    <row r="3884" spans="1:48" ht="47.65" thickBot="1" x14ac:dyDescent="0.5">
      <c r="A3884" s="35" t="s">
        <v>2555</v>
      </c>
      <c r="B3884" s="3" t="s">
        <v>3710</v>
      </c>
      <c r="C3884" s="4"/>
      <c r="D3884" s="4"/>
      <c r="E3884" s="4"/>
      <c r="F3884" s="4"/>
      <c r="G3884" s="4" t="s">
        <v>13</v>
      </c>
      <c r="H3884" s="4"/>
      <c r="J3884" s="18" t="s">
        <v>2473</v>
      </c>
      <c r="K3884" s="18" t="s">
        <v>2473</v>
      </c>
      <c r="L3884" s="18" t="s">
        <v>2336</v>
      </c>
      <c r="Z3884" s="8" t="s">
        <v>4363</v>
      </c>
      <c r="AD3884" s="8" t="s">
        <v>4855</v>
      </c>
      <c r="AJ3884" s="8" t="s">
        <v>4357</v>
      </c>
      <c r="AU3884" s="8"/>
      <c r="AV3884" s="6" t="str">
        <f t="shared" si="80"/>
        <v/>
      </c>
    </row>
    <row r="3885" spans="1:48" ht="47.65" thickBot="1" x14ac:dyDescent="0.5">
      <c r="A3885" s="35" t="s">
        <v>2556</v>
      </c>
      <c r="B3885" s="3" t="s">
        <v>3711</v>
      </c>
      <c r="C3885" s="4"/>
      <c r="D3885" s="4"/>
      <c r="E3885" s="4"/>
      <c r="F3885" s="4"/>
      <c r="G3885" s="4" t="s">
        <v>13</v>
      </c>
      <c r="H3885" s="4"/>
      <c r="J3885" s="18" t="s">
        <v>2473</v>
      </c>
      <c r="K3885" s="18" t="s">
        <v>2473</v>
      </c>
      <c r="L3885" s="18" t="s">
        <v>2336</v>
      </c>
      <c r="Z3885" s="8" t="s">
        <v>4363</v>
      </c>
      <c r="AD3885" s="8" t="s">
        <v>4856</v>
      </c>
      <c r="AJ3885" s="8" t="s">
        <v>4357</v>
      </c>
      <c r="AU3885" s="8"/>
      <c r="AV3885" s="6" t="str">
        <f t="shared" si="80"/>
        <v/>
      </c>
    </row>
    <row r="3886" spans="1:48" ht="47.65" thickBot="1" x14ac:dyDescent="0.5">
      <c r="A3886" s="35" t="s">
        <v>2557</v>
      </c>
      <c r="B3886" s="3" t="s">
        <v>4735</v>
      </c>
      <c r="C3886" s="4"/>
      <c r="D3886" s="4"/>
      <c r="E3886" s="4"/>
      <c r="F3886" s="4"/>
      <c r="G3886" s="4" t="s">
        <v>13</v>
      </c>
      <c r="H3886" s="4"/>
      <c r="J3886" s="18" t="s">
        <v>2473</v>
      </c>
      <c r="K3886" s="18" t="s">
        <v>2473</v>
      </c>
      <c r="L3886" s="18" t="s">
        <v>2336</v>
      </c>
      <c r="Z3886" s="8" t="s">
        <v>4363</v>
      </c>
      <c r="AD3886" s="8" t="s">
        <v>4857</v>
      </c>
      <c r="AJ3886" s="8" t="s">
        <v>4357</v>
      </c>
      <c r="AU3886" s="8"/>
      <c r="AV3886" s="6" t="str">
        <f t="shared" si="80"/>
        <v/>
      </c>
    </row>
    <row r="3887" spans="1:48" ht="58.5" thickBot="1" x14ac:dyDescent="0.5">
      <c r="A3887" s="44" t="s">
        <v>3631</v>
      </c>
      <c r="B3887" s="50" t="s">
        <v>3713</v>
      </c>
      <c r="C3887" s="14"/>
      <c r="D3887" s="20"/>
      <c r="E3887" s="14"/>
      <c r="F3887" s="20"/>
      <c r="G3887" s="14" t="s">
        <v>10</v>
      </c>
      <c r="H3887" s="20"/>
      <c r="J3887" s="18" t="s">
        <v>2473</v>
      </c>
      <c r="K3887" s="18" t="s">
        <v>2473</v>
      </c>
      <c r="R3887" s="122" t="s">
        <v>3529</v>
      </c>
      <c r="S3887" s="114" t="s">
        <v>4</v>
      </c>
      <c r="T3887" s="114" t="s">
        <v>3631</v>
      </c>
      <c r="U3887" s="114" t="s">
        <v>3521</v>
      </c>
      <c r="V3887" s="114" t="s">
        <v>3530</v>
      </c>
      <c r="W3887" s="114" t="s">
        <v>3436</v>
      </c>
      <c r="X3887" s="114" t="s">
        <v>13</v>
      </c>
      <c r="Y3887" s="149"/>
      <c r="Z3887" s="183" t="s">
        <v>4</v>
      </c>
      <c r="AA3887" s="183"/>
      <c r="AB3887" s="183" t="s">
        <v>758</v>
      </c>
      <c r="AC3887" s="183" t="s">
        <v>6</v>
      </c>
      <c r="AD3887" s="183" t="s">
        <v>4858</v>
      </c>
      <c r="AE3887" s="183"/>
      <c r="AF3887" s="184"/>
      <c r="AG3887" s="183"/>
      <c r="AH3887" s="183"/>
      <c r="AI3887" s="183"/>
      <c r="AK3887" s="183"/>
      <c r="AL3887" s="183"/>
      <c r="AM3887" s="183"/>
      <c r="AN3887" s="131"/>
      <c r="AO3887" s="131"/>
      <c r="AP3887" s="131"/>
      <c r="AQ3887" s="131"/>
      <c r="AR3887" s="288"/>
      <c r="AS3887" s="259"/>
      <c r="AT3887" s="183"/>
      <c r="AU3887" s="202" t="s">
        <v>5221</v>
      </c>
      <c r="AV3887" s="6" t="str">
        <f t="shared" si="80"/>
        <v>OK</v>
      </c>
    </row>
    <row r="3888" spans="1:48" ht="36" thickBot="1" x14ac:dyDescent="0.5">
      <c r="A3888" s="44" t="s">
        <v>4618</v>
      </c>
      <c r="B3888" s="50" t="s">
        <v>3712</v>
      </c>
      <c r="C3888" s="14"/>
      <c r="D3888" s="20"/>
      <c r="E3888" s="14"/>
      <c r="F3888" s="20"/>
      <c r="G3888" s="14" t="s">
        <v>10</v>
      </c>
      <c r="H3888" s="20"/>
      <c r="J3888" s="18" t="s">
        <v>2473</v>
      </c>
      <c r="K3888" s="18" t="s">
        <v>2473</v>
      </c>
      <c r="R3888" s="122" t="s">
        <v>3529</v>
      </c>
      <c r="S3888" s="114" t="s">
        <v>4</v>
      </c>
      <c r="T3888" s="114" t="s">
        <v>2844</v>
      </c>
      <c r="U3888" s="114" t="s">
        <v>3521</v>
      </c>
      <c r="V3888" s="114" t="s">
        <v>3530</v>
      </c>
      <c r="W3888" s="114" t="s">
        <v>3436</v>
      </c>
      <c r="X3888" s="114" t="s">
        <v>13</v>
      </c>
      <c r="Y3888" s="149"/>
      <c r="Z3888" s="183" t="s">
        <v>4</v>
      </c>
      <c r="AA3888" s="183"/>
      <c r="AB3888" s="183" t="s">
        <v>4493</v>
      </c>
      <c r="AC3888" s="183" t="s">
        <v>6</v>
      </c>
      <c r="AD3888" s="183" t="s">
        <v>4859</v>
      </c>
      <c r="AE3888" s="183"/>
      <c r="AF3888" s="184"/>
      <c r="AG3888" s="183"/>
      <c r="AH3888" s="183"/>
      <c r="AI3888" s="183"/>
      <c r="AK3888" s="183"/>
      <c r="AL3888" s="183"/>
      <c r="AM3888" s="183"/>
      <c r="AN3888" s="131"/>
      <c r="AO3888" s="131"/>
      <c r="AP3888" s="131"/>
      <c r="AQ3888" s="131"/>
      <c r="AR3888" s="288"/>
      <c r="AS3888" s="259"/>
      <c r="AT3888" s="183"/>
      <c r="AU3888" s="202" t="s">
        <v>5221</v>
      </c>
      <c r="AV3888" s="6" t="str">
        <f t="shared" si="80"/>
        <v>ERROR</v>
      </c>
    </row>
    <row r="3889" spans="1:48" ht="46.9" thickBot="1" x14ac:dyDescent="0.5">
      <c r="A3889" s="44" t="s">
        <v>2367</v>
      </c>
      <c r="B3889" s="50" t="s">
        <v>4064</v>
      </c>
      <c r="C3889" s="12"/>
      <c r="D3889" s="20"/>
      <c r="E3889" s="12"/>
      <c r="F3889" s="20"/>
      <c r="G3889" s="12" t="s">
        <v>10</v>
      </c>
      <c r="H3889" s="20"/>
      <c r="J3889" s="18" t="s">
        <v>2473</v>
      </c>
      <c r="K3889" s="18" t="s">
        <v>2473</v>
      </c>
      <c r="R3889" s="122" t="s">
        <v>3529</v>
      </c>
      <c r="S3889" s="114" t="s">
        <v>4</v>
      </c>
      <c r="T3889" s="114" t="s">
        <v>2367</v>
      </c>
      <c r="U3889" s="114" t="s">
        <v>3521</v>
      </c>
      <c r="V3889" s="114" t="s">
        <v>3530</v>
      </c>
      <c r="W3889" s="114" t="s">
        <v>3436</v>
      </c>
      <c r="X3889" s="114" t="s">
        <v>13</v>
      </c>
      <c r="Y3889" s="149"/>
      <c r="Z3889" s="183" t="s">
        <v>4</v>
      </c>
      <c r="AA3889" s="183"/>
      <c r="AB3889" s="183" t="s">
        <v>758</v>
      </c>
      <c r="AC3889" s="183" t="s">
        <v>6</v>
      </c>
      <c r="AD3889" s="183" t="s">
        <v>4891</v>
      </c>
      <c r="AE3889" s="183"/>
      <c r="AF3889" s="184"/>
      <c r="AG3889" s="183"/>
      <c r="AH3889" s="183"/>
      <c r="AI3889" s="183"/>
      <c r="AK3889" s="183"/>
      <c r="AL3889" s="183"/>
      <c r="AM3889" s="183"/>
      <c r="AN3889" s="131"/>
      <c r="AO3889" s="131"/>
      <c r="AP3889" s="131"/>
      <c r="AQ3889" s="131"/>
      <c r="AR3889" s="288"/>
      <c r="AS3889" s="259"/>
      <c r="AT3889" s="183"/>
      <c r="AV3889" s="6" t="str">
        <f t="shared" si="80"/>
        <v>OK</v>
      </c>
    </row>
    <row r="3890" spans="1:48" ht="46.9" thickBot="1" x14ac:dyDescent="0.5">
      <c r="A3890" s="44" t="s">
        <v>4617</v>
      </c>
      <c r="B3890" s="50" t="s">
        <v>4074</v>
      </c>
      <c r="C3890" s="14"/>
      <c r="D3890" s="20"/>
      <c r="E3890" s="14"/>
      <c r="F3890" s="20"/>
      <c r="G3890" s="14" t="s">
        <v>10</v>
      </c>
      <c r="H3890" s="20"/>
      <c r="J3890" s="18" t="s">
        <v>2473</v>
      </c>
      <c r="K3890" s="18" t="s">
        <v>2473</v>
      </c>
      <c r="R3890" s="122" t="s">
        <v>3435</v>
      </c>
      <c r="S3890" s="114" t="s">
        <v>3437</v>
      </c>
      <c r="T3890" s="114" t="s">
        <v>2879</v>
      </c>
      <c r="U3890" s="114"/>
      <c r="V3890" s="114" t="s">
        <v>3552</v>
      </c>
      <c r="W3890" s="114" t="s">
        <v>3436</v>
      </c>
      <c r="X3890" s="114" t="s">
        <v>13</v>
      </c>
      <c r="Y3890" s="149"/>
      <c r="Z3890" s="183" t="s">
        <v>4</v>
      </c>
      <c r="AA3890" s="183"/>
      <c r="AB3890" s="183" t="s">
        <v>4349</v>
      </c>
      <c r="AC3890" s="183"/>
      <c r="AD3890" s="183" t="s">
        <v>4892</v>
      </c>
      <c r="AE3890" s="183"/>
      <c r="AF3890" s="184"/>
      <c r="AG3890" s="183"/>
      <c r="AH3890" s="183"/>
      <c r="AI3890" s="183" t="str">
        <f>"true"</f>
        <v>true</v>
      </c>
      <c r="AJ3890" s="183"/>
      <c r="AK3890" s="183" t="s">
        <v>4447</v>
      </c>
      <c r="AL3890" s="183"/>
      <c r="AM3890" s="183"/>
      <c r="AN3890" s="131"/>
      <c r="AO3890" s="131"/>
      <c r="AP3890" s="131"/>
      <c r="AQ3890" s="131"/>
      <c r="AR3890" s="288"/>
      <c r="AS3890" s="259"/>
      <c r="AT3890" s="183"/>
      <c r="AV3890" s="6" t="str">
        <f t="shared" ref="AV3890:AV3974" si="81">IF(A3890&lt;&gt;"",IF(T3890&lt;&gt;"",IF(LEFT(R3890,3)="Has",IF(TRIM(A3890)&lt;&gt;T3890,"ERROR","OK"),""),""),"")</f>
        <v>ERROR</v>
      </c>
    </row>
    <row r="3891" spans="1:48" ht="14.65" thickBot="1" x14ac:dyDescent="0.5">
      <c r="A3891" s="41" t="s">
        <v>33</v>
      </c>
      <c r="B3891" s="50" t="s">
        <v>3686</v>
      </c>
      <c r="C3891" s="12"/>
      <c r="D3891" s="20"/>
      <c r="E3891" s="20"/>
      <c r="F3891" s="20"/>
      <c r="G3891" s="12"/>
      <c r="H3891" s="20"/>
      <c r="J3891" s="18" t="s">
        <v>2473</v>
      </c>
      <c r="K3891" s="18" t="s">
        <v>2473</v>
      </c>
      <c r="R3891" s="114"/>
      <c r="S3891" s="114"/>
      <c r="T3891" s="114"/>
      <c r="U3891" s="114"/>
      <c r="V3891" s="114"/>
      <c r="W3891" s="114"/>
      <c r="X3891" s="114"/>
      <c r="Y3891" s="149"/>
      <c r="Z3891" s="183"/>
      <c r="AA3891" s="183"/>
      <c r="AB3891" s="183"/>
      <c r="AC3891" s="183"/>
      <c r="AD3891" s="183"/>
      <c r="AE3891" s="183"/>
      <c r="AF3891" s="184"/>
      <c r="AG3891" s="183"/>
      <c r="AH3891" s="183"/>
      <c r="AI3891" s="183"/>
      <c r="AJ3891" s="183"/>
      <c r="AK3891" s="183"/>
      <c r="AL3891" s="183"/>
      <c r="AM3891" s="183"/>
      <c r="AN3891" s="131"/>
      <c r="AO3891" s="131"/>
      <c r="AP3891" s="131"/>
      <c r="AQ3891" s="131"/>
      <c r="AR3891" s="288"/>
      <c r="AS3891" s="259"/>
      <c r="AT3891" s="183"/>
      <c r="AV3891" s="6" t="str">
        <f t="shared" si="81"/>
        <v/>
      </c>
    </row>
    <row r="3892" spans="1:48" ht="14.65" thickBot="1" x14ac:dyDescent="0.5">
      <c r="A3892" s="35" t="s">
        <v>461</v>
      </c>
      <c r="B3892" s="3" t="s">
        <v>462</v>
      </c>
      <c r="C3892" s="12"/>
      <c r="D3892" s="20"/>
      <c r="E3892" s="20"/>
      <c r="F3892" s="4"/>
      <c r="G3892" s="12"/>
      <c r="H3892" s="20"/>
      <c r="J3892" s="18" t="s">
        <v>2473</v>
      </c>
      <c r="K3892" s="18" t="s">
        <v>2473</v>
      </c>
      <c r="R3892" s="114"/>
      <c r="S3892" s="114"/>
      <c r="T3892" s="114"/>
      <c r="U3892" s="114"/>
      <c r="V3892" s="114"/>
      <c r="W3892" s="114"/>
      <c r="X3892" s="114"/>
      <c r="Y3892" s="149"/>
      <c r="Z3892" s="183"/>
      <c r="AA3892" s="183"/>
      <c r="AB3892" s="183"/>
      <c r="AC3892" s="183"/>
      <c r="AD3892" s="183"/>
      <c r="AE3892" s="183"/>
      <c r="AF3892" s="184"/>
      <c r="AG3892" s="183"/>
      <c r="AH3892" s="183"/>
      <c r="AI3892" s="183"/>
      <c r="AJ3892" s="183"/>
      <c r="AK3892" s="183"/>
      <c r="AL3892" s="183"/>
      <c r="AM3892" s="183"/>
      <c r="AN3892" s="131"/>
      <c r="AO3892" s="131"/>
      <c r="AP3892" s="131"/>
      <c r="AQ3892" s="131"/>
      <c r="AR3892" s="288"/>
      <c r="AS3892" s="259"/>
      <c r="AT3892" s="183"/>
      <c r="AU3892" s="8"/>
      <c r="AV3892" s="6" t="str">
        <f t="shared" si="81"/>
        <v/>
      </c>
    </row>
    <row r="3893" spans="1:48" ht="14.65" thickBot="1" x14ac:dyDescent="0.5">
      <c r="A3893" s="35" t="s">
        <v>424</v>
      </c>
      <c r="B3893" s="3" t="s">
        <v>3714</v>
      </c>
      <c r="C3893" s="12"/>
      <c r="D3893" s="20"/>
      <c r="E3893" s="20"/>
      <c r="F3893" s="4"/>
      <c r="G3893" s="12"/>
      <c r="H3893" s="20"/>
      <c r="J3893" s="18" t="s">
        <v>2473</v>
      </c>
      <c r="K3893" s="18" t="s">
        <v>2473</v>
      </c>
      <c r="R3893" s="114"/>
      <c r="S3893" s="114"/>
      <c r="T3893" s="114"/>
      <c r="U3893" s="114"/>
      <c r="V3893" s="114"/>
      <c r="W3893" s="114"/>
      <c r="X3893" s="114"/>
      <c r="Y3893" s="149"/>
      <c r="Z3893" s="183"/>
      <c r="AA3893" s="183"/>
      <c r="AB3893" s="183"/>
      <c r="AC3893" s="183"/>
      <c r="AD3893" s="183"/>
      <c r="AE3893" s="183"/>
      <c r="AF3893" s="184"/>
      <c r="AG3893" s="183"/>
      <c r="AH3893" s="183"/>
      <c r="AI3893" s="183"/>
      <c r="AJ3893" s="183"/>
      <c r="AK3893" s="183"/>
      <c r="AL3893" s="183"/>
      <c r="AM3893" s="183"/>
      <c r="AN3893" s="131"/>
      <c r="AO3893" s="131"/>
      <c r="AP3893" s="131"/>
      <c r="AQ3893" s="131"/>
      <c r="AR3893" s="288"/>
      <c r="AS3893" s="259"/>
      <c r="AT3893" s="183"/>
      <c r="AU3893" s="8"/>
      <c r="AV3893" s="6" t="str">
        <f t="shared" si="81"/>
        <v/>
      </c>
    </row>
    <row r="3894" spans="1:48" ht="36" thickBot="1" x14ac:dyDescent="0.5">
      <c r="A3894" s="41" t="s">
        <v>2846</v>
      </c>
      <c r="B3894" s="50" t="s">
        <v>3715</v>
      </c>
      <c r="C3894" s="14"/>
      <c r="D3894" s="20"/>
      <c r="E3894" s="14"/>
      <c r="F3894" s="20"/>
      <c r="G3894" s="14" t="s">
        <v>10</v>
      </c>
      <c r="H3894" s="20"/>
      <c r="J3894" s="18" t="s">
        <v>2473</v>
      </c>
      <c r="K3894" s="18" t="s">
        <v>2473</v>
      </c>
      <c r="Q3894" s="8" t="s">
        <v>3552</v>
      </c>
      <c r="R3894" s="122" t="s">
        <v>3529</v>
      </c>
      <c r="S3894" s="114" t="s">
        <v>4</v>
      </c>
      <c r="T3894" s="114" t="s">
        <v>3481</v>
      </c>
      <c r="U3894" s="114" t="s">
        <v>3521</v>
      </c>
      <c r="V3894" s="114" t="s">
        <v>3530</v>
      </c>
      <c r="W3894" s="114" t="s">
        <v>3436</v>
      </c>
      <c r="X3894" s="114" t="s">
        <v>13</v>
      </c>
      <c r="Y3894" s="149"/>
      <c r="Z3894" s="183" t="s">
        <v>4</v>
      </c>
      <c r="AA3894" s="183" t="s">
        <v>4617</v>
      </c>
      <c r="AB3894" s="183" t="s">
        <v>758</v>
      </c>
      <c r="AC3894" s="183" t="s">
        <v>6</v>
      </c>
      <c r="AD3894" s="183" t="s">
        <v>4863</v>
      </c>
      <c r="AE3894" s="183"/>
      <c r="AF3894" s="184"/>
      <c r="AG3894" s="183"/>
      <c r="AH3894" s="183"/>
      <c r="AI3894" s="183"/>
      <c r="AJ3894" s="183"/>
      <c r="AK3894" s="183"/>
      <c r="AL3894" s="183"/>
      <c r="AM3894" s="183"/>
      <c r="AN3894" s="131"/>
      <c r="AO3894" s="131"/>
      <c r="AP3894" s="131"/>
      <c r="AQ3894" s="131"/>
      <c r="AR3894" s="288"/>
      <c r="AS3894" s="259"/>
      <c r="AT3894" s="183"/>
      <c r="AV3894" s="6" t="str">
        <f t="shared" si="81"/>
        <v>OK</v>
      </c>
    </row>
    <row r="3895" spans="1:48" ht="58.5" thickBot="1" x14ac:dyDescent="0.5">
      <c r="A3895" s="41" t="s">
        <v>2847</v>
      </c>
      <c r="B3895" s="50" t="s">
        <v>4736</v>
      </c>
      <c r="C3895" s="14"/>
      <c r="D3895" s="20"/>
      <c r="E3895" s="14"/>
      <c r="F3895" s="20"/>
      <c r="G3895" s="14" t="s">
        <v>10</v>
      </c>
      <c r="H3895" s="20"/>
      <c r="J3895" s="18" t="s">
        <v>2473</v>
      </c>
      <c r="K3895" s="18" t="s">
        <v>2473</v>
      </c>
      <c r="Q3895" s="8" t="s">
        <v>3552</v>
      </c>
      <c r="R3895" s="122" t="s">
        <v>3529</v>
      </c>
      <c r="S3895" s="114" t="s">
        <v>4</v>
      </c>
      <c r="T3895" s="114" t="s">
        <v>3483</v>
      </c>
      <c r="U3895" s="114" t="s">
        <v>3521</v>
      </c>
      <c r="V3895" s="114" t="s">
        <v>3530</v>
      </c>
      <c r="W3895" s="114" t="s">
        <v>3436</v>
      </c>
      <c r="X3895" s="114" t="s">
        <v>13</v>
      </c>
      <c r="Y3895" s="149"/>
      <c r="Z3895" s="183" t="s">
        <v>4</v>
      </c>
      <c r="AA3895" s="183" t="s">
        <v>4617</v>
      </c>
      <c r="AB3895" s="183" t="s">
        <v>758</v>
      </c>
      <c r="AC3895" s="183" t="s">
        <v>6</v>
      </c>
      <c r="AD3895" s="183" t="s">
        <v>4864</v>
      </c>
      <c r="AE3895" s="183"/>
      <c r="AF3895" s="184"/>
      <c r="AG3895" s="183"/>
      <c r="AH3895" s="183"/>
      <c r="AI3895" s="183"/>
      <c r="AJ3895" s="183"/>
      <c r="AK3895" s="183"/>
      <c r="AL3895" s="183"/>
      <c r="AM3895" s="183"/>
      <c r="AN3895" s="131"/>
      <c r="AO3895" s="131"/>
      <c r="AP3895" s="131"/>
      <c r="AQ3895" s="131"/>
      <c r="AR3895" s="288"/>
      <c r="AS3895" s="259"/>
      <c r="AT3895" s="183"/>
      <c r="AV3895" s="6" t="str">
        <f t="shared" si="81"/>
        <v>OK</v>
      </c>
    </row>
    <row r="3896" spans="1:48" ht="36" thickBot="1" x14ac:dyDescent="0.5">
      <c r="A3896" s="41" t="s">
        <v>2848</v>
      </c>
      <c r="B3896" s="50" t="s">
        <v>3716</v>
      </c>
      <c r="C3896" s="14"/>
      <c r="D3896" s="20"/>
      <c r="E3896" s="14"/>
      <c r="F3896" s="20"/>
      <c r="G3896" s="14" t="s">
        <v>10</v>
      </c>
      <c r="H3896" s="20"/>
      <c r="J3896" s="18" t="s">
        <v>2473</v>
      </c>
      <c r="K3896" s="18" t="s">
        <v>2473</v>
      </c>
      <c r="Q3896" s="8" t="s">
        <v>3552</v>
      </c>
      <c r="R3896" s="122" t="s">
        <v>3529</v>
      </c>
      <c r="S3896" s="114" t="s">
        <v>4</v>
      </c>
      <c r="T3896" s="114" t="s">
        <v>3498</v>
      </c>
      <c r="U3896" s="114" t="s">
        <v>3521</v>
      </c>
      <c r="V3896" s="114" t="s">
        <v>3530</v>
      </c>
      <c r="W3896" s="114" t="s">
        <v>3436</v>
      </c>
      <c r="X3896" s="114" t="s">
        <v>13</v>
      </c>
      <c r="Y3896" s="149"/>
      <c r="Z3896" s="183" t="s">
        <v>4</v>
      </c>
      <c r="AA3896" s="183" t="s">
        <v>4617</v>
      </c>
      <c r="AB3896" s="183" t="s">
        <v>758</v>
      </c>
      <c r="AC3896" s="183" t="s">
        <v>6</v>
      </c>
      <c r="AD3896" s="183" t="s">
        <v>4893</v>
      </c>
      <c r="AE3896" s="183"/>
      <c r="AF3896" s="184"/>
      <c r="AG3896" s="183"/>
      <c r="AH3896" s="183"/>
      <c r="AI3896" s="183"/>
      <c r="AJ3896" s="183"/>
      <c r="AK3896" s="183"/>
      <c r="AL3896" s="183"/>
      <c r="AM3896" s="183"/>
      <c r="AN3896" s="131"/>
      <c r="AO3896" s="131"/>
      <c r="AP3896" s="131"/>
      <c r="AQ3896" s="131"/>
      <c r="AR3896" s="288"/>
      <c r="AS3896" s="259"/>
      <c r="AT3896" s="183"/>
      <c r="AV3896" s="6" t="str">
        <f t="shared" si="81"/>
        <v>OK</v>
      </c>
    </row>
    <row r="3897" spans="1:48" ht="36" thickBot="1" x14ac:dyDescent="0.5">
      <c r="A3897" s="41" t="s">
        <v>3415</v>
      </c>
      <c r="B3897" s="50" t="s">
        <v>3717</v>
      </c>
      <c r="C3897" s="14"/>
      <c r="D3897" s="20"/>
      <c r="E3897" s="14"/>
      <c r="F3897" s="20"/>
      <c r="G3897" s="14" t="s">
        <v>10</v>
      </c>
      <c r="H3897" s="20"/>
      <c r="J3897" s="18" t="s">
        <v>2473</v>
      </c>
      <c r="K3897" s="18" t="s">
        <v>2473</v>
      </c>
      <c r="Q3897" s="8" t="s">
        <v>3552</v>
      </c>
      <c r="R3897" s="122" t="s">
        <v>3529</v>
      </c>
      <c r="S3897" s="114" t="s">
        <v>4</v>
      </c>
      <c r="T3897" s="114" t="s">
        <v>3484</v>
      </c>
      <c r="U3897" s="114" t="s">
        <v>3523</v>
      </c>
      <c r="V3897" s="114" t="s">
        <v>3530</v>
      </c>
      <c r="W3897" s="114" t="s">
        <v>3436</v>
      </c>
      <c r="X3897" s="114" t="s">
        <v>13</v>
      </c>
      <c r="Y3897" s="149"/>
      <c r="Z3897" s="183" t="s">
        <v>4</v>
      </c>
      <c r="AA3897" s="183" t="s">
        <v>4617</v>
      </c>
      <c r="AB3897" s="183" t="s">
        <v>4361</v>
      </c>
      <c r="AC3897" s="183" t="s">
        <v>6</v>
      </c>
      <c r="AD3897" s="183" t="s">
        <v>4865</v>
      </c>
      <c r="AE3897" s="183"/>
      <c r="AF3897" s="184" t="s">
        <v>4436</v>
      </c>
      <c r="AG3897" s="183"/>
      <c r="AH3897" s="183"/>
      <c r="AI3897" s="183"/>
      <c r="AJ3897" s="183"/>
      <c r="AK3897" s="183"/>
      <c r="AL3897" s="183" t="s">
        <v>4496</v>
      </c>
      <c r="AM3897" s="183"/>
      <c r="AN3897" s="131"/>
      <c r="AO3897" s="131"/>
      <c r="AP3897" s="131"/>
      <c r="AQ3897" s="131"/>
      <c r="AR3897" s="288"/>
      <c r="AS3897" s="259"/>
      <c r="AT3897" s="183"/>
      <c r="AV3897" s="6" t="str">
        <f t="shared" si="81"/>
        <v>OK</v>
      </c>
    </row>
    <row r="3898" spans="1:48" ht="46.9" thickBot="1" x14ac:dyDescent="0.5">
      <c r="A3898" s="41" t="s">
        <v>2878</v>
      </c>
      <c r="B3898" s="50" t="s">
        <v>3718</v>
      </c>
      <c r="C3898" s="14"/>
      <c r="D3898" s="20"/>
      <c r="E3898" s="14"/>
      <c r="F3898" s="20"/>
      <c r="G3898" s="14" t="s">
        <v>10</v>
      </c>
      <c r="H3898" s="20"/>
      <c r="J3898" s="18" t="s">
        <v>2473</v>
      </c>
      <c r="K3898" s="18" t="s">
        <v>2473</v>
      </c>
      <c r="Q3898" s="8" t="s">
        <v>3552</v>
      </c>
      <c r="R3898" s="122" t="s">
        <v>3529</v>
      </c>
      <c r="S3898" s="114" t="s">
        <v>4</v>
      </c>
      <c r="T3898" s="114" t="s">
        <v>3485</v>
      </c>
      <c r="U3898" s="114" t="s">
        <v>3521</v>
      </c>
      <c r="V3898" s="114" t="s">
        <v>3530</v>
      </c>
      <c r="W3898" s="114" t="s">
        <v>3436</v>
      </c>
      <c r="X3898" s="114" t="s">
        <v>13</v>
      </c>
      <c r="Y3898" s="149"/>
      <c r="Z3898" s="183" t="s">
        <v>4</v>
      </c>
      <c r="AA3898" s="183" t="s">
        <v>4617</v>
      </c>
      <c r="AB3898" s="183" t="s">
        <v>758</v>
      </c>
      <c r="AC3898" s="183" t="s">
        <v>6</v>
      </c>
      <c r="AD3898" s="183" t="s">
        <v>4894</v>
      </c>
      <c r="AE3898" s="183"/>
      <c r="AF3898" s="184"/>
      <c r="AG3898" s="183"/>
      <c r="AH3898" s="183"/>
      <c r="AI3898" s="183"/>
      <c r="AJ3898" s="183"/>
      <c r="AK3898" s="183"/>
      <c r="AL3898" s="183"/>
      <c r="AM3898" s="183"/>
      <c r="AN3898" s="131"/>
      <c r="AO3898" s="131"/>
      <c r="AP3898" s="131"/>
      <c r="AQ3898" s="131"/>
      <c r="AR3898" s="288"/>
      <c r="AS3898" s="259"/>
      <c r="AT3898" s="183"/>
      <c r="AV3898" s="6" t="str">
        <f t="shared" si="81"/>
        <v>OK</v>
      </c>
    </row>
    <row r="3899" spans="1:48" ht="14.65" thickBot="1" x14ac:dyDescent="0.5">
      <c r="A3899" s="44" t="s">
        <v>4614</v>
      </c>
      <c r="B3899" s="50" t="s">
        <v>3719</v>
      </c>
      <c r="C3899" s="12"/>
      <c r="D3899" s="20"/>
      <c r="E3899" s="12"/>
      <c r="F3899" s="20"/>
      <c r="G3899" s="12" t="s">
        <v>10</v>
      </c>
      <c r="H3899" s="20"/>
      <c r="J3899" s="18" t="s">
        <v>2473</v>
      </c>
      <c r="K3899" s="18" t="s">
        <v>2473</v>
      </c>
      <c r="R3899" s="122" t="s">
        <v>3529</v>
      </c>
      <c r="S3899" s="114" t="s">
        <v>4</v>
      </c>
      <c r="T3899" s="114" t="s">
        <v>2368</v>
      </c>
      <c r="U3899" s="114" t="s">
        <v>3524</v>
      </c>
      <c r="V3899" s="114" t="s">
        <v>3530</v>
      </c>
      <c r="W3899" s="114" t="s">
        <v>3436</v>
      </c>
      <c r="X3899" s="114" t="s">
        <v>13</v>
      </c>
      <c r="Y3899" s="149"/>
      <c r="Z3899" s="183" t="s">
        <v>4</v>
      </c>
      <c r="AA3899" s="183"/>
      <c r="AB3899" s="183" t="s">
        <v>4361</v>
      </c>
      <c r="AC3899" s="183" t="s">
        <v>6</v>
      </c>
      <c r="AD3899" s="183"/>
      <c r="AE3899" s="183"/>
      <c r="AF3899" s="184" t="s">
        <v>4436</v>
      </c>
      <c r="AG3899" s="183"/>
      <c r="AH3899" s="183"/>
      <c r="AI3899" s="183"/>
      <c r="AJ3899" s="183"/>
      <c r="AK3899" s="183"/>
      <c r="AL3899" s="183"/>
      <c r="AM3899" s="183"/>
      <c r="AN3899" s="131"/>
      <c r="AO3899" s="131"/>
      <c r="AP3899" s="131"/>
      <c r="AQ3899" s="131"/>
      <c r="AR3899" s="288"/>
      <c r="AS3899" s="259"/>
      <c r="AT3899" s="183"/>
      <c r="AV3899" s="6" t="str">
        <f t="shared" si="81"/>
        <v>ERROR</v>
      </c>
    </row>
    <row r="3900" spans="1:48" ht="46.9" thickBot="1" x14ac:dyDescent="0.5">
      <c r="A3900" s="44" t="s">
        <v>4615</v>
      </c>
      <c r="B3900" s="50" t="s">
        <v>3720</v>
      </c>
      <c r="C3900" s="12"/>
      <c r="D3900" s="20"/>
      <c r="E3900" s="12"/>
      <c r="F3900" s="20"/>
      <c r="G3900" s="12" t="s">
        <v>10</v>
      </c>
      <c r="H3900" s="20"/>
      <c r="J3900" s="18" t="s">
        <v>2473</v>
      </c>
      <c r="K3900" s="18" t="s">
        <v>2473</v>
      </c>
      <c r="R3900" s="122" t="s">
        <v>3529</v>
      </c>
      <c r="S3900" s="114" t="s">
        <v>4</v>
      </c>
      <c r="T3900" s="114" t="s">
        <v>3527</v>
      </c>
      <c r="U3900" s="114" t="s">
        <v>3523</v>
      </c>
      <c r="V3900" s="114" t="s">
        <v>3530</v>
      </c>
      <c r="W3900" s="114" t="s">
        <v>3436</v>
      </c>
      <c r="X3900" s="114" t="s">
        <v>13</v>
      </c>
      <c r="Y3900" s="149"/>
      <c r="Z3900" s="183" t="s">
        <v>4</v>
      </c>
      <c r="AA3900" s="183"/>
      <c r="AB3900" s="183" t="s">
        <v>4361</v>
      </c>
      <c r="AC3900" s="183" t="s">
        <v>6</v>
      </c>
      <c r="AD3900" s="183" t="s">
        <v>4895</v>
      </c>
      <c r="AE3900" s="183"/>
      <c r="AF3900" s="184" t="s">
        <v>4436</v>
      </c>
      <c r="AG3900" s="183"/>
      <c r="AH3900" s="183"/>
      <c r="AI3900" s="183"/>
      <c r="AJ3900" s="183"/>
      <c r="AK3900" s="183"/>
      <c r="AL3900" s="183"/>
      <c r="AM3900" s="183"/>
      <c r="AN3900" s="131"/>
      <c r="AO3900" s="131"/>
      <c r="AP3900" s="131"/>
      <c r="AQ3900" s="131"/>
      <c r="AR3900" s="288"/>
      <c r="AS3900" s="259"/>
      <c r="AT3900" s="183"/>
      <c r="AV3900" s="6" t="str">
        <f t="shared" si="81"/>
        <v>ERROR</v>
      </c>
    </row>
    <row r="3901" spans="1:48" ht="46.9" thickBot="1" x14ac:dyDescent="0.5">
      <c r="A3901" s="44" t="s">
        <v>4616</v>
      </c>
      <c r="B3901" s="50" t="s">
        <v>3721</v>
      </c>
      <c r="C3901" s="12"/>
      <c r="D3901" s="20"/>
      <c r="E3901" s="12"/>
      <c r="F3901" s="20"/>
      <c r="G3901" s="12" t="s">
        <v>10</v>
      </c>
      <c r="H3901" s="20"/>
      <c r="J3901" s="18" t="s">
        <v>2473</v>
      </c>
      <c r="K3901" s="18" t="s">
        <v>2473</v>
      </c>
      <c r="R3901" s="122" t="s">
        <v>3529</v>
      </c>
      <c r="S3901" s="114" t="s">
        <v>4</v>
      </c>
      <c r="T3901" s="114" t="s">
        <v>3528</v>
      </c>
      <c r="U3901" s="114" t="s">
        <v>3523</v>
      </c>
      <c r="V3901" s="114" t="s">
        <v>3530</v>
      </c>
      <c r="W3901" s="114" t="s">
        <v>3436</v>
      </c>
      <c r="X3901" s="114" t="s">
        <v>13</v>
      </c>
      <c r="Y3901" s="149"/>
      <c r="Z3901" s="183" t="s">
        <v>4</v>
      </c>
      <c r="AA3901" s="183"/>
      <c r="AB3901" s="183" t="s">
        <v>4361</v>
      </c>
      <c r="AC3901" s="183" t="s">
        <v>6</v>
      </c>
      <c r="AD3901" s="183" t="s">
        <v>4896</v>
      </c>
      <c r="AE3901" s="183"/>
      <c r="AF3901" s="184" t="s">
        <v>4436</v>
      </c>
      <c r="AG3901" s="183"/>
      <c r="AH3901" s="183"/>
      <c r="AI3901" s="183"/>
      <c r="AJ3901" s="183"/>
      <c r="AK3901" s="183"/>
      <c r="AL3901" s="183"/>
      <c r="AM3901" s="183"/>
      <c r="AN3901" s="131"/>
      <c r="AO3901" s="131"/>
      <c r="AP3901" s="131"/>
      <c r="AQ3901" s="131"/>
      <c r="AR3901" s="288"/>
      <c r="AS3901" s="259"/>
      <c r="AT3901" s="183"/>
      <c r="AV3901" s="6" t="str">
        <f t="shared" si="81"/>
        <v>ERROR</v>
      </c>
    </row>
    <row r="3902" spans="1:48" ht="70.150000000000006" thickBot="1" x14ac:dyDescent="0.5">
      <c r="A3902" s="44" t="s">
        <v>2714</v>
      </c>
      <c r="B3902" s="50" t="s">
        <v>3722</v>
      </c>
      <c r="C3902" s="12"/>
      <c r="D3902" s="20"/>
      <c r="E3902" s="12"/>
      <c r="F3902" s="20"/>
      <c r="G3902" s="12" t="s">
        <v>10</v>
      </c>
      <c r="H3902" s="20"/>
      <c r="J3902" s="18" t="s">
        <v>2473</v>
      </c>
      <c r="K3902" s="18" t="s">
        <v>2473</v>
      </c>
      <c r="R3902" s="122" t="s">
        <v>3529</v>
      </c>
      <c r="S3902" s="114" t="s">
        <v>4</v>
      </c>
      <c r="T3902" s="114" t="s">
        <v>2714</v>
      </c>
      <c r="U3902" s="114" t="s">
        <v>3521</v>
      </c>
      <c r="V3902" s="114" t="s">
        <v>3530</v>
      </c>
      <c r="W3902" s="114" t="s">
        <v>3436</v>
      </c>
      <c r="X3902" s="114" t="s">
        <v>13</v>
      </c>
      <c r="Y3902" s="149"/>
      <c r="Z3902" s="183" t="s">
        <v>4</v>
      </c>
      <c r="AA3902" s="183"/>
      <c r="AB3902" s="183" t="s">
        <v>758</v>
      </c>
      <c r="AC3902" s="183" t="s">
        <v>6</v>
      </c>
      <c r="AD3902" s="183" t="s">
        <v>4897</v>
      </c>
      <c r="AE3902" s="183"/>
      <c r="AF3902" s="184"/>
      <c r="AG3902" s="183"/>
      <c r="AH3902" s="183"/>
      <c r="AI3902" s="183"/>
      <c r="AJ3902" s="183"/>
      <c r="AK3902" s="183"/>
      <c r="AL3902" s="183"/>
      <c r="AM3902" s="183"/>
      <c r="AN3902" s="131"/>
      <c r="AO3902" s="131"/>
      <c r="AP3902" s="131"/>
      <c r="AQ3902" s="131"/>
      <c r="AR3902" s="288"/>
      <c r="AS3902" s="259"/>
      <c r="AT3902" s="183"/>
      <c r="AV3902" s="6" t="str">
        <f t="shared" si="81"/>
        <v>OK</v>
      </c>
    </row>
    <row r="3903" spans="1:48" ht="46.9" thickBot="1" x14ac:dyDescent="0.5">
      <c r="A3903" s="44" t="s">
        <v>480</v>
      </c>
      <c r="B3903" s="50" t="s">
        <v>3723</v>
      </c>
      <c r="C3903" s="12"/>
      <c r="D3903" s="20"/>
      <c r="E3903" s="12"/>
      <c r="F3903" s="20"/>
      <c r="G3903" s="12" t="s">
        <v>10</v>
      </c>
      <c r="H3903" s="20"/>
      <c r="J3903" s="18" t="s">
        <v>2473</v>
      </c>
      <c r="K3903" s="18" t="s">
        <v>2473</v>
      </c>
      <c r="R3903" s="122" t="s">
        <v>3435</v>
      </c>
      <c r="S3903" s="114" t="s">
        <v>3437</v>
      </c>
      <c r="T3903" s="114" t="s">
        <v>2717</v>
      </c>
      <c r="U3903" s="114"/>
      <c r="V3903" s="114" t="s">
        <v>3553</v>
      </c>
      <c r="W3903" s="114" t="s">
        <v>3436</v>
      </c>
      <c r="X3903" s="114" t="s">
        <v>13</v>
      </c>
      <c r="Y3903" s="149"/>
      <c r="Z3903" s="183" t="s">
        <v>4</v>
      </c>
      <c r="AA3903" s="183"/>
      <c r="AB3903" s="183" t="s">
        <v>4349</v>
      </c>
      <c r="AC3903" s="183"/>
      <c r="AD3903" s="183" t="s">
        <v>4898</v>
      </c>
      <c r="AE3903" s="183"/>
      <c r="AF3903" s="184"/>
      <c r="AG3903" s="183"/>
      <c r="AH3903" s="183"/>
      <c r="AI3903" s="183" t="str">
        <f>"true"</f>
        <v>true</v>
      </c>
      <c r="AJ3903" s="183"/>
      <c r="AK3903" s="183" t="s">
        <v>4448</v>
      </c>
      <c r="AL3903" s="183"/>
      <c r="AM3903" s="183"/>
      <c r="AN3903" s="131"/>
      <c r="AO3903" s="131"/>
      <c r="AP3903" s="131"/>
      <c r="AQ3903" s="131"/>
      <c r="AR3903" s="288"/>
      <c r="AS3903" s="259"/>
      <c r="AT3903" s="183"/>
      <c r="AV3903" s="6" t="str">
        <f t="shared" si="81"/>
        <v>ERROR</v>
      </c>
    </row>
    <row r="3904" spans="1:48" ht="14.65" thickBot="1" x14ac:dyDescent="0.5">
      <c r="A3904" s="41" t="s">
        <v>33</v>
      </c>
      <c r="B3904" s="50" t="s">
        <v>3686</v>
      </c>
      <c r="C3904" s="12"/>
      <c r="D3904" s="20"/>
      <c r="E3904" s="20"/>
      <c r="F3904" s="20"/>
      <c r="G3904" s="12"/>
      <c r="H3904" s="20"/>
      <c r="J3904" s="18" t="s">
        <v>2473</v>
      </c>
      <c r="K3904" s="18" t="s">
        <v>2473</v>
      </c>
      <c r="R3904" s="114"/>
      <c r="S3904" s="114"/>
      <c r="T3904" s="114"/>
      <c r="U3904" s="114"/>
      <c r="V3904" s="114"/>
      <c r="W3904" s="114"/>
      <c r="X3904" s="114"/>
      <c r="Y3904" s="149"/>
      <c r="Z3904" s="183"/>
      <c r="AA3904" s="183"/>
      <c r="AB3904" s="183"/>
      <c r="AC3904" s="183"/>
      <c r="AD3904" s="183"/>
      <c r="AE3904" s="183"/>
      <c r="AF3904" s="184"/>
      <c r="AG3904" s="183"/>
      <c r="AH3904" s="183"/>
      <c r="AI3904" s="183"/>
      <c r="AJ3904" s="183"/>
      <c r="AK3904" s="183"/>
      <c r="AL3904" s="183"/>
      <c r="AM3904" s="183"/>
      <c r="AN3904" s="131"/>
      <c r="AO3904" s="131"/>
      <c r="AP3904" s="131"/>
      <c r="AQ3904" s="131"/>
      <c r="AR3904" s="288"/>
      <c r="AS3904" s="259"/>
      <c r="AT3904" s="183"/>
      <c r="AV3904" s="6" t="str">
        <f t="shared" si="81"/>
        <v/>
      </c>
    </row>
    <row r="3905" spans="1:48" ht="14.65" thickBot="1" x14ac:dyDescent="0.5">
      <c r="A3905" s="35" t="s">
        <v>461</v>
      </c>
      <c r="B3905" s="3" t="s">
        <v>3688</v>
      </c>
      <c r="C3905" s="12"/>
      <c r="D3905" s="20"/>
      <c r="E3905" s="20"/>
      <c r="F3905" s="4"/>
      <c r="G3905" s="12"/>
      <c r="H3905" s="20"/>
      <c r="J3905" s="18" t="s">
        <v>2473</v>
      </c>
      <c r="K3905" s="18" t="s">
        <v>2473</v>
      </c>
      <c r="R3905" s="114"/>
      <c r="S3905" s="114"/>
      <c r="T3905" s="114"/>
      <c r="U3905" s="114"/>
      <c r="V3905" s="114"/>
      <c r="W3905" s="114"/>
      <c r="X3905" s="114"/>
      <c r="Y3905" s="149"/>
      <c r="Z3905" s="183"/>
      <c r="AA3905" s="183"/>
      <c r="AB3905" s="183"/>
      <c r="AC3905" s="183"/>
      <c r="AD3905" s="183"/>
      <c r="AE3905" s="183"/>
      <c r="AF3905" s="184"/>
      <c r="AG3905" s="183"/>
      <c r="AH3905" s="183"/>
      <c r="AI3905" s="183"/>
      <c r="AJ3905" s="183"/>
      <c r="AK3905" s="183"/>
      <c r="AL3905" s="183"/>
      <c r="AM3905" s="183"/>
      <c r="AN3905" s="131"/>
      <c r="AO3905" s="131"/>
      <c r="AP3905" s="131"/>
      <c r="AQ3905" s="131"/>
      <c r="AR3905" s="288"/>
      <c r="AS3905" s="259"/>
      <c r="AT3905" s="183"/>
      <c r="AU3905" s="8"/>
      <c r="AV3905" s="6" t="str">
        <f t="shared" si="81"/>
        <v/>
      </c>
    </row>
    <row r="3906" spans="1:48" ht="14.65" thickBot="1" x14ac:dyDescent="0.5">
      <c r="A3906" s="35" t="s">
        <v>424</v>
      </c>
      <c r="B3906" s="3" t="s">
        <v>3689</v>
      </c>
      <c r="C3906" s="12"/>
      <c r="D3906" s="20"/>
      <c r="E3906" s="20"/>
      <c r="F3906" s="4"/>
      <c r="G3906" s="12"/>
      <c r="H3906" s="20"/>
      <c r="J3906" s="18" t="s">
        <v>2473</v>
      </c>
      <c r="K3906" s="18" t="s">
        <v>2473</v>
      </c>
      <c r="R3906" s="114"/>
      <c r="S3906" s="114"/>
      <c r="T3906" s="114"/>
      <c r="U3906" s="114"/>
      <c r="V3906" s="114"/>
      <c r="W3906" s="114"/>
      <c r="X3906" s="114"/>
      <c r="Y3906" s="149"/>
      <c r="Z3906" s="183"/>
      <c r="AA3906" s="183"/>
      <c r="AB3906" s="183"/>
      <c r="AC3906" s="183"/>
      <c r="AD3906" s="183"/>
      <c r="AE3906" s="183"/>
      <c r="AF3906" s="184"/>
      <c r="AG3906" s="183"/>
      <c r="AH3906" s="183"/>
      <c r="AI3906" s="183"/>
      <c r="AJ3906" s="183"/>
      <c r="AK3906" s="183"/>
      <c r="AL3906" s="183"/>
      <c r="AM3906" s="183"/>
      <c r="AN3906" s="131"/>
      <c r="AO3906" s="131"/>
      <c r="AP3906" s="131"/>
      <c r="AQ3906" s="131"/>
      <c r="AR3906" s="288"/>
      <c r="AS3906" s="259"/>
      <c r="AT3906" s="183"/>
      <c r="AU3906" s="8"/>
      <c r="AV3906" s="6" t="str">
        <f t="shared" si="81"/>
        <v/>
      </c>
    </row>
    <row r="3907" spans="1:48" ht="36" thickBot="1" x14ac:dyDescent="0.5">
      <c r="A3907" s="35" t="s">
        <v>2880</v>
      </c>
      <c r="B3907" s="3" t="s">
        <v>3724</v>
      </c>
      <c r="C3907" s="12"/>
      <c r="D3907" s="20"/>
      <c r="E3907" s="20"/>
      <c r="F3907" s="4"/>
      <c r="G3907" s="12" t="s">
        <v>10</v>
      </c>
      <c r="H3907" s="20"/>
      <c r="J3907" s="18" t="s">
        <v>2473</v>
      </c>
      <c r="K3907" s="18" t="s">
        <v>2473</v>
      </c>
      <c r="Q3907" s="8" t="s">
        <v>3553</v>
      </c>
      <c r="R3907" s="122" t="s">
        <v>3529</v>
      </c>
      <c r="S3907" s="114" t="s">
        <v>4</v>
      </c>
      <c r="T3907" s="114" t="s">
        <v>3486</v>
      </c>
      <c r="U3907" s="114" t="s">
        <v>3521</v>
      </c>
      <c r="V3907" s="114" t="s">
        <v>3530</v>
      </c>
      <c r="W3907" s="114" t="s">
        <v>3436</v>
      </c>
      <c r="X3907" s="114" t="s">
        <v>13</v>
      </c>
      <c r="Y3907" s="149"/>
      <c r="Z3907" s="183" t="s">
        <v>4</v>
      </c>
      <c r="AA3907" s="183" t="s">
        <v>480</v>
      </c>
      <c r="AB3907" s="183" t="s">
        <v>758</v>
      </c>
      <c r="AC3907" s="183" t="s">
        <v>6</v>
      </c>
      <c r="AD3907" s="183" t="s">
        <v>4871</v>
      </c>
      <c r="AE3907" s="183"/>
      <c r="AF3907" s="184"/>
      <c r="AG3907" s="183"/>
      <c r="AH3907" s="183"/>
      <c r="AI3907" s="183"/>
      <c r="AJ3907" s="183"/>
      <c r="AK3907" s="183"/>
      <c r="AL3907" s="183"/>
      <c r="AM3907" s="183"/>
      <c r="AN3907" s="131"/>
      <c r="AO3907" s="131"/>
      <c r="AP3907" s="131"/>
      <c r="AQ3907" s="131"/>
      <c r="AR3907" s="288"/>
      <c r="AS3907" s="259"/>
      <c r="AT3907" s="183"/>
      <c r="AU3907" s="8"/>
      <c r="AV3907" s="6" t="str">
        <f t="shared" si="81"/>
        <v>OK</v>
      </c>
    </row>
    <row r="3908" spans="1:48" ht="81.75" thickBot="1" x14ac:dyDescent="0.5">
      <c r="A3908" s="35" t="s">
        <v>4619</v>
      </c>
      <c r="B3908" s="3" t="s">
        <v>4621</v>
      </c>
      <c r="C3908" s="12"/>
      <c r="D3908" s="20"/>
      <c r="E3908" s="20"/>
      <c r="F3908" s="4"/>
      <c r="G3908" s="12" t="s">
        <v>10</v>
      </c>
      <c r="H3908" s="20"/>
      <c r="J3908" s="18" t="s">
        <v>2473</v>
      </c>
      <c r="K3908" s="18" t="s">
        <v>2473</v>
      </c>
      <c r="Q3908" s="8" t="s">
        <v>3553</v>
      </c>
      <c r="R3908" s="122" t="s">
        <v>3529</v>
      </c>
      <c r="S3908" s="114" t="s">
        <v>4</v>
      </c>
      <c r="T3908" s="114" t="s">
        <v>4338</v>
      </c>
      <c r="U3908" s="114" t="s">
        <v>3521</v>
      </c>
      <c r="V3908" s="114" t="s">
        <v>3530</v>
      </c>
      <c r="W3908" s="114" t="s">
        <v>3436</v>
      </c>
      <c r="X3908" s="114" t="s">
        <v>13</v>
      </c>
      <c r="Y3908" s="149"/>
      <c r="Z3908" s="183" t="s">
        <v>4</v>
      </c>
      <c r="AA3908" s="183" t="s">
        <v>480</v>
      </c>
      <c r="AB3908" s="183" t="s">
        <v>758</v>
      </c>
      <c r="AC3908" s="183" t="s">
        <v>6</v>
      </c>
      <c r="AD3908" s="183" t="s">
        <v>4872</v>
      </c>
      <c r="AE3908" s="183"/>
      <c r="AF3908" s="184"/>
      <c r="AG3908" s="183"/>
      <c r="AH3908" s="183"/>
      <c r="AI3908" s="183"/>
      <c r="AJ3908" s="183"/>
      <c r="AK3908" s="183"/>
      <c r="AL3908" s="183"/>
      <c r="AM3908" s="183"/>
      <c r="AN3908" s="131"/>
      <c r="AO3908" s="131"/>
      <c r="AP3908" s="131"/>
      <c r="AQ3908" s="131"/>
      <c r="AR3908" s="288"/>
      <c r="AS3908" s="259"/>
      <c r="AT3908" s="183"/>
      <c r="AU3908" s="8"/>
      <c r="AV3908" s="6" t="str">
        <f t="shared" ref="AV3908" si="82">IF(A3908&lt;&gt;"",IF(T3908&lt;&gt;"",IF(LEFT(R3908,3)="Has",IF(TRIM(A3908)&lt;&gt;T3908,"ERROR","OK"),""),""),"")</f>
        <v>OK</v>
      </c>
    </row>
    <row r="3909" spans="1:48" ht="46.9" thickBot="1" x14ac:dyDescent="0.5">
      <c r="A3909" s="35" t="s">
        <v>4620</v>
      </c>
      <c r="B3909" s="3" t="s">
        <v>4622</v>
      </c>
      <c r="C3909" s="12"/>
      <c r="D3909" s="20"/>
      <c r="E3909" s="20"/>
      <c r="F3909" s="4"/>
      <c r="G3909" s="12" t="s">
        <v>10</v>
      </c>
      <c r="H3909" s="20"/>
      <c r="J3909" s="18" t="s">
        <v>2473</v>
      </c>
      <c r="K3909" s="18" t="s">
        <v>2473</v>
      </c>
      <c r="Q3909" s="8" t="s">
        <v>3553</v>
      </c>
      <c r="R3909" s="122" t="s">
        <v>3529</v>
      </c>
      <c r="S3909" s="114" t="s">
        <v>4</v>
      </c>
      <c r="T3909" s="114" t="s">
        <v>4623</v>
      </c>
      <c r="U3909" s="114" t="s">
        <v>3521</v>
      </c>
      <c r="V3909" s="114" t="s">
        <v>3530</v>
      </c>
      <c r="W3909" s="114" t="s">
        <v>3436</v>
      </c>
      <c r="X3909" s="114" t="s">
        <v>13</v>
      </c>
      <c r="Y3909" s="149"/>
      <c r="Z3909" s="183" t="s">
        <v>4</v>
      </c>
      <c r="AA3909" s="183" t="s">
        <v>480</v>
      </c>
      <c r="AB3909" s="183" t="s">
        <v>758</v>
      </c>
      <c r="AC3909" s="183" t="s">
        <v>6</v>
      </c>
      <c r="AD3909" s="183" t="s">
        <v>4899</v>
      </c>
      <c r="AE3909" s="183"/>
      <c r="AF3909" s="184"/>
      <c r="AG3909" s="183"/>
      <c r="AH3909" s="183"/>
      <c r="AI3909" s="183"/>
      <c r="AJ3909" s="183"/>
      <c r="AK3909" s="183"/>
      <c r="AL3909" s="183"/>
      <c r="AM3909" s="183"/>
      <c r="AN3909" s="131"/>
      <c r="AO3909" s="131"/>
      <c r="AP3909" s="131"/>
      <c r="AQ3909" s="131"/>
      <c r="AR3909" s="288"/>
      <c r="AS3909" s="259"/>
      <c r="AT3909" s="183"/>
      <c r="AU3909" s="8"/>
      <c r="AV3909" s="6" t="str">
        <f t="shared" si="81"/>
        <v>OK</v>
      </c>
    </row>
    <row r="3910" spans="1:48" ht="36" thickBot="1" x14ac:dyDescent="0.5">
      <c r="A3910" s="41" t="s">
        <v>420</v>
      </c>
      <c r="B3910" s="3" t="s">
        <v>3725</v>
      </c>
      <c r="C3910" s="12"/>
      <c r="D3910" s="20"/>
      <c r="E3910" s="20"/>
      <c r="F3910" s="20"/>
      <c r="G3910" s="12" t="s">
        <v>13</v>
      </c>
      <c r="H3910" s="20"/>
      <c r="J3910" s="18" t="s">
        <v>2473</v>
      </c>
      <c r="K3910" s="18" t="s">
        <v>2473</v>
      </c>
      <c r="Q3910" s="8" t="s">
        <v>3553</v>
      </c>
      <c r="R3910" s="122" t="s">
        <v>3529</v>
      </c>
      <c r="S3910" s="114" t="s">
        <v>4</v>
      </c>
      <c r="T3910" s="114" t="s">
        <v>490</v>
      </c>
      <c r="U3910" s="114" t="s">
        <v>3523</v>
      </c>
      <c r="V3910" s="114" t="s">
        <v>3530</v>
      </c>
      <c r="W3910" s="114" t="s">
        <v>3436</v>
      </c>
      <c r="X3910" s="114" t="s">
        <v>13</v>
      </c>
      <c r="Y3910" s="149"/>
      <c r="Z3910" s="183" t="s">
        <v>4</v>
      </c>
      <c r="AA3910" s="183" t="s">
        <v>480</v>
      </c>
      <c r="AB3910" s="183" t="s">
        <v>4361</v>
      </c>
      <c r="AC3910" s="183" t="s">
        <v>6</v>
      </c>
      <c r="AD3910" s="183" t="s">
        <v>4900</v>
      </c>
      <c r="AE3910" s="183"/>
      <c r="AF3910" s="184" t="s">
        <v>4436</v>
      </c>
      <c r="AG3910" s="183"/>
      <c r="AH3910" s="183"/>
      <c r="AI3910" s="183"/>
      <c r="AJ3910" s="183"/>
      <c r="AK3910" s="183"/>
      <c r="AL3910" s="183" t="s">
        <v>4496</v>
      </c>
      <c r="AM3910" s="183"/>
      <c r="AN3910" s="131"/>
      <c r="AO3910" s="131"/>
      <c r="AP3910" s="131"/>
      <c r="AQ3910" s="131"/>
      <c r="AR3910" s="288"/>
      <c r="AS3910" s="259"/>
      <c r="AT3910" s="183"/>
      <c r="AV3910" s="6" t="str">
        <f t="shared" si="81"/>
        <v>OK</v>
      </c>
    </row>
    <row r="3911" spans="1:48" ht="58.5" thickBot="1" x14ac:dyDescent="0.5">
      <c r="A3911" s="35" t="s">
        <v>2079</v>
      </c>
      <c r="B3911" s="3" t="s">
        <v>3666</v>
      </c>
      <c r="C3911" s="4"/>
      <c r="D3911" s="4"/>
      <c r="E3911" s="4"/>
      <c r="F3911" s="4"/>
      <c r="G3911" s="4" t="s">
        <v>13</v>
      </c>
      <c r="H3911" s="4"/>
      <c r="J3911" s="18" t="s">
        <v>2473</v>
      </c>
      <c r="K3911" s="18" t="s">
        <v>2473</v>
      </c>
      <c r="Q3911" s="8" t="s">
        <v>3553</v>
      </c>
      <c r="R3911" s="122" t="s">
        <v>3529</v>
      </c>
      <c r="S3911" s="114" t="s">
        <v>4</v>
      </c>
      <c r="T3911" s="114" t="s">
        <v>1124</v>
      </c>
      <c r="U3911" s="114" t="s">
        <v>3521</v>
      </c>
      <c r="V3911" s="114" t="s">
        <v>3530</v>
      </c>
      <c r="W3911" s="114" t="s">
        <v>3436</v>
      </c>
      <c r="X3911" s="114" t="s">
        <v>13</v>
      </c>
      <c r="Y3911" s="149"/>
      <c r="Z3911" s="183" t="s">
        <v>4</v>
      </c>
      <c r="AA3911" s="183" t="s">
        <v>480</v>
      </c>
      <c r="AB3911" s="183" t="s">
        <v>4358</v>
      </c>
      <c r="AC3911" s="183" t="s">
        <v>6</v>
      </c>
      <c r="AD3911" s="183" t="s">
        <v>4823</v>
      </c>
      <c r="AE3911" s="183"/>
      <c r="AF3911" s="184"/>
      <c r="AG3911" s="183"/>
      <c r="AH3911" s="183"/>
      <c r="AI3911" s="183"/>
      <c r="AJ3911" s="183"/>
      <c r="AK3911" s="183"/>
      <c r="AL3911" s="183"/>
      <c r="AM3911" s="183"/>
      <c r="AN3911" s="131"/>
      <c r="AO3911" s="131"/>
      <c r="AP3911" s="131"/>
      <c r="AQ3911" s="131"/>
      <c r="AR3911" s="288"/>
      <c r="AS3911" s="259"/>
      <c r="AT3911" s="183"/>
      <c r="AU3911" s="6"/>
      <c r="AV3911" s="6" t="str">
        <f t="shared" si="81"/>
        <v>OK</v>
      </c>
    </row>
    <row r="3912" spans="1:48" ht="46.9" thickBot="1" x14ac:dyDescent="0.5">
      <c r="A3912" s="44" t="s">
        <v>418</v>
      </c>
      <c r="B3912" s="50" t="s">
        <v>4065</v>
      </c>
      <c r="C3912" s="14"/>
      <c r="D3912" s="20"/>
      <c r="E3912" s="14"/>
      <c r="F3912" s="20"/>
      <c r="G3912" s="14" t="s">
        <v>37</v>
      </c>
      <c r="H3912" s="20"/>
      <c r="J3912" s="18" t="s">
        <v>2473</v>
      </c>
      <c r="K3912" s="18" t="s">
        <v>2473</v>
      </c>
      <c r="R3912" s="122" t="s">
        <v>3435</v>
      </c>
      <c r="S3912" s="114" t="s">
        <v>3437</v>
      </c>
      <c r="T3912" s="114" t="s">
        <v>2845</v>
      </c>
      <c r="U3912" s="114"/>
      <c r="V3912" s="114" t="s">
        <v>3554</v>
      </c>
      <c r="W3912" s="114" t="s">
        <v>3436</v>
      </c>
      <c r="X3912" s="114" t="s">
        <v>13</v>
      </c>
      <c r="Y3912" s="149"/>
      <c r="Z3912" s="183" t="s">
        <v>4</v>
      </c>
      <c r="AA3912" s="183"/>
      <c r="AB3912" s="183" t="s">
        <v>4349</v>
      </c>
      <c r="AC3912" s="183"/>
      <c r="AD3912" s="183" t="s">
        <v>4901</v>
      </c>
      <c r="AE3912" s="183"/>
      <c r="AF3912" s="184"/>
      <c r="AG3912" s="183"/>
      <c r="AH3912" s="183"/>
      <c r="AI3912" s="183" t="str">
        <f>"true"</f>
        <v>true</v>
      </c>
      <c r="AJ3912" s="183"/>
      <c r="AK3912" s="183" t="s">
        <v>4449</v>
      </c>
      <c r="AL3912" s="183"/>
      <c r="AM3912" s="183"/>
      <c r="AN3912" s="131"/>
      <c r="AO3912" s="131"/>
      <c r="AP3912" s="131"/>
      <c r="AQ3912" s="131"/>
      <c r="AR3912" s="288"/>
      <c r="AS3912" s="259"/>
      <c r="AT3912" s="183"/>
      <c r="AV3912" s="6" t="str">
        <f t="shared" si="81"/>
        <v>ERROR</v>
      </c>
    </row>
    <row r="3913" spans="1:48" ht="14.65" thickBot="1" x14ac:dyDescent="0.5">
      <c r="A3913" s="41" t="s">
        <v>33</v>
      </c>
      <c r="B3913" s="50" t="s">
        <v>3686</v>
      </c>
      <c r="C3913" s="12"/>
      <c r="D3913" s="20"/>
      <c r="E3913" s="20"/>
      <c r="F3913" s="20"/>
      <c r="G3913" s="12"/>
      <c r="H3913" s="20"/>
      <c r="J3913" s="18" t="s">
        <v>2473</v>
      </c>
      <c r="K3913" s="18" t="s">
        <v>2473</v>
      </c>
      <c r="R3913" s="114"/>
      <c r="S3913" s="114"/>
      <c r="T3913" s="114"/>
      <c r="U3913" s="114"/>
      <c r="V3913" s="114"/>
      <c r="W3913" s="114"/>
      <c r="X3913" s="114"/>
      <c r="Y3913" s="149"/>
      <c r="Z3913" s="183"/>
      <c r="AA3913" s="183"/>
      <c r="AB3913" s="183"/>
      <c r="AC3913" s="183"/>
      <c r="AD3913" s="183"/>
      <c r="AE3913" s="183"/>
      <c r="AF3913" s="184"/>
      <c r="AG3913" s="183"/>
      <c r="AH3913" s="183"/>
      <c r="AI3913" s="183"/>
      <c r="AJ3913" s="183"/>
      <c r="AK3913" s="183"/>
      <c r="AL3913" s="183"/>
      <c r="AM3913" s="183"/>
      <c r="AN3913" s="131"/>
      <c r="AO3913" s="131"/>
      <c r="AP3913" s="131"/>
      <c r="AQ3913" s="131"/>
      <c r="AR3913" s="288"/>
      <c r="AS3913" s="259"/>
      <c r="AT3913" s="183"/>
      <c r="AV3913" s="6" t="str">
        <f t="shared" si="81"/>
        <v/>
      </c>
    </row>
    <row r="3914" spans="1:48" ht="14.65" thickBot="1" x14ac:dyDescent="0.5">
      <c r="A3914" s="35" t="s">
        <v>461</v>
      </c>
      <c r="B3914" s="3" t="s">
        <v>3688</v>
      </c>
      <c r="C3914" s="12"/>
      <c r="D3914" s="20"/>
      <c r="E3914" s="20"/>
      <c r="F3914" s="4"/>
      <c r="G3914" s="12"/>
      <c r="H3914" s="20"/>
      <c r="J3914" s="18" t="s">
        <v>2473</v>
      </c>
      <c r="K3914" s="18" t="s">
        <v>2473</v>
      </c>
      <c r="R3914" s="114"/>
      <c r="S3914" s="114"/>
      <c r="T3914" s="114"/>
      <c r="U3914" s="114"/>
      <c r="V3914" s="114"/>
      <c r="W3914" s="114"/>
      <c r="X3914" s="114"/>
      <c r="Y3914" s="149"/>
      <c r="Z3914" s="183"/>
      <c r="AA3914" s="183"/>
      <c r="AB3914" s="183"/>
      <c r="AC3914" s="183"/>
      <c r="AD3914" s="183"/>
      <c r="AE3914" s="183"/>
      <c r="AF3914" s="184"/>
      <c r="AG3914" s="183"/>
      <c r="AH3914" s="183"/>
      <c r="AI3914" s="183"/>
      <c r="AJ3914" s="183"/>
      <c r="AK3914" s="183"/>
      <c r="AL3914" s="183"/>
      <c r="AM3914" s="183"/>
      <c r="AN3914" s="131"/>
      <c r="AO3914" s="131"/>
      <c r="AP3914" s="131"/>
      <c r="AQ3914" s="131"/>
      <c r="AR3914" s="288"/>
      <c r="AS3914" s="259"/>
      <c r="AT3914" s="183"/>
      <c r="AU3914" s="8"/>
      <c r="AV3914" s="6" t="str">
        <f t="shared" si="81"/>
        <v/>
      </c>
    </row>
    <row r="3915" spans="1:48" ht="14.65" thickBot="1" x14ac:dyDescent="0.5">
      <c r="A3915" s="35" t="s">
        <v>424</v>
      </c>
      <c r="B3915" s="3" t="s">
        <v>3689</v>
      </c>
      <c r="C3915" s="12"/>
      <c r="D3915" s="20"/>
      <c r="E3915" s="20"/>
      <c r="F3915" s="4"/>
      <c r="G3915" s="12"/>
      <c r="H3915" s="20"/>
      <c r="J3915" s="18" t="s">
        <v>2473</v>
      </c>
      <c r="K3915" s="18" t="s">
        <v>2473</v>
      </c>
      <c r="R3915" s="114"/>
      <c r="S3915" s="114"/>
      <c r="T3915" s="114"/>
      <c r="U3915" s="114"/>
      <c r="V3915" s="114"/>
      <c r="W3915" s="114"/>
      <c r="X3915" s="114"/>
      <c r="Y3915" s="149"/>
      <c r="Z3915" s="183"/>
      <c r="AA3915" s="183"/>
      <c r="AB3915" s="183"/>
      <c r="AC3915" s="183"/>
      <c r="AD3915" s="183"/>
      <c r="AE3915" s="183"/>
      <c r="AF3915" s="184"/>
      <c r="AG3915" s="183"/>
      <c r="AH3915" s="183"/>
      <c r="AI3915" s="183"/>
      <c r="AJ3915" s="183"/>
      <c r="AK3915" s="183"/>
      <c r="AL3915" s="183"/>
      <c r="AM3915" s="183"/>
      <c r="AN3915" s="131"/>
      <c r="AO3915" s="131"/>
      <c r="AP3915" s="131"/>
      <c r="AQ3915" s="131"/>
      <c r="AR3915" s="288"/>
      <c r="AS3915" s="259"/>
      <c r="AT3915" s="183"/>
      <c r="AU3915" s="8"/>
      <c r="AV3915" s="6" t="str">
        <f t="shared" si="81"/>
        <v/>
      </c>
    </row>
    <row r="3916" spans="1:48" ht="46.9" thickBot="1" x14ac:dyDescent="0.5">
      <c r="A3916" s="35" t="s">
        <v>2653</v>
      </c>
      <c r="B3916" s="3" t="s">
        <v>3726</v>
      </c>
      <c r="C3916" s="12"/>
      <c r="D3916" s="20"/>
      <c r="E3916" s="20"/>
      <c r="F3916" s="4"/>
      <c r="G3916" s="12" t="s">
        <v>10</v>
      </c>
      <c r="H3916" s="20"/>
      <c r="J3916" s="18" t="s">
        <v>2473</v>
      </c>
      <c r="K3916" s="18" t="s">
        <v>2473</v>
      </c>
      <c r="Q3916" s="8" t="s">
        <v>3554</v>
      </c>
      <c r="R3916" s="122" t="s">
        <v>3529</v>
      </c>
      <c r="S3916" s="114" t="s">
        <v>4</v>
      </c>
      <c r="T3916" s="114" t="s">
        <v>2678</v>
      </c>
      <c r="U3916" s="114" t="s">
        <v>3521</v>
      </c>
      <c r="V3916" s="114" t="s">
        <v>3530</v>
      </c>
      <c r="W3916" s="114" t="s">
        <v>3436</v>
      </c>
      <c r="X3916" s="114" t="s">
        <v>13</v>
      </c>
      <c r="Y3916" s="149"/>
      <c r="Z3916" s="183" t="s">
        <v>4</v>
      </c>
      <c r="AA3916" s="183" t="s">
        <v>418</v>
      </c>
      <c r="AB3916" s="183" t="s">
        <v>758</v>
      </c>
      <c r="AC3916" s="183" t="s">
        <v>6</v>
      </c>
      <c r="AD3916" s="183" t="s">
        <v>4902</v>
      </c>
      <c r="AE3916" s="183"/>
      <c r="AF3916" s="184"/>
      <c r="AG3916" s="183"/>
      <c r="AH3916" s="183"/>
      <c r="AI3916" s="183"/>
      <c r="AJ3916" s="183"/>
      <c r="AK3916" s="183"/>
      <c r="AL3916" s="183"/>
      <c r="AM3916" s="183"/>
      <c r="AN3916" s="131"/>
      <c r="AO3916" s="131"/>
      <c r="AP3916" s="131"/>
      <c r="AQ3916" s="131"/>
      <c r="AR3916" s="288"/>
      <c r="AS3916" s="259"/>
      <c r="AT3916" s="183"/>
      <c r="AU3916" s="8"/>
      <c r="AV3916" s="6" t="str">
        <f t="shared" si="81"/>
        <v>OK</v>
      </c>
    </row>
    <row r="3917" spans="1:48" ht="70.150000000000006" thickBot="1" x14ac:dyDescent="0.5">
      <c r="A3917" s="35" t="s">
        <v>2720</v>
      </c>
      <c r="B3917" s="3" t="s">
        <v>4030</v>
      </c>
      <c r="C3917" s="12"/>
      <c r="D3917" s="20"/>
      <c r="E3917" s="20"/>
      <c r="F3917" s="4"/>
      <c r="G3917" s="12" t="s">
        <v>10</v>
      </c>
      <c r="H3917" s="20"/>
      <c r="J3917" s="18" t="s">
        <v>2473</v>
      </c>
      <c r="K3917" s="18" t="s">
        <v>2473</v>
      </c>
      <c r="Q3917" s="8" t="s">
        <v>3554</v>
      </c>
      <c r="R3917" s="122" t="s">
        <v>3529</v>
      </c>
      <c r="S3917" s="114" t="s">
        <v>4</v>
      </c>
      <c r="T3917" s="114" t="s">
        <v>2007</v>
      </c>
      <c r="U3917" s="114" t="s">
        <v>3521</v>
      </c>
      <c r="V3917" s="114" t="s">
        <v>3530</v>
      </c>
      <c r="W3917" s="114" t="s">
        <v>3436</v>
      </c>
      <c r="X3917" s="114" t="s">
        <v>13</v>
      </c>
      <c r="Y3917" s="149"/>
      <c r="Z3917" s="183" t="s">
        <v>4</v>
      </c>
      <c r="AA3917" s="183" t="s">
        <v>418</v>
      </c>
      <c r="AB3917" s="183" t="s">
        <v>758</v>
      </c>
      <c r="AC3917" s="183" t="s">
        <v>6</v>
      </c>
      <c r="AD3917" s="183" t="s">
        <v>5020</v>
      </c>
      <c r="AE3917" s="183"/>
      <c r="AF3917" s="184"/>
      <c r="AG3917" s="183"/>
      <c r="AH3917" s="183"/>
      <c r="AI3917" s="183"/>
      <c r="AJ3917" s="183"/>
      <c r="AK3917" s="183"/>
      <c r="AL3917" s="183"/>
      <c r="AM3917" s="183"/>
      <c r="AN3917" s="131"/>
      <c r="AO3917" s="131"/>
      <c r="AP3917" s="131"/>
      <c r="AQ3917" s="131"/>
      <c r="AR3917" s="288"/>
      <c r="AS3917" s="259"/>
      <c r="AT3917" s="183"/>
      <c r="AU3917" s="8"/>
      <c r="AV3917" s="6" t="str">
        <f t="shared" si="81"/>
        <v>OK</v>
      </c>
    </row>
    <row r="3918" spans="1:48" ht="93.4" thickBot="1" x14ac:dyDescent="0.5">
      <c r="A3918" s="35" t="s">
        <v>3424</v>
      </c>
      <c r="B3918" s="3" t="s">
        <v>3707</v>
      </c>
      <c r="C3918" s="12"/>
      <c r="D3918" s="20"/>
      <c r="E3918" s="20"/>
      <c r="F3918" s="4"/>
      <c r="G3918" s="12" t="s">
        <v>13</v>
      </c>
      <c r="H3918" s="20"/>
      <c r="J3918" s="18" t="s">
        <v>2473</v>
      </c>
      <c r="K3918" s="18" t="s">
        <v>2473</v>
      </c>
      <c r="Q3918" s="8" t="s">
        <v>3554</v>
      </c>
      <c r="R3918" s="122" t="s">
        <v>3529</v>
      </c>
      <c r="S3918" s="114" t="s">
        <v>4</v>
      </c>
      <c r="T3918" s="114" t="s">
        <v>3497</v>
      </c>
      <c r="U3918" s="114" t="s">
        <v>3521</v>
      </c>
      <c r="V3918" s="114" t="s">
        <v>3530</v>
      </c>
      <c r="W3918" s="114" t="s">
        <v>3436</v>
      </c>
      <c r="X3918" s="114" t="s">
        <v>13</v>
      </c>
      <c r="Y3918" s="149"/>
      <c r="Z3918" s="183" t="s">
        <v>4</v>
      </c>
      <c r="AA3918" s="183" t="s">
        <v>418</v>
      </c>
      <c r="AB3918" s="183" t="s">
        <v>758</v>
      </c>
      <c r="AC3918" s="183" t="s">
        <v>6</v>
      </c>
      <c r="AD3918" s="183" t="s">
        <v>4887</v>
      </c>
      <c r="AE3918" s="183"/>
      <c r="AF3918" s="184"/>
      <c r="AG3918" s="183"/>
      <c r="AH3918" s="183"/>
      <c r="AI3918" s="183"/>
      <c r="AJ3918" s="183"/>
      <c r="AK3918" s="183"/>
      <c r="AL3918" s="183"/>
      <c r="AM3918" s="183"/>
      <c r="AN3918" s="131"/>
      <c r="AO3918" s="131"/>
      <c r="AP3918" s="131"/>
      <c r="AQ3918" s="131"/>
      <c r="AR3918" s="288"/>
      <c r="AS3918" s="259"/>
      <c r="AT3918" s="183"/>
      <c r="AU3918" s="8"/>
      <c r="AV3918" s="6" t="str">
        <f t="shared" si="81"/>
        <v>OK</v>
      </c>
    </row>
    <row r="3919" spans="1:48" ht="58.5" thickBot="1" x14ac:dyDescent="0.5">
      <c r="A3919" s="35" t="s">
        <v>2079</v>
      </c>
      <c r="B3919" s="3" t="s">
        <v>4033</v>
      </c>
      <c r="C3919" s="4"/>
      <c r="D3919" s="4"/>
      <c r="E3919" s="4"/>
      <c r="F3919" s="4"/>
      <c r="G3919" s="4" t="s">
        <v>13</v>
      </c>
      <c r="H3919" s="4"/>
      <c r="J3919" s="18" t="s">
        <v>2473</v>
      </c>
      <c r="K3919" s="18" t="s">
        <v>2473</v>
      </c>
      <c r="Q3919" s="8" t="s">
        <v>3554</v>
      </c>
      <c r="R3919" s="122" t="s">
        <v>3529</v>
      </c>
      <c r="S3919" s="114" t="s">
        <v>4</v>
      </c>
      <c r="T3919" s="114" t="s">
        <v>1124</v>
      </c>
      <c r="U3919" s="114" t="s">
        <v>3521</v>
      </c>
      <c r="V3919" s="114" t="s">
        <v>3530</v>
      </c>
      <c r="W3919" s="114" t="s">
        <v>3436</v>
      </c>
      <c r="X3919" s="114" t="s">
        <v>13</v>
      </c>
      <c r="Y3919" s="149"/>
      <c r="Z3919" s="183" t="s">
        <v>4</v>
      </c>
      <c r="AA3919" s="183" t="s">
        <v>418</v>
      </c>
      <c r="AB3919" s="183" t="s">
        <v>4358</v>
      </c>
      <c r="AC3919" s="183" t="s">
        <v>6</v>
      </c>
      <c r="AD3919" s="183" t="s">
        <v>4822</v>
      </c>
      <c r="AE3919" s="183"/>
      <c r="AF3919" s="184"/>
      <c r="AG3919" s="183"/>
      <c r="AH3919" s="183"/>
      <c r="AI3919" s="183"/>
      <c r="AJ3919" s="183"/>
      <c r="AK3919" s="183"/>
      <c r="AL3919" s="183"/>
      <c r="AM3919" s="183"/>
      <c r="AN3919" s="131"/>
      <c r="AO3919" s="131"/>
      <c r="AP3919" s="131"/>
      <c r="AQ3919" s="131"/>
      <c r="AR3919" s="288"/>
      <c r="AS3919" s="259"/>
      <c r="AT3919" s="183"/>
      <c r="AU3919" s="6"/>
      <c r="AV3919" s="6" t="str">
        <f t="shared" si="81"/>
        <v>OK</v>
      </c>
    </row>
    <row r="3920" spans="1:48" ht="58.5" thickBot="1" x14ac:dyDescent="0.5">
      <c r="A3920" s="44" t="s">
        <v>116</v>
      </c>
      <c r="B3920" s="50" t="s">
        <v>4066</v>
      </c>
      <c r="C3920" s="14"/>
      <c r="D3920" s="20"/>
      <c r="E3920" s="14"/>
      <c r="F3920" s="20"/>
      <c r="G3920" s="14" t="s">
        <v>10</v>
      </c>
      <c r="H3920" s="20"/>
      <c r="J3920" s="18" t="s">
        <v>2473</v>
      </c>
      <c r="K3920" s="18" t="s">
        <v>2473</v>
      </c>
      <c r="R3920" s="122" t="s">
        <v>3435</v>
      </c>
      <c r="S3920" s="114" t="s">
        <v>3437</v>
      </c>
      <c r="T3920" s="114" t="s">
        <v>2894</v>
      </c>
      <c r="U3920" s="114"/>
      <c r="V3920" s="114" t="s">
        <v>3555</v>
      </c>
      <c r="W3920" s="114" t="s">
        <v>3436</v>
      </c>
      <c r="X3920" s="114" t="s">
        <v>13</v>
      </c>
      <c r="Y3920" s="149"/>
      <c r="Z3920" s="183" t="s">
        <v>4</v>
      </c>
      <c r="AA3920" s="183"/>
      <c r="AB3920" s="183" t="s">
        <v>4349</v>
      </c>
      <c r="AC3920" s="183"/>
      <c r="AD3920" s="183" t="s">
        <v>4903</v>
      </c>
      <c r="AE3920" s="183"/>
      <c r="AF3920" s="184"/>
      <c r="AG3920" s="183"/>
      <c r="AH3920" s="183"/>
      <c r="AI3920" s="183" t="str">
        <f>"true"</f>
        <v>true</v>
      </c>
      <c r="AJ3920" s="183"/>
      <c r="AK3920" s="183" t="s">
        <v>4450</v>
      </c>
      <c r="AL3920" s="183"/>
      <c r="AM3920" s="183"/>
      <c r="AN3920" s="131"/>
      <c r="AO3920" s="131"/>
      <c r="AP3920" s="131"/>
      <c r="AQ3920" s="131"/>
      <c r="AR3920" s="288"/>
      <c r="AS3920" s="259"/>
      <c r="AT3920" s="183"/>
      <c r="AV3920" s="6" t="str">
        <f t="shared" si="81"/>
        <v>ERROR</v>
      </c>
    </row>
    <row r="3921" spans="1:48" ht="14.65" thickBot="1" x14ac:dyDescent="0.5">
      <c r="A3921" s="41" t="s">
        <v>33</v>
      </c>
      <c r="B3921" s="50" t="s">
        <v>3686</v>
      </c>
      <c r="C3921" s="12"/>
      <c r="D3921" s="20"/>
      <c r="E3921" s="20"/>
      <c r="F3921" s="20"/>
      <c r="G3921" s="12"/>
      <c r="H3921" s="20"/>
      <c r="J3921" s="18" t="s">
        <v>2473</v>
      </c>
      <c r="K3921" s="18" t="s">
        <v>2473</v>
      </c>
      <c r="R3921" s="114"/>
      <c r="S3921" s="114"/>
      <c r="T3921" s="114"/>
      <c r="U3921" s="114"/>
      <c r="V3921" s="114"/>
      <c r="W3921" s="114"/>
      <c r="X3921" s="114"/>
      <c r="Y3921" s="149"/>
      <c r="Z3921" s="183"/>
      <c r="AA3921" s="183"/>
      <c r="AB3921" s="183"/>
      <c r="AC3921" s="183"/>
      <c r="AD3921" s="183"/>
      <c r="AE3921" s="183"/>
      <c r="AF3921" s="184"/>
      <c r="AG3921" s="183"/>
      <c r="AH3921" s="183"/>
      <c r="AI3921" s="183"/>
      <c r="AJ3921" s="183"/>
      <c r="AK3921" s="183"/>
      <c r="AL3921" s="183"/>
      <c r="AM3921" s="183"/>
      <c r="AN3921" s="131"/>
      <c r="AO3921" s="131"/>
      <c r="AP3921" s="131"/>
      <c r="AQ3921" s="131"/>
      <c r="AR3921" s="288"/>
      <c r="AS3921" s="259"/>
      <c r="AT3921" s="183"/>
      <c r="AV3921" s="6" t="str">
        <f t="shared" si="81"/>
        <v/>
      </c>
    </row>
    <row r="3922" spans="1:48" ht="14.65" thickBot="1" x14ac:dyDescent="0.5">
      <c r="A3922" s="35" t="s">
        <v>461</v>
      </c>
      <c r="B3922" s="3" t="s">
        <v>2883</v>
      </c>
      <c r="C3922" s="12"/>
      <c r="D3922" s="20"/>
      <c r="E3922" s="20"/>
      <c r="F3922" s="4"/>
      <c r="G3922" s="12"/>
      <c r="H3922" s="20"/>
      <c r="J3922" s="18" t="s">
        <v>2473</v>
      </c>
      <c r="K3922" s="18" t="s">
        <v>2473</v>
      </c>
      <c r="R3922" s="114"/>
      <c r="S3922" s="114"/>
      <c r="T3922" s="114"/>
      <c r="U3922" s="114"/>
      <c r="V3922" s="114"/>
      <c r="W3922" s="114"/>
      <c r="X3922" s="114"/>
      <c r="Y3922" s="149"/>
      <c r="Z3922" s="183"/>
      <c r="AA3922" s="183"/>
      <c r="AB3922" s="183"/>
      <c r="AC3922" s="183"/>
      <c r="AD3922" s="183"/>
      <c r="AE3922" s="183"/>
      <c r="AF3922" s="184"/>
      <c r="AG3922" s="183"/>
      <c r="AH3922" s="183"/>
      <c r="AI3922" s="183"/>
      <c r="AJ3922" s="183"/>
      <c r="AK3922" s="183"/>
      <c r="AL3922" s="183"/>
      <c r="AM3922" s="183"/>
      <c r="AN3922" s="131"/>
      <c r="AO3922" s="131"/>
      <c r="AP3922" s="131"/>
      <c r="AQ3922" s="131"/>
      <c r="AR3922" s="288"/>
      <c r="AS3922" s="259"/>
      <c r="AT3922" s="183"/>
      <c r="AU3922" s="8"/>
      <c r="AV3922" s="6" t="str">
        <f t="shared" si="81"/>
        <v/>
      </c>
    </row>
    <row r="3923" spans="1:48" ht="14.65" thickBot="1" x14ac:dyDescent="0.5">
      <c r="A3923" s="35" t="s">
        <v>424</v>
      </c>
      <c r="B3923" s="3" t="s">
        <v>2882</v>
      </c>
      <c r="C3923" s="12"/>
      <c r="D3923" s="20"/>
      <c r="E3923" s="20"/>
      <c r="F3923" s="4"/>
      <c r="G3923" s="12"/>
      <c r="H3923" s="20"/>
      <c r="J3923" s="18" t="s">
        <v>2473</v>
      </c>
      <c r="K3923" s="18" t="s">
        <v>2473</v>
      </c>
      <c r="R3923" s="114"/>
      <c r="S3923" s="114"/>
      <c r="T3923" s="114"/>
      <c r="U3923" s="114"/>
      <c r="V3923" s="114"/>
      <c r="W3923" s="114"/>
      <c r="X3923" s="114"/>
      <c r="Y3923" s="149"/>
      <c r="Z3923" s="183"/>
      <c r="AA3923" s="183"/>
      <c r="AB3923" s="183"/>
      <c r="AC3923" s="183"/>
      <c r="AD3923" s="183"/>
      <c r="AE3923" s="183"/>
      <c r="AF3923" s="184"/>
      <c r="AG3923" s="183"/>
      <c r="AH3923" s="183"/>
      <c r="AI3923" s="183"/>
      <c r="AJ3923" s="183"/>
      <c r="AK3923" s="183"/>
      <c r="AL3923" s="183"/>
      <c r="AM3923" s="183"/>
      <c r="AN3923" s="131"/>
      <c r="AO3923" s="131"/>
      <c r="AP3923" s="131"/>
      <c r="AQ3923" s="131"/>
      <c r="AR3923" s="288"/>
      <c r="AS3923" s="259"/>
      <c r="AT3923" s="183"/>
      <c r="AU3923" s="8"/>
      <c r="AV3923" s="6" t="str">
        <f t="shared" si="81"/>
        <v/>
      </c>
    </row>
    <row r="3924" spans="1:48" ht="47.65" thickBot="1" x14ac:dyDescent="0.5">
      <c r="A3924" s="35" t="s">
        <v>3419</v>
      </c>
      <c r="B3924" s="3" t="s">
        <v>3729</v>
      </c>
      <c r="C3924" s="12"/>
      <c r="D3924" s="20"/>
      <c r="E3924" s="20"/>
      <c r="F3924" s="4"/>
      <c r="G3924" s="12" t="s">
        <v>10</v>
      </c>
      <c r="H3924" s="20"/>
      <c r="J3924" s="18" t="s">
        <v>2473</v>
      </c>
      <c r="K3924" s="18" t="s">
        <v>2473</v>
      </c>
      <c r="Q3924" s="8" t="s">
        <v>3551</v>
      </c>
      <c r="R3924" s="122" t="s">
        <v>3529</v>
      </c>
      <c r="S3924" s="114" t="s">
        <v>4</v>
      </c>
      <c r="T3924" s="114" t="s">
        <v>3489</v>
      </c>
      <c r="U3924" s="114" t="s">
        <v>3521</v>
      </c>
      <c r="V3924" s="114" t="s">
        <v>3530</v>
      </c>
      <c r="W3924" s="114" t="s">
        <v>3436</v>
      </c>
      <c r="X3924" s="114" t="s">
        <v>13</v>
      </c>
      <c r="Y3924" s="149"/>
      <c r="Z3924" s="183" t="s">
        <v>4</v>
      </c>
      <c r="AA3924" s="183" t="s">
        <v>116</v>
      </c>
      <c r="AB3924" s="183" t="s">
        <v>758</v>
      </c>
      <c r="AC3924" s="183" t="s">
        <v>6</v>
      </c>
      <c r="AD3924" s="183" t="s">
        <v>4904</v>
      </c>
      <c r="AE3924" s="183"/>
      <c r="AF3924" s="184"/>
      <c r="AG3924" s="183"/>
      <c r="AH3924" s="183"/>
      <c r="AI3924" s="183"/>
      <c r="AJ3924" s="183"/>
      <c r="AK3924" s="183"/>
      <c r="AL3924" s="183"/>
      <c r="AM3924" s="183"/>
      <c r="AN3924" s="131"/>
      <c r="AO3924" s="131"/>
      <c r="AP3924" s="131"/>
      <c r="AQ3924" s="131"/>
      <c r="AR3924" s="288"/>
      <c r="AS3924" s="259"/>
      <c r="AT3924" s="183"/>
      <c r="AU3924" s="8"/>
      <c r="AV3924" s="6" t="str">
        <f t="shared" si="81"/>
        <v>OK</v>
      </c>
    </row>
    <row r="3925" spans="1:48" ht="105" thickBot="1" x14ac:dyDescent="0.5">
      <c r="A3925" s="35" t="s">
        <v>157</v>
      </c>
      <c r="B3925" s="3" t="s">
        <v>3727</v>
      </c>
      <c r="C3925" s="12"/>
      <c r="D3925" s="20"/>
      <c r="E3925" s="20"/>
      <c r="F3925" s="4"/>
      <c r="G3925" s="12" t="s">
        <v>10</v>
      </c>
      <c r="H3925" s="20"/>
      <c r="J3925" s="18" t="s">
        <v>2473</v>
      </c>
      <c r="K3925" s="18" t="s">
        <v>2473</v>
      </c>
      <c r="Q3925" s="8" t="s">
        <v>3555</v>
      </c>
      <c r="R3925" s="122" t="s">
        <v>3529</v>
      </c>
      <c r="S3925" s="114" t="s">
        <v>4</v>
      </c>
      <c r="T3925" s="114" t="s">
        <v>3490</v>
      </c>
      <c r="U3925" s="114" t="s">
        <v>3521</v>
      </c>
      <c r="V3925" s="114" t="s">
        <v>3530</v>
      </c>
      <c r="W3925" s="114" t="s">
        <v>3436</v>
      </c>
      <c r="X3925" s="114" t="s">
        <v>13</v>
      </c>
      <c r="Y3925" s="149"/>
      <c r="Z3925" s="183" t="s">
        <v>4</v>
      </c>
      <c r="AA3925" s="183" t="s">
        <v>116</v>
      </c>
      <c r="AB3925" s="183" t="s">
        <v>758</v>
      </c>
      <c r="AC3925" s="183" t="s">
        <v>6</v>
      </c>
      <c r="AD3925" s="183" t="s">
        <v>5021</v>
      </c>
      <c r="AE3925" s="183"/>
      <c r="AF3925" s="184"/>
      <c r="AG3925" s="183"/>
      <c r="AH3925" s="183"/>
      <c r="AI3925" s="183"/>
      <c r="AJ3925" s="183"/>
      <c r="AK3925" s="183"/>
      <c r="AL3925" s="183"/>
      <c r="AM3925" s="183"/>
      <c r="AN3925" s="131"/>
      <c r="AO3925" s="131"/>
      <c r="AP3925" s="131"/>
      <c r="AQ3925" s="131"/>
      <c r="AR3925" s="288"/>
      <c r="AS3925" s="259"/>
      <c r="AT3925" s="183"/>
      <c r="AU3925" s="8"/>
      <c r="AV3925" s="6" t="str">
        <f t="shared" si="81"/>
        <v>OK</v>
      </c>
    </row>
    <row r="3926" spans="1:48" ht="58.5" thickBot="1" x14ac:dyDescent="0.5">
      <c r="A3926" s="35" t="s">
        <v>2718</v>
      </c>
      <c r="B3926" s="3" t="s">
        <v>3701</v>
      </c>
      <c r="C3926" s="12"/>
      <c r="D3926" s="20"/>
      <c r="E3926" s="20"/>
      <c r="F3926" s="4"/>
      <c r="G3926" s="12" t="s">
        <v>10</v>
      </c>
      <c r="H3926" s="20"/>
      <c r="J3926" s="18" t="s">
        <v>2473</v>
      </c>
      <c r="K3926" s="18" t="s">
        <v>2473</v>
      </c>
      <c r="Q3926" s="8" t="s">
        <v>3555</v>
      </c>
      <c r="R3926" s="122" t="s">
        <v>3529</v>
      </c>
      <c r="S3926" s="114" t="s">
        <v>4</v>
      </c>
      <c r="T3926" s="114" t="s">
        <v>3491</v>
      </c>
      <c r="U3926" s="114" t="s">
        <v>3521</v>
      </c>
      <c r="V3926" s="114" t="s">
        <v>3530</v>
      </c>
      <c r="W3926" s="114" t="s">
        <v>3436</v>
      </c>
      <c r="X3926" s="114" t="s">
        <v>13</v>
      </c>
      <c r="Y3926" s="149"/>
      <c r="Z3926" s="183" t="s">
        <v>4</v>
      </c>
      <c r="AA3926" s="183" t="s">
        <v>116</v>
      </c>
      <c r="AB3926" s="183" t="s">
        <v>758</v>
      </c>
      <c r="AC3926" s="183" t="s">
        <v>6</v>
      </c>
      <c r="AD3926" s="183" t="s">
        <v>4905</v>
      </c>
      <c r="AE3926" s="183"/>
      <c r="AF3926" s="184"/>
      <c r="AG3926" s="183"/>
      <c r="AH3926" s="183"/>
      <c r="AI3926" s="183"/>
      <c r="AJ3926" s="183"/>
      <c r="AK3926" s="183"/>
      <c r="AL3926" s="183"/>
      <c r="AM3926" s="183"/>
      <c r="AN3926" s="131"/>
      <c r="AO3926" s="131"/>
      <c r="AP3926" s="131"/>
      <c r="AQ3926" s="131"/>
      <c r="AR3926" s="288"/>
      <c r="AS3926" s="259"/>
      <c r="AT3926" s="183"/>
      <c r="AU3926" s="8"/>
      <c r="AV3926" s="6" t="str">
        <f t="shared" si="81"/>
        <v>OK</v>
      </c>
    </row>
    <row r="3927" spans="1:48" ht="70.150000000000006" thickBot="1" x14ac:dyDescent="0.5">
      <c r="A3927" s="35" t="s">
        <v>2719</v>
      </c>
      <c r="B3927" s="3" t="s">
        <v>3702</v>
      </c>
      <c r="C3927" s="12"/>
      <c r="D3927" s="20"/>
      <c r="E3927" s="20"/>
      <c r="F3927" s="4"/>
      <c r="G3927" s="12" t="s">
        <v>10</v>
      </c>
      <c r="H3927" s="20"/>
      <c r="J3927" s="18" t="s">
        <v>2473</v>
      </c>
      <c r="K3927" s="18" t="s">
        <v>2473</v>
      </c>
      <c r="Q3927" s="8" t="s">
        <v>3555</v>
      </c>
      <c r="R3927" s="122" t="s">
        <v>3529</v>
      </c>
      <c r="S3927" s="114" t="s">
        <v>4</v>
      </c>
      <c r="T3927" s="114" t="s">
        <v>3492</v>
      </c>
      <c r="U3927" s="114" t="s">
        <v>3521</v>
      </c>
      <c r="V3927" s="114" t="s">
        <v>3530</v>
      </c>
      <c r="W3927" s="114" t="s">
        <v>3436</v>
      </c>
      <c r="X3927" s="114" t="s">
        <v>13</v>
      </c>
      <c r="Y3927" s="149"/>
      <c r="Z3927" s="183" t="s">
        <v>4</v>
      </c>
      <c r="AA3927" s="183" t="s">
        <v>116</v>
      </c>
      <c r="AB3927" s="183" t="s">
        <v>758</v>
      </c>
      <c r="AC3927" s="183" t="s">
        <v>6</v>
      </c>
      <c r="AD3927" s="183" t="s">
        <v>4906</v>
      </c>
      <c r="AE3927" s="183"/>
      <c r="AF3927" s="184"/>
      <c r="AG3927" s="183"/>
      <c r="AH3927" s="183"/>
      <c r="AI3927" s="183"/>
      <c r="AJ3927" s="183"/>
      <c r="AK3927" s="183"/>
      <c r="AL3927" s="183"/>
      <c r="AM3927" s="183"/>
      <c r="AN3927" s="131"/>
      <c r="AO3927" s="131"/>
      <c r="AP3927" s="131"/>
      <c r="AQ3927" s="131"/>
      <c r="AR3927" s="288"/>
      <c r="AS3927" s="259"/>
      <c r="AT3927" s="183"/>
      <c r="AU3927" s="8"/>
      <c r="AV3927" s="6" t="str">
        <f t="shared" si="81"/>
        <v>OK</v>
      </c>
    </row>
    <row r="3928" spans="1:48" ht="70.150000000000006" thickBot="1" x14ac:dyDescent="0.5">
      <c r="A3928" s="35" t="s">
        <v>2721</v>
      </c>
      <c r="B3928" s="3" t="s">
        <v>3703</v>
      </c>
      <c r="C3928" s="12"/>
      <c r="D3928" s="20"/>
      <c r="E3928" s="20"/>
      <c r="F3928" s="4"/>
      <c r="G3928" s="12" t="s">
        <v>37</v>
      </c>
      <c r="H3928" s="20"/>
      <c r="J3928" s="18" t="s">
        <v>2473</v>
      </c>
      <c r="K3928" s="18" t="s">
        <v>2473</v>
      </c>
      <c r="Q3928" s="8" t="s">
        <v>3555</v>
      </c>
      <c r="R3928" s="122" t="s">
        <v>3529</v>
      </c>
      <c r="S3928" s="114" t="s">
        <v>4</v>
      </c>
      <c r="T3928" s="114" t="s">
        <v>3493</v>
      </c>
      <c r="U3928" s="114" t="s">
        <v>3521</v>
      </c>
      <c r="V3928" s="114" t="s">
        <v>3530</v>
      </c>
      <c r="W3928" s="114" t="s">
        <v>3436</v>
      </c>
      <c r="X3928" s="114" t="s">
        <v>13</v>
      </c>
      <c r="Y3928" s="149"/>
      <c r="Z3928" s="183" t="s">
        <v>4</v>
      </c>
      <c r="AA3928" s="183" t="s">
        <v>116</v>
      </c>
      <c r="AB3928" s="183" t="s">
        <v>758</v>
      </c>
      <c r="AC3928" s="183" t="s">
        <v>6</v>
      </c>
      <c r="AD3928" s="183" t="s">
        <v>4907</v>
      </c>
      <c r="AE3928" s="183"/>
      <c r="AF3928" s="184"/>
      <c r="AG3928" s="183"/>
      <c r="AH3928" s="183"/>
      <c r="AI3928" s="183"/>
      <c r="AJ3928" s="183"/>
      <c r="AK3928" s="183"/>
      <c r="AL3928" s="183"/>
      <c r="AM3928" s="183"/>
      <c r="AN3928" s="131"/>
      <c r="AO3928" s="131"/>
      <c r="AP3928" s="131"/>
      <c r="AQ3928" s="131"/>
      <c r="AR3928" s="288"/>
      <c r="AS3928" s="259"/>
      <c r="AT3928" s="183"/>
      <c r="AU3928" s="8"/>
      <c r="AV3928" s="6" t="str">
        <f t="shared" si="81"/>
        <v>OK</v>
      </c>
    </row>
    <row r="3929" spans="1:48" ht="58.5" thickBot="1" x14ac:dyDescent="0.5">
      <c r="A3929" s="35" t="s">
        <v>2895</v>
      </c>
      <c r="B3929" s="3" t="s">
        <v>3704</v>
      </c>
      <c r="C3929" s="12"/>
      <c r="D3929" s="20"/>
      <c r="E3929" s="20"/>
      <c r="F3929" s="4"/>
      <c r="G3929" s="12" t="s">
        <v>37</v>
      </c>
      <c r="H3929" s="20"/>
      <c r="J3929" s="18" t="s">
        <v>2473</v>
      </c>
      <c r="K3929" s="18" t="s">
        <v>2473</v>
      </c>
      <c r="Q3929" s="8" t="s">
        <v>3555</v>
      </c>
      <c r="R3929" s="122" t="s">
        <v>3529</v>
      </c>
      <c r="S3929" s="114" t="s">
        <v>4</v>
      </c>
      <c r="T3929" s="114" t="s">
        <v>3494</v>
      </c>
      <c r="U3929" s="114" t="s">
        <v>3521</v>
      </c>
      <c r="V3929" s="114" t="s">
        <v>3530</v>
      </c>
      <c r="W3929" s="114" t="s">
        <v>3436</v>
      </c>
      <c r="X3929" s="114" t="s">
        <v>13</v>
      </c>
      <c r="Y3929" s="149"/>
      <c r="Z3929" s="183" t="s">
        <v>4</v>
      </c>
      <c r="AA3929" s="183" t="s">
        <v>116</v>
      </c>
      <c r="AB3929" s="183" t="s">
        <v>4358</v>
      </c>
      <c r="AC3929" s="183" t="s">
        <v>6</v>
      </c>
      <c r="AD3929" s="183" t="s">
        <v>4908</v>
      </c>
      <c r="AE3929" s="183"/>
      <c r="AF3929" s="184"/>
      <c r="AG3929" s="183"/>
      <c r="AH3929" s="183"/>
      <c r="AI3929" s="183"/>
      <c r="AJ3929" s="183"/>
      <c r="AK3929" s="183"/>
      <c r="AL3929" s="183"/>
      <c r="AM3929" s="183"/>
      <c r="AN3929" s="131"/>
      <c r="AO3929" s="131"/>
      <c r="AP3929" s="131"/>
      <c r="AQ3929" s="131"/>
      <c r="AR3929" s="288"/>
      <c r="AS3929" s="259"/>
      <c r="AT3929" s="183"/>
      <c r="AU3929" s="8"/>
      <c r="AV3929" s="6" t="str">
        <f t="shared" si="81"/>
        <v>OK</v>
      </c>
    </row>
    <row r="3930" spans="1:48" ht="58.5" thickBot="1" x14ac:dyDescent="0.5">
      <c r="A3930" s="35" t="s">
        <v>3420</v>
      </c>
      <c r="B3930" s="3" t="s">
        <v>3730</v>
      </c>
      <c r="C3930" s="12"/>
      <c r="D3930" s="20"/>
      <c r="E3930" s="20"/>
      <c r="F3930" s="4"/>
      <c r="G3930" s="12" t="s">
        <v>10</v>
      </c>
      <c r="H3930" s="20"/>
      <c r="J3930" s="18" t="s">
        <v>2473</v>
      </c>
      <c r="K3930" s="18" t="s">
        <v>2473</v>
      </c>
      <c r="Q3930" s="8" t="s">
        <v>3551</v>
      </c>
      <c r="R3930" s="122" t="s">
        <v>3529</v>
      </c>
      <c r="S3930" s="114" t="s">
        <v>4</v>
      </c>
      <c r="T3930" s="114" t="s">
        <v>3495</v>
      </c>
      <c r="U3930" s="114" t="s">
        <v>3521</v>
      </c>
      <c r="V3930" s="114" t="s">
        <v>3530</v>
      </c>
      <c r="W3930" s="114" t="s">
        <v>3436</v>
      </c>
      <c r="X3930" s="114" t="s">
        <v>13</v>
      </c>
      <c r="Y3930" s="149"/>
      <c r="Z3930" s="183" t="s">
        <v>4</v>
      </c>
      <c r="AA3930" s="183" t="s">
        <v>116</v>
      </c>
      <c r="AB3930" s="183" t="s">
        <v>4358</v>
      </c>
      <c r="AC3930" s="183" t="s">
        <v>6</v>
      </c>
      <c r="AD3930" s="183" t="s">
        <v>4909</v>
      </c>
      <c r="AE3930" s="183"/>
      <c r="AF3930" s="184"/>
      <c r="AG3930" s="183"/>
      <c r="AH3930" s="183"/>
      <c r="AI3930" s="183"/>
      <c r="AJ3930" s="183"/>
      <c r="AK3930" s="183"/>
      <c r="AL3930" s="183"/>
      <c r="AM3930" s="183"/>
      <c r="AN3930" s="131"/>
      <c r="AO3930" s="131"/>
      <c r="AP3930" s="131"/>
      <c r="AQ3930" s="131"/>
      <c r="AR3930" s="288"/>
      <c r="AS3930" s="259"/>
      <c r="AT3930" s="183"/>
      <c r="AU3930" s="8"/>
      <c r="AV3930" s="6" t="str">
        <f t="shared" si="81"/>
        <v>OK</v>
      </c>
    </row>
    <row r="3931" spans="1:48" ht="47.65" thickBot="1" x14ac:dyDescent="0.5">
      <c r="A3931" s="35" t="s">
        <v>3421</v>
      </c>
      <c r="B3931" s="3" t="s">
        <v>3731</v>
      </c>
      <c r="C3931" s="12"/>
      <c r="D3931" s="20"/>
      <c r="E3931" s="20"/>
      <c r="F3931" s="4"/>
      <c r="G3931" s="12" t="s">
        <v>37</v>
      </c>
      <c r="H3931" s="20"/>
      <c r="J3931" s="18" t="s">
        <v>2473</v>
      </c>
      <c r="K3931" s="18" t="s">
        <v>2473</v>
      </c>
      <c r="Q3931" s="8" t="s">
        <v>3551</v>
      </c>
      <c r="R3931" s="122" t="s">
        <v>3529</v>
      </c>
      <c r="S3931" s="114" t="s">
        <v>4</v>
      </c>
      <c r="T3931" s="114" t="s">
        <v>1281</v>
      </c>
      <c r="U3931" s="114" t="s">
        <v>3521</v>
      </c>
      <c r="V3931" s="114" t="s">
        <v>3530</v>
      </c>
      <c r="W3931" s="114" t="s">
        <v>3436</v>
      </c>
      <c r="X3931" s="114" t="s">
        <v>13</v>
      </c>
      <c r="Y3931" s="149"/>
      <c r="Z3931" s="183" t="s">
        <v>4</v>
      </c>
      <c r="AA3931" s="183" t="s">
        <v>116</v>
      </c>
      <c r="AB3931" s="183" t="s">
        <v>758</v>
      </c>
      <c r="AC3931" s="183" t="s">
        <v>6</v>
      </c>
      <c r="AD3931" s="183" t="s">
        <v>4910</v>
      </c>
      <c r="AE3931" s="183"/>
      <c r="AF3931" s="184"/>
      <c r="AG3931" s="183"/>
      <c r="AH3931" s="183"/>
      <c r="AI3931" s="183"/>
      <c r="AJ3931" s="183"/>
      <c r="AK3931" s="183"/>
      <c r="AL3931" s="183"/>
      <c r="AM3931" s="183"/>
      <c r="AN3931" s="131"/>
      <c r="AO3931" s="131"/>
      <c r="AP3931" s="131"/>
      <c r="AQ3931" s="131"/>
      <c r="AR3931" s="288"/>
      <c r="AS3931" s="259"/>
      <c r="AT3931" s="183"/>
      <c r="AU3931" s="8"/>
      <c r="AV3931" s="6" t="str">
        <f t="shared" si="81"/>
        <v>OK</v>
      </c>
    </row>
    <row r="3932" spans="1:48" ht="70.150000000000006" thickBot="1" x14ac:dyDescent="0.5">
      <c r="A3932" s="35" t="s">
        <v>2079</v>
      </c>
      <c r="B3932" s="3" t="s">
        <v>3666</v>
      </c>
      <c r="C3932" s="4"/>
      <c r="D3932" s="4"/>
      <c r="E3932" s="4"/>
      <c r="F3932" s="4"/>
      <c r="G3932" s="4" t="s">
        <v>13</v>
      </c>
      <c r="H3932" s="4"/>
      <c r="J3932" s="18" t="s">
        <v>2473</v>
      </c>
      <c r="K3932" s="18" t="s">
        <v>2473</v>
      </c>
      <c r="Q3932" s="8" t="s">
        <v>3555</v>
      </c>
      <c r="R3932" s="122" t="s">
        <v>3529</v>
      </c>
      <c r="S3932" s="114" t="s">
        <v>4</v>
      </c>
      <c r="T3932" s="114" t="s">
        <v>1124</v>
      </c>
      <c r="U3932" s="114" t="s">
        <v>3521</v>
      </c>
      <c r="V3932" s="114" t="s">
        <v>3530</v>
      </c>
      <c r="W3932" s="114" t="s">
        <v>3436</v>
      </c>
      <c r="X3932" s="114" t="s">
        <v>13</v>
      </c>
      <c r="Y3932" s="149"/>
      <c r="Z3932" s="183" t="s">
        <v>4</v>
      </c>
      <c r="AA3932" s="183" t="s">
        <v>116</v>
      </c>
      <c r="AB3932" s="183" t="s">
        <v>4358</v>
      </c>
      <c r="AC3932" s="183" t="s">
        <v>6</v>
      </c>
      <c r="AD3932" s="183" t="s">
        <v>4821</v>
      </c>
      <c r="AE3932" s="183"/>
      <c r="AF3932" s="184"/>
      <c r="AG3932" s="183"/>
      <c r="AH3932" s="183"/>
      <c r="AI3932" s="183"/>
      <c r="AJ3932" s="183"/>
      <c r="AK3932" s="183"/>
      <c r="AL3932" s="183"/>
      <c r="AM3932" s="183"/>
      <c r="AN3932" s="131"/>
      <c r="AO3932" s="131"/>
      <c r="AP3932" s="131"/>
      <c r="AQ3932" s="131"/>
      <c r="AR3932" s="288"/>
      <c r="AS3932" s="259"/>
      <c r="AT3932" s="183"/>
      <c r="AU3932" s="6"/>
      <c r="AV3932" s="6" t="str">
        <f t="shared" si="81"/>
        <v>OK</v>
      </c>
    </row>
    <row r="3933" spans="1:48" ht="105" thickBot="1" x14ac:dyDescent="0.5">
      <c r="A3933" s="44" t="s">
        <v>2893</v>
      </c>
      <c r="B3933" s="50" t="s">
        <v>3979</v>
      </c>
      <c r="C3933" s="12"/>
      <c r="D3933" s="20"/>
      <c r="E3933" s="12"/>
      <c r="F3933" s="20"/>
      <c r="G3933" s="12" t="s">
        <v>37</v>
      </c>
      <c r="H3933" s="20"/>
      <c r="J3933" s="18" t="s">
        <v>2473</v>
      </c>
      <c r="K3933" s="18" t="s">
        <v>2473</v>
      </c>
      <c r="R3933" s="122" t="s">
        <v>3529</v>
      </c>
      <c r="S3933" s="114" t="s">
        <v>4</v>
      </c>
      <c r="T3933" s="114" t="s">
        <v>2893</v>
      </c>
      <c r="U3933" s="114" t="s">
        <v>3521</v>
      </c>
      <c r="V3933" s="114" t="s">
        <v>3530</v>
      </c>
      <c r="W3933" s="114" t="s">
        <v>3436</v>
      </c>
      <c r="X3933" s="114" t="s">
        <v>13</v>
      </c>
      <c r="Y3933" s="149"/>
      <c r="Z3933" s="183" t="s">
        <v>4</v>
      </c>
      <c r="AA3933" s="183"/>
      <c r="AB3933" s="183" t="s">
        <v>758</v>
      </c>
      <c r="AC3933" s="183" t="s">
        <v>6</v>
      </c>
      <c r="AD3933" s="183" t="s">
        <v>5019</v>
      </c>
      <c r="AE3933" s="183"/>
      <c r="AF3933" s="184"/>
      <c r="AG3933" s="183"/>
      <c r="AH3933" s="183"/>
      <c r="AI3933" s="183"/>
      <c r="AJ3933" s="183"/>
      <c r="AK3933" s="183"/>
      <c r="AL3933" s="183"/>
      <c r="AM3933" s="183"/>
      <c r="AN3933" s="131"/>
      <c r="AO3933" s="131"/>
      <c r="AP3933" s="131"/>
      <c r="AQ3933" s="131"/>
      <c r="AR3933" s="288"/>
      <c r="AS3933" s="259"/>
      <c r="AT3933" s="183"/>
      <c r="AV3933" s="6" t="str">
        <f t="shared" si="81"/>
        <v>OK</v>
      </c>
    </row>
    <row r="3934" spans="1:48" ht="139.9" thickBot="1" x14ac:dyDescent="0.5">
      <c r="A3934" s="44" t="s">
        <v>3615</v>
      </c>
      <c r="B3934" s="50" t="s">
        <v>3971</v>
      </c>
      <c r="C3934" s="12"/>
      <c r="D3934" s="20"/>
      <c r="E3934" s="12"/>
      <c r="F3934" s="20"/>
      <c r="G3934" s="12" t="s">
        <v>37</v>
      </c>
      <c r="H3934" s="104" t="s">
        <v>13</v>
      </c>
      <c r="J3934" s="18" t="s">
        <v>2473</v>
      </c>
      <c r="K3934" s="18" t="s">
        <v>2473</v>
      </c>
      <c r="R3934" s="122" t="s">
        <v>3529</v>
      </c>
      <c r="S3934" s="114" t="s">
        <v>4</v>
      </c>
      <c r="T3934" s="114" t="s">
        <v>3616</v>
      </c>
      <c r="U3934" s="114" t="s">
        <v>3521</v>
      </c>
      <c r="V3934" s="114" t="s">
        <v>3530</v>
      </c>
      <c r="W3934" s="114" t="s">
        <v>3436</v>
      </c>
      <c r="X3934" s="114" t="s">
        <v>13</v>
      </c>
      <c r="Y3934" s="149"/>
      <c r="Z3934" s="183" t="s">
        <v>4</v>
      </c>
      <c r="AA3934" s="183"/>
      <c r="AB3934" s="183" t="s">
        <v>758</v>
      </c>
      <c r="AC3934" s="183" t="s">
        <v>4346</v>
      </c>
      <c r="AD3934" s="183" t="s">
        <v>4911</v>
      </c>
      <c r="AE3934" s="183"/>
      <c r="AF3934" s="184"/>
      <c r="AG3934" s="183"/>
      <c r="AH3934" s="183"/>
      <c r="AI3934" s="183"/>
      <c r="AJ3934" s="183"/>
      <c r="AK3934" s="183"/>
      <c r="AL3934" s="183"/>
      <c r="AM3934" s="183"/>
      <c r="AN3934" s="131"/>
      <c r="AO3934" s="131"/>
      <c r="AP3934" s="131"/>
      <c r="AQ3934" s="131"/>
      <c r="AR3934" s="288"/>
      <c r="AS3934" s="259"/>
      <c r="AT3934" s="183"/>
      <c r="AV3934" s="6" t="str">
        <f t="shared" si="81"/>
        <v>OK</v>
      </c>
    </row>
    <row r="3935" spans="1:48" ht="14.65" thickBot="1" x14ac:dyDescent="0.5">
      <c r="A3935" s="36" t="s">
        <v>753</v>
      </c>
      <c r="B3935" s="3" t="s">
        <v>60</v>
      </c>
      <c r="C3935" s="4"/>
      <c r="D3935" s="4"/>
      <c r="E3935" s="4"/>
      <c r="F3935" s="4"/>
      <c r="G3935" s="4"/>
      <c r="H3935" s="4"/>
      <c r="J3935" s="18" t="s">
        <v>2473</v>
      </c>
      <c r="K3935" s="18" t="s">
        <v>2473</v>
      </c>
      <c r="AE3935" s="183"/>
      <c r="AU3935" s="8"/>
      <c r="AV3935" s="6" t="str">
        <f t="shared" si="81"/>
        <v/>
      </c>
    </row>
    <row r="3936" spans="1:48" ht="105" thickBot="1" x14ac:dyDescent="0.5">
      <c r="A3936" s="43" t="s">
        <v>145</v>
      </c>
      <c r="B3936" s="22" t="s">
        <v>3732</v>
      </c>
      <c r="C3936" s="20"/>
      <c r="D3936" s="20"/>
      <c r="E3936" s="20"/>
      <c r="F3936" s="20"/>
      <c r="G3936" s="20" t="s">
        <v>10</v>
      </c>
      <c r="H3936" s="20"/>
      <c r="J3936" s="18" t="s">
        <v>2473</v>
      </c>
      <c r="K3936" s="18" t="s">
        <v>2473</v>
      </c>
      <c r="R3936" s="122" t="s">
        <v>3435</v>
      </c>
      <c r="S3936" s="114" t="s">
        <v>3437</v>
      </c>
      <c r="T3936" s="114" t="s">
        <v>145</v>
      </c>
      <c r="U3936" s="114"/>
      <c r="V3936" s="114" t="s">
        <v>3441</v>
      </c>
      <c r="W3936" s="114" t="s">
        <v>3436</v>
      </c>
      <c r="X3936" s="114" t="s">
        <v>13</v>
      </c>
      <c r="Y3936" s="149"/>
      <c r="Z3936" s="183" t="s">
        <v>4</v>
      </c>
      <c r="AA3936" s="183"/>
      <c r="AB3936" s="183" t="s">
        <v>4359</v>
      </c>
      <c r="AC3936" s="183"/>
      <c r="AD3936" s="183" t="s">
        <v>4770</v>
      </c>
      <c r="AE3936" s="183"/>
      <c r="AF3936" s="184"/>
      <c r="AG3936" s="183"/>
      <c r="AH3936" s="183"/>
      <c r="AI3936" s="183"/>
      <c r="AJ3936" s="183"/>
      <c r="AK3936" s="183"/>
      <c r="AL3936" s="183"/>
      <c r="AM3936" s="183"/>
      <c r="AN3936" s="131"/>
      <c r="AO3936" s="131"/>
      <c r="AP3936" s="131"/>
      <c r="AQ3936" s="131"/>
      <c r="AR3936" s="288"/>
      <c r="AS3936" s="266" t="s">
        <v>5861</v>
      </c>
      <c r="AT3936" s="183"/>
      <c r="AV3936" s="6" t="str">
        <f t="shared" si="81"/>
        <v>OK</v>
      </c>
    </row>
    <row r="3937" spans="1:48" ht="47.65" thickBot="1" x14ac:dyDescent="0.5">
      <c r="A3937" s="35" t="s">
        <v>5361</v>
      </c>
      <c r="B3937" s="3" t="s">
        <v>5352</v>
      </c>
      <c r="C3937" s="20"/>
      <c r="D3937" s="20"/>
      <c r="E3937" s="20"/>
      <c r="F3937" s="20"/>
      <c r="G3937" s="4" t="s">
        <v>10</v>
      </c>
      <c r="H3937" s="4"/>
      <c r="J3937" s="18" t="s">
        <v>2473</v>
      </c>
      <c r="K3937" s="18" t="s">
        <v>2473</v>
      </c>
      <c r="Q3937" s="131"/>
      <c r="R3937" s="131"/>
      <c r="S3937" s="131"/>
      <c r="T3937" s="131"/>
      <c r="U3937" s="131"/>
      <c r="V3937" s="131"/>
      <c r="W3937" s="131"/>
      <c r="X3937" s="131"/>
      <c r="AS3937" s="139" t="s">
        <v>5355</v>
      </c>
      <c r="AU3937" s="6"/>
      <c r="AV3937" s="6"/>
    </row>
    <row r="3938" spans="1:48" ht="82.5" thickBot="1" x14ac:dyDescent="0.5">
      <c r="A3938" s="35" t="s">
        <v>5360</v>
      </c>
      <c r="B3938" s="3" t="s">
        <v>5353</v>
      </c>
      <c r="C3938" s="4"/>
      <c r="D3938" s="4"/>
      <c r="E3938" s="4"/>
      <c r="F3938" s="4"/>
      <c r="G3938" s="4"/>
      <c r="H3938" s="4"/>
      <c r="J3938" s="18" t="s">
        <v>2473</v>
      </c>
      <c r="K3938" s="18" t="s">
        <v>2473</v>
      </c>
      <c r="Q3938" s="131"/>
      <c r="R3938" s="131"/>
      <c r="S3938" s="131"/>
      <c r="T3938" s="131"/>
      <c r="U3938" s="131"/>
      <c r="V3938" s="131"/>
      <c r="W3938" s="131"/>
      <c r="X3938" s="131"/>
      <c r="AS3938" s="139" t="s">
        <v>5356</v>
      </c>
      <c r="AU3938" s="6"/>
      <c r="AV3938" s="6"/>
    </row>
    <row r="3939" spans="1:48" x14ac:dyDescent="0.45">
      <c r="A3939" s="33" t="s">
        <v>2373</v>
      </c>
      <c r="J3939" s="18" t="s">
        <v>2473</v>
      </c>
      <c r="K3939" s="18" t="s">
        <v>2473</v>
      </c>
      <c r="AE3939" s="183"/>
      <c r="AU3939" s="8"/>
      <c r="AV3939" s="6" t="str">
        <f t="shared" si="81"/>
        <v/>
      </c>
    </row>
    <row r="3940" spans="1:48" x14ac:dyDescent="0.45">
      <c r="A3940" s="34" t="s">
        <v>3624</v>
      </c>
      <c r="J3940" s="18" t="s">
        <v>2473</v>
      </c>
      <c r="K3940" s="18" t="s">
        <v>2473</v>
      </c>
      <c r="AU3940" s="8"/>
      <c r="AV3940" s="6" t="str">
        <f t="shared" si="81"/>
        <v/>
      </c>
    </row>
    <row r="3941" spans="1:48" s="79" customFormat="1" ht="14.65" thickBot="1" x14ac:dyDescent="0.5">
      <c r="A3941" s="75"/>
      <c r="B3941" s="76"/>
      <c r="C3941" s="77"/>
      <c r="D3941" s="77"/>
      <c r="E3941" s="77"/>
      <c r="F3941" s="77"/>
      <c r="G3941" s="77"/>
      <c r="H3941" s="77"/>
      <c r="I3941" s="77"/>
      <c r="J3941" s="77"/>
      <c r="K3941" s="77"/>
      <c r="L3941" s="77"/>
      <c r="M3941" s="148"/>
      <c r="N3941" s="78"/>
      <c r="O3941" s="78"/>
      <c r="P3941" s="78"/>
      <c r="Q3941" s="78"/>
      <c r="R3941" s="78"/>
      <c r="S3941" s="78"/>
      <c r="T3941" s="78"/>
      <c r="U3941" s="78"/>
      <c r="V3941" s="78"/>
      <c r="W3941" s="78"/>
      <c r="X3941" s="78"/>
      <c r="Y3941" s="148"/>
      <c r="Z3941" s="78"/>
      <c r="AA3941" s="78"/>
      <c r="AB3941" s="78"/>
      <c r="AC3941" s="78"/>
      <c r="AD3941" s="78"/>
      <c r="AE3941" s="156"/>
      <c r="AF3941" s="156"/>
      <c r="AG3941" s="78"/>
      <c r="AH3941" s="78"/>
      <c r="AI3941" s="78"/>
      <c r="AJ3941" s="78"/>
      <c r="AK3941" s="78"/>
      <c r="AL3941" s="78"/>
      <c r="AM3941" s="78"/>
      <c r="AN3941" s="78"/>
      <c r="AO3941" s="78"/>
      <c r="AP3941" s="78"/>
      <c r="AQ3941" s="78"/>
      <c r="AR3941" s="286"/>
      <c r="AS3941" s="78"/>
      <c r="AT3941" s="78"/>
      <c r="AU3941" s="8"/>
      <c r="AV3941" s="6" t="str">
        <f t="shared" si="81"/>
        <v/>
      </c>
    </row>
    <row r="3942" spans="1:48" ht="14.65" thickBot="1" x14ac:dyDescent="0.5">
      <c r="A3942" s="39" t="s">
        <v>3632</v>
      </c>
      <c r="J3942" s="18" t="s">
        <v>2473</v>
      </c>
      <c r="K3942" s="18" t="s">
        <v>2473</v>
      </c>
      <c r="L3942" s="18" t="s">
        <v>3627</v>
      </c>
      <c r="R3942" s="111" t="s">
        <v>3426</v>
      </c>
      <c r="S3942" s="349" t="s">
        <v>823</v>
      </c>
      <c r="T3942" s="350"/>
      <c r="U3942" s="350"/>
      <c r="V3942" s="350"/>
      <c r="W3942" s="350"/>
      <c r="X3942" s="351"/>
      <c r="Y3942" s="118"/>
      <c r="Z3942" s="183"/>
      <c r="AA3942" s="101"/>
      <c r="AB3942" s="185"/>
      <c r="AC3942" s="185"/>
      <c r="AD3942" s="185"/>
      <c r="AE3942" s="186"/>
      <c r="AF3942" s="186"/>
      <c r="AG3942" s="185"/>
      <c r="AH3942" s="185"/>
      <c r="AI3942" s="185"/>
      <c r="AJ3942" s="185"/>
      <c r="AK3942" s="185"/>
      <c r="AL3942" s="185"/>
      <c r="AM3942" s="185"/>
      <c r="AN3942" s="117"/>
      <c r="AO3942" s="117"/>
      <c r="AP3942" s="117"/>
      <c r="AQ3942" s="117"/>
      <c r="AR3942" s="287"/>
      <c r="AS3942" s="258"/>
      <c r="AT3942" s="185"/>
      <c r="AV3942" s="6" t="str">
        <f t="shared" si="81"/>
        <v/>
      </c>
    </row>
    <row r="3943" spans="1:48" ht="35.25" thickBot="1" x14ac:dyDescent="0.5">
      <c r="A3943" s="226" t="s">
        <v>5348</v>
      </c>
      <c r="B3943" s="227"/>
      <c r="J3943" s="18" t="s">
        <v>2473</v>
      </c>
      <c r="K3943" s="18" t="s">
        <v>2473</v>
      </c>
      <c r="R3943" s="122" t="s">
        <v>3427</v>
      </c>
      <c r="S3943" s="352" t="s">
        <v>3452</v>
      </c>
      <c r="T3943" s="353"/>
      <c r="U3943" s="353"/>
      <c r="V3943" s="353"/>
      <c r="W3943" s="353"/>
      <c r="X3943" s="354"/>
      <c r="Y3943" s="149"/>
      <c r="Z3943" s="183" t="s">
        <v>4347</v>
      </c>
      <c r="AA3943" s="183" t="s">
        <v>2322</v>
      </c>
      <c r="AB3943" s="183" t="s">
        <v>1697</v>
      </c>
      <c r="AC3943" s="183" t="s">
        <v>5</v>
      </c>
      <c r="AD3943" s="183" t="s">
        <v>4339</v>
      </c>
      <c r="AE3943" s="184" t="s">
        <v>4338</v>
      </c>
      <c r="AF3943" s="184" t="s">
        <v>4350</v>
      </c>
      <c r="AG3943" s="183" t="s">
        <v>1695</v>
      </c>
      <c r="AH3943" s="183" t="s">
        <v>4351</v>
      </c>
      <c r="AI3943" s="8" t="s">
        <v>4455</v>
      </c>
      <c r="AJ3943" s="183" t="s">
        <v>5051</v>
      </c>
      <c r="AK3943" s="183"/>
      <c r="AL3943" s="183"/>
      <c r="AM3943" s="183"/>
      <c r="AN3943" s="131"/>
      <c r="AO3943" s="131"/>
      <c r="AP3943" s="131"/>
      <c r="AQ3943" s="131"/>
      <c r="AR3943" s="288"/>
      <c r="AS3943" s="259"/>
      <c r="AT3943" s="235" t="s">
        <v>5310</v>
      </c>
      <c r="AV3943" s="6" t="str">
        <f t="shared" si="81"/>
        <v/>
      </c>
    </row>
    <row r="3944" spans="1:48" ht="151.5" thickBot="1" x14ac:dyDescent="0.5">
      <c r="A3944" s="315" t="s">
        <v>4369</v>
      </c>
      <c r="B3944" s="316"/>
      <c r="C3944" s="301" t="s">
        <v>1</v>
      </c>
      <c r="D3944" s="319"/>
      <c r="E3944" s="319"/>
      <c r="F3944" s="302"/>
      <c r="G3944" s="102"/>
      <c r="H3944" s="102"/>
      <c r="J3944" s="18" t="s">
        <v>2473</v>
      </c>
      <c r="K3944" s="18" t="s">
        <v>2473</v>
      </c>
      <c r="R3944" s="122" t="s">
        <v>3428</v>
      </c>
      <c r="S3944" s="352" t="b">
        <v>0</v>
      </c>
      <c r="T3944" s="353"/>
      <c r="U3944" s="353"/>
      <c r="V3944" s="353"/>
      <c r="W3944" s="353"/>
      <c r="X3944" s="354"/>
      <c r="Y3944" s="149"/>
      <c r="Z3944" s="183" t="s">
        <v>2322</v>
      </c>
      <c r="AA3944" s="183" t="str">
        <f>LEFT($A3944,FIND(" ",$A3944)-1)</f>
        <v>DistributedControlNode</v>
      </c>
      <c r="AB3944" s="183" t="str">
        <f>MID($A3944,FIND("(",$A3944)+1,LEN($A3944)-FIND("(",$A3944)-1)</f>
        <v>1.0.0</v>
      </c>
      <c r="AC3944" s="101" t="str">
        <f>A3943</f>
        <v>Resource to describe an O-PAS Distributed Control Node.</v>
      </c>
      <c r="AD3944" s="101" t="s">
        <v>5066</v>
      </c>
      <c r="AE3944" s="253" t="s">
        <v>5889</v>
      </c>
      <c r="AF3944" s="184" t="s">
        <v>4352</v>
      </c>
      <c r="AG3944" s="183" t="s">
        <v>4357</v>
      </c>
      <c r="AH3944" s="183" t="s">
        <v>4352</v>
      </c>
      <c r="AI3944" s="183" t="s">
        <v>5248</v>
      </c>
      <c r="AJ3944" s="183"/>
      <c r="AK3944" s="183"/>
      <c r="AL3944" s="183"/>
      <c r="AM3944" s="183"/>
      <c r="AN3944" s="131"/>
      <c r="AO3944" s="131"/>
      <c r="AP3944" s="131"/>
      <c r="AQ3944" s="131"/>
      <c r="AR3944" s="288"/>
      <c r="AS3944" s="259"/>
      <c r="AT3944" s="183"/>
      <c r="AU3944" s="202" t="s">
        <v>5891</v>
      </c>
      <c r="AV3944" s="6" t="str">
        <f t="shared" si="81"/>
        <v/>
      </c>
    </row>
    <row r="3945" spans="1:48" ht="24.4" thickBot="1" x14ac:dyDescent="0.5">
      <c r="A3945" s="317"/>
      <c r="B3945" s="318"/>
      <c r="C3945" s="301" t="s">
        <v>2</v>
      </c>
      <c r="D3945" s="302"/>
      <c r="E3945" s="301" t="s">
        <v>3</v>
      </c>
      <c r="F3945" s="302"/>
      <c r="G3945" s="301" t="s">
        <v>2896</v>
      </c>
      <c r="H3945" s="302"/>
      <c r="J3945" s="18" t="s">
        <v>2473</v>
      </c>
      <c r="K3945" s="18" t="s">
        <v>2473</v>
      </c>
      <c r="R3945" s="115"/>
      <c r="S3945" s="115"/>
      <c r="T3945" s="115"/>
      <c r="U3945" s="115"/>
      <c r="V3945" s="115"/>
      <c r="W3945" s="115"/>
      <c r="X3945" s="116"/>
      <c r="Y3945" s="149"/>
      <c r="Z3945" s="183"/>
      <c r="AA3945" s="183"/>
      <c r="AB3945" s="183"/>
      <c r="AC3945" s="183"/>
      <c r="AD3945" s="183"/>
      <c r="AE3945" s="184"/>
      <c r="AF3945" s="184"/>
      <c r="AG3945" s="183"/>
      <c r="AH3945" s="183"/>
      <c r="AI3945" s="183"/>
      <c r="AJ3945" s="183"/>
      <c r="AK3945" s="183"/>
      <c r="AL3945" s="183"/>
      <c r="AM3945" s="8" t="str">
        <f>C3945</f>
        <v>OSM-Redfish</v>
      </c>
      <c r="AN3945" s="8" t="str">
        <f>E3945</f>
        <v>OSM-RedfishBMC</v>
      </c>
      <c r="AO3945" s="8" t="str">
        <f>G3945</f>
        <v>OSM-RedfishDCN</v>
      </c>
      <c r="AP3945" s="131"/>
      <c r="AQ3945" s="131"/>
      <c r="AR3945" s="288"/>
      <c r="AS3945" s="259"/>
      <c r="AT3945" s="183"/>
      <c r="AV3945" s="6" t="str">
        <f t="shared" si="81"/>
        <v/>
      </c>
    </row>
    <row r="3946" spans="1:48" ht="14.65" thickBot="1" x14ac:dyDescent="0.5">
      <c r="A3946" s="46" t="s">
        <v>2377</v>
      </c>
      <c r="B3946" s="47"/>
      <c r="C3946" s="303"/>
      <c r="D3946" s="304"/>
      <c r="E3946" s="303"/>
      <c r="F3946" s="304"/>
      <c r="G3946" s="303" t="s">
        <v>10</v>
      </c>
      <c r="H3946" s="304"/>
      <c r="J3946" s="18" t="s">
        <v>2473</v>
      </c>
      <c r="K3946" s="18" t="s">
        <v>2473</v>
      </c>
      <c r="R3946" s="129"/>
      <c r="S3946" s="117"/>
      <c r="T3946" s="117"/>
      <c r="U3946" s="117"/>
      <c r="V3946" s="117"/>
      <c r="W3946" s="117"/>
      <c r="X3946" s="118"/>
      <c r="Y3946" s="118"/>
      <c r="Z3946" s="185"/>
      <c r="AA3946" s="185"/>
      <c r="AB3946" s="185"/>
      <c r="AC3946" s="185"/>
      <c r="AD3946" s="185"/>
      <c r="AE3946" s="186"/>
      <c r="AF3946" s="186"/>
      <c r="AG3946" s="185"/>
      <c r="AH3946" s="185"/>
      <c r="AI3946" s="185"/>
      <c r="AJ3946" s="185"/>
      <c r="AK3946" s="185"/>
      <c r="AL3946" s="185"/>
      <c r="AM3946" s="8" t="str">
        <f>IF(C3946&lt;&gt;"","CRQ-P5-"&amp;(AM$2+$AP3946*$AP$3),"")</f>
        <v/>
      </c>
      <c r="AN3946" s="8" t="str">
        <f>IF(E3946&lt;&gt;"","CRQ-P5-"&amp;(AN$2+$AP3946*$AP$3),"")</f>
        <v/>
      </c>
      <c r="AO3946" s="8" t="str">
        <f>IF(G3946&lt;&gt;"","CRQ-P5-"&amp;(AO$2+$AP3946*$AP$3),"")</f>
        <v>CRQ-P5-1660</v>
      </c>
      <c r="AP3946" s="117">
        <v>15</v>
      </c>
      <c r="AQ3946" s="117"/>
      <c r="AR3946" s="287"/>
      <c r="AS3946" s="258"/>
      <c r="AT3946" s="185"/>
      <c r="AU3946" s="6"/>
      <c r="AV3946" s="6" t="str">
        <f t="shared" si="81"/>
        <v/>
      </c>
    </row>
    <row r="3947" spans="1:48" ht="14.65" thickBot="1" x14ac:dyDescent="0.5">
      <c r="A3947" s="29" t="s">
        <v>3394</v>
      </c>
      <c r="B3947" s="9"/>
      <c r="C3947" s="305"/>
      <c r="D3947" s="306"/>
      <c r="E3947" s="305"/>
      <c r="F3947" s="306"/>
      <c r="G3947" s="305" t="s">
        <v>3395</v>
      </c>
      <c r="H3947" s="306"/>
      <c r="J3947" s="18" t="s">
        <v>2473</v>
      </c>
      <c r="K3947" s="18" t="s">
        <v>2473</v>
      </c>
      <c r="R3947" s="111" t="s">
        <v>3429</v>
      </c>
      <c r="S3947" s="111" t="s">
        <v>3430</v>
      </c>
      <c r="T3947" s="111" t="s">
        <v>3427</v>
      </c>
      <c r="U3947" s="111" t="s">
        <v>3431</v>
      </c>
      <c r="V3947" s="111" t="s">
        <v>3432</v>
      </c>
      <c r="W3947" s="111" t="s">
        <v>3433</v>
      </c>
      <c r="X3947" s="119" t="s">
        <v>3434</v>
      </c>
      <c r="Y3947" s="118"/>
      <c r="Z3947" s="185"/>
      <c r="AA3947" s="185"/>
      <c r="AB3947" s="185"/>
      <c r="AC3947" s="185"/>
      <c r="AD3947" s="185"/>
      <c r="AE3947" s="186"/>
      <c r="AF3947" s="186"/>
      <c r="AG3947" s="185"/>
      <c r="AH3947" s="185"/>
      <c r="AI3947" s="185"/>
      <c r="AJ3947" s="185"/>
      <c r="AK3947" s="185"/>
      <c r="AL3947" s="185"/>
      <c r="AM3947" s="185"/>
      <c r="AN3947" s="117"/>
      <c r="AO3947" s="117"/>
      <c r="AP3947" s="117"/>
      <c r="AQ3947" s="117"/>
      <c r="AR3947" s="287"/>
      <c r="AS3947" s="258"/>
      <c r="AT3947" s="185"/>
      <c r="AU3947" s="6"/>
      <c r="AV3947" s="6" t="str">
        <f t="shared" si="81"/>
        <v/>
      </c>
    </row>
    <row r="3948" spans="1:48" ht="15" customHeight="1" thickBot="1" x14ac:dyDescent="0.5">
      <c r="A3948" s="30" t="s">
        <v>4</v>
      </c>
      <c r="B3948" s="59" t="s">
        <v>5</v>
      </c>
      <c r="C3948" s="7" t="s">
        <v>6</v>
      </c>
      <c r="D3948" s="7" t="s">
        <v>7</v>
      </c>
      <c r="E3948" s="7" t="s">
        <v>6</v>
      </c>
      <c r="F3948" s="7" t="s">
        <v>7</v>
      </c>
      <c r="G3948" s="7" t="s">
        <v>6</v>
      </c>
      <c r="H3948" s="7" t="s">
        <v>7</v>
      </c>
      <c r="J3948" s="18" t="s">
        <v>2473</v>
      </c>
      <c r="K3948" s="18" t="s">
        <v>2473</v>
      </c>
      <c r="R3948" s="352" t="s">
        <v>4040</v>
      </c>
      <c r="S3948" s="353"/>
      <c r="T3948" s="353"/>
      <c r="U3948" s="353"/>
      <c r="V3948" s="353"/>
      <c r="W3948" s="353"/>
      <c r="X3948" s="357"/>
      <c r="Y3948" s="149"/>
      <c r="Z3948" s="183" t="s">
        <v>4347</v>
      </c>
      <c r="AA3948" s="183" t="s">
        <v>4343</v>
      </c>
      <c r="AB3948" s="183" t="s">
        <v>4172</v>
      </c>
      <c r="AC3948" s="183" t="s">
        <v>4340</v>
      </c>
      <c r="AD3948" s="183" t="s">
        <v>4339</v>
      </c>
      <c r="AE3948" s="184" t="s">
        <v>4341</v>
      </c>
      <c r="AF3948" s="184" t="s">
        <v>4342</v>
      </c>
      <c r="AG3948" s="183" t="s">
        <v>4353</v>
      </c>
      <c r="AH3948" s="183" t="s">
        <v>3429</v>
      </c>
      <c r="AI3948" s="183" t="s">
        <v>4356</v>
      </c>
      <c r="AJ3948" s="183" t="s">
        <v>4364</v>
      </c>
      <c r="AK3948" s="183" t="s">
        <v>4441</v>
      </c>
      <c r="AL3948" s="183" t="s">
        <v>694</v>
      </c>
      <c r="AM3948" s="183"/>
      <c r="AN3948" s="131"/>
      <c r="AO3948" s="131"/>
      <c r="AP3948" s="131"/>
      <c r="AQ3948" s="131"/>
      <c r="AR3948" s="288"/>
      <c r="AS3948" s="259"/>
      <c r="AT3948" s="183"/>
      <c r="AV3948" s="6" t="str">
        <f t="shared" si="81"/>
        <v/>
      </c>
    </row>
    <row r="3949" spans="1:48" ht="14.65" thickBot="1" x14ac:dyDescent="0.5">
      <c r="A3949" s="36" t="s">
        <v>8</v>
      </c>
      <c r="B3949" s="3" t="s">
        <v>3393</v>
      </c>
      <c r="C3949" s="51"/>
      <c r="D3949" s="51"/>
      <c r="E3949" s="51"/>
      <c r="F3949" s="51"/>
      <c r="G3949" s="51"/>
      <c r="H3949" s="51"/>
      <c r="J3949" s="18" t="s">
        <v>2473</v>
      </c>
      <c r="K3949" s="18" t="s">
        <v>2473</v>
      </c>
      <c r="L3949" s="18" t="s">
        <v>2336</v>
      </c>
      <c r="Z3949" s="8" t="s">
        <v>4</v>
      </c>
      <c r="AB3949" s="8" t="s">
        <v>4348</v>
      </c>
      <c r="AV3949" s="6" t="str">
        <f t="shared" si="81"/>
        <v/>
      </c>
    </row>
    <row r="3950" spans="1:48" ht="46.9" thickBot="1" x14ac:dyDescent="0.5">
      <c r="A3950" s="43" t="s">
        <v>5307</v>
      </c>
      <c r="B3950" s="22" t="s">
        <v>5344</v>
      </c>
      <c r="C3950" s="4"/>
      <c r="D3950" s="20"/>
      <c r="E3950" s="20"/>
      <c r="F3950" s="20"/>
      <c r="G3950" s="20" t="s">
        <v>10</v>
      </c>
      <c r="H3950" s="20"/>
      <c r="J3950" s="18" t="s">
        <v>2473</v>
      </c>
      <c r="K3950" s="18" t="s">
        <v>2473</v>
      </c>
      <c r="R3950" s="122" t="s">
        <v>3435</v>
      </c>
      <c r="S3950" s="114" t="s">
        <v>4</v>
      </c>
      <c r="T3950" s="114" t="s">
        <v>5303</v>
      </c>
      <c r="U3950" s="114" t="s">
        <v>3521</v>
      </c>
      <c r="V3950" s="114" t="s">
        <v>3530</v>
      </c>
      <c r="W3950" s="114" t="s">
        <v>3436</v>
      </c>
      <c r="X3950" s="114" t="s">
        <v>13</v>
      </c>
      <c r="Y3950" s="149"/>
      <c r="Z3950" s="183" t="s">
        <v>4</v>
      </c>
      <c r="AA3950" s="183"/>
      <c r="AB3950" s="183" t="s">
        <v>5985</v>
      </c>
      <c r="AC3950" s="183" t="s">
        <v>6</v>
      </c>
      <c r="AD3950" s="183" t="s">
        <v>5309</v>
      </c>
      <c r="AE3950" s="184"/>
      <c r="AF3950" s="184"/>
      <c r="AG3950" s="183"/>
      <c r="AH3950" s="183"/>
      <c r="AI3950" s="183"/>
      <c r="AJ3950" s="183"/>
      <c r="AK3950" s="183"/>
      <c r="AL3950" s="183"/>
      <c r="AM3950" s="183"/>
      <c r="AN3950" s="131"/>
      <c r="AO3950" s="131"/>
      <c r="AP3950" s="131"/>
      <c r="AQ3950" s="131"/>
      <c r="AR3950" s="288"/>
      <c r="AS3950" s="259"/>
      <c r="AT3950" s="236" t="s">
        <v>5308</v>
      </c>
      <c r="AV3950" s="6" t="str">
        <f t="shared" si="81"/>
        <v>ERROR</v>
      </c>
    </row>
    <row r="3951" spans="1:48" ht="139.9" thickBot="1" x14ac:dyDescent="0.5">
      <c r="A3951" s="44" t="s">
        <v>3614</v>
      </c>
      <c r="B3951" s="50" t="s">
        <v>3994</v>
      </c>
      <c r="C3951" s="12"/>
      <c r="D3951" s="12"/>
      <c r="E3951" s="20"/>
      <c r="F3951" s="20"/>
      <c r="G3951" s="12"/>
      <c r="H3951" s="12"/>
      <c r="R3951" s="122" t="s">
        <v>3529</v>
      </c>
      <c r="S3951" s="114" t="s">
        <v>4</v>
      </c>
      <c r="T3951" s="114" t="s">
        <v>3614</v>
      </c>
      <c r="U3951" s="114" t="s">
        <v>3521</v>
      </c>
      <c r="V3951" s="114" t="s">
        <v>3530</v>
      </c>
      <c r="W3951" s="114" t="s">
        <v>3436</v>
      </c>
      <c r="X3951" s="114" t="s">
        <v>13</v>
      </c>
      <c r="Y3951" s="149"/>
      <c r="Z3951" s="183"/>
      <c r="AA3951" s="183"/>
      <c r="AB3951" s="183" t="s">
        <v>758</v>
      </c>
      <c r="AC3951" s="183" t="s">
        <v>6</v>
      </c>
      <c r="AD3951" s="183" t="s">
        <v>4913</v>
      </c>
      <c r="AE3951" s="184"/>
      <c r="AF3951" s="184"/>
      <c r="AG3951" s="183"/>
      <c r="AH3951" s="183"/>
      <c r="AI3951" s="183"/>
      <c r="AJ3951" s="183"/>
      <c r="AK3951" s="183"/>
      <c r="AL3951" s="183"/>
      <c r="AM3951" s="183"/>
      <c r="AN3951" s="131"/>
      <c r="AO3951" s="131"/>
      <c r="AP3951" s="131"/>
      <c r="AQ3951" s="131"/>
      <c r="AR3951" s="288"/>
      <c r="AS3951" s="259"/>
      <c r="AT3951" s="237" t="s">
        <v>5345</v>
      </c>
      <c r="AV3951" s="6" t="str">
        <f t="shared" si="81"/>
        <v>OK</v>
      </c>
    </row>
    <row r="3952" spans="1:48" ht="40.9" thickBot="1" x14ac:dyDescent="0.5">
      <c r="A3952" s="278" t="s">
        <v>5947</v>
      </c>
      <c r="B3952" s="279" t="s">
        <v>5952</v>
      </c>
      <c r="C3952" s="20"/>
      <c r="D3952" s="20"/>
      <c r="E3952" s="20"/>
      <c r="F3952" s="20"/>
      <c r="G3952" s="282" t="s">
        <v>10</v>
      </c>
      <c r="H3952" s="20"/>
      <c r="K3952" s="276" t="s">
        <v>2473</v>
      </c>
      <c r="R3952" s="122" t="s">
        <v>3435</v>
      </c>
      <c r="S3952" s="114" t="s">
        <v>3437</v>
      </c>
      <c r="T3952" s="114" t="s">
        <v>2722</v>
      </c>
      <c r="U3952" s="114"/>
      <c r="V3952" s="114" t="s">
        <v>4166</v>
      </c>
      <c r="W3952" s="114" t="s">
        <v>3436</v>
      </c>
      <c r="X3952" s="114" t="s">
        <v>13</v>
      </c>
      <c r="Y3952" s="149"/>
      <c r="Z3952" s="273" t="s">
        <v>4</v>
      </c>
      <c r="AA3952" s="273"/>
      <c r="AB3952" s="273" t="s">
        <v>4348</v>
      </c>
      <c r="AC3952" s="273" t="s">
        <v>6</v>
      </c>
      <c r="AD3952" s="283" t="s">
        <v>5952</v>
      </c>
      <c r="AE3952" s="184"/>
      <c r="AF3952" s="184"/>
      <c r="AG3952" s="183"/>
      <c r="AH3952" s="183"/>
      <c r="AI3952" s="183"/>
      <c r="AJ3952" s="183"/>
      <c r="AK3952" s="273" t="s">
        <v>5972</v>
      </c>
      <c r="AL3952" s="183"/>
      <c r="AM3952" s="183"/>
      <c r="AN3952" s="131"/>
      <c r="AO3952" s="131"/>
      <c r="AP3952" s="131"/>
      <c r="AQ3952" s="131"/>
      <c r="AR3952" s="293" t="s">
        <v>5953</v>
      </c>
      <c r="AS3952" s="259"/>
      <c r="AT3952" s="183"/>
      <c r="AV3952" s="6" t="str">
        <f t="shared" ref="AV3952:AV3954" si="83">IF(A3952&lt;&gt;"",IF(T3952&lt;&gt;"",IF(LEFT(R3952,3)="Has",IF(TRIM(A3952)&lt;&gt;T3952,"ERROR","OK"),""),""),"")</f>
        <v>ERROR</v>
      </c>
    </row>
    <row r="3953" spans="1:48" ht="163.15" thickBot="1" x14ac:dyDescent="0.5">
      <c r="A3953" s="280" t="s">
        <v>5948</v>
      </c>
      <c r="B3953" s="281" t="s">
        <v>5951</v>
      </c>
      <c r="C3953" s="12"/>
      <c r="D3953" s="12"/>
      <c r="E3953" s="20"/>
      <c r="F3953" s="20"/>
      <c r="G3953" s="275" t="s">
        <v>10</v>
      </c>
      <c r="H3953" s="12"/>
      <c r="K3953" s="276" t="s">
        <v>2473</v>
      </c>
      <c r="Q3953" s="8" t="s">
        <v>4166</v>
      </c>
      <c r="R3953" s="122" t="s">
        <v>3529</v>
      </c>
      <c r="S3953" s="114" t="s">
        <v>4</v>
      </c>
      <c r="T3953" s="114" t="s">
        <v>2636</v>
      </c>
      <c r="U3953" s="114" t="s">
        <v>3521</v>
      </c>
      <c r="V3953" s="114" t="s">
        <v>3530</v>
      </c>
      <c r="W3953" s="114" t="s">
        <v>3436</v>
      </c>
      <c r="X3953" s="114" t="s">
        <v>13</v>
      </c>
      <c r="Y3953" s="149"/>
      <c r="Z3953" s="273" t="s">
        <v>4</v>
      </c>
      <c r="AA3953" s="273" t="s">
        <v>5947</v>
      </c>
      <c r="AB3953" s="273" t="s">
        <v>5971</v>
      </c>
      <c r="AC3953" s="273" t="s">
        <v>6</v>
      </c>
      <c r="AD3953" s="281" t="s">
        <v>5951</v>
      </c>
      <c r="AE3953" s="184"/>
      <c r="AF3953" s="184"/>
      <c r="AG3953" s="183"/>
      <c r="AH3953" s="183"/>
      <c r="AI3953" s="183"/>
      <c r="AJ3953" s="183"/>
      <c r="AK3953" s="183"/>
      <c r="AL3953" s="183"/>
      <c r="AM3953" s="183"/>
      <c r="AN3953" s="131"/>
      <c r="AO3953" s="131"/>
      <c r="AP3953" s="131"/>
      <c r="AQ3953" s="131"/>
      <c r="AR3953" s="293" t="s">
        <v>5953</v>
      </c>
      <c r="AS3953" s="259"/>
      <c r="AT3953" s="183"/>
      <c r="AV3953" s="6" t="str">
        <f t="shared" ref="AV3953" si="84">IF(A3953&lt;&gt;"",IF(T3953&lt;&gt;"",IF(LEFT(R3953,3)="Has",IF(TRIM(A3953)&lt;&gt;T3953,"ERROR","OK"),""),""),"")</f>
        <v>ERROR</v>
      </c>
    </row>
    <row r="3954" spans="1:48" ht="105" thickBot="1" x14ac:dyDescent="0.5">
      <c r="A3954" s="280" t="s">
        <v>5949</v>
      </c>
      <c r="B3954" s="281" t="s">
        <v>5950</v>
      </c>
      <c r="C3954" s="12"/>
      <c r="D3954" s="12"/>
      <c r="E3954" s="20"/>
      <c r="F3954" s="20"/>
      <c r="G3954" s="275" t="s">
        <v>37</v>
      </c>
      <c r="H3954" s="12"/>
      <c r="K3954" s="276" t="s">
        <v>2473</v>
      </c>
      <c r="Q3954" s="8" t="s">
        <v>4166</v>
      </c>
      <c r="R3954" s="122" t="s">
        <v>3529</v>
      </c>
      <c r="S3954" s="114" t="s">
        <v>4</v>
      </c>
      <c r="T3954" s="114" t="s">
        <v>2636</v>
      </c>
      <c r="U3954" s="114" t="s">
        <v>3521</v>
      </c>
      <c r="V3954" s="114" t="s">
        <v>3530</v>
      </c>
      <c r="W3954" s="114" t="s">
        <v>3436</v>
      </c>
      <c r="X3954" s="114" t="s">
        <v>13</v>
      </c>
      <c r="Y3954" s="149"/>
      <c r="Z3954" s="273" t="s">
        <v>4</v>
      </c>
      <c r="AA3954" s="273" t="s">
        <v>5947</v>
      </c>
      <c r="AB3954" s="273" t="s">
        <v>5971</v>
      </c>
      <c r="AC3954" s="273" t="s">
        <v>6</v>
      </c>
      <c r="AD3954" s="281" t="s">
        <v>6005</v>
      </c>
      <c r="AE3954" s="184"/>
      <c r="AF3954" s="184"/>
      <c r="AG3954" s="183"/>
      <c r="AH3954" s="183"/>
      <c r="AI3954" s="183"/>
      <c r="AJ3954" s="183"/>
      <c r="AK3954" s="183"/>
      <c r="AL3954" s="183"/>
      <c r="AM3954" s="183"/>
      <c r="AN3954" s="131"/>
      <c r="AO3954" s="131"/>
      <c r="AP3954" s="131"/>
      <c r="AQ3954" s="131"/>
      <c r="AR3954" s="293" t="s">
        <v>6007</v>
      </c>
      <c r="AS3954" s="259"/>
      <c r="AT3954" s="183"/>
      <c r="AV3954" s="6" t="str">
        <f t="shared" si="83"/>
        <v>ERROR</v>
      </c>
    </row>
    <row r="3955" spans="1:48" ht="163.15" thickBot="1" x14ac:dyDescent="0.5">
      <c r="A3955" s="278" t="s">
        <v>208</v>
      </c>
      <c r="B3955" s="281" t="s">
        <v>5989</v>
      </c>
      <c r="C3955" s="12"/>
      <c r="D3955" s="12"/>
      <c r="E3955" s="20"/>
      <c r="F3955" s="20"/>
      <c r="G3955" s="275" t="s">
        <v>10</v>
      </c>
      <c r="H3955" s="12"/>
      <c r="K3955" s="276" t="s">
        <v>2473</v>
      </c>
      <c r="R3955" s="122"/>
      <c r="S3955" s="114"/>
      <c r="T3955" s="114"/>
      <c r="U3955" s="114"/>
      <c r="V3955" s="114"/>
      <c r="W3955" s="114"/>
      <c r="X3955" s="114"/>
      <c r="Y3955" s="149"/>
      <c r="Z3955" s="273" t="s">
        <v>4</v>
      </c>
      <c r="AA3955" s="273"/>
      <c r="AB3955" s="273" t="s">
        <v>4348</v>
      </c>
      <c r="AC3955" s="273" t="s">
        <v>6</v>
      </c>
      <c r="AD3955" s="281" t="s">
        <v>5989</v>
      </c>
      <c r="AE3955" s="184"/>
      <c r="AF3955" s="184"/>
      <c r="AG3955" s="183"/>
      <c r="AH3955" s="183"/>
      <c r="AI3955" s="183"/>
      <c r="AJ3955" s="183"/>
      <c r="AK3955" s="183"/>
      <c r="AL3955" s="183"/>
      <c r="AM3955" s="183"/>
      <c r="AN3955" s="131"/>
      <c r="AO3955" s="131"/>
      <c r="AP3955" s="131"/>
      <c r="AQ3955" s="131"/>
      <c r="AR3955" s="293" t="s">
        <v>6008</v>
      </c>
      <c r="AS3955" s="259"/>
      <c r="AT3955" s="183"/>
      <c r="AV3955" s="6"/>
    </row>
    <row r="3956" spans="1:48" ht="70.150000000000006" thickBot="1" x14ac:dyDescent="0.5">
      <c r="A3956" s="243" t="s">
        <v>5986</v>
      </c>
      <c r="B3956" s="281" t="s">
        <v>5988</v>
      </c>
      <c r="C3956" s="12"/>
      <c r="D3956" s="12"/>
      <c r="E3956" s="20"/>
      <c r="F3956" s="20"/>
      <c r="G3956" s="275" t="s">
        <v>10</v>
      </c>
      <c r="H3956" s="12"/>
      <c r="K3956" s="276" t="s">
        <v>2473</v>
      </c>
      <c r="R3956" s="122"/>
      <c r="S3956" s="114"/>
      <c r="T3956" s="114"/>
      <c r="U3956" s="114"/>
      <c r="V3956" s="114"/>
      <c r="W3956" s="114"/>
      <c r="X3956" s="114"/>
      <c r="Y3956" s="149"/>
      <c r="Z3956" s="273" t="s">
        <v>4</v>
      </c>
      <c r="AA3956" s="273" t="s">
        <v>208</v>
      </c>
      <c r="AB3956" s="273" t="s">
        <v>4348</v>
      </c>
      <c r="AC3956" s="273" t="s">
        <v>6</v>
      </c>
      <c r="AD3956" s="281" t="s">
        <v>5988</v>
      </c>
      <c r="AE3956" s="184"/>
      <c r="AF3956" s="184"/>
      <c r="AG3956" s="183"/>
      <c r="AH3956" s="183"/>
      <c r="AI3956" s="183"/>
      <c r="AJ3956" s="183"/>
      <c r="AK3956" s="183"/>
      <c r="AL3956" s="183"/>
      <c r="AM3956" s="183"/>
      <c r="AN3956" s="131"/>
      <c r="AO3956" s="131"/>
      <c r="AP3956" s="131"/>
      <c r="AQ3956" s="131"/>
      <c r="AR3956" s="293" t="s">
        <v>6008</v>
      </c>
      <c r="AS3956" s="259"/>
      <c r="AT3956" s="183"/>
      <c r="AV3956" s="6"/>
    </row>
    <row r="3957" spans="1:48" ht="40.9" thickBot="1" x14ac:dyDescent="0.5">
      <c r="A3957" s="280" t="s">
        <v>5987</v>
      </c>
      <c r="B3957" s="281" t="s">
        <v>5990</v>
      </c>
      <c r="C3957" s="12"/>
      <c r="D3957" s="12"/>
      <c r="E3957" s="20"/>
      <c r="F3957" s="20"/>
      <c r="G3957" s="275" t="s">
        <v>10</v>
      </c>
      <c r="H3957" s="12"/>
      <c r="K3957" s="276" t="s">
        <v>2473</v>
      </c>
      <c r="R3957" s="122"/>
      <c r="S3957" s="114"/>
      <c r="T3957" s="114"/>
      <c r="U3957" s="114"/>
      <c r="V3957" s="114"/>
      <c r="W3957" s="114"/>
      <c r="X3957" s="114"/>
      <c r="Y3957" s="149"/>
      <c r="Z3957" s="273" t="s">
        <v>4</v>
      </c>
      <c r="AA3957" s="273" t="s">
        <v>6001</v>
      </c>
      <c r="AB3957" s="273" t="s">
        <v>758</v>
      </c>
      <c r="AC3957" s="273" t="s">
        <v>4346</v>
      </c>
      <c r="AD3957" s="281" t="s">
        <v>5990</v>
      </c>
      <c r="AE3957" s="254" t="s">
        <v>6006</v>
      </c>
      <c r="AF3957" s="184"/>
      <c r="AG3957" s="183"/>
      <c r="AH3957" s="183"/>
      <c r="AI3957" s="183"/>
      <c r="AJ3957" s="183"/>
      <c r="AK3957" s="183"/>
      <c r="AL3957" s="183"/>
      <c r="AM3957" s="183"/>
      <c r="AN3957" s="131"/>
      <c r="AO3957" s="131"/>
      <c r="AP3957" s="131"/>
      <c r="AQ3957" s="131"/>
      <c r="AR3957" s="293" t="s">
        <v>6008</v>
      </c>
      <c r="AS3957" s="259"/>
      <c r="AT3957" s="183"/>
      <c r="AV3957" s="6"/>
    </row>
    <row r="3958" spans="1:48" ht="40.9" thickBot="1" x14ac:dyDescent="0.5">
      <c r="A3958" s="280" t="s">
        <v>3071</v>
      </c>
      <c r="B3958" s="281" t="s">
        <v>5991</v>
      </c>
      <c r="C3958" s="12"/>
      <c r="D3958" s="12"/>
      <c r="E3958" s="20"/>
      <c r="F3958" s="20"/>
      <c r="G3958" s="275" t="s">
        <v>10</v>
      </c>
      <c r="H3958" s="12"/>
      <c r="K3958" s="276" t="s">
        <v>2473</v>
      </c>
      <c r="R3958" s="122"/>
      <c r="S3958" s="114"/>
      <c r="T3958" s="114"/>
      <c r="U3958" s="114"/>
      <c r="V3958" s="114"/>
      <c r="W3958" s="114"/>
      <c r="X3958" s="114"/>
      <c r="Y3958" s="149"/>
      <c r="Z3958" s="273" t="s">
        <v>4</v>
      </c>
      <c r="AA3958" s="273" t="s">
        <v>6001</v>
      </c>
      <c r="AB3958" s="273" t="s">
        <v>758</v>
      </c>
      <c r="AC3958" s="273" t="s">
        <v>4346</v>
      </c>
      <c r="AD3958" s="281" t="s">
        <v>5991</v>
      </c>
      <c r="AE3958" s="254" t="s">
        <v>6006</v>
      </c>
      <c r="AF3958" s="184"/>
      <c r="AG3958" s="183"/>
      <c r="AH3958" s="183"/>
      <c r="AI3958" s="183"/>
      <c r="AJ3958" s="183"/>
      <c r="AK3958" s="183"/>
      <c r="AL3958" s="183"/>
      <c r="AM3958" s="183"/>
      <c r="AN3958" s="131"/>
      <c r="AO3958" s="131"/>
      <c r="AP3958" s="131"/>
      <c r="AQ3958" s="131"/>
      <c r="AR3958" s="293" t="s">
        <v>6008</v>
      </c>
      <c r="AS3958" s="259"/>
      <c r="AT3958" s="183"/>
      <c r="AV3958" s="6"/>
    </row>
    <row r="3959" spans="1:48" ht="70.150000000000006" thickBot="1" x14ac:dyDescent="0.5">
      <c r="A3959" s="243" t="s">
        <v>5992</v>
      </c>
      <c r="B3959" s="281" t="s">
        <v>6009</v>
      </c>
      <c r="C3959" s="12"/>
      <c r="D3959" s="12"/>
      <c r="E3959" s="20"/>
      <c r="F3959" s="20"/>
      <c r="G3959" s="275" t="s">
        <v>10</v>
      </c>
      <c r="H3959" s="12"/>
      <c r="K3959" s="276" t="s">
        <v>2473</v>
      </c>
      <c r="R3959" s="122"/>
      <c r="S3959" s="114"/>
      <c r="T3959" s="114"/>
      <c r="U3959" s="114"/>
      <c r="V3959" s="114"/>
      <c r="W3959" s="114"/>
      <c r="X3959" s="114"/>
      <c r="Y3959" s="149"/>
      <c r="Z3959" s="273" t="s">
        <v>4</v>
      </c>
      <c r="AA3959" s="273" t="s">
        <v>208</v>
      </c>
      <c r="AB3959" s="273" t="s">
        <v>4348</v>
      </c>
      <c r="AC3959" s="273" t="s">
        <v>6</v>
      </c>
      <c r="AD3959" s="281" t="s">
        <v>5988</v>
      </c>
      <c r="AE3959" s="184"/>
      <c r="AF3959" s="184"/>
      <c r="AG3959" s="183"/>
      <c r="AH3959" s="183"/>
      <c r="AI3959" s="183"/>
      <c r="AJ3959" s="183"/>
      <c r="AK3959" s="183"/>
      <c r="AL3959" s="183"/>
      <c r="AM3959" s="183"/>
      <c r="AN3959" s="131"/>
      <c r="AO3959" s="131"/>
      <c r="AP3959" s="131"/>
      <c r="AQ3959" s="131"/>
      <c r="AR3959" s="293" t="s">
        <v>6008</v>
      </c>
      <c r="AS3959" s="259"/>
      <c r="AT3959" s="183"/>
      <c r="AV3959" s="6"/>
    </row>
    <row r="3960" spans="1:48" ht="40.9" thickBot="1" x14ac:dyDescent="0.5">
      <c r="A3960" s="280" t="s">
        <v>5987</v>
      </c>
      <c r="B3960" s="281" t="s">
        <v>5995</v>
      </c>
      <c r="C3960" s="12"/>
      <c r="D3960" s="12"/>
      <c r="E3960" s="20"/>
      <c r="F3960" s="20"/>
      <c r="G3960" s="275" t="s">
        <v>10</v>
      </c>
      <c r="H3960" s="12"/>
      <c r="K3960" s="276" t="s">
        <v>2473</v>
      </c>
      <c r="R3960" s="122"/>
      <c r="S3960" s="114"/>
      <c r="T3960" s="114"/>
      <c r="U3960" s="114"/>
      <c r="V3960" s="114"/>
      <c r="W3960" s="114"/>
      <c r="X3960" s="114"/>
      <c r="Y3960" s="149"/>
      <c r="Z3960" s="273" t="s">
        <v>4</v>
      </c>
      <c r="AA3960" s="273" t="s">
        <v>6002</v>
      </c>
      <c r="AB3960" s="273" t="s">
        <v>758</v>
      </c>
      <c r="AC3960" s="273" t="s">
        <v>4346</v>
      </c>
      <c r="AD3960" s="281" t="s">
        <v>5995</v>
      </c>
      <c r="AE3960" s="254" t="s">
        <v>6006</v>
      </c>
      <c r="AF3960" s="184"/>
      <c r="AG3960" s="183"/>
      <c r="AH3960" s="183"/>
      <c r="AI3960" s="183"/>
      <c r="AJ3960" s="183"/>
      <c r="AK3960" s="183"/>
      <c r="AL3960" s="183"/>
      <c r="AM3960" s="183"/>
      <c r="AN3960" s="131"/>
      <c r="AO3960" s="131"/>
      <c r="AP3960" s="131"/>
      <c r="AQ3960" s="131"/>
      <c r="AR3960" s="293" t="s">
        <v>6008</v>
      </c>
      <c r="AS3960" s="259"/>
      <c r="AT3960" s="183"/>
      <c r="AV3960" s="6"/>
    </row>
    <row r="3961" spans="1:48" ht="40.9" thickBot="1" x14ac:dyDescent="0.5">
      <c r="A3961" s="280" t="s">
        <v>3071</v>
      </c>
      <c r="B3961" s="281" t="s">
        <v>5996</v>
      </c>
      <c r="C3961" s="12"/>
      <c r="D3961" s="12"/>
      <c r="E3961" s="20"/>
      <c r="F3961" s="20"/>
      <c r="G3961" s="275" t="s">
        <v>10</v>
      </c>
      <c r="H3961" s="12"/>
      <c r="K3961" s="276" t="s">
        <v>2473</v>
      </c>
      <c r="R3961" s="122"/>
      <c r="S3961" s="114"/>
      <c r="T3961" s="114"/>
      <c r="U3961" s="114"/>
      <c r="V3961" s="114"/>
      <c r="W3961" s="114"/>
      <c r="X3961" s="114"/>
      <c r="Y3961" s="149"/>
      <c r="Z3961" s="273" t="s">
        <v>4</v>
      </c>
      <c r="AA3961" s="273" t="s">
        <v>6002</v>
      </c>
      <c r="AB3961" s="273" t="s">
        <v>758</v>
      </c>
      <c r="AC3961" s="273" t="s">
        <v>4346</v>
      </c>
      <c r="AD3961" s="281" t="s">
        <v>5996</v>
      </c>
      <c r="AE3961" s="254" t="s">
        <v>6006</v>
      </c>
      <c r="AF3961" s="184"/>
      <c r="AG3961" s="183"/>
      <c r="AH3961" s="183"/>
      <c r="AI3961" s="183"/>
      <c r="AJ3961" s="183"/>
      <c r="AK3961" s="183"/>
      <c r="AL3961" s="183"/>
      <c r="AM3961" s="183"/>
      <c r="AN3961" s="131"/>
      <c r="AO3961" s="131"/>
      <c r="AP3961" s="131"/>
      <c r="AQ3961" s="131"/>
      <c r="AR3961" s="293" t="s">
        <v>6008</v>
      </c>
      <c r="AS3961" s="259"/>
      <c r="AT3961" s="183"/>
      <c r="AV3961" s="6"/>
    </row>
    <row r="3962" spans="1:48" ht="70.150000000000006" thickBot="1" x14ac:dyDescent="0.5">
      <c r="A3962" s="243" t="s">
        <v>5993</v>
      </c>
      <c r="B3962" s="281" t="s">
        <v>6010</v>
      </c>
      <c r="C3962" s="12"/>
      <c r="D3962" s="12"/>
      <c r="E3962" s="20"/>
      <c r="F3962" s="20"/>
      <c r="G3962" s="275" t="s">
        <v>10</v>
      </c>
      <c r="H3962" s="12"/>
      <c r="K3962" s="276" t="s">
        <v>2473</v>
      </c>
      <c r="R3962" s="122"/>
      <c r="S3962" s="114"/>
      <c r="T3962" s="114"/>
      <c r="U3962" s="114"/>
      <c r="V3962" s="114"/>
      <c r="W3962" s="114"/>
      <c r="X3962" s="114"/>
      <c r="Y3962" s="149"/>
      <c r="Z3962" s="273" t="s">
        <v>4</v>
      </c>
      <c r="AA3962" s="273" t="s">
        <v>208</v>
      </c>
      <c r="AB3962" s="273" t="s">
        <v>4348</v>
      </c>
      <c r="AC3962" s="273" t="s">
        <v>6</v>
      </c>
      <c r="AD3962" s="281" t="s">
        <v>5988</v>
      </c>
      <c r="AE3962" s="184"/>
      <c r="AF3962" s="184"/>
      <c r="AG3962" s="183"/>
      <c r="AH3962" s="183"/>
      <c r="AI3962" s="183"/>
      <c r="AJ3962" s="183"/>
      <c r="AK3962" s="183"/>
      <c r="AL3962" s="183"/>
      <c r="AM3962" s="183"/>
      <c r="AN3962" s="131"/>
      <c r="AO3962" s="131"/>
      <c r="AP3962" s="131"/>
      <c r="AQ3962" s="131"/>
      <c r="AR3962" s="293" t="s">
        <v>6008</v>
      </c>
      <c r="AS3962" s="259"/>
      <c r="AT3962" s="183"/>
      <c r="AV3962" s="6"/>
    </row>
    <row r="3963" spans="1:48" ht="40.9" thickBot="1" x14ac:dyDescent="0.5">
      <c r="A3963" s="280" t="s">
        <v>5987</v>
      </c>
      <c r="B3963" s="281" t="s">
        <v>5997</v>
      </c>
      <c r="C3963" s="12"/>
      <c r="D3963" s="12"/>
      <c r="E3963" s="20"/>
      <c r="F3963" s="20"/>
      <c r="G3963" s="275" t="s">
        <v>10</v>
      </c>
      <c r="H3963" s="12"/>
      <c r="K3963" s="276" t="s">
        <v>2473</v>
      </c>
      <c r="R3963" s="122"/>
      <c r="S3963" s="114"/>
      <c r="T3963" s="114"/>
      <c r="U3963" s="114"/>
      <c r="V3963" s="114"/>
      <c r="W3963" s="114"/>
      <c r="X3963" s="114"/>
      <c r="Y3963" s="149"/>
      <c r="Z3963" s="273" t="s">
        <v>4</v>
      </c>
      <c r="AA3963" s="273" t="s">
        <v>6003</v>
      </c>
      <c r="AB3963" s="273" t="s">
        <v>758</v>
      </c>
      <c r="AC3963" s="273" t="s">
        <v>4346</v>
      </c>
      <c r="AD3963" s="281" t="s">
        <v>5997</v>
      </c>
      <c r="AE3963" s="254" t="s">
        <v>6006</v>
      </c>
      <c r="AF3963" s="184"/>
      <c r="AG3963" s="183"/>
      <c r="AH3963" s="183"/>
      <c r="AI3963" s="183"/>
      <c r="AJ3963" s="183"/>
      <c r="AK3963" s="183"/>
      <c r="AL3963" s="183"/>
      <c r="AM3963" s="183"/>
      <c r="AN3963" s="131"/>
      <c r="AO3963" s="131"/>
      <c r="AP3963" s="131"/>
      <c r="AQ3963" s="131"/>
      <c r="AR3963" s="293" t="s">
        <v>6008</v>
      </c>
      <c r="AS3963" s="259"/>
      <c r="AT3963" s="183"/>
      <c r="AV3963" s="6"/>
    </row>
    <row r="3964" spans="1:48" ht="40.9" thickBot="1" x14ac:dyDescent="0.5">
      <c r="A3964" s="280" t="s">
        <v>3071</v>
      </c>
      <c r="B3964" s="281" t="s">
        <v>5998</v>
      </c>
      <c r="C3964" s="12"/>
      <c r="D3964" s="12"/>
      <c r="E3964" s="20"/>
      <c r="F3964" s="20"/>
      <c r="G3964" s="275" t="s">
        <v>10</v>
      </c>
      <c r="H3964" s="12"/>
      <c r="K3964" s="276" t="s">
        <v>2473</v>
      </c>
      <c r="R3964" s="122"/>
      <c r="S3964" s="114"/>
      <c r="T3964" s="114"/>
      <c r="U3964" s="114"/>
      <c r="V3964" s="114"/>
      <c r="W3964" s="114"/>
      <c r="X3964" s="114"/>
      <c r="Y3964" s="149"/>
      <c r="Z3964" s="273" t="s">
        <v>4</v>
      </c>
      <c r="AA3964" s="273" t="s">
        <v>6003</v>
      </c>
      <c r="AB3964" s="273" t="s">
        <v>758</v>
      </c>
      <c r="AC3964" s="273" t="s">
        <v>4346</v>
      </c>
      <c r="AD3964" s="281" t="s">
        <v>5998</v>
      </c>
      <c r="AE3964" s="254" t="s">
        <v>6006</v>
      </c>
      <c r="AF3964" s="184"/>
      <c r="AG3964" s="183"/>
      <c r="AH3964" s="183"/>
      <c r="AI3964" s="183"/>
      <c r="AJ3964" s="183"/>
      <c r="AK3964" s="183"/>
      <c r="AL3964" s="183"/>
      <c r="AM3964" s="183"/>
      <c r="AN3964" s="131"/>
      <c r="AO3964" s="131"/>
      <c r="AP3964" s="131"/>
      <c r="AQ3964" s="131"/>
      <c r="AR3964" s="293" t="s">
        <v>6008</v>
      </c>
      <c r="AS3964" s="259"/>
      <c r="AT3964" s="183"/>
      <c r="AV3964" s="6"/>
    </row>
    <row r="3965" spans="1:48" ht="70.150000000000006" thickBot="1" x14ac:dyDescent="0.5">
      <c r="A3965" s="243" t="s">
        <v>5994</v>
      </c>
      <c r="B3965" s="281" t="s">
        <v>6011</v>
      </c>
      <c r="C3965" s="12"/>
      <c r="D3965" s="12"/>
      <c r="E3965" s="20"/>
      <c r="F3965" s="20"/>
      <c r="G3965" s="275" t="s">
        <v>10</v>
      </c>
      <c r="H3965" s="12"/>
      <c r="K3965" s="276" t="s">
        <v>2473</v>
      </c>
      <c r="R3965" s="122"/>
      <c r="S3965" s="114"/>
      <c r="T3965" s="114"/>
      <c r="U3965" s="114"/>
      <c r="V3965" s="114"/>
      <c r="W3965" s="114"/>
      <c r="X3965" s="114"/>
      <c r="Y3965" s="149"/>
      <c r="Z3965" s="273" t="s">
        <v>4</v>
      </c>
      <c r="AA3965" s="273" t="s">
        <v>208</v>
      </c>
      <c r="AB3965" s="273" t="s">
        <v>4348</v>
      </c>
      <c r="AC3965" s="273" t="s">
        <v>6</v>
      </c>
      <c r="AD3965" s="281" t="s">
        <v>5988</v>
      </c>
      <c r="AE3965" s="184"/>
      <c r="AF3965" s="184"/>
      <c r="AG3965" s="183"/>
      <c r="AH3965" s="183"/>
      <c r="AI3965" s="183"/>
      <c r="AJ3965" s="183"/>
      <c r="AK3965" s="183"/>
      <c r="AL3965" s="183"/>
      <c r="AM3965" s="183"/>
      <c r="AN3965" s="131"/>
      <c r="AO3965" s="131"/>
      <c r="AP3965" s="131"/>
      <c r="AQ3965" s="131"/>
      <c r="AR3965" s="293" t="s">
        <v>6008</v>
      </c>
      <c r="AS3965" s="259"/>
      <c r="AT3965" s="183"/>
      <c r="AV3965" s="6"/>
    </row>
    <row r="3966" spans="1:48" ht="40.9" thickBot="1" x14ac:dyDescent="0.5">
      <c r="A3966" s="280" t="s">
        <v>5987</v>
      </c>
      <c r="B3966" s="281" t="s">
        <v>5999</v>
      </c>
      <c r="C3966" s="12"/>
      <c r="D3966" s="12"/>
      <c r="E3966" s="20"/>
      <c r="F3966" s="20"/>
      <c r="G3966" s="275" t="s">
        <v>10</v>
      </c>
      <c r="H3966" s="12"/>
      <c r="K3966" s="276" t="s">
        <v>2473</v>
      </c>
      <c r="R3966" s="122"/>
      <c r="S3966" s="114"/>
      <c r="T3966" s="114"/>
      <c r="U3966" s="114"/>
      <c r="V3966" s="114"/>
      <c r="W3966" s="114"/>
      <c r="X3966" s="114"/>
      <c r="Y3966" s="149"/>
      <c r="Z3966" s="273" t="s">
        <v>4</v>
      </c>
      <c r="AA3966" s="273" t="s">
        <v>6004</v>
      </c>
      <c r="AB3966" s="273" t="s">
        <v>758</v>
      </c>
      <c r="AC3966" s="273" t="s">
        <v>4346</v>
      </c>
      <c r="AD3966" s="281" t="s">
        <v>5999</v>
      </c>
      <c r="AE3966" s="254" t="s">
        <v>6006</v>
      </c>
      <c r="AF3966" s="184"/>
      <c r="AG3966" s="183"/>
      <c r="AH3966" s="183"/>
      <c r="AI3966" s="183"/>
      <c r="AJ3966" s="183"/>
      <c r="AK3966" s="183"/>
      <c r="AL3966" s="183"/>
      <c r="AM3966" s="183"/>
      <c r="AN3966" s="131"/>
      <c r="AO3966" s="131"/>
      <c r="AP3966" s="131"/>
      <c r="AQ3966" s="131"/>
      <c r="AR3966" s="293" t="s">
        <v>6008</v>
      </c>
      <c r="AS3966" s="259"/>
      <c r="AT3966" s="183"/>
      <c r="AV3966" s="6"/>
    </row>
    <row r="3967" spans="1:48" ht="40.9" thickBot="1" x14ac:dyDescent="0.5">
      <c r="A3967" s="280" t="s">
        <v>3071</v>
      </c>
      <c r="B3967" s="281" t="s">
        <v>6000</v>
      </c>
      <c r="C3967" s="12"/>
      <c r="D3967" s="12"/>
      <c r="E3967" s="20"/>
      <c r="F3967" s="20"/>
      <c r="G3967" s="275" t="s">
        <v>10</v>
      </c>
      <c r="H3967" s="12"/>
      <c r="K3967" s="276" t="s">
        <v>2473</v>
      </c>
      <c r="R3967" s="122"/>
      <c r="S3967" s="114"/>
      <c r="T3967" s="114"/>
      <c r="U3967" s="114"/>
      <c r="V3967" s="114"/>
      <c r="W3967" s="114"/>
      <c r="X3967" s="114"/>
      <c r="Y3967" s="149"/>
      <c r="Z3967" s="273" t="s">
        <v>4</v>
      </c>
      <c r="AA3967" s="273" t="s">
        <v>6004</v>
      </c>
      <c r="AB3967" s="273" t="s">
        <v>758</v>
      </c>
      <c r="AC3967" s="273" t="s">
        <v>4346</v>
      </c>
      <c r="AD3967" s="281" t="s">
        <v>6000</v>
      </c>
      <c r="AE3967" s="254" t="s">
        <v>6006</v>
      </c>
      <c r="AF3967" s="184"/>
      <c r="AG3967" s="183"/>
      <c r="AH3967" s="183"/>
      <c r="AI3967" s="183"/>
      <c r="AJ3967" s="183"/>
      <c r="AK3967" s="183"/>
      <c r="AL3967" s="183"/>
      <c r="AM3967" s="183"/>
      <c r="AN3967" s="131"/>
      <c r="AO3967" s="131"/>
      <c r="AP3967" s="131"/>
      <c r="AQ3967" s="131"/>
      <c r="AR3967" s="293" t="s">
        <v>6008</v>
      </c>
      <c r="AS3967" s="259"/>
      <c r="AT3967" s="183"/>
      <c r="AV3967" s="6"/>
    </row>
    <row r="3968" spans="1:48" ht="58.5" thickBot="1" x14ac:dyDescent="0.5">
      <c r="A3968" s="44" t="s">
        <v>2722</v>
      </c>
      <c r="B3968" s="21" t="s">
        <v>4068</v>
      </c>
      <c r="C3968" s="20"/>
      <c r="D3968" s="20"/>
      <c r="E3968" s="20"/>
      <c r="F3968" s="20"/>
      <c r="G3968" s="20" t="s">
        <v>37</v>
      </c>
      <c r="H3968" s="20"/>
      <c r="J3968" s="18" t="s">
        <v>2473</v>
      </c>
      <c r="K3968" s="18" t="s">
        <v>2473</v>
      </c>
      <c r="R3968" s="122" t="s">
        <v>3435</v>
      </c>
      <c r="S3968" s="114" t="s">
        <v>3437</v>
      </c>
      <c r="T3968" s="114" t="s">
        <v>2722</v>
      </c>
      <c r="U3968" s="114"/>
      <c r="V3968" s="114" t="s">
        <v>4166</v>
      </c>
      <c r="W3968" s="114" t="s">
        <v>3436</v>
      </c>
      <c r="X3968" s="114" t="s">
        <v>13</v>
      </c>
      <c r="Y3968" s="149"/>
      <c r="Z3968" s="183" t="s">
        <v>4</v>
      </c>
      <c r="AA3968" s="183"/>
      <c r="AB3968" s="183" t="s">
        <v>4349</v>
      </c>
      <c r="AC3968" s="183" t="s">
        <v>6</v>
      </c>
      <c r="AD3968" s="183" t="s">
        <v>4912</v>
      </c>
      <c r="AE3968" s="184"/>
      <c r="AF3968" s="184"/>
      <c r="AG3968" s="183"/>
      <c r="AH3968" s="183"/>
      <c r="AI3968" s="183" t="str">
        <f>"true"</f>
        <v>true</v>
      </c>
      <c r="AJ3968" s="183"/>
      <c r="AK3968" s="183" t="s">
        <v>2722</v>
      </c>
      <c r="AL3968" s="183"/>
      <c r="AM3968" s="183"/>
      <c r="AN3968" s="131"/>
      <c r="AO3968" s="131"/>
      <c r="AP3968" s="131"/>
      <c r="AQ3968" s="131"/>
      <c r="AR3968" s="288"/>
      <c r="AS3968" s="259"/>
      <c r="AT3968" s="183"/>
      <c r="AV3968" s="6" t="str">
        <f t="shared" si="81"/>
        <v>OK</v>
      </c>
    </row>
    <row r="3969" spans="1:48" ht="14.65" thickBot="1" x14ac:dyDescent="0.5">
      <c r="A3969" s="41" t="s">
        <v>33</v>
      </c>
      <c r="B3969" s="50" t="s">
        <v>2881</v>
      </c>
      <c r="C3969" s="12"/>
      <c r="D3969" s="20"/>
      <c r="E3969" s="20"/>
      <c r="F3969" s="20"/>
      <c r="G3969" s="12"/>
      <c r="H3969" s="20"/>
      <c r="J3969" s="18" t="s">
        <v>2473</v>
      </c>
      <c r="K3969" s="18" t="s">
        <v>2473</v>
      </c>
      <c r="R3969" s="114"/>
      <c r="S3969" s="114"/>
      <c r="T3969" s="114"/>
      <c r="U3969" s="114"/>
      <c r="V3969" s="114"/>
      <c r="W3969" s="114"/>
      <c r="X3969" s="114"/>
      <c r="Y3969" s="149"/>
      <c r="Z3969" s="183"/>
      <c r="AA3969" s="183"/>
      <c r="AB3969" s="183"/>
      <c r="AC3969" s="183"/>
      <c r="AD3969" s="183"/>
      <c r="AE3969" s="184"/>
      <c r="AF3969" s="184"/>
      <c r="AG3969" s="183"/>
      <c r="AH3969" s="183"/>
      <c r="AI3969" s="183"/>
      <c r="AJ3969" s="183"/>
      <c r="AK3969" s="183"/>
      <c r="AL3969" s="183"/>
      <c r="AM3969" s="183"/>
      <c r="AN3969" s="131"/>
      <c r="AO3969" s="131"/>
      <c r="AP3969" s="131"/>
      <c r="AQ3969" s="131"/>
      <c r="AR3969" s="288"/>
      <c r="AS3969" s="259"/>
      <c r="AT3969" s="183"/>
      <c r="AV3969" s="6" t="str">
        <f t="shared" si="81"/>
        <v/>
      </c>
    </row>
    <row r="3970" spans="1:48" ht="14.65" thickBot="1" x14ac:dyDescent="0.5">
      <c r="A3970" s="35" t="s">
        <v>461</v>
      </c>
      <c r="B3970" s="3" t="s">
        <v>3733</v>
      </c>
      <c r="C3970" s="12"/>
      <c r="D3970" s="20"/>
      <c r="E3970" s="20"/>
      <c r="F3970" s="20"/>
      <c r="G3970" s="12"/>
      <c r="H3970" s="20"/>
      <c r="R3970" s="114"/>
      <c r="S3970" s="114"/>
      <c r="T3970" s="114"/>
      <c r="U3970" s="114"/>
      <c r="V3970" s="114"/>
      <c r="W3970" s="114"/>
      <c r="X3970" s="114"/>
      <c r="Y3970" s="149"/>
      <c r="Z3970" s="183"/>
      <c r="AA3970" s="183"/>
      <c r="AB3970" s="183"/>
      <c r="AC3970" s="183"/>
      <c r="AD3970" s="183"/>
      <c r="AE3970" s="184"/>
      <c r="AF3970" s="184"/>
      <c r="AG3970" s="183"/>
      <c r="AH3970" s="183"/>
      <c r="AI3970" s="183"/>
      <c r="AJ3970" s="183"/>
      <c r="AK3970" s="183"/>
      <c r="AL3970" s="183"/>
      <c r="AM3970" s="183"/>
      <c r="AN3970" s="131"/>
      <c r="AO3970" s="131"/>
      <c r="AP3970" s="131"/>
      <c r="AQ3970" s="131"/>
      <c r="AR3970" s="288"/>
      <c r="AS3970" s="259"/>
      <c r="AT3970" s="183"/>
      <c r="AV3970" s="6" t="str">
        <f t="shared" si="81"/>
        <v/>
      </c>
    </row>
    <row r="3971" spans="1:48" ht="14.65" thickBot="1" x14ac:dyDescent="0.5">
      <c r="A3971" s="35" t="s">
        <v>424</v>
      </c>
      <c r="B3971" s="3" t="s">
        <v>3689</v>
      </c>
      <c r="C3971" s="12"/>
      <c r="D3971" s="20"/>
      <c r="E3971" s="20"/>
      <c r="F3971" s="20"/>
      <c r="G3971" s="12"/>
      <c r="H3971" s="20"/>
      <c r="R3971" s="114"/>
      <c r="S3971" s="114"/>
      <c r="T3971" s="114"/>
      <c r="U3971" s="114"/>
      <c r="V3971" s="114"/>
      <c r="W3971" s="114"/>
      <c r="X3971" s="114"/>
      <c r="Y3971" s="149"/>
      <c r="Z3971" s="183"/>
      <c r="AA3971" s="183"/>
      <c r="AB3971" s="183"/>
      <c r="AC3971" s="183"/>
      <c r="AD3971" s="183"/>
      <c r="AE3971" s="184"/>
      <c r="AF3971" s="184"/>
      <c r="AG3971" s="183"/>
      <c r="AH3971" s="183"/>
      <c r="AI3971" s="183"/>
      <c r="AJ3971" s="183"/>
      <c r="AK3971" s="183"/>
      <c r="AL3971" s="183"/>
      <c r="AM3971" s="183"/>
      <c r="AN3971" s="131"/>
      <c r="AO3971" s="131"/>
      <c r="AP3971" s="131"/>
      <c r="AQ3971" s="131"/>
      <c r="AR3971" s="288"/>
      <c r="AS3971" s="259"/>
      <c r="AT3971" s="183"/>
      <c r="AV3971" s="6" t="str">
        <f t="shared" si="81"/>
        <v/>
      </c>
    </row>
    <row r="3972" spans="1:48" ht="70.150000000000006" thickBot="1" x14ac:dyDescent="0.5">
      <c r="A3972" s="41" t="s">
        <v>2672</v>
      </c>
      <c r="B3972" s="50" t="s">
        <v>4075</v>
      </c>
      <c r="C3972" s="12"/>
      <c r="D3972" s="12"/>
      <c r="E3972" s="20"/>
      <c r="F3972" s="20"/>
      <c r="G3972" s="12" t="s">
        <v>37</v>
      </c>
      <c r="H3972" s="12"/>
      <c r="J3972" s="18" t="s">
        <v>2473</v>
      </c>
      <c r="K3972" s="18" t="s">
        <v>2473</v>
      </c>
      <c r="Q3972" s="8" t="s">
        <v>4166</v>
      </c>
      <c r="R3972" s="122" t="s">
        <v>3529</v>
      </c>
      <c r="S3972" s="114" t="s">
        <v>4</v>
      </c>
      <c r="T3972" s="114" t="s">
        <v>2636</v>
      </c>
      <c r="U3972" s="114" t="s">
        <v>3521</v>
      </c>
      <c r="V3972" s="114" t="s">
        <v>3530</v>
      </c>
      <c r="W3972" s="114" t="s">
        <v>3436</v>
      </c>
      <c r="X3972" s="114" t="s">
        <v>13</v>
      </c>
      <c r="Y3972" s="149"/>
      <c r="Z3972" s="183" t="s">
        <v>4</v>
      </c>
      <c r="AA3972" s="183" t="s">
        <v>2722</v>
      </c>
      <c r="AB3972" s="183" t="s">
        <v>758</v>
      </c>
      <c r="AC3972" s="183" t="s">
        <v>4346</v>
      </c>
      <c r="AD3972" s="183" t="s">
        <v>4914</v>
      </c>
      <c r="AE3972" s="184"/>
      <c r="AF3972" s="184"/>
      <c r="AG3972" s="183"/>
      <c r="AH3972" s="183"/>
      <c r="AI3972" s="183"/>
      <c r="AJ3972" s="183"/>
      <c r="AK3972" s="183"/>
      <c r="AL3972" s="183"/>
      <c r="AM3972" s="183"/>
      <c r="AN3972" s="131"/>
      <c r="AO3972" s="131"/>
      <c r="AP3972" s="131"/>
      <c r="AQ3972" s="131"/>
      <c r="AR3972" s="288"/>
      <c r="AS3972" s="259"/>
      <c r="AT3972" s="183"/>
      <c r="AV3972" s="6" t="str">
        <f t="shared" si="81"/>
        <v>OK</v>
      </c>
    </row>
    <row r="3973" spans="1:48" ht="58.5" thickBot="1" x14ac:dyDescent="0.5">
      <c r="A3973" s="41" t="s">
        <v>2673</v>
      </c>
      <c r="B3973" s="21" t="s">
        <v>3734</v>
      </c>
      <c r="C3973" s="20"/>
      <c r="D3973" s="20"/>
      <c r="E3973" s="20"/>
      <c r="F3973" s="20"/>
      <c r="G3973" s="20" t="s">
        <v>37</v>
      </c>
      <c r="H3973" s="20"/>
      <c r="J3973" s="18" t="s">
        <v>2473</v>
      </c>
      <c r="K3973" s="18" t="s">
        <v>2473</v>
      </c>
      <c r="Q3973" s="8" t="s">
        <v>4166</v>
      </c>
      <c r="R3973" s="122" t="s">
        <v>3529</v>
      </c>
      <c r="S3973" s="114" t="s">
        <v>4</v>
      </c>
      <c r="T3973" s="114" t="s">
        <v>2637</v>
      </c>
      <c r="U3973" s="114" t="s">
        <v>3521</v>
      </c>
      <c r="V3973" s="114" t="s">
        <v>3530</v>
      </c>
      <c r="W3973" s="114" t="s">
        <v>3436</v>
      </c>
      <c r="X3973" s="114" t="s">
        <v>13</v>
      </c>
      <c r="Y3973" s="149"/>
      <c r="Z3973" s="183" t="s">
        <v>4</v>
      </c>
      <c r="AA3973" s="183" t="s">
        <v>2722</v>
      </c>
      <c r="AB3973" s="183" t="s">
        <v>758</v>
      </c>
      <c r="AC3973" s="183" t="s">
        <v>4346</v>
      </c>
      <c r="AD3973" s="183" t="s">
        <v>4915</v>
      </c>
      <c r="AE3973" s="184"/>
      <c r="AF3973" s="184"/>
      <c r="AG3973" s="183"/>
      <c r="AH3973" s="183"/>
      <c r="AI3973" s="183"/>
      <c r="AJ3973" s="183"/>
      <c r="AK3973" s="183"/>
      <c r="AL3973" s="183"/>
      <c r="AM3973" s="183"/>
      <c r="AN3973" s="131"/>
      <c r="AO3973" s="131"/>
      <c r="AP3973" s="131"/>
      <c r="AQ3973" s="131"/>
      <c r="AR3973" s="288"/>
      <c r="AS3973" s="259"/>
      <c r="AT3973" s="183"/>
      <c r="AV3973" s="6" t="str">
        <f t="shared" si="81"/>
        <v>OK</v>
      </c>
    </row>
    <row r="3974" spans="1:48" ht="46.9" thickBot="1" x14ac:dyDescent="0.5">
      <c r="A3974" s="41" t="s">
        <v>2674</v>
      </c>
      <c r="B3974" s="21" t="s">
        <v>3735</v>
      </c>
      <c r="C3974" s="20"/>
      <c r="D3974" s="20"/>
      <c r="E3974" s="20"/>
      <c r="F3974" s="20"/>
      <c r="G3974" s="20" t="s">
        <v>37</v>
      </c>
      <c r="H3974" s="20"/>
      <c r="J3974" s="18" t="s">
        <v>2473</v>
      </c>
      <c r="K3974" s="18" t="s">
        <v>2473</v>
      </c>
      <c r="Q3974" s="8" t="s">
        <v>4166</v>
      </c>
      <c r="R3974" s="122" t="s">
        <v>3529</v>
      </c>
      <c r="S3974" s="114" t="s">
        <v>4</v>
      </c>
      <c r="T3974" s="114" t="s">
        <v>2638</v>
      </c>
      <c r="U3974" s="114" t="s">
        <v>3521</v>
      </c>
      <c r="V3974" s="114" t="s">
        <v>3530</v>
      </c>
      <c r="W3974" s="114" t="s">
        <v>3436</v>
      </c>
      <c r="X3974" s="114" t="s">
        <v>13</v>
      </c>
      <c r="Y3974" s="149"/>
      <c r="Z3974" s="183" t="s">
        <v>4</v>
      </c>
      <c r="AA3974" s="183" t="s">
        <v>2722</v>
      </c>
      <c r="AB3974" s="183" t="s">
        <v>758</v>
      </c>
      <c r="AC3974" s="183" t="s">
        <v>4346</v>
      </c>
      <c r="AD3974" s="183" t="s">
        <v>4916</v>
      </c>
      <c r="AE3974" s="184"/>
      <c r="AF3974" s="184"/>
      <c r="AG3974" s="183"/>
      <c r="AH3974" s="183"/>
      <c r="AI3974" s="183"/>
      <c r="AJ3974" s="183"/>
      <c r="AK3974" s="183"/>
      <c r="AL3974" s="183"/>
      <c r="AM3974" s="183"/>
      <c r="AN3974" s="131"/>
      <c r="AO3974" s="131"/>
      <c r="AP3974" s="131"/>
      <c r="AQ3974" s="131"/>
      <c r="AR3974" s="288"/>
      <c r="AS3974" s="259"/>
      <c r="AT3974" s="183"/>
      <c r="AV3974" s="6" t="str">
        <f t="shared" si="81"/>
        <v>OK</v>
      </c>
    </row>
    <row r="3975" spans="1:48" ht="139.9" thickBot="1" x14ac:dyDescent="0.5">
      <c r="A3975" s="41" t="s">
        <v>4098</v>
      </c>
      <c r="B3975" s="72" t="s">
        <v>4099</v>
      </c>
      <c r="C3975" s="20"/>
      <c r="D3975" s="20"/>
      <c r="E3975" s="20"/>
      <c r="F3975" s="20"/>
      <c r="G3975" s="20" t="s">
        <v>13</v>
      </c>
      <c r="H3975" s="20"/>
      <c r="J3975" s="18" t="s">
        <v>2473</v>
      </c>
      <c r="K3975" s="18" t="s">
        <v>2473</v>
      </c>
      <c r="Q3975" s="8" t="s">
        <v>4166</v>
      </c>
      <c r="R3975" s="122" t="s">
        <v>3529</v>
      </c>
      <c r="S3975" s="114" t="s">
        <v>4</v>
      </c>
      <c r="T3975" s="114" t="s">
        <v>4100</v>
      </c>
      <c r="U3975" s="114" t="s">
        <v>3521</v>
      </c>
      <c r="V3975" s="114" t="s">
        <v>3530</v>
      </c>
      <c r="W3975" s="114" t="s">
        <v>3436</v>
      </c>
      <c r="X3975" s="114" t="s">
        <v>13</v>
      </c>
      <c r="Y3975" s="149"/>
      <c r="Z3975" s="183" t="s">
        <v>4</v>
      </c>
      <c r="AA3975" s="183" t="s">
        <v>2722</v>
      </c>
      <c r="AB3975" s="183" t="s">
        <v>4358</v>
      </c>
      <c r="AC3975" s="183" t="s">
        <v>4346</v>
      </c>
      <c r="AD3975" s="183" t="s">
        <v>4917</v>
      </c>
      <c r="AE3975" s="184"/>
      <c r="AF3975" s="184"/>
      <c r="AG3975" s="183"/>
      <c r="AH3975" s="183"/>
      <c r="AI3975" s="183"/>
      <c r="AJ3975" s="183"/>
      <c r="AK3975" s="183"/>
      <c r="AL3975" s="183"/>
      <c r="AM3975" s="183"/>
      <c r="AN3975" s="131"/>
      <c r="AO3975" s="131"/>
      <c r="AP3975" s="131"/>
      <c r="AQ3975" s="131"/>
      <c r="AR3975" s="288"/>
      <c r="AS3975" s="259"/>
      <c r="AT3975" s="183"/>
      <c r="AV3975" s="6" t="str">
        <f t="shared" ref="AV3975:AV4063" si="85">IF(A3975&lt;&gt;"",IF(T3975&lt;&gt;"",IF(LEFT(R3975,3)="Has",IF(TRIM(A3975)&lt;&gt;T3975,"ERROR","OK"),""),""),"")</f>
        <v>OK</v>
      </c>
    </row>
    <row r="3976" spans="1:48" ht="81.75" thickBot="1" x14ac:dyDescent="0.5">
      <c r="A3976" s="44" t="s">
        <v>2566</v>
      </c>
      <c r="B3976" s="50" t="s">
        <v>5075</v>
      </c>
      <c r="C3976" s="12"/>
      <c r="D3976" s="20"/>
      <c r="E3976" s="20"/>
      <c r="F3976" s="20"/>
      <c r="G3976" s="12" t="s">
        <v>37</v>
      </c>
      <c r="H3976" s="20"/>
      <c r="R3976" s="122" t="s">
        <v>3435</v>
      </c>
      <c r="S3976" s="114" t="s">
        <v>3437</v>
      </c>
      <c r="T3976" s="114" t="s">
        <v>2566</v>
      </c>
      <c r="U3976" s="114"/>
      <c r="V3976" s="114" t="s">
        <v>4451</v>
      </c>
      <c r="W3976" s="114" t="s">
        <v>3436</v>
      </c>
      <c r="X3976" s="114" t="s">
        <v>13</v>
      </c>
      <c r="Y3976" s="149"/>
      <c r="Z3976" s="183"/>
      <c r="AA3976" s="183"/>
      <c r="AB3976" s="183" t="s">
        <v>4348</v>
      </c>
      <c r="AC3976" s="183"/>
      <c r="AD3976" s="183" t="s">
        <v>5076</v>
      </c>
      <c r="AE3976" s="184"/>
      <c r="AF3976" s="184"/>
      <c r="AG3976" s="183"/>
      <c r="AH3976" s="183"/>
      <c r="AI3976" s="183"/>
      <c r="AJ3976" s="183"/>
      <c r="AK3976" s="183"/>
      <c r="AL3976" s="183"/>
      <c r="AM3976" s="183"/>
      <c r="AN3976" s="131"/>
      <c r="AO3976" s="131"/>
      <c r="AP3976" s="131"/>
      <c r="AQ3976" s="131"/>
      <c r="AR3976" s="288"/>
      <c r="AS3976" s="259"/>
      <c r="AT3976" s="237" t="s">
        <v>5346</v>
      </c>
      <c r="AU3976" s="202" t="s">
        <v>5074</v>
      </c>
      <c r="AV3976" s="6" t="str">
        <f t="shared" si="85"/>
        <v>OK</v>
      </c>
    </row>
    <row r="3977" spans="1:48" ht="81.75" thickBot="1" x14ac:dyDescent="0.5">
      <c r="A3977" s="41" t="s">
        <v>3373</v>
      </c>
      <c r="B3977" s="50" t="s">
        <v>4244</v>
      </c>
      <c r="C3977" s="12"/>
      <c r="D3977" s="20"/>
      <c r="E3977" s="20"/>
      <c r="F3977" s="20"/>
      <c r="G3977" s="12" t="s">
        <v>10</v>
      </c>
      <c r="H3977" s="20"/>
      <c r="Q3977" s="8" t="s">
        <v>4451</v>
      </c>
      <c r="R3977" s="122" t="s">
        <v>3529</v>
      </c>
      <c r="S3977" s="114" t="s">
        <v>4</v>
      </c>
      <c r="T3977" s="114" t="s">
        <v>3499</v>
      </c>
      <c r="U3977" s="114" t="s">
        <v>3525</v>
      </c>
      <c r="V3977" s="114" t="s">
        <v>3530</v>
      </c>
      <c r="W3977" s="114" t="s">
        <v>3436</v>
      </c>
      <c r="X3977" s="114" t="s">
        <v>13</v>
      </c>
      <c r="Y3977" s="149"/>
      <c r="Z3977" s="183"/>
      <c r="AA3977" s="183" t="s">
        <v>2566</v>
      </c>
      <c r="AB3977" s="183" t="s">
        <v>4345</v>
      </c>
      <c r="AC3977" s="183" t="s">
        <v>4346</v>
      </c>
      <c r="AD3977" s="183" t="s">
        <v>4918</v>
      </c>
      <c r="AE3977" s="184"/>
      <c r="AF3977" s="184"/>
      <c r="AG3977" s="183"/>
      <c r="AH3977" s="183"/>
      <c r="AI3977" s="183"/>
      <c r="AJ3977" s="183"/>
      <c r="AK3977" s="183"/>
      <c r="AL3977" s="183" t="s">
        <v>4503</v>
      </c>
      <c r="AM3977" s="183"/>
      <c r="AN3977" s="131"/>
      <c r="AO3977" s="131"/>
      <c r="AP3977" s="131"/>
      <c r="AQ3977" s="131"/>
      <c r="AR3977" s="288"/>
      <c r="AS3977" s="259"/>
      <c r="AT3977" s="237" t="s">
        <v>5346</v>
      </c>
      <c r="AV3977" s="6" t="str">
        <f t="shared" si="85"/>
        <v>OK</v>
      </c>
    </row>
    <row r="3978" spans="1:48" ht="81.75" thickBot="1" x14ac:dyDescent="0.5">
      <c r="A3978" s="41" t="s">
        <v>3374</v>
      </c>
      <c r="B3978" s="50" t="s">
        <v>4245</v>
      </c>
      <c r="C3978" s="12"/>
      <c r="D3978" s="20"/>
      <c r="E3978" s="20"/>
      <c r="F3978" s="20"/>
      <c r="G3978" s="12" t="s">
        <v>10</v>
      </c>
      <c r="H3978" s="20"/>
      <c r="Q3978" s="8" t="s">
        <v>4451</v>
      </c>
      <c r="R3978" s="122" t="s">
        <v>3529</v>
      </c>
      <c r="S3978" s="114" t="s">
        <v>4</v>
      </c>
      <c r="T3978" s="114" t="s">
        <v>3500</v>
      </c>
      <c r="U3978" s="114" t="s">
        <v>3525</v>
      </c>
      <c r="V3978" s="114" t="s">
        <v>3530</v>
      </c>
      <c r="W3978" s="114" t="s">
        <v>3436</v>
      </c>
      <c r="X3978" s="114" t="s">
        <v>13</v>
      </c>
      <c r="Y3978" s="149"/>
      <c r="Z3978" s="183"/>
      <c r="AA3978" s="183" t="s">
        <v>2566</v>
      </c>
      <c r="AB3978" s="183" t="s">
        <v>4345</v>
      </c>
      <c r="AC3978" s="183" t="s">
        <v>4346</v>
      </c>
      <c r="AD3978" s="183" t="s">
        <v>5022</v>
      </c>
      <c r="AE3978" s="184"/>
      <c r="AF3978" s="184"/>
      <c r="AG3978" s="183"/>
      <c r="AH3978" s="183"/>
      <c r="AI3978" s="183"/>
      <c r="AJ3978" s="183"/>
      <c r="AK3978" s="183"/>
      <c r="AL3978" s="183" t="s">
        <v>4503</v>
      </c>
      <c r="AM3978" s="183"/>
      <c r="AN3978" s="131"/>
      <c r="AO3978" s="131"/>
      <c r="AP3978" s="131"/>
      <c r="AQ3978" s="131"/>
      <c r="AR3978" s="288"/>
      <c r="AS3978" s="259"/>
      <c r="AT3978" s="237" t="s">
        <v>5346</v>
      </c>
      <c r="AV3978" s="6" t="str">
        <f t="shared" si="85"/>
        <v>OK</v>
      </c>
    </row>
    <row r="3979" spans="1:48" ht="81.75" thickBot="1" x14ac:dyDescent="0.5">
      <c r="A3979" s="41" t="s">
        <v>3375</v>
      </c>
      <c r="B3979" s="50" t="s">
        <v>4321</v>
      </c>
      <c r="C3979" s="12"/>
      <c r="D3979" s="20"/>
      <c r="E3979" s="20"/>
      <c r="F3979" s="20"/>
      <c r="G3979" s="12" t="s">
        <v>10</v>
      </c>
      <c r="H3979" s="20"/>
      <c r="Q3979" s="8" t="s">
        <v>4451</v>
      </c>
      <c r="R3979" s="122" t="s">
        <v>3529</v>
      </c>
      <c r="S3979" s="114" t="s">
        <v>4</v>
      </c>
      <c r="T3979" s="114" t="s">
        <v>3501</v>
      </c>
      <c r="U3979" s="114" t="s">
        <v>3521</v>
      </c>
      <c r="V3979" s="114" t="s">
        <v>3530</v>
      </c>
      <c r="W3979" s="114" t="s">
        <v>3436</v>
      </c>
      <c r="X3979" s="114" t="s">
        <v>13</v>
      </c>
      <c r="Y3979" s="149"/>
      <c r="Z3979" s="183"/>
      <c r="AA3979" s="183" t="s">
        <v>2566</v>
      </c>
      <c r="AB3979" s="183" t="s">
        <v>758</v>
      </c>
      <c r="AC3979" s="183" t="s">
        <v>4346</v>
      </c>
      <c r="AD3979" s="183" t="s">
        <v>5023</v>
      </c>
      <c r="AE3979" s="184"/>
      <c r="AF3979" s="184"/>
      <c r="AG3979" s="183"/>
      <c r="AH3979" s="183"/>
      <c r="AI3979" s="183"/>
      <c r="AJ3979" s="183"/>
      <c r="AK3979" s="183"/>
      <c r="AL3979" s="183" t="s">
        <v>4497</v>
      </c>
      <c r="AM3979" s="183"/>
      <c r="AN3979" s="131"/>
      <c r="AO3979" s="131"/>
      <c r="AP3979" s="131"/>
      <c r="AQ3979" s="131"/>
      <c r="AR3979" s="288"/>
      <c r="AS3979" s="259"/>
      <c r="AT3979" s="237" t="s">
        <v>5346</v>
      </c>
      <c r="AV3979" s="6" t="str">
        <f t="shared" si="85"/>
        <v>OK</v>
      </c>
    </row>
    <row r="3980" spans="1:48" ht="81.75" thickBot="1" x14ac:dyDescent="0.5">
      <c r="A3980" s="41" t="s">
        <v>3376</v>
      </c>
      <c r="B3980" s="50" t="s">
        <v>4321</v>
      </c>
      <c r="C3980" s="12"/>
      <c r="D3980" s="20"/>
      <c r="E3980" s="20"/>
      <c r="F3980" s="20"/>
      <c r="G3980" s="12" t="s">
        <v>10</v>
      </c>
      <c r="H3980" s="20"/>
      <c r="Q3980" s="8" t="s">
        <v>4451</v>
      </c>
      <c r="R3980" s="122" t="s">
        <v>3529</v>
      </c>
      <c r="S3980" s="114" t="s">
        <v>4</v>
      </c>
      <c r="T3980" s="114" t="s">
        <v>3502</v>
      </c>
      <c r="U3980" s="114" t="s">
        <v>3521</v>
      </c>
      <c r="V3980" s="114" t="s">
        <v>3530</v>
      </c>
      <c r="W3980" s="114" t="s">
        <v>3436</v>
      </c>
      <c r="X3980" s="114" t="s">
        <v>13</v>
      </c>
      <c r="Y3980" s="149"/>
      <c r="Z3980" s="183"/>
      <c r="AA3980" s="183" t="s">
        <v>2566</v>
      </c>
      <c r="AB3980" s="183" t="s">
        <v>758</v>
      </c>
      <c r="AC3980" s="183" t="s">
        <v>4346</v>
      </c>
      <c r="AD3980" s="183" t="s">
        <v>4919</v>
      </c>
      <c r="AE3980" s="184"/>
      <c r="AF3980" s="184"/>
      <c r="AG3980" s="183"/>
      <c r="AH3980" s="183"/>
      <c r="AI3980" s="183"/>
      <c r="AJ3980" s="183"/>
      <c r="AK3980" s="183"/>
      <c r="AL3980" s="183" t="s">
        <v>4497</v>
      </c>
      <c r="AM3980" s="183"/>
      <c r="AN3980" s="131"/>
      <c r="AO3980" s="131"/>
      <c r="AP3980" s="131"/>
      <c r="AQ3980" s="131"/>
      <c r="AR3980" s="288"/>
      <c r="AS3980" s="259"/>
      <c r="AT3980" s="237" t="s">
        <v>5346</v>
      </c>
      <c r="AV3980" s="6" t="str">
        <f t="shared" si="85"/>
        <v>OK</v>
      </c>
    </row>
    <row r="3981" spans="1:48" ht="93.4" thickBot="1" x14ac:dyDescent="0.5">
      <c r="A3981" s="41" t="s">
        <v>4322</v>
      </c>
      <c r="B3981" s="50" t="s">
        <v>4324</v>
      </c>
      <c r="C3981" s="12"/>
      <c r="D3981" s="20"/>
      <c r="E3981" s="20"/>
      <c r="F3981" s="20"/>
      <c r="G3981" s="12" t="s">
        <v>10</v>
      </c>
      <c r="H3981" s="20"/>
      <c r="Q3981" s="8" t="s">
        <v>4451</v>
      </c>
      <c r="R3981" s="122" t="s">
        <v>3529</v>
      </c>
      <c r="S3981" s="114" t="s">
        <v>4</v>
      </c>
      <c r="T3981" s="114" t="s">
        <v>4323</v>
      </c>
      <c r="U3981" s="114" t="s">
        <v>3521</v>
      </c>
      <c r="V3981" s="114" t="s">
        <v>3530</v>
      </c>
      <c r="W3981" s="114" t="s">
        <v>3436</v>
      </c>
      <c r="X3981" s="114" t="s">
        <v>13</v>
      </c>
      <c r="Y3981" s="149"/>
      <c r="Z3981" s="183"/>
      <c r="AA3981" s="183" t="s">
        <v>2566</v>
      </c>
      <c r="AB3981" s="183" t="s">
        <v>758</v>
      </c>
      <c r="AC3981" s="183" t="s">
        <v>4346</v>
      </c>
      <c r="AD3981" s="183" t="s">
        <v>4920</v>
      </c>
      <c r="AE3981" s="184"/>
      <c r="AF3981" s="184"/>
      <c r="AG3981" s="183"/>
      <c r="AH3981" s="183"/>
      <c r="AI3981" s="183"/>
      <c r="AJ3981" s="183"/>
      <c r="AK3981" s="183"/>
      <c r="AL3981" s="183"/>
      <c r="AM3981" s="183"/>
      <c r="AN3981" s="131"/>
      <c r="AO3981" s="131"/>
      <c r="AP3981" s="131"/>
      <c r="AQ3981" s="131"/>
      <c r="AR3981" s="288"/>
      <c r="AS3981" s="259"/>
      <c r="AT3981" s="237" t="s">
        <v>5346</v>
      </c>
      <c r="AV3981" s="6" t="str">
        <f t="shared" si="85"/>
        <v>OK</v>
      </c>
    </row>
    <row r="3982" spans="1:48" ht="81.75" thickBot="1" x14ac:dyDescent="0.5">
      <c r="A3982" s="41" t="s">
        <v>4613</v>
      </c>
      <c r="B3982" s="50" t="s">
        <v>3736</v>
      </c>
      <c r="C3982" s="12"/>
      <c r="D3982" s="20"/>
      <c r="E3982" s="20"/>
      <c r="F3982" s="20"/>
      <c r="G3982" s="12" t="s">
        <v>10</v>
      </c>
      <c r="H3982" s="20"/>
      <c r="Q3982" s="8" t="s">
        <v>4451</v>
      </c>
      <c r="R3982" s="122" t="s">
        <v>3529</v>
      </c>
      <c r="S3982" s="114" t="s">
        <v>4</v>
      </c>
      <c r="T3982" s="114" t="s">
        <v>3503</v>
      </c>
      <c r="U3982" s="114" t="s">
        <v>3521</v>
      </c>
      <c r="V3982" s="114" t="s">
        <v>3530</v>
      </c>
      <c r="W3982" s="114" t="s">
        <v>3436</v>
      </c>
      <c r="X3982" s="114" t="s">
        <v>13</v>
      </c>
      <c r="Y3982" s="149"/>
      <c r="Z3982" s="183"/>
      <c r="AA3982" s="183" t="s">
        <v>2566</v>
      </c>
      <c r="AB3982" s="183" t="s">
        <v>758</v>
      </c>
      <c r="AC3982" s="183" t="s">
        <v>4346</v>
      </c>
      <c r="AD3982" s="183" t="s">
        <v>5024</v>
      </c>
      <c r="AE3982" s="184"/>
      <c r="AF3982" s="184"/>
      <c r="AG3982" s="183"/>
      <c r="AH3982" s="183"/>
      <c r="AI3982" s="183"/>
      <c r="AJ3982" s="183"/>
      <c r="AK3982" s="183"/>
      <c r="AL3982" s="183"/>
      <c r="AM3982" s="183"/>
      <c r="AN3982" s="131"/>
      <c r="AO3982" s="131"/>
      <c r="AP3982" s="131"/>
      <c r="AQ3982" s="131"/>
      <c r="AR3982" s="288"/>
      <c r="AS3982" s="259"/>
      <c r="AT3982" s="237" t="s">
        <v>5346</v>
      </c>
      <c r="AV3982" s="6" t="str">
        <f t="shared" si="85"/>
        <v>OK</v>
      </c>
    </row>
    <row r="3983" spans="1:48" ht="81.75" thickBot="1" x14ac:dyDescent="0.5">
      <c r="A3983" s="41" t="s">
        <v>4703</v>
      </c>
      <c r="B3983" s="50" t="s">
        <v>4704</v>
      </c>
      <c r="C3983" s="12"/>
      <c r="D3983" s="20"/>
      <c r="E3983" s="20"/>
      <c r="F3983" s="20"/>
      <c r="G3983" s="12" t="s">
        <v>37</v>
      </c>
      <c r="H3983" s="20"/>
      <c r="Q3983" s="8" t="s">
        <v>4451</v>
      </c>
      <c r="R3983" s="122" t="s">
        <v>3529</v>
      </c>
      <c r="S3983" s="114" t="s">
        <v>4</v>
      </c>
      <c r="T3983" s="114" t="s">
        <v>4325</v>
      </c>
      <c r="U3983" s="114" t="s">
        <v>3521</v>
      </c>
      <c r="V3983" s="114" t="s">
        <v>3530</v>
      </c>
      <c r="W3983" s="114" t="s">
        <v>3436</v>
      </c>
      <c r="X3983" s="114" t="s">
        <v>13</v>
      </c>
      <c r="Y3983" s="149"/>
      <c r="Z3983" s="183"/>
      <c r="AA3983" s="183" t="s">
        <v>2566</v>
      </c>
      <c r="AB3983" s="183" t="s">
        <v>758</v>
      </c>
      <c r="AC3983" s="183" t="s">
        <v>4346</v>
      </c>
      <c r="AD3983" s="183" t="s">
        <v>4921</v>
      </c>
      <c r="AE3983" s="184"/>
      <c r="AF3983" s="184"/>
      <c r="AG3983" s="183"/>
      <c r="AH3983" s="183"/>
      <c r="AI3983" s="183"/>
      <c r="AJ3983" s="183"/>
      <c r="AK3983" s="183"/>
      <c r="AL3983" s="183"/>
      <c r="AM3983" s="183"/>
      <c r="AN3983" s="131"/>
      <c r="AO3983" s="131"/>
      <c r="AP3983" s="131"/>
      <c r="AQ3983" s="131"/>
      <c r="AR3983" s="288"/>
      <c r="AS3983" s="259"/>
      <c r="AT3983" s="237" t="s">
        <v>5346</v>
      </c>
      <c r="AV3983" s="6" t="str">
        <f t="shared" si="85"/>
        <v>ERROR</v>
      </c>
    </row>
    <row r="3984" spans="1:48" ht="81.75" thickBot="1" x14ac:dyDescent="0.5">
      <c r="A3984" s="44" t="s">
        <v>3610</v>
      </c>
      <c r="B3984" s="50" t="s">
        <v>5071</v>
      </c>
      <c r="C3984" s="12"/>
      <c r="D3984" s="20"/>
      <c r="E3984" s="20"/>
      <c r="F3984" s="20"/>
      <c r="G3984" s="12" t="s">
        <v>37</v>
      </c>
      <c r="H3984" s="20"/>
      <c r="R3984" s="122" t="s">
        <v>3435</v>
      </c>
      <c r="S3984" s="114" t="s">
        <v>3437</v>
      </c>
      <c r="T3984" s="114" t="s">
        <v>3610</v>
      </c>
      <c r="U3984" s="114"/>
      <c r="V3984" s="114" t="s">
        <v>3611</v>
      </c>
      <c r="W3984" s="114" t="s">
        <v>3436</v>
      </c>
      <c r="X3984" s="114" t="s">
        <v>13</v>
      </c>
      <c r="Y3984" s="149"/>
      <c r="Z3984" s="183"/>
      <c r="AA3984" s="183"/>
      <c r="AB3984" s="183" t="s">
        <v>4349</v>
      </c>
      <c r="AC3984" s="183"/>
      <c r="AD3984" s="183" t="s">
        <v>4922</v>
      </c>
      <c r="AE3984" s="184"/>
      <c r="AF3984" s="184"/>
      <c r="AG3984" s="183"/>
      <c r="AH3984" s="183"/>
      <c r="AI3984" s="183" t="str">
        <f>"true"</f>
        <v>true</v>
      </c>
      <c r="AJ3984" s="183"/>
      <c r="AK3984" s="183" t="s">
        <v>4452</v>
      </c>
      <c r="AL3984" s="183"/>
      <c r="AM3984" s="183"/>
      <c r="AN3984" s="131"/>
      <c r="AO3984" s="131"/>
      <c r="AP3984" s="131"/>
      <c r="AQ3984" s="131"/>
      <c r="AR3984" s="288"/>
      <c r="AS3984" s="259"/>
      <c r="AT3984" s="237" t="s">
        <v>5347</v>
      </c>
      <c r="AV3984" s="6" t="str">
        <f t="shared" si="85"/>
        <v>OK</v>
      </c>
    </row>
    <row r="3985" spans="1:48" ht="105" thickBot="1" x14ac:dyDescent="0.5">
      <c r="A3985" s="41" t="s">
        <v>4080</v>
      </c>
      <c r="B3985" s="50" t="s">
        <v>3737</v>
      </c>
      <c r="C3985" s="12"/>
      <c r="D3985" s="20"/>
      <c r="E3985" s="20"/>
      <c r="F3985" s="20"/>
      <c r="G3985" s="12" t="s">
        <v>10</v>
      </c>
      <c r="H3985" s="104" t="s">
        <v>13</v>
      </c>
      <c r="Q3985" s="8" t="s">
        <v>3611</v>
      </c>
      <c r="R3985" s="122" t="s">
        <v>3529</v>
      </c>
      <c r="S3985" s="114" t="s">
        <v>4</v>
      </c>
      <c r="T3985" s="114" t="s">
        <v>3612</v>
      </c>
      <c r="U3985" s="114" t="s">
        <v>3521</v>
      </c>
      <c r="V3985" s="114" t="s">
        <v>3530</v>
      </c>
      <c r="W3985" s="114" t="s">
        <v>3436</v>
      </c>
      <c r="X3985" s="114" t="s">
        <v>13</v>
      </c>
      <c r="Y3985" s="149"/>
      <c r="Z3985" s="183"/>
      <c r="AA3985" s="183" t="s">
        <v>3610</v>
      </c>
      <c r="AB3985" s="183" t="s">
        <v>758</v>
      </c>
      <c r="AC3985" s="183" t="s">
        <v>4346</v>
      </c>
      <c r="AD3985" s="183" t="s">
        <v>4923</v>
      </c>
      <c r="AE3985" s="184"/>
      <c r="AF3985" s="184"/>
      <c r="AG3985" s="183"/>
      <c r="AH3985" s="183"/>
      <c r="AI3985" s="183"/>
      <c r="AJ3985" s="183"/>
      <c r="AK3985" s="183"/>
      <c r="AL3985" s="183"/>
      <c r="AM3985" s="183"/>
      <c r="AN3985" s="131"/>
      <c r="AO3985" s="131"/>
      <c r="AP3985" s="131"/>
      <c r="AQ3985" s="131"/>
      <c r="AR3985" s="288"/>
      <c r="AS3985" s="259"/>
      <c r="AT3985" s="237" t="s">
        <v>5347</v>
      </c>
      <c r="AV3985" s="6" t="str">
        <f t="shared" si="85"/>
        <v>OK</v>
      </c>
    </row>
    <row r="3986" spans="1:48" ht="81.75" thickBot="1" x14ac:dyDescent="0.5">
      <c r="A3986" s="41" t="s">
        <v>4510</v>
      </c>
      <c r="B3986" s="50" t="s">
        <v>3738</v>
      </c>
      <c r="C3986" s="12"/>
      <c r="D3986" s="20"/>
      <c r="E3986" s="20"/>
      <c r="F3986" s="20"/>
      <c r="G3986" s="12" t="s">
        <v>10</v>
      </c>
      <c r="H3986" s="20"/>
      <c r="Q3986" s="8" t="s">
        <v>3611</v>
      </c>
      <c r="R3986" s="122" t="s">
        <v>3435</v>
      </c>
      <c r="S3986" s="114" t="s">
        <v>3443</v>
      </c>
      <c r="T3986" s="114" t="s">
        <v>3504</v>
      </c>
      <c r="U3986" s="114" t="s">
        <v>3525</v>
      </c>
      <c r="V3986" s="114"/>
      <c r="W3986" s="114" t="s">
        <v>3436</v>
      </c>
      <c r="X3986" s="114" t="s">
        <v>13</v>
      </c>
      <c r="Y3986" s="149"/>
      <c r="Z3986" s="183"/>
      <c r="AA3986" s="183" t="s">
        <v>3610</v>
      </c>
      <c r="AB3986" s="183" t="s">
        <v>4345</v>
      </c>
      <c r="AC3986" s="183" t="s">
        <v>6</v>
      </c>
      <c r="AD3986" s="183" t="s">
        <v>4924</v>
      </c>
      <c r="AE3986" s="184"/>
      <c r="AF3986" s="184"/>
      <c r="AG3986" s="183"/>
      <c r="AH3986" s="183"/>
      <c r="AI3986" s="183"/>
      <c r="AJ3986" s="183"/>
      <c r="AK3986" s="183" t="s">
        <v>4497</v>
      </c>
      <c r="AL3986" s="183"/>
      <c r="AM3986" s="183"/>
      <c r="AN3986" s="131"/>
      <c r="AO3986" s="131"/>
      <c r="AP3986" s="131"/>
      <c r="AQ3986" s="131"/>
      <c r="AR3986" s="288"/>
      <c r="AS3986" s="259"/>
      <c r="AT3986" s="237" t="s">
        <v>5347</v>
      </c>
      <c r="AV3986" s="6" t="str">
        <f t="shared" si="85"/>
        <v>ERROR</v>
      </c>
    </row>
    <row r="3987" spans="1:48" ht="81.75" thickBot="1" x14ac:dyDescent="0.5">
      <c r="A3987" s="41" t="s">
        <v>4509</v>
      </c>
      <c r="B3987" s="50" t="s">
        <v>3739</v>
      </c>
      <c r="C3987" s="12"/>
      <c r="D3987" s="20"/>
      <c r="E3987" s="20"/>
      <c r="F3987" s="20"/>
      <c r="G3987" s="12" t="s">
        <v>10</v>
      </c>
      <c r="H3987" s="20"/>
      <c r="Q3987" s="8" t="s">
        <v>3611</v>
      </c>
      <c r="R3987" s="122" t="s">
        <v>3435</v>
      </c>
      <c r="S3987" s="114" t="s">
        <v>3443</v>
      </c>
      <c r="T3987" s="114" t="s">
        <v>3505</v>
      </c>
      <c r="U3987" s="114" t="s">
        <v>3525</v>
      </c>
      <c r="V3987" s="114"/>
      <c r="W3987" s="114" t="s">
        <v>3436</v>
      </c>
      <c r="X3987" s="114" t="s">
        <v>13</v>
      </c>
      <c r="Y3987" s="149"/>
      <c r="Z3987" s="183"/>
      <c r="AA3987" s="183" t="s">
        <v>3610</v>
      </c>
      <c r="AB3987" s="183" t="s">
        <v>4504</v>
      </c>
      <c r="AC3987" s="183" t="s">
        <v>6</v>
      </c>
      <c r="AD3987" s="183" t="s">
        <v>4925</v>
      </c>
      <c r="AE3987" s="184"/>
      <c r="AF3987" s="184"/>
      <c r="AG3987" s="183"/>
      <c r="AH3987" s="183"/>
      <c r="AI3987" s="183"/>
      <c r="AJ3987" s="183"/>
      <c r="AK3987" s="183"/>
      <c r="AL3987" s="183"/>
      <c r="AM3987" s="183"/>
      <c r="AN3987" s="131"/>
      <c r="AO3987" s="131"/>
      <c r="AP3987" s="131"/>
      <c r="AQ3987" s="131"/>
      <c r="AR3987" s="288"/>
      <c r="AS3987" s="259"/>
      <c r="AT3987" s="237" t="s">
        <v>5347</v>
      </c>
      <c r="AV3987" s="6" t="str">
        <f t="shared" si="85"/>
        <v>ERROR</v>
      </c>
    </row>
    <row r="3988" spans="1:48" ht="116.65" thickBot="1" x14ac:dyDescent="0.5">
      <c r="A3988" s="44" t="s">
        <v>4246</v>
      </c>
      <c r="B3988" s="50" t="s">
        <v>4247</v>
      </c>
      <c r="C3988" s="12"/>
      <c r="D3988" s="20"/>
      <c r="E3988" s="20"/>
      <c r="F3988" s="20"/>
      <c r="G3988" s="12"/>
      <c r="H3988" s="20"/>
      <c r="R3988" s="122" t="s">
        <v>3435</v>
      </c>
      <c r="S3988" s="114" t="s">
        <v>3437</v>
      </c>
      <c r="T3988" s="114" t="s">
        <v>4246</v>
      </c>
      <c r="U3988" s="114"/>
      <c r="V3988" s="114" t="s">
        <v>4248</v>
      </c>
      <c r="W3988" s="114" t="s">
        <v>3436</v>
      </c>
      <c r="X3988" s="114" t="s">
        <v>13</v>
      </c>
      <c r="Y3988" s="149"/>
      <c r="Z3988" s="183"/>
      <c r="AA3988" s="183"/>
      <c r="AB3988" s="183" t="s">
        <v>4354</v>
      </c>
      <c r="AC3988" s="183" t="s">
        <v>6</v>
      </c>
      <c r="AD3988" s="183" t="s">
        <v>5025</v>
      </c>
      <c r="AE3988" s="184"/>
      <c r="AF3988" s="184"/>
      <c r="AG3988" s="183" t="s">
        <v>4355</v>
      </c>
      <c r="AH3988" s="183" t="s">
        <v>5249</v>
      </c>
      <c r="AI3988" s="183" t="str">
        <f>"true"</f>
        <v>true</v>
      </c>
      <c r="AJ3988" s="183"/>
      <c r="AK3988" s="183"/>
      <c r="AL3988" s="183"/>
      <c r="AM3988" s="183"/>
      <c r="AN3988" s="131"/>
      <c r="AO3988" s="131"/>
      <c r="AP3988" s="131"/>
      <c r="AQ3988" s="131"/>
      <c r="AR3988" s="288"/>
      <c r="AS3988" s="259"/>
      <c r="AT3988" s="183"/>
      <c r="AU3988" s="204" t="s">
        <v>5272</v>
      </c>
      <c r="AV3988" s="6" t="str">
        <f t="shared" si="85"/>
        <v>OK</v>
      </c>
    </row>
    <row r="3989" spans="1:48" ht="14.65" thickBot="1" x14ac:dyDescent="0.5">
      <c r="A3989" s="41" t="s">
        <v>33</v>
      </c>
      <c r="B3989" s="50" t="s">
        <v>4249</v>
      </c>
      <c r="C3989" s="12"/>
      <c r="D3989" s="20"/>
      <c r="E3989" s="20"/>
      <c r="F3989" s="20"/>
      <c r="G3989" s="12"/>
      <c r="H3989" s="20"/>
      <c r="U3989" s="114"/>
      <c r="AV3989" s="6" t="str">
        <f t="shared" si="85"/>
        <v/>
      </c>
    </row>
    <row r="3990" spans="1:48" ht="116.65" thickBot="1" x14ac:dyDescent="0.5">
      <c r="A3990" s="44" t="s">
        <v>5082</v>
      </c>
      <c r="B3990" s="50" t="s">
        <v>5084</v>
      </c>
      <c r="C3990" s="12"/>
      <c r="D3990" s="20"/>
      <c r="E3990" s="20"/>
      <c r="F3990" s="20"/>
      <c r="G3990" s="12" t="s">
        <v>13</v>
      </c>
      <c r="H3990" s="20"/>
      <c r="R3990" s="122" t="s">
        <v>3435</v>
      </c>
      <c r="S3990" s="114" t="s">
        <v>3437</v>
      </c>
      <c r="T3990" s="114" t="s">
        <v>4246</v>
      </c>
      <c r="U3990" s="114"/>
      <c r="V3990" s="114" t="s">
        <v>4248</v>
      </c>
      <c r="W3990" s="114" t="s">
        <v>3436</v>
      </c>
      <c r="X3990" s="114" t="s">
        <v>13</v>
      </c>
      <c r="Y3990" s="149"/>
      <c r="Z3990" s="183"/>
      <c r="AA3990" s="183"/>
      <c r="AB3990" s="183" t="s">
        <v>4354</v>
      </c>
      <c r="AC3990" s="183" t="s">
        <v>6</v>
      </c>
      <c r="AD3990" s="183" t="s">
        <v>5025</v>
      </c>
      <c r="AE3990" s="184"/>
      <c r="AF3990" s="184"/>
      <c r="AG3990" s="183" t="s">
        <v>4355</v>
      </c>
      <c r="AH3990" s="183" t="s">
        <v>5250</v>
      </c>
      <c r="AI3990" s="183" t="str">
        <f>"true"</f>
        <v>true</v>
      </c>
      <c r="AJ3990" s="183"/>
      <c r="AK3990" s="183"/>
      <c r="AL3990" s="183"/>
      <c r="AM3990" s="183"/>
      <c r="AN3990" s="131"/>
      <c r="AO3990" s="131"/>
      <c r="AP3990" s="131"/>
      <c r="AQ3990" s="131"/>
      <c r="AR3990" s="288"/>
      <c r="AS3990" s="259"/>
      <c r="AT3990" s="237" t="s">
        <v>5327</v>
      </c>
      <c r="AU3990" s="204" t="s">
        <v>5271</v>
      </c>
      <c r="AV3990" s="6" t="str">
        <f t="shared" ref="AV3990:AV3991" si="86">IF(A3990&lt;&gt;"",IF(T3990&lt;&gt;"",IF(LEFT(R3990,3)="Has",IF(TRIM(A3990)&lt;&gt;T3990,"ERROR","OK"),""),""),"")</f>
        <v>ERROR</v>
      </c>
    </row>
    <row r="3991" spans="1:48" ht="58.5" thickBot="1" x14ac:dyDescent="0.5">
      <c r="A3991" s="41" t="s">
        <v>33</v>
      </c>
      <c r="B3991" s="50" t="s">
        <v>5089</v>
      </c>
      <c r="C3991" s="12"/>
      <c r="D3991" s="20"/>
      <c r="E3991" s="20"/>
      <c r="F3991" s="20"/>
      <c r="G3991" s="12"/>
      <c r="H3991" s="20"/>
      <c r="U3991" s="114"/>
      <c r="AT3991" s="237" t="s">
        <v>5311</v>
      </c>
      <c r="AV3991" s="6" t="str">
        <f t="shared" si="86"/>
        <v/>
      </c>
    </row>
    <row r="3992" spans="1:48" ht="116.65" thickBot="1" x14ac:dyDescent="0.5">
      <c r="A3992" s="44" t="s">
        <v>5083</v>
      </c>
      <c r="B3992" s="50" t="s">
        <v>4247</v>
      </c>
      <c r="C3992" s="12"/>
      <c r="D3992" s="20"/>
      <c r="E3992" s="20"/>
      <c r="F3992" s="20"/>
      <c r="G3992" s="12" t="s">
        <v>13</v>
      </c>
      <c r="H3992" s="20"/>
      <c r="R3992" s="122" t="s">
        <v>3435</v>
      </c>
      <c r="S3992" s="114" t="s">
        <v>3437</v>
      </c>
      <c r="T3992" s="114" t="s">
        <v>4246</v>
      </c>
      <c r="U3992" s="114"/>
      <c r="V3992" s="114" t="s">
        <v>4248</v>
      </c>
      <c r="W3992" s="114" t="s">
        <v>3436</v>
      </c>
      <c r="X3992" s="114" t="s">
        <v>13</v>
      </c>
      <c r="Y3992" s="149"/>
      <c r="Z3992" s="183"/>
      <c r="AA3992" s="183"/>
      <c r="AB3992" s="183" t="s">
        <v>4354</v>
      </c>
      <c r="AC3992" s="183" t="s">
        <v>6</v>
      </c>
      <c r="AD3992" s="183" t="s">
        <v>5025</v>
      </c>
      <c r="AE3992" s="184"/>
      <c r="AF3992" s="184"/>
      <c r="AG3992" s="183" t="s">
        <v>4355</v>
      </c>
      <c r="AH3992" s="183" t="s">
        <v>5251</v>
      </c>
      <c r="AI3992" s="183" t="str">
        <f>"true"</f>
        <v>true</v>
      </c>
      <c r="AJ3992" s="183"/>
      <c r="AK3992" s="183"/>
      <c r="AL3992" s="183"/>
      <c r="AM3992" s="183"/>
      <c r="AN3992" s="131"/>
      <c r="AO3992" s="131"/>
      <c r="AP3992" s="131"/>
      <c r="AQ3992" s="131"/>
      <c r="AR3992" s="288"/>
      <c r="AS3992" s="259"/>
      <c r="AT3992" s="237" t="s">
        <v>5327</v>
      </c>
      <c r="AU3992" s="204" t="s">
        <v>5271</v>
      </c>
      <c r="AV3992" s="6" t="str">
        <f t="shared" si="85"/>
        <v>ERROR</v>
      </c>
    </row>
    <row r="3993" spans="1:48" ht="58.5" thickBot="1" x14ac:dyDescent="0.5">
      <c r="A3993" s="41" t="s">
        <v>33</v>
      </c>
      <c r="B3993" s="50" t="s">
        <v>5087</v>
      </c>
      <c r="C3993" s="12"/>
      <c r="D3993" s="20"/>
      <c r="E3993" s="20"/>
      <c r="F3993" s="20"/>
      <c r="G3993" s="12"/>
      <c r="H3993" s="20"/>
      <c r="U3993" s="114"/>
      <c r="AT3993" s="237" t="s">
        <v>5311</v>
      </c>
      <c r="AV3993" s="6" t="str">
        <f t="shared" si="85"/>
        <v/>
      </c>
    </row>
    <row r="3994" spans="1:48" ht="116.65" thickBot="1" x14ac:dyDescent="0.5">
      <c r="A3994" s="44" t="s">
        <v>5086</v>
      </c>
      <c r="B3994" s="50" t="s">
        <v>5085</v>
      </c>
      <c r="C3994" s="12"/>
      <c r="D3994" s="20"/>
      <c r="E3994" s="20"/>
      <c r="F3994" s="20"/>
      <c r="G3994" s="12" t="s">
        <v>13</v>
      </c>
      <c r="H3994" s="20"/>
      <c r="R3994" s="122" t="s">
        <v>3435</v>
      </c>
      <c r="S3994" s="114" t="s">
        <v>3437</v>
      </c>
      <c r="T3994" s="114" t="s">
        <v>4246</v>
      </c>
      <c r="U3994" s="114"/>
      <c r="V3994" s="114" t="s">
        <v>4248</v>
      </c>
      <c r="W3994" s="114" t="s">
        <v>3436</v>
      </c>
      <c r="X3994" s="114" t="s">
        <v>13</v>
      </c>
      <c r="Y3994" s="149"/>
      <c r="Z3994" s="183"/>
      <c r="AA3994" s="183"/>
      <c r="AB3994" s="183" t="s">
        <v>4354</v>
      </c>
      <c r="AC3994" s="183" t="s">
        <v>6</v>
      </c>
      <c r="AD3994" s="183" t="s">
        <v>5025</v>
      </c>
      <c r="AE3994" s="184"/>
      <c r="AF3994" s="184"/>
      <c r="AG3994" s="183" t="s">
        <v>4355</v>
      </c>
      <c r="AH3994" s="183" t="s">
        <v>5252</v>
      </c>
      <c r="AI3994" s="183" t="str">
        <f>"true"</f>
        <v>true</v>
      </c>
      <c r="AJ3994" s="183"/>
      <c r="AK3994" s="183"/>
      <c r="AL3994" s="183"/>
      <c r="AM3994" s="183"/>
      <c r="AN3994" s="131"/>
      <c r="AO3994" s="131"/>
      <c r="AP3994" s="131"/>
      <c r="AQ3994" s="131"/>
      <c r="AR3994" s="288"/>
      <c r="AS3994" s="259"/>
      <c r="AT3994" s="237" t="s">
        <v>5327</v>
      </c>
      <c r="AU3994" s="204" t="s">
        <v>5271</v>
      </c>
      <c r="AV3994" s="6" t="str">
        <f t="shared" ref="AV3994:AV3995" si="87">IF(A3994&lt;&gt;"",IF(T3994&lt;&gt;"",IF(LEFT(R3994,3)="Has",IF(TRIM(A3994)&lt;&gt;T3994,"ERROR","OK"),""),""),"")</f>
        <v>ERROR</v>
      </c>
    </row>
    <row r="3995" spans="1:48" ht="58.5" thickBot="1" x14ac:dyDescent="0.5">
      <c r="A3995" s="41" t="s">
        <v>33</v>
      </c>
      <c r="B3995" s="50" t="s">
        <v>5088</v>
      </c>
      <c r="C3995" s="12"/>
      <c r="D3995" s="20"/>
      <c r="E3995" s="20"/>
      <c r="F3995" s="20"/>
      <c r="G3995" s="12"/>
      <c r="H3995" s="20"/>
      <c r="U3995" s="114"/>
      <c r="AT3995" s="237" t="s">
        <v>5311</v>
      </c>
      <c r="AV3995" s="6" t="str">
        <f t="shared" si="87"/>
        <v/>
      </c>
    </row>
    <row r="3996" spans="1:48" ht="116.65" thickBot="1" x14ac:dyDescent="0.5">
      <c r="A3996" s="167" t="s">
        <v>4567</v>
      </c>
      <c r="B3996" s="168" t="s">
        <v>4568</v>
      </c>
      <c r="C3996" s="169"/>
      <c r="D3996" s="170"/>
      <c r="E3996" s="170"/>
      <c r="F3996" s="170"/>
      <c r="G3996" s="169"/>
      <c r="H3996" s="170"/>
      <c r="R3996" s="122" t="s">
        <v>3435</v>
      </c>
      <c r="S3996" s="114" t="s">
        <v>3437</v>
      </c>
      <c r="T3996" s="114" t="s">
        <v>4511</v>
      </c>
      <c r="U3996" s="114"/>
      <c r="V3996" s="114" t="s">
        <v>3575</v>
      </c>
      <c r="W3996" s="114" t="s">
        <v>3436</v>
      </c>
      <c r="X3996" s="114" t="s">
        <v>13</v>
      </c>
      <c r="Y3996" s="149"/>
      <c r="Z3996" s="183"/>
      <c r="AA3996" s="183"/>
      <c r="AB3996" s="183" t="s">
        <v>4354</v>
      </c>
      <c r="AC3996" s="183" t="s">
        <v>6</v>
      </c>
      <c r="AD3996" s="183"/>
      <c r="AE3996" s="184"/>
      <c r="AF3996" s="184"/>
      <c r="AG3996" s="183" t="s">
        <v>4355</v>
      </c>
      <c r="AH3996" s="183" t="s">
        <v>5253</v>
      </c>
      <c r="AI3996" s="183" t="s">
        <v>4357</v>
      </c>
      <c r="AJ3996" s="183"/>
      <c r="AK3996" s="183"/>
      <c r="AL3996" s="183"/>
      <c r="AM3996" s="183"/>
      <c r="AN3996" s="131"/>
      <c r="AO3996" s="131"/>
      <c r="AP3996" s="131"/>
      <c r="AQ3996" s="131"/>
      <c r="AR3996" s="288"/>
      <c r="AS3996" s="259"/>
      <c r="AT3996" s="189" t="s">
        <v>5325</v>
      </c>
      <c r="AU3996" s="204" t="s">
        <v>5271</v>
      </c>
      <c r="AV3996" s="6" t="str">
        <f t="shared" si="85"/>
        <v>ERROR</v>
      </c>
    </row>
    <row r="3997" spans="1:48" ht="23.65" thickBot="1" x14ac:dyDescent="0.5">
      <c r="A3997" s="171" t="s">
        <v>33</v>
      </c>
      <c r="B3997" s="168" t="s">
        <v>3985</v>
      </c>
      <c r="C3997" s="169"/>
      <c r="D3997" s="170"/>
      <c r="E3997" s="170"/>
      <c r="F3997" s="170"/>
      <c r="G3997" s="169"/>
      <c r="H3997" s="170"/>
      <c r="U3997" s="114"/>
      <c r="AT3997" s="189" t="s">
        <v>5325</v>
      </c>
      <c r="AV3997" s="6" t="str">
        <f t="shared" si="85"/>
        <v/>
      </c>
    </row>
    <row r="3998" spans="1:48" ht="105" thickBot="1" x14ac:dyDescent="0.5">
      <c r="A3998" s="167" t="s">
        <v>4607</v>
      </c>
      <c r="B3998" s="168" t="s">
        <v>4608</v>
      </c>
      <c r="C3998" s="169"/>
      <c r="D3998" s="170"/>
      <c r="E3998" s="170"/>
      <c r="F3998" s="170"/>
      <c r="G3998" s="169"/>
      <c r="H3998" s="170"/>
      <c r="R3998" s="122" t="s">
        <v>3435</v>
      </c>
      <c r="S3998" s="114" t="s">
        <v>3437</v>
      </c>
      <c r="T3998" s="114" t="s">
        <v>4607</v>
      </c>
      <c r="U3998" s="114"/>
      <c r="V3998" s="114" t="s">
        <v>4599</v>
      </c>
      <c r="W3998" s="114" t="s">
        <v>3436</v>
      </c>
      <c r="X3998" s="114" t="s">
        <v>13</v>
      </c>
      <c r="Y3998" s="149"/>
      <c r="Z3998" s="183"/>
      <c r="AA3998" s="183"/>
      <c r="AB3998" s="183" t="s">
        <v>4354</v>
      </c>
      <c r="AC3998" s="183" t="s">
        <v>6</v>
      </c>
      <c r="AD3998" s="183"/>
      <c r="AE3998" s="184"/>
      <c r="AF3998" s="184"/>
      <c r="AG3998" s="183" t="s">
        <v>4355</v>
      </c>
      <c r="AH3998" s="183" t="s">
        <v>5254</v>
      </c>
      <c r="AI3998" s="183" t="s">
        <v>4357</v>
      </c>
      <c r="AJ3998" s="183"/>
      <c r="AK3998" s="183"/>
      <c r="AL3998" s="183"/>
      <c r="AM3998" s="183"/>
      <c r="AN3998" s="131"/>
      <c r="AO3998" s="131"/>
      <c r="AP3998" s="131"/>
      <c r="AQ3998" s="131"/>
      <c r="AR3998" s="288"/>
      <c r="AS3998" s="259"/>
      <c r="AT3998" s="189" t="s">
        <v>5325</v>
      </c>
      <c r="AU3998" s="202" t="s">
        <v>5269</v>
      </c>
      <c r="AV3998" s="6" t="str">
        <f t="shared" si="85"/>
        <v>OK</v>
      </c>
    </row>
    <row r="3999" spans="1:48" ht="23.65" thickBot="1" x14ac:dyDescent="0.5">
      <c r="A3999" s="171" t="s">
        <v>33</v>
      </c>
      <c r="B3999" s="168" t="s">
        <v>3740</v>
      </c>
      <c r="C3999" s="169"/>
      <c r="D3999" s="170"/>
      <c r="E3999" s="170"/>
      <c r="F3999" s="170"/>
      <c r="G3999" s="169"/>
      <c r="H3999" s="170"/>
      <c r="U3999" s="114"/>
      <c r="AT3999" s="189" t="s">
        <v>5325</v>
      </c>
      <c r="AV3999" s="6" t="str">
        <f t="shared" si="85"/>
        <v/>
      </c>
    </row>
    <row r="4000" spans="1:48" ht="116.65" thickBot="1" x14ac:dyDescent="0.5">
      <c r="A4000" s="167" t="s">
        <v>2787</v>
      </c>
      <c r="B4000" s="168" t="s">
        <v>4513</v>
      </c>
      <c r="C4000" s="169"/>
      <c r="D4000" s="169"/>
      <c r="E4000" s="170"/>
      <c r="F4000" s="170"/>
      <c r="G4000" s="169"/>
      <c r="H4000" s="169"/>
      <c r="R4000" s="122" t="s">
        <v>3435</v>
      </c>
      <c r="S4000" s="114" t="s">
        <v>3437</v>
      </c>
      <c r="T4000" s="114" t="s">
        <v>2787</v>
      </c>
      <c r="U4000" s="114"/>
      <c r="V4000" s="114" t="s">
        <v>4468</v>
      </c>
      <c r="W4000" s="114" t="s">
        <v>3436</v>
      </c>
      <c r="X4000" s="114" t="s">
        <v>13</v>
      </c>
      <c r="Y4000" s="149"/>
      <c r="Z4000" s="183"/>
      <c r="AA4000" s="183"/>
      <c r="AB4000" s="183" t="s">
        <v>4354</v>
      </c>
      <c r="AC4000" s="183" t="s">
        <v>6</v>
      </c>
      <c r="AD4000" s="183"/>
      <c r="AE4000" s="184"/>
      <c r="AF4000" s="184"/>
      <c r="AG4000" s="183" t="s">
        <v>4355</v>
      </c>
      <c r="AH4000" s="183" t="s">
        <v>5255</v>
      </c>
      <c r="AI4000" s="183" t="s">
        <v>4357</v>
      </c>
      <c r="AJ4000" s="183"/>
      <c r="AK4000" s="183"/>
      <c r="AL4000" s="183"/>
      <c r="AM4000" s="183"/>
      <c r="AN4000" s="131"/>
      <c r="AO4000" s="131"/>
      <c r="AP4000" s="131"/>
      <c r="AQ4000" s="131"/>
      <c r="AR4000" s="288"/>
      <c r="AS4000" s="259"/>
      <c r="AT4000" s="189" t="s">
        <v>5325</v>
      </c>
      <c r="AU4000" s="202" t="s">
        <v>5269</v>
      </c>
      <c r="AV4000" s="6" t="str">
        <f t="shared" ref="AV4000:AV4005" si="88">IF(A4000&lt;&gt;"",IF(T4000&lt;&gt;"",IF(LEFT(R4000,3)="Has",IF(TRIM(A4000)&lt;&gt;T4000,"ERROR","OK"),""),""),"")</f>
        <v>OK</v>
      </c>
    </row>
    <row r="4001" spans="1:48" ht="23.65" thickBot="1" x14ac:dyDescent="0.5">
      <c r="A4001" s="171" t="s">
        <v>33</v>
      </c>
      <c r="B4001" s="168" t="s">
        <v>4566</v>
      </c>
      <c r="C4001" s="169"/>
      <c r="D4001" s="170"/>
      <c r="E4001" s="170"/>
      <c r="F4001" s="170"/>
      <c r="G4001" s="169"/>
      <c r="H4001" s="170"/>
      <c r="U4001" s="114"/>
      <c r="AT4001" s="189" t="s">
        <v>5325</v>
      </c>
      <c r="AV4001" s="6" t="str">
        <f t="shared" si="88"/>
        <v/>
      </c>
    </row>
    <row r="4002" spans="1:48" ht="152.25" thickBot="1" x14ac:dyDescent="0.5">
      <c r="A4002" s="44" t="s">
        <v>4705</v>
      </c>
      <c r="B4002" s="50" t="s">
        <v>4721</v>
      </c>
      <c r="C4002" s="12"/>
      <c r="D4002" s="12"/>
      <c r="E4002" s="20"/>
      <c r="F4002" s="20"/>
      <c r="G4002" s="12" t="s">
        <v>13</v>
      </c>
      <c r="H4002" s="12"/>
      <c r="R4002" s="122" t="s">
        <v>3435</v>
      </c>
      <c r="S4002" s="114" t="s">
        <v>3437</v>
      </c>
      <c r="T4002" s="114" t="s">
        <v>2787</v>
      </c>
      <c r="U4002" s="114"/>
      <c r="V4002" s="114" t="s">
        <v>4541</v>
      </c>
      <c r="W4002" s="114" t="s">
        <v>3436</v>
      </c>
      <c r="X4002" s="114" t="s">
        <v>13</v>
      </c>
      <c r="Y4002" s="149"/>
      <c r="Z4002" s="183"/>
      <c r="AA4002" s="183"/>
      <c r="AB4002" s="183" t="s">
        <v>4354</v>
      </c>
      <c r="AC4002" s="183" t="s">
        <v>6</v>
      </c>
      <c r="AD4002" s="183" t="s">
        <v>4926</v>
      </c>
      <c r="AE4002" s="184"/>
      <c r="AF4002" s="184"/>
      <c r="AG4002" s="183" t="s">
        <v>4355</v>
      </c>
      <c r="AH4002" s="183" t="s">
        <v>5256</v>
      </c>
      <c r="AI4002" s="183" t="s">
        <v>4357</v>
      </c>
      <c r="AJ4002" s="183"/>
      <c r="AK4002" s="183"/>
      <c r="AL4002" s="183"/>
      <c r="AM4002" s="183"/>
      <c r="AN4002" s="131"/>
      <c r="AO4002" s="131"/>
      <c r="AP4002" s="131"/>
      <c r="AQ4002" s="131"/>
      <c r="AR4002" s="288"/>
      <c r="AS4002" s="259"/>
      <c r="AT4002" s="237" t="s">
        <v>5336</v>
      </c>
      <c r="AU4002" s="202" t="s">
        <v>5270</v>
      </c>
      <c r="AV4002" s="6" t="str">
        <f t="shared" ref="AV4002:AV4003" si="89">IF(A4002&lt;&gt;"",IF(T4002&lt;&gt;"",IF(LEFT(R4002,3)="Has",IF(TRIM(A4002)&lt;&gt;T4002,"ERROR","OK"),""),""),"")</f>
        <v>ERROR</v>
      </c>
    </row>
    <row r="4003" spans="1:48" ht="46.9" thickBot="1" x14ac:dyDescent="0.5">
      <c r="A4003" s="41" t="s">
        <v>33</v>
      </c>
      <c r="B4003" s="50" t="s">
        <v>4706</v>
      </c>
      <c r="C4003" s="12"/>
      <c r="D4003" s="20"/>
      <c r="E4003" s="20"/>
      <c r="F4003" s="20"/>
      <c r="G4003" s="12"/>
      <c r="H4003" s="20"/>
      <c r="U4003" s="114"/>
      <c r="AT4003" s="237" t="s">
        <v>5312</v>
      </c>
      <c r="AV4003" s="6" t="str">
        <f t="shared" si="89"/>
        <v/>
      </c>
    </row>
    <row r="4004" spans="1:48" ht="152.25" thickBot="1" x14ac:dyDescent="0.5">
      <c r="A4004" s="44" t="s">
        <v>4670</v>
      </c>
      <c r="B4004" s="50" t="s">
        <v>4722</v>
      </c>
      <c r="C4004" s="12"/>
      <c r="D4004" s="12"/>
      <c r="E4004" s="20"/>
      <c r="F4004" s="20"/>
      <c r="G4004" s="12" t="s">
        <v>13</v>
      </c>
      <c r="H4004" s="12"/>
      <c r="R4004" s="122" t="s">
        <v>3435</v>
      </c>
      <c r="S4004" s="114" t="s">
        <v>3437</v>
      </c>
      <c r="T4004" s="114" t="s">
        <v>2787</v>
      </c>
      <c r="U4004" s="114"/>
      <c r="V4004" s="114" t="s">
        <v>4541</v>
      </c>
      <c r="W4004" s="114" t="s">
        <v>3436</v>
      </c>
      <c r="X4004" s="114" t="s">
        <v>13</v>
      </c>
      <c r="Y4004" s="149"/>
      <c r="Z4004" s="183"/>
      <c r="AA4004" s="183"/>
      <c r="AB4004" s="183" t="s">
        <v>4354</v>
      </c>
      <c r="AC4004" s="183" t="s">
        <v>6</v>
      </c>
      <c r="AD4004" s="183" t="s">
        <v>4927</v>
      </c>
      <c r="AE4004" s="184"/>
      <c r="AF4004" s="184"/>
      <c r="AG4004" s="183" t="s">
        <v>4355</v>
      </c>
      <c r="AH4004" s="183" t="s">
        <v>5257</v>
      </c>
      <c r="AI4004" s="183" t="s">
        <v>4357</v>
      </c>
      <c r="AJ4004" s="183"/>
      <c r="AK4004" s="183"/>
      <c r="AL4004" s="183"/>
      <c r="AM4004" s="183"/>
      <c r="AN4004" s="131"/>
      <c r="AO4004" s="131"/>
      <c r="AP4004" s="131"/>
      <c r="AQ4004" s="131"/>
      <c r="AR4004" s="288"/>
      <c r="AS4004" s="259"/>
      <c r="AT4004" s="237" t="s">
        <v>5337</v>
      </c>
      <c r="AU4004" s="202" t="s">
        <v>5270</v>
      </c>
      <c r="AV4004" s="6" t="str">
        <f t="shared" si="88"/>
        <v>ERROR</v>
      </c>
    </row>
    <row r="4005" spans="1:48" ht="46.9" thickBot="1" x14ac:dyDescent="0.5">
      <c r="A4005" s="41" t="s">
        <v>33</v>
      </c>
      <c r="B4005" s="50" t="s">
        <v>4671</v>
      </c>
      <c r="C4005" s="12"/>
      <c r="D4005" s="20"/>
      <c r="E4005" s="20"/>
      <c r="F4005" s="20"/>
      <c r="G4005" s="12"/>
      <c r="H4005" s="20"/>
      <c r="U4005" s="114"/>
      <c r="AT4005" s="237" t="s">
        <v>5312</v>
      </c>
      <c r="AV4005" s="6" t="str">
        <f t="shared" si="88"/>
        <v/>
      </c>
    </row>
    <row r="4006" spans="1:48" ht="163.9" thickBot="1" x14ac:dyDescent="0.5">
      <c r="A4006" s="167" t="s">
        <v>2787</v>
      </c>
      <c r="B4006" s="168" t="s">
        <v>4637</v>
      </c>
      <c r="C4006" s="169"/>
      <c r="D4006" s="169"/>
      <c r="E4006" s="170"/>
      <c r="F4006" s="170"/>
      <c r="G4006" s="169"/>
      <c r="H4006" s="169"/>
      <c r="R4006" s="122" t="s">
        <v>3435</v>
      </c>
      <c r="S4006" s="114" t="s">
        <v>3437</v>
      </c>
      <c r="T4006" s="114" t="s">
        <v>2787</v>
      </c>
      <c r="U4006" s="114"/>
      <c r="V4006" s="114" t="s">
        <v>3556</v>
      </c>
      <c r="W4006" s="114" t="s">
        <v>3436</v>
      </c>
      <c r="X4006" s="114" t="s">
        <v>13</v>
      </c>
      <c r="Y4006" s="149"/>
      <c r="Z4006" s="183"/>
      <c r="AA4006" s="183"/>
      <c r="AB4006" s="183"/>
      <c r="AC4006" s="183"/>
      <c r="AD4006" s="183"/>
      <c r="AE4006" s="184"/>
      <c r="AF4006" s="184"/>
      <c r="AG4006" s="183"/>
      <c r="AH4006" s="183"/>
      <c r="AI4006" s="183"/>
      <c r="AJ4006" s="183"/>
      <c r="AK4006" s="183"/>
      <c r="AL4006" s="183"/>
      <c r="AM4006" s="183"/>
      <c r="AN4006" s="131"/>
      <c r="AO4006" s="131"/>
      <c r="AP4006" s="131"/>
      <c r="AQ4006" s="131"/>
      <c r="AR4006" s="288"/>
      <c r="AS4006" s="259"/>
      <c r="AT4006" s="189" t="s">
        <v>5325</v>
      </c>
      <c r="AU4006" s="205" t="s">
        <v>4719</v>
      </c>
      <c r="AV4006" s="6" t="str">
        <f t="shared" si="85"/>
        <v>OK</v>
      </c>
    </row>
    <row r="4007" spans="1:48" ht="23.65" thickBot="1" x14ac:dyDescent="0.5">
      <c r="A4007" s="171" t="s">
        <v>33</v>
      </c>
      <c r="B4007" s="168" t="s">
        <v>3686</v>
      </c>
      <c r="C4007" s="169"/>
      <c r="D4007" s="170"/>
      <c r="E4007" s="170"/>
      <c r="F4007" s="170"/>
      <c r="G4007" s="169"/>
      <c r="H4007" s="170"/>
      <c r="R4007" s="114"/>
      <c r="S4007" s="114"/>
      <c r="T4007" s="114"/>
      <c r="U4007" s="114"/>
      <c r="V4007" s="114"/>
      <c r="W4007" s="114"/>
      <c r="X4007" s="114"/>
      <c r="Y4007" s="149"/>
      <c r="Z4007" s="183"/>
      <c r="AA4007" s="183"/>
      <c r="AB4007" s="183"/>
      <c r="AC4007" s="183"/>
      <c r="AD4007" s="183"/>
      <c r="AE4007" s="184"/>
      <c r="AF4007" s="184"/>
      <c r="AG4007" s="183"/>
      <c r="AH4007" s="183"/>
      <c r="AI4007" s="183"/>
      <c r="AJ4007" s="183"/>
      <c r="AK4007" s="183"/>
      <c r="AL4007" s="183"/>
      <c r="AM4007" s="183"/>
      <c r="AN4007" s="131"/>
      <c r="AO4007" s="131"/>
      <c r="AP4007" s="131"/>
      <c r="AQ4007" s="131"/>
      <c r="AR4007" s="288"/>
      <c r="AS4007" s="259"/>
      <c r="AT4007" s="189" t="s">
        <v>5325</v>
      </c>
      <c r="AU4007" s="205"/>
      <c r="AV4007" s="6" t="str">
        <f t="shared" si="85"/>
        <v/>
      </c>
    </row>
    <row r="4008" spans="1:48" ht="23.65" thickBot="1" x14ac:dyDescent="0.5">
      <c r="A4008" s="172" t="s">
        <v>461</v>
      </c>
      <c r="B4008" s="173" t="s">
        <v>3688</v>
      </c>
      <c r="C4008" s="169"/>
      <c r="D4008" s="170"/>
      <c r="E4008" s="170"/>
      <c r="F4008" s="174"/>
      <c r="G4008" s="169"/>
      <c r="H4008" s="170"/>
      <c r="R4008" s="114"/>
      <c r="S4008" s="114"/>
      <c r="T4008" s="114"/>
      <c r="U4008" s="114"/>
      <c r="V4008" s="114"/>
      <c r="W4008" s="114"/>
      <c r="X4008" s="114"/>
      <c r="Y4008" s="149"/>
      <c r="Z4008" s="183"/>
      <c r="AA4008" s="183"/>
      <c r="AB4008" s="183"/>
      <c r="AC4008" s="183"/>
      <c r="AD4008" s="183"/>
      <c r="AE4008" s="184"/>
      <c r="AF4008" s="184"/>
      <c r="AG4008" s="183"/>
      <c r="AH4008" s="183"/>
      <c r="AI4008" s="183"/>
      <c r="AJ4008" s="183"/>
      <c r="AK4008" s="183"/>
      <c r="AL4008" s="183"/>
      <c r="AM4008" s="183"/>
      <c r="AN4008" s="131"/>
      <c r="AO4008" s="131"/>
      <c r="AP4008" s="131"/>
      <c r="AQ4008" s="131"/>
      <c r="AR4008" s="288"/>
      <c r="AS4008" s="259"/>
      <c r="AT4008" s="189" t="s">
        <v>5325</v>
      </c>
      <c r="AU4008" s="206"/>
      <c r="AV4008" s="6" t="str">
        <f t="shared" si="85"/>
        <v/>
      </c>
    </row>
    <row r="4009" spans="1:48" ht="23.65" thickBot="1" x14ac:dyDescent="0.5">
      <c r="A4009" s="172" t="s">
        <v>424</v>
      </c>
      <c r="B4009" s="173" t="s">
        <v>3689</v>
      </c>
      <c r="C4009" s="169"/>
      <c r="D4009" s="170"/>
      <c r="E4009" s="170"/>
      <c r="F4009" s="174"/>
      <c r="G4009" s="169"/>
      <c r="H4009" s="170"/>
      <c r="R4009" s="114"/>
      <c r="S4009" s="114"/>
      <c r="T4009" s="114"/>
      <c r="U4009" s="114"/>
      <c r="V4009" s="114"/>
      <c r="W4009" s="114"/>
      <c r="X4009" s="114"/>
      <c r="Y4009" s="149"/>
      <c r="Z4009" s="183"/>
      <c r="AA4009" s="183"/>
      <c r="AB4009" s="183"/>
      <c r="AC4009" s="183"/>
      <c r="AD4009" s="183"/>
      <c r="AE4009" s="184"/>
      <c r="AF4009" s="184"/>
      <c r="AG4009" s="183"/>
      <c r="AH4009" s="183"/>
      <c r="AI4009" s="183"/>
      <c r="AJ4009" s="183"/>
      <c r="AK4009" s="183"/>
      <c r="AL4009" s="183"/>
      <c r="AM4009" s="183"/>
      <c r="AN4009" s="131"/>
      <c r="AO4009" s="131"/>
      <c r="AP4009" s="131"/>
      <c r="AQ4009" s="131"/>
      <c r="AR4009" s="288"/>
      <c r="AS4009" s="259"/>
      <c r="AT4009" s="189" t="s">
        <v>5325</v>
      </c>
      <c r="AU4009" s="206"/>
      <c r="AV4009" s="6" t="str">
        <f t="shared" si="85"/>
        <v/>
      </c>
    </row>
    <row r="4010" spans="1:48" ht="70.900000000000006" thickBot="1" x14ac:dyDescent="0.5">
      <c r="A4010" s="171" t="s">
        <v>2679</v>
      </c>
      <c r="B4010" s="168" t="s">
        <v>3987</v>
      </c>
      <c r="C4010" s="169"/>
      <c r="D4010" s="169"/>
      <c r="E4010" s="170"/>
      <c r="F4010" s="170"/>
      <c r="G4010" s="169"/>
      <c r="H4010" s="169"/>
      <c r="Q4010" s="8" t="s">
        <v>3556</v>
      </c>
      <c r="R4010" s="122" t="s">
        <v>3529</v>
      </c>
      <c r="S4010" s="114" t="s">
        <v>4</v>
      </c>
      <c r="T4010" s="114" t="s">
        <v>2676</v>
      </c>
      <c r="U4010" s="114" t="s">
        <v>3521</v>
      </c>
      <c r="V4010" s="114" t="s">
        <v>3530</v>
      </c>
      <c r="W4010" s="114" t="s">
        <v>3436</v>
      </c>
      <c r="X4010" s="114" t="s">
        <v>13</v>
      </c>
      <c r="Y4010" s="149"/>
      <c r="Z4010" s="183"/>
      <c r="AA4010" s="183"/>
      <c r="AB4010" s="183"/>
      <c r="AC4010" s="183"/>
      <c r="AD4010" s="183"/>
      <c r="AE4010" s="184"/>
      <c r="AF4010" s="184"/>
      <c r="AG4010" s="183"/>
      <c r="AH4010" s="183"/>
      <c r="AI4010" s="183"/>
      <c r="AJ4010" s="183"/>
      <c r="AK4010" s="183"/>
      <c r="AL4010" s="183"/>
      <c r="AM4010" s="183"/>
      <c r="AN4010" s="131"/>
      <c r="AO4010" s="131"/>
      <c r="AP4010" s="131"/>
      <c r="AQ4010" s="131"/>
      <c r="AR4010" s="288"/>
      <c r="AS4010" s="259"/>
      <c r="AT4010" s="189" t="s">
        <v>5325</v>
      </c>
      <c r="AU4010" s="205" t="s">
        <v>4465</v>
      </c>
      <c r="AV4010" s="6" t="str">
        <f t="shared" si="85"/>
        <v>OK</v>
      </c>
    </row>
    <row r="4011" spans="1:48" ht="70.900000000000006" thickBot="1" x14ac:dyDescent="0.5">
      <c r="A4011" s="171" t="s">
        <v>2680</v>
      </c>
      <c r="B4011" s="168" t="s">
        <v>3744</v>
      </c>
      <c r="C4011" s="169"/>
      <c r="D4011" s="169"/>
      <c r="E4011" s="170"/>
      <c r="F4011" s="170"/>
      <c r="G4011" s="169"/>
      <c r="H4011" s="169"/>
      <c r="Q4011" s="8" t="s">
        <v>3556</v>
      </c>
      <c r="R4011" s="122" t="s">
        <v>3529</v>
      </c>
      <c r="S4011" s="114" t="s">
        <v>4</v>
      </c>
      <c r="T4011" s="114" t="s">
        <v>2649</v>
      </c>
      <c r="U4011" s="114" t="s">
        <v>3521</v>
      </c>
      <c r="V4011" s="114" t="s">
        <v>3530</v>
      </c>
      <c r="W4011" s="114" t="s">
        <v>3436</v>
      </c>
      <c r="X4011" s="114" t="s">
        <v>13</v>
      </c>
      <c r="Y4011" s="149"/>
      <c r="Z4011" s="183"/>
      <c r="AA4011" s="183"/>
      <c r="AB4011" s="183"/>
      <c r="AC4011" s="183"/>
      <c r="AD4011" s="183"/>
      <c r="AE4011" s="184"/>
      <c r="AF4011" s="184"/>
      <c r="AG4011" s="183"/>
      <c r="AH4011" s="183"/>
      <c r="AI4011" s="183"/>
      <c r="AJ4011" s="183"/>
      <c r="AK4011" s="183"/>
      <c r="AL4011" s="183"/>
      <c r="AM4011" s="183"/>
      <c r="AN4011" s="131"/>
      <c r="AO4011" s="131"/>
      <c r="AP4011" s="131"/>
      <c r="AQ4011" s="131"/>
      <c r="AR4011" s="288"/>
      <c r="AS4011" s="259"/>
      <c r="AT4011" s="189" t="s">
        <v>5325</v>
      </c>
      <c r="AU4011" s="205" t="s">
        <v>4465</v>
      </c>
      <c r="AV4011" s="6" t="str">
        <f t="shared" si="85"/>
        <v>OK</v>
      </c>
    </row>
    <row r="4012" spans="1:48" ht="70.900000000000006" thickBot="1" x14ac:dyDescent="0.5">
      <c r="A4012" s="171" t="s">
        <v>2681</v>
      </c>
      <c r="B4012" s="168" t="s">
        <v>3741</v>
      </c>
      <c r="C4012" s="169"/>
      <c r="D4012" s="169"/>
      <c r="E4012" s="170"/>
      <c r="F4012" s="170"/>
      <c r="G4012" s="169"/>
      <c r="H4012" s="169"/>
      <c r="Q4012" s="8" t="s">
        <v>3556</v>
      </c>
      <c r="R4012" s="122" t="s">
        <v>3435</v>
      </c>
      <c r="S4012" s="114" t="s">
        <v>3437</v>
      </c>
      <c r="T4012" s="114" t="s">
        <v>3517</v>
      </c>
      <c r="U4012" s="114"/>
      <c r="V4012" s="114" t="s">
        <v>3633</v>
      </c>
      <c r="W4012" s="114" t="s">
        <v>3436</v>
      </c>
      <c r="X4012" s="114" t="s">
        <v>13</v>
      </c>
      <c r="Y4012" s="149"/>
      <c r="Z4012" s="183"/>
      <c r="AA4012" s="183"/>
      <c r="AB4012" s="183"/>
      <c r="AC4012" s="183"/>
      <c r="AD4012" s="183"/>
      <c r="AE4012" s="184"/>
      <c r="AF4012" s="184"/>
      <c r="AG4012" s="183"/>
      <c r="AH4012" s="183"/>
      <c r="AI4012" s="183"/>
      <c r="AJ4012" s="183"/>
      <c r="AK4012" s="183"/>
      <c r="AL4012" s="183"/>
      <c r="AM4012" s="183"/>
      <c r="AN4012" s="131"/>
      <c r="AO4012" s="131"/>
      <c r="AP4012" s="131"/>
      <c r="AQ4012" s="131"/>
      <c r="AR4012" s="288"/>
      <c r="AS4012" s="259"/>
      <c r="AT4012" s="189" t="s">
        <v>5325</v>
      </c>
      <c r="AU4012" s="205" t="s">
        <v>4465</v>
      </c>
      <c r="AV4012" s="6" t="str">
        <f t="shared" si="85"/>
        <v>OK</v>
      </c>
    </row>
    <row r="4013" spans="1:48" ht="23.65" thickBot="1" x14ac:dyDescent="0.5">
      <c r="A4013" s="171" t="s">
        <v>43</v>
      </c>
      <c r="B4013" s="168" t="s">
        <v>3686</v>
      </c>
      <c r="C4013" s="169"/>
      <c r="D4013" s="170"/>
      <c r="E4013" s="170"/>
      <c r="F4013" s="170"/>
      <c r="G4013" s="169"/>
      <c r="H4013" s="170"/>
      <c r="R4013" s="114"/>
      <c r="S4013" s="114"/>
      <c r="T4013" s="114"/>
      <c r="U4013" s="114"/>
      <c r="V4013" s="114"/>
      <c r="W4013" s="114"/>
      <c r="X4013" s="114"/>
      <c r="Y4013" s="149"/>
      <c r="Z4013" s="183"/>
      <c r="AA4013" s="183"/>
      <c r="AB4013" s="183"/>
      <c r="AC4013" s="183"/>
      <c r="AD4013" s="183"/>
      <c r="AE4013" s="184"/>
      <c r="AF4013" s="184"/>
      <c r="AG4013" s="183"/>
      <c r="AH4013" s="183"/>
      <c r="AI4013" s="183"/>
      <c r="AJ4013" s="183"/>
      <c r="AK4013" s="183"/>
      <c r="AL4013" s="183"/>
      <c r="AM4013" s="183"/>
      <c r="AN4013" s="131"/>
      <c r="AO4013" s="131"/>
      <c r="AP4013" s="131"/>
      <c r="AQ4013" s="131"/>
      <c r="AR4013" s="288"/>
      <c r="AS4013" s="259"/>
      <c r="AT4013" s="189" t="s">
        <v>5325</v>
      </c>
      <c r="AU4013" s="205"/>
      <c r="AV4013" s="6" t="str">
        <f t="shared" si="85"/>
        <v/>
      </c>
    </row>
    <row r="4014" spans="1:48" ht="23.65" thickBot="1" x14ac:dyDescent="0.5">
      <c r="A4014" s="172" t="s">
        <v>2788</v>
      </c>
      <c r="B4014" s="173" t="s">
        <v>3688</v>
      </c>
      <c r="C4014" s="169"/>
      <c r="D4014" s="170"/>
      <c r="E4014" s="170"/>
      <c r="F4014" s="174"/>
      <c r="G4014" s="169"/>
      <c r="H4014" s="170"/>
      <c r="R4014" s="114"/>
      <c r="S4014" s="114"/>
      <c r="T4014" s="114"/>
      <c r="U4014" s="114"/>
      <c r="V4014" s="114"/>
      <c r="W4014" s="114"/>
      <c r="X4014" s="114"/>
      <c r="Y4014" s="149"/>
      <c r="Z4014" s="183"/>
      <c r="AA4014" s="183"/>
      <c r="AB4014" s="183"/>
      <c r="AC4014" s="183"/>
      <c r="AD4014" s="183"/>
      <c r="AE4014" s="184"/>
      <c r="AF4014" s="184"/>
      <c r="AG4014" s="183"/>
      <c r="AH4014" s="183"/>
      <c r="AI4014" s="183"/>
      <c r="AJ4014" s="183"/>
      <c r="AK4014" s="183"/>
      <c r="AL4014" s="183"/>
      <c r="AM4014" s="183"/>
      <c r="AN4014" s="131"/>
      <c r="AO4014" s="131"/>
      <c r="AP4014" s="131"/>
      <c r="AQ4014" s="131"/>
      <c r="AR4014" s="288"/>
      <c r="AS4014" s="259"/>
      <c r="AT4014" s="189" t="s">
        <v>5325</v>
      </c>
      <c r="AU4014" s="206"/>
      <c r="AV4014" s="6" t="str">
        <f t="shared" si="85"/>
        <v/>
      </c>
    </row>
    <row r="4015" spans="1:48" ht="23.65" thickBot="1" x14ac:dyDescent="0.5">
      <c r="A4015" s="172" t="s">
        <v>3540</v>
      </c>
      <c r="B4015" s="173" t="s">
        <v>3689</v>
      </c>
      <c r="C4015" s="169"/>
      <c r="D4015" s="170"/>
      <c r="E4015" s="170"/>
      <c r="F4015" s="174"/>
      <c r="G4015" s="169"/>
      <c r="H4015" s="170"/>
      <c r="R4015" s="114"/>
      <c r="S4015" s="114"/>
      <c r="T4015" s="114"/>
      <c r="U4015" s="114"/>
      <c r="V4015" s="114"/>
      <c r="W4015" s="114"/>
      <c r="X4015" s="114"/>
      <c r="Y4015" s="149"/>
      <c r="Z4015" s="183"/>
      <c r="AA4015" s="183"/>
      <c r="AB4015" s="183"/>
      <c r="AC4015" s="183"/>
      <c r="AD4015" s="183"/>
      <c r="AE4015" s="184"/>
      <c r="AF4015" s="184"/>
      <c r="AG4015" s="183"/>
      <c r="AH4015" s="183"/>
      <c r="AI4015" s="183"/>
      <c r="AJ4015" s="183"/>
      <c r="AK4015" s="183"/>
      <c r="AL4015" s="183"/>
      <c r="AM4015" s="183"/>
      <c r="AN4015" s="131"/>
      <c r="AO4015" s="131"/>
      <c r="AP4015" s="131"/>
      <c r="AQ4015" s="131"/>
      <c r="AR4015" s="288"/>
      <c r="AS4015" s="259"/>
      <c r="AT4015" s="189" t="s">
        <v>5325</v>
      </c>
      <c r="AU4015" s="206"/>
      <c r="AV4015" s="6" t="str">
        <f t="shared" si="85"/>
        <v/>
      </c>
    </row>
    <row r="4016" spans="1:48" ht="70.900000000000006" thickBot="1" x14ac:dyDescent="0.5">
      <c r="A4016" s="171" t="s">
        <v>2682</v>
      </c>
      <c r="B4016" s="168" t="s">
        <v>3742</v>
      </c>
      <c r="C4016" s="169"/>
      <c r="D4016" s="169"/>
      <c r="E4016" s="170"/>
      <c r="F4016" s="170"/>
      <c r="G4016" s="169"/>
      <c r="H4016" s="169"/>
      <c r="Q4016" s="8" t="s">
        <v>3633</v>
      </c>
      <c r="R4016" s="122" t="s">
        <v>3529</v>
      </c>
      <c r="S4016" s="114" t="s">
        <v>4</v>
      </c>
      <c r="T4016" s="114" t="s">
        <v>2677</v>
      </c>
      <c r="U4016" s="114" t="s">
        <v>3521</v>
      </c>
      <c r="V4016" s="114" t="s">
        <v>3530</v>
      </c>
      <c r="W4016" s="114" t="s">
        <v>3436</v>
      </c>
      <c r="X4016" s="114" t="s">
        <v>13</v>
      </c>
      <c r="Y4016" s="149"/>
      <c r="Z4016" s="183"/>
      <c r="AA4016" s="183"/>
      <c r="AB4016" s="183"/>
      <c r="AC4016" s="183"/>
      <c r="AD4016" s="183"/>
      <c r="AE4016" s="184"/>
      <c r="AF4016" s="184"/>
      <c r="AG4016" s="183"/>
      <c r="AH4016" s="183"/>
      <c r="AI4016" s="183"/>
      <c r="AJ4016" s="183"/>
      <c r="AK4016" s="183"/>
      <c r="AL4016" s="183"/>
      <c r="AM4016" s="183"/>
      <c r="AN4016" s="131"/>
      <c r="AO4016" s="131"/>
      <c r="AP4016" s="131"/>
      <c r="AQ4016" s="131"/>
      <c r="AR4016" s="288"/>
      <c r="AS4016" s="259"/>
      <c r="AT4016" s="189" t="s">
        <v>5325</v>
      </c>
      <c r="AU4016" s="205" t="s">
        <v>4465</v>
      </c>
      <c r="AV4016" s="6" t="str">
        <f t="shared" si="85"/>
        <v>OK</v>
      </c>
    </row>
    <row r="4017" spans="1:48" ht="70.900000000000006" thickBot="1" x14ac:dyDescent="0.5">
      <c r="A4017" s="171" t="s">
        <v>2683</v>
      </c>
      <c r="B4017" s="168" t="s">
        <v>3974</v>
      </c>
      <c r="C4017" s="169"/>
      <c r="D4017" s="169"/>
      <c r="E4017" s="170"/>
      <c r="F4017" s="170"/>
      <c r="G4017" s="169"/>
      <c r="H4017" s="169"/>
      <c r="Q4017" s="131" t="s">
        <v>3633</v>
      </c>
      <c r="R4017" s="122" t="s">
        <v>3529</v>
      </c>
      <c r="S4017" s="114" t="s">
        <v>4</v>
      </c>
      <c r="T4017" s="114" t="s">
        <v>950</v>
      </c>
      <c r="U4017" s="114" t="s">
        <v>3521</v>
      </c>
      <c r="V4017" s="114" t="s">
        <v>3530</v>
      </c>
      <c r="W4017" s="114" t="s">
        <v>3436</v>
      </c>
      <c r="X4017" s="114" t="s">
        <v>13</v>
      </c>
      <c r="Y4017" s="149"/>
      <c r="Z4017" s="183"/>
      <c r="AA4017" s="183"/>
      <c r="AB4017" s="183"/>
      <c r="AC4017" s="183"/>
      <c r="AD4017" s="183"/>
      <c r="AE4017" s="184"/>
      <c r="AF4017" s="184"/>
      <c r="AG4017" s="183"/>
      <c r="AH4017" s="183"/>
      <c r="AI4017" s="183"/>
      <c r="AJ4017" s="183"/>
      <c r="AK4017" s="183"/>
      <c r="AL4017" s="183"/>
      <c r="AM4017" s="183"/>
      <c r="AN4017" s="131"/>
      <c r="AO4017" s="131"/>
      <c r="AP4017" s="131"/>
      <c r="AQ4017" s="131"/>
      <c r="AR4017" s="288"/>
      <c r="AS4017" s="259"/>
      <c r="AT4017" s="189" t="s">
        <v>5325</v>
      </c>
      <c r="AU4017" s="205" t="s">
        <v>4465</v>
      </c>
      <c r="AV4017" s="6" t="str">
        <f t="shared" si="85"/>
        <v>OK</v>
      </c>
    </row>
    <row r="4018" spans="1:48" ht="70.900000000000006" thickBot="1" x14ac:dyDescent="0.5">
      <c r="A4018" s="171" t="s">
        <v>2684</v>
      </c>
      <c r="B4018" s="168" t="s">
        <v>3743</v>
      </c>
      <c r="C4018" s="169"/>
      <c r="D4018" s="169"/>
      <c r="E4018" s="170"/>
      <c r="F4018" s="170"/>
      <c r="G4018" s="169"/>
      <c r="H4018" s="169"/>
      <c r="Q4018" s="131" t="s">
        <v>3633</v>
      </c>
      <c r="R4018" s="122" t="s">
        <v>3529</v>
      </c>
      <c r="S4018" s="114" t="s">
        <v>4</v>
      </c>
      <c r="T4018" s="114" t="s">
        <v>2650</v>
      </c>
      <c r="U4018" s="114" t="s">
        <v>3521</v>
      </c>
      <c r="V4018" s="114" t="s">
        <v>3530</v>
      </c>
      <c r="W4018" s="114" t="s">
        <v>3436</v>
      </c>
      <c r="X4018" s="114" t="s">
        <v>13</v>
      </c>
      <c r="Y4018" s="149"/>
      <c r="Z4018" s="183"/>
      <c r="AA4018" s="183"/>
      <c r="AB4018" s="183"/>
      <c r="AC4018" s="183"/>
      <c r="AD4018" s="183"/>
      <c r="AE4018" s="184"/>
      <c r="AF4018" s="184"/>
      <c r="AG4018" s="183"/>
      <c r="AH4018" s="183"/>
      <c r="AI4018" s="183"/>
      <c r="AJ4018" s="183"/>
      <c r="AK4018" s="183"/>
      <c r="AL4018" s="183"/>
      <c r="AM4018" s="183"/>
      <c r="AN4018" s="131"/>
      <c r="AO4018" s="131"/>
      <c r="AP4018" s="131"/>
      <c r="AQ4018" s="131"/>
      <c r="AR4018" s="288"/>
      <c r="AS4018" s="259"/>
      <c r="AT4018" s="189" t="s">
        <v>5325</v>
      </c>
      <c r="AU4018" s="205" t="s">
        <v>4465</v>
      </c>
      <c r="AV4018" s="6" t="str">
        <f t="shared" si="85"/>
        <v>OK</v>
      </c>
    </row>
    <row r="4019" spans="1:48" ht="105.75" thickBot="1" x14ac:dyDescent="0.5">
      <c r="A4019" s="171" t="s">
        <v>2685</v>
      </c>
      <c r="B4019" s="168" t="s">
        <v>4312</v>
      </c>
      <c r="C4019" s="169"/>
      <c r="D4019" s="169"/>
      <c r="E4019" s="170"/>
      <c r="F4019" s="170"/>
      <c r="G4019" s="169"/>
      <c r="H4019" s="169"/>
      <c r="Q4019" s="131" t="s">
        <v>3633</v>
      </c>
      <c r="R4019" s="122" t="s">
        <v>3435</v>
      </c>
      <c r="S4019" s="114" t="s">
        <v>3437</v>
      </c>
      <c r="T4019" s="114" t="s">
        <v>2651</v>
      </c>
      <c r="U4019" s="114"/>
      <c r="V4019" s="114" t="s">
        <v>3445</v>
      </c>
      <c r="W4019" s="114" t="s">
        <v>3436</v>
      </c>
      <c r="X4019" s="114" t="s">
        <v>13</v>
      </c>
      <c r="Y4019" s="149"/>
      <c r="Z4019" s="183"/>
      <c r="AA4019" s="183"/>
      <c r="AB4019" s="183"/>
      <c r="AC4019" s="183"/>
      <c r="AD4019" s="183"/>
      <c r="AE4019" s="184"/>
      <c r="AF4019" s="184"/>
      <c r="AG4019" s="183"/>
      <c r="AH4019" s="183"/>
      <c r="AI4019" s="183"/>
      <c r="AJ4019" s="183"/>
      <c r="AK4019" s="183"/>
      <c r="AL4019" s="183"/>
      <c r="AM4019" s="183"/>
      <c r="AN4019" s="131"/>
      <c r="AO4019" s="131"/>
      <c r="AP4019" s="131"/>
      <c r="AQ4019" s="131"/>
      <c r="AR4019" s="288"/>
      <c r="AS4019" s="259"/>
      <c r="AT4019" s="189" t="s">
        <v>5325</v>
      </c>
      <c r="AU4019" s="205" t="s">
        <v>4467</v>
      </c>
      <c r="AV4019" s="6" t="str">
        <f t="shared" si="85"/>
        <v>OK</v>
      </c>
    </row>
    <row r="4020" spans="1:48" ht="70.900000000000006" thickBot="1" x14ac:dyDescent="0.5">
      <c r="A4020" s="171" t="s">
        <v>2688</v>
      </c>
      <c r="B4020" s="168" t="s">
        <v>3986</v>
      </c>
      <c r="C4020" s="169"/>
      <c r="D4020" s="169"/>
      <c r="E4020" s="170"/>
      <c r="F4020" s="170"/>
      <c r="G4020" s="169"/>
      <c r="H4020" s="169"/>
      <c r="Q4020" s="8" t="s">
        <v>3445</v>
      </c>
      <c r="R4020" s="122" t="s">
        <v>3435</v>
      </c>
      <c r="S4020" s="114" t="s">
        <v>3443</v>
      </c>
      <c r="T4020" s="114" t="s">
        <v>3506</v>
      </c>
      <c r="U4020" s="114" t="s">
        <v>3522</v>
      </c>
      <c r="V4020" s="114" t="s">
        <v>3531</v>
      </c>
      <c r="W4020" s="114" t="s">
        <v>3436</v>
      </c>
      <c r="X4020" s="114" t="s">
        <v>13</v>
      </c>
      <c r="Y4020" s="149"/>
      <c r="Z4020" s="183"/>
      <c r="AA4020" s="183"/>
      <c r="AB4020" s="183"/>
      <c r="AC4020" s="183"/>
      <c r="AD4020" s="183"/>
      <c r="AE4020" s="184"/>
      <c r="AF4020" s="184"/>
      <c r="AG4020" s="183"/>
      <c r="AH4020" s="183"/>
      <c r="AI4020" s="183"/>
      <c r="AJ4020" s="183"/>
      <c r="AK4020" s="183"/>
      <c r="AL4020" s="183"/>
      <c r="AM4020" s="183"/>
      <c r="AN4020" s="131"/>
      <c r="AO4020" s="131"/>
      <c r="AP4020" s="131"/>
      <c r="AQ4020" s="131"/>
      <c r="AR4020" s="288"/>
      <c r="AS4020" s="259"/>
      <c r="AT4020" s="189" t="s">
        <v>5325</v>
      </c>
      <c r="AU4020" s="205" t="s">
        <v>4465</v>
      </c>
      <c r="AV4020" s="6" t="str">
        <f t="shared" si="85"/>
        <v>OK</v>
      </c>
    </row>
    <row r="4021" spans="1:48" ht="70.900000000000006" thickBot="1" x14ac:dyDescent="0.5">
      <c r="A4021" s="171" t="s">
        <v>2689</v>
      </c>
      <c r="B4021" s="168" t="s">
        <v>3746</v>
      </c>
      <c r="C4021" s="169"/>
      <c r="D4021" s="169"/>
      <c r="E4021" s="170"/>
      <c r="F4021" s="170"/>
      <c r="G4021" s="169"/>
      <c r="H4021" s="169"/>
      <c r="Q4021" s="8" t="s">
        <v>3445</v>
      </c>
      <c r="R4021" s="122" t="s">
        <v>3529</v>
      </c>
      <c r="S4021" s="114" t="s">
        <v>4</v>
      </c>
      <c r="T4021" s="114" t="s">
        <v>3507</v>
      </c>
      <c r="U4021" s="114" t="s">
        <v>3522</v>
      </c>
      <c r="V4021" s="114" t="s">
        <v>3530</v>
      </c>
      <c r="W4021" s="114" t="s">
        <v>3436</v>
      </c>
      <c r="X4021" s="114" t="s">
        <v>13</v>
      </c>
      <c r="Y4021" s="149"/>
      <c r="Z4021" s="183"/>
      <c r="AA4021" s="183"/>
      <c r="AB4021" s="183"/>
      <c r="AC4021" s="183"/>
      <c r="AD4021" s="183"/>
      <c r="AE4021" s="184"/>
      <c r="AF4021" s="184"/>
      <c r="AG4021" s="183"/>
      <c r="AH4021" s="183"/>
      <c r="AI4021" s="183"/>
      <c r="AJ4021" s="183"/>
      <c r="AK4021" s="183"/>
      <c r="AL4021" s="183"/>
      <c r="AM4021" s="183"/>
      <c r="AN4021" s="131"/>
      <c r="AO4021" s="131"/>
      <c r="AP4021" s="131"/>
      <c r="AQ4021" s="131"/>
      <c r="AR4021" s="288"/>
      <c r="AS4021" s="259"/>
      <c r="AT4021" s="189" t="s">
        <v>5325</v>
      </c>
      <c r="AU4021" s="205" t="s">
        <v>4465</v>
      </c>
      <c r="AV4021" s="6" t="str">
        <f t="shared" si="85"/>
        <v>OK</v>
      </c>
    </row>
    <row r="4022" spans="1:48" ht="70.900000000000006" thickBot="1" x14ac:dyDescent="0.5">
      <c r="A4022" s="171" t="s">
        <v>2690</v>
      </c>
      <c r="B4022" s="168" t="s">
        <v>3972</v>
      </c>
      <c r="C4022" s="169"/>
      <c r="D4022" s="169"/>
      <c r="E4022" s="170"/>
      <c r="F4022" s="170"/>
      <c r="G4022" s="169"/>
      <c r="H4022" s="169"/>
      <c r="Q4022" s="8" t="s">
        <v>3445</v>
      </c>
      <c r="R4022" s="122" t="s">
        <v>3435</v>
      </c>
      <c r="S4022" s="114" t="s">
        <v>3443</v>
      </c>
      <c r="T4022" s="114" t="s">
        <v>3508</v>
      </c>
      <c r="U4022" s="114" t="s">
        <v>3522</v>
      </c>
      <c r="V4022" s="114" t="s">
        <v>3531</v>
      </c>
      <c r="W4022" s="114" t="s">
        <v>3436</v>
      </c>
      <c r="X4022" s="114" t="s">
        <v>13</v>
      </c>
      <c r="Y4022" s="149"/>
      <c r="Z4022" s="183"/>
      <c r="AA4022" s="183"/>
      <c r="AB4022" s="183"/>
      <c r="AC4022" s="183"/>
      <c r="AD4022" s="183"/>
      <c r="AE4022" s="184"/>
      <c r="AF4022" s="184"/>
      <c r="AG4022" s="183"/>
      <c r="AH4022" s="183"/>
      <c r="AI4022" s="183"/>
      <c r="AJ4022" s="183"/>
      <c r="AK4022" s="183"/>
      <c r="AL4022" s="183"/>
      <c r="AM4022" s="183"/>
      <c r="AN4022" s="131"/>
      <c r="AO4022" s="131"/>
      <c r="AP4022" s="131"/>
      <c r="AQ4022" s="131"/>
      <c r="AR4022" s="288"/>
      <c r="AS4022" s="259"/>
      <c r="AT4022" s="189" t="s">
        <v>5325</v>
      </c>
      <c r="AU4022" s="205" t="s">
        <v>4465</v>
      </c>
      <c r="AV4022" s="6" t="str">
        <f t="shared" si="85"/>
        <v>OK</v>
      </c>
    </row>
    <row r="4023" spans="1:48" ht="70.900000000000006" thickBot="1" x14ac:dyDescent="0.5">
      <c r="A4023" s="171" t="s">
        <v>2691</v>
      </c>
      <c r="B4023" s="168" t="s">
        <v>4073</v>
      </c>
      <c r="C4023" s="169"/>
      <c r="D4023" s="169"/>
      <c r="E4023" s="170"/>
      <c r="F4023" s="170"/>
      <c r="G4023" s="169"/>
      <c r="H4023" s="169"/>
      <c r="Q4023" s="8" t="s">
        <v>3445</v>
      </c>
      <c r="R4023" s="122" t="s">
        <v>3529</v>
      </c>
      <c r="S4023" s="114" t="s">
        <v>4</v>
      </c>
      <c r="T4023" s="114" t="s">
        <v>3509</v>
      </c>
      <c r="U4023" s="114" t="s">
        <v>3522</v>
      </c>
      <c r="V4023" s="114" t="s">
        <v>3530</v>
      </c>
      <c r="W4023" s="114" t="s">
        <v>3436</v>
      </c>
      <c r="X4023" s="114" t="s">
        <v>13</v>
      </c>
      <c r="Y4023" s="149"/>
      <c r="Z4023" s="183"/>
      <c r="AA4023" s="183"/>
      <c r="AB4023" s="183"/>
      <c r="AC4023" s="183"/>
      <c r="AD4023" s="183"/>
      <c r="AE4023" s="184"/>
      <c r="AF4023" s="184"/>
      <c r="AG4023" s="183"/>
      <c r="AH4023" s="183"/>
      <c r="AI4023" s="183"/>
      <c r="AJ4023" s="183"/>
      <c r="AK4023" s="183"/>
      <c r="AL4023" s="183"/>
      <c r="AM4023" s="183"/>
      <c r="AN4023" s="131"/>
      <c r="AO4023" s="131"/>
      <c r="AP4023" s="131"/>
      <c r="AQ4023" s="131"/>
      <c r="AR4023" s="288"/>
      <c r="AS4023" s="259"/>
      <c r="AT4023" s="189" t="s">
        <v>5325</v>
      </c>
      <c r="AU4023" s="205" t="s">
        <v>4465</v>
      </c>
      <c r="AV4023" s="6" t="str">
        <f t="shared" si="85"/>
        <v>OK</v>
      </c>
    </row>
    <row r="4024" spans="1:48" ht="70.900000000000006" thickBot="1" x14ac:dyDescent="0.5">
      <c r="A4024" s="171" t="s">
        <v>2692</v>
      </c>
      <c r="B4024" s="168" t="s">
        <v>3745</v>
      </c>
      <c r="C4024" s="169"/>
      <c r="D4024" s="169"/>
      <c r="E4024" s="170"/>
      <c r="F4024" s="170"/>
      <c r="G4024" s="169"/>
      <c r="H4024" s="169"/>
      <c r="Q4024" s="8" t="s">
        <v>3445</v>
      </c>
      <c r="R4024" s="122" t="s">
        <v>3435</v>
      </c>
      <c r="S4024" s="114" t="s">
        <v>3443</v>
      </c>
      <c r="T4024" s="114" t="s">
        <v>3510</v>
      </c>
      <c r="U4024" s="114" t="s">
        <v>3522</v>
      </c>
      <c r="V4024" s="114" t="s">
        <v>3531</v>
      </c>
      <c r="W4024" s="114" t="s">
        <v>3436</v>
      </c>
      <c r="X4024" s="114" t="s">
        <v>13</v>
      </c>
      <c r="Y4024" s="149"/>
      <c r="Z4024" s="183"/>
      <c r="AA4024" s="183"/>
      <c r="AB4024" s="183"/>
      <c r="AC4024" s="183"/>
      <c r="AD4024" s="183"/>
      <c r="AE4024" s="184"/>
      <c r="AF4024" s="184"/>
      <c r="AG4024" s="183"/>
      <c r="AH4024" s="183"/>
      <c r="AI4024" s="183"/>
      <c r="AJ4024" s="183"/>
      <c r="AK4024" s="183"/>
      <c r="AL4024" s="183"/>
      <c r="AM4024" s="183"/>
      <c r="AN4024" s="131"/>
      <c r="AO4024" s="131"/>
      <c r="AP4024" s="131"/>
      <c r="AQ4024" s="131"/>
      <c r="AR4024" s="288"/>
      <c r="AS4024" s="259"/>
      <c r="AT4024" s="189" t="s">
        <v>5325</v>
      </c>
      <c r="AU4024" s="205" t="s">
        <v>4465</v>
      </c>
      <c r="AV4024" s="6" t="str">
        <f t="shared" si="85"/>
        <v>OK</v>
      </c>
    </row>
    <row r="4025" spans="1:48" ht="70.900000000000006" thickBot="1" x14ac:dyDescent="0.5">
      <c r="A4025" s="171" t="s">
        <v>2686</v>
      </c>
      <c r="B4025" s="168" t="s">
        <v>3748</v>
      </c>
      <c r="C4025" s="169"/>
      <c r="D4025" s="169"/>
      <c r="E4025" s="170"/>
      <c r="F4025" s="170"/>
      <c r="G4025" s="169"/>
      <c r="H4025" s="169"/>
      <c r="Q4025" s="8" t="s">
        <v>3633</v>
      </c>
      <c r="R4025" s="122" t="s">
        <v>3435</v>
      </c>
      <c r="S4025" s="114" t="s">
        <v>3437</v>
      </c>
      <c r="T4025" s="114" t="s">
        <v>2652</v>
      </c>
      <c r="U4025" s="114"/>
      <c r="V4025" s="114" t="s">
        <v>3444</v>
      </c>
      <c r="W4025" s="114" t="s">
        <v>3436</v>
      </c>
      <c r="X4025" s="114" t="s">
        <v>13</v>
      </c>
      <c r="Y4025" s="149"/>
      <c r="Z4025" s="183"/>
      <c r="AA4025" s="183"/>
      <c r="AB4025" s="183"/>
      <c r="AC4025" s="183"/>
      <c r="AD4025" s="183"/>
      <c r="AE4025" s="184"/>
      <c r="AF4025" s="184"/>
      <c r="AG4025" s="183"/>
      <c r="AH4025" s="183"/>
      <c r="AI4025" s="183"/>
      <c r="AJ4025" s="183"/>
      <c r="AK4025" s="183"/>
      <c r="AL4025" s="183"/>
      <c r="AM4025" s="183"/>
      <c r="AN4025" s="131"/>
      <c r="AO4025" s="131"/>
      <c r="AP4025" s="131"/>
      <c r="AQ4025" s="131"/>
      <c r="AR4025" s="288"/>
      <c r="AS4025" s="259"/>
      <c r="AT4025" s="189" t="s">
        <v>5325</v>
      </c>
      <c r="AU4025" s="205" t="s">
        <v>4465</v>
      </c>
      <c r="AV4025" s="6" t="str">
        <f t="shared" si="85"/>
        <v>OK</v>
      </c>
    </row>
    <row r="4026" spans="1:48" ht="25.25" customHeight="1" thickBot="1" x14ac:dyDescent="0.5">
      <c r="A4026" s="171" t="s">
        <v>2687</v>
      </c>
      <c r="B4026" s="168" t="s">
        <v>3747</v>
      </c>
      <c r="C4026" s="169"/>
      <c r="D4026" s="169"/>
      <c r="E4026" s="170"/>
      <c r="F4026" s="170"/>
      <c r="G4026" s="169"/>
      <c r="H4026" s="169"/>
      <c r="Q4026" s="8" t="s">
        <v>3444</v>
      </c>
      <c r="R4026" s="122" t="s">
        <v>3529</v>
      </c>
      <c r="S4026" s="114" t="s">
        <v>4</v>
      </c>
      <c r="T4026" s="114" t="s">
        <v>3511</v>
      </c>
      <c r="U4026" s="114" t="s">
        <v>3521</v>
      </c>
      <c r="V4026" s="114" t="s">
        <v>3530</v>
      </c>
      <c r="W4026" s="114" t="s">
        <v>3436</v>
      </c>
      <c r="X4026" s="114" t="s">
        <v>13</v>
      </c>
      <c r="Y4026" s="149"/>
      <c r="Z4026" s="183"/>
      <c r="AA4026" s="183"/>
      <c r="AB4026" s="183"/>
      <c r="AC4026" s="183"/>
      <c r="AD4026" s="183"/>
      <c r="AE4026" s="184"/>
      <c r="AF4026" s="184"/>
      <c r="AG4026" s="183"/>
      <c r="AH4026" s="183"/>
      <c r="AI4026" s="183"/>
      <c r="AJ4026" s="183"/>
      <c r="AK4026" s="183"/>
      <c r="AL4026" s="183"/>
      <c r="AM4026" s="183"/>
      <c r="AN4026" s="131"/>
      <c r="AO4026" s="131"/>
      <c r="AP4026" s="131"/>
      <c r="AQ4026" s="131"/>
      <c r="AR4026" s="288"/>
      <c r="AS4026" s="259"/>
      <c r="AT4026" s="189" t="s">
        <v>5325</v>
      </c>
      <c r="AU4026" s="205" t="s">
        <v>4465</v>
      </c>
      <c r="AV4026" s="6" t="str">
        <f t="shared" si="85"/>
        <v>OK</v>
      </c>
    </row>
    <row r="4027" spans="1:48" ht="70.900000000000006" thickBot="1" x14ac:dyDescent="0.5">
      <c r="A4027" s="171" t="s">
        <v>2693</v>
      </c>
      <c r="B4027" s="168" t="s">
        <v>3749</v>
      </c>
      <c r="C4027" s="169"/>
      <c r="D4027" s="169"/>
      <c r="E4027" s="170"/>
      <c r="F4027" s="170"/>
      <c r="G4027" s="169"/>
      <c r="H4027" s="169"/>
      <c r="R4027" s="122"/>
      <c r="S4027" s="114"/>
      <c r="T4027" s="114"/>
      <c r="U4027" s="114"/>
      <c r="V4027" s="114"/>
      <c r="W4027" s="114"/>
      <c r="X4027" s="114"/>
      <c r="Y4027" s="149"/>
      <c r="Z4027" s="183"/>
      <c r="AA4027" s="183"/>
      <c r="AB4027" s="183"/>
      <c r="AC4027" s="183"/>
      <c r="AD4027" s="183"/>
      <c r="AE4027" s="184"/>
      <c r="AF4027" s="184"/>
      <c r="AG4027" s="183"/>
      <c r="AH4027" s="183"/>
      <c r="AI4027" s="183"/>
      <c r="AJ4027" s="183"/>
      <c r="AK4027" s="183"/>
      <c r="AL4027" s="183"/>
      <c r="AM4027" s="183"/>
      <c r="AN4027" s="131"/>
      <c r="AO4027" s="131"/>
      <c r="AP4027" s="131"/>
      <c r="AQ4027" s="131"/>
      <c r="AR4027" s="288"/>
      <c r="AS4027" s="259"/>
      <c r="AT4027" s="189" t="s">
        <v>5325</v>
      </c>
      <c r="AU4027" s="19" t="s">
        <v>4465</v>
      </c>
      <c r="AV4027" s="6" t="str">
        <f t="shared" si="85"/>
        <v/>
      </c>
    </row>
    <row r="4028" spans="1:48" ht="70.900000000000006" thickBot="1" x14ac:dyDescent="0.5">
      <c r="A4028" s="171" t="s">
        <v>4315</v>
      </c>
      <c r="B4028" s="168" t="s">
        <v>4317</v>
      </c>
      <c r="C4028" s="169"/>
      <c r="D4028" s="169"/>
      <c r="E4028" s="170"/>
      <c r="F4028" s="170"/>
      <c r="G4028" s="169"/>
      <c r="H4028" s="169"/>
      <c r="Q4028" s="8" t="s">
        <v>3444</v>
      </c>
      <c r="R4028" s="122" t="s">
        <v>3435</v>
      </c>
      <c r="S4028" s="114" t="s">
        <v>4</v>
      </c>
      <c r="T4028" s="114" t="s">
        <v>4319</v>
      </c>
      <c r="U4028" s="114" t="s">
        <v>3521</v>
      </c>
      <c r="V4028" s="114" t="s">
        <v>3530</v>
      </c>
      <c r="W4028" s="114" t="s">
        <v>3436</v>
      </c>
      <c r="X4028" s="114" t="s">
        <v>13</v>
      </c>
      <c r="Y4028" s="149"/>
      <c r="Z4028" s="183"/>
      <c r="AA4028" s="183"/>
      <c r="AB4028" s="183"/>
      <c r="AC4028" s="183"/>
      <c r="AD4028" s="183"/>
      <c r="AE4028" s="184"/>
      <c r="AF4028" s="184"/>
      <c r="AG4028" s="183"/>
      <c r="AH4028" s="183"/>
      <c r="AI4028" s="183"/>
      <c r="AJ4028" s="183"/>
      <c r="AK4028" s="183"/>
      <c r="AL4028" s="183"/>
      <c r="AM4028" s="183"/>
      <c r="AN4028" s="131"/>
      <c r="AO4028" s="131"/>
      <c r="AP4028" s="131"/>
      <c r="AQ4028" s="131"/>
      <c r="AR4028" s="288"/>
      <c r="AS4028" s="259"/>
      <c r="AT4028" s="189" t="s">
        <v>5325</v>
      </c>
      <c r="AU4028" s="19" t="s">
        <v>4466</v>
      </c>
      <c r="AV4028" s="6" t="str">
        <f t="shared" si="85"/>
        <v>OK</v>
      </c>
    </row>
    <row r="4029" spans="1:48" ht="70.900000000000006" thickBot="1" x14ac:dyDescent="0.5">
      <c r="A4029" s="171" t="s">
        <v>4316</v>
      </c>
      <c r="B4029" s="168" t="s">
        <v>4318</v>
      </c>
      <c r="C4029" s="169"/>
      <c r="D4029" s="169"/>
      <c r="E4029" s="170"/>
      <c r="F4029" s="170"/>
      <c r="G4029" s="169"/>
      <c r="H4029" s="169"/>
      <c r="Q4029" s="8" t="s">
        <v>3444</v>
      </c>
      <c r="R4029" s="122" t="s">
        <v>3435</v>
      </c>
      <c r="S4029" s="114" t="s">
        <v>4</v>
      </c>
      <c r="T4029" s="114" t="s">
        <v>4320</v>
      </c>
      <c r="U4029" s="114" t="s">
        <v>3521</v>
      </c>
      <c r="V4029" s="114" t="s">
        <v>3530</v>
      </c>
      <c r="W4029" s="114" t="s">
        <v>3436</v>
      </c>
      <c r="X4029" s="114" t="s">
        <v>13</v>
      </c>
      <c r="Y4029" s="149"/>
      <c r="Z4029" s="183"/>
      <c r="AA4029" s="183"/>
      <c r="AB4029" s="183"/>
      <c r="AC4029" s="183"/>
      <c r="AD4029" s="183"/>
      <c r="AE4029" s="184"/>
      <c r="AF4029" s="184"/>
      <c r="AG4029" s="183"/>
      <c r="AH4029" s="183"/>
      <c r="AI4029" s="183"/>
      <c r="AJ4029" s="183"/>
      <c r="AK4029" s="183"/>
      <c r="AL4029" s="183"/>
      <c r="AM4029" s="183"/>
      <c r="AN4029" s="131"/>
      <c r="AO4029" s="131"/>
      <c r="AP4029" s="131"/>
      <c r="AQ4029" s="131"/>
      <c r="AR4029" s="288"/>
      <c r="AS4029" s="259"/>
      <c r="AT4029" s="189" t="s">
        <v>5325</v>
      </c>
      <c r="AU4029" s="19" t="s">
        <v>4466</v>
      </c>
      <c r="AV4029" s="6" t="str">
        <f t="shared" si="85"/>
        <v>OK</v>
      </c>
    </row>
    <row r="4030" spans="1:48" ht="70.900000000000006" thickBot="1" x14ac:dyDescent="0.5">
      <c r="A4030" s="171" t="s">
        <v>2694</v>
      </c>
      <c r="B4030" s="168" t="s">
        <v>3751</v>
      </c>
      <c r="C4030" s="169"/>
      <c r="D4030" s="169"/>
      <c r="E4030" s="170"/>
      <c r="F4030" s="170"/>
      <c r="G4030" s="169"/>
      <c r="H4030" s="169"/>
      <c r="Q4030" s="8" t="s">
        <v>3444</v>
      </c>
      <c r="R4030" s="122" t="s">
        <v>3435</v>
      </c>
      <c r="S4030" s="114" t="s">
        <v>3443</v>
      </c>
      <c r="T4030" s="114" t="s">
        <v>3512</v>
      </c>
      <c r="U4030" s="114" t="s">
        <v>3522</v>
      </c>
      <c r="V4030" s="114" t="s">
        <v>3531</v>
      </c>
      <c r="W4030" s="114" t="s">
        <v>3436</v>
      </c>
      <c r="X4030" s="114" t="s">
        <v>13</v>
      </c>
      <c r="Y4030" s="149"/>
      <c r="Z4030" s="183"/>
      <c r="AA4030" s="183"/>
      <c r="AB4030" s="183"/>
      <c r="AC4030" s="183"/>
      <c r="AD4030" s="183"/>
      <c r="AE4030" s="184"/>
      <c r="AF4030" s="184"/>
      <c r="AG4030" s="183"/>
      <c r="AH4030" s="183"/>
      <c r="AI4030" s="183"/>
      <c r="AJ4030" s="183"/>
      <c r="AK4030" s="183"/>
      <c r="AL4030" s="183"/>
      <c r="AM4030" s="183"/>
      <c r="AN4030" s="131"/>
      <c r="AO4030" s="131"/>
      <c r="AP4030" s="131"/>
      <c r="AQ4030" s="131"/>
      <c r="AR4030" s="288"/>
      <c r="AS4030" s="259"/>
      <c r="AT4030" s="189" t="s">
        <v>5325</v>
      </c>
      <c r="AU4030" s="205" t="s">
        <v>4465</v>
      </c>
      <c r="AV4030" s="6" t="str">
        <f t="shared" si="85"/>
        <v>OK</v>
      </c>
    </row>
    <row r="4031" spans="1:48" ht="70.900000000000006" thickBot="1" x14ac:dyDescent="0.5">
      <c r="A4031" s="171" t="s">
        <v>2695</v>
      </c>
      <c r="B4031" s="168" t="s">
        <v>3750</v>
      </c>
      <c r="C4031" s="169"/>
      <c r="D4031" s="169"/>
      <c r="E4031" s="170"/>
      <c r="F4031" s="170"/>
      <c r="G4031" s="169"/>
      <c r="H4031" s="169"/>
      <c r="Q4031" s="8" t="s">
        <v>3444</v>
      </c>
      <c r="R4031" s="122" t="s">
        <v>3435</v>
      </c>
      <c r="S4031" s="114" t="s">
        <v>3443</v>
      </c>
      <c r="T4031" s="114" t="s">
        <v>3513</v>
      </c>
      <c r="U4031" s="114" t="s">
        <v>3522</v>
      </c>
      <c r="V4031" s="114" t="s">
        <v>3531</v>
      </c>
      <c r="W4031" s="114" t="s">
        <v>3436</v>
      </c>
      <c r="X4031" s="114" t="s">
        <v>13</v>
      </c>
      <c r="Y4031" s="149"/>
      <c r="Z4031" s="183"/>
      <c r="AA4031" s="183"/>
      <c r="AB4031" s="183"/>
      <c r="AC4031" s="183"/>
      <c r="AD4031" s="183"/>
      <c r="AE4031" s="184"/>
      <c r="AF4031" s="184"/>
      <c r="AG4031" s="183"/>
      <c r="AH4031" s="183"/>
      <c r="AI4031" s="183"/>
      <c r="AJ4031" s="183"/>
      <c r="AK4031" s="183"/>
      <c r="AL4031" s="183"/>
      <c r="AM4031" s="183"/>
      <c r="AN4031" s="131"/>
      <c r="AO4031" s="131"/>
      <c r="AP4031" s="131"/>
      <c r="AQ4031" s="131"/>
      <c r="AR4031" s="288"/>
      <c r="AS4031" s="259"/>
      <c r="AT4031" s="189" t="s">
        <v>5325</v>
      </c>
      <c r="AU4031" s="205" t="s">
        <v>4465</v>
      </c>
      <c r="AV4031" s="6" t="str">
        <f t="shared" si="85"/>
        <v>OK</v>
      </c>
    </row>
    <row r="4032" spans="1:48" ht="14.65" thickBot="1" x14ac:dyDescent="0.5">
      <c r="A4032" s="36" t="s">
        <v>753</v>
      </c>
      <c r="B4032" s="3" t="s">
        <v>60</v>
      </c>
      <c r="C4032" s="4"/>
      <c r="D4032" s="4"/>
      <c r="E4032" s="4"/>
      <c r="F4032" s="4"/>
      <c r="G4032" s="4"/>
      <c r="H4032" s="4"/>
      <c r="J4032" s="18" t="s">
        <v>2473</v>
      </c>
      <c r="K4032" s="18" t="s">
        <v>2473</v>
      </c>
      <c r="AU4032" s="8"/>
      <c r="AV4032" s="6" t="str">
        <f t="shared" si="85"/>
        <v/>
      </c>
    </row>
    <row r="4033" spans="1:48" x14ac:dyDescent="0.45">
      <c r="A4033" s="33" t="s">
        <v>2786</v>
      </c>
      <c r="J4033" s="18" t="s">
        <v>2473</v>
      </c>
      <c r="K4033" s="18" t="s">
        <v>2473</v>
      </c>
      <c r="AU4033" s="8"/>
      <c r="AV4033" s="6" t="str">
        <f t="shared" si="85"/>
        <v/>
      </c>
    </row>
    <row r="4034" spans="1:48" ht="70.5" x14ac:dyDescent="0.45">
      <c r="A4034" s="34" t="s">
        <v>5889</v>
      </c>
      <c r="J4034" s="18" t="s">
        <v>2473</v>
      </c>
      <c r="K4034" s="18" t="s">
        <v>2473</v>
      </c>
      <c r="AU4034" s="202" t="s">
        <v>5890</v>
      </c>
      <c r="AV4034" s="6" t="str">
        <f t="shared" si="85"/>
        <v/>
      </c>
    </row>
    <row r="4035" spans="1:48" s="79" customFormat="1" x14ac:dyDescent="0.45">
      <c r="A4035" s="75"/>
      <c r="B4035" s="76"/>
      <c r="C4035" s="77"/>
      <c r="D4035" s="77"/>
      <c r="E4035" s="77"/>
      <c r="F4035" s="77"/>
      <c r="G4035" s="77"/>
      <c r="H4035" s="77"/>
      <c r="I4035" s="77"/>
      <c r="J4035" s="77"/>
      <c r="K4035" s="77"/>
      <c r="L4035" s="77"/>
      <c r="M4035" s="148"/>
      <c r="N4035" s="78"/>
      <c r="O4035" s="78"/>
      <c r="P4035" s="78"/>
      <c r="Q4035" s="78"/>
      <c r="R4035" s="78"/>
      <c r="S4035" s="78"/>
      <c r="T4035" s="78"/>
      <c r="U4035" s="78"/>
      <c r="V4035" s="78"/>
      <c r="W4035" s="78"/>
      <c r="X4035" s="78"/>
      <c r="Y4035" s="148"/>
      <c r="Z4035" s="78"/>
      <c r="AA4035" s="78"/>
      <c r="AB4035" s="78"/>
      <c r="AC4035" s="78"/>
      <c r="AD4035" s="78"/>
      <c r="AE4035" s="156"/>
      <c r="AF4035" s="156"/>
      <c r="AG4035" s="78"/>
      <c r="AH4035" s="78"/>
      <c r="AI4035" s="78"/>
      <c r="AJ4035" s="78"/>
      <c r="AK4035" s="78"/>
      <c r="AL4035" s="78"/>
      <c r="AM4035" s="78"/>
      <c r="AN4035" s="78"/>
      <c r="AO4035" s="78"/>
      <c r="AP4035" s="78"/>
      <c r="AQ4035" s="78"/>
      <c r="AR4035" s="286"/>
      <c r="AS4035" s="78"/>
      <c r="AT4035" s="78"/>
      <c r="AU4035" s="8"/>
      <c r="AV4035" s="6" t="str">
        <f t="shared" si="85"/>
        <v/>
      </c>
    </row>
    <row r="4036" spans="1:48" x14ac:dyDescent="0.45">
      <c r="A4036" s="27" t="s">
        <v>4383</v>
      </c>
      <c r="L4036" s="18" t="s">
        <v>2335</v>
      </c>
      <c r="AU4036" s="6"/>
      <c r="AV4036" s="6" t="str">
        <f t="shared" si="85"/>
        <v/>
      </c>
    </row>
    <row r="4037" spans="1:48" ht="23.65" thickBot="1" x14ac:dyDescent="0.5">
      <c r="A4037" s="323" t="s">
        <v>4388</v>
      </c>
      <c r="B4037" s="324"/>
      <c r="C4037" s="324"/>
      <c r="D4037" s="324"/>
      <c r="E4037" s="324"/>
      <c r="F4037" s="324"/>
      <c r="G4037" s="101"/>
      <c r="H4037" s="101"/>
      <c r="L4037" s="18" t="s">
        <v>2335</v>
      </c>
      <c r="Z4037" s="183" t="s">
        <v>4347</v>
      </c>
      <c r="AA4037" s="183" t="s">
        <v>2322</v>
      </c>
      <c r="AB4037" s="183" t="s">
        <v>1697</v>
      </c>
      <c r="AC4037" s="183" t="s">
        <v>5</v>
      </c>
      <c r="AD4037" s="183" t="s">
        <v>4339</v>
      </c>
      <c r="AE4037" s="184" t="s">
        <v>4338</v>
      </c>
      <c r="AF4037" s="184" t="s">
        <v>4350</v>
      </c>
      <c r="AG4037" s="183" t="s">
        <v>1695</v>
      </c>
      <c r="AH4037" s="183" t="s">
        <v>4351</v>
      </c>
      <c r="AI4037" s="8" t="s">
        <v>4455</v>
      </c>
      <c r="AJ4037" s="183" t="s">
        <v>5051</v>
      </c>
      <c r="AU4037" s="6"/>
      <c r="AV4037" s="6" t="str">
        <f t="shared" si="85"/>
        <v/>
      </c>
    </row>
    <row r="4038" spans="1:48" ht="116.65" thickBot="1" x14ac:dyDescent="0.5">
      <c r="A4038" s="309" t="s">
        <v>4386</v>
      </c>
      <c r="B4038" s="310"/>
      <c r="C4038" s="301" t="s">
        <v>1</v>
      </c>
      <c r="D4038" s="319"/>
      <c r="E4038" s="319"/>
      <c r="F4038" s="302"/>
      <c r="G4038" s="102"/>
      <c r="H4038" s="102"/>
      <c r="L4038" s="18" t="s">
        <v>2335</v>
      </c>
      <c r="Z4038" s="183"/>
      <c r="AA4038" s="183" t="str">
        <f>LEFT($A4038,FIND(" ",$A4038)-1)</f>
        <v>DCNExecutionEngineCollection</v>
      </c>
      <c r="AB4038" s="183" t="str">
        <f>MID($A4038,FIND("(",$A4038)+1,LEN($A4038)-FIND("(",$A4038)-1)</f>
        <v>1.0.0</v>
      </c>
      <c r="AC4038" s="101" t="str">
        <f>A4037</f>
        <v>A DCNExecutionEngineCollection is a collection of DCNExecutionEngine Resources running on a node.</v>
      </c>
      <c r="AD4038" s="101" t="s">
        <v>4755</v>
      </c>
      <c r="AE4038" s="253" t="s">
        <v>5892</v>
      </c>
      <c r="AF4038" s="184" t="s">
        <v>4352</v>
      </c>
      <c r="AG4038" s="183" t="s">
        <v>4352</v>
      </c>
      <c r="AH4038" s="183" t="s">
        <v>4352</v>
      </c>
      <c r="AI4038" s="183" t="s">
        <v>5248</v>
      </c>
      <c r="AU4038" s="237" t="s">
        <v>5893</v>
      </c>
      <c r="AV4038" s="6" t="str">
        <f t="shared" si="85"/>
        <v/>
      </c>
    </row>
    <row r="4039" spans="1:48" ht="14.65" thickBot="1" x14ac:dyDescent="0.5">
      <c r="A4039" s="311"/>
      <c r="B4039" s="312"/>
      <c r="C4039" s="301" t="s">
        <v>2</v>
      </c>
      <c r="D4039" s="302"/>
      <c r="E4039" s="301" t="s">
        <v>3</v>
      </c>
      <c r="F4039" s="302"/>
      <c r="G4039" s="301" t="s">
        <v>2896</v>
      </c>
      <c r="H4039" s="302"/>
      <c r="L4039" s="18" t="s">
        <v>2335</v>
      </c>
      <c r="AU4039" s="6"/>
      <c r="AV4039" s="6" t="str">
        <f t="shared" si="85"/>
        <v/>
      </c>
    </row>
    <row r="4040" spans="1:48" ht="14.65" thickBot="1" x14ac:dyDescent="0.5">
      <c r="A4040" s="46" t="s">
        <v>2377</v>
      </c>
      <c r="B4040" s="47"/>
      <c r="C4040" s="303"/>
      <c r="D4040" s="304"/>
      <c r="E4040" s="303"/>
      <c r="F4040" s="304"/>
      <c r="G4040" s="303"/>
      <c r="H4040" s="304"/>
      <c r="AU4040" s="6"/>
      <c r="AV4040" s="6" t="str">
        <f t="shared" si="85"/>
        <v/>
      </c>
    </row>
    <row r="4041" spans="1:48" ht="14.65" thickBot="1" x14ac:dyDescent="0.5">
      <c r="A4041" s="30" t="s">
        <v>4</v>
      </c>
      <c r="B4041" s="59" t="s">
        <v>5</v>
      </c>
      <c r="C4041" s="7" t="s">
        <v>6</v>
      </c>
      <c r="D4041" s="7" t="s">
        <v>7</v>
      </c>
      <c r="E4041" s="7" t="s">
        <v>6</v>
      </c>
      <c r="F4041" s="7" t="s">
        <v>7</v>
      </c>
      <c r="G4041" s="7" t="s">
        <v>6</v>
      </c>
      <c r="H4041" s="7" t="s">
        <v>7</v>
      </c>
      <c r="L4041" s="18" t="s">
        <v>2335</v>
      </c>
      <c r="Z4041" s="183" t="s">
        <v>4347</v>
      </c>
      <c r="AA4041" s="183" t="s">
        <v>4343</v>
      </c>
      <c r="AB4041" s="183" t="s">
        <v>4172</v>
      </c>
      <c r="AC4041" s="183" t="s">
        <v>4340</v>
      </c>
      <c r="AD4041" s="183" t="s">
        <v>4339</v>
      </c>
      <c r="AE4041" s="184" t="s">
        <v>4341</v>
      </c>
      <c r="AF4041" s="184" t="s">
        <v>4342</v>
      </c>
      <c r="AG4041" s="183" t="s">
        <v>4353</v>
      </c>
      <c r="AH4041" s="183" t="s">
        <v>3429</v>
      </c>
      <c r="AI4041" s="183" t="s">
        <v>4356</v>
      </c>
      <c r="AJ4041" s="183" t="s">
        <v>4364</v>
      </c>
      <c r="AT4041" s="183"/>
      <c r="AU4041" s="6"/>
      <c r="AV4041" s="6" t="str">
        <f t="shared" si="85"/>
        <v/>
      </c>
    </row>
    <row r="4042" spans="1:48" ht="116.65" thickBot="1" x14ac:dyDescent="0.5">
      <c r="A4042" s="228" t="s">
        <v>2792</v>
      </c>
      <c r="B4042" s="173" t="s">
        <v>4389</v>
      </c>
      <c r="C4042" s="174"/>
      <c r="D4042" s="174"/>
      <c r="E4042" s="174"/>
      <c r="F4042" s="174"/>
      <c r="G4042" s="174"/>
      <c r="H4042" s="174"/>
      <c r="AB4042" s="8" t="s">
        <v>4354</v>
      </c>
      <c r="AC4042" s="183" t="s">
        <v>6</v>
      </c>
      <c r="AD4042" s="183" t="s">
        <v>5292</v>
      </c>
      <c r="AE4042" s="184"/>
      <c r="AF4042" s="184"/>
      <c r="AG4042" s="183" t="s">
        <v>4355</v>
      </c>
      <c r="AH4042" s="183" t="s">
        <v>5258</v>
      </c>
      <c r="AI4042" s="183" t="s">
        <v>4357</v>
      </c>
      <c r="AT4042" s="189" t="s">
        <v>5325</v>
      </c>
      <c r="AU4042" s="237" t="s">
        <v>5291</v>
      </c>
      <c r="AV4042" s="6" t="str">
        <f t="shared" si="85"/>
        <v/>
      </c>
    </row>
    <row r="4043" spans="1:48" ht="23.65" thickBot="1" x14ac:dyDescent="0.5">
      <c r="A4043" s="172" t="s">
        <v>33</v>
      </c>
      <c r="B4043" s="173" t="s">
        <v>4384</v>
      </c>
      <c r="C4043" s="174"/>
      <c r="D4043" s="174"/>
      <c r="E4043" s="174"/>
      <c r="F4043" s="174"/>
      <c r="G4043" s="174"/>
      <c r="H4043" s="174"/>
      <c r="L4043" s="18" t="s">
        <v>2335</v>
      </c>
      <c r="AT4043" s="189" t="s">
        <v>5325</v>
      </c>
      <c r="AU4043" s="6"/>
      <c r="AV4043" s="6" t="str">
        <f t="shared" si="85"/>
        <v/>
      </c>
    </row>
    <row r="4044" spans="1:48" x14ac:dyDescent="0.45">
      <c r="A4044" s="33" t="s">
        <v>4385</v>
      </c>
      <c r="L4044" s="18" t="s">
        <v>2335</v>
      </c>
      <c r="AT4044" s="183"/>
      <c r="AU4044" s="6"/>
      <c r="AV4044" s="6" t="str">
        <f t="shared" si="85"/>
        <v/>
      </c>
    </row>
    <row r="4045" spans="1:48" ht="70.5" x14ac:dyDescent="0.45">
      <c r="A4045" s="34" t="s">
        <v>5892</v>
      </c>
      <c r="L4045" s="18" t="s">
        <v>2335</v>
      </c>
      <c r="AU4045" s="202" t="s">
        <v>5894</v>
      </c>
      <c r="AV4045" s="6" t="str">
        <f t="shared" si="85"/>
        <v/>
      </c>
    </row>
    <row r="4046" spans="1:48" s="79" customFormat="1" ht="14.65" thickBot="1" x14ac:dyDescent="0.5">
      <c r="A4046" s="75"/>
      <c r="B4046" s="76"/>
      <c r="C4046" s="77"/>
      <c r="D4046" s="77"/>
      <c r="E4046" s="77"/>
      <c r="F4046" s="77"/>
      <c r="G4046" s="77"/>
      <c r="H4046" s="77"/>
      <c r="I4046" s="77"/>
      <c r="J4046" s="77"/>
      <c r="K4046" s="77"/>
      <c r="L4046" s="77"/>
      <c r="M4046" s="148"/>
      <c r="N4046" s="78"/>
      <c r="O4046" s="78"/>
      <c r="P4046" s="78"/>
      <c r="Q4046" s="78"/>
      <c r="R4046" s="78"/>
      <c r="S4046" s="78"/>
      <c r="T4046" s="78"/>
      <c r="U4046" s="78"/>
      <c r="V4046" s="78"/>
      <c r="W4046" s="78"/>
      <c r="X4046" s="78"/>
      <c r="Y4046" s="148"/>
      <c r="Z4046" s="78"/>
      <c r="AA4046" s="78"/>
      <c r="AB4046" s="78"/>
      <c r="AC4046" s="78"/>
      <c r="AD4046" s="78"/>
      <c r="AE4046" s="156"/>
      <c r="AF4046" s="156"/>
      <c r="AG4046" s="78"/>
      <c r="AH4046" s="78"/>
      <c r="AI4046" s="78"/>
      <c r="AJ4046" s="78"/>
      <c r="AK4046" s="78"/>
      <c r="AL4046" s="78"/>
      <c r="AM4046" s="78"/>
      <c r="AN4046" s="78"/>
      <c r="AO4046" s="78"/>
      <c r="AP4046" s="78"/>
      <c r="AQ4046" s="78"/>
      <c r="AR4046" s="286"/>
      <c r="AS4046" s="78"/>
      <c r="AT4046" s="78"/>
      <c r="AU4046" s="8"/>
      <c r="AV4046" s="6" t="str">
        <f t="shared" si="85"/>
        <v/>
      </c>
    </row>
    <row r="4047" spans="1:48" ht="70.900000000000006" thickBot="1" x14ac:dyDescent="0.5">
      <c r="A4047" s="39" t="s">
        <v>4250</v>
      </c>
      <c r="R4047" s="111" t="s">
        <v>3426</v>
      </c>
      <c r="S4047" s="349" t="s">
        <v>823</v>
      </c>
      <c r="T4047" s="350"/>
      <c r="U4047" s="350"/>
      <c r="V4047" s="350"/>
      <c r="W4047" s="350"/>
      <c r="X4047" s="355"/>
      <c r="Y4047" s="118"/>
      <c r="Z4047" s="185"/>
      <c r="AA4047" s="185"/>
      <c r="AB4047" s="185"/>
      <c r="AC4047" s="185"/>
      <c r="AD4047" s="185"/>
      <c r="AE4047" s="186"/>
      <c r="AF4047" s="186"/>
      <c r="AG4047" s="185"/>
      <c r="AH4047" s="185"/>
      <c r="AI4047" s="185"/>
      <c r="AJ4047" s="185"/>
      <c r="AK4047" s="185"/>
      <c r="AL4047" s="185"/>
      <c r="AM4047" s="185"/>
      <c r="AN4047" s="117"/>
      <c r="AO4047" s="117"/>
      <c r="AP4047" s="117"/>
      <c r="AQ4047" s="117"/>
      <c r="AR4047" s="287"/>
      <c r="AS4047" s="258"/>
      <c r="AT4047" s="185"/>
      <c r="AU4047" s="202" t="s">
        <v>5120</v>
      </c>
      <c r="AV4047" s="6" t="str">
        <f t="shared" si="85"/>
        <v/>
      </c>
    </row>
    <row r="4048" spans="1:48" ht="70.900000000000006" thickBot="1" x14ac:dyDescent="0.5">
      <c r="A4048" s="40" t="s">
        <v>4251</v>
      </c>
      <c r="R4048" s="122" t="s">
        <v>3427</v>
      </c>
      <c r="S4048" s="352" t="s">
        <v>4252</v>
      </c>
      <c r="T4048" s="353"/>
      <c r="U4048" s="353"/>
      <c r="V4048" s="353"/>
      <c r="W4048" s="353"/>
      <c r="X4048" s="356"/>
      <c r="Y4048" s="149"/>
      <c r="Z4048" s="183" t="s">
        <v>4347</v>
      </c>
      <c r="AA4048" s="183" t="s">
        <v>2322</v>
      </c>
      <c r="AB4048" s="183" t="s">
        <v>1697</v>
      </c>
      <c r="AC4048" s="183" t="s">
        <v>5</v>
      </c>
      <c r="AD4048" s="183" t="s">
        <v>4339</v>
      </c>
      <c r="AE4048" s="184" t="s">
        <v>4338</v>
      </c>
      <c r="AF4048" s="184" t="s">
        <v>4350</v>
      </c>
      <c r="AG4048" s="183" t="s">
        <v>1695</v>
      </c>
      <c r="AH4048" s="183" t="s">
        <v>4351</v>
      </c>
      <c r="AI4048" s="8" t="s">
        <v>4455</v>
      </c>
      <c r="AJ4048" s="183" t="s">
        <v>5051</v>
      </c>
      <c r="AK4048" s="183"/>
      <c r="AL4048" s="183"/>
      <c r="AM4048" s="183"/>
      <c r="AN4048" s="131"/>
      <c r="AO4048" s="131"/>
      <c r="AP4048" s="131"/>
      <c r="AQ4048" s="131"/>
      <c r="AR4048" s="288"/>
      <c r="AS4048" s="259"/>
      <c r="AT4048" s="183"/>
      <c r="AU4048" s="202" t="s">
        <v>5120</v>
      </c>
      <c r="AV4048" s="6" t="str">
        <f t="shared" si="85"/>
        <v/>
      </c>
    </row>
    <row r="4049" spans="1:48" ht="105.75" thickBot="1" x14ac:dyDescent="0.5">
      <c r="A4049" s="321" t="s">
        <v>4370</v>
      </c>
      <c r="B4049" s="322"/>
      <c r="C4049" s="314" t="s">
        <v>1</v>
      </c>
      <c r="D4049" s="314"/>
      <c r="E4049" s="314"/>
      <c r="F4049" s="314"/>
      <c r="G4049" s="102"/>
      <c r="H4049" s="102"/>
      <c r="R4049" s="122" t="s">
        <v>3428</v>
      </c>
      <c r="S4049" s="352" t="b">
        <v>0</v>
      </c>
      <c r="T4049" s="353"/>
      <c r="U4049" s="353"/>
      <c r="V4049" s="353"/>
      <c r="W4049" s="353"/>
      <c r="X4049" s="356"/>
      <c r="Y4049" s="149"/>
      <c r="Z4049" s="183"/>
      <c r="AA4049" s="183" t="str">
        <f>LEFT($A4049,FIND(" ",$A4049)-1)</f>
        <v>DCNExecutionEngine</v>
      </c>
      <c r="AB4049" s="183" t="str">
        <f>MID($A4049,FIND("(",$A4049)+1,LEN($A4049)-FIND("(",$A4049)-1)</f>
        <v>1.0.0</v>
      </c>
      <c r="AC4049" s="101" t="str">
        <f>A4048</f>
        <v>Resource describing attributes of a DCN Execution Engine environment on an O-PAS DCN.</v>
      </c>
      <c r="AD4049" s="101" t="s">
        <v>4754</v>
      </c>
      <c r="AE4049" s="253" t="s">
        <v>5895</v>
      </c>
      <c r="AF4049" s="184" t="s">
        <v>4352</v>
      </c>
      <c r="AG4049" s="183" t="s">
        <v>4357</v>
      </c>
      <c r="AH4049" s="183" t="s">
        <v>4352</v>
      </c>
      <c r="AI4049" s="183" t="s">
        <v>5248</v>
      </c>
      <c r="AJ4049" s="183"/>
      <c r="AK4049" s="183"/>
      <c r="AL4049" s="183"/>
      <c r="AM4049" s="183"/>
      <c r="AN4049" s="131"/>
      <c r="AO4049" s="131"/>
      <c r="AP4049" s="131"/>
      <c r="AQ4049" s="131"/>
      <c r="AR4049" s="288"/>
      <c r="AS4049" s="259"/>
      <c r="AT4049" s="183"/>
      <c r="AU4049" s="202" t="s">
        <v>5893</v>
      </c>
      <c r="AV4049" s="6" t="str">
        <f t="shared" si="85"/>
        <v/>
      </c>
    </row>
    <row r="4050" spans="1:48" ht="24.4" thickBot="1" x14ac:dyDescent="0.5">
      <c r="A4050" s="321"/>
      <c r="B4050" s="322"/>
      <c r="C4050" s="314" t="s">
        <v>2</v>
      </c>
      <c r="D4050" s="314"/>
      <c r="E4050" s="314" t="s">
        <v>3</v>
      </c>
      <c r="F4050" s="314"/>
      <c r="G4050" s="314" t="s">
        <v>2896</v>
      </c>
      <c r="H4050" s="314"/>
      <c r="R4050" s="115"/>
      <c r="S4050" s="115"/>
      <c r="T4050" s="115"/>
      <c r="U4050" s="115"/>
      <c r="V4050" s="115"/>
      <c r="W4050" s="115"/>
      <c r="X4050" s="115"/>
      <c r="Y4050" s="149"/>
      <c r="Z4050" s="183"/>
      <c r="AA4050" s="183"/>
      <c r="AB4050" s="183"/>
      <c r="AC4050" s="183"/>
      <c r="AD4050" s="183"/>
      <c r="AE4050" s="184"/>
      <c r="AF4050" s="184"/>
      <c r="AG4050" s="183"/>
      <c r="AH4050" s="183"/>
      <c r="AI4050" s="183"/>
      <c r="AJ4050" s="183"/>
      <c r="AK4050" s="183"/>
      <c r="AL4050" s="183"/>
      <c r="AM4050" s="8" t="str">
        <f>C4050</f>
        <v>OSM-Redfish</v>
      </c>
      <c r="AN4050" s="8" t="str">
        <f>E4050</f>
        <v>OSM-RedfishBMC</v>
      </c>
      <c r="AO4050" s="8" t="str">
        <f>G4050</f>
        <v>OSM-RedfishDCN</v>
      </c>
      <c r="AP4050" s="131"/>
      <c r="AQ4050" s="131"/>
      <c r="AR4050" s="288"/>
      <c r="AS4050" s="259"/>
      <c r="AT4050" s="183"/>
      <c r="AV4050" s="6" t="str">
        <f t="shared" si="85"/>
        <v/>
      </c>
    </row>
    <row r="4051" spans="1:48" ht="14.65" thickBot="1" x14ac:dyDescent="0.5">
      <c r="A4051" s="46" t="s">
        <v>2377</v>
      </c>
      <c r="B4051" s="47"/>
      <c r="C4051" s="303"/>
      <c r="D4051" s="304"/>
      <c r="E4051" s="303"/>
      <c r="F4051" s="304"/>
      <c r="G4051" s="303" t="s">
        <v>37</v>
      </c>
      <c r="H4051" s="304"/>
      <c r="R4051" s="129"/>
      <c r="S4051" s="117"/>
      <c r="T4051" s="117"/>
      <c r="U4051" s="117"/>
      <c r="V4051" s="117"/>
      <c r="W4051" s="117"/>
      <c r="X4051" s="216"/>
      <c r="Y4051" s="118"/>
      <c r="Z4051" s="185"/>
      <c r="AA4051" s="185"/>
      <c r="AB4051" s="185"/>
      <c r="AC4051" s="185"/>
      <c r="AD4051" s="185"/>
      <c r="AE4051" s="186"/>
      <c r="AF4051" s="186"/>
      <c r="AG4051" s="185"/>
      <c r="AH4051" s="185"/>
      <c r="AI4051" s="185"/>
      <c r="AJ4051" s="185"/>
      <c r="AK4051" s="185"/>
      <c r="AL4051" s="185"/>
      <c r="AM4051" s="8" t="str">
        <f>IF(C4051&lt;&gt;"","CRQ-P5-"&amp;(AM$2+$AP4051*$AP$3),"")</f>
        <v/>
      </c>
      <c r="AN4051" s="8" t="str">
        <f>IF(E4051&lt;&gt;"","CRQ-P5-"&amp;(AN$2+$AP4051*$AP$3),"")</f>
        <v/>
      </c>
      <c r="AO4051" s="8" t="str">
        <f>IF(G4051&lt;&gt;"","CRQ-P5-"&amp;(AO$2+$AP4051*$AP$3),"")</f>
        <v>CRQ-P5-1644</v>
      </c>
      <c r="AP4051" s="117">
        <v>11</v>
      </c>
      <c r="AQ4051" s="117"/>
      <c r="AR4051" s="287"/>
      <c r="AS4051" s="258"/>
      <c r="AT4051" s="185"/>
      <c r="AU4051" s="6"/>
      <c r="AV4051" s="6" t="str">
        <f t="shared" si="85"/>
        <v/>
      </c>
    </row>
    <row r="4052" spans="1:48" ht="14.65" thickBot="1" x14ac:dyDescent="0.5">
      <c r="A4052" s="29" t="s">
        <v>3394</v>
      </c>
      <c r="B4052" s="9"/>
      <c r="C4052" s="305"/>
      <c r="D4052" s="306"/>
      <c r="E4052" s="305"/>
      <c r="F4052" s="306"/>
      <c r="G4052" s="305" t="s">
        <v>3395</v>
      </c>
      <c r="H4052" s="306"/>
      <c r="L4052" s="18" t="s">
        <v>2336</v>
      </c>
      <c r="R4052" s="111" t="s">
        <v>3429</v>
      </c>
      <c r="S4052" s="111" t="s">
        <v>3430</v>
      </c>
      <c r="T4052" s="111" t="s">
        <v>3427</v>
      </c>
      <c r="U4052" s="111" t="s">
        <v>3431</v>
      </c>
      <c r="V4052" s="111" t="s">
        <v>3432</v>
      </c>
      <c r="W4052" s="111" t="s">
        <v>3433</v>
      </c>
      <c r="X4052" s="217" t="s">
        <v>3434</v>
      </c>
      <c r="Y4052" s="118" t="s">
        <v>3965</v>
      </c>
      <c r="Z4052" s="185"/>
      <c r="AA4052" s="185"/>
      <c r="AB4052" s="185"/>
      <c r="AC4052" s="185"/>
      <c r="AD4052" s="185"/>
      <c r="AE4052" s="186"/>
      <c r="AF4052" s="186"/>
      <c r="AG4052" s="185"/>
      <c r="AH4052" s="185"/>
      <c r="AI4052" s="185"/>
      <c r="AJ4052" s="185"/>
      <c r="AK4052" s="185"/>
      <c r="AL4052" s="185"/>
      <c r="AM4052" s="185"/>
      <c r="AN4052" s="117"/>
      <c r="AO4052" s="117"/>
      <c r="AP4052" s="117"/>
      <c r="AQ4052" s="117"/>
      <c r="AR4052" s="287"/>
      <c r="AS4052" s="258"/>
      <c r="AT4052" s="185"/>
      <c r="AU4052" s="6"/>
      <c r="AV4052" s="6" t="str">
        <f t="shared" si="85"/>
        <v/>
      </c>
    </row>
    <row r="4053" spans="1:48" ht="15" customHeight="1" thickBot="1" x14ac:dyDescent="0.5">
      <c r="A4053" s="60" t="s">
        <v>4</v>
      </c>
      <c r="B4053" s="61" t="s">
        <v>5</v>
      </c>
      <c r="C4053" s="62" t="s">
        <v>6</v>
      </c>
      <c r="D4053" s="62" t="s">
        <v>7</v>
      </c>
      <c r="E4053" s="62" t="s">
        <v>6</v>
      </c>
      <c r="F4053" s="62" t="s">
        <v>7</v>
      </c>
      <c r="G4053" s="62" t="s">
        <v>6</v>
      </c>
      <c r="H4053" s="62" t="s">
        <v>7</v>
      </c>
      <c r="R4053" s="352" t="s">
        <v>4040</v>
      </c>
      <c r="S4053" s="353"/>
      <c r="T4053" s="353"/>
      <c r="U4053" s="353"/>
      <c r="V4053" s="353"/>
      <c r="W4053" s="353"/>
      <c r="X4053" s="357"/>
      <c r="Y4053" s="149"/>
      <c r="Z4053" s="183" t="s">
        <v>4347</v>
      </c>
      <c r="AA4053" s="183" t="s">
        <v>4343</v>
      </c>
      <c r="AB4053" s="183" t="s">
        <v>4172</v>
      </c>
      <c r="AC4053" s="183" t="s">
        <v>4340</v>
      </c>
      <c r="AD4053" s="183" t="s">
        <v>4339</v>
      </c>
      <c r="AE4053" s="184" t="s">
        <v>4341</v>
      </c>
      <c r="AF4053" s="184" t="s">
        <v>4342</v>
      </c>
      <c r="AG4053" s="183" t="s">
        <v>4353</v>
      </c>
      <c r="AH4053" s="183" t="s">
        <v>3429</v>
      </c>
      <c r="AI4053" s="183" t="s">
        <v>4356</v>
      </c>
      <c r="AJ4053" s="183" t="s">
        <v>4364</v>
      </c>
      <c r="AK4053" s="183" t="s">
        <v>4441</v>
      </c>
      <c r="AL4053" s="183" t="s">
        <v>694</v>
      </c>
      <c r="AM4053" s="183"/>
      <c r="AN4053" s="131"/>
      <c r="AO4053" s="131"/>
      <c r="AP4053" s="131"/>
      <c r="AQ4053" s="131"/>
      <c r="AR4053" s="288"/>
      <c r="AS4053" s="259"/>
      <c r="AT4053" s="183"/>
      <c r="AV4053" s="6" t="str">
        <f t="shared" si="85"/>
        <v/>
      </c>
    </row>
    <row r="4054" spans="1:48" ht="23.65" thickBot="1" x14ac:dyDescent="0.5">
      <c r="A4054" s="228" t="s">
        <v>8</v>
      </c>
      <c r="B4054" s="173" t="s">
        <v>4253</v>
      </c>
      <c r="C4054" s="229"/>
      <c r="D4054" s="229"/>
      <c r="E4054" s="229"/>
      <c r="F4054" s="229"/>
      <c r="G4054" s="174" t="s">
        <v>13</v>
      </c>
      <c r="H4054" s="229"/>
      <c r="L4054" s="18" t="s">
        <v>2336</v>
      </c>
      <c r="AB4054" s="8" t="s">
        <v>4348</v>
      </c>
      <c r="AT4054" s="189" t="s">
        <v>5325</v>
      </c>
      <c r="AV4054" s="6" t="str">
        <f t="shared" si="85"/>
        <v/>
      </c>
    </row>
    <row r="4055" spans="1:48" ht="47.65" thickBot="1" x14ac:dyDescent="0.5">
      <c r="A4055" s="172" t="s">
        <v>4286</v>
      </c>
      <c r="B4055" s="173" t="s">
        <v>4254</v>
      </c>
      <c r="C4055" s="174"/>
      <c r="D4055" s="174"/>
      <c r="E4055" s="174"/>
      <c r="F4055" s="174"/>
      <c r="G4055" s="174" t="s">
        <v>13</v>
      </c>
      <c r="H4055" s="174"/>
      <c r="L4055" s="18" t="s">
        <v>2336</v>
      </c>
      <c r="AD4055" s="8" t="s">
        <v>4928</v>
      </c>
      <c r="AJ4055" s="8" t="s">
        <v>4357</v>
      </c>
      <c r="AT4055" s="189" t="s">
        <v>5325</v>
      </c>
      <c r="AV4055" s="6" t="str">
        <f t="shared" si="85"/>
        <v/>
      </c>
    </row>
    <row r="4056" spans="1:48" ht="47.65" thickBot="1" x14ac:dyDescent="0.5">
      <c r="A4056" s="172" t="s">
        <v>4287</v>
      </c>
      <c r="B4056" s="173" t="s">
        <v>4255</v>
      </c>
      <c r="C4056" s="174"/>
      <c r="D4056" s="174"/>
      <c r="E4056" s="174"/>
      <c r="F4056" s="174"/>
      <c r="G4056" s="174" t="s">
        <v>13</v>
      </c>
      <c r="H4056" s="174"/>
      <c r="L4056" s="18" t="s">
        <v>2336</v>
      </c>
      <c r="AD4056" s="8" t="s">
        <v>4929</v>
      </c>
      <c r="AJ4056" s="8" t="s">
        <v>4357</v>
      </c>
      <c r="AT4056" s="189" t="s">
        <v>5325</v>
      </c>
      <c r="AV4056" s="6" t="str">
        <f t="shared" si="85"/>
        <v/>
      </c>
    </row>
    <row r="4057" spans="1:48" ht="47.65" thickBot="1" x14ac:dyDescent="0.5">
      <c r="A4057" s="172" t="s">
        <v>4288</v>
      </c>
      <c r="B4057" s="173" t="s">
        <v>4256</v>
      </c>
      <c r="C4057" s="174"/>
      <c r="D4057" s="174"/>
      <c r="E4057" s="174"/>
      <c r="F4057" s="174"/>
      <c r="G4057" s="174" t="s">
        <v>13</v>
      </c>
      <c r="H4057" s="174"/>
      <c r="L4057" s="18" t="s">
        <v>2336</v>
      </c>
      <c r="AD4057" s="8" t="s">
        <v>4930</v>
      </c>
      <c r="AJ4057" s="8" t="s">
        <v>4357</v>
      </c>
      <c r="AT4057" s="189" t="s">
        <v>5325</v>
      </c>
      <c r="AV4057" s="6" t="str">
        <f t="shared" si="85"/>
        <v/>
      </c>
    </row>
    <row r="4058" spans="1:48" ht="70.900000000000006" thickBot="1" x14ac:dyDescent="0.5">
      <c r="A4058" s="172" t="s">
        <v>4289</v>
      </c>
      <c r="B4058" s="173" t="s">
        <v>4257</v>
      </c>
      <c r="C4058" s="174"/>
      <c r="D4058" s="174"/>
      <c r="E4058" s="174"/>
      <c r="F4058" s="174"/>
      <c r="G4058" s="174" t="s">
        <v>37</v>
      </c>
      <c r="H4058" s="174"/>
      <c r="L4058" s="18" t="s">
        <v>2336</v>
      </c>
      <c r="AD4058" s="8" t="s">
        <v>5026</v>
      </c>
      <c r="AJ4058" s="8" t="s">
        <v>4357</v>
      </c>
      <c r="AT4058" s="189" t="s">
        <v>5325</v>
      </c>
      <c r="AV4058" s="6" t="str">
        <f t="shared" si="85"/>
        <v/>
      </c>
    </row>
    <row r="4059" spans="1:48" ht="46.9" thickBot="1" x14ac:dyDescent="0.5">
      <c r="A4059" s="230" t="s">
        <v>2899</v>
      </c>
      <c r="B4059" s="231" t="s">
        <v>4290</v>
      </c>
      <c r="C4059" s="174"/>
      <c r="D4059" s="170"/>
      <c r="E4059" s="170"/>
      <c r="F4059" s="170"/>
      <c r="G4059" s="170" t="s">
        <v>10</v>
      </c>
      <c r="H4059" s="170"/>
      <c r="R4059" s="122" t="s">
        <v>3435</v>
      </c>
      <c r="S4059" s="114" t="s">
        <v>4</v>
      </c>
      <c r="T4059" s="114" t="s">
        <v>4258</v>
      </c>
      <c r="U4059" s="114" t="s">
        <v>3521</v>
      </c>
      <c r="V4059" s="114" t="s">
        <v>3530</v>
      </c>
      <c r="W4059" s="114" t="s">
        <v>3436</v>
      </c>
      <c r="X4059" s="114" t="s">
        <v>13</v>
      </c>
      <c r="Y4059" s="149"/>
      <c r="Z4059" s="183"/>
      <c r="AA4059" s="183"/>
      <c r="AB4059" s="183" t="s">
        <v>758</v>
      </c>
      <c r="AC4059" s="183" t="s">
        <v>6</v>
      </c>
      <c r="AD4059" s="183" t="s">
        <v>4931</v>
      </c>
      <c r="AE4059" s="184"/>
      <c r="AF4059" s="184"/>
      <c r="AG4059" s="183"/>
      <c r="AH4059" s="183"/>
      <c r="AI4059" s="183"/>
      <c r="AJ4059" s="183"/>
      <c r="AK4059" s="183"/>
      <c r="AL4059" s="183"/>
      <c r="AM4059" s="183"/>
      <c r="AN4059" s="131"/>
      <c r="AO4059" s="131"/>
      <c r="AP4059" s="131"/>
      <c r="AQ4059" s="131"/>
      <c r="AR4059" s="288"/>
      <c r="AS4059" s="259"/>
      <c r="AT4059" s="189" t="s">
        <v>5325</v>
      </c>
      <c r="AV4059" s="6" t="str">
        <f t="shared" si="85"/>
        <v>ERROR</v>
      </c>
    </row>
    <row r="4060" spans="1:48" ht="58.5" thickBot="1" x14ac:dyDescent="0.5">
      <c r="A4060" s="230" t="s">
        <v>4514</v>
      </c>
      <c r="B4060" s="231" t="s">
        <v>4260</v>
      </c>
      <c r="C4060" s="174"/>
      <c r="D4060" s="170"/>
      <c r="E4060" s="170"/>
      <c r="F4060" s="170"/>
      <c r="G4060" s="170" t="s">
        <v>10</v>
      </c>
      <c r="H4060" s="170"/>
      <c r="R4060" s="122" t="s">
        <v>3435</v>
      </c>
      <c r="S4060" s="114" t="s">
        <v>4</v>
      </c>
      <c r="T4060" s="114" t="s">
        <v>4259</v>
      </c>
      <c r="U4060" s="114" t="s">
        <v>3521</v>
      </c>
      <c r="V4060" s="114" t="s">
        <v>3530</v>
      </c>
      <c r="W4060" s="114" t="s">
        <v>3436</v>
      </c>
      <c r="X4060" s="114" t="s">
        <v>13</v>
      </c>
      <c r="Y4060" s="149"/>
      <c r="Z4060" s="183"/>
      <c r="AA4060" s="183"/>
      <c r="AB4060" s="183" t="s">
        <v>758</v>
      </c>
      <c r="AC4060" s="183" t="s">
        <v>6</v>
      </c>
      <c r="AD4060" s="183" t="s">
        <v>4932</v>
      </c>
      <c r="AE4060" s="184"/>
      <c r="AF4060" s="184"/>
      <c r="AG4060" s="183"/>
      <c r="AH4060" s="183"/>
      <c r="AI4060" s="183"/>
      <c r="AJ4060" s="183"/>
      <c r="AK4060" s="183"/>
      <c r="AL4060" s="183"/>
      <c r="AM4060" s="183"/>
      <c r="AN4060" s="131"/>
      <c r="AO4060" s="131"/>
      <c r="AP4060" s="131"/>
      <c r="AQ4060" s="131"/>
      <c r="AR4060" s="288"/>
      <c r="AS4060" s="259"/>
      <c r="AT4060" s="189" t="s">
        <v>5325</v>
      </c>
      <c r="AV4060" s="6" t="str">
        <f t="shared" si="85"/>
        <v>ERROR</v>
      </c>
    </row>
    <row r="4061" spans="1:48" ht="46.9" thickBot="1" x14ac:dyDescent="0.5">
      <c r="A4061" s="230" t="s">
        <v>1697</v>
      </c>
      <c r="B4061" s="231" t="s">
        <v>4262</v>
      </c>
      <c r="C4061" s="174"/>
      <c r="D4061" s="170"/>
      <c r="E4061" s="170"/>
      <c r="F4061" s="170"/>
      <c r="G4061" s="170" t="s">
        <v>10</v>
      </c>
      <c r="H4061" s="170"/>
      <c r="R4061" s="122" t="s">
        <v>3435</v>
      </c>
      <c r="S4061" s="114" t="s">
        <v>4</v>
      </c>
      <c r="T4061" s="114" t="s">
        <v>4261</v>
      </c>
      <c r="U4061" s="114" t="s">
        <v>3521</v>
      </c>
      <c r="V4061" s="114" t="s">
        <v>3530</v>
      </c>
      <c r="W4061" s="114" t="s">
        <v>3436</v>
      </c>
      <c r="X4061" s="114" t="s">
        <v>13</v>
      </c>
      <c r="Y4061" s="149"/>
      <c r="Z4061" s="183"/>
      <c r="AA4061" s="183"/>
      <c r="AB4061" s="183" t="s">
        <v>758</v>
      </c>
      <c r="AC4061" s="183" t="s">
        <v>6</v>
      </c>
      <c r="AD4061" s="183" t="s">
        <v>4933</v>
      </c>
      <c r="AE4061" s="184"/>
      <c r="AF4061" s="184"/>
      <c r="AG4061" s="183"/>
      <c r="AH4061" s="183"/>
      <c r="AI4061" s="183"/>
      <c r="AJ4061" s="183"/>
      <c r="AK4061" s="183"/>
      <c r="AL4061" s="183"/>
      <c r="AM4061" s="183"/>
      <c r="AN4061" s="131"/>
      <c r="AO4061" s="131"/>
      <c r="AP4061" s="131"/>
      <c r="AQ4061" s="131"/>
      <c r="AR4061" s="288"/>
      <c r="AS4061" s="259"/>
      <c r="AT4061" s="189" t="s">
        <v>5325</v>
      </c>
      <c r="AV4061" s="6" t="str">
        <f t="shared" si="85"/>
        <v>ERROR</v>
      </c>
    </row>
    <row r="4062" spans="1:48" ht="81.75" thickBot="1" x14ac:dyDescent="0.5">
      <c r="A4062" s="230" t="s">
        <v>4263</v>
      </c>
      <c r="B4062" s="231" t="s">
        <v>4291</v>
      </c>
      <c r="C4062" s="174"/>
      <c r="D4062" s="170"/>
      <c r="E4062" s="170"/>
      <c r="F4062" s="170"/>
      <c r="G4062" s="170" t="s">
        <v>10</v>
      </c>
      <c r="H4062" s="170"/>
      <c r="R4062" s="122" t="s">
        <v>3435</v>
      </c>
      <c r="S4062" s="114" t="s">
        <v>4</v>
      </c>
      <c r="T4062" s="114" t="s">
        <v>4263</v>
      </c>
      <c r="U4062" s="114" t="s">
        <v>3521</v>
      </c>
      <c r="V4062" s="114" t="s">
        <v>3530</v>
      </c>
      <c r="W4062" s="114" t="s">
        <v>3436</v>
      </c>
      <c r="X4062" s="114" t="s">
        <v>13</v>
      </c>
      <c r="Y4062" s="149"/>
      <c r="Z4062" s="183"/>
      <c r="AA4062" s="183"/>
      <c r="AB4062" s="183" t="s">
        <v>758</v>
      </c>
      <c r="AC4062" s="183" t="s">
        <v>6</v>
      </c>
      <c r="AD4062" s="183" t="s">
        <v>4934</v>
      </c>
      <c r="AE4062" s="184"/>
      <c r="AF4062" s="184"/>
      <c r="AG4062" s="183"/>
      <c r="AH4062" s="183"/>
      <c r="AI4062" s="183"/>
      <c r="AJ4062" s="183"/>
      <c r="AK4062" s="183"/>
      <c r="AL4062" s="183"/>
      <c r="AM4062" s="183"/>
      <c r="AN4062" s="131"/>
      <c r="AO4062" s="131"/>
      <c r="AP4062" s="131"/>
      <c r="AQ4062" s="131"/>
      <c r="AR4062" s="288"/>
      <c r="AS4062" s="259"/>
      <c r="AT4062" s="189" t="s">
        <v>5325</v>
      </c>
      <c r="AV4062" s="6" t="str">
        <f t="shared" si="85"/>
        <v>OK</v>
      </c>
    </row>
    <row r="4063" spans="1:48" ht="70.150000000000006" thickBot="1" x14ac:dyDescent="0.5">
      <c r="A4063" s="230" t="s">
        <v>2849</v>
      </c>
      <c r="B4063" s="231" t="s">
        <v>4264</v>
      </c>
      <c r="C4063" s="174"/>
      <c r="D4063" s="170"/>
      <c r="E4063" s="170"/>
      <c r="F4063" s="170"/>
      <c r="G4063" s="170"/>
      <c r="H4063" s="170"/>
      <c r="R4063" s="122" t="s">
        <v>3435</v>
      </c>
      <c r="S4063" s="114" t="s">
        <v>3437</v>
      </c>
      <c r="T4063" s="114" t="s">
        <v>2849</v>
      </c>
      <c r="U4063" s="114"/>
      <c r="V4063" s="114" t="s">
        <v>4454</v>
      </c>
      <c r="W4063" s="114" t="s">
        <v>3436</v>
      </c>
      <c r="X4063" s="114" t="s">
        <v>13</v>
      </c>
      <c r="Y4063" s="149"/>
      <c r="Z4063" s="183"/>
      <c r="AA4063" s="183"/>
      <c r="AB4063" s="183" t="s">
        <v>4349</v>
      </c>
      <c r="AC4063" s="183" t="s">
        <v>6</v>
      </c>
      <c r="AD4063" s="183" t="s">
        <v>5027</v>
      </c>
      <c r="AE4063" s="184"/>
      <c r="AF4063" s="184"/>
      <c r="AG4063" s="183"/>
      <c r="AH4063" s="183"/>
      <c r="AI4063" s="183" t="s">
        <v>4357</v>
      </c>
      <c r="AJ4063" s="183"/>
      <c r="AK4063" s="183" t="s">
        <v>4453</v>
      </c>
      <c r="AL4063" s="183"/>
      <c r="AM4063" s="183"/>
      <c r="AN4063" s="131"/>
      <c r="AO4063" s="131"/>
      <c r="AP4063" s="131"/>
      <c r="AQ4063" s="131"/>
      <c r="AR4063" s="288"/>
      <c r="AS4063" s="259"/>
      <c r="AT4063" s="189" t="s">
        <v>5325</v>
      </c>
      <c r="AU4063" s="202" t="s">
        <v>5077</v>
      </c>
      <c r="AV4063" s="6" t="str">
        <f t="shared" si="85"/>
        <v>OK</v>
      </c>
    </row>
    <row r="4064" spans="1:48" ht="23.65" thickBot="1" x14ac:dyDescent="0.5">
      <c r="A4064" s="171" t="s">
        <v>33</v>
      </c>
      <c r="B4064" s="168" t="s">
        <v>3686</v>
      </c>
      <c r="C4064" s="169"/>
      <c r="D4064" s="170"/>
      <c r="E4064" s="170"/>
      <c r="F4064" s="170"/>
      <c r="G4064" s="169"/>
      <c r="H4064" s="170"/>
      <c r="R4064" s="122"/>
      <c r="S4064" s="114"/>
      <c r="T4064" s="114"/>
      <c r="U4064" s="114"/>
      <c r="V4064" s="114"/>
      <c r="W4064" s="114"/>
      <c r="X4064" s="114"/>
      <c r="Y4064" s="149"/>
      <c r="Z4064" s="183"/>
      <c r="AA4064" s="183"/>
      <c r="AB4064" s="183"/>
      <c r="AC4064" s="183"/>
      <c r="AD4064" s="183"/>
      <c r="AE4064" s="184"/>
      <c r="AF4064" s="184"/>
      <c r="AG4064" s="183"/>
      <c r="AH4064" s="183"/>
      <c r="AI4064" s="183"/>
      <c r="AJ4064" s="183"/>
      <c r="AK4064" s="183"/>
      <c r="AL4064" s="183"/>
      <c r="AM4064" s="183"/>
      <c r="AN4064" s="131"/>
      <c r="AO4064" s="131"/>
      <c r="AP4064" s="131"/>
      <c r="AQ4064" s="131"/>
      <c r="AR4064" s="288"/>
      <c r="AS4064" s="259"/>
      <c r="AT4064" s="189" t="s">
        <v>5325</v>
      </c>
      <c r="AV4064" s="6" t="str">
        <f t="shared" ref="AV4064:AV4235" si="90">IF(A4064&lt;&gt;"",IF(T4064&lt;&gt;"",IF(LEFT(R4064,3)="Has",IF(TRIM(A4064)&lt;&gt;T4064,"ERROR","OK"),""),""),"")</f>
        <v/>
      </c>
    </row>
    <row r="4065" spans="1:48" ht="23.65" thickBot="1" x14ac:dyDescent="0.5">
      <c r="A4065" s="172" t="s">
        <v>461</v>
      </c>
      <c r="B4065" s="173" t="s">
        <v>462</v>
      </c>
      <c r="C4065" s="169"/>
      <c r="D4065" s="170"/>
      <c r="E4065" s="170"/>
      <c r="F4065" s="174"/>
      <c r="G4065" s="169"/>
      <c r="H4065" s="170"/>
      <c r="R4065" s="122"/>
      <c r="S4065" s="114"/>
      <c r="T4065" s="114"/>
      <c r="U4065" s="114"/>
      <c r="V4065" s="114"/>
      <c r="W4065" s="114"/>
      <c r="X4065" s="114"/>
      <c r="Y4065" s="149"/>
      <c r="Z4065" s="183"/>
      <c r="AA4065" s="183"/>
      <c r="AB4065" s="183"/>
      <c r="AC4065" s="183"/>
      <c r="AD4065" s="183"/>
      <c r="AE4065" s="184"/>
      <c r="AF4065" s="184"/>
      <c r="AG4065" s="183"/>
      <c r="AH4065" s="183"/>
      <c r="AI4065" s="183"/>
      <c r="AJ4065" s="183"/>
      <c r="AK4065" s="183"/>
      <c r="AL4065" s="183"/>
      <c r="AM4065" s="183"/>
      <c r="AN4065" s="131"/>
      <c r="AO4065" s="131"/>
      <c r="AP4065" s="131"/>
      <c r="AQ4065" s="131"/>
      <c r="AR4065" s="288"/>
      <c r="AS4065" s="259"/>
      <c r="AT4065" s="189" t="s">
        <v>5325</v>
      </c>
      <c r="AU4065" s="8"/>
      <c r="AV4065" s="6" t="str">
        <f t="shared" si="90"/>
        <v/>
      </c>
    </row>
    <row r="4066" spans="1:48" ht="23.65" thickBot="1" x14ac:dyDescent="0.5">
      <c r="A4066" s="172" t="s">
        <v>424</v>
      </c>
      <c r="B4066" s="173" t="s">
        <v>3689</v>
      </c>
      <c r="C4066" s="169"/>
      <c r="D4066" s="170"/>
      <c r="E4066" s="170"/>
      <c r="F4066" s="174"/>
      <c r="G4066" s="169"/>
      <c r="H4066" s="170"/>
      <c r="R4066" s="122"/>
      <c r="S4066" s="114"/>
      <c r="T4066" s="114"/>
      <c r="U4066" s="114"/>
      <c r="V4066" s="114"/>
      <c r="W4066" s="114"/>
      <c r="X4066" s="114"/>
      <c r="Y4066" s="149"/>
      <c r="Z4066" s="183"/>
      <c r="AA4066" s="183"/>
      <c r="AB4066" s="183"/>
      <c r="AC4066" s="183"/>
      <c r="AD4066" s="183"/>
      <c r="AE4066" s="184"/>
      <c r="AF4066" s="184"/>
      <c r="AG4066" s="183"/>
      <c r="AH4066" s="183"/>
      <c r="AI4066" s="183"/>
      <c r="AJ4066" s="183"/>
      <c r="AK4066" s="183"/>
      <c r="AL4066" s="183"/>
      <c r="AM4066" s="183"/>
      <c r="AN4066" s="131"/>
      <c r="AO4066" s="131"/>
      <c r="AP4066" s="131"/>
      <c r="AQ4066" s="131"/>
      <c r="AR4066" s="288"/>
      <c r="AS4066" s="259"/>
      <c r="AT4066" s="189" t="s">
        <v>5325</v>
      </c>
      <c r="AU4066" s="8"/>
      <c r="AV4066" s="6" t="str">
        <f t="shared" si="90"/>
        <v/>
      </c>
    </row>
    <row r="4067" spans="1:48" ht="58.5" thickBot="1" x14ac:dyDescent="0.5">
      <c r="A4067" s="232" t="s">
        <v>2696</v>
      </c>
      <c r="B4067" s="231" t="s">
        <v>3761</v>
      </c>
      <c r="C4067" s="174"/>
      <c r="D4067" s="170"/>
      <c r="E4067" s="170"/>
      <c r="F4067" s="170"/>
      <c r="G4067" s="170"/>
      <c r="H4067" s="170"/>
      <c r="Q4067" s="8" t="s">
        <v>4454</v>
      </c>
      <c r="R4067" s="122" t="s">
        <v>3529</v>
      </c>
      <c r="S4067" s="114" t="s">
        <v>4</v>
      </c>
      <c r="T4067" s="114" t="s">
        <v>3514</v>
      </c>
      <c r="U4067" s="114" t="s">
        <v>3521</v>
      </c>
      <c r="V4067" s="114" t="s">
        <v>3530</v>
      </c>
      <c r="W4067" s="114" t="s">
        <v>3436</v>
      </c>
      <c r="X4067" s="114" t="s">
        <v>13</v>
      </c>
      <c r="Y4067" s="149"/>
      <c r="Z4067" s="183"/>
      <c r="AA4067" s="183" t="s">
        <v>2849</v>
      </c>
      <c r="AB4067" s="183" t="s">
        <v>758</v>
      </c>
      <c r="AC4067" s="183" t="s">
        <v>4346</v>
      </c>
      <c r="AD4067" s="183" t="s">
        <v>4935</v>
      </c>
      <c r="AE4067" s="184"/>
      <c r="AF4067" s="184"/>
      <c r="AG4067" s="183"/>
      <c r="AH4067" s="183"/>
      <c r="AI4067" s="183"/>
      <c r="AJ4067" s="183"/>
      <c r="AK4067" s="183"/>
      <c r="AL4067" s="183"/>
      <c r="AM4067" s="183"/>
      <c r="AN4067" s="131"/>
      <c r="AO4067" s="131"/>
      <c r="AP4067" s="131"/>
      <c r="AQ4067" s="131"/>
      <c r="AR4067" s="288"/>
      <c r="AS4067" s="259"/>
      <c r="AT4067" s="189" t="s">
        <v>5325</v>
      </c>
      <c r="AU4067" s="202" t="s">
        <v>5077</v>
      </c>
      <c r="AV4067" s="6" t="str">
        <f t="shared" si="90"/>
        <v>OK</v>
      </c>
    </row>
    <row r="4068" spans="1:48" ht="58.5" thickBot="1" x14ac:dyDescent="0.5">
      <c r="A4068" s="232" t="s">
        <v>4136</v>
      </c>
      <c r="B4068" s="231" t="s">
        <v>3753</v>
      </c>
      <c r="C4068" s="174"/>
      <c r="D4068" s="170"/>
      <c r="E4068" s="170"/>
      <c r="F4068" s="170"/>
      <c r="G4068" s="170"/>
      <c r="H4068" s="170"/>
      <c r="Q4068" s="8" t="s">
        <v>4454</v>
      </c>
      <c r="R4068" s="122" t="s">
        <v>3529</v>
      </c>
      <c r="S4068" s="114" t="s">
        <v>4</v>
      </c>
      <c r="T4068" s="114" t="s">
        <v>3515</v>
      </c>
      <c r="U4068" s="114" t="s">
        <v>3521</v>
      </c>
      <c r="V4068" s="114" t="s">
        <v>3530</v>
      </c>
      <c r="W4068" s="114" t="s">
        <v>3436</v>
      </c>
      <c r="X4068" s="114" t="s">
        <v>13</v>
      </c>
      <c r="Y4068" s="149"/>
      <c r="Z4068" s="183"/>
      <c r="AA4068" s="183" t="s">
        <v>2849</v>
      </c>
      <c r="AB4068" s="183" t="s">
        <v>758</v>
      </c>
      <c r="AC4068" s="183" t="s">
        <v>6</v>
      </c>
      <c r="AD4068" s="183" t="s">
        <v>4936</v>
      </c>
      <c r="AE4068" s="184"/>
      <c r="AF4068" s="184"/>
      <c r="AG4068" s="183"/>
      <c r="AH4068" s="183"/>
      <c r="AI4068" s="183"/>
      <c r="AJ4068" s="183"/>
      <c r="AK4068" s="183"/>
      <c r="AL4068" s="183"/>
      <c r="AM4068" s="183"/>
      <c r="AN4068" s="131"/>
      <c r="AO4068" s="131"/>
      <c r="AP4068" s="131"/>
      <c r="AQ4068" s="131"/>
      <c r="AR4068" s="288"/>
      <c r="AS4068" s="259"/>
      <c r="AT4068" s="189" t="s">
        <v>5325</v>
      </c>
      <c r="AU4068" s="202" t="s">
        <v>5077</v>
      </c>
      <c r="AV4068" s="6" t="str">
        <f t="shared" si="90"/>
        <v>ERROR</v>
      </c>
    </row>
    <row r="4069" spans="1:48" ht="81.75" thickBot="1" x14ac:dyDescent="0.5">
      <c r="A4069" s="232" t="s">
        <v>2850</v>
      </c>
      <c r="B4069" s="231" t="s">
        <v>3752</v>
      </c>
      <c r="C4069" s="174"/>
      <c r="D4069" s="170"/>
      <c r="E4069" s="170"/>
      <c r="F4069" s="170"/>
      <c r="G4069" s="170"/>
      <c r="H4069" s="170"/>
      <c r="Q4069" s="8" t="s">
        <v>4454</v>
      </c>
      <c r="R4069" s="122" t="s">
        <v>3529</v>
      </c>
      <c r="S4069" s="114" t="s">
        <v>4</v>
      </c>
      <c r="T4069" s="114" t="s">
        <v>3516</v>
      </c>
      <c r="U4069" s="114" t="s">
        <v>3521</v>
      </c>
      <c r="V4069" s="114" t="s">
        <v>3530</v>
      </c>
      <c r="W4069" s="114" t="s">
        <v>3436</v>
      </c>
      <c r="X4069" s="114" t="s">
        <v>13</v>
      </c>
      <c r="Y4069" s="149"/>
      <c r="Z4069" s="183"/>
      <c r="AA4069" s="183" t="s">
        <v>2849</v>
      </c>
      <c r="AB4069" s="183" t="s">
        <v>758</v>
      </c>
      <c r="AC4069" s="183" t="s">
        <v>6</v>
      </c>
      <c r="AD4069" s="183" t="s">
        <v>4937</v>
      </c>
      <c r="AE4069" s="184"/>
      <c r="AF4069" s="184"/>
      <c r="AG4069" s="183"/>
      <c r="AH4069" s="183"/>
      <c r="AI4069" s="183"/>
      <c r="AJ4069" s="183"/>
      <c r="AK4069" s="183"/>
      <c r="AL4069" s="183"/>
      <c r="AM4069" s="183"/>
      <c r="AN4069" s="131"/>
      <c r="AO4069" s="131"/>
      <c r="AP4069" s="131"/>
      <c r="AQ4069" s="131"/>
      <c r="AR4069" s="288"/>
      <c r="AS4069" s="259"/>
      <c r="AT4069" s="189" t="s">
        <v>5325</v>
      </c>
      <c r="AU4069" s="202" t="s">
        <v>5077</v>
      </c>
      <c r="AV4069" s="6" t="str">
        <f t="shared" si="90"/>
        <v>OK</v>
      </c>
    </row>
    <row r="4070" spans="1:48" ht="23.65" thickBot="1" x14ac:dyDescent="0.5">
      <c r="A4070" s="228" t="s">
        <v>753</v>
      </c>
      <c r="B4070" s="173" t="s">
        <v>60</v>
      </c>
      <c r="C4070" s="174"/>
      <c r="D4070" s="174"/>
      <c r="E4070" s="174"/>
      <c r="F4070" s="174"/>
      <c r="G4070" s="174"/>
      <c r="H4070" s="174"/>
      <c r="AT4070" s="189" t="s">
        <v>5325</v>
      </c>
      <c r="AU4070" s="8"/>
      <c r="AV4070" s="6" t="str">
        <f t="shared" si="90"/>
        <v/>
      </c>
    </row>
    <row r="4071" spans="1:48" ht="46.9" thickBot="1" x14ac:dyDescent="0.5">
      <c r="A4071" s="230" t="s">
        <v>145</v>
      </c>
      <c r="B4071" s="231" t="s">
        <v>4265</v>
      </c>
      <c r="C4071" s="174"/>
      <c r="D4071" s="170"/>
      <c r="E4071" s="170"/>
      <c r="F4071" s="170"/>
      <c r="G4071" s="170"/>
      <c r="H4071" s="170"/>
      <c r="R4071" s="122" t="s">
        <v>3435</v>
      </c>
      <c r="S4071" s="114" t="s">
        <v>3437</v>
      </c>
      <c r="T4071" s="114" t="s">
        <v>145</v>
      </c>
      <c r="U4071" s="114"/>
      <c r="V4071" s="114" t="s">
        <v>3441</v>
      </c>
      <c r="W4071" s="114" t="s">
        <v>3436</v>
      </c>
      <c r="X4071" s="114" t="s">
        <v>13</v>
      </c>
      <c r="Y4071" s="149"/>
      <c r="Z4071" s="183"/>
      <c r="AA4071" s="183"/>
      <c r="AB4071" s="183" t="s">
        <v>4359</v>
      </c>
      <c r="AC4071" s="183" t="s">
        <v>6</v>
      </c>
      <c r="AD4071" s="183" t="s">
        <v>4770</v>
      </c>
      <c r="AE4071" s="184"/>
      <c r="AF4071" s="184"/>
      <c r="AG4071" s="183"/>
      <c r="AH4071" s="183"/>
      <c r="AI4071" s="183"/>
      <c r="AJ4071" s="183"/>
      <c r="AK4071" s="183"/>
      <c r="AL4071" s="183"/>
      <c r="AM4071" s="183"/>
      <c r="AN4071" s="131"/>
      <c r="AO4071" s="131"/>
      <c r="AP4071" s="131"/>
      <c r="AQ4071" s="131"/>
      <c r="AR4071" s="288"/>
      <c r="AS4071" s="140" t="s">
        <v>5364</v>
      </c>
      <c r="AT4071" s="189" t="s">
        <v>5325</v>
      </c>
      <c r="AV4071" s="6" t="str">
        <f t="shared" si="90"/>
        <v>OK</v>
      </c>
    </row>
    <row r="4072" spans="1:48" ht="46.9" thickBot="1" x14ac:dyDescent="0.5">
      <c r="A4072" s="172" t="s">
        <v>5361</v>
      </c>
      <c r="B4072" s="173" t="s">
        <v>5352</v>
      </c>
      <c r="C4072" s="174"/>
      <c r="D4072" s="174"/>
      <c r="E4072" s="174"/>
      <c r="F4072" s="174"/>
      <c r="G4072" s="174"/>
      <c r="H4072" s="174"/>
      <c r="Q4072" s="131"/>
      <c r="R4072" s="131"/>
      <c r="S4072" s="131"/>
      <c r="T4072" s="131"/>
      <c r="U4072" s="131"/>
      <c r="V4072" s="131"/>
      <c r="W4072" s="131"/>
      <c r="X4072" s="131"/>
      <c r="AS4072" s="140" t="s">
        <v>5364</v>
      </c>
      <c r="AU4072" s="6"/>
      <c r="AV4072" s="6"/>
    </row>
    <row r="4073" spans="1:48" ht="46.9" thickBot="1" x14ac:dyDescent="0.5">
      <c r="A4073" s="172" t="s">
        <v>5360</v>
      </c>
      <c r="B4073" s="173" t="s">
        <v>5353</v>
      </c>
      <c r="C4073" s="174"/>
      <c r="D4073" s="174"/>
      <c r="E4073" s="174"/>
      <c r="F4073" s="174"/>
      <c r="G4073" s="174"/>
      <c r="H4073" s="174"/>
      <c r="Q4073" s="131"/>
      <c r="R4073" s="131"/>
      <c r="S4073" s="131"/>
      <c r="T4073" s="131"/>
      <c r="U4073" s="131"/>
      <c r="V4073" s="131"/>
      <c r="W4073" s="131"/>
      <c r="X4073" s="131"/>
      <c r="AS4073" s="140" t="s">
        <v>5364</v>
      </c>
      <c r="AU4073" s="6"/>
      <c r="AV4073" s="6"/>
    </row>
    <row r="4074" spans="1:48" ht="117.4" thickBot="1" x14ac:dyDescent="0.5">
      <c r="A4074" s="167" t="s">
        <v>4266</v>
      </c>
      <c r="B4074" s="168" t="s">
        <v>4267</v>
      </c>
      <c r="C4074" s="174"/>
      <c r="D4074" s="170"/>
      <c r="E4074" s="170"/>
      <c r="F4074" s="170"/>
      <c r="G4074" s="169"/>
      <c r="H4074" s="170"/>
      <c r="R4074" s="122" t="s">
        <v>3435</v>
      </c>
      <c r="S4074" s="114" t="s">
        <v>3437</v>
      </c>
      <c r="T4074" s="114" t="s">
        <v>4266</v>
      </c>
      <c r="U4074" s="114"/>
      <c r="V4074" s="114" t="s">
        <v>4268</v>
      </c>
      <c r="W4074" s="114" t="s">
        <v>3436</v>
      </c>
      <c r="X4074" s="114" t="s">
        <v>13</v>
      </c>
      <c r="Y4074" s="149"/>
      <c r="Z4074" s="183"/>
      <c r="AA4074" s="183"/>
      <c r="AB4074" s="183" t="s">
        <v>4354</v>
      </c>
      <c r="AC4074" s="183" t="s">
        <v>6</v>
      </c>
      <c r="AD4074" s="183"/>
      <c r="AE4074" s="184"/>
      <c r="AF4074" s="184"/>
      <c r="AG4074" s="183" t="s">
        <v>4355</v>
      </c>
      <c r="AH4074" s="183" t="s">
        <v>5259</v>
      </c>
      <c r="AI4074" s="183" t="s">
        <v>4357</v>
      </c>
      <c r="AJ4074" s="183"/>
      <c r="AK4074" s="183"/>
      <c r="AL4074" s="183"/>
      <c r="AM4074" s="183"/>
      <c r="AN4074" s="131"/>
      <c r="AO4074" s="131"/>
      <c r="AP4074" s="131"/>
      <c r="AQ4074" s="131"/>
      <c r="AR4074" s="288"/>
      <c r="AS4074" s="259"/>
      <c r="AT4074" s="189" t="s">
        <v>5325</v>
      </c>
      <c r="AU4074" s="202" t="s">
        <v>5273</v>
      </c>
      <c r="AV4074" s="6" t="str">
        <f t="shared" si="90"/>
        <v>OK</v>
      </c>
    </row>
    <row r="4075" spans="1:48" ht="23.65" thickBot="1" x14ac:dyDescent="0.5">
      <c r="A4075" s="171" t="s">
        <v>33</v>
      </c>
      <c r="B4075" s="168" t="s">
        <v>3686</v>
      </c>
      <c r="C4075" s="169"/>
      <c r="D4075" s="170"/>
      <c r="E4075" s="170"/>
      <c r="F4075" s="170"/>
      <c r="G4075" s="169"/>
      <c r="H4075" s="170"/>
      <c r="AT4075" s="189" t="s">
        <v>5325</v>
      </c>
      <c r="AV4075" s="6" t="str">
        <f t="shared" si="90"/>
        <v/>
      </c>
    </row>
    <row r="4076" spans="1:48" x14ac:dyDescent="0.45">
      <c r="A4076" s="33" t="s">
        <v>4269</v>
      </c>
      <c r="AV4076" s="6" t="str">
        <f t="shared" si="90"/>
        <v/>
      </c>
    </row>
    <row r="4077" spans="1:48" ht="70.5" x14ac:dyDescent="0.45">
      <c r="A4077" s="34" t="s">
        <v>5895</v>
      </c>
      <c r="AU4077" s="202" t="s">
        <v>5894</v>
      </c>
      <c r="AV4077" s="6" t="str">
        <f t="shared" si="90"/>
        <v/>
      </c>
    </row>
    <row r="4078" spans="1:48" s="79" customFormat="1" x14ac:dyDescent="0.45">
      <c r="A4078" s="75"/>
      <c r="B4078" s="76"/>
      <c r="C4078" s="77"/>
      <c r="D4078" s="77"/>
      <c r="E4078" s="77"/>
      <c r="F4078" s="77"/>
      <c r="G4078" s="77"/>
      <c r="H4078" s="77"/>
      <c r="I4078" s="77"/>
      <c r="J4078" s="77"/>
      <c r="K4078" s="77"/>
      <c r="L4078" s="77"/>
      <c r="M4078" s="148"/>
      <c r="N4078" s="78"/>
      <c r="O4078" s="78"/>
      <c r="P4078" s="78"/>
      <c r="Q4078" s="78"/>
      <c r="R4078" s="78"/>
      <c r="S4078" s="78"/>
      <c r="T4078" s="78"/>
      <c r="U4078" s="78"/>
      <c r="V4078" s="78"/>
      <c r="W4078" s="78"/>
      <c r="X4078" s="78"/>
      <c r="Y4078" s="148"/>
      <c r="Z4078" s="78"/>
      <c r="AA4078" s="78"/>
      <c r="AB4078" s="78"/>
      <c r="AC4078" s="78"/>
      <c r="AD4078" s="78"/>
      <c r="AE4078" s="156"/>
      <c r="AF4078" s="156"/>
      <c r="AG4078" s="78"/>
      <c r="AH4078" s="78"/>
      <c r="AI4078" s="78"/>
      <c r="AJ4078" s="78"/>
      <c r="AK4078" s="78"/>
      <c r="AL4078" s="78"/>
      <c r="AM4078" s="78"/>
      <c r="AN4078" s="78"/>
      <c r="AO4078" s="78"/>
      <c r="AP4078" s="78"/>
      <c r="AQ4078" s="78"/>
      <c r="AR4078" s="286"/>
      <c r="AS4078" s="78"/>
      <c r="AT4078" s="78"/>
      <c r="AU4078" s="8"/>
      <c r="AV4078" s="6" t="str">
        <f t="shared" si="90"/>
        <v/>
      </c>
    </row>
    <row r="4079" spans="1:48" ht="58.15" x14ac:dyDescent="0.45">
      <c r="A4079" s="27" t="s">
        <v>5193</v>
      </c>
      <c r="L4079" s="18" t="s">
        <v>2335</v>
      </c>
      <c r="AT4079" s="237" t="s">
        <v>5311</v>
      </c>
      <c r="AU4079" s="140" t="s">
        <v>5197</v>
      </c>
      <c r="AV4079" s="6" t="str">
        <f t="shared" si="90"/>
        <v/>
      </c>
    </row>
    <row r="4080" spans="1:48" ht="58.5" thickBot="1" x14ac:dyDescent="0.5">
      <c r="A4080" s="323" t="s">
        <v>5194</v>
      </c>
      <c r="B4080" s="324"/>
      <c r="C4080" s="324"/>
      <c r="D4080" s="324"/>
      <c r="E4080" s="324"/>
      <c r="F4080" s="324"/>
      <c r="G4080" s="101"/>
      <c r="H4080" s="101"/>
      <c r="L4080" s="18" t="s">
        <v>2335</v>
      </c>
      <c r="Z4080" s="183" t="s">
        <v>4347</v>
      </c>
      <c r="AA4080" s="183" t="s">
        <v>2322</v>
      </c>
      <c r="AB4080" s="183" t="s">
        <v>1697</v>
      </c>
      <c r="AC4080" s="183" t="s">
        <v>5</v>
      </c>
      <c r="AD4080" s="183" t="s">
        <v>4339</v>
      </c>
      <c r="AE4080" s="184" t="s">
        <v>4338</v>
      </c>
      <c r="AF4080" s="184" t="s">
        <v>4350</v>
      </c>
      <c r="AG4080" s="183" t="s">
        <v>1695</v>
      </c>
      <c r="AH4080" s="183" t="s">
        <v>4351</v>
      </c>
      <c r="AI4080" s="8" t="s">
        <v>4455</v>
      </c>
      <c r="AJ4080" s="183" t="s">
        <v>5051</v>
      </c>
      <c r="AT4080" s="237" t="s">
        <v>5311</v>
      </c>
      <c r="AU4080" s="140" t="s">
        <v>5197</v>
      </c>
      <c r="AV4080" s="6" t="str">
        <f t="shared" si="90"/>
        <v/>
      </c>
    </row>
    <row r="4081" spans="1:48" ht="139.9" thickBot="1" x14ac:dyDescent="0.5">
      <c r="A4081" s="309" t="s">
        <v>5195</v>
      </c>
      <c r="B4081" s="310"/>
      <c r="C4081" s="301" t="s">
        <v>1</v>
      </c>
      <c r="D4081" s="319"/>
      <c r="E4081" s="319"/>
      <c r="F4081" s="302"/>
      <c r="G4081" s="102"/>
      <c r="H4081" s="102"/>
      <c r="L4081" s="18" t="s">
        <v>2335</v>
      </c>
      <c r="Z4081" s="183"/>
      <c r="AA4081" s="183" t="str">
        <f>LEFT($A4081,FIND(" ",$A4081)-1)</f>
        <v>DCNFBExecutionEngineCollection</v>
      </c>
      <c r="AB4081" s="183" t="str">
        <f>MID($A4081,FIND("(",$A4081)+1,LEN($A4081)-FIND("(",$A4081)-1)</f>
        <v>1.0.0</v>
      </c>
      <c r="AC4081" s="101" t="str">
        <f>A4080</f>
        <v>A DCNFBExecutionEngineCollection is a collection of DCN Function Block Execution Engine Resources running on a node.</v>
      </c>
      <c r="AD4081" s="101" t="s">
        <v>5196</v>
      </c>
      <c r="AE4081" s="188" t="s">
        <v>5896</v>
      </c>
      <c r="AF4081" s="184" t="s">
        <v>4352</v>
      </c>
      <c r="AG4081" s="183" t="s">
        <v>4352</v>
      </c>
      <c r="AH4081" s="183" t="s">
        <v>4352</v>
      </c>
      <c r="AI4081" s="183" t="s">
        <v>5248</v>
      </c>
      <c r="AT4081" s="237" t="s">
        <v>5328</v>
      </c>
      <c r="AU4081" s="140" t="s">
        <v>5893</v>
      </c>
      <c r="AV4081" s="6" t="str">
        <f t="shared" si="90"/>
        <v/>
      </c>
    </row>
    <row r="4082" spans="1:48" ht="58.5" thickBot="1" x14ac:dyDescent="0.5">
      <c r="A4082" s="311"/>
      <c r="B4082" s="312"/>
      <c r="C4082" s="301" t="s">
        <v>2</v>
      </c>
      <c r="D4082" s="302"/>
      <c r="E4082" s="301" t="s">
        <v>3</v>
      </c>
      <c r="F4082" s="302"/>
      <c r="G4082" s="301" t="s">
        <v>2896</v>
      </c>
      <c r="H4082" s="302"/>
      <c r="L4082" s="18" t="s">
        <v>2335</v>
      </c>
      <c r="AT4082" s="237" t="s">
        <v>5311</v>
      </c>
      <c r="AU4082" s="6"/>
      <c r="AV4082" s="6" t="str">
        <f t="shared" si="90"/>
        <v/>
      </c>
    </row>
    <row r="4083" spans="1:48" ht="58.5" thickBot="1" x14ac:dyDescent="0.5">
      <c r="A4083" s="46" t="s">
        <v>2377</v>
      </c>
      <c r="B4083" s="47"/>
      <c r="C4083" s="303"/>
      <c r="D4083" s="304"/>
      <c r="E4083" s="303"/>
      <c r="F4083" s="304"/>
      <c r="G4083" s="303"/>
      <c r="H4083" s="304"/>
      <c r="AT4083" s="237" t="s">
        <v>5311</v>
      </c>
      <c r="AU4083" s="6"/>
      <c r="AV4083" s="6" t="str">
        <f t="shared" si="90"/>
        <v/>
      </c>
    </row>
    <row r="4084" spans="1:48" ht="58.5" thickBot="1" x14ac:dyDescent="0.5">
      <c r="A4084" s="30" t="s">
        <v>4</v>
      </c>
      <c r="B4084" s="59" t="s">
        <v>5</v>
      </c>
      <c r="C4084" s="7" t="s">
        <v>6</v>
      </c>
      <c r="D4084" s="7" t="s">
        <v>7</v>
      </c>
      <c r="E4084" s="7" t="s">
        <v>6</v>
      </c>
      <c r="F4084" s="7" t="s">
        <v>7</v>
      </c>
      <c r="G4084" s="7" t="s">
        <v>6</v>
      </c>
      <c r="H4084" s="7" t="s">
        <v>7</v>
      </c>
      <c r="L4084" s="18" t="s">
        <v>2335</v>
      </c>
      <c r="Z4084" s="183" t="s">
        <v>4347</v>
      </c>
      <c r="AA4084" s="183" t="s">
        <v>4343</v>
      </c>
      <c r="AB4084" s="183" t="s">
        <v>4172</v>
      </c>
      <c r="AC4084" s="183" t="s">
        <v>4340</v>
      </c>
      <c r="AD4084" s="183" t="s">
        <v>4339</v>
      </c>
      <c r="AE4084" s="184" t="s">
        <v>4341</v>
      </c>
      <c r="AF4084" s="184" t="s">
        <v>4342</v>
      </c>
      <c r="AG4084" s="183" t="s">
        <v>4353</v>
      </c>
      <c r="AH4084" s="183" t="s">
        <v>3429</v>
      </c>
      <c r="AI4084" s="183" t="s">
        <v>4356</v>
      </c>
      <c r="AJ4084" s="183" t="s">
        <v>4364</v>
      </c>
      <c r="AT4084" s="237" t="s">
        <v>5311</v>
      </c>
      <c r="AU4084" s="6"/>
      <c r="AV4084" s="6" t="str">
        <f t="shared" si="90"/>
        <v/>
      </c>
    </row>
    <row r="4085" spans="1:48" ht="116.65" thickBot="1" x14ac:dyDescent="0.5">
      <c r="A4085" s="36" t="s">
        <v>2792</v>
      </c>
      <c r="B4085" s="3" t="s">
        <v>5198</v>
      </c>
      <c r="C4085" s="4"/>
      <c r="D4085" s="4"/>
      <c r="E4085" s="4"/>
      <c r="F4085" s="4"/>
      <c r="G4085" s="4" t="s">
        <v>10</v>
      </c>
      <c r="H4085" s="4"/>
      <c r="AB4085" s="8" t="s">
        <v>4354</v>
      </c>
      <c r="AC4085" s="183" t="s">
        <v>6</v>
      </c>
      <c r="AD4085" s="183" t="s">
        <v>5292</v>
      </c>
      <c r="AE4085" s="184"/>
      <c r="AF4085" s="184"/>
      <c r="AG4085" s="183" t="s">
        <v>4355</v>
      </c>
      <c r="AH4085" s="183" t="s">
        <v>5260</v>
      </c>
      <c r="AI4085" s="183" t="s">
        <v>4357</v>
      </c>
      <c r="AT4085" s="237" t="s">
        <v>5327</v>
      </c>
      <c r="AU4085" s="140" t="s">
        <v>5291</v>
      </c>
      <c r="AV4085" s="6" t="str">
        <f t="shared" si="90"/>
        <v/>
      </c>
    </row>
    <row r="4086" spans="1:48" ht="58.5" thickBot="1" x14ac:dyDescent="0.5">
      <c r="A4086" s="35" t="s">
        <v>33</v>
      </c>
      <c r="B4086" s="3" t="s">
        <v>5089</v>
      </c>
      <c r="C4086" s="4"/>
      <c r="D4086" s="4"/>
      <c r="E4086" s="4"/>
      <c r="F4086" s="4"/>
      <c r="G4086" s="4"/>
      <c r="H4086" s="4"/>
      <c r="L4086" s="18" t="s">
        <v>2335</v>
      </c>
      <c r="AT4086" s="237" t="s">
        <v>5311</v>
      </c>
      <c r="AU4086" s="6"/>
      <c r="AV4086" s="6" t="str">
        <f t="shared" si="90"/>
        <v/>
      </c>
    </row>
    <row r="4087" spans="1:48" ht="58.15" x14ac:dyDescent="0.45">
      <c r="A4087" s="33" t="s">
        <v>5205</v>
      </c>
      <c r="L4087" s="18" t="s">
        <v>2335</v>
      </c>
      <c r="AT4087" s="237" t="s">
        <v>5311</v>
      </c>
      <c r="AU4087" s="6"/>
      <c r="AV4087" s="6" t="str">
        <f t="shared" si="90"/>
        <v/>
      </c>
    </row>
    <row r="4088" spans="1:48" ht="70.5" x14ac:dyDescent="0.45">
      <c r="A4088" s="34" t="s">
        <v>5896</v>
      </c>
      <c r="L4088" s="18" t="s">
        <v>2335</v>
      </c>
      <c r="AT4088" s="237" t="s">
        <v>5311</v>
      </c>
      <c r="AU4088" s="202" t="s">
        <v>5894</v>
      </c>
      <c r="AV4088" s="6" t="str">
        <f t="shared" si="90"/>
        <v/>
      </c>
    </row>
    <row r="4089" spans="1:48" s="79" customFormat="1" ht="14.65" thickBot="1" x14ac:dyDescent="0.5">
      <c r="A4089" s="75"/>
      <c r="B4089" s="76"/>
      <c r="C4089" s="77"/>
      <c r="D4089" s="77"/>
      <c r="E4089" s="77"/>
      <c r="F4089" s="77"/>
      <c r="G4089" s="77"/>
      <c r="H4089" s="77"/>
      <c r="I4089" s="77"/>
      <c r="J4089" s="77"/>
      <c r="K4089" s="77"/>
      <c r="L4089" s="77"/>
      <c r="M4089" s="148"/>
      <c r="N4089" s="78"/>
      <c r="O4089" s="78"/>
      <c r="P4089" s="78"/>
      <c r="Q4089" s="78"/>
      <c r="R4089" s="78"/>
      <c r="S4089" s="78"/>
      <c r="T4089" s="78"/>
      <c r="U4089" s="78"/>
      <c r="V4089" s="78"/>
      <c r="W4089" s="78"/>
      <c r="X4089" s="78"/>
      <c r="Y4089" s="148"/>
      <c r="Z4089" s="78"/>
      <c r="AA4089" s="78"/>
      <c r="AB4089" s="78"/>
      <c r="AC4089" s="78"/>
      <c r="AD4089" s="78"/>
      <c r="AE4089" s="156"/>
      <c r="AF4089" s="156"/>
      <c r="AG4089" s="78"/>
      <c r="AH4089" s="78"/>
      <c r="AI4089" s="78"/>
      <c r="AJ4089" s="78"/>
      <c r="AK4089" s="78"/>
      <c r="AL4089" s="78"/>
      <c r="AM4089" s="78"/>
      <c r="AN4089" s="78"/>
      <c r="AO4089" s="78"/>
      <c r="AP4089" s="78"/>
      <c r="AQ4089" s="78"/>
      <c r="AR4089" s="286"/>
      <c r="AS4089" s="78"/>
      <c r="AT4089" s="78"/>
      <c r="AU4089" s="8"/>
      <c r="AV4089" s="6" t="str">
        <f t="shared" si="90"/>
        <v/>
      </c>
    </row>
    <row r="4090" spans="1:48" ht="58.5" thickBot="1" x14ac:dyDescent="0.5">
      <c r="A4090" s="39" t="s">
        <v>5090</v>
      </c>
      <c r="R4090" s="111" t="s">
        <v>3426</v>
      </c>
      <c r="S4090" s="349" t="s">
        <v>823</v>
      </c>
      <c r="T4090" s="350"/>
      <c r="U4090" s="350"/>
      <c r="V4090" s="350"/>
      <c r="W4090" s="350"/>
      <c r="X4090" s="355"/>
      <c r="Y4090" s="118"/>
      <c r="Z4090" s="185"/>
      <c r="AA4090" s="185"/>
      <c r="AB4090" s="185"/>
      <c r="AC4090" s="185"/>
      <c r="AD4090" s="185"/>
      <c r="AE4090" s="186"/>
      <c r="AF4090" s="186"/>
      <c r="AG4090" s="185"/>
      <c r="AH4090" s="185"/>
      <c r="AI4090" s="185"/>
      <c r="AJ4090" s="185"/>
      <c r="AK4090" s="185"/>
      <c r="AL4090" s="185"/>
      <c r="AM4090" s="185"/>
      <c r="AN4090" s="117"/>
      <c r="AO4090" s="117"/>
      <c r="AP4090" s="117"/>
      <c r="AQ4090" s="117"/>
      <c r="AR4090" s="287"/>
      <c r="AS4090" s="258"/>
      <c r="AT4090" s="237" t="s">
        <v>5311</v>
      </c>
      <c r="AU4090" s="202" t="s">
        <v>5101</v>
      </c>
      <c r="AV4090" s="6" t="str">
        <f t="shared" si="90"/>
        <v/>
      </c>
    </row>
    <row r="4091" spans="1:48" ht="81.75" thickBot="1" x14ac:dyDescent="0.5">
      <c r="A4091" s="110" t="s">
        <v>5218</v>
      </c>
      <c r="R4091" s="122" t="s">
        <v>3427</v>
      </c>
      <c r="S4091" s="352" t="s">
        <v>5091</v>
      </c>
      <c r="T4091" s="353"/>
      <c r="U4091" s="353"/>
      <c r="V4091" s="353"/>
      <c r="W4091" s="353"/>
      <c r="X4091" s="356"/>
      <c r="Y4091" s="149"/>
      <c r="Z4091" s="183" t="s">
        <v>4347</v>
      </c>
      <c r="AA4091" s="183" t="s">
        <v>2322</v>
      </c>
      <c r="AB4091" s="183" t="s">
        <v>1697</v>
      </c>
      <c r="AC4091" s="183" t="s">
        <v>5</v>
      </c>
      <c r="AD4091" s="183" t="s">
        <v>4339</v>
      </c>
      <c r="AE4091" s="184" t="s">
        <v>4338</v>
      </c>
      <c r="AF4091" s="184" t="s">
        <v>4350</v>
      </c>
      <c r="AG4091" s="183" t="s">
        <v>1695</v>
      </c>
      <c r="AH4091" s="183" t="s">
        <v>4351</v>
      </c>
      <c r="AI4091" s="8" t="s">
        <v>4455</v>
      </c>
      <c r="AJ4091" s="183" t="s">
        <v>5051</v>
      </c>
      <c r="AK4091" s="183"/>
      <c r="AL4091" s="183"/>
      <c r="AM4091" s="183"/>
      <c r="AN4091" s="131"/>
      <c r="AO4091" s="131"/>
      <c r="AP4091" s="131"/>
      <c r="AQ4091" s="131"/>
      <c r="AR4091" s="288"/>
      <c r="AS4091" s="259"/>
      <c r="AT4091" s="237" t="s">
        <v>5311</v>
      </c>
      <c r="AU4091" s="202" t="s">
        <v>5101</v>
      </c>
      <c r="AV4091" s="6" t="str">
        <f t="shared" si="90"/>
        <v/>
      </c>
    </row>
    <row r="4092" spans="1:48" ht="186.4" thickBot="1" x14ac:dyDescent="0.5">
      <c r="A4092" s="315" t="s">
        <v>5092</v>
      </c>
      <c r="B4092" s="316"/>
      <c r="C4092" s="301" t="s">
        <v>1</v>
      </c>
      <c r="D4092" s="319"/>
      <c r="E4092" s="319"/>
      <c r="F4092" s="302"/>
      <c r="G4092" s="102"/>
      <c r="H4092" s="102"/>
      <c r="R4092" s="122" t="s">
        <v>3428</v>
      </c>
      <c r="S4092" s="352" t="b">
        <v>0</v>
      </c>
      <c r="T4092" s="353"/>
      <c r="U4092" s="353"/>
      <c r="V4092" s="353"/>
      <c r="W4092" s="353"/>
      <c r="X4092" s="356"/>
      <c r="Y4092" s="149"/>
      <c r="Z4092" s="183"/>
      <c r="AA4092" s="183" t="str">
        <f>LEFT($A4092,FIND(" ",$A4092)-1)</f>
        <v>DCNFBExecutionEngine</v>
      </c>
      <c r="AB4092" s="183" t="str">
        <f>MID($A4092,FIND("(",$A4092)+1,LEN($A4092)-FIND("(",$A4092)-1)</f>
        <v>1.0.0</v>
      </c>
      <c r="AC4092" s="101" t="str">
        <f>A4091</f>
        <v>Resource describing attributes of a DCN Function Block Execution Engine environment on an O-PAS DCN.
Additional properties and attributes will be added to this resource in O-PAS Version 3.</v>
      </c>
      <c r="AD4092" s="101" t="s">
        <v>5110</v>
      </c>
      <c r="AE4092" s="253" t="s">
        <v>5895</v>
      </c>
      <c r="AF4092" s="184" t="s">
        <v>4352</v>
      </c>
      <c r="AG4092" s="183" t="s">
        <v>4357</v>
      </c>
      <c r="AH4092" s="183" t="s">
        <v>4352</v>
      </c>
      <c r="AI4092" s="183" t="s">
        <v>5248</v>
      </c>
      <c r="AJ4092" s="183"/>
      <c r="AK4092" s="183"/>
      <c r="AL4092" s="183"/>
      <c r="AM4092" s="183"/>
      <c r="AN4092" s="131"/>
      <c r="AO4092" s="131"/>
      <c r="AP4092" s="131"/>
      <c r="AQ4092" s="131"/>
      <c r="AR4092" s="288"/>
      <c r="AS4092" s="259"/>
      <c r="AT4092" s="237" t="s">
        <v>5328</v>
      </c>
      <c r="AU4092" s="202" t="s">
        <v>5897</v>
      </c>
      <c r="AV4092" s="6" t="str">
        <f t="shared" si="90"/>
        <v/>
      </c>
    </row>
    <row r="4093" spans="1:48" ht="25.25" customHeight="1" thickBot="1" x14ac:dyDescent="0.5">
      <c r="A4093" s="317"/>
      <c r="B4093" s="318"/>
      <c r="C4093" s="301" t="s">
        <v>2</v>
      </c>
      <c r="D4093" s="302"/>
      <c r="E4093" s="301" t="s">
        <v>3</v>
      </c>
      <c r="F4093" s="302"/>
      <c r="G4093" s="301" t="s">
        <v>2896</v>
      </c>
      <c r="H4093" s="302"/>
      <c r="R4093" s="115"/>
      <c r="S4093" s="115"/>
      <c r="T4093" s="115"/>
      <c r="U4093" s="115"/>
      <c r="V4093" s="115"/>
      <c r="W4093" s="115"/>
      <c r="X4093" s="115"/>
      <c r="Y4093" s="149"/>
      <c r="Z4093" s="183"/>
      <c r="AA4093" s="183"/>
      <c r="AB4093" s="183"/>
      <c r="AC4093" s="183"/>
      <c r="AD4093" s="183"/>
      <c r="AE4093" s="184"/>
      <c r="AF4093" s="184"/>
      <c r="AG4093" s="183"/>
      <c r="AH4093" s="183"/>
      <c r="AI4093" s="183"/>
      <c r="AJ4093" s="183"/>
      <c r="AK4093" s="183"/>
      <c r="AL4093" s="183"/>
      <c r="AM4093" s="8" t="str">
        <f>C4093</f>
        <v>OSM-Redfish</v>
      </c>
      <c r="AN4093" s="8" t="str">
        <f>E4093</f>
        <v>OSM-RedfishBMC</v>
      </c>
      <c r="AO4093" s="8" t="str">
        <f>G4093</f>
        <v>OSM-RedfishDCN</v>
      </c>
      <c r="AP4093" s="131"/>
      <c r="AQ4093" s="131"/>
      <c r="AR4093" s="288"/>
      <c r="AS4093" s="259"/>
      <c r="AT4093" s="237" t="s">
        <v>5311</v>
      </c>
      <c r="AV4093" s="6" t="str">
        <f t="shared" si="90"/>
        <v/>
      </c>
    </row>
    <row r="4094" spans="1:48" ht="58.5" thickBot="1" x14ac:dyDescent="0.5">
      <c r="A4094" s="46" t="s">
        <v>2377</v>
      </c>
      <c r="B4094" s="47"/>
      <c r="C4094" s="303"/>
      <c r="D4094" s="304"/>
      <c r="E4094" s="303"/>
      <c r="F4094" s="304"/>
      <c r="G4094" s="303"/>
      <c r="H4094" s="304"/>
      <c r="R4094" s="129"/>
      <c r="S4094" s="117"/>
      <c r="T4094" s="117"/>
      <c r="U4094" s="117"/>
      <c r="V4094" s="117"/>
      <c r="W4094" s="117"/>
      <c r="X4094" s="216"/>
      <c r="Y4094" s="118"/>
      <c r="Z4094" s="185"/>
      <c r="AA4094" s="185"/>
      <c r="AB4094" s="185"/>
      <c r="AC4094" s="185"/>
      <c r="AD4094" s="185"/>
      <c r="AE4094" s="186"/>
      <c r="AF4094" s="186"/>
      <c r="AG4094" s="185"/>
      <c r="AH4094" s="185"/>
      <c r="AI4094" s="185"/>
      <c r="AJ4094" s="185"/>
      <c r="AK4094" s="185"/>
      <c r="AL4094" s="185"/>
      <c r="AM4094" s="8" t="str">
        <f>IF(C4094&lt;&gt;"","CRQ-P5-"&amp;(AM$2+$AP4094*$AP$3),"")</f>
        <v/>
      </c>
      <c r="AN4094" s="8" t="str">
        <f>IF(E4094&lt;&gt;"","CRQ-P5-"&amp;(AN$2+$AP4094*$AP$3),"")</f>
        <v/>
      </c>
      <c r="AO4094" s="8" t="str">
        <f>IF(G4094&lt;&gt;"","CRQ-P5-"&amp;(AO$2+$AP4094*$AP$3),"")</f>
        <v/>
      </c>
      <c r="AP4094" s="117">
        <v>11</v>
      </c>
      <c r="AQ4094" s="117"/>
      <c r="AR4094" s="287"/>
      <c r="AS4094" s="258"/>
      <c r="AT4094" s="237" t="s">
        <v>5311</v>
      </c>
      <c r="AU4094" s="140" t="s">
        <v>5122</v>
      </c>
      <c r="AV4094" s="6" t="str">
        <f t="shared" si="90"/>
        <v/>
      </c>
    </row>
    <row r="4095" spans="1:48" ht="58.5" thickBot="1" x14ac:dyDescent="0.5">
      <c r="A4095" s="29" t="s">
        <v>3394</v>
      </c>
      <c r="B4095" s="9"/>
      <c r="C4095" s="305"/>
      <c r="D4095" s="306"/>
      <c r="E4095" s="305"/>
      <c r="F4095" s="306"/>
      <c r="G4095" s="305"/>
      <c r="H4095" s="306"/>
      <c r="L4095" s="18" t="s">
        <v>2336</v>
      </c>
      <c r="R4095" s="111" t="s">
        <v>3429</v>
      </c>
      <c r="S4095" s="111" t="s">
        <v>3430</v>
      </c>
      <c r="T4095" s="111" t="s">
        <v>3427</v>
      </c>
      <c r="U4095" s="111" t="s">
        <v>3431</v>
      </c>
      <c r="V4095" s="111" t="s">
        <v>3432</v>
      </c>
      <c r="W4095" s="111" t="s">
        <v>3433</v>
      </c>
      <c r="X4095" s="217" t="s">
        <v>3434</v>
      </c>
      <c r="Y4095" s="118" t="s">
        <v>3965</v>
      </c>
      <c r="Z4095" s="185"/>
      <c r="AA4095" s="185"/>
      <c r="AB4095" s="185"/>
      <c r="AC4095" s="185"/>
      <c r="AD4095" s="185"/>
      <c r="AE4095" s="186"/>
      <c r="AF4095" s="186"/>
      <c r="AG4095" s="185"/>
      <c r="AH4095" s="185"/>
      <c r="AI4095" s="185"/>
      <c r="AJ4095" s="185"/>
      <c r="AK4095" s="185"/>
      <c r="AL4095" s="185"/>
      <c r="AM4095" s="185"/>
      <c r="AN4095" s="117"/>
      <c r="AO4095" s="117"/>
      <c r="AP4095" s="117"/>
      <c r="AQ4095" s="117"/>
      <c r="AR4095" s="287"/>
      <c r="AS4095" s="258"/>
      <c r="AT4095" s="237" t="s">
        <v>5311</v>
      </c>
      <c r="AU4095" s="6"/>
      <c r="AV4095" s="6" t="str">
        <f t="shared" si="90"/>
        <v/>
      </c>
    </row>
    <row r="4096" spans="1:48" ht="15" customHeight="1" thickBot="1" x14ac:dyDescent="0.5">
      <c r="A4096" s="60" t="s">
        <v>4</v>
      </c>
      <c r="B4096" s="61" t="s">
        <v>5</v>
      </c>
      <c r="C4096" s="62" t="s">
        <v>6</v>
      </c>
      <c r="D4096" s="62" t="s">
        <v>7</v>
      </c>
      <c r="E4096" s="62" t="s">
        <v>6</v>
      </c>
      <c r="F4096" s="62" t="s">
        <v>7</v>
      </c>
      <c r="G4096" s="62" t="s">
        <v>6</v>
      </c>
      <c r="H4096" s="62" t="s">
        <v>7</v>
      </c>
      <c r="R4096" s="352" t="s">
        <v>4040</v>
      </c>
      <c r="S4096" s="353"/>
      <c r="T4096" s="353"/>
      <c r="U4096" s="353"/>
      <c r="V4096" s="353"/>
      <c r="W4096" s="353"/>
      <c r="X4096" s="357"/>
      <c r="Y4096" s="149"/>
      <c r="Z4096" s="183" t="s">
        <v>4347</v>
      </c>
      <c r="AA4096" s="183" t="s">
        <v>4343</v>
      </c>
      <c r="AB4096" s="183" t="s">
        <v>4172</v>
      </c>
      <c r="AC4096" s="183" t="s">
        <v>4340</v>
      </c>
      <c r="AD4096" s="183" t="s">
        <v>4339</v>
      </c>
      <c r="AE4096" s="184" t="s">
        <v>4341</v>
      </c>
      <c r="AF4096" s="184" t="s">
        <v>4342</v>
      </c>
      <c r="AG4096" s="183" t="s">
        <v>4353</v>
      </c>
      <c r="AH4096" s="183" t="s">
        <v>3429</v>
      </c>
      <c r="AI4096" s="183" t="s">
        <v>4356</v>
      </c>
      <c r="AJ4096" s="183" t="s">
        <v>4364</v>
      </c>
      <c r="AK4096" s="183" t="s">
        <v>4441</v>
      </c>
      <c r="AL4096" s="183" t="s">
        <v>694</v>
      </c>
      <c r="AM4096" s="183"/>
      <c r="AN4096" s="131"/>
      <c r="AO4096" s="131"/>
      <c r="AP4096" s="131"/>
      <c r="AQ4096" s="131"/>
      <c r="AR4096" s="288"/>
      <c r="AS4096" s="259"/>
      <c r="AT4096" s="237" t="s">
        <v>5311</v>
      </c>
      <c r="AV4096" s="6" t="str">
        <f t="shared" si="90"/>
        <v/>
      </c>
    </row>
    <row r="4097" spans="1:48" ht="116.65" thickBot="1" x14ac:dyDescent="0.5">
      <c r="A4097" s="36" t="s">
        <v>8</v>
      </c>
      <c r="B4097" s="3" t="s">
        <v>4253</v>
      </c>
      <c r="C4097" s="51"/>
      <c r="D4097" s="51"/>
      <c r="E4097" s="51"/>
      <c r="F4097" s="51"/>
      <c r="G4097" s="4" t="s">
        <v>13</v>
      </c>
      <c r="H4097" s="51"/>
      <c r="L4097" s="18" t="s">
        <v>2336</v>
      </c>
      <c r="AB4097" s="8" t="s">
        <v>4348</v>
      </c>
      <c r="AT4097" s="237" t="s">
        <v>5327</v>
      </c>
      <c r="AV4097" s="6" t="str">
        <f t="shared" si="90"/>
        <v/>
      </c>
    </row>
    <row r="4098" spans="1:48" ht="105" thickBot="1" x14ac:dyDescent="0.5">
      <c r="A4098" s="35" t="s">
        <v>5093</v>
      </c>
      <c r="B4098" s="3" t="s">
        <v>4254</v>
      </c>
      <c r="C4098" s="4"/>
      <c r="D4098" s="4"/>
      <c r="E4098" s="4"/>
      <c r="F4098" s="4"/>
      <c r="G4098" s="4" t="s">
        <v>13</v>
      </c>
      <c r="H4098" s="4"/>
      <c r="L4098" s="18" t="s">
        <v>2336</v>
      </c>
      <c r="AD4098" s="8" t="s">
        <v>5102</v>
      </c>
      <c r="AJ4098" s="8" t="s">
        <v>4357</v>
      </c>
      <c r="AT4098" s="237" t="s">
        <v>5329</v>
      </c>
      <c r="AV4098" s="6" t="str">
        <f t="shared" si="90"/>
        <v/>
      </c>
    </row>
    <row r="4099" spans="1:48" ht="105" thickBot="1" x14ac:dyDescent="0.5">
      <c r="A4099" s="35" t="s">
        <v>5094</v>
      </c>
      <c r="B4099" s="3" t="s">
        <v>4255</v>
      </c>
      <c r="C4099" s="4"/>
      <c r="D4099" s="4"/>
      <c r="E4099" s="4"/>
      <c r="F4099" s="4"/>
      <c r="G4099" s="4" t="s">
        <v>13</v>
      </c>
      <c r="H4099" s="4"/>
      <c r="L4099" s="18" t="s">
        <v>2336</v>
      </c>
      <c r="AD4099" s="8" t="s">
        <v>5103</v>
      </c>
      <c r="AJ4099" s="8" t="s">
        <v>4357</v>
      </c>
      <c r="AT4099" s="237" t="s">
        <v>5329</v>
      </c>
      <c r="AV4099" s="6" t="str">
        <f t="shared" si="90"/>
        <v/>
      </c>
    </row>
    <row r="4100" spans="1:48" ht="105" thickBot="1" x14ac:dyDescent="0.5">
      <c r="A4100" s="35" t="s">
        <v>5095</v>
      </c>
      <c r="B4100" s="3" t="s">
        <v>4256</v>
      </c>
      <c r="C4100" s="4"/>
      <c r="D4100" s="4"/>
      <c r="E4100" s="4"/>
      <c r="F4100" s="4"/>
      <c r="G4100" s="4" t="s">
        <v>13</v>
      </c>
      <c r="H4100" s="4"/>
      <c r="L4100" s="18" t="s">
        <v>2336</v>
      </c>
      <c r="AD4100" s="8" t="s">
        <v>5104</v>
      </c>
      <c r="AJ4100" s="8" t="s">
        <v>4357</v>
      </c>
      <c r="AT4100" s="237" t="s">
        <v>5329</v>
      </c>
      <c r="AV4100" s="6" t="str">
        <f t="shared" si="90"/>
        <v/>
      </c>
    </row>
    <row r="4101" spans="1:48" ht="82.5" thickBot="1" x14ac:dyDescent="0.5">
      <c r="A4101" s="35" t="s">
        <v>5096</v>
      </c>
      <c r="B4101" s="3" t="s">
        <v>4257</v>
      </c>
      <c r="C4101" s="4"/>
      <c r="D4101" s="4"/>
      <c r="E4101" s="4"/>
      <c r="F4101" s="4"/>
      <c r="G4101" s="4"/>
      <c r="H4101" s="4"/>
      <c r="L4101" s="18" t="s">
        <v>2336</v>
      </c>
      <c r="AD4101" s="8" t="s">
        <v>5105</v>
      </c>
      <c r="AJ4101" s="8" t="s">
        <v>4357</v>
      </c>
      <c r="AT4101" s="8" t="s">
        <v>5330</v>
      </c>
      <c r="AU4101" s="19" t="s">
        <v>5121</v>
      </c>
      <c r="AV4101" s="6" t="str">
        <f t="shared" si="90"/>
        <v/>
      </c>
    </row>
    <row r="4102" spans="1:48" ht="116.65" thickBot="1" x14ac:dyDescent="0.5">
      <c r="A4102" s="43" t="s">
        <v>2899</v>
      </c>
      <c r="B4102" s="22" t="s">
        <v>4290</v>
      </c>
      <c r="C4102" s="4"/>
      <c r="D4102" s="20"/>
      <c r="E4102" s="20"/>
      <c r="F4102" s="20"/>
      <c r="G4102" s="20" t="s">
        <v>10</v>
      </c>
      <c r="H4102" s="20"/>
      <c r="R4102" s="122" t="s">
        <v>3435</v>
      </c>
      <c r="S4102" s="114" t="s">
        <v>4</v>
      </c>
      <c r="T4102" s="114" t="s">
        <v>5183</v>
      </c>
      <c r="U4102" s="114" t="s">
        <v>3521</v>
      </c>
      <c r="V4102" s="114" t="s">
        <v>3530</v>
      </c>
      <c r="W4102" s="114" t="s">
        <v>3436</v>
      </c>
      <c r="X4102" s="114" t="s">
        <v>13</v>
      </c>
      <c r="Y4102" s="149"/>
      <c r="Z4102" s="183"/>
      <c r="AA4102" s="183"/>
      <c r="AB4102" s="183" t="s">
        <v>758</v>
      </c>
      <c r="AC4102" s="183" t="s">
        <v>6</v>
      </c>
      <c r="AD4102" s="183" t="s">
        <v>5106</v>
      </c>
      <c r="AE4102" s="184"/>
      <c r="AF4102" s="184"/>
      <c r="AG4102" s="183"/>
      <c r="AH4102" s="183"/>
      <c r="AI4102" s="183"/>
      <c r="AJ4102" s="183"/>
      <c r="AK4102" s="183"/>
      <c r="AL4102" s="183"/>
      <c r="AM4102" s="183"/>
      <c r="AN4102" s="131"/>
      <c r="AO4102" s="131"/>
      <c r="AP4102" s="131"/>
      <c r="AQ4102" s="131"/>
      <c r="AR4102" s="288"/>
      <c r="AS4102" s="259"/>
      <c r="AT4102" s="237" t="s">
        <v>5327</v>
      </c>
      <c r="AV4102" s="6" t="str">
        <f t="shared" si="90"/>
        <v>ERROR</v>
      </c>
    </row>
    <row r="4103" spans="1:48" ht="116.65" thickBot="1" x14ac:dyDescent="0.5">
      <c r="A4103" s="43" t="s">
        <v>4514</v>
      </c>
      <c r="B4103" s="22" t="s">
        <v>4260</v>
      </c>
      <c r="C4103" s="4"/>
      <c r="D4103" s="20"/>
      <c r="E4103" s="20"/>
      <c r="F4103" s="20"/>
      <c r="G4103" s="20" t="s">
        <v>10</v>
      </c>
      <c r="H4103" s="20"/>
      <c r="R4103" s="122" t="s">
        <v>3435</v>
      </c>
      <c r="S4103" s="114" t="s">
        <v>4</v>
      </c>
      <c r="T4103" s="114" t="s">
        <v>5184</v>
      </c>
      <c r="U4103" s="114" t="s">
        <v>3521</v>
      </c>
      <c r="V4103" s="114" t="s">
        <v>3530</v>
      </c>
      <c r="W4103" s="114" t="s">
        <v>3436</v>
      </c>
      <c r="X4103" s="114" t="s">
        <v>13</v>
      </c>
      <c r="Y4103" s="149"/>
      <c r="Z4103" s="183"/>
      <c r="AA4103" s="183"/>
      <c r="AB4103" s="183" t="s">
        <v>758</v>
      </c>
      <c r="AC4103" s="183" t="s">
        <v>6</v>
      </c>
      <c r="AD4103" s="183" t="s">
        <v>5107</v>
      </c>
      <c r="AE4103" s="184"/>
      <c r="AF4103" s="184"/>
      <c r="AG4103" s="183"/>
      <c r="AH4103" s="183"/>
      <c r="AI4103" s="183"/>
      <c r="AJ4103" s="183"/>
      <c r="AK4103" s="183"/>
      <c r="AL4103" s="183"/>
      <c r="AM4103" s="183"/>
      <c r="AN4103" s="131"/>
      <c r="AO4103" s="131"/>
      <c r="AP4103" s="131"/>
      <c r="AQ4103" s="131"/>
      <c r="AR4103" s="288"/>
      <c r="AS4103" s="259"/>
      <c r="AT4103" s="237" t="s">
        <v>5327</v>
      </c>
      <c r="AV4103" s="6" t="str">
        <f t="shared" si="90"/>
        <v>ERROR</v>
      </c>
    </row>
    <row r="4104" spans="1:48" ht="116.65" thickBot="1" x14ac:dyDescent="0.5">
      <c r="A4104" s="43" t="s">
        <v>1697</v>
      </c>
      <c r="B4104" s="22" t="s">
        <v>4262</v>
      </c>
      <c r="C4104" s="4"/>
      <c r="D4104" s="20"/>
      <c r="E4104" s="20"/>
      <c r="F4104" s="20"/>
      <c r="G4104" s="20" t="s">
        <v>10</v>
      </c>
      <c r="H4104" s="20"/>
      <c r="R4104" s="122" t="s">
        <v>3435</v>
      </c>
      <c r="S4104" s="114" t="s">
        <v>4</v>
      </c>
      <c r="T4104" s="114" t="s">
        <v>5185</v>
      </c>
      <c r="U4104" s="114" t="s">
        <v>3521</v>
      </c>
      <c r="V4104" s="114" t="s">
        <v>3530</v>
      </c>
      <c r="W4104" s="114" t="s">
        <v>3436</v>
      </c>
      <c r="X4104" s="114" t="s">
        <v>13</v>
      </c>
      <c r="Y4104" s="149"/>
      <c r="Z4104" s="183"/>
      <c r="AA4104" s="183"/>
      <c r="AB4104" s="183" t="s">
        <v>758</v>
      </c>
      <c r="AC4104" s="183" t="s">
        <v>6</v>
      </c>
      <c r="AD4104" s="183" t="s">
        <v>5108</v>
      </c>
      <c r="AE4104" s="184"/>
      <c r="AF4104" s="184"/>
      <c r="AG4104" s="183"/>
      <c r="AH4104" s="183"/>
      <c r="AI4104" s="183"/>
      <c r="AJ4104" s="183"/>
      <c r="AK4104" s="183"/>
      <c r="AL4104" s="183"/>
      <c r="AM4104" s="183"/>
      <c r="AN4104" s="131"/>
      <c r="AO4104" s="131"/>
      <c r="AP4104" s="131"/>
      <c r="AQ4104" s="131"/>
      <c r="AR4104" s="288"/>
      <c r="AS4104" s="259"/>
      <c r="AT4104" s="237" t="s">
        <v>5327</v>
      </c>
      <c r="AV4104" s="6" t="str">
        <f t="shared" si="90"/>
        <v>ERROR</v>
      </c>
    </row>
    <row r="4105" spans="1:48" ht="116.65" thickBot="1" x14ac:dyDescent="0.5">
      <c r="A4105" s="43" t="s">
        <v>5098</v>
      </c>
      <c r="B4105" s="22" t="s">
        <v>5145</v>
      </c>
      <c r="C4105" s="4"/>
      <c r="D4105" s="20"/>
      <c r="E4105" s="20"/>
      <c r="F4105" s="20"/>
      <c r="G4105" s="20" t="s">
        <v>10</v>
      </c>
      <c r="H4105" s="20"/>
      <c r="R4105" s="122" t="s">
        <v>3435</v>
      </c>
      <c r="S4105" s="114" t="s">
        <v>4</v>
      </c>
      <c r="T4105" s="114" t="s">
        <v>5186</v>
      </c>
      <c r="U4105" s="114" t="s">
        <v>3521</v>
      </c>
      <c r="V4105" s="114" t="s">
        <v>3530</v>
      </c>
      <c r="W4105" s="114" t="s">
        <v>3436</v>
      </c>
      <c r="X4105" s="114" t="s">
        <v>13</v>
      </c>
      <c r="Y4105" s="149"/>
      <c r="Z4105" s="183"/>
      <c r="AA4105" s="183"/>
      <c r="AB4105" s="183" t="s">
        <v>758</v>
      </c>
      <c r="AC4105" s="183" t="s">
        <v>6</v>
      </c>
      <c r="AD4105" s="183" t="s">
        <v>5109</v>
      </c>
      <c r="AE4105" s="184"/>
      <c r="AF4105" s="184"/>
      <c r="AG4105" s="183"/>
      <c r="AH4105" s="183"/>
      <c r="AI4105" s="183"/>
      <c r="AJ4105" s="183"/>
      <c r="AK4105" s="183"/>
      <c r="AL4105" s="183"/>
      <c r="AM4105" s="183"/>
      <c r="AN4105" s="131"/>
      <c r="AO4105" s="131"/>
      <c r="AP4105" s="131"/>
      <c r="AQ4105" s="131"/>
      <c r="AR4105" s="288"/>
      <c r="AS4105" s="259"/>
      <c r="AT4105" s="237" t="s">
        <v>5327</v>
      </c>
      <c r="AV4105" s="6" t="str">
        <f t="shared" ref="AV4105" si="91">IF(A4105&lt;&gt;"",IF(T4105&lt;&gt;"",IF(LEFT(R4105,3)="Has",IF(TRIM(A4105)&lt;&gt;T4105,"ERROR","OK"),""),""),"")</f>
        <v>ERROR</v>
      </c>
    </row>
    <row r="4106" spans="1:48" ht="116.65" thickBot="1" x14ac:dyDescent="0.5">
      <c r="A4106" s="43" t="s">
        <v>5099</v>
      </c>
      <c r="B4106" s="22" t="s">
        <v>5123</v>
      </c>
      <c r="C4106" s="4"/>
      <c r="D4106" s="20"/>
      <c r="E4106" s="20"/>
      <c r="F4106" s="20"/>
      <c r="G4106" s="20" t="s">
        <v>10</v>
      </c>
      <c r="H4106" s="20"/>
      <c r="R4106" s="122" t="s">
        <v>3435</v>
      </c>
      <c r="S4106" s="114" t="s">
        <v>4</v>
      </c>
      <c r="T4106" s="114" t="s">
        <v>5186</v>
      </c>
      <c r="U4106" s="114" t="s">
        <v>3521</v>
      </c>
      <c r="V4106" s="114" t="s">
        <v>3530</v>
      </c>
      <c r="W4106" s="114" t="s">
        <v>3436</v>
      </c>
      <c r="X4106" s="114" t="s">
        <v>13</v>
      </c>
      <c r="Y4106" s="149"/>
      <c r="Z4106" s="183"/>
      <c r="AA4106" s="183"/>
      <c r="AB4106" s="183" t="s">
        <v>5216</v>
      </c>
      <c r="AC4106" s="183" t="s">
        <v>6</v>
      </c>
      <c r="AD4106" s="183" t="s">
        <v>5124</v>
      </c>
      <c r="AE4106" s="184"/>
      <c r="AF4106" s="184"/>
      <c r="AG4106" s="183"/>
      <c r="AH4106" s="183"/>
      <c r="AI4106" s="183"/>
      <c r="AJ4106" s="183"/>
      <c r="AK4106" s="183"/>
      <c r="AL4106" s="183"/>
      <c r="AM4106" s="183"/>
      <c r="AN4106" s="131"/>
      <c r="AO4106" s="131"/>
      <c r="AP4106" s="131"/>
      <c r="AQ4106" s="131"/>
      <c r="AR4106" s="288"/>
      <c r="AS4106" s="259"/>
      <c r="AT4106" s="237" t="s">
        <v>5327</v>
      </c>
      <c r="AU4106" s="202" t="s">
        <v>5100</v>
      </c>
      <c r="AV4106" s="6" t="str">
        <f t="shared" si="90"/>
        <v>ERROR</v>
      </c>
    </row>
    <row r="4107" spans="1:48" ht="58.5" thickBot="1" x14ac:dyDescent="0.5">
      <c r="A4107" s="36" t="s">
        <v>753</v>
      </c>
      <c r="B4107" s="3" t="s">
        <v>60</v>
      </c>
      <c r="C4107" s="4"/>
      <c r="D4107" s="4"/>
      <c r="E4107" s="4"/>
      <c r="F4107" s="4"/>
      <c r="G4107" s="4"/>
      <c r="H4107" s="4"/>
      <c r="AT4107" s="237" t="s">
        <v>5311</v>
      </c>
      <c r="AU4107" s="8"/>
      <c r="AV4107" s="6" t="str">
        <f t="shared" ref="AV4107:AV4141" si="92">IF(A4107&lt;&gt;"",IF(T4107&lt;&gt;"",IF(LEFT(R4107,3)="Has",IF(TRIM(A4107)&lt;&gt;T4107,"ERROR","OK"),""),""),"")</f>
        <v/>
      </c>
    </row>
    <row r="4108" spans="1:48" ht="174.75" thickBot="1" x14ac:dyDescent="0.5">
      <c r="A4108" s="43" t="s">
        <v>145</v>
      </c>
      <c r="B4108" s="22" t="s">
        <v>5144</v>
      </c>
      <c r="C4108" s="4"/>
      <c r="D4108" s="20"/>
      <c r="E4108" s="20"/>
      <c r="F4108" s="20"/>
      <c r="G4108" s="20" t="s">
        <v>10</v>
      </c>
      <c r="H4108" s="20"/>
      <c r="R4108" s="122" t="s">
        <v>3435</v>
      </c>
      <c r="S4108" s="114" t="s">
        <v>3437</v>
      </c>
      <c r="T4108" s="114" t="s">
        <v>145</v>
      </c>
      <c r="U4108" s="114"/>
      <c r="V4108" s="114" t="s">
        <v>3441</v>
      </c>
      <c r="W4108" s="114" t="s">
        <v>3436</v>
      </c>
      <c r="X4108" s="114" t="s">
        <v>13</v>
      </c>
      <c r="Y4108" s="149"/>
      <c r="Z4108" s="183"/>
      <c r="AA4108" s="183"/>
      <c r="AB4108" s="183" t="s">
        <v>4359</v>
      </c>
      <c r="AC4108" s="183" t="s">
        <v>6</v>
      </c>
      <c r="AD4108" s="183" t="s">
        <v>4770</v>
      </c>
      <c r="AE4108" s="184"/>
      <c r="AF4108" s="184"/>
      <c r="AG4108" s="183"/>
      <c r="AH4108" s="183"/>
      <c r="AI4108" s="183"/>
      <c r="AJ4108" s="183"/>
      <c r="AK4108" s="183"/>
      <c r="AL4108" s="183"/>
      <c r="AM4108" s="183"/>
      <c r="AN4108" s="131"/>
      <c r="AO4108" s="131"/>
      <c r="AP4108" s="131"/>
      <c r="AQ4108" s="131"/>
      <c r="AR4108" s="288"/>
      <c r="AS4108" s="140" t="s">
        <v>5354</v>
      </c>
      <c r="AT4108" s="251" t="s">
        <v>5872</v>
      </c>
      <c r="AV4108" s="6" t="str">
        <f t="shared" si="92"/>
        <v>OK</v>
      </c>
    </row>
    <row r="4109" spans="1:48" ht="47.65" thickBot="1" x14ac:dyDescent="0.5">
      <c r="A4109" s="35" t="s">
        <v>5361</v>
      </c>
      <c r="B4109" s="3" t="s">
        <v>5352</v>
      </c>
      <c r="C4109" s="4"/>
      <c r="D4109" s="20"/>
      <c r="E4109" s="20"/>
      <c r="F4109" s="20"/>
      <c r="G4109" s="4" t="s">
        <v>10</v>
      </c>
      <c r="H4109" s="4"/>
      <c r="Q4109" s="131"/>
      <c r="R4109" s="131"/>
      <c r="S4109" s="131"/>
      <c r="T4109" s="131"/>
      <c r="U4109" s="131"/>
      <c r="V4109" s="131"/>
      <c r="W4109" s="131"/>
      <c r="X4109" s="131"/>
      <c r="AS4109" s="139" t="s">
        <v>5355</v>
      </c>
      <c r="AU4109" s="6"/>
      <c r="AV4109" s="6"/>
    </row>
    <row r="4110" spans="1:48" ht="82.5" thickBot="1" x14ac:dyDescent="0.5">
      <c r="A4110" s="35" t="s">
        <v>5360</v>
      </c>
      <c r="B4110" s="3" t="s">
        <v>5353</v>
      </c>
      <c r="C4110" s="4"/>
      <c r="D4110" s="4"/>
      <c r="E4110" s="4"/>
      <c r="F4110" s="4"/>
      <c r="G4110" s="4"/>
      <c r="H4110" s="4"/>
      <c r="Q4110" s="131"/>
      <c r="R4110" s="131"/>
      <c r="S4110" s="131"/>
      <c r="T4110" s="131"/>
      <c r="U4110" s="131"/>
      <c r="V4110" s="131"/>
      <c r="W4110" s="131"/>
      <c r="X4110" s="131"/>
      <c r="AS4110" s="139" t="s">
        <v>5356</v>
      </c>
      <c r="AU4110" s="6"/>
      <c r="AV4110" s="6"/>
    </row>
    <row r="4111" spans="1:48" ht="58.5" thickBot="1" x14ac:dyDescent="0.5">
      <c r="A4111" s="163" t="s">
        <v>33</v>
      </c>
      <c r="B4111" s="159" t="s">
        <v>3686</v>
      </c>
      <c r="C4111" s="160"/>
      <c r="D4111" s="161"/>
      <c r="E4111" s="161"/>
      <c r="F4111" s="161"/>
      <c r="G4111" s="160"/>
      <c r="H4111" s="161"/>
      <c r="I4111" s="162"/>
      <c r="J4111" s="162"/>
      <c r="K4111" s="162"/>
      <c r="L4111" s="162"/>
      <c r="M4111" s="146"/>
      <c r="AS4111" s="233" t="s">
        <v>5366</v>
      </c>
      <c r="AT4111" s="237" t="s">
        <v>5311</v>
      </c>
      <c r="AV4111" s="6" t="str">
        <f t="shared" si="92"/>
        <v/>
      </c>
    </row>
    <row r="4112" spans="1:48" ht="58.15" x14ac:dyDescent="0.45">
      <c r="A4112" s="33" t="s">
        <v>5097</v>
      </c>
      <c r="AT4112" s="237" t="s">
        <v>5311</v>
      </c>
      <c r="AV4112" s="6" t="str">
        <f t="shared" si="92"/>
        <v/>
      </c>
    </row>
    <row r="4113" spans="1:48" ht="70.5" x14ac:dyDescent="0.45">
      <c r="A4113" s="34" t="s">
        <v>5898</v>
      </c>
      <c r="AT4113" s="237" t="s">
        <v>5311</v>
      </c>
      <c r="AU4113" s="202" t="s">
        <v>5894</v>
      </c>
      <c r="AV4113" s="6" t="str">
        <f t="shared" si="92"/>
        <v/>
      </c>
    </row>
    <row r="4114" spans="1:48" s="79" customFormat="1" x14ac:dyDescent="0.45">
      <c r="A4114" s="75"/>
      <c r="B4114" s="76"/>
      <c r="C4114" s="77"/>
      <c r="D4114" s="77"/>
      <c r="E4114" s="77"/>
      <c r="F4114" s="77"/>
      <c r="G4114" s="77"/>
      <c r="H4114" s="77"/>
      <c r="I4114" s="77"/>
      <c r="J4114" s="77"/>
      <c r="K4114" s="77"/>
      <c r="L4114" s="77"/>
      <c r="M4114" s="148"/>
      <c r="N4114" s="78"/>
      <c r="O4114" s="78"/>
      <c r="P4114" s="78"/>
      <c r="Q4114" s="78"/>
      <c r="R4114" s="78"/>
      <c r="S4114" s="78"/>
      <c r="T4114" s="78"/>
      <c r="U4114" s="78"/>
      <c r="V4114" s="78"/>
      <c r="W4114" s="78"/>
      <c r="X4114" s="78"/>
      <c r="Y4114" s="148"/>
      <c r="Z4114" s="78"/>
      <c r="AA4114" s="78"/>
      <c r="AB4114" s="78"/>
      <c r="AC4114" s="78"/>
      <c r="AD4114" s="78"/>
      <c r="AE4114" s="156"/>
      <c r="AF4114" s="156"/>
      <c r="AG4114" s="78"/>
      <c r="AH4114" s="78"/>
      <c r="AI4114" s="78"/>
      <c r="AJ4114" s="78"/>
      <c r="AK4114" s="78"/>
      <c r="AL4114" s="78"/>
      <c r="AM4114" s="78"/>
      <c r="AN4114" s="78"/>
      <c r="AO4114" s="78"/>
      <c r="AP4114" s="78"/>
      <c r="AQ4114" s="78"/>
      <c r="AR4114" s="286"/>
      <c r="AS4114" s="78"/>
      <c r="AT4114" s="78"/>
      <c r="AU4114" s="8"/>
      <c r="AV4114" s="6" t="str">
        <f t="shared" si="92"/>
        <v/>
      </c>
    </row>
    <row r="4115" spans="1:48" ht="58.15" x14ac:dyDescent="0.45">
      <c r="A4115" s="27" t="s">
        <v>5199</v>
      </c>
      <c r="L4115" s="18" t="s">
        <v>2335</v>
      </c>
      <c r="AT4115" s="237" t="s">
        <v>5311</v>
      </c>
      <c r="AU4115" s="140" t="s">
        <v>5197</v>
      </c>
      <c r="AV4115" s="6" t="str">
        <f t="shared" si="92"/>
        <v/>
      </c>
    </row>
    <row r="4116" spans="1:48" ht="58.5" thickBot="1" x14ac:dyDescent="0.5">
      <c r="A4116" s="323" t="s">
        <v>5200</v>
      </c>
      <c r="B4116" s="324"/>
      <c r="C4116" s="324"/>
      <c r="D4116" s="324"/>
      <c r="E4116" s="324"/>
      <c r="F4116" s="324"/>
      <c r="G4116" s="101"/>
      <c r="H4116" s="101"/>
      <c r="L4116" s="18" t="s">
        <v>2335</v>
      </c>
      <c r="Z4116" s="183" t="s">
        <v>4347</v>
      </c>
      <c r="AA4116" s="183" t="s">
        <v>2322</v>
      </c>
      <c r="AB4116" s="183" t="s">
        <v>1697</v>
      </c>
      <c r="AC4116" s="183" t="s">
        <v>5</v>
      </c>
      <c r="AD4116" s="183" t="s">
        <v>4339</v>
      </c>
      <c r="AE4116" s="184" t="s">
        <v>4338</v>
      </c>
      <c r="AF4116" s="184" t="s">
        <v>4350</v>
      </c>
      <c r="AG4116" s="183" t="s">
        <v>1695</v>
      </c>
      <c r="AH4116" s="183" t="s">
        <v>4351</v>
      </c>
      <c r="AI4116" s="8" t="s">
        <v>4455</v>
      </c>
      <c r="AJ4116" s="183" t="s">
        <v>5051</v>
      </c>
      <c r="AT4116" s="237" t="s">
        <v>5311</v>
      </c>
      <c r="AU4116" s="140" t="s">
        <v>5197</v>
      </c>
      <c r="AV4116" s="6" t="str">
        <f t="shared" si="92"/>
        <v/>
      </c>
    </row>
    <row r="4117" spans="1:48" ht="116.65" thickBot="1" x14ac:dyDescent="0.5">
      <c r="A4117" s="309" t="s">
        <v>5201</v>
      </c>
      <c r="B4117" s="310"/>
      <c r="C4117" s="301" t="s">
        <v>1</v>
      </c>
      <c r="D4117" s="319"/>
      <c r="E4117" s="319"/>
      <c r="F4117" s="302"/>
      <c r="G4117" s="102"/>
      <c r="H4117" s="102"/>
      <c r="L4117" s="18" t="s">
        <v>2335</v>
      </c>
      <c r="Z4117" s="183"/>
      <c r="AA4117" s="183" t="str">
        <f>LEFT($A4117,FIND(" ",$A4117)-1)</f>
        <v>DCNAlarmEngineCollection</v>
      </c>
      <c r="AB4117" s="183" t="str">
        <f>MID($A4117,FIND("(",$A4117)+1,LEN($A4117)-FIND("(",$A4117)-1)</f>
        <v>1.0.0</v>
      </c>
      <c r="AC4117" s="101" t="str">
        <f>A4116</f>
        <v>A DCNAlarmEngineCollection is a collection of DCN Alarm Engine Resources running on a node.</v>
      </c>
      <c r="AD4117" s="101" t="s">
        <v>5206</v>
      </c>
      <c r="AE4117" s="253" t="s">
        <v>5899</v>
      </c>
      <c r="AF4117" s="184" t="s">
        <v>4352</v>
      </c>
      <c r="AG4117" s="183" t="s">
        <v>4352</v>
      </c>
      <c r="AH4117" s="183" t="s">
        <v>4352</v>
      </c>
      <c r="AI4117" s="183" t="s">
        <v>5248</v>
      </c>
      <c r="AT4117" s="237" t="s">
        <v>5328</v>
      </c>
      <c r="AU4117" s="140" t="s">
        <v>5893</v>
      </c>
      <c r="AV4117" s="6" t="str">
        <f t="shared" si="92"/>
        <v/>
      </c>
    </row>
    <row r="4118" spans="1:48" ht="58.5" thickBot="1" x14ac:dyDescent="0.5">
      <c r="A4118" s="311"/>
      <c r="B4118" s="312"/>
      <c r="C4118" s="301" t="s">
        <v>2</v>
      </c>
      <c r="D4118" s="302"/>
      <c r="E4118" s="301" t="s">
        <v>3</v>
      </c>
      <c r="F4118" s="302"/>
      <c r="G4118" s="301" t="s">
        <v>2896</v>
      </c>
      <c r="H4118" s="302"/>
      <c r="L4118" s="18" t="s">
        <v>2335</v>
      </c>
      <c r="AT4118" s="237" t="s">
        <v>5311</v>
      </c>
      <c r="AU4118" s="6"/>
      <c r="AV4118" s="6" t="str">
        <f t="shared" si="92"/>
        <v/>
      </c>
    </row>
    <row r="4119" spans="1:48" ht="58.5" thickBot="1" x14ac:dyDescent="0.5">
      <c r="A4119" s="46" t="s">
        <v>2377</v>
      </c>
      <c r="B4119" s="47"/>
      <c r="C4119" s="303"/>
      <c r="D4119" s="304"/>
      <c r="E4119" s="303"/>
      <c r="F4119" s="304"/>
      <c r="G4119" s="303"/>
      <c r="H4119" s="304"/>
      <c r="AT4119" s="237" t="s">
        <v>5311</v>
      </c>
      <c r="AU4119" s="6"/>
      <c r="AV4119" s="6" t="str">
        <f t="shared" si="92"/>
        <v/>
      </c>
    </row>
    <row r="4120" spans="1:48" ht="58.5" thickBot="1" x14ac:dyDescent="0.5">
      <c r="A4120" s="30" t="s">
        <v>4</v>
      </c>
      <c r="B4120" s="59" t="s">
        <v>5</v>
      </c>
      <c r="C4120" s="7" t="s">
        <v>6</v>
      </c>
      <c r="D4120" s="7" t="s">
        <v>7</v>
      </c>
      <c r="E4120" s="7" t="s">
        <v>6</v>
      </c>
      <c r="F4120" s="7" t="s">
        <v>7</v>
      </c>
      <c r="G4120" s="7" t="s">
        <v>6</v>
      </c>
      <c r="H4120" s="7" t="s">
        <v>7</v>
      </c>
      <c r="L4120" s="18" t="s">
        <v>2335</v>
      </c>
      <c r="Z4120" s="183" t="s">
        <v>4347</v>
      </c>
      <c r="AA4120" s="183" t="s">
        <v>4343</v>
      </c>
      <c r="AB4120" s="183" t="s">
        <v>4172</v>
      </c>
      <c r="AC4120" s="183" t="s">
        <v>4340</v>
      </c>
      <c r="AD4120" s="183" t="s">
        <v>4339</v>
      </c>
      <c r="AE4120" s="184" t="s">
        <v>4341</v>
      </c>
      <c r="AF4120" s="184" t="s">
        <v>4342</v>
      </c>
      <c r="AG4120" s="183" t="s">
        <v>4353</v>
      </c>
      <c r="AH4120" s="183" t="s">
        <v>3429</v>
      </c>
      <c r="AI4120" s="183" t="s">
        <v>4356</v>
      </c>
      <c r="AJ4120" s="183" t="s">
        <v>4364</v>
      </c>
      <c r="AT4120" s="237" t="s">
        <v>5311</v>
      </c>
      <c r="AU4120" s="6"/>
      <c r="AV4120" s="6" t="str">
        <f t="shared" si="92"/>
        <v/>
      </c>
    </row>
    <row r="4121" spans="1:48" ht="116.65" thickBot="1" x14ac:dyDescent="0.5">
      <c r="A4121" s="36" t="s">
        <v>2792</v>
      </c>
      <c r="B4121" s="3" t="s">
        <v>5202</v>
      </c>
      <c r="C4121" s="4"/>
      <c r="D4121" s="4"/>
      <c r="E4121" s="4"/>
      <c r="F4121" s="4"/>
      <c r="G4121" s="4" t="s">
        <v>10</v>
      </c>
      <c r="H4121" s="4"/>
      <c r="AB4121" s="8" t="s">
        <v>4354</v>
      </c>
      <c r="AC4121" s="183" t="s">
        <v>6</v>
      </c>
      <c r="AD4121" s="183" t="s">
        <v>5292</v>
      </c>
      <c r="AE4121" s="184"/>
      <c r="AF4121" s="184"/>
      <c r="AG4121" s="183" t="s">
        <v>4355</v>
      </c>
      <c r="AH4121" s="183" t="s">
        <v>5261</v>
      </c>
      <c r="AI4121" s="183" t="s">
        <v>4357</v>
      </c>
      <c r="AT4121" s="237" t="s">
        <v>5327</v>
      </c>
      <c r="AU4121" s="140" t="s">
        <v>5291</v>
      </c>
      <c r="AV4121" s="6" t="str">
        <f t="shared" si="92"/>
        <v/>
      </c>
    </row>
    <row r="4122" spans="1:48" ht="58.5" thickBot="1" x14ac:dyDescent="0.5">
      <c r="A4122" s="35" t="s">
        <v>33</v>
      </c>
      <c r="B4122" s="3" t="s">
        <v>5203</v>
      </c>
      <c r="C4122" s="4"/>
      <c r="D4122" s="4"/>
      <c r="E4122" s="4"/>
      <c r="F4122" s="4"/>
      <c r="G4122" s="4"/>
      <c r="H4122" s="4"/>
      <c r="L4122" s="18" t="s">
        <v>2335</v>
      </c>
      <c r="AT4122" s="237" t="s">
        <v>5311</v>
      </c>
      <c r="AU4122" s="6"/>
      <c r="AV4122" s="6" t="str">
        <f t="shared" si="92"/>
        <v/>
      </c>
    </row>
    <row r="4123" spans="1:48" ht="58.15" x14ac:dyDescent="0.45">
      <c r="A4123" s="33" t="s">
        <v>5204</v>
      </c>
      <c r="L4123" s="18" t="s">
        <v>2335</v>
      </c>
      <c r="AT4123" s="237" t="s">
        <v>5311</v>
      </c>
      <c r="AU4123" s="6"/>
      <c r="AV4123" s="6" t="str">
        <f t="shared" si="92"/>
        <v/>
      </c>
    </row>
    <row r="4124" spans="1:48" ht="70.5" x14ac:dyDescent="0.45">
      <c r="A4124" s="34" t="s">
        <v>5899</v>
      </c>
      <c r="L4124" s="18" t="s">
        <v>2335</v>
      </c>
      <c r="AT4124" s="237" t="s">
        <v>5311</v>
      </c>
      <c r="AU4124" s="202" t="s">
        <v>5894</v>
      </c>
      <c r="AV4124" s="6" t="str">
        <f t="shared" si="92"/>
        <v/>
      </c>
    </row>
    <row r="4125" spans="1:48" s="79" customFormat="1" ht="14.65" thickBot="1" x14ac:dyDescent="0.5">
      <c r="A4125" s="75"/>
      <c r="B4125" s="76"/>
      <c r="C4125" s="77"/>
      <c r="D4125" s="77"/>
      <c r="E4125" s="77"/>
      <c r="F4125" s="77"/>
      <c r="G4125" s="77"/>
      <c r="H4125" s="77"/>
      <c r="I4125" s="77"/>
      <c r="J4125" s="77"/>
      <c r="K4125" s="77"/>
      <c r="L4125" s="77"/>
      <c r="M4125" s="148"/>
      <c r="N4125" s="78"/>
      <c r="O4125" s="78"/>
      <c r="P4125" s="78"/>
      <c r="Q4125" s="78"/>
      <c r="R4125" s="78"/>
      <c r="S4125" s="78"/>
      <c r="T4125" s="78"/>
      <c r="U4125" s="78"/>
      <c r="V4125" s="78"/>
      <c r="W4125" s="78"/>
      <c r="X4125" s="78"/>
      <c r="Y4125" s="148"/>
      <c r="Z4125" s="78"/>
      <c r="AA4125" s="78"/>
      <c r="AB4125" s="78"/>
      <c r="AC4125" s="78"/>
      <c r="AD4125" s="78"/>
      <c r="AE4125" s="156"/>
      <c r="AF4125" s="156"/>
      <c r="AG4125" s="78"/>
      <c r="AH4125" s="78"/>
      <c r="AI4125" s="78"/>
      <c r="AJ4125" s="78"/>
      <c r="AK4125" s="78"/>
      <c r="AL4125" s="78"/>
      <c r="AM4125" s="78"/>
      <c r="AN4125" s="78"/>
      <c r="AO4125" s="78"/>
      <c r="AP4125" s="78"/>
      <c r="AQ4125" s="78"/>
      <c r="AR4125" s="286"/>
      <c r="AS4125" s="78"/>
      <c r="AT4125" s="78"/>
      <c r="AU4125" s="8"/>
      <c r="AV4125" s="6" t="str">
        <f t="shared" si="92"/>
        <v/>
      </c>
    </row>
    <row r="4126" spans="1:48" ht="58.5" thickBot="1" x14ac:dyDescent="0.5">
      <c r="A4126" s="39" t="s">
        <v>5125</v>
      </c>
      <c r="R4126" s="111" t="s">
        <v>3426</v>
      </c>
      <c r="S4126" s="349" t="s">
        <v>823</v>
      </c>
      <c r="T4126" s="350"/>
      <c r="U4126" s="350"/>
      <c r="V4126" s="350"/>
      <c r="W4126" s="350"/>
      <c r="X4126" s="355"/>
      <c r="Y4126" s="118"/>
      <c r="Z4126" s="185"/>
      <c r="AA4126" s="185"/>
      <c r="AB4126" s="185"/>
      <c r="AC4126" s="185"/>
      <c r="AD4126" s="185"/>
      <c r="AE4126" s="186"/>
      <c r="AF4126" s="186"/>
      <c r="AG4126" s="185"/>
      <c r="AH4126" s="185"/>
      <c r="AI4126" s="185"/>
      <c r="AJ4126" s="185"/>
      <c r="AK4126" s="185"/>
      <c r="AL4126" s="185"/>
      <c r="AM4126" s="185"/>
      <c r="AN4126" s="117"/>
      <c r="AO4126" s="117"/>
      <c r="AP4126" s="117"/>
      <c r="AQ4126" s="117"/>
      <c r="AR4126" s="287"/>
      <c r="AS4126" s="258"/>
      <c r="AT4126" s="237" t="s">
        <v>5311</v>
      </c>
      <c r="AU4126" s="202" t="s">
        <v>5101</v>
      </c>
      <c r="AV4126" s="6" t="str">
        <f t="shared" si="92"/>
        <v/>
      </c>
    </row>
    <row r="4127" spans="1:48" ht="70.150000000000006" thickBot="1" x14ac:dyDescent="0.5">
      <c r="A4127" s="110" t="s">
        <v>5219</v>
      </c>
      <c r="R4127" s="122" t="s">
        <v>3427</v>
      </c>
      <c r="S4127" s="352" t="s">
        <v>5126</v>
      </c>
      <c r="T4127" s="353"/>
      <c r="U4127" s="353"/>
      <c r="V4127" s="353"/>
      <c r="W4127" s="353"/>
      <c r="X4127" s="356"/>
      <c r="Y4127" s="149"/>
      <c r="Z4127" s="183" t="s">
        <v>4347</v>
      </c>
      <c r="AA4127" s="183" t="s">
        <v>2322</v>
      </c>
      <c r="AB4127" s="183" t="s">
        <v>1697</v>
      </c>
      <c r="AC4127" s="183" t="s">
        <v>5</v>
      </c>
      <c r="AD4127" s="183" t="s">
        <v>4339</v>
      </c>
      <c r="AE4127" s="184" t="s">
        <v>4338</v>
      </c>
      <c r="AF4127" s="184" t="s">
        <v>4350</v>
      </c>
      <c r="AG4127" s="183" t="s">
        <v>1695</v>
      </c>
      <c r="AH4127" s="183" t="s">
        <v>4351</v>
      </c>
      <c r="AI4127" s="8" t="s">
        <v>4455</v>
      </c>
      <c r="AJ4127" s="183" t="s">
        <v>5051</v>
      </c>
      <c r="AK4127" s="183"/>
      <c r="AL4127" s="183"/>
      <c r="AM4127" s="183"/>
      <c r="AN4127" s="131"/>
      <c r="AO4127" s="131"/>
      <c r="AP4127" s="131"/>
      <c r="AQ4127" s="131"/>
      <c r="AR4127" s="288"/>
      <c r="AS4127" s="259"/>
      <c r="AT4127" s="237" t="s">
        <v>5311</v>
      </c>
      <c r="AU4127" s="202" t="s">
        <v>5101</v>
      </c>
      <c r="AV4127" s="6" t="str">
        <f t="shared" si="92"/>
        <v/>
      </c>
    </row>
    <row r="4128" spans="1:48" ht="163.9" thickBot="1" x14ac:dyDescent="0.5">
      <c r="A4128" s="321" t="s">
        <v>5127</v>
      </c>
      <c r="B4128" s="322"/>
      <c r="C4128" s="314" t="s">
        <v>1</v>
      </c>
      <c r="D4128" s="314"/>
      <c r="E4128" s="314"/>
      <c r="F4128" s="314"/>
      <c r="G4128" s="102"/>
      <c r="H4128" s="102"/>
      <c r="R4128" s="122" t="s">
        <v>3428</v>
      </c>
      <c r="S4128" s="352" t="b">
        <v>0</v>
      </c>
      <c r="T4128" s="353"/>
      <c r="U4128" s="353"/>
      <c r="V4128" s="353"/>
      <c r="W4128" s="353"/>
      <c r="X4128" s="356"/>
      <c r="Y4128" s="149"/>
      <c r="Z4128" s="183"/>
      <c r="AA4128" s="183" t="str">
        <f>LEFT($A4128,FIND(" ",$A4128)-1)</f>
        <v>DCNAlarmEngine</v>
      </c>
      <c r="AB4128" s="183" t="str">
        <f>MID($A4128,FIND("(",$A4128)+1,LEN($A4128)-FIND("(",$A4128)-1)</f>
        <v>1.0.0</v>
      </c>
      <c r="AC4128" s="101" t="str">
        <f>A4127</f>
        <v>Resource describing attributes of a DCN Alarm Engine environment on an O-PAS DCN.
Additional properties and attributes will be added to this resource in O-PAS Version 3.</v>
      </c>
      <c r="AD4128" s="101" t="s">
        <v>5150</v>
      </c>
      <c r="AE4128" s="253" t="s">
        <v>5900</v>
      </c>
      <c r="AF4128" s="184" t="s">
        <v>4352</v>
      </c>
      <c r="AG4128" s="183" t="s">
        <v>4357</v>
      </c>
      <c r="AH4128" s="183" t="s">
        <v>4352</v>
      </c>
      <c r="AI4128" s="183" t="s">
        <v>5248</v>
      </c>
      <c r="AJ4128" s="183"/>
      <c r="AK4128" s="183"/>
      <c r="AL4128" s="183"/>
      <c r="AM4128" s="183"/>
      <c r="AN4128" s="131"/>
      <c r="AO4128" s="131"/>
      <c r="AP4128" s="131"/>
      <c r="AQ4128" s="131"/>
      <c r="AR4128" s="288"/>
      <c r="AS4128" s="259"/>
      <c r="AT4128" s="237" t="s">
        <v>5328</v>
      </c>
      <c r="AU4128" s="202" t="s">
        <v>5901</v>
      </c>
      <c r="AV4128" s="6" t="str">
        <f t="shared" si="92"/>
        <v/>
      </c>
    </row>
    <row r="4129" spans="1:48" ht="58.5" thickBot="1" x14ac:dyDescent="0.5">
      <c r="A4129" s="321"/>
      <c r="B4129" s="322"/>
      <c r="C4129" s="314" t="s">
        <v>2</v>
      </c>
      <c r="D4129" s="314"/>
      <c r="E4129" s="314" t="s">
        <v>3</v>
      </c>
      <c r="F4129" s="314"/>
      <c r="G4129" s="314" t="s">
        <v>2896</v>
      </c>
      <c r="H4129" s="314"/>
      <c r="R4129" s="115"/>
      <c r="S4129" s="115"/>
      <c r="T4129" s="115"/>
      <c r="U4129" s="115"/>
      <c r="V4129" s="115"/>
      <c r="W4129" s="115"/>
      <c r="X4129" s="115"/>
      <c r="Y4129" s="149"/>
      <c r="Z4129" s="183"/>
      <c r="AA4129" s="183"/>
      <c r="AB4129" s="183"/>
      <c r="AC4129" s="183"/>
      <c r="AD4129" s="183"/>
      <c r="AE4129" s="184"/>
      <c r="AF4129" s="184"/>
      <c r="AG4129" s="183"/>
      <c r="AH4129" s="183"/>
      <c r="AI4129" s="183"/>
      <c r="AJ4129" s="183"/>
      <c r="AK4129" s="183"/>
      <c r="AL4129" s="183"/>
      <c r="AM4129" s="8" t="str">
        <f>C4129</f>
        <v>OSM-Redfish</v>
      </c>
      <c r="AN4129" s="8" t="str">
        <f>E4129</f>
        <v>OSM-RedfishBMC</v>
      </c>
      <c r="AO4129" s="8" t="str">
        <f>G4129</f>
        <v>OSM-RedfishDCN</v>
      </c>
      <c r="AP4129" s="131"/>
      <c r="AQ4129" s="131"/>
      <c r="AR4129" s="288"/>
      <c r="AS4129" s="259"/>
      <c r="AT4129" s="237" t="s">
        <v>5311</v>
      </c>
      <c r="AV4129" s="6" t="str">
        <f t="shared" si="92"/>
        <v/>
      </c>
    </row>
    <row r="4130" spans="1:48" ht="58.5" thickBot="1" x14ac:dyDescent="0.5">
      <c r="A4130" s="46" t="s">
        <v>2377</v>
      </c>
      <c r="B4130" s="47"/>
      <c r="C4130" s="303"/>
      <c r="D4130" s="304"/>
      <c r="E4130" s="303"/>
      <c r="F4130" s="304"/>
      <c r="G4130" s="303"/>
      <c r="H4130" s="304"/>
      <c r="R4130" s="129"/>
      <c r="S4130" s="117"/>
      <c r="T4130" s="117"/>
      <c r="U4130" s="117"/>
      <c r="V4130" s="117"/>
      <c r="W4130" s="117"/>
      <c r="X4130" s="216"/>
      <c r="Y4130" s="118"/>
      <c r="Z4130" s="185"/>
      <c r="AA4130" s="185"/>
      <c r="AB4130" s="185"/>
      <c r="AC4130" s="185"/>
      <c r="AD4130" s="185"/>
      <c r="AE4130" s="186"/>
      <c r="AF4130" s="186"/>
      <c r="AG4130" s="185"/>
      <c r="AH4130" s="185"/>
      <c r="AI4130" s="185"/>
      <c r="AJ4130" s="185"/>
      <c r="AK4130" s="185"/>
      <c r="AL4130" s="185"/>
      <c r="AM4130" s="8" t="str">
        <f>IF(C4130&lt;&gt;"","CRQ-P5-"&amp;(AM$2+$AP4130*$AP$3),"")</f>
        <v/>
      </c>
      <c r="AN4130" s="8" t="str">
        <f>IF(E4130&lt;&gt;"","CRQ-P5-"&amp;(AN$2+$AP4130*$AP$3),"")</f>
        <v/>
      </c>
      <c r="AO4130" s="8" t="str">
        <f>IF(G4130&lt;&gt;"","CRQ-P5-"&amp;(AO$2+$AP4130*$AP$3),"")</f>
        <v/>
      </c>
      <c r="AP4130" s="117">
        <v>11</v>
      </c>
      <c r="AQ4130" s="117"/>
      <c r="AR4130" s="287"/>
      <c r="AS4130" s="258"/>
      <c r="AT4130" s="237" t="s">
        <v>5311</v>
      </c>
      <c r="AU4130" s="140" t="s">
        <v>5122</v>
      </c>
      <c r="AV4130" s="6" t="str">
        <f t="shared" si="92"/>
        <v/>
      </c>
    </row>
    <row r="4131" spans="1:48" ht="58.5" thickBot="1" x14ac:dyDescent="0.5">
      <c r="A4131" s="29" t="s">
        <v>3394</v>
      </c>
      <c r="B4131" s="9"/>
      <c r="C4131" s="305"/>
      <c r="D4131" s="306"/>
      <c r="E4131" s="305"/>
      <c r="F4131" s="306"/>
      <c r="G4131" s="305"/>
      <c r="H4131" s="306"/>
      <c r="L4131" s="18" t="s">
        <v>2336</v>
      </c>
      <c r="R4131" s="111" t="s">
        <v>3429</v>
      </c>
      <c r="S4131" s="111" t="s">
        <v>3430</v>
      </c>
      <c r="T4131" s="111" t="s">
        <v>3427</v>
      </c>
      <c r="U4131" s="111" t="s">
        <v>3431</v>
      </c>
      <c r="V4131" s="111" t="s">
        <v>3432</v>
      </c>
      <c r="W4131" s="111" t="s">
        <v>3433</v>
      </c>
      <c r="X4131" s="217" t="s">
        <v>3434</v>
      </c>
      <c r="Y4131" s="118" t="s">
        <v>3965</v>
      </c>
      <c r="Z4131" s="185"/>
      <c r="AA4131" s="185"/>
      <c r="AB4131" s="185"/>
      <c r="AC4131" s="185"/>
      <c r="AD4131" s="185"/>
      <c r="AE4131" s="186"/>
      <c r="AF4131" s="186"/>
      <c r="AG4131" s="185"/>
      <c r="AH4131" s="185"/>
      <c r="AI4131" s="185"/>
      <c r="AJ4131" s="185"/>
      <c r="AK4131" s="185"/>
      <c r="AL4131" s="185"/>
      <c r="AM4131" s="185"/>
      <c r="AN4131" s="117"/>
      <c r="AO4131" s="117"/>
      <c r="AP4131" s="117"/>
      <c r="AQ4131" s="117"/>
      <c r="AR4131" s="287"/>
      <c r="AS4131" s="258"/>
      <c r="AT4131" s="237" t="s">
        <v>5311</v>
      </c>
      <c r="AU4131" s="6"/>
      <c r="AV4131" s="6" t="str">
        <f t="shared" si="92"/>
        <v/>
      </c>
    </row>
    <row r="4132" spans="1:48" ht="15" customHeight="1" thickBot="1" x14ac:dyDescent="0.5">
      <c r="A4132" s="60" t="s">
        <v>4</v>
      </c>
      <c r="B4132" s="61" t="s">
        <v>5</v>
      </c>
      <c r="C4132" s="62" t="s">
        <v>6</v>
      </c>
      <c r="D4132" s="62" t="s">
        <v>7</v>
      </c>
      <c r="E4132" s="62" t="s">
        <v>6</v>
      </c>
      <c r="F4132" s="62" t="s">
        <v>7</v>
      </c>
      <c r="G4132" s="62" t="s">
        <v>6</v>
      </c>
      <c r="H4132" s="62" t="s">
        <v>7</v>
      </c>
      <c r="R4132" s="352" t="s">
        <v>4040</v>
      </c>
      <c r="S4132" s="353"/>
      <c r="T4132" s="353"/>
      <c r="U4132" s="353"/>
      <c r="V4132" s="353"/>
      <c r="W4132" s="353"/>
      <c r="X4132" s="357"/>
      <c r="Y4132" s="149"/>
      <c r="Z4132" s="183" t="s">
        <v>4347</v>
      </c>
      <c r="AA4132" s="183" t="s">
        <v>4343</v>
      </c>
      <c r="AB4132" s="183" t="s">
        <v>4172</v>
      </c>
      <c r="AC4132" s="183" t="s">
        <v>4340</v>
      </c>
      <c r="AD4132" s="183" t="s">
        <v>4339</v>
      </c>
      <c r="AE4132" s="184" t="s">
        <v>4341</v>
      </c>
      <c r="AF4132" s="184" t="s">
        <v>4342</v>
      </c>
      <c r="AG4132" s="183" t="s">
        <v>4353</v>
      </c>
      <c r="AH4132" s="183" t="s">
        <v>3429</v>
      </c>
      <c r="AI4132" s="183" t="s">
        <v>4356</v>
      </c>
      <c r="AJ4132" s="183" t="s">
        <v>4364</v>
      </c>
      <c r="AK4132" s="183" t="s">
        <v>4441</v>
      </c>
      <c r="AL4132" s="183" t="s">
        <v>694</v>
      </c>
      <c r="AM4132" s="183"/>
      <c r="AN4132" s="131"/>
      <c r="AO4132" s="131"/>
      <c r="AP4132" s="131"/>
      <c r="AQ4132" s="131"/>
      <c r="AR4132" s="288"/>
      <c r="AS4132" s="259"/>
      <c r="AT4132" s="237" t="s">
        <v>5311</v>
      </c>
      <c r="AV4132" s="6" t="str">
        <f t="shared" si="92"/>
        <v/>
      </c>
    </row>
    <row r="4133" spans="1:48" ht="116.65" thickBot="1" x14ac:dyDescent="0.5">
      <c r="A4133" s="36" t="s">
        <v>8</v>
      </c>
      <c r="B4133" s="3" t="s">
        <v>5158</v>
      </c>
      <c r="C4133" s="51"/>
      <c r="D4133" s="51"/>
      <c r="E4133" s="51"/>
      <c r="F4133" s="51"/>
      <c r="G4133" s="4" t="s">
        <v>13</v>
      </c>
      <c r="H4133" s="51"/>
      <c r="L4133" s="18" t="s">
        <v>2336</v>
      </c>
      <c r="AB4133" s="8" t="s">
        <v>4348</v>
      </c>
      <c r="AT4133" s="237" t="s">
        <v>5327</v>
      </c>
      <c r="AV4133" s="6" t="str">
        <f t="shared" si="92"/>
        <v/>
      </c>
    </row>
    <row r="4134" spans="1:48" ht="105" thickBot="1" x14ac:dyDescent="0.5">
      <c r="A4134" s="35" t="s">
        <v>5128</v>
      </c>
      <c r="B4134" s="3" t="s">
        <v>5159</v>
      </c>
      <c r="C4134" s="4"/>
      <c r="D4134" s="4"/>
      <c r="E4134" s="4"/>
      <c r="F4134" s="4"/>
      <c r="G4134" s="4" t="s">
        <v>13</v>
      </c>
      <c r="H4134" s="4"/>
      <c r="L4134" s="18" t="s">
        <v>2336</v>
      </c>
      <c r="AD4134" s="8" t="s">
        <v>5151</v>
      </c>
      <c r="AJ4134" s="8" t="s">
        <v>4357</v>
      </c>
      <c r="AT4134" s="237" t="s">
        <v>5329</v>
      </c>
      <c r="AV4134" s="6" t="str">
        <f t="shared" si="92"/>
        <v/>
      </c>
    </row>
    <row r="4135" spans="1:48" ht="105" thickBot="1" x14ac:dyDescent="0.5">
      <c r="A4135" s="35" t="s">
        <v>5129</v>
      </c>
      <c r="B4135" s="3" t="s">
        <v>5146</v>
      </c>
      <c r="C4135" s="4"/>
      <c r="D4135" s="4"/>
      <c r="E4135" s="4"/>
      <c r="F4135" s="4"/>
      <c r="G4135" s="4" t="s">
        <v>13</v>
      </c>
      <c r="H4135" s="4"/>
      <c r="L4135" s="18" t="s">
        <v>2336</v>
      </c>
      <c r="AD4135" s="8" t="s">
        <v>5152</v>
      </c>
      <c r="AJ4135" s="8" t="s">
        <v>4357</v>
      </c>
      <c r="AT4135" s="237" t="s">
        <v>5329</v>
      </c>
      <c r="AV4135" s="6" t="str">
        <f t="shared" si="92"/>
        <v/>
      </c>
    </row>
    <row r="4136" spans="1:48" ht="105" thickBot="1" x14ac:dyDescent="0.5">
      <c r="A4136" s="35" t="s">
        <v>5130</v>
      </c>
      <c r="B4136" s="3" t="s">
        <v>5147</v>
      </c>
      <c r="C4136" s="4"/>
      <c r="D4136" s="4"/>
      <c r="E4136" s="4"/>
      <c r="F4136" s="4"/>
      <c r="G4136" s="4" t="s">
        <v>13</v>
      </c>
      <c r="H4136" s="4"/>
      <c r="L4136" s="18" t="s">
        <v>2336</v>
      </c>
      <c r="AD4136" s="8" t="s">
        <v>5153</v>
      </c>
      <c r="AJ4136" s="8" t="s">
        <v>4357</v>
      </c>
      <c r="AT4136" s="237" t="s">
        <v>5329</v>
      </c>
      <c r="AV4136" s="6" t="str">
        <f t="shared" si="92"/>
        <v/>
      </c>
    </row>
    <row r="4137" spans="1:48" ht="70.900000000000006" thickBot="1" x14ac:dyDescent="0.5">
      <c r="A4137" s="35" t="s">
        <v>5131</v>
      </c>
      <c r="B4137" s="3" t="s">
        <v>5148</v>
      </c>
      <c r="C4137" s="4"/>
      <c r="D4137" s="4"/>
      <c r="E4137" s="4"/>
      <c r="F4137" s="4"/>
      <c r="G4137" s="4"/>
      <c r="H4137" s="4"/>
      <c r="L4137" s="18" t="s">
        <v>2336</v>
      </c>
      <c r="AD4137" s="8" t="s">
        <v>5178</v>
      </c>
      <c r="AJ4137" s="8" t="s">
        <v>4357</v>
      </c>
      <c r="AT4137" s="238"/>
      <c r="AU4137" s="19" t="s">
        <v>5121</v>
      </c>
      <c r="AV4137" s="6" t="str">
        <f t="shared" si="92"/>
        <v/>
      </c>
    </row>
    <row r="4138" spans="1:48" ht="116.65" thickBot="1" x14ac:dyDescent="0.5">
      <c r="A4138" s="43" t="s">
        <v>2899</v>
      </c>
      <c r="B4138" s="22" t="s">
        <v>5149</v>
      </c>
      <c r="C4138" s="4"/>
      <c r="D4138" s="20"/>
      <c r="E4138" s="20"/>
      <c r="F4138" s="20"/>
      <c r="G4138" s="20" t="s">
        <v>10</v>
      </c>
      <c r="H4138" s="20"/>
      <c r="R4138" s="122" t="s">
        <v>3435</v>
      </c>
      <c r="S4138" s="114" t="s">
        <v>4</v>
      </c>
      <c r="T4138" s="114" t="s">
        <v>5179</v>
      </c>
      <c r="U4138" s="114" t="s">
        <v>3521</v>
      </c>
      <c r="V4138" s="114" t="s">
        <v>3530</v>
      </c>
      <c r="W4138" s="114" t="s">
        <v>3436</v>
      </c>
      <c r="X4138" s="114" t="s">
        <v>13</v>
      </c>
      <c r="Y4138" s="149"/>
      <c r="Z4138" s="183"/>
      <c r="AA4138" s="183"/>
      <c r="AB4138" s="183" t="s">
        <v>758</v>
      </c>
      <c r="AC4138" s="183" t="s">
        <v>6</v>
      </c>
      <c r="AD4138" s="183" t="s">
        <v>5154</v>
      </c>
      <c r="AE4138" s="184"/>
      <c r="AF4138" s="184"/>
      <c r="AG4138" s="183"/>
      <c r="AH4138" s="183"/>
      <c r="AI4138" s="183"/>
      <c r="AJ4138" s="183"/>
      <c r="AK4138" s="183"/>
      <c r="AL4138" s="183"/>
      <c r="AM4138" s="183"/>
      <c r="AN4138" s="131"/>
      <c r="AO4138" s="131"/>
      <c r="AP4138" s="131"/>
      <c r="AQ4138" s="131"/>
      <c r="AR4138" s="288"/>
      <c r="AS4138" s="259"/>
      <c r="AT4138" s="237" t="s">
        <v>5327</v>
      </c>
      <c r="AV4138" s="6" t="str">
        <f t="shared" si="92"/>
        <v>ERROR</v>
      </c>
    </row>
    <row r="4139" spans="1:48" ht="116.65" thickBot="1" x14ac:dyDescent="0.5">
      <c r="A4139" s="43" t="s">
        <v>4514</v>
      </c>
      <c r="B4139" s="22" t="s">
        <v>5143</v>
      </c>
      <c r="C4139" s="4"/>
      <c r="D4139" s="20"/>
      <c r="E4139" s="20"/>
      <c r="F4139" s="20"/>
      <c r="G4139" s="20" t="s">
        <v>10</v>
      </c>
      <c r="H4139" s="20"/>
      <c r="R4139" s="122" t="s">
        <v>3435</v>
      </c>
      <c r="S4139" s="114" t="s">
        <v>4</v>
      </c>
      <c r="T4139" s="114" t="s">
        <v>5180</v>
      </c>
      <c r="U4139" s="114" t="s">
        <v>3521</v>
      </c>
      <c r="V4139" s="114" t="s">
        <v>3530</v>
      </c>
      <c r="W4139" s="114" t="s">
        <v>3436</v>
      </c>
      <c r="X4139" s="114" t="s">
        <v>13</v>
      </c>
      <c r="Y4139" s="149"/>
      <c r="Z4139" s="183"/>
      <c r="AA4139" s="183"/>
      <c r="AB4139" s="183" t="s">
        <v>758</v>
      </c>
      <c r="AC4139" s="183" t="s">
        <v>6</v>
      </c>
      <c r="AD4139" s="183" t="s">
        <v>5155</v>
      </c>
      <c r="AE4139" s="184"/>
      <c r="AF4139" s="184"/>
      <c r="AG4139" s="183"/>
      <c r="AH4139" s="183"/>
      <c r="AI4139" s="183"/>
      <c r="AJ4139" s="183"/>
      <c r="AK4139" s="183"/>
      <c r="AL4139" s="183"/>
      <c r="AM4139" s="183"/>
      <c r="AN4139" s="131"/>
      <c r="AO4139" s="131"/>
      <c r="AP4139" s="131"/>
      <c r="AQ4139" s="131"/>
      <c r="AR4139" s="288"/>
      <c r="AS4139" s="259"/>
      <c r="AT4139" s="237" t="s">
        <v>5327</v>
      </c>
      <c r="AV4139" s="6" t="str">
        <f t="shared" si="92"/>
        <v>ERROR</v>
      </c>
    </row>
    <row r="4140" spans="1:48" ht="116.65" thickBot="1" x14ac:dyDescent="0.5">
      <c r="A4140" s="43" t="s">
        <v>1697</v>
      </c>
      <c r="B4140" s="22" t="s">
        <v>5187</v>
      </c>
      <c r="C4140" s="4"/>
      <c r="D4140" s="20"/>
      <c r="E4140" s="20"/>
      <c r="F4140" s="20"/>
      <c r="G4140" s="20" t="s">
        <v>10</v>
      </c>
      <c r="H4140" s="20"/>
      <c r="R4140" s="122" t="s">
        <v>3435</v>
      </c>
      <c r="S4140" s="114" t="s">
        <v>4</v>
      </c>
      <c r="T4140" s="114" t="s">
        <v>5181</v>
      </c>
      <c r="U4140" s="114" t="s">
        <v>3521</v>
      </c>
      <c r="V4140" s="114" t="s">
        <v>3530</v>
      </c>
      <c r="W4140" s="114" t="s">
        <v>3436</v>
      </c>
      <c r="X4140" s="114" t="s">
        <v>13</v>
      </c>
      <c r="Y4140" s="149"/>
      <c r="Z4140" s="183"/>
      <c r="AA4140" s="183"/>
      <c r="AB4140" s="183" t="s">
        <v>758</v>
      </c>
      <c r="AC4140" s="183" t="s">
        <v>6</v>
      </c>
      <c r="AD4140" s="183" t="s">
        <v>5156</v>
      </c>
      <c r="AE4140" s="184"/>
      <c r="AF4140" s="184"/>
      <c r="AG4140" s="183"/>
      <c r="AH4140" s="183"/>
      <c r="AI4140" s="183"/>
      <c r="AJ4140" s="183"/>
      <c r="AK4140" s="183"/>
      <c r="AL4140" s="183"/>
      <c r="AM4140" s="183"/>
      <c r="AN4140" s="131"/>
      <c r="AO4140" s="131"/>
      <c r="AP4140" s="131"/>
      <c r="AQ4140" s="131"/>
      <c r="AR4140" s="288"/>
      <c r="AS4140" s="259"/>
      <c r="AT4140" s="237" t="s">
        <v>5327</v>
      </c>
      <c r="AV4140" s="6" t="str">
        <f t="shared" si="92"/>
        <v>ERROR</v>
      </c>
    </row>
    <row r="4141" spans="1:48" ht="116.65" thickBot="1" x14ac:dyDescent="0.5">
      <c r="A4141" s="43" t="s">
        <v>5098</v>
      </c>
      <c r="B4141" s="22" t="s">
        <v>5141</v>
      </c>
      <c r="C4141" s="4"/>
      <c r="D4141" s="20"/>
      <c r="E4141" s="20"/>
      <c r="F4141" s="20"/>
      <c r="G4141" s="20" t="s">
        <v>10</v>
      </c>
      <c r="H4141" s="20"/>
      <c r="R4141" s="122" t="s">
        <v>3435</v>
      </c>
      <c r="S4141" s="114" t="s">
        <v>4</v>
      </c>
      <c r="T4141" s="114" t="s">
        <v>5182</v>
      </c>
      <c r="U4141" s="114" t="s">
        <v>3521</v>
      </c>
      <c r="V4141" s="114" t="s">
        <v>3530</v>
      </c>
      <c r="W4141" s="114" t="s">
        <v>3436</v>
      </c>
      <c r="X4141" s="114" t="s">
        <v>13</v>
      </c>
      <c r="Y4141" s="149"/>
      <c r="Z4141" s="183"/>
      <c r="AA4141" s="183"/>
      <c r="AB4141" s="183" t="s">
        <v>758</v>
      </c>
      <c r="AC4141" s="183" t="s">
        <v>6</v>
      </c>
      <c r="AD4141" s="183" t="s">
        <v>5157</v>
      </c>
      <c r="AE4141" s="184"/>
      <c r="AF4141" s="184"/>
      <c r="AG4141" s="183"/>
      <c r="AH4141" s="183"/>
      <c r="AI4141" s="183"/>
      <c r="AJ4141" s="183"/>
      <c r="AK4141" s="183"/>
      <c r="AL4141" s="183"/>
      <c r="AM4141" s="183"/>
      <c r="AN4141" s="131"/>
      <c r="AO4141" s="131"/>
      <c r="AP4141" s="131"/>
      <c r="AQ4141" s="131"/>
      <c r="AR4141" s="288"/>
      <c r="AS4141" s="259"/>
      <c r="AT4141" s="237" t="s">
        <v>5327</v>
      </c>
      <c r="AV4141" s="6" t="str">
        <f t="shared" si="92"/>
        <v>ERROR</v>
      </c>
    </row>
    <row r="4142" spans="1:48" ht="58.5" thickBot="1" x14ac:dyDescent="0.5">
      <c r="A4142" s="36" t="s">
        <v>753</v>
      </c>
      <c r="B4142" s="3" t="s">
        <v>60</v>
      </c>
      <c r="C4142" s="4"/>
      <c r="D4142" s="4"/>
      <c r="E4142" s="4"/>
      <c r="F4142" s="4"/>
      <c r="G4142" s="4"/>
      <c r="H4142" s="4"/>
      <c r="AT4142" s="237" t="s">
        <v>5311</v>
      </c>
      <c r="AU4142" s="8"/>
      <c r="AV4142" s="6" t="str">
        <f t="shared" ref="AV4142:AV4176" si="93">IF(A4142&lt;&gt;"",IF(T4142&lt;&gt;"",IF(LEFT(R4142,3)="Has",IF(TRIM(A4142)&lt;&gt;T4142,"ERROR","OK"),""),""),"")</f>
        <v/>
      </c>
    </row>
    <row r="4143" spans="1:48" ht="174.75" thickBot="1" x14ac:dyDescent="0.5">
      <c r="A4143" s="43" t="s">
        <v>145</v>
      </c>
      <c r="B4143" s="22" t="s">
        <v>5142</v>
      </c>
      <c r="C4143" s="4"/>
      <c r="D4143" s="20"/>
      <c r="E4143" s="20"/>
      <c r="F4143" s="20"/>
      <c r="G4143" s="20" t="s">
        <v>10</v>
      </c>
      <c r="H4143" s="20"/>
      <c r="R4143" s="122" t="s">
        <v>3435</v>
      </c>
      <c r="S4143" s="114" t="s">
        <v>3437</v>
      </c>
      <c r="T4143" s="114" t="s">
        <v>145</v>
      </c>
      <c r="U4143" s="114"/>
      <c r="V4143" s="114" t="s">
        <v>3441</v>
      </c>
      <c r="W4143" s="114" t="s">
        <v>3436</v>
      </c>
      <c r="X4143" s="114" t="s">
        <v>13</v>
      </c>
      <c r="Y4143" s="149"/>
      <c r="Z4143" s="183"/>
      <c r="AA4143" s="183"/>
      <c r="AB4143" s="183" t="s">
        <v>4359</v>
      </c>
      <c r="AC4143" s="183" t="s">
        <v>6</v>
      </c>
      <c r="AD4143" s="183" t="s">
        <v>4770</v>
      </c>
      <c r="AE4143" s="184"/>
      <c r="AF4143" s="184"/>
      <c r="AG4143" s="183"/>
      <c r="AH4143" s="183"/>
      <c r="AI4143" s="183"/>
      <c r="AJ4143" s="183"/>
      <c r="AK4143" s="183"/>
      <c r="AL4143" s="183"/>
      <c r="AM4143" s="183"/>
      <c r="AN4143" s="131"/>
      <c r="AO4143" s="131"/>
      <c r="AP4143" s="131"/>
      <c r="AQ4143" s="131"/>
      <c r="AR4143" s="288"/>
      <c r="AS4143" s="140" t="s">
        <v>5354</v>
      </c>
      <c r="AT4143" s="251" t="s">
        <v>5872</v>
      </c>
      <c r="AV4143" s="6" t="str">
        <f t="shared" si="93"/>
        <v>OK</v>
      </c>
    </row>
    <row r="4144" spans="1:48" ht="47.65" thickBot="1" x14ac:dyDescent="0.5">
      <c r="A4144" s="35" t="s">
        <v>5361</v>
      </c>
      <c r="B4144" s="3" t="s">
        <v>5352</v>
      </c>
      <c r="C4144" s="4"/>
      <c r="D4144" s="20"/>
      <c r="E4144" s="20"/>
      <c r="F4144" s="4"/>
      <c r="G4144" s="4" t="s">
        <v>10</v>
      </c>
      <c r="H4144" s="4"/>
      <c r="Q4144" s="131"/>
      <c r="R4144" s="131"/>
      <c r="S4144" s="131"/>
      <c r="T4144" s="131"/>
      <c r="U4144" s="131"/>
      <c r="V4144" s="131"/>
      <c r="W4144" s="131"/>
      <c r="X4144" s="131"/>
      <c r="AS4144" s="139" t="s">
        <v>5355</v>
      </c>
      <c r="AU4144" s="6"/>
      <c r="AV4144" s="6"/>
    </row>
    <row r="4145" spans="1:48" ht="82.5" thickBot="1" x14ac:dyDescent="0.5">
      <c r="A4145" s="35" t="s">
        <v>5360</v>
      </c>
      <c r="B4145" s="3" t="s">
        <v>5353</v>
      </c>
      <c r="C4145" s="4"/>
      <c r="D4145" s="4"/>
      <c r="E4145" s="4"/>
      <c r="F4145" s="4"/>
      <c r="G4145" s="4"/>
      <c r="H4145" s="4"/>
      <c r="Q4145" s="131"/>
      <c r="R4145" s="131"/>
      <c r="S4145" s="131"/>
      <c r="T4145" s="131"/>
      <c r="U4145" s="131"/>
      <c r="V4145" s="131"/>
      <c r="W4145" s="131"/>
      <c r="X4145" s="131"/>
      <c r="AS4145" s="139" t="s">
        <v>5356</v>
      </c>
      <c r="AU4145" s="6"/>
      <c r="AV4145" s="6"/>
    </row>
    <row r="4146" spans="1:48" ht="58.5" thickBot="1" x14ac:dyDescent="0.5">
      <c r="A4146" s="163" t="s">
        <v>33</v>
      </c>
      <c r="B4146" s="159" t="s">
        <v>3686</v>
      </c>
      <c r="C4146" s="160"/>
      <c r="D4146" s="161"/>
      <c r="E4146" s="161"/>
      <c r="F4146" s="161"/>
      <c r="G4146" s="160"/>
      <c r="H4146" s="161"/>
      <c r="I4146" s="162"/>
      <c r="J4146" s="162"/>
      <c r="K4146" s="162"/>
      <c r="L4146" s="162"/>
      <c r="M4146" s="146"/>
      <c r="AS4146" s="233" t="s">
        <v>5366</v>
      </c>
      <c r="AT4146" s="237" t="s">
        <v>5311</v>
      </c>
      <c r="AV4146" s="6" t="str">
        <f t="shared" si="93"/>
        <v/>
      </c>
    </row>
    <row r="4147" spans="1:48" ht="58.15" x14ac:dyDescent="0.45">
      <c r="A4147" s="33" t="s">
        <v>5132</v>
      </c>
      <c r="AT4147" s="237" t="s">
        <v>5311</v>
      </c>
      <c r="AV4147" s="6" t="str">
        <f t="shared" si="93"/>
        <v/>
      </c>
    </row>
    <row r="4148" spans="1:48" ht="70.5" x14ac:dyDescent="0.45">
      <c r="A4148" s="34" t="s">
        <v>5900</v>
      </c>
      <c r="AT4148" s="237" t="s">
        <v>5311</v>
      </c>
      <c r="AU4148" s="202" t="s">
        <v>5894</v>
      </c>
      <c r="AV4148" s="6" t="str">
        <f t="shared" si="93"/>
        <v/>
      </c>
    </row>
    <row r="4149" spans="1:48" s="79" customFormat="1" x14ac:dyDescent="0.45">
      <c r="A4149" s="75"/>
      <c r="B4149" s="76"/>
      <c r="C4149" s="77"/>
      <c r="D4149" s="77"/>
      <c r="E4149" s="77"/>
      <c r="F4149" s="77"/>
      <c r="G4149" s="77"/>
      <c r="H4149" s="77"/>
      <c r="I4149" s="77"/>
      <c r="J4149" s="77"/>
      <c r="K4149" s="77"/>
      <c r="L4149" s="77"/>
      <c r="M4149" s="148"/>
      <c r="N4149" s="78"/>
      <c r="O4149" s="78"/>
      <c r="P4149" s="78"/>
      <c r="Q4149" s="78"/>
      <c r="R4149" s="78"/>
      <c r="S4149" s="78"/>
      <c r="T4149" s="78"/>
      <c r="U4149" s="78"/>
      <c r="V4149" s="78"/>
      <c r="W4149" s="78"/>
      <c r="X4149" s="78"/>
      <c r="Y4149" s="148"/>
      <c r="Z4149" s="78"/>
      <c r="AA4149" s="78"/>
      <c r="AB4149" s="78"/>
      <c r="AC4149" s="78"/>
      <c r="AD4149" s="78"/>
      <c r="AE4149" s="156"/>
      <c r="AF4149" s="156"/>
      <c r="AG4149" s="78"/>
      <c r="AH4149" s="78"/>
      <c r="AI4149" s="78"/>
      <c r="AJ4149" s="78"/>
      <c r="AK4149" s="78"/>
      <c r="AL4149" s="78"/>
      <c r="AM4149" s="78"/>
      <c r="AN4149" s="78"/>
      <c r="AO4149" s="78"/>
      <c r="AP4149" s="78"/>
      <c r="AQ4149" s="78"/>
      <c r="AR4149" s="286"/>
      <c r="AS4149" s="78"/>
      <c r="AT4149" s="78"/>
      <c r="AU4149" s="8"/>
      <c r="AV4149" s="6" t="str">
        <f t="shared" si="93"/>
        <v/>
      </c>
    </row>
    <row r="4150" spans="1:48" ht="58.15" x14ac:dyDescent="0.45">
      <c r="A4150" s="27" t="s">
        <v>5207</v>
      </c>
      <c r="L4150" s="18" t="s">
        <v>2335</v>
      </c>
      <c r="AT4150" s="237" t="s">
        <v>5311</v>
      </c>
      <c r="AU4150" s="140" t="s">
        <v>5197</v>
      </c>
      <c r="AV4150" s="6" t="str">
        <f t="shared" si="93"/>
        <v/>
      </c>
    </row>
    <row r="4151" spans="1:48" ht="58.5" thickBot="1" x14ac:dyDescent="0.5">
      <c r="A4151" s="323" t="s">
        <v>5208</v>
      </c>
      <c r="B4151" s="324"/>
      <c r="C4151" s="324"/>
      <c r="D4151" s="324"/>
      <c r="E4151" s="324"/>
      <c r="F4151" s="324"/>
      <c r="G4151" s="101"/>
      <c r="H4151" s="101"/>
      <c r="L4151" s="18" t="s">
        <v>2335</v>
      </c>
      <c r="Z4151" s="183" t="s">
        <v>4347</v>
      </c>
      <c r="AA4151" s="183" t="s">
        <v>2322</v>
      </c>
      <c r="AB4151" s="183" t="s">
        <v>1697</v>
      </c>
      <c r="AC4151" s="183" t="s">
        <v>5</v>
      </c>
      <c r="AD4151" s="183" t="s">
        <v>4339</v>
      </c>
      <c r="AE4151" s="184" t="s">
        <v>4338</v>
      </c>
      <c r="AF4151" s="184" t="s">
        <v>4350</v>
      </c>
      <c r="AG4151" s="183" t="s">
        <v>1695</v>
      </c>
      <c r="AH4151" s="183" t="s">
        <v>4351</v>
      </c>
      <c r="AI4151" s="8" t="s">
        <v>4455</v>
      </c>
      <c r="AJ4151" s="183" t="s">
        <v>5051</v>
      </c>
      <c r="AT4151" s="237" t="s">
        <v>5311</v>
      </c>
      <c r="AU4151" s="140" t="s">
        <v>5197</v>
      </c>
      <c r="AV4151" s="6" t="str">
        <f t="shared" si="93"/>
        <v/>
      </c>
    </row>
    <row r="4152" spans="1:48" ht="116.65" thickBot="1" x14ac:dyDescent="0.5">
      <c r="A4152" s="309" t="s">
        <v>5209</v>
      </c>
      <c r="B4152" s="310"/>
      <c r="C4152" s="301" t="s">
        <v>1</v>
      </c>
      <c r="D4152" s="319"/>
      <c r="E4152" s="319"/>
      <c r="F4152" s="302"/>
      <c r="G4152" s="102"/>
      <c r="H4152" s="102"/>
      <c r="L4152" s="18" t="s">
        <v>2335</v>
      </c>
      <c r="Z4152" s="183"/>
      <c r="AA4152" s="183" t="str">
        <f>LEFT($A4152,FIND(" ",$A4152)-1)</f>
        <v>DCNIOServicesEngineCollection</v>
      </c>
      <c r="AB4152" s="183" t="str">
        <f>MID($A4152,FIND("(",$A4152)+1,LEN($A4152)-FIND("(",$A4152)-1)</f>
        <v>1.0.0</v>
      </c>
      <c r="AC4152" s="101" t="str">
        <f>A4151</f>
        <v>A DCNIOServicesEngineCollection is a collection of DCN I/OServices Engine Resources running on a node.</v>
      </c>
      <c r="AD4152" s="101" t="s">
        <v>5213</v>
      </c>
      <c r="AE4152" s="253" t="s">
        <v>5902</v>
      </c>
      <c r="AF4152" s="184" t="s">
        <v>4352</v>
      </c>
      <c r="AG4152" s="183" t="s">
        <v>4352</v>
      </c>
      <c r="AH4152" s="183" t="s">
        <v>4352</v>
      </c>
      <c r="AI4152" s="183" t="s">
        <v>5248</v>
      </c>
      <c r="AT4152" s="237" t="s">
        <v>5331</v>
      </c>
      <c r="AU4152" s="140" t="s">
        <v>5893</v>
      </c>
      <c r="AV4152" s="6" t="str">
        <f t="shared" si="93"/>
        <v/>
      </c>
    </row>
    <row r="4153" spans="1:48" ht="58.5" thickBot="1" x14ac:dyDescent="0.5">
      <c r="A4153" s="311"/>
      <c r="B4153" s="312"/>
      <c r="C4153" s="301" t="s">
        <v>2</v>
      </c>
      <c r="D4153" s="302"/>
      <c r="E4153" s="301" t="s">
        <v>3</v>
      </c>
      <c r="F4153" s="302"/>
      <c r="G4153" s="301" t="s">
        <v>2896</v>
      </c>
      <c r="H4153" s="302"/>
      <c r="L4153" s="18" t="s">
        <v>2335</v>
      </c>
      <c r="AT4153" s="237" t="s">
        <v>5311</v>
      </c>
      <c r="AU4153" s="6"/>
      <c r="AV4153" s="6" t="str">
        <f t="shared" si="93"/>
        <v/>
      </c>
    </row>
    <row r="4154" spans="1:48" ht="58.5" thickBot="1" x14ac:dyDescent="0.5">
      <c r="A4154" s="46" t="s">
        <v>2377</v>
      </c>
      <c r="B4154" s="47"/>
      <c r="C4154" s="303"/>
      <c r="D4154" s="304"/>
      <c r="E4154" s="303"/>
      <c r="F4154" s="304"/>
      <c r="G4154" s="303"/>
      <c r="H4154" s="304"/>
      <c r="AT4154" s="237" t="s">
        <v>5311</v>
      </c>
      <c r="AU4154" s="6"/>
      <c r="AV4154" s="6" t="str">
        <f t="shared" si="93"/>
        <v/>
      </c>
    </row>
    <row r="4155" spans="1:48" ht="58.5" thickBot="1" x14ac:dyDescent="0.5">
      <c r="A4155" s="30" t="s">
        <v>4</v>
      </c>
      <c r="B4155" s="59" t="s">
        <v>5</v>
      </c>
      <c r="C4155" s="7" t="s">
        <v>6</v>
      </c>
      <c r="D4155" s="7" t="s">
        <v>7</v>
      </c>
      <c r="E4155" s="7" t="s">
        <v>6</v>
      </c>
      <c r="F4155" s="7" t="s">
        <v>7</v>
      </c>
      <c r="G4155" s="7" t="s">
        <v>6</v>
      </c>
      <c r="H4155" s="7" t="s">
        <v>7</v>
      </c>
      <c r="L4155" s="18" t="s">
        <v>2335</v>
      </c>
      <c r="Z4155" s="183" t="s">
        <v>4347</v>
      </c>
      <c r="AA4155" s="183" t="s">
        <v>4343</v>
      </c>
      <c r="AB4155" s="183" t="s">
        <v>4172</v>
      </c>
      <c r="AC4155" s="183" t="s">
        <v>4340</v>
      </c>
      <c r="AD4155" s="183" t="s">
        <v>4339</v>
      </c>
      <c r="AE4155" s="184" t="s">
        <v>4341</v>
      </c>
      <c r="AF4155" s="184" t="s">
        <v>4342</v>
      </c>
      <c r="AG4155" s="183" t="s">
        <v>4353</v>
      </c>
      <c r="AH4155" s="183" t="s">
        <v>3429</v>
      </c>
      <c r="AI4155" s="183" t="s">
        <v>4356</v>
      </c>
      <c r="AJ4155" s="183" t="s">
        <v>4364</v>
      </c>
      <c r="AT4155" s="237" t="s">
        <v>5311</v>
      </c>
      <c r="AU4155" s="6"/>
      <c r="AV4155" s="6" t="str">
        <f t="shared" si="93"/>
        <v/>
      </c>
    </row>
    <row r="4156" spans="1:48" ht="116.65" thickBot="1" x14ac:dyDescent="0.5">
      <c r="A4156" s="36" t="s">
        <v>2792</v>
      </c>
      <c r="B4156" s="3" t="s">
        <v>5210</v>
      </c>
      <c r="C4156" s="4"/>
      <c r="D4156" s="4"/>
      <c r="E4156" s="4"/>
      <c r="F4156" s="4"/>
      <c r="G4156" s="4" t="s">
        <v>10</v>
      </c>
      <c r="H4156" s="4"/>
      <c r="AB4156" s="8" t="s">
        <v>4354</v>
      </c>
      <c r="AC4156" s="183" t="s">
        <v>6</v>
      </c>
      <c r="AD4156" s="183" t="s">
        <v>5292</v>
      </c>
      <c r="AE4156" s="184"/>
      <c r="AF4156" s="184"/>
      <c r="AG4156" s="183" t="s">
        <v>4355</v>
      </c>
      <c r="AH4156" s="183" t="s">
        <v>5262</v>
      </c>
      <c r="AI4156" s="183" t="s">
        <v>4357</v>
      </c>
      <c r="AT4156" s="237" t="s">
        <v>5327</v>
      </c>
      <c r="AU4156" s="140" t="s">
        <v>5291</v>
      </c>
      <c r="AV4156" s="6" t="str">
        <f t="shared" si="93"/>
        <v/>
      </c>
    </row>
    <row r="4157" spans="1:48" ht="58.5" thickBot="1" x14ac:dyDescent="0.5">
      <c r="A4157" s="35" t="s">
        <v>33</v>
      </c>
      <c r="B4157" s="3" t="s">
        <v>5211</v>
      </c>
      <c r="C4157" s="4"/>
      <c r="D4157" s="4"/>
      <c r="E4157" s="4"/>
      <c r="F4157" s="4"/>
      <c r="G4157" s="4"/>
      <c r="H4157" s="4"/>
      <c r="L4157" s="18" t="s">
        <v>2335</v>
      </c>
      <c r="AT4157" s="237" t="s">
        <v>5311</v>
      </c>
      <c r="AU4157" s="6"/>
      <c r="AV4157" s="6" t="str">
        <f t="shared" si="93"/>
        <v/>
      </c>
    </row>
    <row r="4158" spans="1:48" ht="58.15" x14ac:dyDescent="0.45">
      <c r="A4158" s="33" t="s">
        <v>5212</v>
      </c>
      <c r="L4158" s="18" t="s">
        <v>2335</v>
      </c>
      <c r="AT4158" s="237" t="s">
        <v>5311</v>
      </c>
      <c r="AU4158" s="6"/>
      <c r="AV4158" s="6" t="str">
        <f t="shared" si="93"/>
        <v/>
      </c>
    </row>
    <row r="4159" spans="1:48" ht="70.5" x14ac:dyDescent="0.45">
      <c r="A4159" s="34" t="s">
        <v>5902</v>
      </c>
      <c r="L4159" s="18" t="s">
        <v>2335</v>
      </c>
      <c r="AT4159" s="237" t="s">
        <v>5311</v>
      </c>
      <c r="AU4159" s="202" t="s">
        <v>5894</v>
      </c>
      <c r="AV4159" s="6" t="str">
        <f t="shared" si="93"/>
        <v/>
      </c>
    </row>
    <row r="4160" spans="1:48" s="79" customFormat="1" ht="14.65" thickBot="1" x14ac:dyDescent="0.5">
      <c r="A4160" s="75"/>
      <c r="B4160" s="76"/>
      <c r="C4160" s="77"/>
      <c r="D4160" s="77"/>
      <c r="E4160" s="77"/>
      <c r="F4160" s="77"/>
      <c r="G4160" s="77"/>
      <c r="H4160" s="77"/>
      <c r="I4160" s="77"/>
      <c r="J4160" s="77"/>
      <c r="K4160" s="77"/>
      <c r="L4160" s="77"/>
      <c r="M4160" s="148"/>
      <c r="N4160" s="78"/>
      <c r="O4160" s="78"/>
      <c r="P4160" s="78"/>
      <c r="Q4160" s="78"/>
      <c r="R4160" s="78"/>
      <c r="S4160" s="78"/>
      <c r="T4160" s="78"/>
      <c r="U4160" s="78"/>
      <c r="V4160" s="78"/>
      <c r="W4160" s="78"/>
      <c r="X4160" s="78"/>
      <c r="Y4160" s="148"/>
      <c r="Z4160" s="78"/>
      <c r="AA4160" s="78"/>
      <c r="AB4160" s="78"/>
      <c r="AC4160" s="78"/>
      <c r="AD4160" s="78"/>
      <c r="AE4160" s="156"/>
      <c r="AF4160" s="156"/>
      <c r="AG4160" s="78"/>
      <c r="AH4160" s="78"/>
      <c r="AI4160" s="78"/>
      <c r="AJ4160" s="78"/>
      <c r="AK4160" s="78"/>
      <c r="AL4160" s="78"/>
      <c r="AM4160" s="78"/>
      <c r="AN4160" s="78"/>
      <c r="AO4160" s="78"/>
      <c r="AP4160" s="78"/>
      <c r="AQ4160" s="78"/>
      <c r="AR4160" s="286"/>
      <c r="AS4160" s="78"/>
      <c r="AT4160" s="78"/>
      <c r="AU4160" s="8"/>
      <c r="AV4160" s="6" t="str">
        <f t="shared" si="93"/>
        <v/>
      </c>
    </row>
    <row r="4161" spans="1:48" ht="58.5" thickBot="1" x14ac:dyDescent="0.5">
      <c r="A4161" s="39" t="s">
        <v>5133</v>
      </c>
      <c r="R4161" s="111" t="s">
        <v>3426</v>
      </c>
      <c r="S4161" s="349" t="s">
        <v>823</v>
      </c>
      <c r="T4161" s="350"/>
      <c r="U4161" s="350"/>
      <c r="V4161" s="350"/>
      <c r="W4161" s="350"/>
      <c r="X4161" s="355"/>
      <c r="Y4161" s="118"/>
      <c r="Z4161" s="185"/>
      <c r="AA4161" s="185"/>
      <c r="AB4161" s="185"/>
      <c r="AC4161" s="185"/>
      <c r="AD4161" s="185"/>
      <c r="AE4161" s="186"/>
      <c r="AF4161" s="186"/>
      <c r="AG4161" s="185"/>
      <c r="AH4161" s="185"/>
      <c r="AI4161" s="185"/>
      <c r="AJ4161" s="185"/>
      <c r="AK4161" s="185"/>
      <c r="AL4161" s="185"/>
      <c r="AM4161" s="185"/>
      <c r="AN4161" s="117"/>
      <c r="AO4161" s="117"/>
      <c r="AP4161" s="117"/>
      <c r="AQ4161" s="117"/>
      <c r="AR4161" s="287"/>
      <c r="AS4161" s="258"/>
      <c r="AT4161" s="237" t="s">
        <v>5311</v>
      </c>
      <c r="AU4161" s="202" t="s">
        <v>5101</v>
      </c>
      <c r="AV4161" s="6" t="str">
        <f t="shared" si="93"/>
        <v/>
      </c>
    </row>
    <row r="4162" spans="1:48" ht="70.150000000000006" thickBot="1" x14ac:dyDescent="0.5">
      <c r="A4162" s="110" t="s">
        <v>5220</v>
      </c>
      <c r="R4162" s="122" t="s">
        <v>3427</v>
      </c>
      <c r="S4162" s="352" t="s">
        <v>5134</v>
      </c>
      <c r="T4162" s="353"/>
      <c r="U4162" s="353"/>
      <c r="V4162" s="353"/>
      <c r="W4162" s="353"/>
      <c r="X4162" s="356"/>
      <c r="Y4162" s="149"/>
      <c r="Z4162" s="183" t="s">
        <v>4347</v>
      </c>
      <c r="AA4162" s="183" t="s">
        <v>2322</v>
      </c>
      <c r="AB4162" s="183" t="s">
        <v>1697</v>
      </c>
      <c r="AC4162" s="183" t="s">
        <v>5</v>
      </c>
      <c r="AD4162" s="183" t="s">
        <v>4339</v>
      </c>
      <c r="AE4162" s="184" t="s">
        <v>4338</v>
      </c>
      <c r="AF4162" s="184" t="s">
        <v>4350</v>
      </c>
      <c r="AG4162" s="183" t="s">
        <v>1695</v>
      </c>
      <c r="AH4162" s="183" t="s">
        <v>4351</v>
      </c>
      <c r="AI4162" s="8" t="s">
        <v>4455</v>
      </c>
      <c r="AJ4162" s="183" t="s">
        <v>5051</v>
      </c>
      <c r="AK4162" s="183"/>
      <c r="AL4162" s="183"/>
      <c r="AM4162" s="183"/>
      <c r="AN4162" s="131"/>
      <c r="AO4162" s="131"/>
      <c r="AP4162" s="131"/>
      <c r="AQ4162" s="131"/>
      <c r="AR4162" s="288"/>
      <c r="AS4162" s="259"/>
      <c r="AT4162" s="237" t="s">
        <v>5311</v>
      </c>
      <c r="AU4162" s="202" t="s">
        <v>5101</v>
      </c>
      <c r="AV4162" s="6" t="str">
        <f t="shared" si="93"/>
        <v/>
      </c>
    </row>
    <row r="4163" spans="1:48" ht="163.9" thickBot="1" x14ac:dyDescent="0.5">
      <c r="A4163" s="321" t="s">
        <v>5135</v>
      </c>
      <c r="B4163" s="322"/>
      <c r="C4163" s="314" t="s">
        <v>1</v>
      </c>
      <c r="D4163" s="314"/>
      <c r="E4163" s="314"/>
      <c r="F4163" s="314"/>
      <c r="G4163" s="102"/>
      <c r="H4163" s="102"/>
      <c r="R4163" s="122" t="s">
        <v>3428</v>
      </c>
      <c r="S4163" s="352" t="b">
        <v>0</v>
      </c>
      <c r="T4163" s="353"/>
      <c r="U4163" s="353"/>
      <c r="V4163" s="353"/>
      <c r="W4163" s="353"/>
      <c r="X4163" s="356"/>
      <c r="Y4163" s="149"/>
      <c r="Z4163" s="183"/>
      <c r="AA4163" s="183" t="str">
        <f>LEFT($A4163,FIND(" ",$A4163)-1)</f>
        <v>DCNIOServicesEngine</v>
      </c>
      <c r="AB4163" s="183" t="str">
        <f>MID($A4163,FIND("(",$A4163)+1,LEN($A4163)-FIND("(",$A4163)-1)</f>
        <v>1.0.0</v>
      </c>
      <c r="AC4163" s="101" t="str">
        <f>A4162</f>
        <v>Resource describing attributes of a DCN I/O Services Engine environment on an O-PAS DCN.
Additional properties and attributes will be added to this resource in O-PAS Version 3.</v>
      </c>
      <c r="AD4163" s="101" t="s">
        <v>5177</v>
      </c>
      <c r="AE4163" s="253" t="s">
        <v>5903</v>
      </c>
      <c r="AF4163" s="184" t="s">
        <v>4352</v>
      </c>
      <c r="AG4163" s="183" t="s">
        <v>4357</v>
      </c>
      <c r="AH4163" s="183" t="s">
        <v>4352</v>
      </c>
      <c r="AI4163" s="183" t="s">
        <v>5248</v>
      </c>
      <c r="AJ4163" s="183"/>
      <c r="AK4163" s="183"/>
      <c r="AL4163" s="183"/>
      <c r="AM4163" s="183"/>
      <c r="AN4163" s="131"/>
      <c r="AO4163" s="131"/>
      <c r="AP4163" s="131"/>
      <c r="AQ4163" s="131"/>
      <c r="AR4163" s="288"/>
      <c r="AS4163" s="259"/>
      <c r="AT4163" s="237" t="s">
        <v>5328</v>
      </c>
      <c r="AU4163" s="202" t="s">
        <v>5901</v>
      </c>
      <c r="AV4163" s="6" t="str">
        <f t="shared" si="93"/>
        <v/>
      </c>
    </row>
    <row r="4164" spans="1:48" ht="58.5" thickBot="1" x14ac:dyDescent="0.5">
      <c r="A4164" s="321"/>
      <c r="B4164" s="322"/>
      <c r="C4164" s="314" t="s">
        <v>2</v>
      </c>
      <c r="D4164" s="314"/>
      <c r="E4164" s="314" t="s">
        <v>3</v>
      </c>
      <c r="F4164" s="314"/>
      <c r="G4164" s="314" t="s">
        <v>2896</v>
      </c>
      <c r="H4164" s="314"/>
      <c r="R4164" s="115"/>
      <c r="S4164" s="115"/>
      <c r="T4164" s="115"/>
      <c r="U4164" s="115"/>
      <c r="V4164" s="115"/>
      <c r="W4164" s="115"/>
      <c r="X4164" s="115"/>
      <c r="Y4164" s="149"/>
      <c r="Z4164" s="183"/>
      <c r="AA4164" s="183"/>
      <c r="AB4164" s="183"/>
      <c r="AC4164" s="183"/>
      <c r="AD4164" s="183"/>
      <c r="AE4164" s="184"/>
      <c r="AF4164" s="184"/>
      <c r="AG4164" s="183"/>
      <c r="AH4164" s="183"/>
      <c r="AI4164" s="183"/>
      <c r="AJ4164" s="183"/>
      <c r="AK4164" s="183"/>
      <c r="AL4164" s="183"/>
      <c r="AM4164" s="8" t="str">
        <f>C4164</f>
        <v>OSM-Redfish</v>
      </c>
      <c r="AN4164" s="8" t="str">
        <f>E4164</f>
        <v>OSM-RedfishBMC</v>
      </c>
      <c r="AO4164" s="8" t="str">
        <f>G4164</f>
        <v>OSM-RedfishDCN</v>
      </c>
      <c r="AP4164" s="131"/>
      <c r="AQ4164" s="131"/>
      <c r="AR4164" s="288"/>
      <c r="AS4164" s="259"/>
      <c r="AT4164" s="237" t="s">
        <v>5311</v>
      </c>
      <c r="AV4164" s="6" t="str">
        <f t="shared" si="93"/>
        <v/>
      </c>
    </row>
    <row r="4165" spans="1:48" ht="58.5" thickBot="1" x14ac:dyDescent="0.5">
      <c r="A4165" s="46" t="s">
        <v>2377</v>
      </c>
      <c r="B4165" s="47"/>
      <c r="C4165" s="303"/>
      <c r="D4165" s="304"/>
      <c r="E4165" s="303"/>
      <c r="F4165" s="304"/>
      <c r="G4165" s="303"/>
      <c r="H4165" s="304"/>
      <c r="R4165" s="129"/>
      <c r="S4165" s="117"/>
      <c r="T4165" s="117"/>
      <c r="U4165" s="117"/>
      <c r="V4165" s="117"/>
      <c r="W4165" s="117"/>
      <c r="X4165" s="216"/>
      <c r="Y4165" s="118"/>
      <c r="Z4165" s="185"/>
      <c r="AA4165" s="185"/>
      <c r="AB4165" s="185"/>
      <c r="AC4165" s="185"/>
      <c r="AD4165" s="185"/>
      <c r="AE4165" s="186"/>
      <c r="AF4165" s="186"/>
      <c r="AG4165" s="185"/>
      <c r="AH4165" s="185"/>
      <c r="AI4165" s="185"/>
      <c r="AJ4165" s="185"/>
      <c r="AK4165" s="185"/>
      <c r="AL4165" s="185"/>
      <c r="AM4165" s="8" t="str">
        <f>IF(C4165&lt;&gt;"","CRQ-P5-"&amp;(AM$2+$AP4165*$AP$3),"")</f>
        <v/>
      </c>
      <c r="AN4165" s="8" t="str">
        <f>IF(E4165&lt;&gt;"","CRQ-P5-"&amp;(AN$2+$AP4165*$AP$3),"")</f>
        <v/>
      </c>
      <c r="AO4165" s="8" t="str">
        <f>IF(G4165&lt;&gt;"","CRQ-P5-"&amp;(AO$2+$AP4165*$AP$3),"")</f>
        <v/>
      </c>
      <c r="AP4165" s="117">
        <v>11</v>
      </c>
      <c r="AQ4165" s="117"/>
      <c r="AR4165" s="287"/>
      <c r="AS4165" s="258"/>
      <c r="AT4165" s="237" t="s">
        <v>5311</v>
      </c>
      <c r="AU4165" s="140" t="s">
        <v>5122</v>
      </c>
      <c r="AV4165" s="6" t="str">
        <f t="shared" si="93"/>
        <v/>
      </c>
    </row>
    <row r="4166" spans="1:48" ht="58.5" thickBot="1" x14ac:dyDescent="0.5">
      <c r="A4166" s="29" t="s">
        <v>3394</v>
      </c>
      <c r="B4166" s="9"/>
      <c r="C4166" s="305"/>
      <c r="D4166" s="306"/>
      <c r="E4166" s="305"/>
      <c r="F4166" s="306"/>
      <c r="G4166" s="305"/>
      <c r="H4166" s="306"/>
      <c r="L4166" s="18" t="s">
        <v>2336</v>
      </c>
      <c r="R4166" s="111" t="s">
        <v>3429</v>
      </c>
      <c r="S4166" s="111" t="s">
        <v>3430</v>
      </c>
      <c r="T4166" s="111" t="s">
        <v>3427</v>
      </c>
      <c r="U4166" s="111" t="s">
        <v>3431</v>
      </c>
      <c r="V4166" s="111" t="s">
        <v>3432</v>
      </c>
      <c r="W4166" s="111" t="s">
        <v>3433</v>
      </c>
      <c r="X4166" s="217" t="s">
        <v>3434</v>
      </c>
      <c r="Y4166" s="118" t="s">
        <v>3965</v>
      </c>
      <c r="Z4166" s="185"/>
      <c r="AA4166" s="185"/>
      <c r="AB4166" s="185"/>
      <c r="AC4166" s="185"/>
      <c r="AD4166" s="185"/>
      <c r="AE4166" s="186"/>
      <c r="AF4166" s="186"/>
      <c r="AG4166" s="185"/>
      <c r="AH4166" s="185"/>
      <c r="AI4166" s="185"/>
      <c r="AJ4166" s="185"/>
      <c r="AK4166" s="185"/>
      <c r="AL4166" s="185"/>
      <c r="AM4166" s="185"/>
      <c r="AN4166" s="117"/>
      <c r="AO4166" s="117"/>
      <c r="AP4166" s="117"/>
      <c r="AQ4166" s="117"/>
      <c r="AR4166" s="287"/>
      <c r="AS4166" s="258"/>
      <c r="AT4166" s="237" t="s">
        <v>5311</v>
      </c>
      <c r="AU4166" s="6"/>
      <c r="AV4166" s="6" t="str">
        <f t="shared" si="93"/>
        <v/>
      </c>
    </row>
    <row r="4167" spans="1:48" ht="15" customHeight="1" thickBot="1" x14ac:dyDescent="0.5">
      <c r="A4167" s="60" t="s">
        <v>4</v>
      </c>
      <c r="B4167" s="61" t="s">
        <v>5</v>
      </c>
      <c r="C4167" s="62" t="s">
        <v>6</v>
      </c>
      <c r="D4167" s="62" t="s">
        <v>7</v>
      </c>
      <c r="E4167" s="62" t="s">
        <v>6</v>
      </c>
      <c r="F4167" s="62" t="s">
        <v>7</v>
      </c>
      <c r="G4167" s="62" t="s">
        <v>6</v>
      </c>
      <c r="H4167" s="62" t="s">
        <v>7</v>
      </c>
      <c r="R4167" s="352" t="s">
        <v>4040</v>
      </c>
      <c r="S4167" s="353"/>
      <c r="T4167" s="353"/>
      <c r="U4167" s="353"/>
      <c r="V4167" s="353"/>
      <c r="W4167" s="353"/>
      <c r="X4167" s="357"/>
      <c r="Y4167" s="149"/>
      <c r="Z4167" s="183" t="s">
        <v>4347</v>
      </c>
      <c r="AA4167" s="183" t="s">
        <v>4343</v>
      </c>
      <c r="AB4167" s="183" t="s">
        <v>4172</v>
      </c>
      <c r="AC4167" s="183" t="s">
        <v>4340</v>
      </c>
      <c r="AD4167" s="183" t="s">
        <v>4339</v>
      </c>
      <c r="AE4167" s="184" t="s">
        <v>4341</v>
      </c>
      <c r="AF4167" s="184" t="s">
        <v>4342</v>
      </c>
      <c r="AG4167" s="183" t="s">
        <v>4353</v>
      </c>
      <c r="AH4167" s="183" t="s">
        <v>3429</v>
      </c>
      <c r="AI4167" s="183" t="s">
        <v>4356</v>
      </c>
      <c r="AJ4167" s="183" t="s">
        <v>4364</v>
      </c>
      <c r="AK4167" s="183" t="s">
        <v>4441</v>
      </c>
      <c r="AL4167" s="183" t="s">
        <v>694</v>
      </c>
      <c r="AM4167" s="183"/>
      <c r="AN4167" s="131"/>
      <c r="AO4167" s="131"/>
      <c r="AP4167" s="131"/>
      <c r="AQ4167" s="131"/>
      <c r="AR4167" s="288"/>
      <c r="AS4167" s="259"/>
      <c r="AT4167" s="237" t="s">
        <v>5311</v>
      </c>
      <c r="AV4167" s="6" t="str">
        <f t="shared" si="93"/>
        <v/>
      </c>
    </row>
    <row r="4168" spans="1:48" ht="116.65" thickBot="1" x14ac:dyDescent="0.5">
      <c r="A4168" s="36" t="s">
        <v>8</v>
      </c>
      <c r="B4168" s="3" t="s">
        <v>5162</v>
      </c>
      <c r="C4168" s="51"/>
      <c r="D4168" s="51"/>
      <c r="E4168" s="51"/>
      <c r="F4168" s="51"/>
      <c r="G4168" s="4" t="s">
        <v>13</v>
      </c>
      <c r="H4168" s="51"/>
      <c r="L4168" s="18" t="s">
        <v>2336</v>
      </c>
      <c r="AB4168" s="8" t="s">
        <v>4348</v>
      </c>
      <c r="AT4168" s="237" t="s">
        <v>5327</v>
      </c>
      <c r="AV4168" s="6" t="str">
        <f t="shared" si="93"/>
        <v/>
      </c>
    </row>
    <row r="4169" spans="1:48" ht="105" thickBot="1" x14ac:dyDescent="0.5">
      <c r="A4169" s="35" t="s">
        <v>5136</v>
      </c>
      <c r="B4169" s="3" t="s">
        <v>5161</v>
      </c>
      <c r="C4169" s="4"/>
      <c r="D4169" s="4"/>
      <c r="E4169" s="4"/>
      <c r="F4169" s="4"/>
      <c r="G4169" s="4" t="s">
        <v>13</v>
      </c>
      <c r="H4169" s="4"/>
      <c r="L4169" s="18" t="s">
        <v>2336</v>
      </c>
      <c r="AD4169" s="8" t="s">
        <v>5170</v>
      </c>
      <c r="AJ4169" s="8" t="s">
        <v>4357</v>
      </c>
      <c r="AT4169" s="237" t="s">
        <v>5329</v>
      </c>
      <c r="AV4169" s="6" t="str">
        <f t="shared" si="93"/>
        <v/>
      </c>
    </row>
    <row r="4170" spans="1:48" ht="105" thickBot="1" x14ac:dyDescent="0.5">
      <c r="A4170" s="35" t="s">
        <v>5137</v>
      </c>
      <c r="B4170" s="3" t="s">
        <v>5160</v>
      </c>
      <c r="C4170" s="4"/>
      <c r="D4170" s="4"/>
      <c r="E4170" s="4"/>
      <c r="F4170" s="4"/>
      <c r="G4170" s="4" t="s">
        <v>13</v>
      </c>
      <c r="H4170" s="4"/>
      <c r="L4170" s="18" t="s">
        <v>2336</v>
      </c>
      <c r="AD4170" s="8" t="s">
        <v>5171</v>
      </c>
      <c r="AJ4170" s="8" t="s">
        <v>4357</v>
      </c>
      <c r="AT4170" s="237" t="s">
        <v>5329</v>
      </c>
      <c r="AV4170" s="6" t="str">
        <f t="shared" si="93"/>
        <v/>
      </c>
    </row>
    <row r="4171" spans="1:48" ht="105" thickBot="1" x14ac:dyDescent="0.5">
      <c r="A4171" s="35" t="s">
        <v>5138</v>
      </c>
      <c r="B4171" s="3" t="s">
        <v>5163</v>
      </c>
      <c r="C4171" s="4"/>
      <c r="D4171" s="4"/>
      <c r="E4171" s="4"/>
      <c r="F4171" s="4"/>
      <c r="G4171" s="4" t="s">
        <v>13</v>
      </c>
      <c r="H4171" s="4"/>
      <c r="L4171" s="18" t="s">
        <v>2336</v>
      </c>
      <c r="AD4171" s="8" t="s">
        <v>5172</v>
      </c>
      <c r="AJ4171" s="8" t="s">
        <v>4357</v>
      </c>
      <c r="AT4171" s="237" t="s">
        <v>5329</v>
      </c>
      <c r="AV4171" s="6" t="str">
        <f t="shared" si="93"/>
        <v/>
      </c>
    </row>
    <row r="4172" spans="1:48" ht="70.900000000000006" thickBot="1" x14ac:dyDescent="0.5">
      <c r="A4172" s="35" t="s">
        <v>5139</v>
      </c>
      <c r="B4172" s="3" t="s">
        <v>5164</v>
      </c>
      <c r="C4172" s="4"/>
      <c r="D4172" s="4"/>
      <c r="E4172" s="4"/>
      <c r="F4172" s="4"/>
      <c r="G4172" s="4"/>
      <c r="H4172" s="4"/>
      <c r="L4172" s="18" t="s">
        <v>2336</v>
      </c>
      <c r="AD4172" s="8" t="s">
        <v>5188</v>
      </c>
      <c r="AJ4172" s="8" t="s">
        <v>4357</v>
      </c>
      <c r="AT4172" s="139" t="s">
        <v>5332</v>
      </c>
      <c r="AU4172" s="19" t="s">
        <v>5121</v>
      </c>
      <c r="AV4172" s="6" t="str">
        <f t="shared" si="93"/>
        <v/>
      </c>
    </row>
    <row r="4173" spans="1:48" ht="116.65" thickBot="1" x14ac:dyDescent="0.5">
      <c r="A4173" s="43" t="s">
        <v>2899</v>
      </c>
      <c r="B4173" s="22" t="s">
        <v>5165</v>
      </c>
      <c r="C4173" s="4"/>
      <c r="D4173" s="20"/>
      <c r="E4173" s="20"/>
      <c r="F4173" s="20"/>
      <c r="G4173" s="20" t="s">
        <v>10</v>
      </c>
      <c r="H4173" s="20"/>
      <c r="R4173" s="122" t="s">
        <v>3435</v>
      </c>
      <c r="S4173" s="114" t="s">
        <v>4</v>
      </c>
      <c r="T4173" s="114" t="s">
        <v>5189</v>
      </c>
      <c r="U4173" s="114" t="s">
        <v>3521</v>
      </c>
      <c r="V4173" s="114" t="s">
        <v>3530</v>
      </c>
      <c r="W4173" s="114" t="s">
        <v>3436</v>
      </c>
      <c r="X4173" s="114" t="s">
        <v>13</v>
      </c>
      <c r="Y4173" s="149"/>
      <c r="Z4173" s="183"/>
      <c r="AA4173" s="183"/>
      <c r="AB4173" s="183" t="s">
        <v>758</v>
      </c>
      <c r="AC4173" s="183" t="s">
        <v>6</v>
      </c>
      <c r="AD4173" s="183" t="s">
        <v>5173</v>
      </c>
      <c r="AE4173" s="184"/>
      <c r="AF4173" s="184"/>
      <c r="AG4173" s="183"/>
      <c r="AH4173" s="183"/>
      <c r="AI4173" s="183"/>
      <c r="AJ4173" s="183"/>
      <c r="AK4173" s="183"/>
      <c r="AL4173" s="183"/>
      <c r="AM4173" s="183"/>
      <c r="AN4173" s="131"/>
      <c r="AO4173" s="131"/>
      <c r="AP4173" s="131"/>
      <c r="AQ4173" s="131"/>
      <c r="AR4173" s="288"/>
      <c r="AS4173" s="259"/>
      <c r="AT4173" s="237" t="s">
        <v>5327</v>
      </c>
      <c r="AV4173" s="6" t="str">
        <f t="shared" si="93"/>
        <v>ERROR</v>
      </c>
    </row>
    <row r="4174" spans="1:48" ht="116.65" thickBot="1" x14ac:dyDescent="0.5">
      <c r="A4174" s="43" t="s">
        <v>4514</v>
      </c>
      <c r="B4174" s="22" t="s">
        <v>5166</v>
      </c>
      <c r="C4174" s="4"/>
      <c r="D4174" s="20"/>
      <c r="E4174" s="20"/>
      <c r="F4174" s="20"/>
      <c r="G4174" s="20" t="s">
        <v>10</v>
      </c>
      <c r="H4174" s="20"/>
      <c r="R4174" s="122" t="s">
        <v>3435</v>
      </c>
      <c r="S4174" s="114" t="s">
        <v>4</v>
      </c>
      <c r="T4174" s="114" t="s">
        <v>5190</v>
      </c>
      <c r="U4174" s="114" t="s">
        <v>3521</v>
      </c>
      <c r="V4174" s="114" t="s">
        <v>3530</v>
      </c>
      <c r="W4174" s="114" t="s">
        <v>3436</v>
      </c>
      <c r="X4174" s="114" t="s">
        <v>13</v>
      </c>
      <c r="Y4174" s="149"/>
      <c r="Z4174" s="183"/>
      <c r="AA4174" s="183"/>
      <c r="AB4174" s="183" t="s">
        <v>758</v>
      </c>
      <c r="AC4174" s="183" t="s">
        <v>6</v>
      </c>
      <c r="AD4174" s="183" t="s">
        <v>5174</v>
      </c>
      <c r="AE4174" s="184"/>
      <c r="AF4174" s="184"/>
      <c r="AG4174" s="183"/>
      <c r="AH4174" s="183"/>
      <c r="AI4174" s="183"/>
      <c r="AJ4174" s="183"/>
      <c r="AK4174" s="183"/>
      <c r="AL4174" s="183"/>
      <c r="AM4174" s="183"/>
      <c r="AN4174" s="131"/>
      <c r="AO4174" s="131"/>
      <c r="AP4174" s="131"/>
      <c r="AQ4174" s="131"/>
      <c r="AR4174" s="288"/>
      <c r="AS4174" s="259"/>
      <c r="AT4174" s="237" t="s">
        <v>5327</v>
      </c>
      <c r="AV4174" s="6" t="str">
        <f t="shared" si="93"/>
        <v>ERROR</v>
      </c>
    </row>
    <row r="4175" spans="1:48" ht="116.65" thickBot="1" x14ac:dyDescent="0.5">
      <c r="A4175" s="43" t="s">
        <v>1697</v>
      </c>
      <c r="B4175" s="22" t="s">
        <v>5167</v>
      </c>
      <c r="C4175" s="4"/>
      <c r="D4175" s="20"/>
      <c r="E4175" s="20"/>
      <c r="F4175" s="20"/>
      <c r="G4175" s="20" t="s">
        <v>10</v>
      </c>
      <c r="H4175" s="20"/>
      <c r="R4175" s="122" t="s">
        <v>3435</v>
      </c>
      <c r="S4175" s="114" t="s">
        <v>4</v>
      </c>
      <c r="T4175" s="114" t="s">
        <v>5191</v>
      </c>
      <c r="U4175" s="114" t="s">
        <v>3521</v>
      </c>
      <c r="V4175" s="114" t="s">
        <v>3530</v>
      </c>
      <c r="W4175" s="114" t="s">
        <v>3436</v>
      </c>
      <c r="X4175" s="114" t="s">
        <v>13</v>
      </c>
      <c r="Y4175" s="149"/>
      <c r="Z4175" s="183"/>
      <c r="AA4175" s="183"/>
      <c r="AB4175" s="183" t="s">
        <v>758</v>
      </c>
      <c r="AC4175" s="183" t="s">
        <v>6</v>
      </c>
      <c r="AD4175" s="183" t="s">
        <v>5175</v>
      </c>
      <c r="AE4175" s="184"/>
      <c r="AF4175" s="184"/>
      <c r="AG4175" s="183"/>
      <c r="AH4175" s="183"/>
      <c r="AI4175" s="183"/>
      <c r="AJ4175" s="183"/>
      <c r="AK4175" s="183"/>
      <c r="AL4175" s="183"/>
      <c r="AM4175" s="183"/>
      <c r="AN4175" s="131"/>
      <c r="AO4175" s="131"/>
      <c r="AP4175" s="131"/>
      <c r="AQ4175" s="131"/>
      <c r="AR4175" s="288"/>
      <c r="AS4175" s="259"/>
      <c r="AT4175" s="237" t="s">
        <v>5327</v>
      </c>
      <c r="AV4175" s="6" t="str">
        <f t="shared" si="93"/>
        <v>ERROR</v>
      </c>
    </row>
    <row r="4176" spans="1:48" ht="116.65" thickBot="1" x14ac:dyDescent="0.5">
      <c r="A4176" s="43" t="s">
        <v>5098</v>
      </c>
      <c r="B4176" s="22" t="s">
        <v>5168</v>
      </c>
      <c r="C4176" s="4"/>
      <c r="D4176" s="20"/>
      <c r="E4176" s="20"/>
      <c r="F4176" s="20"/>
      <c r="G4176" s="20" t="s">
        <v>10</v>
      </c>
      <c r="H4176" s="20"/>
      <c r="R4176" s="122" t="s">
        <v>3435</v>
      </c>
      <c r="S4176" s="114" t="s">
        <v>4</v>
      </c>
      <c r="T4176" s="114" t="s">
        <v>5192</v>
      </c>
      <c r="U4176" s="114" t="s">
        <v>3521</v>
      </c>
      <c r="V4176" s="114" t="s">
        <v>3530</v>
      </c>
      <c r="W4176" s="114" t="s">
        <v>3436</v>
      </c>
      <c r="X4176" s="114" t="s">
        <v>13</v>
      </c>
      <c r="Y4176" s="149"/>
      <c r="Z4176" s="183"/>
      <c r="AA4176" s="183"/>
      <c r="AB4176" s="183" t="s">
        <v>758</v>
      </c>
      <c r="AC4176" s="183" t="s">
        <v>6</v>
      </c>
      <c r="AD4176" s="183" t="s">
        <v>5176</v>
      </c>
      <c r="AE4176" s="184"/>
      <c r="AF4176" s="184"/>
      <c r="AG4176" s="183"/>
      <c r="AH4176" s="183"/>
      <c r="AI4176" s="183"/>
      <c r="AJ4176" s="183"/>
      <c r="AK4176" s="183"/>
      <c r="AL4176" s="183"/>
      <c r="AM4176" s="183"/>
      <c r="AN4176" s="131"/>
      <c r="AO4176" s="131"/>
      <c r="AP4176" s="131"/>
      <c r="AQ4176" s="131"/>
      <c r="AR4176" s="288"/>
      <c r="AS4176" s="259"/>
      <c r="AT4176" s="237" t="s">
        <v>5327</v>
      </c>
      <c r="AV4176" s="6" t="str">
        <f t="shared" si="93"/>
        <v>ERROR</v>
      </c>
    </row>
    <row r="4177" spans="1:48" ht="58.5" thickBot="1" x14ac:dyDescent="0.5">
      <c r="A4177" s="36" t="s">
        <v>753</v>
      </c>
      <c r="B4177" s="3" t="s">
        <v>60</v>
      </c>
      <c r="C4177" s="4"/>
      <c r="D4177" s="4"/>
      <c r="E4177" s="4"/>
      <c r="F4177" s="4"/>
      <c r="G4177" s="4"/>
      <c r="H4177" s="4"/>
      <c r="AT4177" s="237" t="s">
        <v>5311</v>
      </c>
      <c r="AU4177" s="8"/>
      <c r="AV4177" s="6" t="str">
        <f t="shared" ref="AV4177:AV4184" si="94">IF(A4177&lt;&gt;"",IF(T4177&lt;&gt;"",IF(LEFT(R4177,3)="Has",IF(TRIM(A4177)&lt;&gt;T4177,"ERROR","OK"),""),""),"")</f>
        <v/>
      </c>
    </row>
    <row r="4178" spans="1:48" ht="116.65" thickBot="1" x14ac:dyDescent="0.5">
      <c r="A4178" s="43" t="s">
        <v>145</v>
      </c>
      <c r="B4178" s="22" t="s">
        <v>5169</v>
      </c>
      <c r="C4178" s="4"/>
      <c r="D4178" s="20"/>
      <c r="E4178" s="20"/>
      <c r="F4178" s="20"/>
      <c r="G4178" s="20" t="s">
        <v>10</v>
      </c>
      <c r="H4178" s="20"/>
      <c r="R4178" s="122" t="s">
        <v>3435</v>
      </c>
      <c r="S4178" s="114" t="s">
        <v>3437</v>
      </c>
      <c r="T4178" s="114" t="s">
        <v>145</v>
      </c>
      <c r="U4178" s="114"/>
      <c r="V4178" s="114" t="s">
        <v>3441</v>
      </c>
      <c r="W4178" s="114" t="s">
        <v>3436</v>
      </c>
      <c r="X4178" s="114" t="s">
        <v>13</v>
      </c>
      <c r="Y4178" s="149"/>
      <c r="Z4178" s="183"/>
      <c r="AA4178" s="183"/>
      <c r="AB4178" s="183" t="s">
        <v>4359</v>
      </c>
      <c r="AC4178" s="183" t="s">
        <v>6</v>
      </c>
      <c r="AD4178" s="183" t="s">
        <v>4770</v>
      </c>
      <c r="AE4178" s="184"/>
      <c r="AF4178" s="184"/>
      <c r="AG4178" s="183"/>
      <c r="AH4178" s="183"/>
      <c r="AI4178" s="183"/>
      <c r="AJ4178" s="183"/>
      <c r="AK4178" s="183"/>
      <c r="AL4178" s="183"/>
      <c r="AM4178" s="183"/>
      <c r="AN4178" s="131"/>
      <c r="AO4178" s="131"/>
      <c r="AP4178" s="131"/>
      <c r="AQ4178" s="131"/>
      <c r="AR4178" s="288"/>
      <c r="AS4178" s="140" t="s">
        <v>5861</v>
      </c>
      <c r="AT4178" s="237" t="s">
        <v>5327</v>
      </c>
      <c r="AV4178" s="6" t="str">
        <f t="shared" si="94"/>
        <v>OK</v>
      </c>
    </row>
    <row r="4179" spans="1:48" ht="47.65" thickBot="1" x14ac:dyDescent="0.5">
      <c r="A4179" s="35" t="s">
        <v>5361</v>
      </c>
      <c r="B4179" s="3" t="s">
        <v>5352</v>
      </c>
      <c r="C4179" s="4"/>
      <c r="D4179" s="20"/>
      <c r="E4179" s="20"/>
      <c r="F4179" s="4"/>
      <c r="G4179" s="4" t="s">
        <v>10</v>
      </c>
      <c r="H4179" s="4"/>
      <c r="Q4179" s="131"/>
      <c r="R4179" s="131"/>
      <c r="S4179" s="131"/>
      <c r="T4179" s="131"/>
      <c r="U4179" s="131"/>
      <c r="V4179" s="131"/>
      <c r="W4179" s="131"/>
      <c r="X4179" s="131"/>
      <c r="AS4179" s="139" t="s">
        <v>5355</v>
      </c>
      <c r="AU4179" s="6"/>
      <c r="AV4179" s="6"/>
    </row>
    <row r="4180" spans="1:48" ht="82.5" thickBot="1" x14ac:dyDescent="0.5">
      <c r="A4180" s="35" t="s">
        <v>5360</v>
      </c>
      <c r="B4180" s="3" t="s">
        <v>5353</v>
      </c>
      <c r="C4180" s="4"/>
      <c r="D4180" s="20"/>
      <c r="E4180" s="20"/>
      <c r="F4180" s="4"/>
      <c r="G4180" s="4"/>
      <c r="H4180" s="4"/>
      <c r="Q4180" s="131"/>
      <c r="R4180" s="131"/>
      <c r="S4180" s="131"/>
      <c r="T4180" s="131"/>
      <c r="U4180" s="131"/>
      <c r="V4180" s="131"/>
      <c r="W4180" s="131"/>
      <c r="X4180" s="131"/>
      <c r="AS4180" s="139" t="s">
        <v>5356</v>
      </c>
      <c r="AU4180" s="6"/>
      <c r="AV4180" s="6"/>
    </row>
    <row r="4181" spans="1:48" ht="58.5" thickBot="1" x14ac:dyDescent="0.5">
      <c r="A4181" s="163" t="s">
        <v>33</v>
      </c>
      <c r="B4181" s="159" t="s">
        <v>3686</v>
      </c>
      <c r="C4181" s="160"/>
      <c r="D4181" s="161"/>
      <c r="E4181" s="161"/>
      <c r="F4181" s="161"/>
      <c r="G4181" s="160"/>
      <c r="H4181" s="161"/>
      <c r="I4181" s="162"/>
      <c r="J4181" s="162"/>
      <c r="K4181" s="162"/>
      <c r="L4181" s="162"/>
      <c r="M4181" s="146"/>
      <c r="AS4181" s="233" t="s">
        <v>5366</v>
      </c>
      <c r="AT4181" s="237" t="s">
        <v>5311</v>
      </c>
      <c r="AV4181" s="6" t="str">
        <f t="shared" si="94"/>
        <v/>
      </c>
    </row>
    <row r="4182" spans="1:48" ht="58.15" x14ac:dyDescent="0.45">
      <c r="A4182" s="33" t="s">
        <v>5140</v>
      </c>
      <c r="AT4182" s="237" t="s">
        <v>5311</v>
      </c>
      <c r="AV4182" s="6" t="str">
        <f t="shared" si="94"/>
        <v/>
      </c>
    </row>
    <row r="4183" spans="1:48" ht="70.5" x14ac:dyDescent="0.45">
      <c r="A4183" s="34" t="s">
        <v>5903</v>
      </c>
      <c r="AT4183" s="237" t="s">
        <v>5311</v>
      </c>
      <c r="AU4183" s="202" t="s">
        <v>5894</v>
      </c>
      <c r="AV4183" s="6" t="str">
        <f t="shared" si="94"/>
        <v/>
      </c>
    </row>
    <row r="4184" spans="1:48" s="79" customFormat="1" ht="14.65" thickBot="1" x14ac:dyDescent="0.5">
      <c r="A4184" s="75"/>
      <c r="B4184" s="76"/>
      <c r="C4184" s="77"/>
      <c r="D4184" s="77"/>
      <c r="E4184" s="77"/>
      <c r="F4184" s="77"/>
      <c r="G4184" s="77"/>
      <c r="H4184" s="77"/>
      <c r="I4184" s="77"/>
      <c r="J4184" s="77"/>
      <c r="K4184" s="77"/>
      <c r="L4184" s="77"/>
      <c r="M4184" s="148"/>
      <c r="N4184" s="78"/>
      <c r="O4184" s="78"/>
      <c r="P4184" s="78"/>
      <c r="Q4184" s="78"/>
      <c r="R4184" s="78"/>
      <c r="S4184" s="78"/>
      <c r="T4184" s="78"/>
      <c r="U4184" s="78"/>
      <c r="V4184" s="78"/>
      <c r="W4184" s="78"/>
      <c r="X4184" s="78"/>
      <c r="Y4184" s="148"/>
      <c r="Z4184" s="78"/>
      <c r="AA4184" s="78"/>
      <c r="AB4184" s="78"/>
      <c r="AC4184" s="78"/>
      <c r="AD4184" s="78"/>
      <c r="AE4184" s="156"/>
      <c r="AF4184" s="156"/>
      <c r="AG4184" s="78"/>
      <c r="AH4184" s="78"/>
      <c r="AI4184" s="78"/>
      <c r="AJ4184" s="78"/>
      <c r="AK4184" s="78"/>
      <c r="AL4184" s="78"/>
      <c r="AM4184" s="78"/>
      <c r="AN4184" s="78"/>
      <c r="AO4184" s="78"/>
      <c r="AP4184" s="78"/>
      <c r="AQ4184" s="78"/>
      <c r="AR4184" s="286"/>
      <c r="AS4184" s="78"/>
      <c r="AT4184" s="78"/>
      <c r="AU4184" s="8"/>
      <c r="AV4184" s="6" t="str">
        <f t="shared" si="94"/>
        <v/>
      </c>
    </row>
    <row r="4185" spans="1:48" ht="23.65" thickBot="1" x14ac:dyDescent="0.5">
      <c r="A4185" s="39" t="s">
        <v>4270</v>
      </c>
      <c r="R4185" s="111" t="s">
        <v>3426</v>
      </c>
      <c r="S4185" s="349" t="s">
        <v>823</v>
      </c>
      <c r="T4185" s="350"/>
      <c r="U4185" s="350"/>
      <c r="V4185" s="350"/>
      <c r="W4185" s="350"/>
      <c r="X4185" s="355"/>
      <c r="Y4185" s="118"/>
      <c r="Z4185" s="185"/>
      <c r="AA4185" s="185"/>
      <c r="AB4185" s="185"/>
      <c r="AC4185" s="185"/>
      <c r="AD4185" s="185"/>
      <c r="AE4185" s="186"/>
      <c r="AF4185" s="186"/>
      <c r="AG4185" s="185"/>
      <c r="AH4185" s="185"/>
      <c r="AI4185" s="185"/>
      <c r="AJ4185" s="185"/>
      <c r="AK4185" s="185"/>
      <c r="AL4185" s="185"/>
      <c r="AM4185" s="185"/>
      <c r="AN4185" s="117"/>
      <c r="AO4185" s="117"/>
      <c r="AP4185" s="117"/>
      <c r="AQ4185" s="117"/>
      <c r="AR4185" s="287"/>
      <c r="AS4185" s="258"/>
      <c r="AT4185" s="185"/>
      <c r="AU4185" s="140" t="s">
        <v>5080</v>
      </c>
      <c r="AV4185" s="6" t="str">
        <f t="shared" si="90"/>
        <v/>
      </c>
    </row>
    <row r="4186" spans="1:48" ht="23.65" thickBot="1" x14ac:dyDescent="0.5">
      <c r="A4186" s="40" t="s">
        <v>4326</v>
      </c>
      <c r="R4186" s="122" t="s">
        <v>3427</v>
      </c>
      <c r="S4186" s="352" t="s">
        <v>4271</v>
      </c>
      <c r="T4186" s="353"/>
      <c r="U4186" s="353"/>
      <c r="V4186" s="353"/>
      <c r="W4186" s="353"/>
      <c r="X4186" s="356"/>
      <c r="Y4186" s="149"/>
      <c r="Z4186" s="183" t="s">
        <v>4347</v>
      </c>
      <c r="AA4186" s="183" t="s">
        <v>2322</v>
      </c>
      <c r="AB4186" s="183" t="s">
        <v>1697</v>
      </c>
      <c r="AC4186" s="183" t="s">
        <v>5</v>
      </c>
      <c r="AD4186" s="183" t="s">
        <v>4339</v>
      </c>
      <c r="AE4186" s="184" t="s">
        <v>4338</v>
      </c>
      <c r="AF4186" s="184" t="s">
        <v>4350</v>
      </c>
      <c r="AG4186" s="183" t="s">
        <v>1695</v>
      </c>
      <c r="AH4186" s="183" t="s">
        <v>4351</v>
      </c>
      <c r="AI4186" s="8" t="s">
        <v>4455</v>
      </c>
      <c r="AJ4186" s="183" t="s">
        <v>5051</v>
      </c>
      <c r="AK4186" s="183"/>
      <c r="AL4186" s="183"/>
      <c r="AM4186" s="183"/>
      <c r="AN4186" s="131"/>
      <c r="AO4186" s="131"/>
      <c r="AP4186" s="131"/>
      <c r="AQ4186" s="131"/>
      <c r="AR4186" s="288"/>
      <c r="AS4186" s="259"/>
      <c r="AT4186" s="183"/>
      <c r="AU4186" s="140" t="s">
        <v>5080</v>
      </c>
      <c r="AV4186" s="6" t="str">
        <f t="shared" si="90"/>
        <v/>
      </c>
    </row>
    <row r="4187" spans="1:48" ht="139.9" thickBot="1" x14ac:dyDescent="0.5">
      <c r="A4187" s="321" t="s">
        <v>4371</v>
      </c>
      <c r="B4187" s="322"/>
      <c r="C4187" s="314" t="s">
        <v>1</v>
      </c>
      <c r="D4187" s="314"/>
      <c r="E4187" s="314"/>
      <c r="F4187" s="314"/>
      <c r="G4187" s="102"/>
      <c r="H4187" s="102"/>
      <c r="R4187" s="122" t="s">
        <v>3428</v>
      </c>
      <c r="S4187" s="352" t="b">
        <v>0</v>
      </c>
      <c r="T4187" s="353"/>
      <c r="U4187" s="353"/>
      <c r="V4187" s="353"/>
      <c r="W4187" s="353"/>
      <c r="X4187" s="356"/>
      <c r="Y4187" s="149"/>
      <c r="Z4187" s="183"/>
      <c r="AA4187" s="183" t="str">
        <f>LEFT($A4187,FIND(" ",$A4187)-1)</f>
        <v>DCNExecutionEngineMetrics</v>
      </c>
      <c r="AB4187" s="183" t="str">
        <f>MID($A4187,FIND("(",$A4187)+1,LEN($A4187)-FIND("(",$A4187)-1)</f>
        <v>1.0.0</v>
      </c>
      <c r="AC4187" s="101" t="str">
        <f>A4186</f>
        <v>Resource describing metrics for an Execution Engine environment on an O-PAS DCN.</v>
      </c>
      <c r="AD4187" s="101" t="s">
        <v>5028</v>
      </c>
      <c r="AE4187" s="253" t="s">
        <v>5904</v>
      </c>
      <c r="AF4187" s="184" t="s">
        <v>4352</v>
      </c>
      <c r="AG4187" s="183" t="s">
        <v>4357</v>
      </c>
      <c r="AH4187" s="183" t="s">
        <v>4352</v>
      </c>
      <c r="AI4187" s="183" t="s">
        <v>5248</v>
      </c>
      <c r="AJ4187" s="183"/>
      <c r="AK4187" s="183"/>
      <c r="AL4187" s="183"/>
      <c r="AM4187" s="183"/>
      <c r="AN4187" s="131"/>
      <c r="AO4187" s="131"/>
      <c r="AP4187" s="131"/>
      <c r="AQ4187" s="131"/>
      <c r="AR4187" s="288"/>
      <c r="AS4187" s="259"/>
      <c r="AT4187" s="183"/>
      <c r="AU4187" s="140" t="s">
        <v>5905</v>
      </c>
      <c r="AV4187" s="6" t="str">
        <f t="shared" si="90"/>
        <v/>
      </c>
    </row>
    <row r="4188" spans="1:48" ht="24.4" thickBot="1" x14ac:dyDescent="0.5">
      <c r="A4188" s="321"/>
      <c r="B4188" s="322"/>
      <c r="C4188" s="314" t="s">
        <v>2</v>
      </c>
      <c r="D4188" s="314"/>
      <c r="E4188" s="314" t="s">
        <v>3</v>
      </c>
      <c r="F4188" s="314"/>
      <c r="G4188" s="314" t="s">
        <v>2896</v>
      </c>
      <c r="H4188" s="314"/>
      <c r="R4188" s="115"/>
      <c r="S4188" s="115"/>
      <c r="T4188" s="115"/>
      <c r="U4188" s="115"/>
      <c r="V4188" s="115"/>
      <c r="W4188" s="115"/>
      <c r="X4188" s="115"/>
      <c r="Y4188" s="149"/>
      <c r="Z4188" s="183"/>
      <c r="AA4188" s="183"/>
      <c r="AB4188" s="183"/>
      <c r="AC4188" s="183"/>
      <c r="AD4188" s="183"/>
      <c r="AE4188" s="184"/>
      <c r="AF4188" s="184"/>
      <c r="AG4188" s="183"/>
      <c r="AH4188" s="183"/>
      <c r="AI4188" s="183"/>
      <c r="AJ4188" s="183"/>
      <c r="AK4188" s="183"/>
      <c r="AL4188" s="183"/>
      <c r="AM4188" s="8" t="str">
        <f>C4188</f>
        <v>OSM-Redfish</v>
      </c>
      <c r="AN4188" s="8" t="str">
        <f>E4188</f>
        <v>OSM-RedfishBMC</v>
      </c>
      <c r="AO4188" s="8" t="str">
        <f>G4188</f>
        <v>OSM-RedfishDCN</v>
      </c>
      <c r="AP4188" s="131"/>
      <c r="AQ4188" s="131"/>
      <c r="AR4188" s="288"/>
      <c r="AS4188" s="259"/>
      <c r="AT4188" s="183"/>
      <c r="AV4188" s="6" t="str">
        <f t="shared" si="90"/>
        <v/>
      </c>
    </row>
    <row r="4189" spans="1:48" ht="23.65" thickBot="1" x14ac:dyDescent="0.5">
      <c r="A4189" s="46" t="s">
        <v>2377</v>
      </c>
      <c r="B4189" s="47"/>
      <c r="C4189" s="303"/>
      <c r="D4189" s="304"/>
      <c r="E4189" s="303"/>
      <c r="F4189" s="304"/>
      <c r="G4189" s="303"/>
      <c r="H4189" s="304"/>
      <c r="R4189" s="129"/>
      <c r="S4189" s="117"/>
      <c r="T4189" s="117"/>
      <c r="U4189" s="117"/>
      <c r="V4189" s="117"/>
      <c r="W4189" s="117"/>
      <c r="X4189" s="216"/>
      <c r="Y4189" s="118"/>
      <c r="Z4189" s="185"/>
      <c r="AA4189" s="185"/>
      <c r="AB4189" s="185"/>
      <c r="AC4189" s="185"/>
      <c r="AD4189" s="185"/>
      <c r="AE4189" s="186"/>
      <c r="AF4189" s="186"/>
      <c r="AG4189" s="185"/>
      <c r="AH4189" s="185"/>
      <c r="AI4189" s="185"/>
      <c r="AJ4189" s="185"/>
      <c r="AK4189" s="185"/>
      <c r="AL4189" s="185"/>
      <c r="AM4189" s="8" t="str">
        <f>IF(C4189&lt;&gt;"","CRQ-P5-"&amp;(AM$2+$AP4189*$AP$3),"")</f>
        <v/>
      </c>
      <c r="AN4189" s="8" t="str">
        <f>IF(E4189&lt;&gt;"","CRQ-P5-"&amp;(AN$2+$AP4189*$AP$3),"")</f>
        <v/>
      </c>
      <c r="AO4189" s="8" t="str">
        <f>IF(G4189&lt;&gt;"","CRQ-P5-"&amp;(AO$2+$AP4189*$AP$3),"")</f>
        <v/>
      </c>
      <c r="AP4189" s="117">
        <v>12</v>
      </c>
      <c r="AQ4189" s="117"/>
      <c r="AR4189" s="287"/>
      <c r="AS4189" s="258"/>
      <c r="AT4189" s="185"/>
      <c r="AU4189" s="140" t="s">
        <v>5080</v>
      </c>
      <c r="AV4189" s="6" t="str">
        <f t="shared" si="90"/>
        <v/>
      </c>
    </row>
    <row r="4190" spans="1:48" ht="23.65" thickBot="1" x14ac:dyDescent="0.5">
      <c r="A4190" s="29" t="s">
        <v>3394</v>
      </c>
      <c r="B4190" s="9"/>
      <c r="C4190" s="305"/>
      <c r="D4190" s="306"/>
      <c r="E4190" s="305"/>
      <c r="F4190" s="306"/>
      <c r="G4190" s="305"/>
      <c r="H4190" s="306"/>
      <c r="R4190" s="111" t="s">
        <v>3429</v>
      </c>
      <c r="S4190" s="111" t="s">
        <v>3430</v>
      </c>
      <c r="T4190" s="111" t="s">
        <v>3427</v>
      </c>
      <c r="U4190" s="111" t="s">
        <v>3431</v>
      </c>
      <c r="V4190" s="111" t="s">
        <v>3432</v>
      </c>
      <c r="W4190" s="111" t="s">
        <v>3433</v>
      </c>
      <c r="X4190" s="217" t="s">
        <v>3434</v>
      </c>
      <c r="Y4190" s="118" t="s">
        <v>3965</v>
      </c>
      <c r="Z4190" s="185"/>
      <c r="AA4190" s="185"/>
      <c r="AB4190" s="185"/>
      <c r="AC4190" s="185"/>
      <c r="AD4190" s="185"/>
      <c r="AE4190" s="186"/>
      <c r="AF4190" s="186"/>
      <c r="AG4190" s="185"/>
      <c r="AH4190" s="185"/>
      <c r="AI4190" s="185"/>
      <c r="AJ4190" s="185"/>
      <c r="AK4190" s="185"/>
      <c r="AL4190" s="185"/>
      <c r="AM4190" s="185"/>
      <c r="AN4190" s="117"/>
      <c r="AO4190" s="117"/>
      <c r="AP4190" s="117"/>
      <c r="AQ4190" s="117"/>
      <c r="AR4190" s="287"/>
      <c r="AS4190" s="258"/>
      <c r="AT4190" s="185"/>
      <c r="AU4190" s="140" t="s">
        <v>5080</v>
      </c>
      <c r="AV4190" s="6" t="str">
        <f t="shared" si="90"/>
        <v/>
      </c>
    </row>
    <row r="4191" spans="1:48" ht="15" customHeight="1" thickBot="1" x14ac:dyDescent="0.5">
      <c r="A4191" s="60" t="s">
        <v>4</v>
      </c>
      <c r="B4191" s="61" t="s">
        <v>5</v>
      </c>
      <c r="C4191" s="62" t="s">
        <v>6</v>
      </c>
      <c r="D4191" s="62" t="s">
        <v>7</v>
      </c>
      <c r="E4191" s="62" t="s">
        <v>6</v>
      </c>
      <c r="F4191" s="62" t="s">
        <v>7</v>
      </c>
      <c r="G4191" s="62" t="s">
        <v>6</v>
      </c>
      <c r="H4191" s="62" t="s">
        <v>7</v>
      </c>
      <c r="R4191" s="352" t="s">
        <v>4040</v>
      </c>
      <c r="S4191" s="353"/>
      <c r="T4191" s="353"/>
      <c r="U4191" s="353"/>
      <c r="V4191" s="353"/>
      <c r="W4191" s="353"/>
      <c r="X4191" s="357"/>
      <c r="Y4191" s="149"/>
      <c r="Z4191" s="183" t="s">
        <v>4347</v>
      </c>
      <c r="AA4191" s="183" t="s">
        <v>4343</v>
      </c>
      <c r="AB4191" s="183" t="s">
        <v>4172</v>
      </c>
      <c r="AC4191" s="183" t="s">
        <v>4340</v>
      </c>
      <c r="AD4191" s="183" t="s">
        <v>4339</v>
      </c>
      <c r="AE4191" s="184" t="s">
        <v>4341</v>
      </c>
      <c r="AF4191" s="184" t="s">
        <v>4342</v>
      </c>
      <c r="AG4191" s="183" t="s">
        <v>4353</v>
      </c>
      <c r="AH4191" s="183" t="s">
        <v>3429</v>
      </c>
      <c r="AI4191" s="183" t="s">
        <v>4356</v>
      </c>
      <c r="AJ4191" s="183" t="s">
        <v>4364</v>
      </c>
      <c r="AK4191" s="183" t="s">
        <v>4441</v>
      </c>
      <c r="AL4191" s="183" t="s">
        <v>694</v>
      </c>
      <c r="AM4191" s="183"/>
      <c r="AN4191" s="131"/>
      <c r="AO4191" s="131"/>
      <c r="AP4191" s="131"/>
      <c r="AQ4191" s="131"/>
      <c r="AR4191" s="288"/>
      <c r="AS4191" s="259"/>
      <c r="AT4191" s="183"/>
      <c r="AV4191" s="6" t="str">
        <f t="shared" si="90"/>
        <v/>
      </c>
    </row>
    <row r="4192" spans="1:48" ht="23.65" thickBot="1" x14ac:dyDescent="0.5">
      <c r="A4192" s="228" t="s">
        <v>8</v>
      </c>
      <c r="B4192" s="173" t="s">
        <v>4272</v>
      </c>
      <c r="C4192" s="229"/>
      <c r="D4192" s="229"/>
      <c r="E4192" s="229"/>
      <c r="F4192" s="229"/>
      <c r="G4192" s="229"/>
      <c r="H4192" s="229"/>
      <c r="L4192" s="18" t="s">
        <v>2336</v>
      </c>
      <c r="AB4192" s="8" t="s">
        <v>4348</v>
      </c>
      <c r="AT4192" s="189" t="s">
        <v>5325</v>
      </c>
      <c r="AV4192" s="6" t="str">
        <f t="shared" si="90"/>
        <v/>
      </c>
    </row>
    <row r="4193" spans="1:48" ht="58.5" thickBot="1" x14ac:dyDescent="0.5">
      <c r="A4193" s="167" t="s">
        <v>577</v>
      </c>
      <c r="B4193" s="168" t="s">
        <v>2724</v>
      </c>
      <c r="C4193" s="169"/>
      <c r="D4193" s="170"/>
      <c r="E4193" s="170"/>
      <c r="F4193" s="170"/>
      <c r="G4193" s="169" t="s">
        <v>10</v>
      </c>
      <c r="H4193" s="170" t="s">
        <v>10</v>
      </c>
      <c r="R4193" s="122" t="s">
        <v>3529</v>
      </c>
      <c r="S4193" s="114" t="s">
        <v>4</v>
      </c>
      <c r="T4193" s="114" t="s">
        <v>577</v>
      </c>
      <c r="U4193" s="114" t="s">
        <v>3522</v>
      </c>
      <c r="V4193" s="114" t="s">
        <v>3530</v>
      </c>
      <c r="W4193" s="114" t="s">
        <v>3436</v>
      </c>
      <c r="X4193" s="114" t="s">
        <v>13</v>
      </c>
      <c r="Y4193" s="149"/>
      <c r="Z4193" s="183"/>
      <c r="AA4193" s="183"/>
      <c r="AB4193" s="183" t="s">
        <v>4344</v>
      </c>
      <c r="AC4193" s="183" t="s">
        <v>4346</v>
      </c>
      <c r="AD4193" s="183" t="s">
        <v>4939</v>
      </c>
      <c r="AE4193" s="184"/>
      <c r="AF4193" s="184"/>
      <c r="AG4193" s="183"/>
      <c r="AH4193" s="183"/>
      <c r="AI4193" s="183"/>
      <c r="AJ4193" s="183"/>
      <c r="AK4193" s="183"/>
      <c r="AL4193" s="183"/>
      <c r="AM4193" s="183"/>
      <c r="AN4193" s="131"/>
      <c r="AO4193" s="131"/>
      <c r="AP4193" s="131"/>
      <c r="AQ4193" s="131"/>
      <c r="AR4193" s="288"/>
      <c r="AS4193" s="259"/>
      <c r="AT4193" s="189" t="s">
        <v>5325</v>
      </c>
      <c r="AU4193" s="140" t="s">
        <v>5080</v>
      </c>
      <c r="AV4193" s="6" t="str">
        <f t="shared" si="90"/>
        <v>OK</v>
      </c>
    </row>
    <row r="4194" spans="1:48" ht="46.9" thickBot="1" x14ac:dyDescent="0.5">
      <c r="A4194" s="167" t="s">
        <v>2814</v>
      </c>
      <c r="B4194" s="168" t="s">
        <v>3643</v>
      </c>
      <c r="C4194" s="169"/>
      <c r="D4194" s="170"/>
      <c r="E4194" s="170"/>
      <c r="F4194" s="170"/>
      <c r="G4194" s="169" t="s">
        <v>10</v>
      </c>
      <c r="H4194" s="170"/>
      <c r="R4194" s="122" t="s">
        <v>3435</v>
      </c>
      <c r="S4194" s="114" t="s">
        <v>3443</v>
      </c>
      <c r="T4194" s="114" t="s">
        <v>2814</v>
      </c>
      <c r="U4194" s="114" t="s">
        <v>3521</v>
      </c>
      <c r="V4194" s="114" t="s">
        <v>3531</v>
      </c>
      <c r="W4194" s="114" t="s">
        <v>3436</v>
      </c>
      <c r="X4194" s="114" t="s">
        <v>13</v>
      </c>
      <c r="Y4194" s="149"/>
      <c r="Z4194" s="183"/>
      <c r="AA4194" s="183"/>
      <c r="AB4194" s="183" t="s">
        <v>4493</v>
      </c>
      <c r="AC4194" s="183" t="s">
        <v>6</v>
      </c>
      <c r="AD4194" s="183" t="s">
        <v>4940</v>
      </c>
      <c r="AE4194" s="184"/>
      <c r="AF4194" s="184"/>
      <c r="AG4194" s="183"/>
      <c r="AH4194" s="183"/>
      <c r="AI4194" s="183"/>
      <c r="AJ4194" s="183"/>
      <c r="AK4194" s="183"/>
      <c r="AL4194" s="183"/>
      <c r="AM4194" s="183"/>
      <c r="AN4194" s="131"/>
      <c r="AO4194" s="131"/>
      <c r="AP4194" s="131"/>
      <c r="AQ4194" s="131"/>
      <c r="AR4194" s="288"/>
      <c r="AS4194" s="259"/>
      <c r="AT4194" s="189" t="s">
        <v>5325</v>
      </c>
      <c r="AU4194" s="140" t="s">
        <v>5080</v>
      </c>
      <c r="AV4194" s="6" t="str">
        <f t="shared" si="90"/>
        <v>OK</v>
      </c>
    </row>
    <row r="4195" spans="1:48" ht="105" thickBot="1" x14ac:dyDescent="0.5">
      <c r="A4195" s="230" t="s">
        <v>4274</v>
      </c>
      <c r="B4195" s="231" t="s">
        <v>4273</v>
      </c>
      <c r="C4195" s="170"/>
      <c r="D4195" s="170"/>
      <c r="E4195" s="170"/>
      <c r="F4195" s="170"/>
      <c r="G4195" s="170" t="s">
        <v>10</v>
      </c>
      <c r="H4195" s="170"/>
      <c r="R4195" s="122" t="s">
        <v>3435</v>
      </c>
      <c r="S4195" s="114" t="s">
        <v>3443</v>
      </c>
      <c r="T4195" s="114" t="s">
        <v>4274</v>
      </c>
      <c r="U4195" s="114" t="s">
        <v>3521</v>
      </c>
      <c r="V4195" s="114" t="s">
        <v>3531</v>
      </c>
      <c r="W4195" s="114" t="s">
        <v>3436</v>
      </c>
      <c r="X4195" s="114" t="s">
        <v>13</v>
      </c>
      <c r="Y4195" s="149"/>
      <c r="Z4195" s="183"/>
      <c r="AA4195" s="183"/>
      <c r="AB4195" s="183" t="s">
        <v>758</v>
      </c>
      <c r="AC4195" s="183" t="s">
        <v>6</v>
      </c>
      <c r="AD4195" s="183" t="s">
        <v>4941</v>
      </c>
      <c r="AE4195" s="184"/>
      <c r="AF4195" s="184"/>
      <c r="AG4195" s="183"/>
      <c r="AH4195" s="183"/>
      <c r="AI4195" s="183"/>
      <c r="AJ4195" s="183"/>
      <c r="AK4195" s="183"/>
      <c r="AL4195" s="183"/>
      <c r="AM4195" s="183"/>
      <c r="AN4195" s="131"/>
      <c r="AO4195" s="131"/>
      <c r="AP4195" s="131"/>
      <c r="AQ4195" s="131"/>
      <c r="AR4195" s="288"/>
      <c r="AS4195" s="259"/>
      <c r="AT4195" s="189" t="s">
        <v>5325</v>
      </c>
      <c r="AV4195" s="6" t="str">
        <f t="shared" si="90"/>
        <v>OK</v>
      </c>
    </row>
    <row r="4196" spans="1:48" ht="70.150000000000006" thickBot="1" x14ac:dyDescent="0.5">
      <c r="A4196" s="230" t="s">
        <v>2565</v>
      </c>
      <c r="B4196" s="231" t="s">
        <v>4943</v>
      </c>
      <c r="C4196" s="170"/>
      <c r="D4196" s="170"/>
      <c r="E4196" s="170"/>
      <c r="F4196" s="170"/>
      <c r="G4196" s="170" t="s">
        <v>10</v>
      </c>
      <c r="H4196" s="170"/>
      <c r="R4196" s="122" t="s">
        <v>3435</v>
      </c>
      <c r="S4196" s="114" t="s">
        <v>3443</v>
      </c>
      <c r="T4196" s="114" t="s">
        <v>2565</v>
      </c>
      <c r="U4196" s="114" t="s">
        <v>3521</v>
      </c>
      <c r="V4196" s="114" t="s">
        <v>3531</v>
      </c>
      <c r="W4196" s="114" t="s">
        <v>3436</v>
      </c>
      <c r="X4196" s="114" t="s">
        <v>13</v>
      </c>
      <c r="Y4196" s="149"/>
      <c r="Z4196" s="183"/>
      <c r="AA4196" s="183"/>
      <c r="AB4196" s="183" t="s">
        <v>4950</v>
      </c>
      <c r="AC4196" s="183" t="s">
        <v>6</v>
      </c>
      <c r="AD4196" s="183" t="s">
        <v>4942</v>
      </c>
      <c r="AE4196" s="184"/>
      <c r="AF4196" s="184"/>
      <c r="AG4196" s="183"/>
      <c r="AH4196" s="183"/>
      <c r="AI4196" s="183"/>
      <c r="AJ4196" s="183"/>
      <c r="AK4196" s="183"/>
      <c r="AL4196" s="183"/>
      <c r="AM4196" s="183"/>
      <c r="AN4196" s="131"/>
      <c r="AO4196" s="131"/>
      <c r="AP4196" s="131"/>
      <c r="AQ4196" s="131"/>
      <c r="AR4196" s="288"/>
      <c r="AS4196" s="259"/>
      <c r="AT4196" s="189" t="s">
        <v>5325</v>
      </c>
      <c r="AU4196" s="140" t="s">
        <v>5080</v>
      </c>
      <c r="AV4196" s="6" t="str">
        <f t="shared" si="90"/>
        <v>OK</v>
      </c>
    </row>
    <row r="4197" spans="1:48" ht="58.5" thickBot="1" x14ac:dyDescent="0.5">
      <c r="A4197" s="230" t="s">
        <v>3352</v>
      </c>
      <c r="B4197" s="231" t="s">
        <v>3754</v>
      </c>
      <c r="C4197" s="170"/>
      <c r="D4197" s="170"/>
      <c r="E4197" s="170"/>
      <c r="F4197" s="170"/>
      <c r="G4197" s="170" t="s">
        <v>13</v>
      </c>
      <c r="H4197" s="170"/>
      <c r="R4197" s="122" t="s">
        <v>3435</v>
      </c>
      <c r="S4197" s="114" t="s">
        <v>3443</v>
      </c>
      <c r="T4197" s="114" t="s">
        <v>3352</v>
      </c>
      <c r="U4197" s="114" t="s">
        <v>3525</v>
      </c>
      <c r="V4197" s="114"/>
      <c r="W4197" s="114" t="s">
        <v>3436</v>
      </c>
      <c r="X4197" s="114" t="s">
        <v>13</v>
      </c>
      <c r="Y4197" s="149"/>
      <c r="Z4197" s="183"/>
      <c r="AA4197" s="183"/>
      <c r="AB4197" s="183" t="s">
        <v>4345</v>
      </c>
      <c r="AC4197" s="183" t="s">
        <v>6</v>
      </c>
      <c r="AD4197" s="183" t="s">
        <v>4958</v>
      </c>
      <c r="AE4197" s="184"/>
      <c r="AF4197" s="184"/>
      <c r="AG4197" s="183"/>
      <c r="AH4197" s="183"/>
      <c r="AI4197" s="183"/>
      <c r="AJ4197" s="183"/>
      <c r="AK4197" s="183"/>
      <c r="AL4197" s="183" t="s">
        <v>4500</v>
      </c>
      <c r="AM4197" s="183"/>
      <c r="AN4197" s="131"/>
      <c r="AO4197" s="131"/>
      <c r="AP4197" s="131"/>
      <c r="AQ4197" s="131"/>
      <c r="AR4197" s="288"/>
      <c r="AS4197" s="259"/>
      <c r="AT4197" s="189" t="s">
        <v>5325</v>
      </c>
      <c r="AU4197" s="202" t="s">
        <v>5078</v>
      </c>
      <c r="AV4197" s="6" t="str">
        <f t="shared" si="90"/>
        <v>OK</v>
      </c>
    </row>
    <row r="4198" spans="1:48" ht="70.150000000000006" thickBot="1" x14ac:dyDescent="0.5">
      <c r="A4198" s="230" t="s">
        <v>3353</v>
      </c>
      <c r="B4198" s="231" t="s">
        <v>3755</v>
      </c>
      <c r="C4198" s="170"/>
      <c r="D4198" s="170"/>
      <c r="E4198" s="170"/>
      <c r="F4198" s="170"/>
      <c r="G4198" s="170" t="s">
        <v>13</v>
      </c>
      <c r="H4198" s="170"/>
      <c r="R4198" s="122" t="s">
        <v>3435</v>
      </c>
      <c r="S4198" s="114" t="s">
        <v>3443</v>
      </c>
      <c r="T4198" s="114" t="s">
        <v>3353</v>
      </c>
      <c r="U4198" s="114" t="s">
        <v>3525</v>
      </c>
      <c r="V4198" s="114"/>
      <c r="W4198" s="114" t="s">
        <v>3436</v>
      </c>
      <c r="X4198" s="114" t="s">
        <v>13</v>
      </c>
      <c r="Y4198" s="149"/>
      <c r="Z4198" s="183"/>
      <c r="AA4198" s="183"/>
      <c r="AB4198" s="183" t="s">
        <v>4345</v>
      </c>
      <c r="AC4198" s="183" t="s">
        <v>6</v>
      </c>
      <c r="AD4198" s="183" t="s">
        <v>4971</v>
      </c>
      <c r="AE4198" s="184"/>
      <c r="AF4198" s="184"/>
      <c r="AG4198" s="183"/>
      <c r="AH4198" s="183"/>
      <c r="AI4198" s="183"/>
      <c r="AJ4198" s="183"/>
      <c r="AK4198" s="183"/>
      <c r="AL4198" s="183" t="s">
        <v>4500</v>
      </c>
      <c r="AM4198" s="183"/>
      <c r="AN4198" s="131"/>
      <c r="AO4198" s="131"/>
      <c r="AP4198" s="131"/>
      <c r="AQ4198" s="131"/>
      <c r="AR4198" s="288"/>
      <c r="AS4198" s="259"/>
      <c r="AT4198" s="189" t="s">
        <v>5325</v>
      </c>
      <c r="AU4198" s="202" t="s">
        <v>5078</v>
      </c>
      <c r="AV4198" s="6" t="str">
        <f t="shared" si="90"/>
        <v>OK</v>
      </c>
    </row>
    <row r="4199" spans="1:48" ht="70.150000000000006" thickBot="1" x14ac:dyDescent="0.5">
      <c r="A4199" s="230" t="s">
        <v>3354</v>
      </c>
      <c r="B4199" s="231" t="s">
        <v>4973</v>
      </c>
      <c r="C4199" s="170"/>
      <c r="D4199" s="170"/>
      <c r="E4199" s="170"/>
      <c r="F4199" s="170"/>
      <c r="G4199" s="170" t="s">
        <v>13</v>
      </c>
      <c r="H4199" s="170"/>
      <c r="R4199" s="122" t="s">
        <v>3435</v>
      </c>
      <c r="S4199" s="114" t="s">
        <v>3443</v>
      </c>
      <c r="T4199" s="114" t="s">
        <v>3354</v>
      </c>
      <c r="U4199" s="114" t="s">
        <v>3525</v>
      </c>
      <c r="V4199" s="114"/>
      <c r="W4199" s="114" t="s">
        <v>3436</v>
      </c>
      <c r="X4199" s="114" t="s">
        <v>13</v>
      </c>
      <c r="Y4199" s="149"/>
      <c r="Z4199" s="183"/>
      <c r="AA4199" s="183"/>
      <c r="AB4199" s="183" t="s">
        <v>4345</v>
      </c>
      <c r="AC4199" s="183" t="s">
        <v>6</v>
      </c>
      <c r="AD4199" s="183" t="s">
        <v>4972</v>
      </c>
      <c r="AE4199" s="184"/>
      <c r="AF4199" s="184"/>
      <c r="AG4199" s="183"/>
      <c r="AH4199" s="183"/>
      <c r="AI4199" s="183"/>
      <c r="AJ4199" s="183"/>
      <c r="AK4199" s="183"/>
      <c r="AL4199" s="183" t="s">
        <v>4500</v>
      </c>
      <c r="AM4199" s="183"/>
      <c r="AN4199" s="131"/>
      <c r="AO4199" s="131"/>
      <c r="AP4199" s="131"/>
      <c r="AQ4199" s="131"/>
      <c r="AR4199" s="288"/>
      <c r="AS4199" s="259"/>
      <c r="AT4199" s="189" t="s">
        <v>5325</v>
      </c>
      <c r="AU4199" s="202" t="s">
        <v>5078</v>
      </c>
      <c r="AV4199" s="6" t="str">
        <f t="shared" si="90"/>
        <v>OK</v>
      </c>
    </row>
    <row r="4200" spans="1:48" ht="93.4" thickBot="1" x14ac:dyDescent="0.5">
      <c r="A4200" s="230" t="s">
        <v>3355</v>
      </c>
      <c r="B4200" s="231" t="s">
        <v>3980</v>
      </c>
      <c r="C4200" s="170"/>
      <c r="D4200" s="170"/>
      <c r="E4200" s="170"/>
      <c r="F4200" s="170"/>
      <c r="G4200" s="170" t="s">
        <v>13</v>
      </c>
      <c r="H4200" s="170"/>
      <c r="R4200" s="122" t="s">
        <v>3435</v>
      </c>
      <c r="S4200" s="114" t="s">
        <v>3443</v>
      </c>
      <c r="T4200" s="114" t="s">
        <v>3355</v>
      </c>
      <c r="U4200" s="114" t="s">
        <v>3525</v>
      </c>
      <c r="V4200" s="114"/>
      <c r="W4200" s="114" t="s">
        <v>3436</v>
      </c>
      <c r="X4200" s="114" t="s">
        <v>13</v>
      </c>
      <c r="Y4200" s="149"/>
      <c r="Z4200" s="183"/>
      <c r="AA4200" s="183"/>
      <c r="AB4200" s="183" t="s">
        <v>4345</v>
      </c>
      <c r="AC4200" s="183" t="s">
        <v>6</v>
      </c>
      <c r="AD4200" s="183" t="s">
        <v>4959</v>
      </c>
      <c r="AE4200" s="184"/>
      <c r="AF4200" s="184"/>
      <c r="AG4200" s="183"/>
      <c r="AH4200" s="183"/>
      <c r="AI4200" s="183"/>
      <c r="AJ4200" s="183"/>
      <c r="AK4200" s="183"/>
      <c r="AL4200" s="183" t="s">
        <v>4500</v>
      </c>
      <c r="AM4200" s="183"/>
      <c r="AN4200" s="131"/>
      <c r="AO4200" s="131"/>
      <c r="AP4200" s="131"/>
      <c r="AQ4200" s="131"/>
      <c r="AR4200" s="288"/>
      <c r="AS4200" s="259"/>
      <c r="AT4200" s="189" t="s">
        <v>5325</v>
      </c>
      <c r="AU4200" s="202" t="s">
        <v>5078</v>
      </c>
      <c r="AV4200" s="6" t="str">
        <f t="shared" si="90"/>
        <v>OK</v>
      </c>
    </row>
    <row r="4201" spans="1:48" ht="58.5" thickBot="1" x14ac:dyDescent="0.5">
      <c r="A4201" s="230" t="s">
        <v>3371</v>
      </c>
      <c r="B4201" s="231" t="s">
        <v>3982</v>
      </c>
      <c r="C4201" s="170"/>
      <c r="D4201" s="170"/>
      <c r="E4201" s="170"/>
      <c r="F4201" s="170"/>
      <c r="G4201" s="170" t="s">
        <v>13</v>
      </c>
      <c r="H4201" s="170"/>
      <c r="R4201" s="122" t="s">
        <v>3435</v>
      </c>
      <c r="S4201" s="114" t="s">
        <v>3443</v>
      </c>
      <c r="T4201" s="114" t="s">
        <v>3371</v>
      </c>
      <c r="U4201" s="114" t="s">
        <v>3525</v>
      </c>
      <c r="V4201" s="114"/>
      <c r="W4201" s="114" t="s">
        <v>3436</v>
      </c>
      <c r="X4201" s="114" t="s">
        <v>13</v>
      </c>
      <c r="Y4201" s="149"/>
      <c r="Z4201" s="183"/>
      <c r="AA4201" s="183"/>
      <c r="AB4201" s="183" t="s">
        <v>4345</v>
      </c>
      <c r="AC4201" s="183" t="s">
        <v>6</v>
      </c>
      <c r="AD4201" s="183" t="s">
        <v>4960</v>
      </c>
      <c r="AE4201" s="184"/>
      <c r="AF4201" s="184"/>
      <c r="AG4201" s="183"/>
      <c r="AH4201" s="183"/>
      <c r="AI4201" s="183"/>
      <c r="AJ4201" s="183"/>
      <c r="AK4201" s="183"/>
      <c r="AL4201" s="183" t="s">
        <v>4500</v>
      </c>
      <c r="AM4201" s="183"/>
      <c r="AN4201" s="131"/>
      <c r="AO4201" s="131"/>
      <c r="AP4201" s="131"/>
      <c r="AQ4201" s="131"/>
      <c r="AR4201" s="288"/>
      <c r="AS4201" s="259"/>
      <c r="AT4201" s="189" t="s">
        <v>5325</v>
      </c>
      <c r="AU4201" s="202" t="s">
        <v>5078</v>
      </c>
      <c r="AV4201" s="6" t="str">
        <f t="shared" si="90"/>
        <v>OK</v>
      </c>
    </row>
    <row r="4202" spans="1:48" ht="58.5" thickBot="1" x14ac:dyDescent="0.5">
      <c r="A4202" s="230" t="s">
        <v>3372</v>
      </c>
      <c r="B4202" s="231" t="s">
        <v>3981</v>
      </c>
      <c r="C4202" s="170"/>
      <c r="D4202" s="170"/>
      <c r="E4202" s="170"/>
      <c r="F4202" s="170"/>
      <c r="G4202" s="170" t="s">
        <v>13</v>
      </c>
      <c r="H4202" s="170"/>
      <c r="R4202" s="122" t="s">
        <v>3435</v>
      </c>
      <c r="S4202" s="114" t="s">
        <v>3443</v>
      </c>
      <c r="T4202" s="114" t="s">
        <v>3372</v>
      </c>
      <c r="U4202" s="114" t="s">
        <v>3525</v>
      </c>
      <c r="V4202" s="114"/>
      <c r="W4202" s="114" t="s">
        <v>3436</v>
      </c>
      <c r="X4202" s="114" t="s">
        <v>13</v>
      </c>
      <c r="Y4202" s="149"/>
      <c r="Z4202" s="183"/>
      <c r="AA4202" s="183"/>
      <c r="AB4202" s="183" t="s">
        <v>4345</v>
      </c>
      <c r="AC4202" s="183" t="s">
        <v>6</v>
      </c>
      <c r="AD4202" s="183" t="s">
        <v>4961</v>
      </c>
      <c r="AE4202" s="184"/>
      <c r="AF4202" s="184"/>
      <c r="AG4202" s="183"/>
      <c r="AH4202" s="183"/>
      <c r="AI4202" s="183"/>
      <c r="AJ4202" s="183"/>
      <c r="AK4202" s="183"/>
      <c r="AL4202" s="183" t="s">
        <v>4500</v>
      </c>
      <c r="AM4202" s="183"/>
      <c r="AN4202" s="131"/>
      <c r="AO4202" s="131"/>
      <c r="AP4202" s="131"/>
      <c r="AQ4202" s="131"/>
      <c r="AR4202" s="288"/>
      <c r="AS4202" s="259"/>
      <c r="AT4202" s="189" t="s">
        <v>5325</v>
      </c>
      <c r="AU4202" s="202" t="s">
        <v>5078</v>
      </c>
      <c r="AV4202" s="6" t="str">
        <f t="shared" si="90"/>
        <v>OK</v>
      </c>
    </row>
    <row r="4203" spans="1:48" ht="58.5" thickBot="1" x14ac:dyDescent="0.5">
      <c r="A4203" s="230" t="s">
        <v>3377</v>
      </c>
      <c r="B4203" s="231" t="s">
        <v>3756</v>
      </c>
      <c r="C4203" s="170"/>
      <c r="D4203" s="170"/>
      <c r="E4203" s="170"/>
      <c r="F4203" s="170"/>
      <c r="G4203" s="170" t="s">
        <v>13</v>
      </c>
      <c r="H4203" s="170"/>
      <c r="R4203" s="122" t="s">
        <v>3435</v>
      </c>
      <c r="S4203" s="114" t="s">
        <v>3443</v>
      </c>
      <c r="T4203" s="114" t="s">
        <v>3377</v>
      </c>
      <c r="U4203" s="114" t="s">
        <v>3525</v>
      </c>
      <c r="V4203" s="114"/>
      <c r="W4203" s="114" t="s">
        <v>3436</v>
      </c>
      <c r="X4203" s="114" t="s">
        <v>13</v>
      </c>
      <c r="Y4203" s="149"/>
      <c r="Z4203" s="183"/>
      <c r="AA4203" s="183"/>
      <c r="AB4203" s="183" t="s">
        <v>4345</v>
      </c>
      <c r="AC4203" s="183" t="s">
        <v>6</v>
      </c>
      <c r="AD4203" s="183" t="s">
        <v>4962</v>
      </c>
      <c r="AE4203" s="184"/>
      <c r="AF4203" s="184"/>
      <c r="AG4203" s="183"/>
      <c r="AH4203" s="183"/>
      <c r="AI4203" s="183"/>
      <c r="AJ4203" s="183"/>
      <c r="AK4203" s="183"/>
      <c r="AL4203" s="183" t="s">
        <v>4497</v>
      </c>
      <c r="AM4203" s="183"/>
      <c r="AN4203" s="131"/>
      <c r="AO4203" s="131"/>
      <c r="AP4203" s="131"/>
      <c r="AQ4203" s="131"/>
      <c r="AR4203" s="288"/>
      <c r="AS4203" s="259"/>
      <c r="AT4203" s="189" t="s">
        <v>5325</v>
      </c>
      <c r="AU4203" s="202" t="s">
        <v>5078</v>
      </c>
      <c r="AV4203" s="6" t="str">
        <f t="shared" si="90"/>
        <v>OK</v>
      </c>
    </row>
    <row r="4204" spans="1:48" ht="58.5" thickBot="1" x14ac:dyDescent="0.5">
      <c r="A4204" s="230" t="s">
        <v>3365</v>
      </c>
      <c r="B4204" s="231" t="s">
        <v>3975</v>
      </c>
      <c r="C4204" s="170"/>
      <c r="D4204" s="170"/>
      <c r="E4204" s="170"/>
      <c r="F4204" s="170"/>
      <c r="G4204" s="170" t="s">
        <v>13</v>
      </c>
      <c r="H4204" s="170"/>
      <c r="R4204" s="122" t="s">
        <v>3435</v>
      </c>
      <c r="S4204" s="114" t="s">
        <v>3443</v>
      </c>
      <c r="T4204" s="114" t="s">
        <v>3365</v>
      </c>
      <c r="U4204" s="114" t="s">
        <v>3525</v>
      </c>
      <c r="V4204" s="114"/>
      <c r="W4204" s="114" t="s">
        <v>3436</v>
      </c>
      <c r="X4204" s="114" t="s">
        <v>13</v>
      </c>
      <c r="Y4204" s="149"/>
      <c r="Z4204" s="183"/>
      <c r="AA4204" s="183"/>
      <c r="AB4204" s="183" t="s">
        <v>4345</v>
      </c>
      <c r="AC4204" s="183" t="s">
        <v>6</v>
      </c>
      <c r="AD4204" s="183" t="s">
        <v>4963</v>
      </c>
      <c r="AE4204" s="184"/>
      <c r="AF4204" s="184"/>
      <c r="AG4204" s="183"/>
      <c r="AH4204" s="183"/>
      <c r="AI4204" s="183"/>
      <c r="AJ4204" s="183"/>
      <c r="AK4204" s="183"/>
      <c r="AL4204" s="183" t="s">
        <v>4497</v>
      </c>
      <c r="AM4204" s="183"/>
      <c r="AN4204" s="131"/>
      <c r="AO4204" s="131"/>
      <c r="AP4204" s="131"/>
      <c r="AQ4204" s="131"/>
      <c r="AR4204" s="288"/>
      <c r="AS4204" s="259"/>
      <c r="AT4204" s="189" t="s">
        <v>5325</v>
      </c>
      <c r="AU4204" s="202" t="s">
        <v>5078</v>
      </c>
      <c r="AV4204" s="6" t="str">
        <f t="shared" si="90"/>
        <v>OK</v>
      </c>
    </row>
    <row r="4205" spans="1:48" ht="58.5" thickBot="1" x14ac:dyDescent="0.5">
      <c r="A4205" s="230" t="s">
        <v>3366</v>
      </c>
      <c r="B4205" s="231" t="s">
        <v>3757</v>
      </c>
      <c r="C4205" s="170"/>
      <c r="D4205" s="170"/>
      <c r="E4205" s="170"/>
      <c r="F4205" s="170"/>
      <c r="G4205" s="170" t="s">
        <v>13</v>
      </c>
      <c r="H4205" s="170"/>
      <c r="R4205" s="122" t="s">
        <v>3435</v>
      </c>
      <c r="S4205" s="114" t="s">
        <v>3443</v>
      </c>
      <c r="T4205" s="114" t="s">
        <v>3366</v>
      </c>
      <c r="U4205" s="114" t="s">
        <v>3525</v>
      </c>
      <c r="V4205" s="114"/>
      <c r="W4205" s="114" t="s">
        <v>3436</v>
      </c>
      <c r="X4205" s="114" t="s">
        <v>13</v>
      </c>
      <c r="Y4205" s="149"/>
      <c r="Z4205" s="183"/>
      <c r="AA4205" s="183"/>
      <c r="AB4205" s="183" t="s">
        <v>4345</v>
      </c>
      <c r="AC4205" s="183" t="s">
        <v>6</v>
      </c>
      <c r="AD4205" s="183" t="s">
        <v>5029</v>
      </c>
      <c r="AE4205" s="184"/>
      <c r="AF4205" s="184"/>
      <c r="AG4205" s="183"/>
      <c r="AH4205" s="183"/>
      <c r="AI4205" s="183"/>
      <c r="AJ4205" s="183"/>
      <c r="AK4205" s="183"/>
      <c r="AL4205" s="183" t="s">
        <v>4497</v>
      </c>
      <c r="AM4205" s="183"/>
      <c r="AN4205" s="131"/>
      <c r="AO4205" s="131"/>
      <c r="AP4205" s="131"/>
      <c r="AQ4205" s="131"/>
      <c r="AR4205" s="288"/>
      <c r="AS4205" s="259"/>
      <c r="AT4205" s="189" t="s">
        <v>5325</v>
      </c>
      <c r="AU4205" s="202" t="s">
        <v>5078</v>
      </c>
      <c r="AV4205" s="6" t="str">
        <f t="shared" si="90"/>
        <v>OK</v>
      </c>
    </row>
    <row r="4206" spans="1:48" ht="47.65" thickBot="1" x14ac:dyDescent="0.5">
      <c r="A4206" s="230" t="s">
        <v>3367</v>
      </c>
      <c r="B4206" s="231" t="s">
        <v>4275</v>
      </c>
      <c r="C4206" s="170"/>
      <c r="D4206" s="170"/>
      <c r="E4206" s="170"/>
      <c r="F4206" s="170"/>
      <c r="G4206" s="170" t="s">
        <v>13</v>
      </c>
      <c r="H4206" s="170"/>
      <c r="R4206" s="122" t="s">
        <v>3435</v>
      </c>
      <c r="S4206" s="114" t="s">
        <v>3443</v>
      </c>
      <c r="T4206" s="114" t="s">
        <v>3367</v>
      </c>
      <c r="U4206" s="114" t="s">
        <v>3525</v>
      </c>
      <c r="V4206" s="114"/>
      <c r="W4206" s="114" t="s">
        <v>3436</v>
      </c>
      <c r="X4206" s="114" t="s">
        <v>13</v>
      </c>
      <c r="Y4206" s="149"/>
      <c r="Z4206" s="183"/>
      <c r="AA4206" s="183"/>
      <c r="AB4206" s="183" t="s">
        <v>4345</v>
      </c>
      <c r="AC4206" s="183" t="s">
        <v>6</v>
      </c>
      <c r="AD4206" s="183" t="s">
        <v>4964</v>
      </c>
      <c r="AE4206" s="184"/>
      <c r="AF4206" s="184"/>
      <c r="AG4206" s="183"/>
      <c r="AH4206" s="183"/>
      <c r="AI4206" s="183"/>
      <c r="AJ4206" s="183"/>
      <c r="AK4206" s="183"/>
      <c r="AL4206" s="183" t="s">
        <v>4497</v>
      </c>
      <c r="AM4206" s="183"/>
      <c r="AN4206" s="131"/>
      <c r="AO4206" s="131"/>
      <c r="AP4206" s="131"/>
      <c r="AQ4206" s="131"/>
      <c r="AR4206" s="288"/>
      <c r="AS4206" s="259"/>
      <c r="AT4206" s="189" t="s">
        <v>5325</v>
      </c>
      <c r="AU4206" s="202" t="s">
        <v>5078</v>
      </c>
      <c r="AV4206" s="6" t="str">
        <f t="shared" si="90"/>
        <v>OK</v>
      </c>
    </row>
    <row r="4207" spans="1:48" ht="47.65" thickBot="1" x14ac:dyDescent="0.5">
      <c r="A4207" s="230" t="s">
        <v>3368</v>
      </c>
      <c r="B4207" s="231" t="s">
        <v>4276</v>
      </c>
      <c r="C4207" s="170"/>
      <c r="D4207" s="170"/>
      <c r="E4207" s="170"/>
      <c r="F4207" s="170"/>
      <c r="G4207" s="170" t="s">
        <v>13</v>
      </c>
      <c r="H4207" s="170"/>
      <c r="R4207" s="122" t="s">
        <v>3435</v>
      </c>
      <c r="S4207" s="114" t="s">
        <v>3443</v>
      </c>
      <c r="T4207" s="114" t="s">
        <v>3368</v>
      </c>
      <c r="U4207" s="114" t="s">
        <v>3525</v>
      </c>
      <c r="V4207" s="114"/>
      <c r="W4207" s="114" t="s">
        <v>3436</v>
      </c>
      <c r="X4207" s="114" t="s">
        <v>13</v>
      </c>
      <c r="Y4207" s="149"/>
      <c r="Z4207" s="183"/>
      <c r="AA4207" s="183"/>
      <c r="AB4207" s="183" t="s">
        <v>4345</v>
      </c>
      <c r="AC4207" s="183" t="s">
        <v>6</v>
      </c>
      <c r="AD4207" s="183" t="s">
        <v>4965</v>
      </c>
      <c r="AE4207" s="184"/>
      <c r="AF4207" s="184"/>
      <c r="AG4207" s="183"/>
      <c r="AH4207" s="183"/>
      <c r="AI4207" s="183"/>
      <c r="AJ4207" s="183"/>
      <c r="AK4207" s="183"/>
      <c r="AL4207" s="183" t="s">
        <v>4497</v>
      </c>
      <c r="AM4207" s="183"/>
      <c r="AN4207" s="131"/>
      <c r="AO4207" s="131"/>
      <c r="AP4207" s="131"/>
      <c r="AQ4207" s="131"/>
      <c r="AR4207" s="288"/>
      <c r="AS4207" s="259"/>
      <c r="AT4207" s="189" t="s">
        <v>5325</v>
      </c>
      <c r="AU4207" s="202" t="s">
        <v>5078</v>
      </c>
      <c r="AV4207" s="6" t="str">
        <f t="shared" si="90"/>
        <v>OK</v>
      </c>
    </row>
    <row r="4208" spans="1:48" ht="47.65" thickBot="1" x14ac:dyDescent="0.5">
      <c r="A4208" s="230" t="s">
        <v>3369</v>
      </c>
      <c r="B4208" s="231" t="s">
        <v>4277</v>
      </c>
      <c r="C4208" s="170"/>
      <c r="D4208" s="170"/>
      <c r="E4208" s="170"/>
      <c r="F4208" s="170"/>
      <c r="G4208" s="170" t="s">
        <v>13</v>
      </c>
      <c r="H4208" s="170"/>
      <c r="R4208" s="122" t="s">
        <v>3435</v>
      </c>
      <c r="S4208" s="114" t="s">
        <v>3443</v>
      </c>
      <c r="T4208" s="114" t="s">
        <v>3369</v>
      </c>
      <c r="U4208" s="114" t="s">
        <v>3525</v>
      </c>
      <c r="V4208" s="114"/>
      <c r="W4208" s="114" t="s">
        <v>3436</v>
      </c>
      <c r="X4208" s="114" t="s">
        <v>13</v>
      </c>
      <c r="Y4208" s="149"/>
      <c r="Z4208" s="183"/>
      <c r="AA4208" s="183"/>
      <c r="AB4208" s="183" t="s">
        <v>4345</v>
      </c>
      <c r="AC4208" s="183" t="s">
        <v>6</v>
      </c>
      <c r="AD4208" s="183" t="s">
        <v>4966</v>
      </c>
      <c r="AE4208" s="184"/>
      <c r="AF4208" s="184"/>
      <c r="AG4208" s="183"/>
      <c r="AH4208" s="183"/>
      <c r="AI4208" s="183"/>
      <c r="AJ4208" s="183"/>
      <c r="AK4208" s="183"/>
      <c r="AL4208" s="183" t="s">
        <v>4497</v>
      </c>
      <c r="AM4208" s="183"/>
      <c r="AN4208" s="131"/>
      <c r="AO4208" s="131"/>
      <c r="AP4208" s="131"/>
      <c r="AQ4208" s="131"/>
      <c r="AR4208" s="288"/>
      <c r="AS4208" s="259"/>
      <c r="AT4208" s="189" t="s">
        <v>5325</v>
      </c>
      <c r="AU4208" s="202" t="s">
        <v>5078</v>
      </c>
      <c r="AV4208" s="6" t="str">
        <f t="shared" si="90"/>
        <v>OK</v>
      </c>
    </row>
    <row r="4209" spans="1:48" ht="47.65" thickBot="1" x14ac:dyDescent="0.5">
      <c r="A4209" s="230" t="s">
        <v>3370</v>
      </c>
      <c r="B4209" s="231" t="s">
        <v>4278</v>
      </c>
      <c r="C4209" s="170"/>
      <c r="D4209" s="170"/>
      <c r="E4209" s="170"/>
      <c r="F4209" s="170"/>
      <c r="G4209" s="170" t="s">
        <v>13</v>
      </c>
      <c r="H4209" s="170"/>
      <c r="R4209" s="122" t="s">
        <v>3435</v>
      </c>
      <c r="S4209" s="114" t="s">
        <v>3443</v>
      </c>
      <c r="T4209" s="114" t="s">
        <v>3370</v>
      </c>
      <c r="U4209" s="114" t="s">
        <v>3525</v>
      </c>
      <c r="V4209" s="114"/>
      <c r="W4209" s="114" t="s">
        <v>3436</v>
      </c>
      <c r="X4209" s="114" t="s">
        <v>13</v>
      </c>
      <c r="Y4209" s="149"/>
      <c r="Z4209" s="183"/>
      <c r="AA4209" s="183"/>
      <c r="AB4209" s="183" t="s">
        <v>4345</v>
      </c>
      <c r="AC4209" s="183" t="s">
        <v>6</v>
      </c>
      <c r="AD4209" s="183" t="s">
        <v>4967</v>
      </c>
      <c r="AE4209" s="184"/>
      <c r="AF4209" s="184"/>
      <c r="AG4209" s="183"/>
      <c r="AH4209" s="183"/>
      <c r="AI4209" s="183"/>
      <c r="AJ4209" s="183"/>
      <c r="AK4209" s="183"/>
      <c r="AL4209" s="183" t="s">
        <v>4497</v>
      </c>
      <c r="AM4209" s="183"/>
      <c r="AN4209" s="131"/>
      <c r="AO4209" s="131"/>
      <c r="AP4209" s="131"/>
      <c r="AQ4209" s="131"/>
      <c r="AR4209" s="288"/>
      <c r="AS4209" s="259"/>
      <c r="AT4209" s="189" t="s">
        <v>5325</v>
      </c>
      <c r="AU4209" s="202" t="s">
        <v>5078</v>
      </c>
      <c r="AV4209" s="6" t="str">
        <f t="shared" si="90"/>
        <v>OK</v>
      </c>
    </row>
    <row r="4210" spans="1:48" ht="81.75" thickBot="1" x14ac:dyDescent="0.5">
      <c r="A4210" s="230" t="s">
        <v>2561</v>
      </c>
      <c r="B4210" s="231" t="s">
        <v>4279</v>
      </c>
      <c r="C4210" s="170"/>
      <c r="D4210" s="170"/>
      <c r="E4210" s="170"/>
      <c r="F4210" s="170"/>
      <c r="G4210" s="170" t="s">
        <v>10</v>
      </c>
      <c r="H4210" s="170"/>
      <c r="R4210" s="122" t="s">
        <v>3435</v>
      </c>
      <c r="S4210" s="114" t="s">
        <v>3443</v>
      </c>
      <c r="T4210" s="114" t="s">
        <v>2561</v>
      </c>
      <c r="U4210" s="114" t="s">
        <v>3522</v>
      </c>
      <c r="V4210" s="114" t="s">
        <v>3531</v>
      </c>
      <c r="W4210" s="114" t="s">
        <v>3436</v>
      </c>
      <c r="X4210" s="114" t="s">
        <v>13</v>
      </c>
      <c r="Y4210" s="149"/>
      <c r="Z4210" s="183"/>
      <c r="AA4210" s="183"/>
      <c r="AB4210" s="183" t="s">
        <v>4344</v>
      </c>
      <c r="AC4210" s="183" t="s">
        <v>6</v>
      </c>
      <c r="AD4210" s="183" t="s">
        <v>4970</v>
      </c>
      <c r="AE4210" s="184"/>
      <c r="AF4210" s="184"/>
      <c r="AG4210" s="183"/>
      <c r="AH4210" s="183"/>
      <c r="AI4210" s="183"/>
      <c r="AJ4210" s="183"/>
      <c r="AK4210" s="183"/>
      <c r="AL4210" s="183"/>
      <c r="AM4210" s="183"/>
      <c r="AN4210" s="131"/>
      <c r="AO4210" s="131"/>
      <c r="AP4210" s="131"/>
      <c r="AQ4210" s="131"/>
      <c r="AR4210" s="288"/>
      <c r="AS4210" s="259"/>
      <c r="AT4210" s="189" t="s">
        <v>5325</v>
      </c>
      <c r="AU4210" s="140" t="s">
        <v>5080</v>
      </c>
      <c r="AV4210" s="6" t="str">
        <f t="shared" si="90"/>
        <v>OK</v>
      </c>
    </row>
    <row r="4211" spans="1:48" ht="93.4" thickBot="1" x14ac:dyDescent="0.5">
      <c r="A4211" s="230" t="s">
        <v>2562</v>
      </c>
      <c r="B4211" s="231" t="s">
        <v>4280</v>
      </c>
      <c r="C4211" s="170"/>
      <c r="D4211" s="170"/>
      <c r="E4211" s="170"/>
      <c r="F4211" s="170"/>
      <c r="G4211" s="170" t="s">
        <v>10</v>
      </c>
      <c r="H4211" s="170"/>
      <c r="R4211" s="122" t="s">
        <v>3435</v>
      </c>
      <c r="S4211" s="114" t="s">
        <v>3443</v>
      </c>
      <c r="T4211" s="114" t="s">
        <v>2562</v>
      </c>
      <c r="U4211" s="114" t="s">
        <v>3522</v>
      </c>
      <c r="V4211" s="114" t="s">
        <v>3531</v>
      </c>
      <c r="W4211" s="114" t="s">
        <v>3436</v>
      </c>
      <c r="X4211" s="114" t="s">
        <v>13</v>
      </c>
      <c r="Y4211" s="149"/>
      <c r="Z4211" s="183"/>
      <c r="AA4211" s="183"/>
      <c r="AB4211" s="183" t="s">
        <v>4344</v>
      </c>
      <c r="AC4211" s="183" t="s">
        <v>6</v>
      </c>
      <c r="AD4211" s="183" t="s">
        <v>5030</v>
      </c>
      <c r="AE4211" s="184"/>
      <c r="AF4211" s="184"/>
      <c r="AG4211" s="183"/>
      <c r="AH4211" s="183"/>
      <c r="AI4211" s="183"/>
      <c r="AJ4211" s="183"/>
      <c r="AK4211" s="183"/>
      <c r="AL4211" s="183"/>
      <c r="AM4211" s="183"/>
      <c r="AN4211" s="131"/>
      <c r="AO4211" s="131"/>
      <c r="AP4211" s="131"/>
      <c r="AQ4211" s="131"/>
      <c r="AR4211" s="288"/>
      <c r="AS4211" s="259"/>
      <c r="AT4211" s="189" t="s">
        <v>5325</v>
      </c>
      <c r="AU4211" s="140" t="s">
        <v>5080</v>
      </c>
      <c r="AV4211" s="6" t="str">
        <f t="shared" si="90"/>
        <v>OK</v>
      </c>
    </row>
    <row r="4212" spans="1:48" ht="58.5" thickBot="1" x14ac:dyDescent="0.5">
      <c r="A4212" s="230" t="s">
        <v>2563</v>
      </c>
      <c r="B4212" s="231" t="s">
        <v>3758</v>
      </c>
      <c r="C4212" s="170"/>
      <c r="D4212" s="170"/>
      <c r="E4212" s="170"/>
      <c r="F4212" s="170"/>
      <c r="G4212" s="170" t="s">
        <v>10</v>
      </c>
      <c r="H4212" s="170"/>
      <c r="R4212" s="122" t="s">
        <v>3435</v>
      </c>
      <c r="S4212" s="114" t="s">
        <v>3443</v>
      </c>
      <c r="T4212" s="114" t="s">
        <v>2563</v>
      </c>
      <c r="U4212" s="114" t="s">
        <v>3521</v>
      </c>
      <c r="V4212" s="114" t="s">
        <v>3531</v>
      </c>
      <c r="W4212" s="114" t="s">
        <v>3436</v>
      </c>
      <c r="X4212" s="114" t="s">
        <v>13</v>
      </c>
      <c r="Y4212" s="149"/>
      <c r="Z4212" s="183"/>
      <c r="AA4212" s="183"/>
      <c r="AB4212" s="183" t="s">
        <v>758</v>
      </c>
      <c r="AC4212" s="183" t="s">
        <v>6</v>
      </c>
      <c r="AD4212" s="183" t="s">
        <v>4969</v>
      </c>
      <c r="AE4212" s="184"/>
      <c r="AF4212" s="184"/>
      <c r="AG4212" s="183"/>
      <c r="AH4212" s="183"/>
      <c r="AI4212" s="183"/>
      <c r="AJ4212" s="183"/>
      <c r="AK4212" s="183"/>
      <c r="AL4212" s="183"/>
      <c r="AM4212" s="183"/>
      <c r="AN4212" s="131"/>
      <c r="AO4212" s="131"/>
      <c r="AP4212" s="131"/>
      <c r="AQ4212" s="131"/>
      <c r="AR4212" s="288"/>
      <c r="AS4212" s="259"/>
      <c r="AT4212" s="189" t="s">
        <v>5325</v>
      </c>
      <c r="AU4212" s="140" t="s">
        <v>5080</v>
      </c>
      <c r="AV4212" s="6" t="str">
        <f t="shared" si="90"/>
        <v>OK</v>
      </c>
    </row>
    <row r="4213" spans="1:48" ht="81.75" thickBot="1" x14ac:dyDescent="0.5">
      <c r="A4213" s="230" t="s">
        <v>2564</v>
      </c>
      <c r="B4213" s="231" t="s">
        <v>3759</v>
      </c>
      <c r="C4213" s="170"/>
      <c r="D4213" s="170"/>
      <c r="E4213" s="170"/>
      <c r="F4213" s="170"/>
      <c r="G4213" s="170" t="s">
        <v>10</v>
      </c>
      <c r="H4213" s="170"/>
      <c r="R4213" s="122" t="s">
        <v>3435</v>
      </c>
      <c r="S4213" s="114" t="s">
        <v>3443</v>
      </c>
      <c r="T4213" s="114" t="s">
        <v>2564</v>
      </c>
      <c r="U4213" s="114" t="s">
        <v>3522</v>
      </c>
      <c r="V4213" s="114" t="s">
        <v>3531</v>
      </c>
      <c r="W4213" s="114" t="s">
        <v>3436</v>
      </c>
      <c r="X4213" s="114" t="s">
        <v>13</v>
      </c>
      <c r="Y4213" s="149"/>
      <c r="Z4213" s="183"/>
      <c r="AA4213" s="183"/>
      <c r="AB4213" s="183" t="s">
        <v>4344</v>
      </c>
      <c r="AC4213" s="183" t="s">
        <v>6</v>
      </c>
      <c r="AD4213" s="183" t="s">
        <v>4968</v>
      </c>
      <c r="AE4213" s="184"/>
      <c r="AF4213" s="184"/>
      <c r="AG4213" s="183"/>
      <c r="AH4213" s="183"/>
      <c r="AI4213" s="183"/>
      <c r="AJ4213" s="183"/>
      <c r="AK4213" s="183"/>
      <c r="AL4213" s="183"/>
      <c r="AM4213" s="183"/>
      <c r="AN4213" s="131"/>
      <c r="AO4213" s="131"/>
      <c r="AP4213" s="131"/>
      <c r="AQ4213" s="131"/>
      <c r="AR4213" s="288"/>
      <c r="AS4213" s="259"/>
      <c r="AT4213" s="189" t="s">
        <v>5325</v>
      </c>
      <c r="AU4213" s="140" t="s">
        <v>5222</v>
      </c>
      <c r="AV4213" s="6" t="str">
        <f t="shared" si="90"/>
        <v>OK</v>
      </c>
    </row>
    <row r="4214" spans="1:48" ht="82.5" thickBot="1" x14ac:dyDescent="0.5">
      <c r="A4214" s="167" t="s">
        <v>2785</v>
      </c>
      <c r="B4214" s="168" t="s">
        <v>3760</v>
      </c>
      <c r="C4214" s="169"/>
      <c r="D4214" s="170"/>
      <c r="E4214" s="170"/>
      <c r="F4214" s="170"/>
      <c r="G4214" s="169"/>
      <c r="H4214" s="170"/>
      <c r="R4214" s="122" t="s">
        <v>3435</v>
      </c>
      <c r="S4214" s="114" t="s">
        <v>3437</v>
      </c>
      <c r="T4214" s="114" t="s">
        <v>2785</v>
      </c>
      <c r="U4214" s="114"/>
      <c r="V4214" s="114" t="s">
        <v>3557</v>
      </c>
      <c r="W4214" s="114" t="s">
        <v>3436</v>
      </c>
      <c r="X4214" s="114" t="s">
        <v>13</v>
      </c>
      <c r="Y4214" s="149"/>
      <c r="Z4214" s="183"/>
      <c r="AA4214" s="183"/>
      <c r="AB4214" s="183" t="s">
        <v>4349</v>
      </c>
      <c r="AC4214" s="183"/>
      <c r="AD4214" s="183" t="s">
        <v>4974</v>
      </c>
      <c r="AE4214" s="184"/>
      <c r="AF4214" s="184"/>
      <c r="AG4214" s="183"/>
      <c r="AH4214" s="183"/>
      <c r="AI4214" s="183" t="s">
        <v>4357</v>
      </c>
      <c r="AJ4214" s="183"/>
      <c r="AK4214" s="183" t="s">
        <v>2785</v>
      </c>
      <c r="AL4214" s="183"/>
      <c r="AM4214" s="183"/>
      <c r="AN4214" s="131"/>
      <c r="AO4214" s="131"/>
      <c r="AP4214" s="131"/>
      <c r="AQ4214" s="131"/>
      <c r="AR4214" s="288"/>
      <c r="AS4214" s="259"/>
      <c r="AT4214" s="189" t="s">
        <v>5325</v>
      </c>
      <c r="AU4214" s="202" t="s">
        <v>5081</v>
      </c>
      <c r="AV4214" s="6" t="str">
        <f t="shared" si="90"/>
        <v>OK</v>
      </c>
    </row>
    <row r="4215" spans="1:48" ht="23.65" thickBot="1" x14ac:dyDescent="0.5">
      <c r="A4215" s="171" t="s">
        <v>33</v>
      </c>
      <c r="B4215" s="168" t="s">
        <v>3686</v>
      </c>
      <c r="C4215" s="169"/>
      <c r="D4215" s="170"/>
      <c r="E4215" s="170"/>
      <c r="F4215" s="170"/>
      <c r="G4215" s="169"/>
      <c r="H4215" s="170"/>
      <c r="R4215" s="114"/>
      <c r="S4215" s="114"/>
      <c r="T4215" s="114"/>
      <c r="U4215" s="114"/>
      <c r="V4215" s="114"/>
      <c r="W4215" s="114"/>
      <c r="X4215" s="114"/>
      <c r="Y4215" s="149"/>
      <c r="Z4215" s="183"/>
      <c r="AA4215" s="183"/>
      <c r="AB4215" s="183"/>
      <c r="AC4215" s="183"/>
      <c r="AD4215" s="183"/>
      <c r="AE4215" s="184"/>
      <c r="AF4215" s="184"/>
      <c r="AG4215" s="183"/>
      <c r="AH4215" s="183"/>
      <c r="AI4215" s="183"/>
      <c r="AJ4215" s="183"/>
      <c r="AK4215" s="183"/>
      <c r="AL4215" s="183"/>
      <c r="AM4215" s="183"/>
      <c r="AN4215" s="131"/>
      <c r="AO4215" s="131"/>
      <c r="AP4215" s="131"/>
      <c r="AQ4215" s="131"/>
      <c r="AR4215" s="288"/>
      <c r="AS4215" s="259"/>
      <c r="AT4215" s="189" t="s">
        <v>5325</v>
      </c>
      <c r="AV4215" s="6" t="str">
        <f t="shared" si="90"/>
        <v/>
      </c>
    </row>
    <row r="4216" spans="1:48" ht="23.65" thickBot="1" x14ac:dyDescent="0.5">
      <c r="A4216" s="172" t="s">
        <v>461</v>
      </c>
      <c r="B4216" s="173" t="s">
        <v>462</v>
      </c>
      <c r="C4216" s="169"/>
      <c r="D4216" s="170"/>
      <c r="E4216" s="170"/>
      <c r="F4216" s="174"/>
      <c r="G4216" s="169"/>
      <c r="H4216" s="170"/>
      <c r="R4216" s="114"/>
      <c r="S4216" s="114"/>
      <c r="T4216" s="114"/>
      <c r="U4216" s="114"/>
      <c r="V4216" s="114"/>
      <c r="W4216" s="114"/>
      <c r="X4216" s="114"/>
      <c r="Y4216" s="149"/>
      <c r="Z4216" s="183"/>
      <c r="AA4216" s="183"/>
      <c r="AB4216" s="183"/>
      <c r="AC4216" s="183"/>
      <c r="AD4216" s="183"/>
      <c r="AE4216" s="184"/>
      <c r="AF4216" s="184"/>
      <c r="AG4216" s="183"/>
      <c r="AH4216" s="183"/>
      <c r="AI4216" s="183"/>
      <c r="AJ4216" s="183"/>
      <c r="AK4216" s="183"/>
      <c r="AL4216" s="183"/>
      <c r="AM4216" s="183"/>
      <c r="AN4216" s="131"/>
      <c r="AO4216" s="131"/>
      <c r="AP4216" s="131"/>
      <c r="AQ4216" s="131"/>
      <c r="AR4216" s="288"/>
      <c r="AS4216" s="259"/>
      <c r="AT4216" s="189" t="s">
        <v>5325</v>
      </c>
      <c r="AU4216" s="8"/>
      <c r="AV4216" s="6" t="str">
        <f t="shared" si="90"/>
        <v/>
      </c>
    </row>
    <row r="4217" spans="1:48" ht="23.65" thickBot="1" x14ac:dyDescent="0.5">
      <c r="A4217" s="172" t="s">
        <v>424</v>
      </c>
      <c r="B4217" s="173" t="s">
        <v>3689</v>
      </c>
      <c r="C4217" s="169"/>
      <c r="D4217" s="170"/>
      <c r="E4217" s="170"/>
      <c r="F4217" s="174"/>
      <c r="G4217" s="169"/>
      <c r="H4217" s="170"/>
      <c r="R4217" s="114"/>
      <c r="S4217" s="114"/>
      <c r="T4217" s="114"/>
      <c r="U4217" s="114"/>
      <c r="V4217" s="114"/>
      <c r="W4217" s="114"/>
      <c r="X4217" s="114"/>
      <c r="Y4217" s="149"/>
      <c r="Z4217" s="183"/>
      <c r="AA4217" s="183"/>
      <c r="AB4217" s="183"/>
      <c r="AC4217" s="183"/>
      <c r="AD4217" s="183"/>
      <c r="AE4217" s="184"/>
      <c r="AF4217" s="184"/>
      <c r="AG4217" s="183"/>
      <c r="AH4217" s="183"/>
      <c r="AI4217" s="183"/>
      <c r="AJ4217" s="183"/>
      <c r="AK4217" s="183"/>
      <c r="AL4217" s="183"/>
      <c r="AM4217" s="183"/>
      <c r="AN4217" s="131"/>
      <c r="AO4217" s="131"/>
      <c r="AP4217" s="131"/>
      <c r="AQ4217" s="131"/>
      <c r="AR4217" s="288"/>
      <c r="AS4217" s="259"/>
      <c r="AT4217" s="189" t="s">
        <v>5325</v>
      </c>
      <c r="AU4217" s="8"/>
      <c r="AV4217" s="6" t="str">
        <f t="shared" si="90"/>
        <v/>
      </c>
    </row>
    <row r="4218" spans="1:48" ht="82.5" thickBot="1" x14ac:dyDescent="0.5">
      <c r="A4218" s="232" t="s">
        <v>2696</v>
      </c>
      <c r="B4218" s="231" t="s">
        <v>3761</v>
      </c>
      <c r="C4218" s="170"/>
      <c r="D4218" s="170"/>
      <c r="E4218" s="170"/>
      <c r="F4218" s="170"/>
      <c r="G4218" s="170"/>
      <c r="H4218" s="170"/>
      <c r="Q4218" s="8" t="s">
        <v>3557</v>
      </c>
      <c r="R4218" s="122" t="s">
        <v>3529</v>
      </c>
      <c r="S4218" s="114" t="s">
        <v>4</v>
      </c>
      <c r="T4218" s="114" t="s">
        <v>3514</v>
      </c>
      <c r="U4218" s="114" t="s">
        <v>3521</v>
      </c>
      <c r="V4218" s="114" t="s">
        <v>3530</v>
      </c>
      <c r="W4218" s="114" t="s">
        <v>3436</v>
      </c>
      <c r="X4218" s="114" t="s">
        <v>13</v>
      </c>
      <c r="Y4218" s="149"/>
      <c r="Z4218" s="183"/>
      <c r="AA4218" s="183" t="s">
        <v>2785</v>
      </c>
      <c r="AB4218" s="183" t="s">
        <v>758</v>
      </c>
      <c r="AC4218" s="183" t="s">
        <v>6</v>
      </c>
      <c r="AD4218" s="183" t="s">
        <v>4975</v>
      </c>
      <c r="AE4218" s="184"/>
      <c r="AF4218" s="184"/>
      <c r="AG4218" s="183"/>
      <c r="AH4218" s="183"/>
      <c r="AI4218" s="183"/>
      <c r="AJ4218" s="183"/>
      <c r="AK4218" s="183"/>
      <c r="AL4218" s="183"/>
      <c r="AM4218" s="183"/>
      <c r="AN4218" s="131"/>
      <c r="AO4218" s="131"/>
      <c r="AP4218" s="131"/>
      <c r="AQ4218" s="131"/>
      <c r="AR4218" s="288"/>
      <c r="AS4218" s="259"/>
      <c r="AT4218" s="189" t="s">
        <v>5325</v>
      </c>
      <c r="AU4218" s="202" t="s">
        <v>5081</v>
      </c>
      <c r="AV4218" s="6" t="str">
        <f t="shared" si="90"/>
        <v>OK</v>
      </c>
    </row>
    <row r="4219" spans="1:48" ht="82.5" thickBot="1" x14ac:dyDescent="0.5">
      <c r="A4219" s="232" t="s">
        <v>3357</v>
      </c>
      <c r="B4219" s="231" t="s">
        <v>3762</v>
      </c>
      <c r="C4219" s="170"/>
      <c r="D4219" s="170"/>
      <c r="E4219" s="170"/>
      <c r="F4219" s="170"/>
      <c r="G4219" s="170"/>
      <c r="H4219" s="170"/>
      <c r="Q4219" s="8" t="s">
        <v>3557</v>
      </c>
      <c r="R4219" s="122" t="s">
        <v>3435</v>
      </c>
      <c r="S4219" s="114" t="s">
        <v>3443</v>
      </c>
      <c r="T4219" s="114" t="s">
        <v>3378</v>
      </c>
      <c r="U4219" s="114" t="s">
        <v>3525</v>
      </c>
      <c r="V4219" s="114"/>
      <c r="W4219" s="114" t="s">
        <v>3436</v>
      </c>
      <c r="X4219" s="114" t="s">
        <v>13</v>
      </c>
      <c r="Y4219" s="149"/>
      <c r="Z4219" s="183"/>
      <c r="AA4219" s="183" t="s">
        <v>2785</v>
      </c>
      <c r="AB4219" s="183" t="s">
        <v>4345</v>
      </c>
      <c r="AC4219" s="183" t="s">
        <v>6</v>
      </c>
      <c r="AD4219" s="183" t="s">
        <v>4976</v>
      </c>
      <c r="AE4219" s="184"/>
      <c r="AF4219" s="184"/>
      <c r="AG4219" s="183"/>
      <c r="AH4219" s="183"/>
      <c r="AI4219" s="183"/>
      <c r="AJ4219" s="183"/>
      <c r="AK4219" s="183"/>
      <c r="AL4219" s="183" t="s">
        <v>4497</v>
      </c>
      <c r="AM4219" s="183"/>
      <c r="AN4219" s="131"/>
      <c r="AO4219" s="131"/>
      <c r="AP4219" s="131"/>
      <c r="AQ4219" s="131"/>
      <c r="AR4219" s="288"/>
      <c r="AS4219" s="259"/>
      <c r="AT4219" s="189" t="s">
        <v>5325</v>
      </c>
      <c r="AU4219" s="202" t="s">
        <v>5081</v>
      </c>
      <c r="AV4219" s="6" t="str">
        <f t="shared" si="90"/>
        <v>OK</v>
      </c>
    </row>
    <row r="4220" spans="1:48" ht="82.5" thickBot="1" x14ac:dyDescent="0.5">
      <c r="A4220" s="232" t="s">
        <v>3356</v>
      </c>
      <c r="B4220" s="231" t="s">
        <v>3763</v>
      </c>
      <c r="C4220" s="170"/>
      <c r="D4220" s="170"/>
      <c r="E4220" s="170"/>
      <c r="F4220" s="170"/>
      <c r="G4220" s="170"/>
      <c r="H4220" s="170"/>
      <c r="Q4220" s="8" t="s">
        <v>3557</v>
      </c>
      <c r="R4220" s="122" t="s">
        <v>3435</v>
      </c>
      <c r="S4220" s="114" t="s">
        <v>3443</v>
      </c>
      <c r="T4220" s="114" t="s">
        <v>3380</v>
      </c>
      <c r="U4220" s="114" t="s">
        <v>3525</v>
      </c>
      <c r="V4220" s="114"/>
      <c r="W4220" s="114" t="s">
        <v>3436</v>
      </c>
      <c r="X4220" s="114" t="s">
        <v>13</v>
      </c>
      <c r="Y4220" s="149"/>
      <c r="Z4220" s="183"/>
      <c r="AA4220" s="183" t="s">
        <v>2785</v>
      </c>
      <c r="AB4220" s="183" t="s">
        <v>4345</v>
      </c>
      <c r="AC4220" s="183" t="s">
        <v>6</v>
      </c>
      <c r="AD4220" s="183" t="s">
        <v>4977</v>
      </c>
      <c r="AE4220" s="184"/>
      <c r="AF4220" s="184"/>
      <c r="AG4220" s="183"/>
      <c r="AH4220" s="183"/>
      <c r="AI4220" s="183"/>
      <c r="AJ4220" s="183"/>
      <c r="AK4220" s="183"/>
      <c r="AL4220" s="183" t="s">
        <v>4497</v>
      </c>
      <c r="AM4220" s="183"/>
      <c r="AN4220" s="131"/>
      <c r="AO4220" s="131"/>
      <c r="AP4220" s="131"/>
      <c r="AQ4220" s="131"/>
      <c r="AR4220" s="288"/>
      <c r="AS4220" s="259"/>
      <c r="AT4220" s="189" t="s">
        <v>5325</v>
      </c>
      <c r="AU4220" s="202" t="s">
        <v>5081</v>
      </c>
      <c r="AV4220" s="6" t="str">
        <f t="shared" si="90"/>
        <v>OK</v>
      </c>
    </row>
    <row r="4221" spans="1:48" ht="93.4" thickBot="1" x14ac:dyDescent="0.5">
      <c r="A4221" s="232" t="s">
        <v>3358</v>
      </c>
      <c r="B4221" s="231" t="s">
        <v>3764</v>
      </c>
      <c r="C4221" s="170"/>
      <c r="D4221" s="170"/>
      <c r="E4221" s="170"/>
      <c r="F4221" s="170"/>
      <c r="G4221" s="170"/>
      <c r="H4221" s="170"/>
      <c r="Q4221" s="8" t="s">
        <v>3557</v>
      </c>
      <c r="R4221" s="122" t="s">
        <v>3435</v>
      </c>
      <c r="S4221" s="114" t="s">
        <v>3443</v>
      </c>
      <c r="T4221" s="114" t="s">
        <v>3379</v>
      </c>
      <c r="U4221" s="114" t="s">
        <v>3525</v>
      </c>
      <c r="V4221" s="114"/>
      <c r="W4221" s="114" t="s">
        <v>3436</v>
      </c>
      <c r="X4221" s="114" t="s">
        <v>13</v>
      </c>
      <c r="Y4221" s="149"/>
      <c r="Z4221" s="183"/>
      <c r="AA4221" s="183" t="s">
        <v>2785</v>
      </c>
      <c r="AB4221" s="183" t="s">
        <v>4345</v>
      </c>
      <c r="AC4221" s="183" t="s">
        <v>6</v>
      </c>
      <c r="AD4221" s="183" t="s">
        <v>4978</v>
      </c>
      <c r="AE4221" s="184"/>
      <c r="AF4221" s="184"/>
      <c r="AG4221" s="183"/>
      <c r="AH4221" s="183"/>
      <c r="AI4221" s="183"/>
      <c r="AJ4221" s="183"/>
      <c r="AK4221" s="183"/>
      <c r="AL4221" s="183" t="s">
        <v>4497</v>
      </c>
      <c r="AM4221" s="183"/>
      <c r="AN4221" s="131"/>
      <c r="AO4221" s="131"/>
      <c r="AP4221" s="131"/>
      <c r="AQ4221" s="131"/>
      <c r="AR4221" s="288"/>
      <c r="AS4221" s="259"/>
      <c r="AT4221" s="189" t="s">
        <v>5325</v>
      </c>
      <c r="AU4221" s="202" t="s">
        <v>5081</v>
      </c>
      <c r="AV4221" s="6" t="str">
        <f t="shared" si="90"/>
        <v>OK</v>
      </c>
    </row>
    <row r="4222" spans="1:48" ht="105" thickBot="1" x14ac:dyDescent="0.5">
      <c r="A4222" s="232" t="s">
        <v>3364</v>
      </c>
      <c r="B4222" s="231" t="s">
        <v>3765</v>
      </c>
      <c r="C4222" s="170"/>
      <c r="D4222" s="170"/>
      <c r="E4222" s="170"/>
      <c r="F4222" s="170"/>
      <c r="G4222" s="170"/>
      <c r="H4222" s="170"/>
      <c r="Q4222" s="8" t="s">
        <v>3557</v>
      </c>
      <c r="R4222" s="122" t="s">
        <v>3435</v>
      </c>
      <c r="S4222" s="114" t="s">
        <v>3443</v>
      </c>
      <c r="T4222" s="114" t="s">
        <v>3381</v>
      </c>
      <c r="U4222" s="114" t="s">
        <v>3525</v>
      </c>
      <c r="V4222" s="114"/>
      <c r="W4222" s="114" t="s">
        <v>3436</v>
      </c>
      <c r="X4222" s="114" t="s">
        <v>13</v>
      </c>
      <c r="Y4222" s="149"/>
      <c r="Z4222" s="183"/>
      <c r="AA4222" s="183" t="s">
        <v>2785</v>
      </c>
      <c r="AB4222" s="183" t="s">
        <v>4345</v>
      </c>
      <c r="AC4222" s="183" t="s">
        <v>6</v>
      </c>
      <c r="AD4222" s="183" t="s">
        <v>4979</v>
      </c>
      <c r="AE4222" s="184"/>
      <c r="AF4222" s="184"/>
      <c r="AG4222" s="183"/>
      <c r="AH4222" s="183"/>
      <c r="AI4222" s="183"/>
      <c r="AJ4222" s="183"/>
      <c r="AK4222" s="183"/>
      <c r="AL4222" s="183" t="s">
        <v>4500</v>
      </c>
      <c r="AM4222" s="183"/>
      <c r="AN4222" s="131"/>
      <c r="AO4222" s="131"/>
      <c r="AP4222" s="131"/>
      <c r="AQ4222" s="131"/>
      <c r="AR4222" s="288"/>
      <c r="AS4222" s="259"/>
      <c r="AT4222" s="189" t="s">
        <v>5325</v>
      </c>
      <c r="AU4222" s="202" t="s">
        <v>5081</v>
      </c>
      <c r="AV4222" s="6" t="str">
        <f t="shared" si="90"/>
        <v>OK</v>
      </c>
    </row>
    <row r="4223" spans="1:48" ht="105" thickBot="1" x14ac:dyDescent="0.5">
      <c r="A4223" s="232" t="s">
        <v>3363</v>
      </c>
      <c r="B4223" s="231" t="s">
        <v>3766</v>
      </c>
      <c r="C4223" s="170"/>
      <c r="D4223" s="170"/>
      <c r="E4223" s="170"/>
      <c r="F4223" s="170"/>
      <c r="G4223" s="170"/>
      <c r="H4223" s="170"/>
      <c r="Q4223" s="8" t="s">
        <v>3557</v>
      </c>
      <c r="R4223" s="122" t="s">
        <v>3435</v>
      </c>
      <c r="S4223" s="114" t="s">
        <v>3443</v>
      </c>
      <c r="T4223" s="114" t="s">
        <v>3382</v>
      </c>
      <c r="U4223" s="114" t="s">
        <v>3525</v>
      </c>
      <c r="V4223" s="114"/>
      <c r="W4223" s="114" t="s">
        <v>3436</v>
      </c>
      <c r="X4223" s="114" t="s">
        <v>13</v>
      </c>
      <c r="Y4223" s="149"/>
      <c r="Z4223" s="183"/>
      <c r="AA4223" s="183" t="s">
        <v>2785</v>
      </c>
      <c r="AB4223" s="183" t="s">
        <v>4345</v>
      </c>
      <c r="AC4223" s="183" t="s">
        <v>6</v>
      </c>
      <c r="AD4223" s="183" t="s">
        <v>4980</v>
      </c>
      <c r="AE4223" s="184"/>
      <c r="AF4223" s="184"/>
      <c r="AG4223" s="183"/>
      <c r="AH4223" s="183"/>
      <c r="AI4223" s="183"/>
      <c r="AJ4223" s="183"/>
      <c r="AK4223" s="183"/>
      <c r="AL4223" s="183" t="s">
        <v>4500</v>
      </c>
      <c r="AM4223" s="183"/>
      <c r="AN4223" s="131"/>
      <c r="AO4223" s="131"/>
      <c r="AP4223" s="131"/>
      <c r="AQ4223" s="131"/>
      <c r="AR4223" s="288"/>
      <c r="AS4223" s="259"/>
      <c r="AT4223" s="189" t="s">
        <v>5325</v>
      </c>
      <c r="AU4223" s="202" t="s">
        <v>5081</v>
      </c>
      <c r="AV4223" s="6" t="str">
        <f t="shared" si="90"/>
        <v>OK</v>
      </c>
    </row>
    <row r="4224" spans="1:48" ht="105" thickBot="1" x14ac:dyDescent="0.5">
      <c r="A4224" s="232" t="s">
        <v>3362</v>
      </c>
      <c r="B4224" s="231" t="s">
        <v>3767</v>
      </c>
      <c r="C4224" s="170"/>
      <c r="D4224" s="170"/>
      <c r="E4224" s="170"/>
      <c r="F4224" s="170"/>
      <c r="G4224" s="170"/>
      <c r="H4224" s="170"/>
      <c r="Q4224" s="8" t="s">
        <v>3557</v>
      </c>
      <c r="R4224" s="122" t="s">
        <v>3435</v>
      </c>
      <c r="S4224" s="114" t="s">
        <v>3443</v>
      </c>
      <c r="T4224" s="114" t="s">
        <v>3383</v>
      </c>
      <c r="U4224" s="114" t="s">
        <v>3525</v>
      </c>
      <c r="V4224" s="114"/>
      <c r="W4224" s="114" t="s">
        <v>3436</v>
      </c>
      <c r="X4224" s="114" t="s">
        <v>13</v>
      </c>
      <c r="Y4224" s="149"/>
      <c r="Z4224" s="183"/>
      <c r="AA4224" s="183" t="s">
        <v>2785</v>
      </c>
      <c r="AB4224" s="183" t="s">
        <v>4345</v>
      </c>
      <c r="AC4224" s="183" t="s">
        <v>6</v>
      </c>
      <c r="AD4224" s="183" t="s">
        <v>4982</v>
      </c>
      <c r="AE4224" s="184"/>
      <c r="AF4224" s="184"/>
      <c r="AG4224" s="183"/>
      <c r="AH4224" s="183"/>
      <c r="AI4224" s="183"/>
      <c r="AJ4224" s="183"/>
      <c r="AK4224" s="183"/>
      <c r="AL4224" s="183" t="s">
        <v>4500</v>
      </c>
      <c r="AM4224" s="183"/>
      <c r="AN4224" s="131"/>
      <c r="AO4224" s="131"/>
      <c r="AP4224" s="131"/>
      <c r="AQ4224" s="131"/>
      <c r="AR4224" s="288"/>
      <c r="AS4224" s="259"/>
      <c r="AT4224" s="189" t="s">
        <v>5325</v>
      </c>
      <c r="AU4224" s="202" t="s">
        <v>5081</v>
      </c>
      <c r="AV4224" s="6" t="str">
        <f t="shared" si="90"/>
        <v>OK</v>
      </c>
    </row>
    <row r="4225" spans="1:48" ht="105" thickBot="1" x14ac:dyDescent="0.5">
      <c r="A4225" s="232" t="s">
        <v>3361</v>
      </c>
      <c r="B4225" s="231" t="s">
        <v>3768</v>
      </c>
      <c r="C4225" s="170"/>
      <c r="D4225" s="170"/>
      <c r="E4225" s="170"/>
      <c r="F4225" s="170"/>
      <c r="G4225" s="170"/>
      <c r="H4225" s="170"/>
      <c r="Q4225" s="8" t="s">
        <v>3557</v>
      </c>
      <c r="R4225" s="122" t="s">
        <v>3435</v>
      </c>
      <c r="S4225" s="114" t="s">
        <v>3443</v>
      </c>
      <c r="T4225" s="114" t="s">
        <v>3384</v>
      </c>
      <c r="U4225" s="114" t="s">
        <v>3525</v>
      </c>
      <c r="V4225" s="114"/>
      <c r="W4225" s="114" t="s">
        <v>3436</v>
      </c>
      <c r="X4225" s="114" t="s">
        <v>13</v>
      </c>
      <c r="Y4225" s="149"/>
      <c r="Z4225" s="183"/>
      <c r="AA4225" s="183" t="s">
        <v>2785</v>
      </c>
      <c r="AB4225" s="183" t="s">
        <v>4345</v>
      </c>
      <c r="AC4225" s="183" t="s">
        <v>6</v>
      </c>
      <c r="AD4225" s="183" t="s">
        <v>4981</v>
      </c>
      <c r="AE4225" s="184"/>
      <c r="AF4225" s="184"/>
      <c r="AG4225" s="183"/>
      <c r="AH4225" s="183"/>
      <c r="AI4225" s="183"/>
      <c r="AJ4225" s="183"/>
      <c r="AK4225" s="183"/>
      <c r="AL4225" s="183" t="s">
        <v>4500</v>
      </c>
      <c r="AM4225" s="183"/>
      <c r="AN4225" s="131"/>
      <c r="AO4225" s="131"/>
      <c r="AP4225" s="131"/>
      <c r="AQ4225" s="131"/>
      <c r="AR4225" s="288"/>
      <c r="AS4225" s="259"/>
      <c r="AT4225" s="189" t="s">
        <v>5325</v>
      </c>
      <c r="AU4225" s="202" t="s">
        <v>5081</v>
      </c>
      <c r="AV4225" s="6" t="str">
        <f t="shared" si="90"/>
        <v>OK</v>
      </c>
    </row>
    <row r="4226" spans="1:48" ht="105" thickBot="1" x14ac:dyDescent="0.5">
      <c r="A4226" s="232" t="s">
        <v>3359</v>
      </c>
      <c r="B4226" s="231" t="s">
        <v>3769</v>
      </c>
      <c r="C4226" s="170"/>
      <c r="D4226" s="170"/>
      <c r="E4226" s="170"/>
      <c r="F4226" s="170"/>
      <c r="G4226" s="170"/>
      <c r="H4226" s="170"/>
      <c r="Q4226" s="8" t="s">
        <v>3557</v>
      </c>
      <c r="R4226" s="122" t="s">
        <v>3435</v>
      </c>
      <c r="S4226" s="114" t="s">
        <v>3443</v>
      </c>
      <c r="T4226" s="114" t="s">
        <v>3385</v>
      </c>
      <c r="U4226" s="114" t="s">
        <v>3525</v>
      </c>
      <c r="V4226" s="114"/>
      <c r="W4226" s="114" t="s">
        <v>3436</v>
      </c>
      <c r="X4226" s="114" t="s">
        <v>13</v>
      </c>
      <c r="Y4226" s="149"/>
      <c r="Z4226" s="183"/>
      <c r="AA4226" s="183" t="s">
        <v>2785</v>
      </c>
      <c r="AB4226" s="183" t="s">
        <v>4345</v>
      </c>
      <c r="AC4226" s="183" t="s">
        <v>6</v>
      </c>
      <c r="AD4226" s="183" t="s">
        <v>4983</v>
      </c>
      <c r="AE4226" s="184"/>
      <c r="AF4226" s="184"/>
      <c r="AG4226" s="183"/>
      <c r="AH4226" s="183"/>
      <c r="AI4226" s="183"/>
      <c r="AJ4226" s="183"/>
      <c r="AK4226" s="183"/>
      <c r="AL4226" s="183" t="s">
        <v>4500</v>
      </c>
      <c r="AM4226" s="183"/>
      <c r="AN4226" s="131"/>
      <c r="AO4226" s="131"/>
      <c r="AP4226" s="131"/>
      <c r="AQ4226" s="131"/>
      <c r="AR4226" s="288"/>
      <c r="AS4226" s="259"/>
      <c r="AT4226" s="189" t="s">
        <v>5325</v>
      </c>
      <c r="AU4226" s="202" t="s">
        <v>5081</v>
      </c>
      <c r="AV4226" s="6" t="str">
        <f t="shared" si="90"/>
        <v>OK</v>
      </c>
    </row>
    <row r="4227" spans="1:48" ht="105" thickBot="1" x14ac:dyDescent="0.5">
      <c r="A4227" s="232" t="s">
        <v>3360</v>
      </c>
      <c r="B4227" s="231" t="s">
        <v>3770</v>
      </c>
      <c r="C4227" s="170"/>
      <c r="D4227" s="170"/>
      <c r="E4227" s="170"/>
      <c r="F4227" s="170"/>
      <c r="G4227" s="170"/>
      <c r="H4227" s="170"/>
      <c r="Q4227" s="8" t="s">
        <v>3557</v>
      </c>
      <c r="R4227" s="122" t="s">
        <v>3435</v>
      </c>
      <c r="S4227" s="114" t="s">
        <v>3443</v>
      </c>
      <c r="T4227" s="114" t="s">
        <v>3386</v>
      </c>
      <c r="U4227" s="114" t="s">
        <v>3525</v>
      </c>
      <c r="V4227" s="114"/>
      <c r="W4227" s="114" t="s">
        <v>3436</v>
      </c>
      <c r="X4227" s="114" t="s">
        <v>13</v>
      </c>
      <c r="Y4227" s="149"/>
      <c r="Z4227" s="183"/>
      <c r="AA4227" s="183" t="s">
        <v>2785</v>
      </c>
      <c r="AB4227" s="183" t="s">
        <v>4345</v>
      </c>
      <c r="AC4227" s="183" t="s">
        <v>6</v>
      </c>
      <c r="AD4227" s="183" t="s">
        <v>4984</v>
      </c>
      <c r="AE4227" s="184"/>
      <c r="AF4227" s="184"/>
      <c r="AG4227" s="183"/>
      <c r="AH4227" s="183"/>
      <c r="AI4227" s="183"/>
      <c r="AJ4227" s="183"/>
      <c r="AK4227" s="183"/>
      <c r="AL4227" s="183" t="s">
        <v>4500</v>
      </c>
      <c r="AM4227" s="183"/>
      <c r="AN4227" s="131"/>
      <c r="AO4227" s="131"/>
      <c r="AP4227" s="131"/>
      <c r="AQ4227" s="131"/>
      <c r="AR4227" s="288"/>
      <c r="AS4227" s="259"/>
      <c r="AT4227" s="189" t="s">
        <v>5325</v>
      </c>
      <c r="AU4227" s="202" t="s">
        <v>5081</v>
      </c>
      <c r="AV4227" s="6" t="str">
        <f t="shared" si="90"/>
        <v>OK</v>
      </c>
    </row>
    <row r="4228" spans="1:48" ht="23.65" thickBot="1" x14ac:dyDescent="0.5">
      <c r="A4228" s="228" t="s">
        <v>753</v>
      </c>
      <c r="B4228" s="173" t="s">
        <v>60</v>
      </c>
      <c r="C4228" s="174"/>
      <c r="D4228" s="174"/>
      <c r="E4228" s="174"/>
      <c r="F4228" s="174"/>
      <c r="G4228" s="174"/>
      <c r="H4228" s="174"/>
      <c r="AC4228" s="183"/>
      <c r="AT4228" s="189" t="s">
        <v>5325</v>
      </c>
      <c r="AU4228" s="8"/>
      <c r="AV4228" s="6" t="str">
        <f t="shared" si="90"/>
        <v/>
      </c>
    </row>
    <row r="4229" spans="1:48" x14ac:dyDescent="0.45">
      <c r="A4229" s="33" t="s">
        <v>4281</v>
      </c>
      <c r="AV4229" s="6" t="str">
        <f t="shared" si="90"/>
        <v/>
      </c>
    </row>
    <row r="4230" spans="1:48" ht="70.5" x14ac:dyDescent="0.45">
      <c r="A4230" s="34" t="s">
        <v>5906</v>
      </c>
      <c r="AU4230" s="202" t="s">
        <v>5894</v>
      </c>
      <c r="AV4230" s="6" t="str">
        <f t="shared" si="90"/>
        <v/>
      </c>
    </row>
    <row r="4231" spans="1:48" s="79" customFormat="1" x14ac:dyDescent="0.45">
      <c r="A4231" s="75"/>
      <c r="B4231" s="76"/>
      <c r="C4231" s="77"/>
      <c r="D4231" s="77"/>
      <c r="E4231" s="77"/>
      <c r="F4231" s="77"/>
      <c r="G4231" s="77"/>
      <c r="H4231" s="77"/>
      <c r="I4231" s="77"/>
      <c r="J4231" s="77"/>
      <c r="K4231" s="77"/>
      <c r="L4231" s="77"/>
      <c r="M4231" s="148"/>
      <c r="N4231" s="78"/>
      <c r="O4231" s="78"/>
      <c r="P4231" s="78"/>
      <c r="Q4231" s="78"/>
      <c r="R4231" s="78"/>
      <c r="S4231" s="78"/>
      <c r="T4231" s="78"/>
      <c r="U4231" s="78"/>
      <c r="V4231" s="78"/>
      <c r="W4231" s="78"/>
      <c r="X4231" s="78"/>
      <c r="Y4231" s="148"/>
      <c r="Z4231" s="78"/>
      <c r="AA4231" s="78"/>
      <c r="AB4231" s="78"/>
      <c r="AC4231" s="78"/>
      <c r="AD4231" s="78"/>
      <c r="AE4231" s="156"/>
      <c r="AF4231" s="156"/>
      <c r="AG4231" s="78"/>
      <c r="AH4231" s="78"/>
      <c r="AI4231" s="78"/>
      <c r="AJ4231" s="78"/>
      <c r="AK4231" s="78"/>
      <c r="AL4231" s="78"/>
      <c r="AM4231" s="78"/>
      <c r="AN4231" s="78"/>
      <c r="AO4231" s="78"/>
      <c r="AP4231" s="78"/>
      <c r="AQ4231" s="78"/>
      <c r="AR4231" s="286"/>
      <c r="AS4231" s="78"/>
      <c r="AT4231" s="78"/>
      <c r="AU4231" s="8"/>
      <c r="AV4231" s="6" t="str">
        <f t="shared" si="90"/>
        <v/>
      </c>
    </row>
    <row r="4232" spans="1:48" ht="47.25" x14ac:dyDescent="0.45">
      <c r="A4232" s="27" t="s">
        <v>4556</v>
      </c>
      <c r="L4232" s="18" t="s">
        <v>2335</v>
      </c>
      <c r="AU4232" s="207" t="s">
        <v>5040</v>
      </c>
      <c r="AV4232" s="6" t="str">
        <f t="shared" si="90"/>
        <v/>
      </c>
    </row>
    <row r="4233" spans="1:48" ht="47.65" thickBot="1" x14ac:dyDescent="0.5">
      <c r="A4233" s="346" t="s">
        <v>4639</v>
      </c>
      <c r="B4233" s="324"/>
      <c r="C4233" s="324"/>
      <c r="D4233" s="324"/>
      <c r="E4233" s="324"/>
      <c r="F4233" s="324"/>
      <c r="G4233" s="101"/>
      <c r="H4233" s="101"/>
      <c r="L4233" s="18" t="s">
        <v>2335</v>
      </c>
      <c r="Z4233" s="183" t="s">
        <v>4347</v>
      </c>
      <c r="AA4233" s="183" t="s">
        <v>2322</v>
      </c>
      <c r="AB4233" s="183" t="s">
        <v>1697</v>
      </c>
      <c r="AC4233" s="183" t="s">
        <v>5</v>
      </c>
      <c r="AD4233" s="183" t="s">
        <v>4339</v>
      </c>
      <c r="AE4233" s="184" t="s">
        <v>4338</v>
      </c>
      <c r="AF4233" s="184" t="s">
        <v>4350</v>
      </c>
      <c r="AG4233" s="183" t="s">
        <v>1695</v>
      </c>
      <c r="AH4233" s="183" t="s">
        <v>4351</v>
      </c>
      <c r="AI4233" s="8" t="s">
        <v>4455</v>
      </c>
      <c r="AJ4233" s="183" t="s">
        <v>5051</v>
      </c>
      <c r="AU4233" s="207" t="s">
        <v>5040</v>
      </c>
      <c r="AV4233" s="6" t="str">
        <f t="shared" si="90"/>
        <v/>
      </c>
    </row>
    <row r="4234" spans="1:48" ht="186.4" thickBot="1" x14ac:dyDescent="0.5">
      <c r="A4234" s="309" t="s">
        <v>4557</v>
      </c>
      <c r="B4234" s="310"/>
      <c r="C4234" s="301" t="s">
        <v>1</v>
      </c>
      <c r="D4234" s="319"/>
      <c r="E4234" s="319"/>
      <c r="F4234" s="302"/>
      <c r="G4234" s="102"/>
      <c r="H4234" s="102"/>
      <c r="L4234" s="18" t="s">
        <v>2335</v>
      </c>
      <c r="Z4234" s="183"/>
      <c r="AA4234" s="183" t="s">
        <v>4681</v>
      </c>
      <c r="AB4234" s="183" t="str">
        <f>MID($A4234,FIND("(",$A4234)+1,LEN($A4234)-FIND("(",$A4234)-1)</f>
        <v>1.0.0</v>
      </c>
      <c r="AC4234" s="101" t="str">
        <f>A4233</f>
        <v>A DCNIONetworkCollection is a collection of DCNIONetwork Resources running on a node.
For additional detail on I/O Networks and DCN Physical Topology, see O-PAS Part 7 – Physical Platform.</v>
      </c>
      <c r="AD4234" s="101"/>
      <c r="AE4234" s="253" t="s">
        <v>5907</v>
      </c>
      <c r="AF4234" s="184" t="s">
        <v>4352</v>
      </c>
      <c r="AG4234" s="183" t="s">
        <v>4352</v>
      </c>
      <c r="AH4234" s="183" t="s">
        <v>4352</v>
      </c>
      <c r="AI4234" s="183" t="s">
        <v>5248</v>
      </c>
      <c r="AU4234" s="208" t="s">
        <v>5041</v>
      </c>
      <c r="AV4234" s="6" t="str">
        <f t="shared" si="90"/>
        <v/>
      </c>
    </row>
    <row r="4235" spans="1:48" ht="14.65" thickBot="1" x14ac:dyDescent="0.5">
      <c r="A4235" s="311"/>
      <c r="B4235" s="312"/>
      <c r="C4235" s="301" t="s">
        <v>2</v>
      </c>
      <c r="D4235" s="302"/>
      <c r="E4235" s="301" t="s">
        <v>3</v>
      </c>
      <c r="F4235" s="302"/>
      <c r="G4235" s="301" t="s">
        <v>2896</v>
      </c>
      <c r="H4235" s="302"/>
      <c r="L4235" s="18" t="s">
        <v>2335</v>
      </c>
      <c r="AU4235" s="208" t="s">
        <v>5041</v>
      </c>
      <c r="AV4235" s="6" t="str">
        <f t="shared" si="90"/>
        <v/>
      </c>
    </row>
    <row r="4236" spans="1:48" ht="14.65" thickBot="1" x14ac:dyDescent="0.5">
      <c r="A4236" s="46" t="s">
        <v>2377</v>
      </c>
      <c r="B4236" s="47"/>
      <c r="C4236" s="303"/>
      <c r="D4236" s="304"/>
      <c r="E4236" s="303"/>
      <c r="F4236" s="304"/>
      <c r="G4236" s="303"/>
      <c r="H4236" s="304"/>
      <c r="AU4236" s="208" t="s">
        <v>5041</v>
      </c>
      <c r="AV4236" s="6" t="str">
        <f t="shared" ref="AV4236:AV4260" si="95">IF(A4236&lt;&gt;"",IF(T4236&lt;&gt;"",IF(LEFT(R4236,3)="Has",IF(TRIM(A4236)&lt;&gt;T4236,"ERROR","OK"),""),""),"")</f>
        <v/>
      </c>
    </row>
    <row r="4237" spans="1:48" ht="14.65" thickBot="1" x14ac:dyDescent="0.5">
      <c r="A4237" s="30" t="s">
        <v>4</v>
      </c>
      <c r="B4237" s="59" t="s">
        <v>5</v>
      </c>
      <c r="C4237" s="7" t="s">
        <v>6</v>
      </c>
      <c r="D4237" s="7" t="s">
        <v>7</v>
      </c>
      <c r="E4237" s="7" t="s">
        <v>6</v>
      </c>
      <c r="F4237" s="7" t="s">
        <v>7</v>
      </c>
      <c r="G4237" s="7" t="s">
        <v>6</v>
      </c>
      <c r="H4237" s="7" t="s">
        <v>7</v>
      </c>
      <c r="L4237" s="18" t="s">
        <v>2335</v>
      </c>
      <c r="Z4237" s="183" t="s">
        <v>4347</v>
      </c>
      <c r="AA4237" s="183" t="s">
        <v>4343</v>
      </c>
      <c r="AB4237" s="183" t="s">
        <v>4172</v>
      </c>
      <c r="AC4237" s="183" t="s">
        <v>4340</v>
      </c>
      <c r="AD4237" s="183" t="s">
        <v>4339</v>
      </c>
      <c r="AE4237" s="184" t="s">
        <v>4341</v>
      </c>
      <c r="AF4237" s="184" t="s">
        <v>4342</v>
      </c>
      <c r="AG4237" s="183" t="s">
        <v>4353</v>
      </c>
      <c r="AH4237" s="183" t="s">
        <v>3429</v>
      </c>
      <c r="AI4237" s="183" t="s">
        <v>4356</v>
      </c>
      <c r="AJ4237" s="183" t="s">
        <v>4364</v>
      </c>
      <c r="AU4237" s="208" t="s">
        <v>5041</v>
      </c>
      <c r="AV4237" s="6" t="str">
        <f t="shared" si="95"/>
        <v/>
      </c>
    </row>
    <row r="4238" spans="1:48" ht="105" thickBot="1" x14ac:dyDescent="0.5">
      <c r="A4238" s="182" t="s">
        <v>2792</v>
      </c>
      <c r="B4238" s="165" t="s">
        <v>4558</v>
      </c>
      <c r="C4238" s="166"/>
      <c r="D4238" s="166"/>
      <c r="E4238" s="166"/>
      <c r="F4238" s="166"/>
      <c r="G4238" s="166"/>
      <c r="H4238" s="166"/>
      <c r="Z4238" s="183"/>
      <c r="AB4238" s="8" t="s">
        <v>4354</v>
      </c>
      <c r="AC4238" s="183" t="s">
        <v>6</v>
      </c>
      <c r="AD4238" s="183"/>
      <c r="AE4238" s="184"/>
      <c r="AF4238" s="184"/>
      <c r="AG4238" s="183" t="s">
        <v>4355</v>
      </c>
      <c r="AH4238" s="183" t="s">
        <v>5263</v>
      </c>
      <c r="AI4238" s="183" t="s">
        <v>4357</v>
      </c>
      <c r="AT4238" s="189" t="s">
        <v>5325</v>
      </c>
      <c r="AU4238" s="208" t="s">
        <v>5041</v>
      </c>
      <c r="AV4238" s="6" t="str">
        <f t="shared" si="95"/>
        <v/>
      </c>
    </row>
    <row r="4239" spans="1:48" ht="23.65" thickBot="1" x14ac:dyDescent="0.5">
      <c r="A4239" s="164" t="s">
        <v>33</v>
      </c>
      <c r="B4239" s="165" t="s">
        <v>4559</v>
      </c>
      <c r="C4239" s="166"/>
      <c r="D4239" s="166"/>
      <c r="E4239" s="166"/>
      <c r="F4239" s="166"/>
      <c r="G4239" s="166"/>
      <c r="H4239" s="166"/>
      <c r="L4239" s="18" t="s">
        <v>2335</v>
      </c>
      <c r="AT4239" s="189" t="s">
        <v>5325</v>
      </c>
      <c r="AU4239" s="208" t="s">
        <v>5041</v>
      </c>
      <c r="AV4239" s="6" t="str">
        <f t="shared" si="95"/>
        <v/>
      </c>
    </row>
    <row r="4240" spans="1:48" x14ac:dyDescent="0.45">
      <c r="A4240" s="33" t="s">
        <v>4560</v>
      </c>
      <c r="L4240" s="18" t="s">
        <v>2335</v>
      </c>
      <c r="AU4240" s="208" t="s">
        <v>5041</v>
      </c>
      <c r="AV4240" s="6" t="str">
        <f t="shared" si="95"/>
        <v/>
      </c>
    </row>
    <row r="4241" spans="1:48" x14ac:dyDescent="0.45">
      <c r="A4241" s="34" t="s">
        <v>5908</v>
      </c>
      <c r="L4241" s="18" t="s">
        <v>2335</v>
      </c>
      <c r="AU4241" s="208" t="s">
        <v>5041</v>
      </c>
      <c r="AV4241" s="6" t="str">
        <f t="shared" si="95"/>
        <v/>
      </c>
    </row>
    <row r="4242" spans="1:48" s="79" customFormat="1" ht="14.65" thickBot="1" x14ac:dyDescent="0.5">
      <c r="A4242" s="75"/>
      <c r="B4242" s="76"/>
      <c r="C4242" s="77"/>
      <c r="D4242" s="77"/>
      <c r="E4242" s="77"/>
      <c r="F4242" s="77"/>
      <c r="G4242" s="77"/>
      <c r="H4242" s="77"/>
      <c r="I4242" s="77"/>
      <c r="J4242" s="77"/>
      <c r="K4242" s="77"/>
      <c r="L4242" s="77"/>
      <c r="M4242" s="148"/>
      <c r="N4242" s="78"/>
      <c r="O4242" s="78"/>
      <c r="P4242" s="78"/>
      <c r="Q4242" s="78"/>
      <c r="R4242" s="78"/>
      <c r="S4242" s="78"/>
      <c r="T4242" s="78"/>
      <c r="U4242" s="78"/>
      <c r="V4242" s="78"/>
      <c r="W4242" s="78"/>
      <c r="X4242" s="78"/>
      <c r="Y4242" s="148"/>
      <c r="Z4242" s="78"/>
      <c r="AA4242" s="78"/>
      <c r="AB4242" s="78"/>
      <c r="AC4242" s="78"/>
      <c r="AD4242" s="78"/>
      <c r="AE4242" s="156"/>
      <c r="AF4242" s="156"/>
      <c r="AG4242" s="78"/>
      <c r="AH4242" s="78"/>
      <c r="AI4242" s="78"/>
      <c r="AJ4242" s="78"/>
      <c r="AK4242" s="78"/>
      <c r="AL4242" s="78"/>
      <c r="AM4242" s="78"/>
      <c r="AN4242" s="78"/>
      <c r="AO4242" s="78"/>
      <c r="AP4242" s="78"/>
      <c r="AQ4242" s="78"/>
      <c r="AR4242" s="286"/>
      <c r="AS4242" s="78"/>
      <c r="AT4242" s="78"/>
      <c r="AU4242" s="8"/>
      <c r="AV4242" s="6" t="str">
        <f t="shared" si="95"/>
        <v/>
      </c>
    </row>
    <row r="4243" spans="1:48" ht="47.65" thickBot="1" x14ac:dyDescent="0.5">
      <c r="A4243" s="39" t="s">
        <v>4561</v>
      </c>
      <c r="R4243" s="218" t="s">
        <v>3426</v>
      </c>
      <c r="S4243" s="349" t="s">
        <v>823</v>
      </c>
      <c r="T4243" s="350"/>
      <c r="U4243" s="350"/>
      <c r="V4243" s="350"/>
      <c r="W4243" s="350"/>
      <c r="X4243" s="355"/>
      <c r="Y4243" s="118"/>
      <c r="Z4243" s="185"/>
      <c r="AA4243" s="185"/>
      <c r="AB4243" s="185"/>
      <c r="AC4243" s="185"/>
      <c r="AD4243" s="185"/>
      <c r="AE4243" s="186"/>
      <c r="AF4243" s="186"/>
      <c r="AG4243" s="185"/>
      <c r="AH4243" s="185"/>
      <c r="AI4243" s="185"/>
      <c r="AJ4243" s="185"/>
      <c r="AK4243" s="185"/>
      <c r="AL4243" s="185"/>
      <c r="AM4243" s="185"/>
      <c r="AN4243" s="117"/>
      <c r="AO4243" s="117"/>
      <c r="AP4243" s="117"/>
      <c r="AQ4243" s="117"/>
      <c r="AR4243" s="287"/>
      <c r="AS4243" s="258"/>
      <c r="AT4243" s="185"/>
      <c r="AU4243" s="207" t="s">
        <v>5040</v>
      </c>
      <c r="AV4243" s="6" t="str">
        <f t="shared" si="95"/>
        <v/>
      </c>
    </row>
    <row r="4244" spans="1:48" ht="58.5" thickBot="1" x14ac:dyDescent="0.5">
      <c r="A4244" s="110" t="s">
        <v>4640</v>
      </c>
      <c r="R4244" s="219" t="s">
        <v>3427</v>
      </c>
      <c r="S4244" s="352" t="s">
        <v>4562</v>
      </c>
      <c r="T4244" s="353"/>
      <c r="U4244" s="353"/>
      <c r="V4244" s="353"/>
      <c r="W4244" s="353"/>
      <c r="X4244" s="356"/>
      <c r="Y4244" s="149"/>
      <c r="Z4244" s="183" t="s">
        <v>4347</v>
      </c>
      <c r="AA4244" s="183" t="s">
        <v>2322</v>
      </c>
      <c r="AB4244" s="183" t="s">
        <v>1697</v>
      </c>
      <c r="AC4244" s="183" t="s">
        <v>5</v>
      </c>
      <c r="AD4244" s="183" t="s">
        <v>4339</v>
      </c>
      <c r="AE4244" s="184" t="s">
        <v>4338</v>
      </c>
      <c r="AF4244" s="184" t="s">
        <v>4350</v>
      </c>
      <c r="AG4244" s="183" t="s">
        <v>1695</v>
      </c>
      <c r="AH4244" s="183" t="s">
        <v>4351</v>
      </c>
      <c r="AI4244" s="8" t="s">
        <v>4455</v>
      </c>
      <c r="AJ4244" s="183" t="s">
        <v>5051</v>
      </c>
      <c r="AK4244" s="183"/>
      <c r="AL4244" s="183"/>
      <c r="AM4244" s="183"/>
      <c r="AN4244" s="131"/>
      <c r="AO4244" s="131"/>
      <c r="AP4244" s="131"/>
      <c r="AQ4244" s="131"/>
      <c r="AR4244" s="288"/>
      <c r="AS4244" s="259"/>
      <c r="AT4244" s="183"/>
      <c r="AU4244" s="207" t="s">
        <v>5040</v>
      </c>
      <c r="AV4244" s="6" t="str">
        <f t="shared" si="95"/>
        <v/>
      </c>
    </row>
    <row r="4245" spans="1:48" ht="209.65" thickBot="1" x14ac:dyDescent="0.5">
      <c r="A4245" s="315" t="s">
        <v>4572</v>
      </c>
      <c r="B4245" s="316"/>
      <c r="C4245" s="314" t="s">
        <v>1</v>
      </c>
      <c r="D4245" s="314"/>
      <c r="E4245" s="314"/>
      <c r="F4245" s="314"/>
      <c r="G4245" s="102"/>
      <c r="H4245" s="102"/>
      <c r="R4245" s="219" t="s">
        <v>3428</v>
      </c>
      <c r="S4245" s="352" t="b">
        <v>0</v>
      </c>
      <c r="T4245" s="353"/>
      <c r="U4245" s="353"/>
      <c r="V4245" s="353"/>
      <c r="W4245" s="353"/>
      <c r="X4245" s="356"/>
      <c r="Y4245" s="149"/>
      <c r="Z4245" s="183"/>
      <c r="AA4245" s="183" t="str">
        <f>LEFT($A4245,FIND(" ",$A4245)-1)</f>
        <v>DCNIONetwork</v>
      </c>
      <c r="AB4245" s="183" t="str">
        <f>MID($A4245,FIND("(",$A4245)+1,LEN($A4245)-FIND("(",$A4245)-1)</f>
        <v>1.0.0</v>
      </c>
      <c r="AC4245" s="101" t="str">
        <f>A4244</f>
        <v>Resource describing an O-PAS DCN IONetwork.
For additional detail on I/O Networks and DCN Physical Topology, see O-PAS Part 7 – Physical Platform.</v>
      </c>
      <c r="AD4245" s="101"/>
      <c r="AE4245" s="253" t="s">
        <v>5909</v>
      </c>
      <c r="AF4245" s="184" t="s">
        <v>4352</v>
      </c>
      <c r="AG4245" s="183" t="s">
        <v>4357</v>
      </c>
      <c r="AH4245" s="183" t="s">
        <v>4352</v>
      </c>
      <c r="AI4245" s="183" t="s">
        <v>5248</v>
      </c>
      <c r="AJ4245" s="183"/>
      <c r="AK4245" s="183"/>
      <c r="AL4245" s="183"/>
      <c r="AM4245" s="183"/>
      <c r="AN4245" s="131"/>
      <c r="AO4245" s="131"/>
      <c r="AP4245" s="131"/>
      <c r="AQ4245" s="131"/>
      <c r="AR4245" s="288"/>
      <c r="AS4245" s="259"/>
      <c r="AT4245" s="183"/>
      <c r="AU4245" s="208" t="s">
        <v>5041</v>
      </c>
      <c r="AV4245" s="6" t="str">
        <f t="shared" si="95"/>
        <v/>
      </c>
    </row>
    <row r="4246" spans="1:48" ht="14.65" thickBot="1" x14ac:dyDescent="0.5">
      <c r="A4246" s="317"/>
      <c r="B4246" s="318"/>
      <c r="C4246" s="314" t="s">
        <v>2</v>
      </c>
      <c r="D4246" s="314"/>
      <c r="E4246" s="314" t="s">
        <v>3</v>
      </c>
      <c r="F4246" s="314"/>
      <c r="G4246" s="314" t="s">
        <v>2896</v>
      </c>
      <c r="H4246" s="314"/>
      <c r="R4246" s="115"/>
      <c r="S4246" s="115"/>
      <c r="T4246" s="115"/>
      <c r="U4246" s="115"/>
      <c r="V4246" s="115"/>
      <c r="W4246" s="115"/>
      <c r="X4246" s="115"/>
      <c r="Y4246" s="149"/>
      <c r="Z4246" s="183"/>
      <c r="AA4246" s="183"/>
      <c r="AB4246" s="183"/>
      <c r="AC4246" s="183"/>
      <c r="AD4246" s="183"/>
      <c r="AE4246" s="184"/>
      <c r="AF4246" s="184"/>
      <c r="AG4246" s="183"/>
      <c r="AH4246" s="183"/>
      <c r="AI4246" s="183"/>
      <c r="AJ4246" s="183"/>
      <c r="AK4246" s="183"/>
      <c r="AL4246" s="183"/>
      <c r="AM4246" s="183"/>
      <c r="AN4246" s="131"/>
      <c r="AO4246" s="131"/>
      <c r="AP4246" s="131"/>
      <c r="AQ4246" s="131"/>
      <c r="AR4246" s="288"/>
      <c r="AS4246" s="259"/>
      <c r="AT4246" s="183"/>
      <c r="AU4246" s="208" t="s">
        <v>5041</v>
      </c>
      <c r="AV4246" s="6" t="str">
        <f t="shared" si="95"/>
        <v/>
      </c>
    </row>
    <row r="4247" spans="1:48" ht="14.65" thickBot="1" x14ac:dyDescent="0.5">
      <c r="A4247" s="46" t="s">
        <v>2377</v>
      </c>
      <c r="B4247" s="47"/>
      <c r="C4247" s="344"/>
      <c r="D4247" s="345"/>
      <c r="E4247" s="344"/>
      <c r="F4247" s="345"/>
      <c r="G4247" s="344"/>
      <c r="H4247" s="345"/>
      <c r="R4247" s="129"/>
      <c r="S4247" s="117"/>
      <c r="T4247" s="117"/>
      <c r="U4247" s="117"/>
      <c r="V4247" s="117"/>
      <c r="W4247" s="117"/>
      <c r="X4247" s="216"/>
      <c r="Y4247" s="118"/>
      <c r="Z4247" s="185"/>
      <c r="AA4247" s="185"/>
      <c r="AB4247" s="185"/>
      <c r="AC4247" s="185"/>
      <c r="AD4247" s="185"/>
      <c r="AE4247" s="186"/>
      <c r="AF4247" s="186"/>
      <c r="AG4247" s="185"/>
      <c r="AH4247" s="185"/>
      <c r="AI4247" s="185"/>
      <c r="AJ4247" s="185"/>
      <c r="AK4247" s="185"/>
      <c r="AL4247" s="185"/>
      <c r="AM4247" s="185"/>
      <c r="AN4247" s="117"/>
      <c r="AO4247" s="117"/>
      <c r="AP4247" s="117"/>
      <c r="AQ4247" s="117"/>
      <c r="AR4247" s="287"/>
      <c r="AS4247" s="258"/>
      <c r="AT4247" s="185"/>
      <c r="AU4247" s="208" t="s">
        <v>5041</v>
      </c>
      <c r="AV4247" s="6" t="str">
        <f t="shared" si="95"/>
        <v/>
      </c>
    </row>
    <row r="4248" spans="1:48" ht="14.65" thickBot="1" x14ac:dyDescent="0.5">
      <c r="A4248" s="29" t="s">
        <v>3394</v>
      </c>
      <c r="B4248" s="9"/>
      <c r="C4248" s="347"/>
      <c r="D4248" s="348"/>
      <c r="E4248" s="347"/>
      <c r="F4248" s="348"/>
      <c r="G4248" s="347"/>
      <c r="H4248" s="348"/>
      <c r="R4248" s="111" t="s">
        <v>3429</v>
      </c>
      <c r="S4248" s="111" t="s">
        <v>3430</v>
      </c>
      <c r="T4248" s="111" t="s">
        <v>3427</v>
      </c>
      <c r="U4248" s="111" t="s">
        <v>3431</v>
      </c>
      <c r="V4248" s="111" t="s">
        <v>3432</v>
      </c>
      <c r="W4248" s="111" t="s">
        <v>3433</v>
      </c>
      <c r="X4248" s="217" t="s">
        <v>3434</v>
      </c>
      <c r="Y4248" s="118" t="s">
        <v>3965</v>
      </c>
      <c r="Z4248" s="185"/>
      <c r="AA4248" s="185"/>
      <c r="AB4248" s="185"/>
      <c r="AC4248" s="185"/>
      <c r="AD4248" s="185"/>
      <c r="AE4248" s="186"/>
      <c r="AF4248" s="186"/>
      <c r="AG4248" s="185"/>
      <c r="AH4248" s="185"/>
      <c r="AI4248" s="185"/>
      <c r="AJ4248" s="185"/>
      <c r="AK4248" s="185"/>
      <c r="AL4248" s="185"/>
      <c r="AM4248" s="185"/>
      <c r="AN4248" s="117"/>
      <c r="AO4248" s="117"/>
      <c r="AP4248" s="117"/>
      <c r="AQ4248" s="117"/>
      <c r="AR4248" s="287"/>
      <c r="AS4248" s="258"/>
      <c r="AT4248" s="185"/>
      <c r="AU4248" s="208" t="s">
        <v>5041</v>
      </c>
      <c r="AV4248" s="6" t="str">
        <f t="shared" si="95"/>
        <v/>
      </c>
    </row>
    <row r="4249" spans="1:48" ht="15" customHeight="1" thickBot="1" x14ac:dyDescent="0.5">
      <c r="A4249" s="60" t="s">
        <v>4</v>
      </c>
      <c r="B4249" s="61" t="s">
        <v>5</v>
      </c>
      <c r="C4249" s="62" t="s">
        <v>6</v>
      </c>
      <c r="D4249" s="62" t="s">
        <v>7</v>
      </c>
      <c r="E4249" s="62" t="s">
        <v>6</v>
      </c>
      <c r="F4249" s="62" t="s">
        <v>7</v>
      </c>
      <c r="G4249" s="62" t="s">
        <v>6</v>
      </c>
      <c r="H4249" s="62" t="s">
        <v>7</v>
      </c>
      <c r="R4249" s="352" t="s">
        <v>4040</v>
      </c>
      <c r="S4249" s="353"/>
      <c r="T4249" s="353"/>
      <c r="U4249" s="353"/>
      <c r="V4249" s="353"/>
      <c r="W4249" s="353"/>
      <c r="X4249" s="357"/>
      <c r="Y4249" s="149"/>
      <c r="Z4249" s="183" t="s">
        <v>4347</v>
      </c>
      <c r="AA4249" s="183" t="s">
        <v>4343</v>
      </c>
      <c r="AB4249" s="183" t="s">
        <v>4172</v>
      </c>
      <c r="AC4249" s="183" t="s">
        <v>4340</v>
      </c>
      <c r="AD4249" s="183" t="s">
        <v>4339</v>
      </c>
      <c r="AE4249" s="184" t="s">
        <v>4341</v>
      </c>
      <c r="AF4249" s="184" t="s">
        <v>4342</v>
      </c>
      <c r="AG4249" s="183" t="s">
        <v>4353</v>
      </c>
      <c r="AH4249" s="183" t="s">
        <v>3429</v>
      </c>
      <c r="AI4249" s="183" t="s">
        <v>4356</v>
      </c>
      <c r="AJ4249" s="183" t="s">
        <v>4364</v>
      </c>
      <c r="AK4249" s="183"/>
      <c r="AL4249" s="183"/>
      <c r="AM4249" s="183"/>
      <c r="AN4249" s="131"/>
      <c r="AO4249" s="131"/>
      <c r="AP4249" s="131"/>
      <c r="AQ4249" s="131"/>
      <c r="AR4249" s="288"/>
      <c r="AS4249" s="259"/>
      <c r="AT4249" s="183"/>
      <c r="AU4249" s="208" t="s">
        <v>5041</v>
      </c>
      <c r="AV4249" s="6" t="str">
        <f t="shared" si="95"/>
        <v/>
      </c>
    </row>
    <row r="4250" spans="1:48" ht="23.65" thickBot="1" x14ac:dyDescent="0.5">
      <c r="A4250" s="182" t="s">
        <v>8</v>
      </c>
      <c r="B4250" s="165" t="s">
        <v>4948</v>
      </c>
      <c r="C4250" s="192"/>
      <c r="D4250" s="192"/>
      <c r="E4250" s="192"/>
      <c r="F4250" s="192"/>
      <c r="G4250" s="192"/>
      <c r="H4250" s="192"/>
      <c r="L4250" s="18" t="s">
        <v>2336</v>
      </c>
      <c r="Z4250" s="183"/>
      <c r="AB4250" s="8" t="s">
        <v>4348</v>
      </c>
      <c r="AT4250" s="189" t="s">
        <v>5325</v>
      </c>
      <c r="AU4250" s="208" t="s">
        <v>5041</v>
      </c>
      <c r="AV4250" s="6" t="str">
        <f t="shared" si="95"/>
        <v/>
      </c>
    </row>
    <row r="4251" spans="1:48" ht="23.65" thickBot="1" x14ac:dyDescent="0.5">
      <c r="A4251" s="158" t="s">
        <v>4610</v>
      </c>
      <c r="B4251" s="159" t="s">
        <v>4947</v>
      </c>
      <c r="C4251" s="160"/>
      <c r="D4251" s="160"/>
      <c r="E4251" s="161"/>
      <c r="F4251" s="161"/>
      <c r="G4251" s="160"/>
      <c r="H4251" s="160"/>
      <c r="R4251" s="122" t="s">
        <v>3529</v>
      </c>
      <c r="S4251" s="114" t="s">
        <v>4</v>
      </c>
      <c r="T4251" s="114" t="s">
        <v>4563</v>
      </c>
      <c r="U4251" s="114" t="s">
        <v>3521</v>
      </c>
      <c r="V4251" s="114" t="s">
        <v>3530</v>
      </c>
      <c r="W4251" s="114" t="s">
        <v>3436</v>
      </c>
      <c r="X4251" s="114" t="s">
        <v>13</v>
      </c>
      <c r="Y4251" s="149"/>
      <c r="Z4251" s="183"/>
      <c r="AA4251" s="183"/>
      <c r="AB4251" s="183" t="s">
        <v>758</v>
      </c>
      <c r="AC4251" s="183" t="s">
        <v>4346</v>
      </c>
      <c r="AD4251" s="183"/>
      <c r="AE4251" s="184"/>
      <c r="AF4251" s="184"/>
      <c r="AG4251" s="183"/>
      <c r="AH4251" s="183"/>
      <c r="AI4251" s="183"/>
      <c r="AJ4251" s="183"/>
      <c r="AK4251" s="183"/>
      <c r="AL4251" s="183"/>
      <c r="AM4251" s="183"/>
      <c r="AN4251" s="131"/>
      <c r="AO4251" s="131"/>
      <c r="AP4251" s="131"/>
      <c r="AQ4251" s="131"/>
      <c r="AR4251" s="288"/>
      <c r="AS4251" s="259"/>
      <c r="AT4251" s="189" t="s">
        <v>5325</v>
      </c>
      <c r="AU4251" s="208" t="s">
        <v>5041</v>
      </c>
      <c r="AV4251" s="6" t="str">
        <f t="shared" si="95"/>
        <v>ERROR</v>
      </c>
    </row>
    <row r="4252" spans="1:48" ht="23.65" thickBot="1" x14ac:dyDescent="0.5">
      <c r="A4252" s="158" t="s">
        <v>4611</v>
      </c>
      <c r="B4252" s="159" t="s">
        <v>4946</v>
      </c>
      <c r="C4252" s="160"/>
      <c r="D4252" s="160"/>
      <c r="E4252" s="161"/>
      <c r="F4252" s="161"/>
      <c r="G4252" s="160"/>
      <c r="H4252" s="160"/>
      <c r="R4252" s="122" t="s">
        <v>3529</v>
      </c>
      <c r="S4252" s="114" t="s">
        <v>4</v>
      </c>
      <c r="T4252" s="114" t="s">
        <v>4563</v>
      </c>
      <c r="U4252" s="114" t="s">
        <v>3521</v>
      </c>
      <c r="V4252" s="114" t="s">
        <v>3530</v>
      </c>
      <c r="W4252" s="114" t="s">
        <v>3436</v>
      </c>
      <c r="X4252" s="114" t="s">
        <v>13</v>
      </c>
      <c r="Y4252" s="149"/>
      <c r="Z4252" s="183"/>
      <c r="AA4252" s="183"/>
      <c r="AB4252" s="183" t="s">
        <v>758</v>
      </c>
      <c r="AC4252" s="183" t="s">
        <v>4346</v>
      </c>
      <c r="AD4252" s="183"/>
      <c r="AE4252" s="184"/>
      <c r="AF4252" s="184"/>
      <c r="AG4252" s="183"/>
      <c r="AH4252" s="183"/>
      <c r="AI4252" s="183"/>
      <c r="AJ4252" s="183"/>
      <c r="AK4252" s="183"/>
      <c r="AL4252" s="183"/>
      <c r="AM4252" s="183"/>
      <c r="AN4252" s="131"/>
      <c r="AO4252" s="131"/>
      <c r="AP4252" s="131"/>
      <c r="AQ4252" s="131"/>
      <c r="AR4252" s="288"/>
      <c r="AS4252" s="259"/>
      <c r="AT4252" s="189" t="s">
        <v>5325</v>
      </c>
      <c r="AU4252" s="208" t="s">
        <v>5041</v>
      </c>
      <c r="AV4252" s="6" t="str">
        <f t="shared" si="95"/>
        <v>ERROR</v>
      </c>
    </row>
    <row r="4253" spans="1:48" ht="23.65" thickBot="1" x14ac:dyDescent="0.5">
      <c r="A4253" s="158" t="s">
        <v>4612</v>
      </c>
      <c r="B4253" s="159" t="s">
        <v>4945</v>
      </c>
      <c r="C4253" s="160"/>
      <c r="D4253" s="160"/>
      <c r="E4253" s="161"/>
      <c r="F4253" s="161"/>
      <c r="G4253" s="160"/>
      <c r="H4253" s="160"/>
      <c r="R4253" s="122" t="s">
        <v>3529</v>
      </c>
      <c r="S4253" s="114" t="s">
        <v>4</v>
      </c>
      <c r="T4253" s="114" t="s">
        <v>4563</v>
      </c>
      <c r="U4253" s="114" t="s">
        <v>3521</v>
      </c>
      <c r="V4253" s="114" t="s">
        <v>3530</v>
      </c>
      <c r="W4253" s="114" t="s">
        <v>3436</v>
      </c>
      <c r="X4253" s="114" t="s">
        <v>13</v>
      </c>
      <c r="Y4253" s="149"/>
      <c r="Z4253" s="183"/>
      <c r="AA4253" s="183"/>
      <c r="AB4253" s="183" t="s">
        <v>758</v>
      </c>
      <c r="AC4253" s="183" t="s">
        <v>4346</v>
      </c>
      <c r="AD4253" s="183"/>
      <c r="AE4253" s="184"/>
      <c r="AF4253" s="184"/>
      <c r="AG4253" s="183"/>
      <c r="AH4253" s="183"/>
      <c r="AI4253" s="183"/>
      <c r="AJ4253" s="183"/>
      <c r="AK4253" s="183"/>
      <c r="AL4253" s="183"/>
      <c r="AM4253" s="183"/>
      <c r="AN4253" s="131"/>
      <c r="AO4253" s="131"/>
      <c r="AP4253" s="131"/>
      <c r="AQ4253" s="131"/>
      <c r="AR4253" s="288"/>
      <c r="AS4253" s="259"/>
      <c r="AT4253" s="189" t="s">
        <v>5325</v>
      </c>
      <c r="AU4253" s="208" t="s">
        <v>5041</v>
      </c>
      <c r="AV4253" s="6" t="str">
        <f t="shared" si="95"/>
        <v>ERROR</v>
      </c>
    </row>
    <row r="4254" spans="1:48" ht="35.25" thickBot="1" x14ac:dyDescent="0.5">
      <c r="A4254" s="158" t="s">
        <v>4517</v>
      </c>
      <c r="B4254" s="159" t="s">
        <v>4944</v>
      </c>
      <c r="C4254" s="160"/>
      <c r="D4254" s="160"/>
      <c r="E4254" s="161"/>
      <c r="F4254" s="161"/>
      <c r="G4254" s="160"/>
      <c r="H4254" s="160"/>
      <c r="R4254" s="122" t="s">
        <v>3529</v>
      </c>
      <c r="S4254" s="114" t="s">
        <v>4</v>
      </c>
      <c r="T4254" s="114" t="s">
        <v>4563</v>
      </c>
      <c r="U4254" s="114" t="s">
        <v>3521</v>
      </c>
      <c r="V4254" s="114" t="s">
        <v>3530</v>
      </c>
      <c r="W4254" s="114" t="s">
        <v>3436</v>
      </c>
      <c r="X4254" s="114" t="s">
        <v>13</v>
      </c>
      <c r="Y4254" s="149"/>
      <c r="Z4254" s="183"/>
      <c r="AA4254" s="183"/>
      <c r="AB4254" s="183" t="s">
        <v>4632</v>
      </c>
      <c r="AC4254" s="183" t="s">
        <v>4346</v>
      </c>
      <c r="AD4254" s="183"/>
      <c r="AE4254" s="184"/>
      <c r="AF4254" s="184"/>
      <c r="AG4254" s="183"/>
      <c r="AH4254" s="183"/>
      <c r="AI4254" s="183"/>
      <c r="AJ4254" s="183"/>
      <c r="AK4254" s="183"/>
      <c r="AL4254" s="183"/>
      <c r="AM4254" s="183"/>
      <c r="AN4254" s="131"/>
      <c r="AO4254" s="131"/>
      <c r="AP4254" s="131"/>
      <c r="AQ4254" s="131"/>
      <c r="AR4254" s="288"/>
      <c r="AS4254" s="259"/>
      <c r="AT4254" s="189" t="s">
        <v>5325</v>
      </c>
      <c r="AU4254" s="208" t="s">
        <v>5041</v>
      </c>
      <c r="AV4254" s="6" t="str">
        <f t="shared" si="95"/>
        <v>ERROR</v>
      </c>
    </row>
    <row r="4255" spans="1:48" ht="116.65" thickBot="1" x14ac:dyDescent="0.5">
      <c r="A4255" s="158" t="s">
        <v>4511</v>
      </c>
      <c r="B4255" s="159" t="s">
        <v>4565</v>
      </c>
      <c r="C4255" s="160"/>
      <c r="D4255" s="161"/>
      <c r="E4255" s="161"/>
      <c r="F4255" s="161"/>
      <c r="G4255" s="160"/>
      <c r="H4255" s="161"/>
      <c r="R4255" s="122" t="s">
        <v>3435</v>
      </c>
      <c r="S4255" s="114" t="s">
        <v>3437</v>
      </c>
      <c r="T4255" s="114" t="s">
        <v>4607</v>
      </c>
      <c r="U4255" s="114"/>
      <c r="V4255" s="114" t="s">
        <v>4599</v>
      </c>
      <c r="W4255" s="114" t="s">
        <v>3436</v>
      </c>
      <c r="X4255" s="114" t="s">
        <v>13</v>
      </c>
      <c r="Y4255" s="149"/>
      <c r="Z4255" s="183"/>
      <c r="AA4255" s="183"/>
      <c r="AB4255" s="183" t="s">
        <v>4354</v>
      </c>
      <c r="AC4255" s="183" t="s">
        <v>6</v>
      </c>
      <c r="AD4255" s="183"/>
      <c r="AE4255" s="184"/>
      <c r="AF4255" s="184"/>
      <c r="AG4255" s="183" t="s">
        <v>4355</v>
      </c>
      <c r="AH4255" s="183" t="s">
        <v>5253</v>
      </c>
      <c r="AI4255" s="183" t="s">
        <v>4357</v>
      </c>
      <c r="AJ4255" s="183"/>
      <c r="AK4255" s="183"/>
      <c r="AL4255" s="183"/>
      <c r="AM4255" s="183"/>
      <c r="AN4255" s="131"/>
      <c r="AO4255" s="131"/>
      <c r="AP4255" s="131"/>
      <c r="AQ4255" s="131"/>
      <c r="AR4255" s="288"/>
      <c r="AS4255" s="259"/>
      <c r="AT4255" s="189" t="s">
        <v>5325</v>
      </c>
      <c r="AU4255" s="208" t="s">
        <v>5041</v>
      </c>
      <c r="AV4255" s="6" t="str">
        <f t="shared" si="95"/>
        <v>ERROR</v>
      </c>
    </row>
    <row r="4256" spans="1:48" ht="23.65" thickBot="1" x14ac:dyDescent="0.5">
      <c r="A4256" s="163" t="s">
        <v>33</v>
      </c>
      <c r="B4256" s="159" t="s">
        <v>4949</v>
      </c>
      <c r="C4256" s="160"/>
      <c r="D4256" s="161"/>
      <c r="E4256" s="161"/>
      <c r="F4256" s="161"/>
      <c r="G4256" s="160"/>
      <c r="H4256" s="161"/>
      <c r="U4256" s="115"/>
      <c r="AT4256" s="189" t="s">
        <v>5325</v>
      </c>
      <c r="AU4256" s="208" t="s">
        <v>5041</v>
      </c>
      <c r="AV4256" s="6" t="str">
        <f t="shared" si="95"/>
        <v/>
      </c>
    </row>
    <row r="4257" spans="1:48" ht="23.65" thickBot="1" x14ac:dyDescent="0.5">
      <c r="A4257" s="182" t="s">
        <v>753</v>
      </c>
      <c r="B4257" s="165" t="s">
        <v>60</v>
      </c>
      <c r="C4257" s="166"/>
      <c r="D4257" s="166"/>
      <c r="E4257" s="166"/>
      <c r="F4257" s="166"/>
      <c r="G4257" s="166"/>
      <c r="H4257" s="166"/>
      <c r="Z4257" s="183"/>
      <c r="AA4257" s="183"/>
      <c r="AB4257" s="183"/>
      <c r="AC4257" s="183"/>
      <c r="AD4257" s="183"/>
      <c r="AT4257" s="189" t="s">
        <v>5325</v>
      </c>
      <c r="AU4257" s="208" t="s">
        <v>5041</v>
      </c>
      <c r="AV4257" s="6" t="str">
        <f t="shared" si="95"/>
        <v/>
      </c>
    </row>
    <row r="4258" spans="1:48" x14ac:dyDescent="0.45">
      <c r="A4258" s="33" t="s">
        <v>4564</v>
      </c>
      <c r="AU4258" s="208" t="s">
        <v>5041</v>
      </c>
      <c r="AV4258" s="6" t="str">
        <f t="shared" si="95"/>
        <v/>
      </c>
    </row>
    <row r="4259" spans="1:48" x14ac:dyDescent="0.45">
      <c r="A4259" s="34" t="s">
        <v>5910</v>
      </c>
      <c r="AU4259" s="208" t="s">
        <v>5041</v>
      </c>
      <c r="AV4259" s="6" t="str">
        <f t="shared" si="95"/>
        <v/>
      </c>
    </row>
    <row r="4260" spans="1:48" s="79" customFormat="1" x14ac:dyDescent="0.45">
      <c r="A4260" s="75"/>
      <c r="B4260" s="76"/>
      <c r="C4260" s="77"/>
      <c r="D4260" s="77"/>
      <c r="E4260" s="77"/>
      <c r="F4260" s="77"/>
      <c r="G4260" s="77"/>
      <c r="H4260" s="77"/>
      <c r="I4260" s="77"/>
      <c r="J4260" s="77"/>
      <c r="K4260" s="77"/>
      <c r="L4260" s="77"/>
      <c r="M4260" s="148"/>
      <c r="N4260" s="78"/>
      <c r="O4260" s="78"/>
      <c r="P4260" s="78"/>
      <c r="Q4260" s="78"/>
      <c r="R4260" s="78"/>
      <c r="S4260" s="78"/>
      <c r="T4260" s="78"/>
      <c r="U4260" s="78"/>
      <c r="V4260" s="78"/>
      <c r="W4260" s="78"/>
      <c r="X4260" s="78"/>
      <c r="Y4260" s="148"/>
      <c r="Z4260" s="78"/>
      <c r="AA4260" s="78"/>
      <c r="AB4260" s="78"/>
      <c r="AC4260" s="78"/>
      <c r="AD4260" s="78"/>
      <c r="AE4260" s="156"/>
      <c r="AF4260" s="156"/>
      <c r="AG4260" s="78"/>
      <c r="AH4260" s="78"/>
      <c r="AI4260" s="78"/>
      <c r="AJ4260" s="78"/>
      <c r="AK4260" s="78"/>
      <c r="AL4260" s="78"/>
      <c r="AM4260" s="78"/>
      <c r="AN4260" s="78"/>
      <c r="AO4260" s="78"/>
      <c r="AP4260" s="78"/>
      <c r="AQ4260" s="78"/>
      <c r="AR4260" s="286"/>
      <c r="AS4260" s="78"/>
      <c r="AT4260" s="78"/>
      <c r="AU4260" s="8"/>
      <c r="AV4260" s="6" t="str">
        <f t="shared" si="95"/>
        <v/>
      </c>
    </row>
    <row r="4261" spans="1:48" ht="47.25" x14ac:dyDescent="0.45">
      <c r="A4261" s="27" t="s">
        <v>4529</v>
      </c>
      <c r="L4261" s="18" t="s">
        <v>2335</v>
      </c>
      <c r="AU4261" s="207" t="s">
        <v>5040</v>
      </c>
      <c r="AV4261" s="6" t="str">
        <f t="shared" ref="AV4261:AV4275" si="96">IF(A4261&lt;&gt;"",IF(T4261&lt;&gt;"",IF(LEFT(R4261,3)="Has",IF(TRIM(A4261)&lt;&gt;T4261,"ERROR","OK"),""),""),"")</f>
        <v/>
      </c>
    </row>
    <row r="4262" spans="1:48" ht="47.65" thickBot="1" x14ac:dyDescent="0.5">
      <c r="A4262" s="346" t="s">
        <v>4641</v>
      </c>
      <c r="B4262" s="324"/>
      <c r="C4262" s="324"/>
      <c r="D4262" s="324"/>
      <c r="E4262" s="324"/>
      <c r="F4262" s="324"/>
      <c r="G4262" s="101"/>
      <c r="H4262" s="101"/>
      <c r="L4262" s="18" t="s">
        <v>2335</v>
      </c>
      <c r="Z4262" s="183" t="s">
        <v>4347</v>
      </c>
      <c r="AA4262" s="183" t="s">
        <v>2322</v>
      </c>
      <c r="AB4262" s="183" t="s">
        <v>1697</v>
      </c>
      <c r="AC4262" s="183" t="s">
        <v>5</v>
      </c>
      <c r="AD4262" s="183" t="s">
        <v>4339</v>
      </c>
      <c r="AE4262" s="184" t="s">
        <v>4338</v>
      </c>
      <c r="AF4262" s="184" t="s">
        <v>4350</v>
      </c>
      <c r="AG4262" s="183" t="s">
        <v>1695</v>
      </c>
      <c r="AH4262" s="183" t="s">
        <v>4351</v>
      </c>
      <c r="AI4262" s="8" t="s">
        <v>4455</v>
      </c>
      <c r="AJ4262" s="183" t="s">
        <v>5051</v>
      </c>
      <c r="AU4262" s="207" t="s">
        <v>5040</v>
      </c>
      <c r="AV4262" s="6" t="str">
        <f t="shared" si="96"/>
        <v/>
      </c>
    </row>
    <row r="4263" spans="1:48" ht="186.4" thickBot="1" x14ac:dyDescent="0.5">
      <c r="A4263" s="309" t="s">
        <v>4530</v>
      </c>
      <c r="B4263" s="310"/>
      <c r="C4263" s="301" t="s">
        <v>1</v>
      </c>
      <c r="D4263" s="319"/>
      <c r="E4263" s="319"/>
      <c r="F4263" s="302"/>
      <c r="G4263" s="102"/>
      <c r="H4263" s="102"/>
      <c r="L4263" s="18" t="s">
        <v>2335</v>
      </c>
      <c r="Z4263" s="183"/>
      <c r="AA4263" s="183" t="str">
        <f>LEFT($A4263,FIND(" ",$A4263)-1)</f>
        <v>DCNHeadUnitCollection</v>
      </c>
      <c r="AB4263" s="183" t="str">
        <f>MID($A4263,FIND("(",$A4263)+1,LEN($A4263)-FIND("(",$A4263)-1)</f>
        <v>1.0.0</v>
      </c>
      <c r="AC4263" s="101" t="str">
        <f>A4262</f>
        <v>A DCNHeadUnitCollection is a collection of DCNHeadUnit Resources running on a node.
For additional detail on I/O Head Units and DCN Physical Topology, see O-PAS Part 7 – Physical Platform.</v>
      </c>
      <c r="AD4263" s="101"/>
      <c r="AE4263" s="253" t="s">
        <v>5911</v>
      </c>
      <c r="AF4263" s="184" t="s">
        <v>4352</v>
      </c>
      <c r="AG4263" s="183" t="s">
        <v>4352</v>
      </c>
      <c r="AH4263" s="183" t="s">
        <v>4352</v>
      </c>
      <c r="AI4263" s="183" t="s">
        <v>5248</v>
      </c>
      <c r="AU4263" s="208" t="s">
        <v>5041</v>
      </c>
      <c r="AV4263" s="6" t="str">
        <f t="shared" si="96"/>
        <v/>
      </c>
    </row>
    <row r="4264" spans="1:48" ht="14.65" thickBot="1" x14ac:dyDescent="0.5">
      <c r="A4264" s="311"/>
      <c r="B4264" s="312"/>
      <c r="C4264" s="301" t="s">
        <v>2</v>
      </c>
      <c r="D4264" s="302"/>
      <c r="E4264" s="301" t="s">
        <v>3</v>
      </c>
      <c r="F4264" s="302"/>
      <c r="G4264" s="301" t="s">
        <v>2896</v>
      </c>
      <c r="H4264" s="302"/>
      <c r="L4264" s="18" t="s">
        <v>2335</v>
      </c>
      <c r="AU4264" s="208" t="s">
        <v>5041</v>
      </c>
      <c r="AV4264" s="6" t="str">
        <f t="shared" si="96"/>
        <v/>
      </c>
    </row>
    <row r="4265" spans="1:48" ht="14.65" thickBot="1" x14ac:dyDescent="0.5">
      <c r="A4265" s="46" t="s">
        <v>2377</v>
      </c>
      <c r="B4265" s="47"/>
      <c r="C4265" s="303"/>
      <c r="D4265" s="304"/>
      <c r="E4265" s="303"/>
      <c r="F4265" s="304"/>
      <c r="G4265" s="303"/>
      <c r="H4265" s="304"/>
      <c r="AU4265" s="208" t="s">
        <v>5041</v>
      </c>
      <c r="AV4265" s="6" t="str">
        <f t="shared" si="96"/>
        <v/>
      </c>
    </row>
    <row r="4266" spans="1:48" ht="14.65" thickBot="1" x14ac:dyDescent="0.5">
      <c r="A4266" s="30" t="s">
        <v>4</v>
      </c>
      <c r="B4266" s="59" t="s">
        <v>5</v>
      </c>
      <c r="C4266" s="7" t="s">
        <v>6</v>
      </c>
      <c r="D4266" s="7" t="s">
        <v>7</v>
      </c>
      <c r="E4266" s="7" t="s">
        <v>6</v>
      </c>
      <c r="F4266" s="7" t="s">
        <v>7</v>
      </c>
      <c r="G4266" s="7" t="s">
        <v>6</v>
      </c>
      <c r="H4266" s="7" t="s">
        <v>7</v>
      </c>
      <c r="L4266" s="18" t="s">
        <v>2335</v>
      </c>
      <c r="Z4266" s="183" t="s">
        <v>4347</v>
      </c>
      <c r="AA4266" s="183" t="s">
        <v>4343</v>
      </c>
      <c r="AB4266" s="183" t="s">
        <v>4172</v>
      </c>
      <c r="AC4266" s="183" t="s">
        <v>4340</v>
      </c>
      <c r="AD4266" s="183" t="s">
        <v>4339</v>
      </c>
      <c r="AE4266" s="184" t="s">
        <v>4341</v>
      </c>
      <c r="AF4266" s="184" t="s">
        <v>4342</v>
      </c>
      <c r="AG4266" s="183" t="s">
        <v>4353</v>
      </c>
      <c r="AH4266" s="183" t="s">
        <v>3429</v>
      </c>
      <c r="AI4266" s="183" t="s">
        <v>4356</v>
      </c>
      <c r="AJ4266" s="183" t="s">
        <v>4364</v>
      </c>
      <c r="AU4266" s="208" t="s">
        <v>5041</v>
      </c>
      <c r="AV4266" s="6" t="str">
        <f t="shared" si="96"/>
        <v/>
      </c>
    </row>
    <row r="4267" spans="1:48" ht="105" thickBot="1" x14ac:dyDescent="0.5">
      <c r="A4267" s="182" t="s">
        <v>2792</v>
      </c>
      <c r="B4267" s="165" t="s">
        <v>4531</v>
      </c>
      <c r="C4267" s="166"/>
      <c r="D4267" s="166"/>
      <c r="E4267" s="166"/>
      <c r="F4267" s="166"/>
      <c r="G4267" s="166"/>
      <c r="H4267" s="166"/>
      <c r="Z4267" s="183"/>
      <c r="AB4267" s="8" t="s">
        <v>4354</v>
      </c>
      <c r="AC4267" s="183" t="s">
        <v>6</v>
      </c>
      <c r="AD4267" s="183"/>
      <c r="AE4267" s="184"/>
      <c r="AF4267" s="184"/>
      <c r="AG4267" s="183" t="s">
        <v>4355</v>
      </c>
      <c r="AH4267" s="183" t="s">
        <v>5264</v>
      </c>
      <c r="AI4267" s="183" t="s">
        <v>4357</v>
      </c>
      <c r="AT4267" s="189" t="s">
        <v>5325</v>
      </c>
      <c r="AU4267" s="208" t="s">
        <v>5041</v>
      </c>
      <c r="AV4267" s="6" t="str">
        <f t="shared" si="96"/>
        <v/>
      </c>
    </row>
    <row r="4268" spans="1:48" ht="23.65" thickBot="1" x14ac:dyDescent="0.5">
      <c r="A4268" s="164" t="s">
        <v>33</v>
      </c>
      <c r="B4268" s="165" t="s">
        <v>4542</v>
      </c>
      <c r="C4268" s="166"/>
      <c r="D4268" s="166"/>
      <c r="E4268" s="166"/>
      <c r="F4268" s="166"/>
      <c r="G4268" s="166"/>
      <c r="H4268" s="166"/>
      <c r="L4268" s="18" t="s">
        <v>2335</v>
      </c>
      <c r="AT4268" s="189" t="s">
        <v>5325</v>
      </c>
      <c r="AU4268" s="208" t="s">
        <v>5041</v>
      </c>
      <c r="AV4268" s="6" t="str">
        <f t="shared" si="96"/>
        <v/>
      </c>
    </row>
    <row r="4269" spans="1:48" x14ac:dyDescent="0.45">
      <c r="A4269" s="33" t="s">
        <v>4532</v>
      </c>
      <c r="L4269" s="18" t="s">
        <v>2335</v>
      </c>
      <c r="AU4269" s="208" t="s">
        <v>5041</v>
      </c>
      <c r="AV4269" s="6" t="str">
        <f t="shared" si="96"/>
        <v/>
      </c>
    </row>
    <row r="4270" spans="1:48" x14ac:dyDescent="0.45">
      <c r="A4270" s="34" t="s">
        <v>5911</v>
      </c>
      <c r="L4270" s="18" t="s">
        <v>2335</v>
      </c>
      <c r="AU4270" s="208" t="s">
        <v>5041</v>
      </c>
      <c r="AV4270" s="6" t="str">
        <f t="shared" si="96"/>
        <v/>
      </c>
    </row>
    <row r="4271" spans="1:48" s="79" customFormat="1" ht="14.65" thickBot="1" x14ac:dyDescent="0.5">
      <c r="A4271" s="75"/>
      <c r="B4271" s="76"/>
      <c r="C4271" s="77"/>
      <c r="D4271" s="77"/>
      <c r="E4271" s="77"/>
      <c r="F4271" s="77"/>
      <c r="G4271" s="77"/>
      <c r="H4271" s="77"/>
      <c r="I4271" s="77"/>
      <c r="J4271" s="77"/>
      <c r="K4271" s="77"/>
      <c r="L4271" s="77"/>
      <c r="M4271" s="148"/>
      <c r="N4271" s="78"/>
      <c r="O4271" s="78"/>
      <c r="P4271" s="78"/>
      <c r="Q4271" s="78"/>
      <c r="R4271" s="78"/>
      <c r="S4271" s="78"/>
      <c r="T4271" s="78"/>
      <c r="U4271" s="78"/>
      <c r="V4271" s="78"/>
      <c r="W4271" s="78"/>
      <c r="X4271" s="78"/>
      <c r="Y4271" s="148"/>
      <c r="Z4271" s="78"/>
      <c r="AA4271" s="78"/>
      <c r="AB4271" s="78"/>
      <c r="AC4271" s="78"/>
      <c r="AD4271" s="78"/>
      <c r="AE4271" s="156"/>
      <c r="AF4271" s="156"/>
      <c r="AG4271" s="78"/>
      <c r="AH4271" s="78"/>
      <c r="AI4271" s="78"/>
      <c r="AJ4271" s="78"/>
      <c r="AK4271" s="78"/>
      <c r="AL4271" s="78"/>
      <c r="AM4271" s="78"/>
      <c r="AN4271" s="78"/>
      <c r="AO4271" s="78"/>
      <c r="AP4271" s="78"/>
      <c r="AQ4271" s="78"/>
      <c r="AR4271" s="286"/>
      <c r="AS4271" s="78"/>
      <c r="AT4271" s="78"/>
      <c r="AU4271" s="8"/>
      <c r="AV4271" s="6" t="str">
        <f t="shared" si="96"/>
        <v/>
      </c>
    </row>
    <row r="4272" spans="1:48" ht="47.65" thickBot="1" x14ac:dyDescent="0.5">
      <c r="A4272" s="39" t="s">
        <v>4533</v>
      </c>
      <c r="R4272" s="218" t="s">
        <v>3426</v>
      </c>
      <c r="S4272" s="349" t="s">
        <v>823</v>
      </c>
      <c r="T4272" s="350"/>
      <c r="U4272" s="350"/>
      <c r="V4272" s="350"/>
      <c r="W4272" s="350"/>
      <c r="X4272" s="355"/>
      <c r="Y4272" s="118"/>
      <c r="Z4272" s="185"/>
      <c r="AA4272" s="185"/>
      <c r="AB4272" s="185"/>
      <c r="AC4272" s="185"/>
      <c r="AD4272" s="185"/>
      <c r="AE4272" s="186"/>
      <c r="AF4272" s="186"/>
      <c r="AG4272" s="185"/>
      <c r="AH4272" s="185"/>
      <c r="AI4272" s="185"/>
      <c r="AJ4272" s="185"/>
      <c r="AK4272" s="185"/>
      <c r="AL4272" s="185"/>
      <c r="AM4272" s="185"/>
      <c r="AN4272" s="117"/>
      <c r="AO4272" s="117"/>
      <c r="AP4272" s="117"/>
      <c r="AQ4272" s="117"/>
      <c r="AR4272" s="287"/>
      <c r="AS4272" s="258"/>
      <c r="AT4272" s="185"/>
      <c r="AU4272" s="207" t="s">
        <v>5040</v>
      </c>
      <c r="AV4272" s="6" t="str">
        <f t="shared" si="96"/>
        <v/>
      </c>
    </row>
    <row r="4273" spans="1:48" ht="58.5" thickBot="1" x14ac:dyDescent="0.5">
      <c r="A4273" s="110" t="s">
        <v>4642</v>
      </c>
      <c r="R4273" s="219" t="s">
        <v>3427</v>
      </c>
      <c r="S4273" s="352" t="s">
        <v>4534</v>
      </c>
      <c r="T4273" s="353"/>
      <c r="U4273" s="353"/>
      <c r="V4273" s="353"/>
      <c r="W4273" s="353"/>
      <c r="X4273" s="356"/>
      <c r="Y4273" s="149"/>
      <c r="Z4273" s="183" t="s">
        <v>4347</v>
      </c>
      <c r="AA4273" s="183" t="s">
        <v>2322</v>
      </c>
      <c r="AB4273" s="183" t="s">
        <v>1697</v>
      </c>
      <c r="AC4273" s="183" t="s">
        <v>5</v>
      </c>
      <c r="AD4273" s="183" t="s">
        <v>4339</v>
      </c>
      <c r="AE4273" s="184" t="s">
        <v>4338</v>
      </c>
      <c r="AF4273" s="184" t="s">
        <v>4350</v>
      </c>
      <c r="AG4273" s="183" t="s">
        <v>1695</v>
      </c>
      <c r="AH4273" s="183" t="s">
        <v>4351</v>
      </c>
      <c r="AI4273" s="8" t="s">
        <v>4455</v>
      </c>
      <c r="AJ4273" s="183" t="s">
        <v>5051</v>
      </c>
      <c r="AK4273" s="183"/>
      <c r="AL4273" s="183"/>
      <c r="AM4273" s="183"/>
      <c r="AN4273" s="131"/>
      <c r="AO4273" s="131"/>
      <c r="AP4273" s="131"/>
      <c r="AQ4273" s="131"/>
      <c r="AR4273" s="288"/>
      <c r="AS4273" s="259"/>
      <c r="AT4273" s="183"/>
      <c r="AU4273" s="207" t="s">
        <v>5040</v>
      </c>
      <c r="AV4273" s="6" t="str">
        <f t="shared" si="96"/>
        <v/>
      </c>
    </row>
    <row r="4274" spans="1:48" ht="209.65" thickBot="1" x14ac:dyDescent="0.5">
      <c r="A4274" s="315" t="s">
        <v>4573</v>
      </c>
      <c r="B4274" s="316"/>
      <c r="C4274" s="314" t="s">
        <v>1</v>
      </c>
      <c r="D4274" s="314"/>
      <c r="E4274" s="314"/>
      <c r="F4274" s="314"/>
      <c r="G4274" s="102"/>
      <c r="H4274" s="102"/>
      <c r="R4274" s="219" t="s">
        <v>3428</v>
      </c>
      <c r="S4274" s="352" t="b">
        <v>0</v>
      </c>
      <c r="T4274" s="353"/>
      <c r="U4274" s="353"/>
      <c r="V4274" s="353"/>
      <c r="W4274" s="353"/>
      <c r="X4274" s="356"/>
      <c r="Y4274" s="149"/>
      <c r="Z4274" s="183"/>
      <c r="AA4274" s="183" t="str">
        <f>LEFT($A4274,FIND(" ",$A4274)-1)</f>
        <v>DCNHeadUnit</v>
      </c>
      <c r="AB4274" s="183" t="str">
        <f>MID($A4274,FIND("(",$A4274)+1,LEN($A4274)-FIND("(",$A4274)-1)</f>
        <v>1.0.0</v>
      </c>
      <c r="AC4274" s="101" t="str">
        <f>A4273</f>
        <v>Resource describing an O-PAS DCN HeadUnit (I/O and HART®). 
For additional detail on Head Units and DCN Physical Topology, see O-PAS Part 7 – Physical Platform.</v>
      </c>
      <c r="AD4274" s="101"/>
      <c r="AE4274" s="253" t="s">
        <v>5912</v>
      </c>
      <c r="AF4274" s="184" t="s">
        <v>4352</v>
      </c>
      <c r="AG4274" s="183" t="s">
        <v>4357</v>
      </c>
      <c r="AH4274" s="183" t="s">
        <v>4352</v>
      </c>
      <c r="AI4274" s="183" t="s">
        <v>5248</v>
      </c>
      <c r="AJ4274" s="183"/>
      <c r="AK4274" s="183"/>
      <c r="AL4274" s="183"/>
      <c r="AM4274" s="183"/>
      <c r="AN4274" s="131"/>
      <c r="AO4274" s="131"/>
      <c r="AP4274" s="131"/>
      <c r="AQ4274" s="131"/>
      <c r="AR4274" s="288"/>
      <c r="AS4274" s="259"/>
      <c r="AT4274" s="183"/>
      <c r="AU4274" s="208" t="s">
        <v>5041</v>
      </c>
      <c r="AV4274" s="6" t="str">
        <f t="shared" si="96"/>
        <v/>
      </c>
    </row>
    <row r="4275" spans="1:48" ht="14.65" thickBot="1" x14ac:dyDescent="0.5">
      <c r="A4275" s="317"/>
      <c r="B4275" s="318"/>
      <c r="C4275" s="314" t="s">
        <v>2</v>
      </c>
      <c r="D4275" s="314"/>
      <c r="E4275" s="314" t="s">
        <v>3</v>
      </c>
      <c r="F4275" s="314"/>
      <c r="G4275" s="314" t="s">
        <v>2896</v>
      </c>
      <c r="H4275" s="314"/>
      <c r="R4275" s="115"/>
      <c r="S4275" s="115"/>
      <c r="T4275" s="115"/>
      <c r="U4275" s="115"/>
      <c r="V4275" s="115"/>
      <c r="W4275" s="115"/>
      <c r="X4275" s="115"/>
      <c r="Y4275" s="149"/>
      <c r="Z4275" s="183"/>
      <c r="AA4275" s="183"/>
      <c r="AB4275" s="183"/>
      <c r="AC4275" s="183"/>
      <c r="AD4275" s="183"/>
      <c r="AE4275" s="184"/>
      <c r="AF4275" s="184"/>
      <c r="AG4275" s="183"/>
      <c r="AH4275" s="183"/>
      <c r="AI4275" s="183"/>
      <c r="AJ4275" s="183"/>
      <c r="AK4275" s="183"/>
      <c r="AL4275" s="183"/>
      <c r="AM4275" s="183"/>
      <c r="AN4275" s="131"/>
      <c r="AO4275" s="131"/>
      <c r="AP4275" s="131"/>
      <c r="AQ4275" s="131"/>
      <c r="AR4275" s="288"/>
      <c r="AS4275" s="259"/>
      <c r="AT4275" s="183"/>
      <c r="AU4275" s="208" t="s">
        <v>5041</v>
      </c>
      <c r="AV4275" s="6" t="str">
        <f t="shared" si="96"/>
        <v/>
      </c>
    </row>
    <row r="4276" spans="1:48" ht="14.65" thickBot="1" x14ac:dyDescent="0.5">
      <c r="A4276" s="46" t="s">
        <v>2377</v>
      </c>
      <c r="B4276" s="47"/>
      <c r="C4276" s="303"/>
      <c r="D4276" s="304"/>
      <c r="E4276" s="303"/>
      <c r="F4276" s="304"/>
      <c r="G4276" s="303"/>
      <c r="H4276" s="304"/>
      <c r="R4276" s="129"/>
      <c r="S4276" s="117"/>
      <c r="T4276" s="117"/>
      <c r="U4276" s="117"/>
      <c r="V4276" s="117"/>
      <c r="W4276" s="117"/>
      <c r="X4276" s="216"/>
      <c r="Y4276" s="118"/>
      <c r="Z4276" s="185"/>
      <c r="AA4276" s="185"/>
      <c r="AB4276" s="185"/>
      <c r="AC4276" s="185"/>
      <c r="AD4276" s="185"/>
      <c r="AE4276" s="186"/>
      <c r="AF4276" s="186"/>
      <c r="AG4276" s="185"/>
      <c r="AH4276" s="185"/>
      <c r="AI4276" s="185"/>
      <c r="AJ4276" s="185"/>
      <c r="AK4276" s="185"/>
      <c r="AL4276" s="185"/>
      <c r="AM4276" s="185"/>
      <c r="AN4276" s="117"/>
      <c r="AO4276" s="117"/>
      <c r="AP4276" s="117"/>
      <c r="AQ4276" s="117"/>
      <c r="AR4276" s="287"/>
      <c r="AS4276" s="258"/>
      <c r="AT4276" s="185"/>
      <c r="AU4276" s="208" t="s">
        <v>5041</v>
      </c>
      <c r="AV4276" s="6" t="str">
        <f t="shared" ref="AV4276:AV4294" si="97">IF(A4276&lt;&gt;"",IF(T4276&lt;&gt;"",IF(LEFT(R4276,3)="Has",IF(TRIM(A4276)&lt;&gt;T4276,"ERROR","OK"),""),""),"")</f>
        <v/>
      </c>
    </row>
    <row r="4277" spans="1:48" ht="14.65" thickBot="1" x14ac:dyDescent="0.5">
      <c r="A4277" s="29" t="s">
        <v>3394</v>
      </c>
      <c r="B4277" s="9"/>
      <c r="C4277" s="305"/>
      <c r="D4277" s="306"/>
      <c r="E4277" s="305"/>
      <c r="F4277" s="306"/>
      <c r="G4277" s="305"/>
      <c r="H4277" s="306"/>
      <c r="R4277" s="111" t="s">
        <v>3429</v>
      </c>
      <c r="S4277" s="111" t="s">
        <v>3430</v>
      </c>
      <c r="T4277" s="111" t="s">
        <v>3427</v>
      </c>
      <c r="U4277" s="111" t="s">
        <v>3431</v>
      </c>
      <c r="V4277" s="111" t="s">
        <v>3432</v>
      </c>
      <c r="W4277" s="111" t="s">
        <v>3433</v>
      </c>
      <c r="X4277" s="217" t="s">
        <v>3434</v>
      </c>
      <c r="Y4277" s="118" t="s">
        <v>3965</v>
      </c>
      <c r="Z4277" s="185"/>
      <c r="AA4277" s="185"/>
      <c r="AB4277" s="185"/>
      <c r="AC4277" s="185"/>
      <c r="AD4277" s="185"/>
      <c r="AE4277" s="186"/>
      <c r="AF4277" s="186"/>
      <c r="AG4277" s="185"/>
      <c r="AH4277" s="185"/>
      <c r="AI4277" s="185"/>
      <c r="AJ4277" s="185"/>
      <c r="AK4277" s="185"/>
      <c r="AL4277" s="185"/>
      <c r="AM4277" s="185"/>
      <c r="AN4277" s="117"/>
      <c r="AO4277" s="117"/>
      <c r="AP4277" s="117"/>
      <c r="AQ4277" s="117"/>
      <c r="AR4277" s="287"/>
      <c r="AS4277" s="258"/>
      <c r="AT4277" s="185"/>
      <c r="AU4277" s="208" t="s">
        <v>5041</v>
      </c>
      <c r="AV4277" s="6" t="str">
        <f t="shared" si="97"/>
        <v/>
      </c>
    </row>
    <row r="4278" spans="1:48" ht="15" customHeight="1" thickBot="1" x14ac:dyDescent="0.5">
      <c r="A4278" s="60" t="s">
        <v>4</v>
      </c>
      <c r="B4278" s="61" t="s">
        <v>5</v>
      </c>
      <c r="C4278" s="62" t="s">
        <v>6</v>
      </c>
      <c r="D4278" s="62" t="s">
        <v>7</v>
      </c>
      <c r="E4278" s="62" t="s">
        <v>6</v>
      </c>
      <c r="F4278" s="62" t="s">
        <v>7</v>
      </c>
      <c r="G4278" s="62" t="s">
        <v>6</v>
      </c>
      <c r="H4278" s="62" t="s">
        <v>7</v>
      </c>
      <c r="R4278" s="352" t="s">
        <v>4040</v>
      </c>
      <c r="S4278" s="353"/>
      <c r="T4278" s="353"/>
      <c r="U4278" s="353"/>
      <c r="V4278" s="353"/>
      <c r="W4278" s="353"/>
      <c r="X4278" s="357"/>
      <c r="Y4278" s="149"/>
      <c r="Z4278" s="183" t="s">
        <v>4347</v>
      </c>
      <c r="AA4278" s="183" t="s">
        <v>4343</v>
      </c>
      <c r="AB4278" s="183" t="s">
        <v>4172</v>
      </c>
      <c r="AC4278" s="183" t="s">
        <v>4340</v>
      </c>
      <c r="AD4278" s="183" t="s">
        <v>4339</v>
      </c>
      <c r="AE4278" s="184" t="s">
        <v>4341</v>
      </c>
      <c r="AF4278" s="184" t="s">
        <v>4342</v>
      </c>
      <c r="AG4278" s="183" t="s">
        <v>4353</v>
      </c>
      <c r="AH4278" s="183" t="s">
        <v>3429</v>
      </c>
      <c r="AI4278" s="183" t="s">
        <v>4356</v>
      </c>
      <c r="AJ4278" s="183" t="s">
        <v>4364</v>
      </c>
      <c r="AK4278" s="183"/>
      <c r="AL4278" s="183"/>
      <c r="AM4278" s="183"/>
      <c r="AN4278" s="131"/>
      <c r="AO4278" s="131"/>
      <c r="AP4278" s="131"/>
      <c r="AQ4278" s="131"/>
      <c r="AR4278" s="288"/>
      <c r="AS4278" s="259"/>
      <c r="AT4278" s="183"/>
      <c r="AU4278" s="208" t="s">
        <v>5041</v>
      </c>
      <c r="AV4278" s="6" t="str">
        <f t="shared" si="97"/>
        <v/>
      </c>
    </row>
    <row r="4279" spans="1:48" ht="23.65" thickBot="1" x14ac:dyDescent="0.5">
      <c r="A4279" s="182" t="s">
        <v>8</v>
      </c>
      <c r="B4279" s="165" t="s">
        <v>4536</v>
      </c>
      <c r="C4279" s="192"/>
      <c r="D4279" s="192"/>
      <c r="E4279" s="192"/>
      <c r="F4279" s="192"/>
      <c r="G4279" s="192"/>
      <c r="H4279" s="192"/>
      <c r="L4279" s="18" t="s">
        <v>2336</v>
      </c>
      <c r="Z4279" s="183"/>
      <c r="AB4279" s="8" t="s">
        <v>4348</v>
      </c>
      <c r="AT4279" s="189" t="s">
        <v>5325</v>
      </c>
      <c r="AU4279" s="208" t="s">
        <v>5041</v>
      </c>
      <c r="AV4279" s="6" t="str">
        <f t="shared" si="97"/>
        <v/>
      </c>
    </row>
    <row r="4280" spans="1:48" ht="23.65" thickBot="1" x14ac:dyDescent="0.5">
      <c r="A4280" s="158" t="s">
        <v>4537</v>
      </c>
      <c r="B4280" s="159" t="s">
        <v>4538</v>
      </c>
      <c r="C4280" s="160"/>
      <c r="D4280" s="160"/>
      <c r="E4280" s="161"/>
      <c r="F4280" s="161"/>
      <c r="G4280" s="160"/>
      <c r="H4280" s="160"/>
      <c r="R4280" s="122" t="s">
        <v>3529</v>
      </c>
      <c r="S4280" s="114" t="s">
        <v>4</v>
      </c>
      <c r="T4280" s="114" t="s">
        <v>4537</v>
      </c>
      <c r="U4280" s="114" t="s">
        <v>3521</v>
      </c>
      <c r="V4280" s="114" t="s">
        <v>3530</v>
      </c>
      <c r="W4280" s="114" t="s">
        <v>3436</v>
      </c>
      <c r="X4280" s="114" t="s">
        <v>13</v>
      </c>
      <c r="Y4280" s="149"/>
      <c r="Z4280" s="183"/>
      <c r="AA4280" s="183"/>
      <c r="AB4280" s="183" t="s">
        <v>758</v>
      </c>
      <c r="AC4280" s="183" t="s">
        <v>4346</v>
      </c>
      <c r="AD4280" s="183"/>
      <c r="AE4280" s="184"/>
      <c r="AF4280" s="184"/>
      <c r="AG4280" s="183"/>
      <c r="AH4280" s="183"/>
      <c r="AI4280" s="183"/>
      <c r="AJ4280" s="183"/>
      <c r="AK4280" s="183"/>
      <c r="AL4280" s="183"/>
      <c r="AM4280" s="183"/>
      <c r="AN4280" s="131"/>
      <c r="AO4280" s="131"/>
      <c r="AP4280" s="131"/>
      <c r="AQ4280" s="131"/>
      <c r="AR4280" s="288"/>
      <c r="AS4280" s="259"/>
      <c r="AT4280" s="189" t="s">
        <v>5325</v>
      </c>
      <c r="AU4280" s="208" t="s">
        <v>5041</v>
      </c>
      <c r="AV4280" s="6" t="str">
        <f t="shared" si="97"/>
        <v>OK</v>
      </c>
    </row>
    <row r="4281" spans="1:48" ht="23.65" thickBot="1" x14ac:dyDescent="0.5">
      <c r="A4281" s="158" t="s">
        <v>4539</v>
      </c>
      <c r="B4281" s="159" t="s">
        <v>4543</v>
      </c>
      <c r="C4281" s="160"/>
      <c r="D4281" s="160"/>
      <c r="E4281" s="161"/>
      <c r="F4281" s="161"/>
      <c r="G4281" s="160"/>
      <c r="H4281" s="160"/>
      <c r="R4281" s="122" t="s">
        <v>3529</v>
      </c>
      <c r="S4281" s="114" t="s">
        <v>4</v>
      </c>
      <c r="T4281" s="114" t="s">
        <v>4537</v>
      </c>
      <c r="U4281" s="114" t="s">
        <v>3521</v>
      </c>
      <c r="V4281" s="114" t="s">
        <v>3530</v>
      </c>
      <c r="W4281" s="114" t="s">
        <v>3436</v>
      </c>
      <c r="X4281" s="114" t="s">
        <v>13</v>
      </c>
      <c r="Y4281" s="149"/>
      <c r="Z4281" s="183"/>
      <c r="AA4281" s="183"/>
      <c r="AB4281" s="183" t="s">
        <v>758</v>
      </c>
      <c r="AC4281" s="183" t="s">
        <v>4346</v>
      </c>
      <c r="AD4281" s="183"/>
      <c r="AE4281" s="184"/>
      <c r="AF4281" s="184"/>
      <c r="AG4281" s="183"/>
      <c r="AH4281" s="183"/>
      <c r="AI4281" s="183"/>
      <c r="AJ4281" s="183"/>
      <c r="AK4281" s="183"/>
      <c r="AL4281" s="183"/>
      <c r="AM4281" s="183"/>
      <c r="AN4281" s="131"/>
      <c r="AO4281" s="131"/>
      <c r="AP4281" s="131"/>
      <c r="AQ4281" s="131"/>
      <c r="AR4281" s="288"/>
      <c r="AS4281" s="259"/>
      <c r="AT4281" s="189" t="s">
        <v>5325</v>
      </c>
      <c r="AU4281" s="208" t="s">
        <v>5041</v>
      </c>
      <c r="AV4281" s="6" t="str">
        <f t="shared" si="97"/>
        <v>ERROR</v>
      </c>
    </row>
    <row r="4282" spans="1:48" ht="35.25" thickBot="1" x14ac:dyDescent="0.5">
      <c r="A4282" s="158" t="s">
        <v>4517</v>
      </c>
      <c r="B4282" s="159" t="s">
        <v>4540</v>
      </c>
      <c r="C4282" s="160"/>
      <c r="D4282" s="160"/>
      <c r="E4282" s="161"/>
      <c r="F4282" s="161"/>
      <c r="G4282" s="160"/>
      <c r="H4282" s="160"/>
      <c r="R4282" s="122" t="s">
        <v>3529</v>
      </c>
      <c r="S4282" s="114" t="s">
        <v>4</v>
      </c>
      <c r="T4282" s="114" t="s">
        <v>4537</v>
      </c>
      <c r="U4282" s="114" t="s">
        <v>3521</v>
      </c>
      <c r="V4282" s="114" t="s">
        <v>3530</v>
      </c>
      <c r="W4282" s="114" t="s">
        <v>3436</v>
      </c>
      <c r="X4282" s="114" t="s">
        <v>13</v>
      </c>
      <c r="Y4282" s="149"/>
      <c r="Z4282" s="183"/>
      <c r="AA4282" s="183"/>
      <c r="AB4282" s="183" t="s">
        <v>4633</v>
      </c>
      <c r="AC4282" s="183" t="s">
        <v>4346</v>
      </c>
      <c r="AD4282" s="183"/>
      <c r="AE4282" s="184"/>
      <c r="AF4282" s="184"/>
      <c r="AG4282" s="183"/>
      <c r="AH4282" s="183"/>
      <c r="AI4282" s="183"/>
      <c r="AJ4282" s="183"/>
      <c r="AK4282" s="183"/>
      <c r="AL4282" s="183"/>
      <c r="AM4282" s="183"/>
      <c r="AN4282" s="131"/>
      <c r="AO4282" s="131"/>
      <c r="AP4282" s="131"/>
      <c r="AQ4282" s="131"/>
      <c r="AR4282" s="288"/>
      <c r="AS4282" s="259"/>
      <c r="AT4282" s="189" t="s">
        <v>5325</v>
      </c>
      <c r="AU4282" s="208" t="s">
        <v>5041</v>
      </c>
      <c r="AV4282" s="6" t="str">
        <f t="shared" si="97"/>
        <v>ERROR</v>
      </c>
    </row>
    <row r="4283" spans="1:48" ht="105" thickBot="1" x14ac:dyDescent="0.5">
      <c r="A4283" s="158" t="s">
        <v>4607</v>
      </c>
      <c r="B4283" s="159" t="s">
        <v>4512</v>
      </c>
      <c r="C4283" s="160"/>
      <c r="D4283" s="161"/>
      <c r="E4283" s="161"/>
      <c r="F4283" s="161"/>
      <c r="G4283" s="160"/>
      <c r="H4283" s="161"/>
      <c r="R4283" s="122" t="s">
        <v>3435</v>
      </c>
      <c r="S4283" s="114" t="s">
        <v>3437</v>
      </c>
      <c r="T4283" s="114" t="s">
        <v>4607</v>
      </c>
      <c r="U4283" s="114"/>
      <c r="V4283" s="114" t="s">
        <v>4599</v>
      </c>
      <c r="W4283" s="114" t="s">
        <v>3436</v>
      </c>
      <c r="X4283" s="114" t="s">
        <v>13</v>
      </c>
      <c r="Y4283" s="149"/>
      <c r="Z4283" s="183"/>
      <c r="AA4283" s="183"/>
      <c r="AB4283" s="183" t="s">
        <v>4354</v>
      </c>
      <c r="AC4283" s="183" t="s">
        <v>6</v>
      </c>
      <c r="AD4283" s="183"/>
      <c r="AE4283" s="184"/>
      <c r="AF4283" s="184"/>
      <c r="AG4283" s="183" t="s">
        <v>4355</v>
      </c>
      <c r="AH4283" s="183" t="s">
        <v>5254</v>
      </c>
      <c r="AI4283" s="183" t="s">
        <v>4357</v>
      </c>
      <c r="AJ4283" s="183"/>
      <c r="AK4283" s="183"/>
      <c r="AL4283" s="183"/>
      <c r="AM4283" s="183"/>
      <c r="AN4283" s="131"/>
      <c r="AO4283" s="131"/>
      <c r="AP4283" s="131"/>
      <c r="AQ4283" s="131"/>
      <c r="AR4283" s="288"/>
      <c r="AS4283" s="259"/>
      <c r="AT4283" s="189" t="s">
        <v>5325</v>
      </c>
      <c r="AU4283" s="208" t="s">
        <v>5041</v>
      </c>
      <c r="AV4283" s="6" t="str">
        <f t="shared" si="97"/>
        <v>OK</v>
      </c>
    </row>
    <row r="4284" spans="1:48" ht="23.65" thickBot="1" x14ac:dyDescent="0.5">
      <c r="A4284" s="163" t="s">
        <v>33</v>
      </c>
      <c r="B4284" s="159" t="s">
        <v>3740</v>
      </c>
      <c r="C4284" s="160"/>
      <c r="D4284" s="161"/>
      <c r="E4284" s="161"/>
      <c r="F4284" s="161"/>
      <c r="G4284" s="160"/>
      <c r="H4284" s="161"/>
      <c r="U4284" s="114"/>
      <c r="AT4284" s="189" t="s">
        <v>5325</v>
      </c>
      <c r="AU4284" s="208" t="s">
        <v>5041</v>
      </c>
      <c r="AV4284" s="6" t="str">
        <f t="shared" si="97"/>
        <v/>
      </c>
    </row>
    <row r="4285" spans="1:48" ht="116.65" thickBot="1" x14ac:dyDescent="0.5">
      <c r="A4285" s="158" t="s">
        <v>2787</v>
      </c>
      <c r="B4285" s="159" t="s">
        <v>4638</v>
      </c>
      <c r="C4285" s="160"/>
      <c r="D4285" s="160"/>
      <c r="E4285" s="161"/>
      <c r="F4285" s="161"/>
      <c r="G4285" s="160"/>
      <c r="H4285" s="160"/>
      <c r="R4285" s="122" t="s">
        <v>3435</v>
      </c>
      <c r="S4285" s="114" t="s">
        <v>3437</v>
      </c>
      <c r="T4285" s="114" t="s">
        <v>2787</v>
      </c>
      <c r="U4285" s="114"/>
      <c r="V4285" s="114" t="s">
        <v>4541</v>
      </c>
      <c r="W4285" s="114" t="s">
        <v>3436</v>
      </c>
      <c r="X4285" s="114" t="s">
        <v>13</v>
      </c>
      <c r="Y4285" s="149"/>
      <c r="Z4285" s="183"/>
      <c r="AA4285" s="183"/>
      <c r="AB4285" s="183" t="s">
        <v>4354</v>
      </c>
      <c r="AC4285" s="183" t="s">
        <v>6</v>
      </c>
      <c r="AD4285" s="183"/>
      <c r="AE4285" s="184"/>
      <c r="AF4285" s="184"/>
      <c r="AG4285" s="183" t="s">
        <v>4355</v>
      </c>
      <c r="AH4285" s="183" t="s">
        <v>5255</v>
      </c>
      <c r="AI4285" s="183" t="s">
        <v>4357</v>
      </c>
      <c r="AJ4285" s="183"/>
      <c r="AK4285" s="183"/>
      <c r="AL4285" s="183"/>
      <c r="AM4285" s="183"/>
      <c r="AN4285" s="131"/>
      <c r="AO4285" s="131"/>
      <c r="AP4285" s="131"/>
      <c r="AQ4285" s="131"/>
      <c r="AR4285" s="288"/>
      <c r="AS4285" s="259"/>
      <c r="AT4285" s="189" t="s">
        <v>5325</v>
      </c>
      <c r="AU4285" s="208" t="s">
        <v>5041</v>
      </c>
      <c r="AV4285" s="6" t="str">
        <f t="shared" si="97"/>
        <v>OK</v>
      </c>
    </row>
    <row r="4286" spans="1:48" ht="23.65" thickBot="1" x14ac:dyDescent="0.5">
      <c r="A4286" s="163" t="s">
        <v>33</v>
      </c>
      <c r="B4286" s="159" t="s">
        <v>4566</v>
      </c>
      <c r="C4286" s="160"/>
      <c r="D4286" s="161"/>
      <c r="E4286" s="161"/>
      <c r="F4286" s="161"/>
      <c r="G4286" s="160"/>
      <c r="H4286" s="161"/>
      <c r="U4286" s="114"/>
      <c r="AT4286" s="189" t="s">
        <v>5325</v>
      </c>
      <c r="AU4286" s="208" t="s">
        <v>5041</v>
      </c>
      <c r="AV4286" s="6" t="str">
        <f t="shared" ref="AV4286:AV4289" si="98">IF(A4286&lt;&gt;"",IF(T4286&lt;&gt;"",IF(LEFT(R4286,3)="Has",IF(TRIM(A4286)&lt;&gt;T4286,"ERROR","OK"),""),""),"")</f>
        <v/>
      </c>
    </row>
    <row r="4287" spans="1:48" ht="116.65" thickBot="1" x14ac:dyDescent="0.5">
      <c r="A4287" s="158" t="s">
        <v>4705</v>
      </c>
      <c r="B4287" s="159" t="s">
        <v>4723</v>
      </c>
      <c r="C4287" s="160"/>
      <c r="D4287" s="160"/>
      <c r="E4287" s="161"/>
      <c r="F4287" s="161"/>
      <c r="G4287" s="160"/>
      <c r="H4287" s="160"/>
      <c r="R4287" s="122" t="s">
        <v>3435</v>
      </c>
      <c r="S4287" s="114" t="s">
        <v>3437</v>
      </c>
      <c r="T4287" s="114" t="s">
        <v>2787</v>
      </c>
      <c r="U4287" s="114"/>
      <c r="V4287" s="114" t="s">
        <v>4541</v>
      </c>
      <c r="W4287" s="114" t="s">
        <v>3436</v>
      </c>
      <c r="X4287" s="114" t="s">
        <v>13</v>
      </c>
      <c r="Y4287" s="149"/>
      <c r="Z4287" s="183"/>
      <c r="AA4287" s="183"/>
      <c r="AB4287" s="183" t="s">
        <v>4354</v>
      </c>
      <c r="AC4287" s="183" t="s">
        <v>6</v>
      </c>
      <c r="AD4287" s="183"/>
      <c r="AE4287" s="184"/>
      <c r="AF4287" s="184"/>
      <c r="AG4287" s="183" t="s">
        <v>4355</v>
      </c>
      <c r="AH4287" s="183" t="s">
        <v>5256</v>
      </c>
      <c r="AI4287" s="183" t="s">
        <v>4357</v>
      </c>
      <c r="AJ4287" s="183"/>
      <c r="AK4287" s="183"/>
      <c r="AL4287" s="183"/>
      <c r="AM4287" s="183"/>
      <c r="AN4287" s="131"/>
      <c r="AO4287" s="131"/>
      <c r="AP4287" s="131"/>
      <c r="AQ4287" s="131"/>
      <c r="AR4287" s="288"/>
      <c r="AS4287" s="259"/>
      <c r="AT4287" s="189" t="s">
        <v>5325</v>
      </c>
      <c r="AU4287" s="208" t="s">
        <v>5041</v>
      </c>
      <c r="AV4287" s="6" t="str">
        <f t="shared" ref="AV4287:AV4288" si="99">IF(A4287&lt;&gt;"",IF(T4287&lt;&gt;"",IF(LEFT(R4287,3)="Has",IF(TRIM(A4287)&lt;&gt;T4287,"ERROR","OK"),""),""),"")</f>
        <v>ERROR</v>
      </c>
    </row>
    <row r="4288" spans="1:48" ht="23.65" thickBot="1" x14ac:dyDescent="0.5">
      <c r="A4288" s="163" t="s">
        <v>33</v>
      </c>
      <c r="B4288" s="159" t="s">
        <v>4682</v>
      </c>
      <c r="C4288" s="160"/>
      <c r="D4288" s="161"/>
      <c r="E4288" s="161"/>
      <c r="F4288" s="161"/>
      <c r="G4288" s="160"/>
      <c r="H4288" s="161"/>
      <c r="U4288" s="114"/>
      <c r="AT4288" s="189" t="s">
        <v>5325</v>
      </c>
      <c r="AU4288" s="208" t="s">
        <v>5041</v>
      </c>
      <c r="AV4288" s="6" t="str">
        <f t="shared" si="99"/>
        <v/>
      </c>
    </row>
    <row r="4289" spans="1:48" ht="128.25" thickBot="1" x14ac:dyDescent="0.5">
      <c r="A4289" s="158" t="s">
        <v>4670</v>
      </c>
      <c r="B4289" s="159" t="s">
        <v>4724</v>
      </c>
      <c r="C4289" s="160"/>
      <c r="D4289" s="160"/>
      <c r="E4289" s="161"/>
      <c r="F4289" s="161"/>
      <c r="G4289" s="160"/>
      <c r="H4289" s="160"/>
      <c r="R4289" s="122" t="s">
        <v>3435</v>
      </c>
      <c r="S4289" s="114" t="s">
        <v>3437</v>
      </c>
      <c r="T4289" s="114" t="s">
        <v>2787</v>
      </c>
      <c r="U4289" s="114"/>
      <c r="V4289" s="114" t="s">
        <v>4541</v>
      </c>
      <c r="W4289" s="114" t="s">
        <v>3436</v>
      </c>
      <c r="X4289" s="114" t="s">
        <v>13</v>
      </c>
      <c r="Y4289" s="149"/>
      <c r="Z4289" s="183"/>
      <c r="AA4289" s="183"/>
      <c r="AB4289" s="183" t="s">
        <v>4354</v>
      </c>
      <c r="AC4289" s="183" t="s">
        <v>6</v>
      </c>
      <c r="AD4289" s="183"/>
      <c r="AE4289" s="184"/>
      <c r="AF4289" s="184"/>
      <c r="AG4289" s="183" t="s">
        <v>4355</v>
      </c>
      <c r="AH4289" s="183" t="s">
        <v>5257</v>
      </c>
      <c r="AI4289" s="183" t="s">
        <v>4357</v>
      </c>
      <c r="AJ4289" s="183"/>
      <c r="AK4289" s="183"/>
      <c r="AL4289" s="183"/>
      <c r="AM4289" s="183"/>
      <c r="AN4289" s="131"/>
      <c r="AO4289" s="131"/>
      <c r="AP4289" s="131"/>
      <c r="AQ4289" s="131"/>
      <c r="AR4289" s="288"/>
      <c r="AS4289" s="259"/>
      <c r="AT4289" s="189" t="s">
        <v>5325</v>
      </c>
      <c r="AU4289" s="208" t="s">
        <v>5041</v>
      </c>
      <c r="AV4289" s="6" t="str">
        <f t="shared" si="98"/>
        <v>ERROR</v>
      </c>
    </row>
    <row r="4290" spans="1:48" ht="23.65" thickBot="1" x14ac:dyDescent="0.5">
      <c r="A4290" s="163" t="s">
        <v>33</v>
      </c>
      <c r="B4290" s="159" t="s">
        <v>4682</v>
      </c>
      <c r="C4290" s="160"/>
      <c r="D4290" s="161"/>
      <c r="E4290" s="161"/>
      <c r="F4290" s="161"/>
      <c r="G4290" s="160"/>
      <c r="H4290" s="161"/>
      <c r="U4290" s="114"/>
      <c r="AT4290" s="189" t="s">
        <v>5325</v>
      </c>
      <c r="AU4290" s="208" t="s">
        <v>5041</v>
      </c>
      <c r="AV4290" s="6" t="str">
        <f t="shared" ref="AV4290" si="100">IF(A4290&lt;&gt;"",IF(T4290&lt;&gt;"",IF(LEFT(R4290,3)="Has",IF(TRIM(A4290)&lt;&gt;T4290,"ERROR","OK"),""),""),"")</f>
        <v/>
      </c>
    </row>
    <row r="4291" spans="1:48" ht="23.65" thickBot="1" x14ac:dyDescent="0.5">
      <c r="A4291" s="182" t="s">
        <v>753</v>
      </c>
      <c r="B4291" s="165" t="s">
        <v>60</v>
      </c>
      <c r="C4291" s="166"/>
      <c r="D4291" s="166"/>
      <c r="E4291" s="166"/>
      <c r="F4291" s="166"/>
      <c r="G4291" s="166"/>
      <c r="H4291" s="166"/>
      <c r="Z4291" s="183"/>
      <c r="AA4291" s="183"/>
      <c r="AB4291" s="183"/>
      <c r="AC4291" s="183"/>
      <c r="AD4291" s="183"/>
      <c r="AT4291" s="189" t="s">
        <v>5325</v>
      </c>
      <c r="AU4291" s="208" t="s">
        <v>5041</v>
      </c>
      <c r="AV4291" s="6" t="str">
        <f t="shared" si="97"/>
        <v/>
      </c>
    </row>
    <row r="4292" spans="1:48" x14ac:dyDescent="0.45">
      <c r="A4292" s="33" t="s">
        <v>4535</v>
      </c>
      <c r="AU4292" s="208" t="s">
        <v>5041</v>
      </c>
      <c r="AV4292" s="6" t="str">
        <f t="shared" si="97"/>
        <v/>
      </c>
    </row>
    <row r="4293" spans="1:48" x14ac:dyDescent="0.45">
      <c r="A4293" s="34" t="s">
        <v>5913</v>
      </c>
      <c r="AU4293" s="208" t="s">
        <v>5041</v>
      </c>
      <c r="AV4293" s="6" t="str">
        <f t="shared" si="97"/>
        <v/>
      </c>
    </row>
    <row r="4294" spans="1:48" s="79" customFormat="1" x14ac:dyDescent="0.45">
      <c r="A4294" s="75"/>
      <c r="B4294" s="76"/>
      <c r="C4294" s="77"/>
      <c r="D4294" s="77"/>
      <c r="E4294" s="77"/>
      <c r="F4294" s="77"/>
      <c r="G4294" s="77"/>
      <c r="H4294" s="77"/>
      <c r="I4294" s="77"/>
      <c r="J4294" s="77"/>
      <c r="K4294" s="77"/>
      <c r="L4294" s="77"/>
      <c r="M4294" s="148"/>
      <c r="N4294" s="78"/>
      <c r="O4294" s="78"/>
      <c r="P4294" s="78"/>
      <c r="Q4294" s="78"/>
      <c r="R4294" s="78"/>
      <c r="S4294" s="78"/>
      <c r="T4294" s="78"/>
      <c r="U4294" s="78"/>
      <c r="V4294" s="78"/>
      <c r="W4294" s="78"/>
      <c r="X4294" s="78"/>
      <c r="Y4294" s="148"/>
      <c r="Z4294" s="78"/>
      <c r="AA4294" s="78"/>
      <c r="AB4294" s="78"/>
      <c r="AC4294" s="78"/>
      <c r="AD4294" s="78"/>
      <c r="AE4294" s="156"/>
      <c r="AF4294" s="156"/>
      <c r="AG4294" s="78"/>
      <c r="AH4294" s="78"/>
      <c r="AI4294" s="78"/>
      <c r="AJ4294" s="78"/>
      <c r="AK4294" s="78"/>
      <c r="AL4294" s="78"/>
      <c r="AM4294" s="78"/>
      <c r="AN4294" s="78"/>
      <c r="AO4294" s="78"/>
      <c r="AP4294" s="78"/>
      <c r="AQ4294" s="78"/>
      <c r="AR4294" s="286"/>
      <c r="AS4294" s="78"/>
      <c r="AT4294" s="78"/>
      <c r="AU4294" s="8"/>
      <c r="AV4294" s="6" t="str">
        <f t="shared" si="97"/>
        <v/>
      </c>
    </row>
    <row r="4295" spans="1:48" ht="47.25" x14ac:dyDescent="0.45">
      <c r="A4295" s="27" t="s">
        <v>4600</v>
      </c>
      <c r="L4295" s="18" t="s">
        <v>2335</v>
      </c>
      <c r="AU4295" s="207" t="s">
        <v>5040</v>
      </c>
      <c r="AV4295" s="6" t="str">
        <f t="shared" ref="AV4295:AV4316" si="101">IF(A4295&lt;&gt;"",IF(T4295&lt;&gt;"",IF(LEFT(R4295,3)="Has",IF(TRIM(A4295)&lt;&gt;T4295,"ERROR","OK"),""),""),"")</f>
        <v/>
      </c>
    </row>
    <row r="4296" spans="1:48" ht="47.65" thickBot="1" x14ac:dyDescent="0.5">
      <c r="A4296" s="346" t="s">
        <v>4643</v>
      </c>
      <c r="B4296" s="324"/>
      <c r="C4296" s="324"/>
      <c r="D4296" s="324"/>
      <c r="E4296" s="324"/>
      <c r="F4296" s="324"/>
      <c r="G4296" s="101"/>
      <c r="H4296" s="101"/>
      <c r="L4296" s="18" t="s">
        <v>2335</v>
      </c>
      <c r="Z4296" s="183" t="s">
        <v>4347</v>
      </c>
      <c r="AA4296" s="183" t="s">
        <v>2322</v>
      </c>
      <c r="AB4296" s="183" t="s">
        <v>1697</v>
      </c>
      <c r="AC4296" s="183" t="s">
        <v>5</v>
      </c>
      <c r="AD4296" s="183" t="s">
        <v>4339</v>
      </c>
      <c r="AE4296" s="184" t="s">
        <v>4338</v>
      </c>
      <c r="AF4296" s="184" t="s">
        <v>4350</v>
      </c>
      <c r="AG4296" s="183" t="s">
        <v>1695</v>
      </c>
      <c r="AH4296" s="183" t="s">
        <v>4351</v>
      </c>
      <c r="AI4296" s="8" t="s">
        <v>4455</v>
      </c>
      <c r="AJ4296" s="183" t="s">
        <v>5051</v>
      </c>
      <c r="AU4296" s="207" t="s">
        <v>5040</v>
      </c>
      <c r="AV4296" s="6" t="str">
        <f t="shared" si="101"/>
        <v/>
      </c>
    </row>
    <row r="4297" spans="1:48" ht="186.4" thickBot="1" x14ac:dyDescent="0.5">
      <c r="A4297" s="309" t="s">
        <v>4601</v>
      </c>
      <c r="B4297" s="310"/>
      <c r="C4297" s="301" t="s">
        <v>1</v>
      </c>
      <c r="D4297" s="319"/>
      <c r="E4297" s="319"/>
      <c r="F4297" s="302"/>
      <c r="G4297" s="102"/>
      <c r="H4297" s="102"/>
      <c r="L4297" s="18" t="s">
        <v>2335</v>
      </c>
      <c r="Z4297" s="183"/>
      <c r="AA4297" s="183" t="str">
        <f>LEFT($A4297,FIND(" ",$A4297)-1)</f>
        <v>DCNIOBusCollection</v>
      </c>
      <c r="AB4297" s="183" t="str">
        <f>MID($A4297,FIND("(",$A4297)+1,LEN($A4297)-FIND("(",$A4297)-1)</f>
        <v>1.0.0</v>
      </c>
      <c r="AC4297" s="101" t="str">
        <f>A4296</f>
        <v>A DCNIOBusCollection is a collection of DCNIOBus Resources running on a node.
For additional detail on I/O Busses and DCN Physical Topology, see O-PAS Part 7 – Physical Platform.</v>
      </c>
      <c r="AD4297" s="101"/>
      <c r="AE4297" s="253" t="s">
        <v>5914</v>
      </c>
      <c r="AF4297" s="184" t="s">
        <v>4352</v>
      </c>
      <c r="AG4297" s="183" t="s">
        <v>4352</v>
      </c>
      <c r="AH4297" s="183" t="s">
        <v>4352</v>
      </c>
      <c r="AI4297" s="183" t="s">
        <v>5248</v>
      </c>
      <c r="AU4297" s="208" t="s">
        <v>5041</v>
      </c>
      <c r="AV4297" s="6" t="str">
        <f t="shared" si="101"/>
        <v/>
      </c>
    </row>
    <row r="4298" spans="1:48" ht="14.65" thickBot="1" x14ac:dyDescent="0.5">
      <c r="A4298" s="311"/>
      <c r="B4298" s="312"/>
      <c r="C4298" s="301" t="s">
        <v>2</v>
      </c>
      <c r="D4298" s="302"/>
      <c r="E4298" s="301" t="s">
        <v>3</v>
      </c>
      <c r="F4298" s="302"/>
      <c r="G4298" s="301" t="s">
        <v>2896</v>
      </c>
      <c r="H4298" s="302"/>
      <c r="L4298" s="18" t="s">
        <v>2335</v>
      </c>
      <c r="AU4298" s="208" t="s">
        <v>5041</v>
      </c>
      <c r="AV4298" s="6" t="str">
        <f t="shared" si="101"/>
        <v/>
      </c>
    </row>
    <row r="4299" spans="1:48" ht="14.65" thickBot="1" x14ac:dyDescent="0.5">
      <c r="A4299" s="46" t="s">
        <v>2377</v>
      </c>
      <c r="B4299" s="47"/>
      <c r="C4299" s="303"/>
      <c r="D4299" s="304"/>
      <c r="E4299" s="303"/>
      <c r="F4299" s="304"/>
      <c r="G4299" s="303"/>
      <c r="H4299" s="304"/>
      <c r="AU4299" s="208" t="s">
        <v>5041</v>
      </c>
      <c r="AV4299" s="6" t="str">
        <f t="shared" si="101"/>
        <v/>
      </c>
    </row>
    <row r="4300" spans="1:48" ht="14.65" thickBot="1" x14ac:dyDescent="0.5">
      <c r="A4300" s="30" t="s">
        <v>4</v>
      </c>
      <c r="B4300" s="59" t="s">
        <v>5</v>
      </c>
      <c r="C4300" s="7" t="s">
        <v>6</v>
      </c>
      <c r="D4300" s="7" t="s">
        <v>7</v>
      </c>
      <c r="E4300" s="7" t="s">
        <v>6</v>
      </c>
      <c r="F4300" s="7" t="s">
        <v>7</v>
      </c>
      <c r="G4300" s="7" t="s">
        <v>6</v>
      </c>
      <c r="H4300" s="7" t="s">
        <v>7</v>
      </c>
      <c r="L4300" s="18" t="s">
        <v>2335</v>
      </c>
      <c r="Z4300" s="183" t="s">
        <v>4347</v>
      </c>
      <c r="AA4300" s="183" t="s">
        <v>4343</v>
      </c>
      <c r="AB4300" s="183" t="s">
        <v>4172</v>
      </c>
      <c r="AC4300" s="183" t="s">
        <v>4340</v>
      </c>
      <c r="AD4300" s="183" t="s">
        <v>4339</v>
      </c>
      <c r="AE4300" s="184" t="s">
        <v>4341</v>
      </c>
      <c r="AF4300" s="184" t="s">
        <v>4342</v>
      </c>
      <c r="AG4300" s="183" t="s">
        <v>4353</v>
      </c>
      <c r="AH4300" s="183" t="s">
        <v>3429</v>
      </c>
      <c r="AI4300" s="183" t="s">
        <v>4356</v>
      </c>
      <c r="AJ4300" s="183" t="s">
        <v>4364</v>
      </c>
      <c r="AU4300" s="208" t="s">
        <v>5041</v>
      </c>
      <c r="AV4300" s="6" t="str">
        <f t="shared" si="101"/>
        <v/>
      </c>
    </row>
    <row r="4301" spans="1:48" ht="105" thickBot="1" x14ac:dyDescent="0.5">
      <c r="A4301" s="228" t="s">
        <v>2792</v>
      </c>
      <c r="B4301" s="173" t="s">
        <v>4602</v>
      </c>
      <c r="C4301" s="174"/>
      <c r="D4301" s="174"/>
      <c r="E4301" s="174"/>
      <c r="F4301" s="174"/>
      <c r="G4301" s="174"/>
      <c r="H4301" s="174"/>
      <c r="Z4301" s="183"/>
      <c r="AB4301" s="8" t="s">
        <v>4354</v>
      </c>
      <c r="AC4301" s="183" t="s">
        <v>6</v>
      </c>
      <c r="AD4301" s="183"/>
      <c r="AE4301" s="184"/>
      <c r="AF4301" s="184"/>
      <c r="AG4301" s="183" t="s">
        <v>4355</v>
      </c>
      <c r="AH4301" s="183" t="s">
        <v>5265</v>
      </c>
      <c r="AI4301" s="183" t="s">
        <v>4357</v>
      </c>
      <c r="AT4301" s="239"/>
      <c r="AU4301" s="208" t="s">
        <v>5041</v>
      </c>
      <c r="AV4301" s="6" t="str">
        <f t="shared" si="101"/>
        <v/>
      </c>
    </row>
    <row r="4302" spans="1:48" ht="14.65" thickBot="1" x14ac:dyDescent="0.5">
      <c r="A4302" s="172" t="s">
        <v>33</v>
      </c>
      <c r="B4302" s="173" t="s">
        <v>4603</v>
      </c>
      <c r="C4302" s="174"/>
      <c r="D4302" s="174"/>
      <c r="E4302" s="174"/>
      <c r="F4302" s="174"/>
      <c r="G4302" s="174"/>
      <c r="H4302" s="174"/>
      <c r="L4302" s="18" t="s">
        <v>2335</v>
      </c>
      <c r="AT4302" s="239"/>
      <c r="AU4302" s="208" t="s">
        <v>5041</v>
      </c>
      <c r="AV4302" s="6" t="str">
        <f t="shared" si="101"/>
        <v/>
      </c>
    </row>
    <row r="4303" spans="1:48" x14ac:dyDescent="0.45">
      <c r="A4303" s="33" t="s">
        <v>4604</v>
      </c>
      <c r="L4303" s="18" t="s">
        <v>2335</v>
      </c>
      <c r="AU4303" s="208" t="s">
        <v>5041</v>
      </c>
      <c r="AV4303" s="6" t="str">
        <f t="shared" si="101"/>
        <v/>
      </c>
    </row>
    <row r="4304" spans="1:48" x14ac:dyDescent="0.45">
      <c r="A4304" s="34" t="s">
        <v>5915</v>
      </c>
      <c r="L4304" s="18" t="s">
        <v>2335</v>
      </c>
      <c r="AU4304" s="208" t="s">
        <v>5041</v>
      </c>
      <c r="AV4304" s="6" t="str">
        <f t="shared" si="101"/>
        <v/>
      </c>
    </row>
    <row r="4305" spans="1:48" s="79" customFormat="1" ht="14.65" thickBot="1" x14ac:dyDescent="0.5">
      <c r="A4305" s="75"/>
      <c r="B4305" s="76"/>
      <c r="C4305" s="77"/>
      <c r="D4305" s="77"/>
      <c r="E4305" s="77"/>
      <c r="F4305" s="77"/>
      <c r="G4305" s="77"/>
      <c r="H4305" s="77"/>
      <c r="I4305" s="77"/>
      <c r="J4305" s="77"/>
      <c r="K4305" s="77"/>
      <c r="L4305" s="77"/>
      <c r="M4305" s="148"/>
      <c r="N4305" s="78"/>
      <c r="O4305" s="78"/>
      <c r="P4305" s="78"/>
      <c r="Q4305" s="78"/>
      <c r="R4305" s="78"/>
      <c r="S4305" s="78"/>
      <c r="T4305" s="78"/>
      <c r="U4305" s="78"/>
      <c r="V4305" s="78"/>
      <c r="W4305" s="78"/>
      <c r="X4305" s="78"/>
      <c r="Y4305" s="148"/>
      <c r="Z4305" s="78"/>
      <c r="AA4305" s="78"/>
      <c r="AB4305" s="78"/>
      <c r="AC4305" s="78"/>
      <c r="AD4305" s="78"/>
      <c r="AE4305" s="156"/>
      <c r="AF4305" s="156"/>
      <c r="AG4305" s="78"/>
      <c r="AH4305" s="78"/>
      <c r="AI4305" s="78"/>
      <c r="AJ4305" s="78"/>
      <c r="AK4305" s="78"/>
      <c r="AL4305" s="78"/>
      <c r="AM4305" s="78"/>
      <c r="AN4305" s="78"/>
      <c r="AO4305" s="78"/>
      <c r="AP4305" s="78"/>
      <c r="AQ4305" s="78"/>
      <c r="AR4305" s="286"/>
      <c r="AS4305" s="78"/>
      <c r="AT4305" s="78"/>
      <c r="AU4305" s="8"/>
      <c r="AV4305" s="6" t="str">
        <f t="shared" si="101"/>
        <v/>
      </c>
    </row>
    <row r="4306" spans="1:48" ht="47.65" thickBot="1" x14ac:dyDescent="0.5">
      <c r="A4306" s="39" t="s">
        <v>4605</v>
      </c>
      <c r="R4306" s="218" t="s">
        <v>3426</v>
      </c>
      <c r="S4306" s="349" t="s">
        <v>823</v>
      </c>
      <c r="T4306" s="350"/>
      <c r="U4306" s="350"/>
      <c r="V4306" s="350"/>
      <c r="W4306" s="350"/>
      <c r="X4306" s="355"/>
      <c r="Y4306" s="118"/>
      <c r="Z4306" s="185"/>
      <c r="AA4306" s="185"/>
      <c r="AB4306" s="185"/>
      <c r="AC4306" s="185"/>
      <c r="AD4306" s="185"/>
      <c r="AE4306" s="186"/>
      <c r="AF4306" s="186"/>
      <c r="AG4306" s="185"/>
      <c r="AH4306" s="185"/>
      <c r="AI4306" s="185"/>
      <c r="AJ4306" s="185"/>
      <c r="AK4306" s="185"/>
      <c r="AL4306" s="185"/>
      <c r="AM4306" s="185"/>
      <c r="AN4306" s="117"/>
      <c r="AO4306" s="117"/>
      <c r="AP4306" s="117"/>
      <c r="AQ4306" s="117"/>
      <c r="AR4306" s="287"/>
      <c r="AS4306" s="258"/>
      <c r="AT4306" s="185"/>
      <c r="AU4306" s="207" t="s">
        <v>5040</v>
      </c>
      <c r="AV4306" s="6" t="str">
        <f t="shared" si="101"/>
        <v/>
      </c>
    </row>
    <row r="4307" spans="1:48" ht="58.5" thickBot="1" x14ac:dyDescent="0.5">
      <c r="A4307" s="110" t="s">
        <v>4644</v>
      </c>
      <c r="R4307" s="219" t="s">
        <v>3427</v>
      </c>
      <c r="S4307" s="352" t="s">
        <v>4599</v>
      </c>
      <c r="T4307" s="353"/>
      <c r="U4307" s="353"/>
      <c r="V4307" s="353"/>
      <c r="W4307" s="353"/>
      <c r="X4307" s="356"/>
      <c r="Y4307" s="149"/>
      <c r="Z4307" s="183" t="s">
        <v>4347</v>
      </c>
      <c r="AA4307" s="183" t="s">
        <v>2322</v>
      </c>
      <c r="AB4307" s="183" t="s">
        <v>1697</v>
      </c>
      <c r="AC4307" s="183" t="s">
        <v>5</v>
      </c>
      <c r="AD4307" s="183" t="s">
        <v>4339</v>
      </c>
      <c r="AE4307" s="184" t="s">
        <v>4338</v>
      </c>
      <c r="AF4307" s="184" t="s">
        <v>4350</v>
      </c>
      <c r="AG4307" s="183" t="s">
        <v>1695</v>
      </c>
      <c r="AH4307" s="183" t="s">
        <v>4351</v>
      </c>
      <c r="AI4307" s="8" t="s">
        <v>4455</v>
      </c>
      <c r="AJ4307" s="183" t="s">
        <v>5051</v>
      </c>
      <c r="AK4307" s="183"/>
      <c r="AL4307" s="183"/>
      <c r="AM4307" s="183"/>
      <c r="AN4307" s="131"/>
      <c r="AO4307" s="131"/>
      <c r="AP4307" s="131"/>
      <c r="AQ4307" s="131"/>
      <c r="AR4307" s="288"/>
      <c r="AS4307" s="259"/>
      <c r="AT4307" s="183"/>
      <c r="AU4307" s="207" t="s">
        <v>5040</v>
      </c>
      <c r="AV4307" s="6" t="str">
        <f t="shared" si="101"/>
        <v/>
      </c>
    </row>
    <row r="4308" spans="1:48" ht="186.4" thickBot="1" x14ac:dyDescent="0.5">
      <c r="A4308" s="315" t="s">
        <v>4609</v>
      </c>
      <c r="B4308" s="316"/>
      <c r="C4308" s="314" t="s">
        <v>1</v>
      </c>
      <c r="D4308" s="314"/>
      <c r="E4308" s="314"/>
      <c r="F4308" s="314"/>
      <c r="G4308" s="102"/>
      <c r="H4308" s="102"/>
      <c r="R4308" s="219" t="s">
        <v>3428</v>
      </c>
      <c r="S4308" s="352" t="b">
        <v>0</v>
      </c>
      <c r="T4308" s="353"/>
      <c r="U4308" s="353"/>
      <c r="V4308" s="353"/>
      <c r="W4308" s="353"/>
      <c r="X4308" s="356"/>
      <c r="Y4308" s="149"/>
      <c r="Z4308" s="183"/>
      <c r="AA4308" s="183" t="str">
        <f>LEFT($A4308,FIND(" ",$A4308)-1)</f>
        <v>DCNIOBus</v>
      </c>
      <c r="AB4308" s="183" t="str">
        <f>MID($A4308,FIND("(",$A4308)+1,LEN($A4308)-FIND("(",$A4308)-1)</f>
        <v>1.0.0</v>
      </c>
      <c r="AC4308" s="101" t="str">
        <f>A4307</f>
        <v>Resource describing an O-PAS DCN Bus (I/O and HART®).
For additional detail on I/O Busses and DCN Physical Topology, see O-PAS Part 7 – Physical Platform.</v>
      </c>
      <c r="AD4308" s="101"/>
      <c r="AE4308" s="253" t="s">
        <v>5916</v>
      </c>
      <c r="AF4308" s="184" t="s">
        <v>4352</v>
      </c>
      <c r="AG4308" s="183" t="s">
        <v>4357</v>
      </c>
      <c r="AH4308" s="183" t="s">
        <v>4352</v>
      </c>
      <c r="AI4308" s="183" t="s">
        <v>5248</v>
      </c>
      <c r="AJ4308" s="183"/>
      <c r="AK4308" s="183"/>
      <c r="AL4308" s="183"/>
      <c r="AM4308" s="183"/>
      <c r="AN4308" s="131"/>
      <c r="AO4308" s="131"/>
      <c r="AP4308" s="131"/>
      <c r="AQ4308" s="131"/>
      <c r="AR4308" s="288"/>
      <c r="AS4308" s="259"/>
      <c r="AT4308" s="183"/>
      <c r="AU4308" s="208" t="s">
        <v>5041</v>
      </c>
      <c r="AV4308" s="6" t="str">
        <f t="shared" si="101"/>
        <v/>
      </c>
    </row>
    <row r="4309" spans="1:48" ht="14.65" thickBot="1" x14ac:dyDescent="0.5">
      <c r="A4309" s="317"/>
      <c r="B4309" s="318"/>
      <c r="C4309" s="314" t="s">
        <v>2</v>
      </c>
      <c r="D4309" s="314"/>
      <c r="E4309" s="314" t="s">
        <v>3</v>
      </c>
      <c r="F4309" s="314"/>
      <c r="G4309" s="314" t="s">
        <v>2896</v>
      </c>
      <c r="H4309" s="314"/>
      <c r="R4309" s="115"/>
      <c r="S4309" s="115"/>
      <c r="T4309" s="115"/>
      <c r="U4309" s="115"/>
      <c r="V4309" s="115"/>
      <c r="W4309" s="115"/>
      <c r="X4309" s="115"/>
      <c r="Y4309" s="149"/>
      <c r="Z4309" s="183"/>
      <c r="AA4309" s="183"/>
      <c r="AB4309" s="183"/>
      <c r="AC4309" s="183"/>
      <c r="AD4309" s="183"/>
      <c r="AE4309" s="184"/>
      <c r="AF4309" s="184"/>
      <c r="AG4309" s="183"/>
      <c r="AH4309" s="183"/>
      <c r="AI4309" s="183"/>
      <c r="AJ4309" s="183"/>
      <c r="AK4309" s="183"/>
      <c r="AL4309" s="183"/>
      <c r="AM4309" s="183"/>
      <c r="AN4309" s="131"/>
      <c r="AO4309" s="131"/>
      <c r="AP4309" s="131"/>
      <c r="AQ4309" s="131"/>
      <c r="AR4309" s="288"/>
      <c r="AS4309" s="259"/>
      <c r="AT4309" s="183"/>
      <c r="AU4309" s="208" t="s">
        <v>5041</v>
      </c>
      <c r="AV4309" s="6" t="str">
        <f t="shared" si="101"/>
        <v/>
      </c>
    </row>
    <row r="4310" spans="1:48" ht="14.65" thickBot="1" x14ac:dyDescent="0.5">
      <c r="A4310" s="46" t="s">
        <v>2377</v>
      </c>
      <c r="B4310" s="47"/>
      <c r="C4310" s="303"/>
      <c r="D4310" s="304"/>
      <c r="E4310" s="303"/>
      <c r="F4310" s="304"/>
      <c r="G4310" s="303"/>
      <c r="H4310" s="304"/>
      <c r="R4310" s="129"/>
      <c r="S4310" s="117"/>
      <c r="T4310" s="117"/>
      <c r="U4310" s="117"/>
      <c r="V4310" s="117"/>
      <c r="W4310" s="117"/>
      <c r="X4310" s="216"/>
      <c r="Y4310" s="118"/>
      <c r="Z4310" s="185"/>
      <c r="AA4310" s="185"/>
      <c r="AB4310" s="185"/>
      <c r="AC4310" s="185"/>
      <c r="AD4310" s="185"/>
      <c r="AE4310" s="186"/>
      <c r="AF4310" s="186"/>
      <c r="AG4310" s="185"/>
      <c r="AH4310" s="185"/>
      <c r="AI4310" s="185"/>
      <c r="AJ4310" s="185"/>
      <c r="AK4310" s="185"/>
      <c r="AL4310" s="185"/>
      <c r="AM4310" s="185"/>
      <c r="AN4310" s="117"/>
      <c r="AO4310" s="117"/>
      <c r="AP4310" s="117"/>
      <c r="AQ4310" s="117"/>
      <c r="AR4310" s="287"/>
      <c r="AS4310" s="258"/>
      <c r="AT4310" s="185"/>
      <c r="AU4310" s="208" t="s">
        <v>5041</v>
      </c>
      <c r="AV4310" s="6" t="str">
        <f t="shared" si="101"/>
        <v/>
      </c>
    </row>
    <row r="4311" spans="1:48" ht="14.65" thickBot="1" x14ac:dyDescent="0.5">
      <c r="A4311" s="29" t="s">
        <v>3394</v>
      </c>
      <c r="B4311" s="9"/>
      <c r="C4311" s="305"/>
      <c r="D4311" s="306"/>
      <c r="E4311" s="305"/>
      <c r="F4311" s="306"/>
      <c r="G4311" s="305"/>
      <c r="H4311" s="306"/>
      <c r="R4311" s="111" t="s">
        <v>3429</v>
      </c>
      <c r="S4311" s="111" t="s">
        <v>3430</v>
      </c>
      <c r="T4311" s="111" t="s">
        <v>3427</v>
      </c>
      <c r="U4311" s="111" t="s">
        <v>3431</v>
      </c>
      <c r="V4311" s="111" t="s">
        <v>3432</v>
      </c>
      <c r="W4311" s="111" t="s">
        <v>3433</v>
      </c>
      <c r="X4311" s="217" t="s">
        <v>3434</v>
      </c>
      <c r="Y4311" s="118" t="s">
        <v>3965</v>
      </c>
      <c r="Z4311" s="185"/>
      <c r="AA4311" s="185"/>
      <c r="AB4311" s="185"/>
      <c r="AC4311" s="185"/>
      <c r="AD4311" s="185"/>
      <c r="AE4311" s="186"/>
      <c r="AF4311" s="186"/>
      <c r="AG4311" s="185"/>
      <c r="AH4311" s="185"/>
      <c r="AI4311" s="185"/>
      <c r="AJ4311" s="185"/>
      <c r="AK4311" s="185"/>
      <c r="AL4311" s="185"/>
      <c r="AM4311" s="185"/>
      <c r="AN4311" s="117"/>
      <c r="AO4311" s="117"/>
      <c r="AP4311" s="117"/>
      <c r="AQ4311" s="117"/>
      <c r="AR4311" s="287"/>
      <c r="AS4311" s="258"/>
      <c r="AT4311" s="185"/>
      <c r="AU4311" s="208" t="s">
        <v>5041</v>
      </c>
      <c r="AV4311" s="6" t="str">
        <f t="shared" si="101"/>
        <v/>
      </c>
    </row>
    <row r="4312" spans="1:48" ht="15" customHeight="1" thickBot="1" x14ac:dyDescent="0.5">
      <c r="A4312" s="60" t="s">
        <v>4</v>
      </c>
      <c r="B4312" s="61" t="s">
        <v>5</v>
      </c>
      <c r="C4312" s="62" t="s">
        <v>6</v>
      </c>
      <c r="D4312" s="62" t="s">
        <v>7</v>
      </c>
      <c r="E4312" s="62" t="s">
        <v>6</v>
      </c>
      <c r="F4312" s="62" t="s">
        <v>7</v>
      </c>
      <c r="G4312" s="62" t="s">
        <v>6</v>
      </c>
      <c r="H4312" s="62" t="s">
        <v>7</v>
      </c>
      <c r="R4312" s="352" t="s">
        <v>4040</v>
      </c>
      <c r="S4312" s="353"/>
      <c r="T4312" s="353"/>
      <c r="U4312" s="353"/>
      <c r="V4312" s="353"/>
      <c r="W4312" s="353"/>
      <c r="X4312" s="357"/>
      <c r="Y4312" s="149"/>
      <c r="Z4312" s="183" t="s">
        <v>4347</v>
      </c>
      <c r="AA4312" s="183" t="s">
        <v>4343</v>
      </c>
      <c r="AB4312" s="183" t="s">
        <v>4172</v>
      </c>
      <c r="AC4312" s="183" t="s">
        <v>4340</v>
      </c>
      <c r="AD4312" s="183" t="s">
        <v>4339</v>
      </c>
      <c r="AE4312" s="184" t="s">
        <v>4341</v>
      </c>
      <c r="AF4312" s="184" t="s">
        <v>4342</v>
      </c>
      <c r="AG4312" s="183" t="s">
        <v>4353</v>
      </c>
      <c r="AH4312" s="183" t="s">
        <v>3429</v>
      </c>
      <c r="AI4312" s="183" t="s">
        <v>4356</v>
      </c>
      <c r="AJ4312" s="183" t="s">
        <v>4364</v>
      </c>
      <c r="AK4312" s="183"/>
      <c r="AL4312" s="183"/>
      <c r="AM4312" s="183"/>
      <c r="AN4312" s="131"/>
      <c r="AO4312" s="131"/>
      <c r="AP4312" s="131"/>
      <c r="AQ4312" s="131"/>
      <c r="AR4312" s="288"/>
      <c r="AS4312" s="259"/>
      <c r="AT4312" s="183"/>
      <c r="AU4312" s="208" t="s">
        <v>5041</v>
      </c>
      <c r="AV4312" s="6" t="str">
        <f t="shared" si="101"/>
        <v/>
      </c>
    </row>
    <row r="4313" spans="1:48" ht="23.65" thickBot="1" x14ac:dyDescent="0.5">
      <c r="A4313" s="182" t="s">
        <v>8</v>
      </c>
      <c r="B4313" s="165" t="s">
        <v>3390</v>
      </c>
      <c r="C4313" s="192"/>
      <c r="D4313" s="192"/>
      <c r="E4313" s="192"/>
      <c r="F4313" s="192"/>
      <c r="G4313" s="192"/>
      <c r="H4313" s="192"/>
      <c r="L4313" s="18" t="s">
        <v>2336</v>
      </c>
      <c r="Z4313" s="183"/>
      <c r="AB4313" s="8" t="s">
        <v>4348</v>
      </c>
      <c r="AT4313" s="189" t="s">
        <v>5325</v>
      </c>
      <c r="AU4313" s="208" t="s">
        <v>5041</v>
      </c>
      <c r="AV4313" s="6" t="str">
        <f t="shared" si="101"/>
        <v/>
      </c>
    </row>
    <row r="4314" spans="1:48" ht="23.65" thickBot="1" x14ac:dyDescent="0.5">
      <c r="A4314" s="158" t="s">
        <v>2675</v>
      </c>
      <c r="B4314" s="159" t="s">
        <v>2699</v>
      </c>
      <c r="C4314" s="160"/>
      <c r="D4314" s="160"/>
      <c r="E4314" s="161"/>
      <c r="F4314" s="161"/>
      <c r="G4314" s="160"/>
      <c r="H4314" s="160"/>
      <c r="R4314" s="122" t="s">
        <v>3529</v>
      </c>
      <c r="S4314" s="114" t="s">
        <v>4</v>
      </c>
      <c r="T4314" s="114" t="s">
        <v>2675</v>
      </c>
      <c r="U4314" s="114" t="s">
        <v>3521</v>
      </c>
      <c r="V4314" s="114" t="s">
        <v>3530</v>
      </c>
      <c r="W4314" s="114" t="s">
        <v>3436</v>
      </c>
      <c r="X4314" s="114" t="s">
        <v>13</v>
      </c>
      <c r="Y4314" s="149"/>
      <c r="Z4314" s="183"/>
      <c r="AA4314" s="183"/>
      <c r="AB4314" s="183" t="s">
        <v>758</v>
      </c>
      <c r="AC4314" s="183" t="s">
        <v>4346</v>
      </c>
      <c r="AD4314" s="183"/>
      <c r="AE4314" s="184"/>
      <c r="AF4314" s="184"/>
      <c r="AG4314" s="183"/>
      <c r="AH4314" s="183"/>
      <c r="AI4314" s="183"/>
      <c r="AJ4314" s="183"/>
      <c r="AK4314" s="183"/>
      <c r="AL4314" s="183"/>
      <c r="AM4314" s="183"/>
      <c r="AN4314" s="131"/>
      <c r="AO4314" s="131"/>
      <c r="AP4314" s="131"/>
      <c r="AQ4314" s="131"/>
      <c r="AR4314" s="288"/>
      <c r="AS4314" s="259"/>
      <c r="AT4314" s="189" t="s">
        <v>5325</v>
      </c>
      <c r="AU4314" s="208" t="s">
        <v>5041</v>
      </c>
      <c r="AV4314" s="6" t="str">
        <f t="shared" si="101"/>
        <v>OK</v>
      </c>
    </row>
    <row r="4315" spans="1:48" ht="23.65" thickBot="1" x14ac:dyDescent="0.5">
      <c r="A4315" s="158" t="s">
        <v>4515</v>
      </c>
      <c r="B4315" s="159" t="s">
        <v>4519</v>
      </c>
      <c r="C4315" s="160"/>
      <c r="D4315" s="160"/>
      <c r="E4315" s="161"/>
      <c r="F4315" s="161"/>
      <c r="G4315" s="160"/>
      <c r="H4315" s="160"/>
      <c r="R4315" s="122" t="s">
        <v>3529</v>
      </c>
      <c r="S4315" s="114" t="s">
        <v>4</v>
      </c>
      <c r="T4315" s="114" t="s">
        <v>2675</v>
      </c>
      <c r="U4315" s="114" t="s">
        <v>3521</v>
      </c>
      <c r="V4315" s="114" t="s">
        <v>3530</v>
      </c>
      <c r="W4315" s="114" t="s">
        <v>3436</v>
      </c>
      <c r="X4315" s="114" t="s">
        <v>13</v>
      </c>
      <c r="Y4315" s="149"/>
      <c r="Z4315" s="183"/>
      <c r="AA4315" s="183"/>
      <c r="AB4315" s="183" t="s">
        <v>758</v>
      </c>
      <c r="AC4315" s="183" t="s">
        <v>4346</v>
      </c>
      <c r="AD4315" s="183"/>
      <c r="AE4315" s="184"/>
      <c r="AF4315" s="184"/>
      <c r="AG4315" s="183"/>
      <c r="AH4315" s="183"/>
      <c r="AI4315" s="183"/>
      <c r="AJ4315" s="183"/>
      <c r="AK4315" s="183"/>
      <c r="AL4315" s="183"/>
      <c r="AM4315" s="183"/>
      <c r="AN4315" s="131"/>
      <c r="AO4315" s="131"/>
      <c r="AP4315" s="131"/>
      <c r="AQ4315" s="131"/>
      <c r="AR4315" s="288"/>
      <c r="AS4315" s="259"/>
      <c r="AT4315" s="189" t="s">
        <v>5325</v>
      </c>
      <c r="AU4315" s="208" t="s">
        <v>5041</v>
      </c>
      <c r="AV4315" s="6" t="str">
        <f t="shared" si="101"/>
        <v>ERROR</v>
      </c>
    </row>
    <row r="4316" spans="1:48" ht="23.65" thickBot="1" x14ac:dyDescent="0.5">
      <c r="A4316" s="158" t="s">
        <v>4516</v>
      </c>
      <c r="B4316" s="159" t="s">
        <v>4520</v>
      </c>
      <c r="C4316" s="160"/>
      <c r="D4316" s="160"/>
      <c r="E4316" s="161"/>
      <c r="F4316" s="161"/>
      <c r="G4316" s="160"/>
      <c r="H4316" s="160"/>
      <c r="R4316" s="122" t="s">
        <v>3529</v>
      </c>
      <c r="S4316" s="114" t="s">
        <v>4</v>
      </c>
      <c r="T4316" s="114" t="s">
        <v>2675</v>
      </c>
      <c r="U4316" s="114" t="s">
        <v>3521</v>
      </c>
      <c r="V4316" s="114" t="s">
        <v>3530</v>
      </c>
      <c r="W4316" s="114" t="s">
        <v>3436</v>
      </c>
      <c r="X4316" s="114" t="s">
        <v>13</v>
      </c>
      <c r="Y4316" s="149"/>
      <c r="Z4316" s="183"/>
      <c r="AA4316" s="183"/>
      <c r="AB4316" s="183" t="s">
        <v>758</v>
      </c>
      <c r="AC4316" s="183" t="s">
        <v>4346</v>
      </c>
      <c r="AD4316" s="183"/>
      <c r="AE4316" s="184"/>
      <c r="AF4316" s="184"/>
      <c r="AG4316" s="183"/>
      <c r="AH4316" s="183"/>
      <c r="AI4316" s="183"/>
      <c r="AJ4316" s="183"/>
      <c r="AK4316" s="183"/>
      <c r="AL4316" s="183"/>
      <c r="AM4316" s="183"/>
      <c r="AN4316" s="131"/>
      <c r="AO4316" s="131"/>
      <c r="AP4316" s="131"/>
      <c r="AQ4316" s="131"/>
      <c r="AR4316" s="288"/>
      <c r="AS4316" s="259"/>
      <c r="AT4316" s="189" t="s">
        <v>5325</v>
      </c>
      <c r="AU4316" s="208" t="s">
        <v>5041</v>
      </c>
      <c r="AV4316" s="6" t="str">
        <f t="shared" si="101"/>
        <v>ERROR</v>
      </c>
    </row>
    <row r="4317" spans="1:48" ht="35.25" thickBot="1" x14ac:dyDescent="0.5">
      <c r="A4317" s="158" t="s">
        <v>4517</v>
      </c>
      <c r="B4317" s="159" t="s">
        <v>4518</v>
      </c>
      <c r="C4317" s="160"/>
      <c r="D4317" s="160"/>
      <c r="E4317" s="161"/>
      <c r="F4317" s="161"/>
      <c r="G4317" s="160"/>
      <c r="H4317" s="160"/>
      <c r="R4317" s="122" t="s">
        <v>3529</v>
      </c>
      <c r="S4317" s="114" t="s">
        <v>4</v>
      </c>
      <c r="T4317" s="114" t="s">
        <v>2675</v>
      </c>
      <c r="U4317" s="114" t="s">
        <v>3521</v>
      </c>
      <c r="V4317" s="114" t="s">
        <v>3530</v>
      </c>
      <c r="W4317" s="114" t="s">
        <v>3436</v>
      </c>
      <c r="X4317" s="114" t="s">
        <v>13</v>
      </c>
      <c r="Y4317" s="149"/>
      <c r="Z4317" s="183"/>
      <c r="AA4317" s="183"/>
      <c r="AB4317" s="183" t="s">
        <v>4634</v>
      </c>
      <c r="AC4317" s="183" t="s">
        <v>4346</v>
      </c>
      <c r="AD4317" s="183"/>
      <c r="AE4317" s="184"/>
      <c r="AF4317" s="184"/>
      <c r="AG4317" s="183"/>
      <c r="AH4317" s="183"/>
      <c r="AI4317" s="183"/>
      <c r="AJ4317" s="183"/>
      <c r="AK4317" s="183"/>
      <c r="AL4317" s="183"/>
      <c r="AM4317" s="183"/>
      <c r="AN4317" s="131"/>
      <c r="AO4317" s="131"/>
      <c r="AP4317" s="131"/>
      <c r="AQ4317" s="131"/>
      <c r="AR4317" s="288"/>
      <c r="AS4317" s="259"/>
      <c r="AT4317" s="189" t="s">
        <v>5325</v>
      </c>
      <c r="AU4317" s="208" t="s">
        <v>5041</v>
      </c>
      <c r="AV4317" s="6" t="str">
        <f t="shared" ref="AV4317" si="102">IF(A4317&lt;&gt;"",IF(T4317&lt;&gt;"",IF(LEFT(R4317,3)="Has",IF(TRIM(A4317)&lt;&gt;T4317,"ERROR","OK"),""),""),"")</f>
        <v>ERROR</v>
      </c>
    </row>
    <row r="4318" spans="1:48" ht="116.65" thickBot="1" x14ac:dyDescent="0.5">
      <c r="A4318" s="158" t="s">
        <v>2787</v>
      </c>
      <c r="B4318" s="159" t="s">
        <v>4638</v>
      </c>
      <c r="C4318" s="160"/>
      <c r="D4318" s="160"/>
      <c r="E4318" s="161"/>
      <c r="F4318" s="161"/>
      <c r="G4318" s="160"/>
      <c r="H4318" s="160"/>
      <c r="R4318" s="122" t="s">
        <v>3435</v>
      </c>
      <c r="S4318" s="114" t="s">
        <v>3437</v>
      </c>
      <c r="T4318" s="114" t="s">
        <v>2787</v>
      </c>
      <c r="U4318" s="114"/>
      <c r="V4318" s="114" t="s">
        <v>4468</v>
      </c>
      <c r="W4318" s="114" t="s">
        <v>3436</v>
      </c>
      <c r="X4318" s="114" t="s">
        <v>13</v>
      </c>
      <c r="Y4318" s="149"/>
      <c r="Z4318" s="183"/>
      <c r="AA4318" s="183"/>
      <c r="AB4318" s="183" t="s">
        <v>4354</v>
      </c>
      <c r="AC4318" s="183" t="s">
        <v>6</v>
      </c>
      <c r="AD4318" s="183"/>
      <c r="AE4318" s="184"/>
      <c r="AF4318" s="184"/>
      <c r="AG4318" s="183" t="s">
        <v>4355</v>
      </c>
      <c r="AH4318" s="183" t="s">
        <v>5255</v>
      </c>
      <c r="AI4318" s="183" t="s">
        <v>4357</v>
      </c>
      <c r="AJ4318" s="183"/>
      <c r="AK4318" s="183"/>
      <c r="AL4318" s="183"/>
      <c r="AM4318" s="183"/>
      <c r="AN4318" s="131"/>
      <c r="AO4318" s="131"/>
      <c r="AP4318" s="131"/>
      <c r="AQ4318" s="131"/>
      <c r="AR4318" s="288"/>
      <c r="AS4318" s="259"/>
      <c r="AT4318" s="189" t="s">
        <v>5325</v>
      </c>
      <c r="AU4318" s="208" t="s">
        <v>5041</v>
      </c>
      <c r="AV4318" s="6" t="str">
        <f t="shared" ref="AV4318:AV4339" si="103">IF(A4318&lt;&gt;"",IF(T4318&lt;&gt;"",IF(LEFT(R4318,3)="Has",IF(TRIM(A4318)&lt;&gt;T4318,"ERROR","OK"),""),""),"")</f>
        <v>OK</v>
      </c>
    </row>
    <row r="4319" spans="1:48" ht="30.75" thickBot="1" x14ac:dyDescent="0.5">
      <c r="A4319" s="167" t="s">
        <v>2787</v>
      </c>
      <c r="B4319" s="168" t="s">
        <v>3988</v>
      </c>
      <c r="C4319" s="169"/>
      <c r="D4319" s="169"/>
      <c r="E4319" s="170"/>
      <c r="F4319" s="170"/>
      <c r="G4319" s="169"/>
      <c r="H4319" s="169"/>
      <c r="R4319" s="122" t="s">
        <v>3435</v>
      </c>
      <c r="S4319" s="114" t="s">
        <v>3437</v>
      </c>
      <c r="T4319" s="114" t="s">
        <v>2787</v>
      </c>
      <c r="U4319" s="114"/>
      <c r="V4319" s="114" t="s">
        <v>3556</v>
      </c>
      <c r="W4319" s="114" t="s">
        <v>3436</v>
      </c>
      <c r="X4319" s="114" t="s">
        <v>13</v>
      </c>
      <c r="Y4319" s="149"/>
      <c r="Z4319" s="183"/>
      <c r="AA4319" s="183"/>
      <c r="AB4319" s="183"/>
      <c r="AC4319" s="183"/>
      <c r="AD4319" s="183"/>
      <c r="AE4319" s="184"/>
      <c r="AF4319" s="184"/>
      <c r="AG4319" s="183"/>
      <c r="AH4319" s="183"/>
      <c r="AI4319" s="183"/>
      <c r="AJ4319" s="183"/>
      <c r="AK4319" s="183"/>
      <c r="AL4319" s="183"/>
      <c r="AM4319" s="183"/>
      <c r="AN4319" s="131"/>
      <c r="AO4319" s="131"/>
      <c r="AP4319" s="131"/>
      <c r="AQ4319" s="131"/>
      <c r="AR4319" s="288"/>
      <c r="AS4319" s="259"/>
      <c r="AT4319" s="189" t="s">
        <v>5325</v>
      </c>
      <c r="AU4319" s="208" t="s">
        <v>5041</v>
      </c>
      <c r="AV4319" s="6" t="str">
        <f t="shared" si="103"/>
        <v>OK</v>
      </c>
    </row>
    <row r="4320" spans="1:48" ht="23.65" thickBot="1" x14ac:dyDescent="0.5">
      <c r="A4320" s="171" t="s">
        <v>33</v>
      </c>
      <c r="B4320" s="168" t="s">
        <v>3686</v>
      </c>
      <c r="C4320" s="169"/>
      <c r="D4320" s="170"/>
      <c r="E4320" s="170"/>
      <c r="F4320" s="170"/>
      <c r="G4320" s="169"/>
      <c r="H4320" s="170"/>
      <c r="R4320" s="114"/>
      <c r="S4320" s="114"/>
      <c r="T4320" s="114"/>
      <c r="U4320" s="114"/>
      <c r="V4320" s="114"/>
      <c r="W4320" s="114"/>
      <c r="X4320" s="114"/>
      <c r="Y4320" s="149"/>
      <c r="Z4320" s="183"/>
      <c r="AA4320" s="183"/>
      <c r="AB4320" s="183"/>
      <c r="AC4320" s="183"/>
      <c r="AD4320" s="183"/>
      <c r="AE4320" s="184"/>
      <c r="AF4320" s="184"/>
      <c r="AG4320" s="183"/>
      <c r="AH4320" s="183"/>
      <c r="AI4320" s="183"/>
      <c r="AJ4320" s="183"/>
      <c r="AK4320" s="183"/>
      <c r="AL4320" s="183"/>
      <c r="AM4320" s="183"/>
      <c r="AN4320" s="131"/>
      <c r="AO4320" s="131"/>
      <c r="AP4320" s="131"/>
      <c r="AQ4320" s="131"/>
      <c r="AR4320" s="288"/>
      <c r="AS4320" s="259"/>
      <c r="AT4320" s="189" t="s">
        <v>5325</v>
      </c>
      <c r="AU4320" s="208" t="s">
        <v>5041</v>
      </c>
      <c r="AV4320" s="6" t="str">
        <f t="shared" si="103"/>
        <v/>
      </c>
    </row>
    <row r="4321" spans="1:48" ht="23.65" thickBot="1" x14ac:dyDescent="0.5">
      <c r="A4321" s="172" t="s">
        <v>461</v>
      </c>
      <c r="B4321" s="173" t="s">
        <v>3688</v>
      </c>
      <c r="C4321" s="169"/>
      <c r="D4321" s="170"/>
      <c r="E4321" s="170"/>
      <c r="F4321" s="174"/>
      <c r="G4321" s="169"/>
      <c r="H4321" s="170"/>
      <c r="R4321" s="114"/>
      <c r="S4321" s="114"/>
      <c r="T4321" s="114"/>
      <c r="U4321" s="114"/>
      <c r="V4321" s="114"/>
      <c r="W4321" s="114"/>
      <c r="X4321" s="114"/>
      <c r="Y4321" s="149"/>
      <c r="Z4321" s="183"/>
      <c r="AA4321" s="183"/>
      <c r="AB4321" s="183"/>
      <c r="AC4321" s="183"/>
      <c r="AD4321" s="183"/>
      <c r="AE4321" s="184"/>
      <c r="AF4321" s="184"/>
      <c r="AG4321" s="183"/>
      <c r="AH4321" s="183"/>
      <c r="AI4321" s="183"/>
      <c r="AJ4321" s="183"/>
      <c r="AK4321" s="183"/>
      <c r="AL4321" s="183"/>
      <c r="AM4321" s="183"/>
      <c r="AN4321" s="131"/>
      <c r="AO4321" s="131"/>
      <c r="AP4321" s="131"/>
      <c r="AQ4321" s="131"/>
      <c r="AR4321" s="288"/>
      <c r="AS4321" s="259"/>
      <c r="AT4321" s="189" t="s">
        <v>5325</v>
      </c>
      <c r="AU4321" s="208" t="s">
        <v>5041</v>
      </c>
      <c r="AV4321" s="6" t="str">
        <f t="shared" si="103"/>
        <v/>
      </c>
    </row>
    <row r="4322" spans="1:48" ht="23.65" thickBot="1" x14ac:dyDescent="0.5">
      <c r="A4322" s="172" t="s">
        <v>424</v>
      </c>
      <c r="B4322" s="173" t="s">
        <v>3689</v>
      </c>
      <c r="C4322" s="169"/>
      <c r="D4322" s="170"/>
      <c r="E4322" s="170"/>
      <c r="F4322" s="174"/>
      <c r="G4322" s="169"/>
      <c r="H4322" s="170"/>
      <c r="R4322" s="114"/>
      <c r="S4322" s="114"/>
      <c r="T4322" s="114"/>
      <c r="U4322" s="114"/>
      <c r="V4322" s="114"/>
      <c r="W4322" s="114"/>
      <c r="X4322" s="114"/>
      <c r="Y4322" s="149"/>
      <c r="Z4322" s="183"/>
      <c r="AA4322" s="183"/>
      <c r="AB4322" s="183"/>
      <c r="AC4322" s="183"/>
      <c r="AD4322" s="183"/>
      <c r="AE4322" s="184"/>
      <c r="AF4322" s="184"/>
      <c r="AG4322" s="183"/>
      <c r="AH4322" s="183"/>
      <c r="AI4322" s="183"/>
      <c r="AJ4322" s="183"/>
      <c r="AK4322" s="183"/>
      <c r="AL4322" s="183"/>
      <c r="AM4322" s="183"/>
      <c r="AN4322" s="131"/>
      <c r="AO4322" s="131"/>
      <c r="AP4322" s="131"/>
      <c r="AQ4322" s="131"/>
      <c r="AR4322" s="288"/>
      <c r="AS4322" s="259"/>
      <c r="AT4322" s="189" t="s">
        <v>5325</v>
      </c>
      <c r="AU4322" s="208" t="s">
        <v>5041</v>
      </c>
      <c r="AV4322" s="6" t="str">
        <f t="shared" si="103"/>
        <v/>
      </c>
    </row>
    <row r="4323" spans="1:48" ht="36" thickBot="1" x14ac:dyDescent="0.5">
      <c r="A4323" s="171" t="s">
        <v>2679</v>
      </c>
      <c r="B4323" s="168" t="s">
        <v>3987</v>
      </c>
      <c r="C4323" s="169"/>
      <c r="D4323" s="169"/>
      <c r="E4323" s="170"/>
      <c r="F4323" s="170"/>
      <c r="G4323" s="169"/>
      <c r="H4323" s="169"/>
      <c r="Q4323" s="8" t="s">
        <v>3556</v>
      </c>
      <c r="R4323" s="122" t="s">
        <v>3529</v>
      </c>
      <c r="S4323" s="114" t="s">
        <v>4</v>
      </c>
      <c r="T4323" s="114" t="s">
        <v>2676</v>
      </c>
      <c r="U4323" s="114" t="s">
        <v>3521</v>
      </c>
      <c r="V4323" s="114" t="s">
        <v>3530</v>
      </c>
      <c r="W4323" s="114" t="s">
        <v>3436</v>
      </c>
      <c r="X4323" s="114" t="s">
        <v>13</v>
      </c>
      <c r="Y4323" s="149"/>
      <c r="Z4323" s="183"/>
      <c r="AA4323" s="183"/>
      <c r="AB4323" s="183"/>
      <c r="AC4323" s="183"/>
      <c r="AD4323" s="183"/>
      <c r="AE4323" s="184"/>
      <c r="AF4323" s="184"/>
      <c r="AG4323" s="183"/>
      <c r="AH4323" s="183"/>
      <c r="AI4323" s="183"/>
      <c r="AJ4323" s="183"/>
      <c r="AK4323" s="183"/>
      <c r="AL4323" s="183"/>
      <c r="AM4323" s="183"/>
      <c r="AN4323" s="131"/>
      <c r="AO4323" s="131"/>
      <c r="AP4323" s="131"/>
      <c r="AQ4323" s="131"/>
      <c r="AR4323" s="288"/>
      <c r="AS4323" s="259"/>
      <c r="AT4323" s="189" t="s">
        <v>5325</v>
      </c>
      <c r="AU4323" s="208" t="s">
        <v>5041</v>
      </c>
      <c r="AV4323" s="6" t="str">
        <f t="shared" si="103"/>
        <v>OK</v>
      </c>
    </row>
    <row r="4324" spans="1:48" ht="36" thickBot="1" x14ac:dyDescent="0.5">
      <c r="A4324" s="171" t="s">
        <v>2680</v>
      </c>
      <c r="B4324" s="168" t="s">
        <v>3744</v>
      </c>
      <c r="C4324" s="169"/>
      <c r="D4324" s="169"/>
      <c r="E4324" s="170"/>
      <c r="F4324" s="170"/>
      <c r="G4324" s="169"/>
      <c r="H4324" s="169"/>
      <c r="Q4324" s="8" t="s">
        <v>3556</v>
      </c>
      <c r="R4324" s="122" t="s">
        <v>3529</v>
      </c>
      <c r="S4324" s="114" t="s">
        <v>4</v>
      </c>
      <c r="T4324" s="114" t="s">
        <v>2649</v>
      </c>
      <c r="U4324" s="114" t="s">
        <v>3521</v>
      </c>
      <c r="V4324" s="114" t="s">
        <v>3530</v>
      </c>
      <c r="W4324" s="114" t="s">
        <v>3436</v>
      </c>
      <c r="X4324" s="114" t="s">
        <v>13</v>
      </c>
      <c r="Y4324" s="149"/>
      <c r="Z4324" s="183"/>
      <c r="AA4324" s="183"/>
      <c r="AB4324" s="183"/>
      <c r="AC4324" s="183"/>
      <c r="AD4324" s="183"/>
      <c r="AE4324" s="184"/>
      <c r="AF4324" s="184"/>
      <c r="AG4324" s="183"/>
      <c r="AH4324" s="183"/>
      <c r="AI4324" s="183"/>
      <c r="AJ4324" s="183"/>
      <c r="AK4324" s="183"/>
      <c r="AL4324" s="183"/>
      <c r="AM4324" s="183"/>
      <c r="AN4324" s="131"/>
      <c r="AO4324" s="131"/>
      <c r="AP4324" s="131"/>
      <c r="AQ4324" s="131"/>
      <c r="AR4324" s="288"/>
      <c r="AS4324" s="259"/>
      <c r="AT4324" s="189" t="s">
        <v>5325</v>
      </c>
      <c r="AU4324" s="208" t="s">
        <v>5041</v>
      </c>
      <c r="AV4324" s="6" t="str">
        <f t="shared" si="103"/>
        <v>OK</v>
      </c>
    </row>
    <row r="4325" spans="1:48" ht="36" thickBot="1" x14ac:dyDescent="0.5">
      <c r="A4325" s="171" t="s">
        <v>2681</v>
      </c>
      <c r="B4325" s="168" t="s">
        <v>3741</v>
      </c>
      <c r="C4325" s="169"/>
      <c r="D4325" s="169"/>
      <c r="E4325" s="170"/>
      <c r="F4325" s="170"/>
      <c r="G4325" s="169"/>
      <c r="H4325" s="169"/>
      <c r="Q4325" s="8" t="s">
        <v>3556</v>
      </c>
      <c r="R4325" s="122" t="s">
        <v>3529</v>
      </c>
      <c r="S4325" s="114" t="s">
        <v>4</v>
      </c>
      <c r="T4325" s="114" t="s">
        <v>3517</v>
      </c>
      <c r="U4325" s="114"/>
      <c r="V4325" s="114" t="s">
        <v>3633</v>
      </c>
      <c r="W4325" s="114" t="s">
        <v>3436</v>
      </c>
      <c r="X4325" s="114" t="s">
        <v>13</v>
      </c>
      <c r="Y4325" s="149"/>
      <c r="Z4325" s="183"/>
      <c r="AA4325" s="183"/>
      <c r="AB4325" s="183"/>
      <c r="AC4325" s="183"/>
      <c r="AD4325" s="183"/>
      <c r="AE4325" s="184"/>
      <c r="AF4325" s="184"/>
      <c r="AG4325" s="183"/>
      <c r="AH4325" s="183"/>
      <c r="AI4325" s="183"/>
      <c r="AJ4325" s="183"/>
      <c r="AK4325" s="183"/>
      <c r="AL4325" s="183"/>
      <c r="AM4325" s="183"/>
      <c r="AN4325" s="131"/>
      <c r="AO4325" s="131"/>
      <c r="AP4325" s="131"/>
      <c r="AQ4325" s="131"/>
      <c r="AR4325" s="288"/>
      <c r="AS4325" s="259"/>
      <c r="AT4325" s="189" t="s">
        <v>5325</v>
      </c>
      <c r="AU4325" s="208" t="s">
        <v>5041</v>
      </c>
      <c r="AV4325" s="6" t="str">
        <f t="shared" si="103"/>
        <v>OK</v>
      </c>
    </row>
    <row r="4326" spans="1:48" ht="23.65" thickBot="1" x14ac:dyDescent="0.5">
      <c r="A4326" s="171" t="s">
        <v>43</v>
      </c>
      <c r="B4326" s="168" t="s">
        <v>3686</v>
      </c>
      <c r="C4326" s="169"/>
      <c r="D4326" s="170"/>
      <c r="E4326" s="170"/>
      <c r="F4326" s="170"/>
      <c r="G4326" s="169"/>
      <c r="H4326" s="170"/>
      <c r="R4326" s="114"/>
      <c r="S4326" s="114"/>
      <c r="T4326" s="114"/>
      <c r="U4326" s="114"/>
      <c r="V4326" s="114"/>
      <c r="W4326" s="114"/>
      <c r="X4326" s="114"/>
      <c r="Y4326" s="149"/>
      <c r="Z4326" s="183"/>
      <c r="AA4326" s="183"/>
      <c r="AB4326" s="183"/>
      <c r="AC4326" s="183"/>
      <c r="AD4326" s="183"/>
      <c r="AE4326" s="184"/>
      <c r="AF4326" s="184"/>
      <c r="AG4326" s="183"/>
      <c r="AH4326" s="183"/>
      <c r="AI4326" s="183"/>
      <c r="AJ4326" s="183"/>
      <c r="AK4326" s="183"/>
      <c r="AL4326" s="183"/>
      <c r="AM4326" s="183"/>
      <c r="AN4326" s="131"/>
      <c r="AO4326" s="131"/>
      <c r="AP4326" s="131"/>
      <c r="AQ4326" s="131"/>
      <c r="AR4326" s="288"/>
      <c r="AS4326" s="259"/>
      <c r="AT4326" s="189" t="s">
        <v>5325</v>
      </c>
      <c r="AU4326" s="208" t="s">
        <v>5041</v>
      </c>
      <c r="AV4326" s="6" t="str">
        <f t="shared" si="103"/>
        <v/>
      </c>
    </row>
    <row r="4327" spans="1:48" ht="23.65" thickBot="1" x14ac:dyDescent="0.5">
      <c r="A4327" s="172" t="s">
        <v>2788</v>
      </c>
      <c r="B4327" s="173" t="s">
        <v>3688</v>
      </c>
      <c r="C4327" s="169"/>
      <c r="D4327" s="170"/>
      <c r="E4327" s="170"/>
      <c r="F4327" s="174"/>
      <c r="G4327" s="169"/>
      <c r="H4327" s="170"/>
      <c r="R4327" s="114"/>
      <c r="S4327" s="114"/>
      <c r="T4327" s="114"/>
      <c r="U4327" s="114"/>
      <c r="V4327" s="114"/>
      <c r="W4327" s="114"/>
      <c r="X4327" s="114"/>
      <c r="Y4327" s="149"/>
      <c r="Z4327" s="183"/>
      <c r="AA4327" s="183"/>
      <c r="AB4327" s="183"/>
      <c r="AC4327" s="183"/>
      <c r="AD4327" s="183"/>
      <c r="AE4327" s="184"/>
      <c r="AF4327" s="184"/>
      <c r="AG4327" s="183"/>
      <c r="AH4327" s="183"/>
      <c r="AI4327" s="183"/>
      <c r="AJ4327" s="183"/>
      <c r="AK4327" s="183"/>
      <c r="AL4327" s="183"/>
      <c r="AM4327" s="183"/>
      <c r="AN4327" s="131"/>
      <c r="AO4327" s="131"/>
      <c r="AP4327" s="131"/>
      <c r="AQ4327" s="131"/>
      <c r="AR4327" s="288"/>
      <c r="AS4327" s="259"/>
      <c r="AT4327" s="189" t="s">
        <v>5325</v>
      </c>
      <c r="AU4327" s="208" t="s">
        <v>5041</v>
      </c>
      <c r="AV4327" s="6" t="str">
        <f t="shared" si="103"/>
        <v/>
      </c>
    </row>
    <row r="4328" spans="1:48" ht="23.65" thickBot="1" x14ac:dyDescent="0.5">
      <c r="A4328" s="172" t="s">
        <v>3540</v>
      </c>
      <c r="B4328" s="173" t="s">
        <v>3689</v>
      </c>
      <c r="C4328" s="169"/>
      <c r="D4328" s="170"/>
      <c r="E4328" s="170"/>
      <c r="F4328" s="174"/>
      <c r="G4328" s="169"/>
      <c r="H4328" s="170"/>
      <c r="R4328" s="114"/>
      <c r="S4328" s="114"/>
      <c r="T4328" s="114"/>
      <c r="U4328" s="114"/>
      <c r="V4328" s="114"/>
      <c r="W4328" s="114"/>
      <c r="X4328" s="114"/>
      <c r="Y4328" s="149"/>
      <c r="Z4328" s="183"/>
      <c r="AA4328" s="183"/>
      <c r="AB4328" s="183"/>
      <c r="AC4328" s="183"/>
      <c r="AD4328" s="183"/>
      <c r="AE4328" s="184"/>
      <c r="AF4328" s="184"/>
      <c r="AG4328" s="183"/>
      <c r="AH4328" s="183"/>
      <c r="AI4328" s="183"/>
      <c r="AJ4328" s="183"/>
      <c r="AK4328" s="183"/>
      <c r="AL4328" s="183"/>
      <c r="AM4328" s="183"/>
      <c r="AN4328" s="131"/>
      <c r="AO4328" s="131"/>
      <c r="AP4328" s="131"/>
      <c r="AQ4328" s="131"/>
      <c r="AR4328" s="288"/>
      <c r="AS4328" s="259"/>
      <c r="AT4328" s="189" t="s">
        <v>5325</v>
      </c>
      <c r="AU4328" s="208" t="s">
        <v>5041</v>
      </c>
      <c r="AV4328" s="6" t="str">
        <f t="shared" si="103"/>
        <v/>
      </c>
    </row>
    <row r="4329" spans="1:48" ht="36" thickBot="1" x14ac:dyDescent="0.5">
      <c r="A4329" s="171" t="s">
        <v>2682</v>
      </c>
      <c r="B4329" s="168" t="s">
        <v>3742</v>
      </c>
      <c r="C4329" s="169"/>
      <c r="D4329" s="169"/>
      <c r="E4329" s="170"/>
      <c r="F4329" s="170"/>
      <c r="G4329" s="169"/>
      <c r="H4329" s="169"/>
      <c r="Q4329" s="8" t="s">
        <v>3633</v>
      </c>
      <c r="R4329" s="122" t="s">
        <v>3529</v>
      </c>
      <c r="S4329" s="114" t="s">
        <v>4</v>
      </c>
      <c r="T4329" s="114" t="s">
        <v>2677</v>
      </c>
      <c r="U4329" s="114" t="s">
        <v>3521</v>
      </c>
      <c r="V4329" s="114" t="s">
        <v>3530</v>
      </c>
      <c r="W4329" s="114" t="s">
        <v>3436</v>
      </c>
      <c r="X4329" s="114" t="s">
        <v>13</v>
      </c>
      <c r="Y4329" s="149"/>
      <c r="Z4329" s="183"/>
      <c r="AA4329" s="183"/>
      <c r="AB4329" s="183"/>
      <c r="AC4329" s="183"/>
      <c r="AD4329" s="183"/>
      <c r="AE4329" s="184"/>
      <c r="AF4329" s="184"/>
      <c r="AG4329" s="183"/>
      <c r="AH4329" s="183"/>
      <c r="AI4329" s="183"/>
      <c r="AJ4329" s="183"/>
      <c r="AK4329" s="183"/>
      <c r="AL4329" s="183"/>
      <c r="AM4329" s="183"/>
      <c r="AN4329" s="131"/>
      <c r="AO4329" s="131"/>
      <c r="AP4329" s="131"/>
      <c r="AQ4329" s="131"/>
      <c r="AR4329" s="288"/>
      <c r="AS4329" s="259"/>
      <c r="AT4329" s="189" t="s">
        <v>5325</v>
      </c>
      <c r="AU4329" s="208" t="s">
        <v>5041</v>
      </c>
      <c r="AV4329" s="6" t="str">
        <f t="shared" si="103"/>
        <v>OK</v>
      </c>
    </row>
    <row r="4330" spans="1:48" ht="30.75" thickBot="1" x14ac:dyDescent="0.5">
      <c r="A4330" s="171" t="s">
        <v>2683</v>
      </c>
      <c r="B4330" s="168" t="s">
        <v>4298</v>
      </c>
      <c r="C4330" s="169"/>
      <c r="D4330" s="169"/>
      <c r="E4330" s="170"/>
      <c r="F4330" s="170"/>
      <c r="G4330" s="169"/>
      <c r="H4330" s="169"/>
      <c r="Q4330" s="131" t="s">
        <v>3633</v>
      </c>
      <c r="R4330" s="122" t="s">
        <v>3529</v>
      </c>
      <c r="S4330" s="114" t="s">
        <v>4</v>
      </c>
      <c r="T4330" s="114" t="s">
        <v>950</v>
      </c>
      <c r="U4330" s="114" t="s">
        <v>3521</v>
      </c>
      <c r="V4330" s="114" t="s">
        <v>3530</v>
      </c>
      <c r="W4330" s="114" t="s">
        <v>3436</v>
      </c>
      <c r="X4330" s="114" t="s">
        <v>13</v>
      </c>
      <c r="Y4330" s="149"/>
      <c r="Z4330" s="183"/>
      <c r="AA4330" s="183"/>
      <c r="AB4330" s="183"/>
      <c r="AC4330" s="183"/>
      <c r="AD4330" s="183"/>
      <c r="AE4330" s="184"/>
      <c r="AF4330" s="184"/>
      <c r="AG4330" s="183"/>
      <c r="AH4330" s="183"/>
      <c r="AI4330" s="183"/>
      <c r="AJ4330" s="183"/>
      <c r="AK4330" s="183"/>
      <c r="AL4330" s="183"/>
      <c r="AM4330" s="183"/>
      <c r="AN4330" s="131"/>
      <c r="AO4330" s="131"/>
      <c r="AP4330" s="131"/>
      <c r="AQ4330" s="131"/>
      <c r="AR4330" s="288"/>
      <c r="AS4330" s="259"/>
      <c r="AT4330" s="189" t="s">
        <v>5325</v>
      </c>
      <c r="AU4330" s="208" t="s">
        <v>5041</v>
      </c>
      <c r="AV4330" s="6" t="str">
        <f t="shared" si="103"/>
        <v>OK</v>
      </c>
    </row>
    <row r="4331" spans="1:48" ht="30.75" thickBot="1" x14ac:dyDescent="0.5">
      <c r="A4331" s="171" t="s">
        <v>2684</v>
      </c>
      <c r="B4331" s="168" t="s">
        <v>4299</v>
      </c>
      <c r="C4331" s="169"/>
      <c r="D4331" s="169"/>
      <c r="E4331" s="170"/>
      <c r="F4331" s="170"/>
      <c r="G4331" s="169"/>
      <c r="H4331" s="169"/>
      <c r="Q4331" s="131" t="s">
        <v>3633</v>
      </c>
      <c r="R4331" s="122" t="s">
        <v>3529</v>
      </c>
      <c r="S4331" s="114" t="s">
        <v>4</v>
      </c>
      <c r="T4331" s="114" t="s">
        <v>2650</v>
      </c>
      <c r="U4331" s="114" t="s">
        <v>3521</v>
      </c>
      <c r="V4331" s="114" t="s">
        <v>3530</v>
      </c>
      <c r="W4331" s="114" t="s">
        <v>3436</v>
      </c>
      <c r="X4331" s="114" t="s">
        <v>13</v>
      </c>
      <c r="Y4331" s="149"/>
      <c r="Z4331" s="183"/>
      <c r="AA4331" s="183"/>
      <c r="AB4331" s="183"/>
      <c r="AC4331" s="183"/>
      <c r="AD4331" s="183"/>
      <c r="AE4331" s="184"/>
      <c r="AF4331" s="184"/>
      <c r="AG4331" s="183"/>
      <c r="AH4331" s="183"/>
      <c r="AI4331" s="183"/>
      <c r="AJ4331" s="183"/>
      <c r="AK4331" s="183"/>
      <c r="AL4331" s="183"/>
      <c r="AM4331" s="183"/>
      <c r="AN4331" s="131"/>
      <c r="AO4331" s="131"/>
      <c r="AP4331" s="131"/>
      <c r="AQ4331" s="131"/>
      <c r="AR4331" s="288"/>
      <c r="AS4331" s="259"/>
      <c r="AT4331" s="189" t="s">
        <v>5325</v>
      </c>
      <c r="AU4331" s="208" t="s">
        <v>5041</v>
      </c>
      <c r="AV4331" s="6" t="str">
        <f t="shared" si="103"/>
        <v>OK</v>
      </c>
    </row>
    <row r="4332" spans="1:48" ht="30.75" thickBot="1" x14ac:dyDescent="0.5">
      <c r="A4332" s="171" t="s">
        <v>2685</v>
      </c>
      <c r="B4332" s="168" t="s">
        <v>4312</v>
      </c>
      <c r="C4332" s="169"/>
      <c r="D4332" s="169"/>
      <c r="E4332" s="170"/>
      <c r="F4332" s="170"/>
      <c r="G4332" s="169"/>
      <c r="H4332" s="169"/>
      <c r="Q4332" s="131" t="s">
        <v>3633</v>
      </c>
      <c r="R4332" s="122" t="s">
        <v>3435</v>
      </c>
      <c r="S4332" s="114" t="s">
        <v>3437</v>
      </c>
      <c r="T4332" s="114" t="s">
        <v>2651</v>
      </c>
      <c r="U4332" s="114"/>
      <c r="V4332" s="114" t="s">
        <v>3445</v>
      </c>
      <c r="W4332" s="114" t="s">
        <v>3436</v>
      </c>
      <c r="X4332" s="114" t="s">
        <v>13</v>
      </c>
      <c r="Y4332" s="149"/>
      <c r="Z4332" s="183"/>
      <c r="AA4332" s="183"/>
      <c r="AB4332" s="183"/>
      <c r="AC4332" s="183"/>
      <c r="AD4332" s="183"/>
      <c r="AE4332" s="184"/>
      <c r="AF4332" s="184"/>
      <c r="AG4332" s="183"/>
      <c r="AH4332" s="183"/>
      <c r="AI4332" s="183"/>
      <c r="AJ4332" s="183"/>
      <c r="AK4332" s="183"/>
      <c r="AL4332" s="183"/>
      <c r="AM4332" s="183"/>
      <c r="AN4332" s="131"/>
      <c r="AO4332" s="131"/>
      <c r="AP4332" s="131"/>
      <c r="AQ4332" s="131"/>
      <c r="AR4332" s="288"/>
      <c r="AS4332" s="259"/>
      <c r="AT4332" s="189" t="s">
        <v>5325</v>
      </c>
      <c r="AU4332" s="208" t="s">
        <v>5041</v>
      </c>
      <c r="AV4332" s="6" t="str">
        <f t="shared" si="103"/>
        <v>OK</v>
      </c>
    </row>
    <row r="4333" spans="1:48" ht="36" thickBot="1" x14ac:dyDescent="0.5">
      <c r="A4333" s="171" t="s">
        <v>2688</v>
      </c>
      <c r="B4333" s="168" t="s">
        <v>4313</v>
      </c>
      <c r="C4333" s="169"/>
      <c r="D4333" s="169"/>
      <c r="E4333" s="170"/>
      <c r="F4333" s="170"/>
      <c r="G4333" s="169"/>
      <c r="H4333" s="169"/>
      <c r="Q4333" s="8" t="s">
        <v>3445</v>
      </c>
      <c r="R4333" s="122" t="s">
        <v>3435</v>
      </c>
      <c r="S4333" s="114" t="s">
        <v>3443</v>
      </c>
      <c r="T4333" s="114" t="s">
        <v>3506</v>
      </c>
      <c r="U4333" s="114" t="s">
        <v>3521</v>
      </c>
      <c r="V4333" s="114" t="s">
        <v>3531</v>
      </c>
      <c r="W4333" s="114" t="s">
        <v>3436</v>
      </c>
      <c r="X4333" s="114" t="s">
        <v>13</v>
      </c>
      <c r="Y4333" s="149"/>
      <c r="Z4333" s="183"/>
      <c r="AA4333" s="183"/>
      <c r="AB4333" s="183"/>
      <c r="AC4333" s="183"/>
      <c r="AD4333" s="183"/>
      <c r="AE4333" s="184"/>
      <c r="AF4333" s="184"/>
      <c r="AG4333" s="183"/>
      <c r="AH4333" s="183"/>
      <c r="AI4333" s="183"/>
      <c r="AJ4333" s="183"/>
      <c r="AK4333" s="183"/>
      <c r="AL4333" s="183"/>
      <c r="AM4333" s="183"/>
      <c r="AN4333" s="131"/>
      <c r="AO4333" s="131"/>
      <c r="AP4333" s="131"/>
      <c r="AQ4333" s="131"/>
      <c r="AR4333" s="288"/>
      <c r="AS4333" s="259"/>
      <c r="AT4333" s="189" t="s">
        <v>5325</v>
      </c>
      <c r="AU4333" s="208" t="s">
        <v>5041</v>
      </c>
      <c r="AV4333" s="6" t="str">
        <f t="shared" si="103"/>
        <v>OK</v>
      </c>
    </row>
    <row r="4334" spans="1:48" ht="36" thickBot="1" x14ac:dyDescent="0.5">
      <c r="A4334" s="171" t="s">
        <v>2689</v>
      </c>
      <c r="B4334" s="168" t="s">
        <v>3746</v>
      </c>
      <c r="C4334" s="169"/>
      <c r="D4334" s="169"/>
      <c r="E4334" s="170"/>
      <c r="F4334" s="170"/>
      <c r="G4334" s="169"/>
      <c r="H4334" s="169"/>
      <c r="Q4334" s="8" t="s">
        <v>3445</v>
      </c>
      <c r="R4334" s="122" t="s">
        <v>3529</v>
      </c>
      <c r="S4334" s="114" t="s">
        <v>4</v>
      </c>
      <c r="T4334" s="114" t="s">
        <v>3507</v>
      </c>
      <c r="U4334" s="114" t="s">
        <v>3522</v>
      </c>
      <c r="V4334" s="114" t="s">
        <v>3530</v>
      </c>
      <c r="W4334" s="114" t="s">
        <v>3436</v>
      </c>
      <c r="X4334" s="114" t="s">
        <v>13</v>
      </c>
      <c r="Y4334" s="149"/>
      <c r="Z4334" s="183"/>
      <c r="AA4334" s="183"/>
      <c r="AB4334" s="183"/>
      <c r="AC4334" s="183"/>
      <c r="AD4334" s="183"/>
      <c r="AE4334" s="184"/>
      <c r="AF4334" s="184"/>
      <c r="AG4334" s="183"/>
      <c r="AH4334" s="183"/>
      <c r="AI4334" s="183"/>
      <c r="AJ4334" s="183"/>
      <c r="AK4334" s="183"/>
      <c r="AL4334" s="183"/>
      <c r="AM4334" s="183"/>
      <c r="AN4334" s="131"/>
      <c r="AO4334" s="131"/>
      <c r="AP4334" s="131"/>
      <c r="AQ4334" s="131"/>
      <c r="AR4334" s="288"/>
      <c r="AS4334" s="259"/>
      <c r="AT4334" s="189" t="s">
        <v>5325</v>
      </c>
      <c r="AU4334" s="208" t="s">
        <v>5041</v>
      </c>
      <c r="AV4334" s="6" t="str">
        <f t="shared" si="103"/>
        <v>OK</v>
      </c>
    </row>
    <row r="4335" spans="1:48" ht="36" thickBot="1" x14ac:dyDescent="0.5">
      <c r="A4335" s="171" t="s">
        <v>2690</v>
      </c>
      <c r="B4335" s="168" t="s">
        <v>3972</v>
      </c>
      <c r="C4335" s="169"/>
      <c r="D4335" s="169"/>
      <c r="E4335" s="170"/>
      <c r="F4335" s="170"/>
      <c r="G4335" s="169"/>
      <c r="H4335" s="169"/>
      <c r="Q4335" s="8" t="s">
        <v>3445</v>
      </c>
      <c r="R4335" s="122" t="s">
        <v>3435</v>
      </c>
      <c r="S4335" s="114" t="s">
        <v>3443</v>
      </c>
      <c r="T4335" s="114" t="s">
        <v>3508</v>
      </c>
      <c r="U4335" s="114" t="s">
        <v>3522</v>
      </c>
      <c r="V4335" s="114" t="s">
        <v>3531</v>
      </c>
      <c r="W4335" s="114" t="s">
        <v>3436</v>
      </c>
      <c r="X4335" s="114" t="s">
        <v>13</v>
      </c>
      <c r="Y4335" s="149"/>
      <c r="Z4335" s="183"/>
      <c r="AA4335" s="183"/>
      <c r="AB4335" s="183"/>
      <c r="AC4335" s="183"/>
      <c r="AD4335" s="183"/>
      <c r="AE4335" s="184"/>
      <c r="AF4335" s="184"/>
      <c r="AG4335" s="183"/>
      <c r="AH4335" s="183"/>
      <c r="AI4335" s="183"/>
      <c r="AJ4335" s="183"/>
      <c r="AK4335" s="183"/>
      <c r="AL4335" s="183"/>
      <c r="AM4335" s="183"/>
      <c r="AN4335" s="131"/>
      <c r="AO4335" s="131"/>
      <c r="AP4335" s="131"/>
      <c r="AQ4335" s="131"/>
      <c r="AR4335" s="288"/>
      <c r="AS4335" s="259"/>
      <c r="AT4335" s="189" t="s">
        <v>5325</v>
      </c>
      <c r="AU4335" s="208" t="s">
        <v>5041</v>
      </c>
      <c r="AV4335" s="6" t="str">
        <f t="shared" si="103"/>
        <v>OK</v>
      </c>
    </row>
    <row r="4336" spans="1:48" ht="36" thickBot="1" x14ac:dyDescent="0.5">
      <c r="A4336" s="171" t="s">
        <v>2691</v>
      </c>
      <c r="B4336" s="168" t="s">
        <v>3973</v>
      </c>
      <c r="C4336" s="169"/>
      <c r="D4336" s="169"/>
      <c r="E4336" s="170"/>
      <c r="F4336" s="170"/>
      <c r="G4336" s="169"/>
      <c r="H4336" s="169"/>
      <c r="Q4336" s="8" t="s">
        <v>3445</v>
      </c>
      <c r="R4336" s="122" t="s">
        <v>3529</v>
      </c>
      <c r="S4336" s="114" t="s">
        <v>4</v>
      </c>
      <c r="T4336" s="114" t="s">
        <v>3509</v>
      </c>
      <c r="U4336" s="114" t="s">
        <v>3522</v>
      </c>
      <c r="V4336" s="114" t="s">
        <v>3530</v>
      </c>
      <c r="W4336" s="114" t="s">
        <v>3436</v>
      </c>
      <c r="X4336" s="114" t="s">
        <v>13</v>
      </c>
      <c r="Y4336" s="149"/>
      <c r="Z4336" s="183"/>
      <c r="AA4336" s="183"/>
      <c r="AB4336" s="183"/>
      <c r="AC4336" s="183"/>
      <c r="AD4336" s="183"/>
      <c r="AE4336" s="184"/>
      <c r="AF4336" s="184"/>
      <c r="AG4336" s="183"/>
      <c r="AH4336" s="183"/>
      <c r="AI4336" s="183"/>
      <c r="AJ4336" s="183"/>
      <c r="AK4336" s="183"/>
      <c r="AL4336" s="183"/>
      <c r="AM4336" s="183"/>
      <c r="AN4336" s="131"/>
      <c r="AO4336" s="131"/>
      <c r="AP4336" s="131"/>
      <c r="AQ4336" s="131"/>
      <c r="AR4336" s="288"/>
      <c r="AS4336" s="259"/>
      <c r="AT4336" s="189" t="s">
        <v>5325</v>
      </c>
      <c r="AU4336" s="208" t="s">
        <v>5041</v>
      </c>
      <c r="AV4336" s="6" t="str">
        <f t="shared" si="103"/>
        <v>OK</v>
      </c>
    </row>
    <row r="4337" spans="1:48" ht="36" thickBot="1" x14ac:dyDescent="0.5">
      <c r="A4337" s="171" t="s">
        <v>2692</v>
      </c>
      <c r="B4337" s="168" t="s">
        <v>3745</v>
      </c>
      <c r="C4337" s="169"/>
      <c r="D4337" s="169"/>
      <c r="E4337" s="170"/>
      <c r="F4337" s="170"/>
      <c r="G4337" s="169"/>
      <c r="H4337" s="169"/>
      <c r="Q4337" s="8" t="s">
        <v>3445</v>
      </c>
      <c r="R4337" s="122" t="s">
        <v>3435</v>
      </c>
      <c r="S4337" s="114" t="s">
        <v>3443</v>
      </c>
      <c r="T4337" s="114" t="s">
        <v>3510</v>
      </c>
      <c r="U4337" s="114" t="s">
        <v>3522</v>
      </c>
      <c r="V4337" s="114" t="s">
        <v>3531</v>
      </c>
      <c r="W4337" s="114" t="s">
        <v>3436</v>
      </c>
      <c r="X4337" s="114" t="s">
        <v>13</v>
      </c>
      <c r="Y4337" s="149"/>
      <c r="Z4337" s="183"/>
      <c r="AA4337" s="183"/>
      <c r="AB4337" s="183"/>
      <c r="AC4337" s="183"/>
      <c r="AD4337" s="183"/>
      <c r="AE4337" s="184"/>
      <c r="AF4337" s="184"/>
      <c r="AG4337" s="183"/>
      <c r="AH4337" s="183"/>
      <c r="AI4337" s="183"/>
      <c r="AJ4337" s="183"/>
      <c r="AK4337" s="183"/>
      <c r="AL4337" s="183"/>
      <c r="AM4337" s="183"/>
      <c r="AN4337" s="131"/>
      <c r="AO4337" s="131"/>
      <c r="AP4337" s="131"/>
      <c r="AQ4337" s="131"/>
      <c r="AR4337" s="288"/>
      <c r="AS4337" s="259"/>
      <c r="AT4337" s="189" t="s">
        <v>5325</v>
      </c>
      <c r="AU4337" s="208" t="s">
        <v>5041</v>
      </c>
      <c r="AV4337" s="6" t="str">
        <f t="shared" si="103"/>
        <v>OK</v>
      </c>
    </row>
    <row r="4338" spans="1:48" ht="36" thickBot="1" x14ac:dyDescent="0.5">
      <c r="A4338" s="171" t="s">
        <v>2686</v>
      </c>
      <c r="B4338" s="168" t="s">
        <v>4314</v>
      </c>
      <c r="C4338" s="169"/>
      <c r="D4338" s="169"/>
      <c r="E4338" s="170"/>
      <c r="F4338" s="170"/>
      <c r="G4338" s="169"/>
      <c r="H4338" s="169"/>
      <c r="Q4338" s="8" t="s">
        <v>3633</v>
      </c>
      <c r="R4338" s="122" t="s">
        <v>3435</v>
      </c>
      <c r="S4338" s="114" t="s">
        <v>3437</v>
      </c>
      <c r="T4338" s="114" t="s">
        <v>2652</v>
      </c>
      <c r="U4338" s="114"/>
      <c r="V4338" s="114" t="s">
        <v>3444</v>
      </c>
      <c r="W4338" s="114" t="s">
        <v>3436</v>
      </c>
      <c r="X4338" s="114" t="s">
        <v>13</v>
      </c>
      <c r="Y4338" s="149"/>
      <c r="Z4338" s="183"/>
      <c r="AA4338" s="183"/>
      <c r="AB4338" s="183"/>
      <c r="AC4338" s="183"/>
      <c r="AD4338" s="183"/>
      <c r="AE4338" s="184"/>
      <c r="AF4338" s="184"/>
      <c r="AG4338" s="183"/>
      <c r="AH4338" s="183"/>
      <c r="AI4338" s="183"/>
      <c r="AJ4338" s="183"/>
      <c r="AK4338" s="183"/>
      <c r="AL4338" s="183"/>
      <c r="AM4338" s="183"/>
      <c r="AN4338" s="131"/>
      <c r="AO4338" s="131"/>
      <c r="AP4338" s="131"/>
      <c r="AQ4338" s="131"/>
      <c r="AR4338" s="288"/>
      <c r="AS4338" s="259"/>
      <c r="AT4338" s="189" t="s">
        <v>5325</v>
      </c>
      <c r="AU4338" s="208" t="s">
        <v>5041</v>
      </c>
      <c r="AV4338" s="6" t="str">
        <f t="shared" si="103"/>
        <v>OK</v>
      </c>
    </row>
    <row r="4339" spans="1:48" ht="24.4" thickBot="1" x14ac:dyDescent="0.5">
      <c r="A4339" s="171" t="s">
        <v>2687</v>
      </c>
      <c r="B4339" s="168" t="s">
        <v>3747</v>
      </c>
      <c r="C4339" s="169"/>
      <c r="D4339" s="169"/>
      <c r="E4339" s="170"/>
      <c r="F4339" s="170"/>
      <c r="G4339" s="169"/>
      <c r="H4339" s="169"/>
      <c r="Q4339" s="8" t="s">
        <v>3444</v>
      </c>
      <c r="R4339" s="122" t="s">
        <v>3435</v>
      </c>
      <c r="S4339" s="114" t="s">
        <v>4</v>
      </c>
      <c r="T4339" s="114" t="s">
        <v>3511</v>
      </c>
      <c r="U4339" s="114" t="s">
        <v>3521</v>
      </c>
      <c r="V4339" s="114" t="s">
        <v>3530</v>
      </c>
      <c r="W4339" s="114" t="s">
        <v>3436</v>
      </c>
      <c r="X4339" s="114" t="s">
        <v>13</v>
      </c>
      <c r="Y4339" s="149"/>
      <c r="Z4339" s="183"/>
      <c r="AA4339" s="183"/>
      <c r="AB4339" s="183"/>
      <c r="AC4339" s="183"/>
      <c r="AD4339" s="183"/>
      <c r="AE4339" s="184"/>
      <c r="AF4339" s="184"/>
      <c r="AG4339" s="183"/>
      <c r="AH4339" s="183"/>
      <c r="AI4339" s="183"/>
      <c r="AJ4339" s="183"/>
      <c r="AK4339" s="183"/>
      <c r="AL4339" s="183"/>
      <c r="AM4339" s="183"/>
      <c r="AN4339" s="131"/>
      <c r="AO4339" s="131"/>
      <c r="AP4339" s="131"/>
      <c r="AQ4339" s="131"/>
      <c r="AR4339" s="288"/>
      <c r="AS4339" s="259"/>
      <c r="AT4339" s="189" t="s">
        <v>5325</v>
      </c>
      <c r="AU4339" s="208" t="s">
        <v>5041</v>
      </c>
      <c r="AV4339" s="6" t="str">
        <f t="shared" si="103"/>
        <v>OK</v>
      </c>
    </row>
    <row r="4340" spans="1:48" ht="24.4" thickBot="1" x14ac:dyDescent="0.5">
      <c r="A4340" s="171" t="s">
        <v>4315</v>
      </c>
      <c r="B4340" s="168" t="s">
        <v>4317</v>
      </c>
      <c r="C4340" s="169"/>
      <c r="D4340" s="169"/>
      <c r="E4340" s="170"/>
      <c r="F4340" s="170"/>
      <c r="G4340" s="169"/>
      <c r="H4340" s="169"/>
      <c r="Q4340" s="8" t="s">
        <v>3444</v>
      </c>
      <c r="R4340" s="122" t="s">
        <v>3435</v>
      </c>
      <c r="S4340" s="114" t="s">
        <v>4</v>
      </c>
      <c r="T4340" s="114" t="s">
        <v>4319</v>
      </c>
      <c r="U4340" s="114" t="s">
        <v>3521</v>
      </c>
      <c r="V4340" s="114" t="s">
        <v>3530</v>
      </c>
      <c r="W4340" s="114" t="s">
        <v>3436</v>
      </c>
      <c r="X4340" s="114" t="s">
        <v>13</v>
      </c>
      <c r="Y4340" s="149"/>
      <c r="Z4340" s="183"/>
      <c r="AA4340" s="183"/>
      <c r="AB4340" s="183"/>
      <c r="AC4340" s="183"/>
      <c r="AD4340" s="183"/>
      <c r="AE4340" s="184"/>
      <c r="AF4340" s="184"/>
      <c r="AG4340" s="183"/>
      <c r="AH4340" s="183"/>
      <c r="AI4340" s="183"/>
      <c r="AJ4340" s="183"/>
      <c r="AK4340" s="183"/>
      <c r="AL4340" s="183"/>
      <c r="AM4340" s="183"/>
      <c r="AN4340" s="131"/>
      <c r="AO4340" s="131"/>
      <c r="AP4340" s="131"/>
      <c r="AQ4340" s="131"/>
      <c r="AR4340" s="288"/>
      <c r="AS4340" s="259"/>
      <c r="AT4340" s="189" t="s">
        <v>5325</v>
      </c>
      <c r="AU4340" s="208" t="s">
        <v>5041</v>
      </c>
      <c r="AV4340" s="6" t="str">
        <f t="shared" ref="AV4340" si="104">IF(A4340&lt;&gt;"",IF(T4340&lt;&gt;"",IF(LEFT(R4340,3)="Has",IF(TRIM(A4340)&lt;&gt;T4340,"ERROR","OK"),""),""),"")</f>
        <v>OK</v>
      </c>
    </row>
    <row r="4341" spans="1:48" ht="24.4" thickBot="1" x14ac:dyDescent="0.5">
      <c r="A4341" s="171" t="s">
        <v>4316</v>
      </c>
      <c r="B4341" s="168" t="s">
        <v>4318</v>
      </c>
      <c r="C4341" s="169"/>
      <c r="D4341" s="169"/>
      <c r="E4341" s="170"/>
      <c r="F4341" s="170"/>
      <c r="G4341" s="169"/>
      <c r="H4341" s="169"/>
      <c r="Q4341" s="8" t="s">
        <v>3444</v>
      </c>
      <c r="R4341" s="122" t="s">
        <v>3435</v>
      </c>
      <c r="S4341" s="114" t="s">
        <v>4</v>
      </c>
      <c r="T4341" s="114" t="s">
        <v>4320</v>
      </c>
      <c r="U4341" s="114" t="s">
        <v>3521</v>
      </c>
      <c r="V4341" s="114" t="s">
        <v>3530</v>
      </c>
      <c r="W4341" s="114" t="s">
        <v>3436</v>
      </c>
      <c r="X4341" s="114" t="s">
        <v>13</v>
      </c>
      <c r="Y4341" s="149"/>
      <c r="Z4341" s="183"/>
      <c r="AA4341" s="183"/>
      <c r="AB4341" s="183"/>
      <c r="AC4341" s="183"/>
      <c r="AD4341" s="183"/>
      <c r="AE4341" s="184"/>
      <c r="AF4341" s="184"/>
      <c r="AG4341" s="183"/>
      <c r="AH4341" s="183"/>
      <c r="AI4341" s="183"/>
      <c r="AJ4341" s="183"/>
      <c r="AK4341" s="183"/>
      <c r="AL4341" s="183"/>
      <c r="AM4341" s="183"/>
      <c r="AN4341" s="131"/>
      <c r="AO4341" s="131"/>
      <c r="AP4341" s="131"/>
      <c r="AQ4341" s="131"/>
      <c r="AR4341" s="288"/>
      <c r="AS4341" s="259"/>
      <c r="AT4341" s="189" t="s">
        <v>5325</v>
      </c>
      <c r="AU4341" s="208" t="s">
        <v>5041</v>
      </c>
      <c r="AV4341" s="6" t="str">
        <f t="shared" ref="AV4341:AV4347" si="105">IF(A4341&lt;&gt;"",IF(T4341&lt;&gt;"",IF(LEFT(R4341,3)="Has",IF(TRIM(A4341)&lt;&gt;T4341,"ERROR","OK"),""),""),"")</f>
        <v>OK</v>
      </c>
    </row>
    <row r="4342" spans="1:48" ht="24.4" thickBot="1" x14ac:dyDescent="0.5">
      <c r="A4342" s="171" t="s">
        <v>2694</v>
      </c>
      <c r="B4342" s="168" t="s">
        <v>3751</v>
      </c>
      <c r="C4342" s="169"/>
      <c r="D4342" s="169"/>
      <c r="E4342" s="170"/>
      <c r="F4342" s="170"/>
      <c r="G4342" s="169"/>
      <c r="H4342" s="169"/>
      <c r="Q4342" s="8" t="s">
        <v>3444</v>
      </c>
      <c r="R4342" s="122" t="s">
        <v>3435</v>
      </c>
      <c r="S4342" s="114" t="s">
        <v>3443</v>
      </c>
      <c r="T4342" s="114" t="s">
        <v>3512</v>
      </c>
      <c r="U4342" s="114" t="s">
        <v>3522</v>
      </c>
      <c r="V4342" s="114" t="s">
        <v>3531</v>
      </c>
      <c r="W4342" s="114" t="s">
        <v>3436</v>
      </c>
      <c r="X4342" s="114" t="s">
        <v>13</v>
      </c>
      <c r="Y4342" s="149"/>
      <c r="Z4342" s="183"/>
      <c r="AA4342" s="183"/>
      <c r="AB4342" s="183"/>
      <c r="AC4342" s="183"/>
      <c r="AD4342" s="183"/>
      <c r="AE4342" s="184"/>
      <c r="AF4342" s="184"/>
      <c r="AG4342" s="183"/>
      <c r="AH4342" s="183"/>
      <c r="AI4342" s="183"/>
      <c r="AJ4342" s="183"/>
      <c r="AK4342" s="183"/>
      <c r="AL4342" s="183"/>
      <c r="AM4342" s="183"/>
      <c r="AN4342" s="131"/>
      <c r="AO4342" s="131"/>
      <c r="AP4342" s="131"/>
      <c r="AQ4342" s="131"/>
      <c r="AR4342" s="288"/>
      <c r="AS4342" s="259"/>
      <c r="AT4342" s="189" t="s">
        <v>5325</v>
      </c>
      <c r="AU4342" s="208" t="s">
        <v>5041</v>
      </c>
      <c r="AV4342" s="6" t="str">
        <f t="shared" si="105"/>
        <v>OK</v>
      </c>
    </row>
    <row r="4343" spans="1:48" ht="24.4" thickBot="1" x14ac:dyDescent="0.5">
      <c r="A4343" s="171" t="s">
        <v>2695</v>
      </c>
      <c r="B4343" s="168" t="s">
        <v>3750</v>
      </c>
      <c r="C4343" s="169"/>
      <c r="D4343" s="169"/>
      <c r="E4343" s="170"/>
      <c r="F4343" s="170"/>
      <c r="G4343" s="169"/>
      <c r="H4343" s="169"/>
      <c r="Q4343" s="8" t="s">
        <v>3444</v>
      </c>
      <c r="R4343" s="122" t="s">
        <v>3435</v>
      </c>
      <c r="S4343" s="114" t="s">
        <v>3443</v>
      </c>
      <c r="T4343" s="114" t="s">
        <v>3513</v>
      </c>
      <c r="U4343" s="114" t="s">
        <v>3522</v>
      </c>
      <c r="V4343" s="114" t="s">
        <v>3531</v>
      </c>
      <c r="W4343" s="114" t="s">
        <v>3436</v>
      </c>
      <c r="X4343" s="114" t="s">
        <v>13</v>
      </c>
      <c r="Y4343" s="149"/>
      <c r="Z4343" s="183"/>
      <c r="AA4343" s="183"/>
      <c r="AB4343" s="183"/>
      <c r="AC4343" s="183"/>
      <c r="AD4343" s="183"/>
      <c r="AE4343" s="184"/>
      <c r="AF4343" s="184"/>
      <c r="AG4343" s="183"/>
      <c r="AH4343" s="183"/>
      <c r="AI4343" s="183"/>
      <c r="AJ4343" s="183"/>
      <c r="AK4343" s="183"/>
      <c r="AL4343" s="183"/>
      <c r="AM4343" s="183"/>
      <c r="AN4343" s="131"/>
      <c r="AO4343" s="131"/>
      <c r="AP4343" s="131"/>
      <c r="AQ4343" s="131"/>
      <c r="AR4343" s="288"/>
      <c r="AS4343" s="259"/>
      <c r="AT4343" s="189" t="s">
        <v>5325</v>
      </c>
      <c r="AU4343" s="208" t="s">
        <v>5041</v>
      </c>
      <c r="AV4343" s="6" t="str">
        <f t="shared" si="105"/>
        <v>OK</v>
      </c>
    </row>
    <row r="4344" spans="1:48" ht="23.65" thickBot="1" x14ac:dyDescent="0.5">
      <c r="A4344" s="228" t="s">
        <v>753</v>
      </c>
      <c r="B4344" s="173" t="s">
        <v>60</v>
      </c>
      <c r="C4344" s="174"/>
      <c r="D4344" s="174"/>
      <c r="E4344" s="174"/>
      <c r="F4344" s="174"/>
      <c r="G4344" s="174"/>
      <c r="H4344" s="174"/>
      <c r="J4344" s="18" t="s">
        <v>2473</v>
      </c>
      <c r="K4344" s="18" t="s">
        <v>2473</v>
      </c>
      <c r="Z4344" s="183"/>
      <c r="AA4344" s="183"/>
      <c r="AB4344" s="183"/>
      <c r="AC4344" s="183"/>
      <c r="AD4344" s="183"/>
      <c r="AT4344" s="189" t="s">
        <v>5325</v>
      </c>
      <c r="AU4344" s="208" t="s">
        <v>5041</v>
      </c>
      <c r="AV4344" s="6" t="str">
        <f t="shared" si="105"/>
        <v/>
      </c>
    </row>
    <row r="4345" spans="1:48" x14ac:dyDescent="0.45">
      <c r="A4345" s="33" t="s">
        <v>4606</v>
      </c>
      <c r="J4345" s="18" t="s">
        <v>2473</v>
      </c>
      <c r="K4345" s="18" t="s">
        <v>2473</v>
      </c>
      <c r="AU4345" s="208" t="s">
        <v>5041</v>
      </c>
      <c r="AV4345" s="6" t="str">
        <f t="shared" si="105"/>
        <v/>
      </c>
    </row>
    <row r="4346" spans="1:48" x14ac:dyDescent="0.45">
      <c r="A4346" s="34" t="s">
        <v>5917</v>
      </c>
      <c r="J4346" s="18" t="s">
        <v>2473</v>
      </c>
      <c r="K4346" s="18" t="s">
        <v>2473</v>
      </c>
      <c r="AU4346" s="208" t="s">
        <v>5041</v>
      </c>
      <c r="AV4346" s="6" t="str">
        <f t="shared" si="105"/>
        <v/>
      </c>
    </row>
    <row r="4347" spans="1:48" s="79" customFormat="1" x14ac:dyDescent="0.45">
      <c r="A4347" s="75"/>
      <c r="B4347" s="76"/>
      <c r="C4347" s="77"/>
      <c r="D4347" s="77"/>
      <c r="E4347" s="77"/>
      <c r="F4347" s="77"/>
      <c r="G4347" s="77"/>
      <c r="H4347" s="77"/>
      <c r="I4347" s="77"/>
      <c r="J4347" s="77"/>
      <c r="K4347" s="77"/>
      <c r="L4347" s="77"/>
      <c r="M4347" s="148"/>
      <c r="N4347" s="78"/>
      <c r="O4347" s="78"/>
      <c r="P4347" s="78"/>
      <c r="Q4347" s="78"/>
      <c r="R4347" s="78"/>
      <c r="S4347" s="78"/>
      <c r="T4347" s="78"/>
      <c r="U4347" s="78"/>
      <c r="V4347" s="78"/>
      <c r="W4347" s="78"/>
      <c r="X4347" s="78"/>
      <c r="Y4347" s="148"/>
      <c r="Z4347" s="78"/>
      <c r="AA4347" s="78"/>
      <c r="AB4347" s="78"/>
      <c r="AC4347" s="78"/>
      <c r="AD4347" s="78"/>
      <c r="AE4347" s="156"/>
      <c r="AF4347" s="156"/>
      <c r="AG4347" s="78"/>
      <c r="AH4347" s="78"/>
      <c r="AI4347" s="78"/>
      <c r="AJ4347" s="78"/>
      <c r="AK4347" s="78"/>
      <c r="AL4347" s="78"/>
      <c r="AM4347" s="78"/>
      <c r="AN4347" s="78"/>
      <c r="AO4347" s="78"/>
      <c r="AP4347" s="78"/>
      <c r="AQ4347" s="78"/>
      <c r="AR4347" s="286"/>
      <c r="AS4347" s="78"/>
      <c r="AT4347" s="78"/>
      <c r="AU4347" s="8"/>
      <c r="AV4347" s="6" t="str">
        <f t="shared" si="105"/>
        <v/>
      </c>
    </row>
    <row r="4348" spans="1:48" ht="47.25" x14ac:dyDescent="0.45">
      <c r="A4348" s="27" t="s">
        <v>4456</v>
      </c>
      <c r="L4348" s="18" t="s">
        <v>2335</v>
      </c>
      <c r="AU4348" s="207" t="s">
        <v>5040</v>
      </c>
      <c r="AV4348" s="6" t="str">
        <f t="shared" ref="AV4348:AV4586" si="106">IF(A4348&lt;&gt;"",IF(T4348&lt;&gt;"",IF(LEFT(R4348,3)="Has",IF(TRIM(A4348)&lt;&gt;T4348,"ERROR","OK"),""),""),"")</f>
        <v/>
      </c>
    </row>
    <row r="4349" spans="1:48" ht="47.65" thickBot="1" x14ac:dyDescent="0.5">
      <c r="A4349" s="346" t="s">
        <v>4645</v>
      </c>
      <c r="B4349" s="324"/>
      <c r="C4349" s="324"/>
      <c r="D4349" s="324"/>
      <c r="E4349" s="324"/>
      <c r="F4349" s="324"/>
      <c r="G4349" s="101"/>
      <c r="H4349" s="101"/>
      <c r="L4349" s="18" t="s">
        <v>2335</v>
      </c>
      <c r="Z4349" s="183" t="s">
        <v>4347</v>
      </c>
      <c r="AA4349" s="183" t="s">
        <v>2322</v>
      </c>
      <c r="AB4349" s="183" t="s">
        <v>1697</v>
      </c>
      <c r="AC4349" s="183" t="s">
        <v>5</v>
      </c>
      <c r="AD4349" s="183" t="s">
        <v>4339</v>
      </c>
      <c r="AE4349" s="184" t="s">
        <v>4338</v>
      </c>
      <c r="AF4349" s="184" t="s">
        <v>4350</v>
      </c>
      <c r="AG4349" s="183" t="s">
        <v>1695</v>
      </c>
      <c r="AH4349" s="183" t="s">
        <v>4351</v>
      </c>
      <c r="AI4349" s="8" t="s">
        <v>4455</v>
      </c>
      <c r="AJ4349" s="183" t="s">
        <v>5051</v>
      </c>
      <c r="AU4349" s="207" t="s">
        <v>5040</v>
      </c>
      <c r="AV4349" s="6" t="str">
        <f t="shared" si="106"/>
        <v/>
      </c>
    </row>
    <row r="4350" spans="1:48" ht="186.4" thickBot="1" x14ac:dyDescent="0.5">
      <c r="A4350" s="309" t="s">
        <v>4457</v>
      </c>
      <c r="B4350" s="310"/>
      <c r="C4350" s="301" t="s">
        <v>1</v>
      </c>
      <c r="D4350" s="319"/>
      <c r="E4350" s="319"/>
      <c r="F4350" s="302"/>
      <c r="G4350" s="102"/>
      <c r="H4350" s="102"/>
      <c r="L4350" s="18" t="s">
        <v>2335</v>
      </c>
      <c r="Z4350" s="183"/>
      <c r="AA4350" s="183" t="str">
        <f>LEFT($A4350,FIND(" ",$A4350)-1)</f>
        <v>DCNIOModuleCollection</v>
      </c>
      <c r="AB4350" s="183" t="str">
        <f>MID($A4350,FIND("(",$A4350)+1,LEN($A4350)-FIND("(",$A4350)-1)</f>
        <v>1.0.0</v>
      </c>
      <c r="AC4350" s="101" t="str">
        <f>A4349</f>
        <v>A DCNIOModuleCollection is a collection of DCNDevice Resources running on a node.
For additional detail on I/O Modules and DCN Physical Topology, see O-PAS Part 7 – Physical Platform.</v>
      </c>
      <c r="AD4350" s="101"/>
      <c r="AE4350" s="253" t="s">
        <v>5918</v>
      </c>
      <c r="AF4350" s="184" t="s">
        <v>4352</v>
      </c>
      <c r="AG4350" s="183" t="s">
        <v>4352</v>
      </c>
      <c r="AH4350" s="183" t="s">
        <v>4352</v>
      </c>
      <c r="AI4350" s="183" t="s">
        <v>5248</v>
      </c>
      <c r="AU4350" s="208" t="s">
        <v>5041</v>
      </c>
      <c r="AV4350" s="6" t="str">
        <f t="shared" si="106"/>
        <v/>
      </c>
    </row>
    <row r="4351" spans="1:48" ht="14.65" thickBot="1" x14ac:dyDescent="0.5">
      <c r="A4351" s="311"/>
      <c r="B4351" s="312"/>
      <c r="C4351" s="301" t="s">
        <v>2</v>
      </c>
      <c r="D4351" s="302"/>
      <c r="E4351" s="301" t="s">
        <v>3</v>
      </c>
      <c r="F4351" s="302"/>
      <c r="G4351" s="301" t="s">
        <v>2896</v>
      </c>
      <c r="H4351" s="302"/>
      <c r="L4351" s="18" t="s">
        <v>2335</v>
      </c>
      <c r="AU4351" s="208" t="s">
        <v>5041</v>
      </c>
      <c r="AV4351" s="6" t="str">
        <f t="shared" si="106"/>
        <v/>
      </c>
    </row>
    <row r="4352" spans="1:48" ht="14.65" thickBot="1" x14ac:dyDescent="0.5">
      <c r="A4352" s="46" t="s">
        <v>2377</v>
      </c>
      <c r="B4352" s="47"/>
      <c r="C4352" s="303"/>
      <c r="D4352" s="304"/>
      <c r="E4352" s="303"/>
      <c r="F4352" s="304"/>
      <c r="G4352" s="303"/>
      <c r="H4352" s="304"/>
      <c r="AU4352" s="208" t="s">
        <v>5041</v>
      </c>
      <c r="AV4352" s="6" t="str">
        <f t="shared" si="106"/>
        <v/>
      </c>
    </row>
    <row r="4353" spans="1:48" ht="14.65" thickBot="1" x14ac:dyDescent="0.5">
      <c r="A4353" s="30" t="s">
        <v>4</v>
      </c>
      <c r="B4353" s="59" t="s">
        <v>5</v>
      </c>
      <c r="C4353" s="7" t="s">
        <v>6</v>
      </c>
      <c r="D4353" s="7" t="s">
        <v>7</v>
      </c>
      <c r="E4353" s="7" t="s">
        <v>6</v>
      </c>
      <c r="F4353" s="7" t="s">
        <v>7</v>
      </c>
      <c r="G4353" s="7" t="s">
        <v>6</v>
      </c>
      <c r="H4353" s="7" t="s">
        <v>7</v>
      </c>
      <c r="L4353" s="18" t="s">
        <v>2335</v>
      </c>
      <c r="Z4353" s="183" t="s">
        <v>4347</v>
      </c>
      <c r="AA4353" s="183" t="s">
        <v>4343</v>
      </c>
      <c r="AB4353" s="183" t="s">
        <v>4172</v>
      </c>
      <c r="AC4353" s="183" t="s">
        <v>4340</v>
      </c>
      <c r="AD4353" s="183" t="s">
        <v>4339</v>
      </c>
      <c r="AE4353" s="184" t="s">
        <v>4341</v>
      </c>
      <c r="AF4353" s="184" t="s">
        <v>4342</v>
      </c>
      <c r="AG4353" s="183" t="s">
        <v>4353</v>
      </c>
      <c r="AH4353" s="183" t="s">
        <v>3429</v>
      </c>
      <c r="AI4353" s="183" t="s">
        <v>4356</v>
      </c>
      <c r="AJ4353" s="183" t="s">
        <v>4364</v>
      </c>
      <c r="AU4353" s="208" t="s">
        <v>5041</v>
      </c>
      <c r="AV4353" s="6" t="str">
        <f t="shared" si="106"/>
        <v/>
      </c>
    </row>
    <row r="4354" spans="1:48" ht="105" thickBot="1" x14ac:dyDescent="0.5">
      <c r="A4354" s="228" t="s">
        <v>2792</v>
      </c>
      <c r="B4354" s="173" t="s">
        <v>4458</v>
      </c>
      <c r="C4354" s="174"/>
      <c r="D4354" s="174"/>
      <c r="E4354" s="174"/>
      <c r="F4354" s="174"/>
      <c r="G4354" s="174"/>
      <c r="H4354" s="174"/>
      <c r="Z4354" s="183"/>
      <c r="AB4354" s="8" t="s">
        <v>4354</v>
      </c>
      <c r="AC4354" s="183" t="s">
        <v>6</v>
      </c>
      <c r="AD4354" s="183"/>
      <c r="AE4354" s="184"/>
      <c r="AF4354" s="184"/>
      <c r="AG4354" s="183" t="s">
        <v>4355</v>
      </c>
      <c r="AH4354" s="183" t="s">
        <v>5266</v>
      </c>
      <c r="AI4354" s="183" t="s">
        <v>4357</v>
      </c>
      <c r="AT4354" s="189" t="s">
        <v>5325</v>
      </c>
      <c r="AU4354" s="208" t="s">
        <v>5041</v>
      </c>
      <c r="AV4354" s="6" t="str">
        <f t="shared" si="106"/>
        <v/>
      </c>
    </row>
    <row r="4355" spans="1:48" ht="23.65" thickBot="1" x14ac:dyDescent="0.5">
      <c r="A4355" s="172" t="s">
        <v>33</v>
      </c>
      <c r="B4355" s="173" t="s">
        <v>4459</v>
      </c>
      <c r="C4355" s="174"/>
      <c r="D4355" s="174"/>
      <c r="E4355" s="174"/>
      <c r="F4355" s="174"/>
      <c r="G4355" s="174"/>
      <c r="H4355" s="174"/>
      <c r="L4355" s="18" t="s">
        <v>2335</v>
      </c>
      <c r="AT4355" s="189" t="s">
        <v>5325</v>
      </c>
      <c r="AU4355" s="208" t="s">
        <v>5041</v>
      </c>
      <c r="AV4355" s="6" t="str">
        <f t="shared" si="106"/>
        <v/>
      </c>
    </row>
    <row r="4356" spans="1:48" x14ac:dyDescent="0.45">
      <c r="A4356" s="33" t="s">
        <v>4460</v>
      </c>
      <c r="L4356" s="18" t="s">
        <v>2335</v>
      </c>
      <c r="AU4356" s="208" t="s">
        <v>5041</v>
      </c>
      <c r="AV4356" s="6" t="str">
        <f t="shared" si="106"/>
        <v/>
      </c>
    </row>
    <row r="4357" spans="1:48" ht="27" customHeight="1" x14ac:dyDescent="0.45">
      <c r="A4357" s="365" t="s">
        <v>5918</v>
      </c>
      <c r="B4357" s="366"/>
      <c r="C4357" s="366"/>
      <c r="D4357" s="366"/>
      <c r="E4357" s="366"/>
      <c r="F4357" s="366"/>
      <c r="G4357" s="366"/>
      <c r="H4357" s="366"/>
      <c r="L4357" s="18" t="s">
        <v>2335</v>
      </c>
      <c r="AU4357" s="208" t="s">
        <v>5041</v>
      </c>
      <c r="AV4357" s="6" t="str">
        <f t="shared" si="106"/>
        <v/>
      </c>
    </row>
    <row r="4358" spans="1:48" s="79" customFormat="1" ht="14.65" thickBot="1" x14ac:dyDescent="0.5">
      <c r="A4358" s="75"/>
      <c r="B4358" s="76"/>
      <c r="C4358" s="77"/>
      <c r="D4358" s="77"/>
      <c r="E4358" s="77"/>
      <c r="F4358" s="77"/>
      <c r="G4358" s="77"/>
      <c r="H4358" s="77"/>
      <c r="I4358" s="77"/>
      <c r="J4358" s="77"/>
      <c r="K4358" s="77"/>
      <c r="L4358" s="77"/>
      <c r="M4358" s="148"/>
      <c r="N4358" s="78"/>
      <c r="O4358" s="78"/>
      <c r="P4358" s="78"/>
      <c r="Q4358" s="78"/>
      <c r="R4358" s="78"/>
      <c r="S4358" s="78"/>
      <c r="T4358" s="78"/>
      <c r="U4358" s="78"/>
      <c r="V4358" s="78"/>
      <c r="W4358" s="78"/>
      <c r="X4358" s="78"/>
      <c r="Y4358" s="148"/>
      <c r="Z4358" s="78"/>
      <c r="AA4358" s="78"/>
      <c r="AB4358" s="78"/>
      <c r="AC4358" s="78"/>
      <c r="AD4358" s="78"/>
      <c r="AE4358" s="156"/>
      <c r="AF4358" s="156"/>
      <c r="AG4358" s="78"/>
      <c r="AH4358" s="78"/>
      <c r="AI4358" s="78"/>
      <c r="AJ4358" s="78"/>
      <c r="AK4358" s="78"/>
      <c r="AL4358" s="78"/>
      <c r="AM4358" s="78"/>
      <c r="AN4358" s="78"/>
      <c r="AO4358" s="78"/>
      <c r="AP4358" s="78"/>
      <c r="AQ4358" s="78"/>
      <c r="AR4358" s="286"/>
      <c r="AS4358" s="78"/>
      <c r="AT4358" s="78"/>
      <c r="AU4358" s="8"/>
      <c r="AV4358" s="6" t="str">
        <f t="shared" si="106"/>
        <v/>
      </c>
    </row>
    <row r="4359" spans="1:48" ht="47.65" thickBot="1" x14ac:dyDescent="0.5">
      <c r="A4359" s="39" t="s">
        <v>4461</v>
      </c>
      <c r="R4359" s="111" t="s">
        <v>3426</v>
      </c>
      <c r="S4359" s="349" t="s">
        <v>823</v>
      </c>
      <c r="T4359" s="350"/>
      <c r="U4359" s="350"/>
      <c r="V4359" s="350"/>
      <c r="W4359" s="350"/>
      <c r="X4359" s="355"/>
      <c r="Y4359" s="118"/>
      <c r="Z4359" s="185"/>
      <c r="AA4359" s="185"/>
      <c r="AB4359" s="185"/>
      <c r="AC4359" s="185"/>
      <c r="AD4359" s="185"/>
      <c r="AE4359" s="186"/>
      <c r="AF4359" s="186"/>
      <c r="AG4359" s="185"/>
      <c r="AH4359" s="185"/>
      <c r="AI4359" s="185"/>
      <c r="AJ4359" s="185"/>
      <c r="AK4359" s="185"/>
      <c r="AL4359" s="185"/>
      <c r="AM4359" s="185"/>
      <c r="AN4359" s="117"/>
      <c r="AO4359" s="117"/>
      <c r="AP4359" s="117"/>
      <c r="AQ4359" s="117"/>
      <c r="AR4359" s="287"/>
      <c r="AS4359" s="258"/>
      <c r="AT4359" s="185"/>
      <c r="AU4359" s="207" t="s">
        <v>5040</v>
      </c>
      <c r="AV4359" s="6" t="str">
        <f t="shared" si="106"/>
        <v/>
      </c>
    </row>
    <row r="4360" spans="1:48" ht="70.150000000000006" thickBot="1" x14ac:dyDescent="0.5">
      <c r="A4360" s="110" t="s">
        <v>4646</v>
      </c>
      <c r="R4360" s="122" t="s">
        <v>3427</v>
      </c>
      <c r="S4360" s="352" t="s">
        <v>4462</v>
      </c>
      <c r="T4360" s="353"/>
      <c r="U4360" s="353"/>
      <c r="V4360" s="353"/>
      <c r="W4360" s="353"/>
      <c r="X4360" s="356"/>
      <c r="Y4360" s="149"/>
      <c r="Z4360" s="183" t="s">
        <v>4347</v>
      </c>
      <c r="AA4360" s="183" t="s">
        <v>2322</v>
      </c>
      <c r="AB4360" s="183" t="s">
        <v>1697</v>
      </c>
      <c r="AC4360" s="183" t="s">
        <v>5</v>
      </c>
      <c r="AD4360" s="183" t="s">
        <v>4339</v>
      </c>
      <c r="AE4360" s="184" t="s">
        <v>4338</v>
      </c>
      <c r="AF4360" s="184" t="s">
        <v>4350</v>
      </c>
      <c r="AG4360" s="183" t="s">
        <v>1695</v>
      </c>
      <c r="AH4360" s="183" t="s">
        <v>4351</v>
      </c>
      <c r="AI4360" s="8" t="s">
        <v>4455</v>
      </c>
      <c r="AJ4360" s="183" t="s">
        <v>5051</v>
      </c>
      <c r="AK4360" s="183"/>
      <c r="AL4360" s="183"/>
      <c r="AM4360" s="183"/>
      <c r="AN4360" s="131"/>
      <c r="AO4360" s="131"/>
      <c r="AP4360" s="131"/>
      <c r="AQ4360" s="131"/>
      <c r="AR4360" s="288"/>
      <c r="AS4360" s="259"/>
      <c r="AT4360" s="183"/>
      <c r="AU4360" s="207" t="s">
        <v>5040</v>
      </c>
      <c r="AV4360" s="6" t="str">
        <f t="shared" si="106"/>
        <v/>
      </c>
    </row>
    <row r="4361" spans="1:48" ht="409.6" thickBot="1" x14ac:dyDescent="0.5">
      <c r="A4361" s="315" t="s">
        <v>4463</v>
      </c>
      <c r="B4361" s="316"/>
      <c r="C4361" s="301" t="s">
        <v>1</v>
      </c>
      <c r="D4361" s="319"/>
      <c r="E4361" s="319"/>
      <c r="F4361" s="302"/>
      <c r="G4361" s="102"/>
      <c r="H4361" s="102"/>
      <c r="R4361" s="122" t="s">
        <v>3428</v>
      </c>
      <c r="S4361" s="352" t="b">
        <v>0</v>
      </c>
      <c r="T4361" s="353"/>
      <c r="U4361" s="353"/>
      <c r="V4361" s="353"/>
      <c r="W4361" s="353"/>
      <c r="X4361" s="356"/>
      <c r="Y4361" s="149"/>
      <c r="Z4361" s="183"/>
      <c r="AA4361" s="183" t="str">
        <f>LEFT($A4361,FIND(" ",$A4361)-1)</f>
        <v>DCNIOModule</v>
      </c>
      <c r="AB4361" s="183" t="str">
        <f>MID($A4361,FIND("(",$A4361)+1,LEN($A4361)-FIND("(",$A4361)-1)</f>
        <v>1.0.0</v>
      </c>
      <c r="AC4361" s="101" t="str">
        <f>A4360</f>
        <v>Resource to describe a IOModule connected to an O-PAS DCN directly or on a DCN Bus.
For additional detail on I/O Modules and DCN Physical Topology, see O-PAS Part 7 – Physical Platform.</v>
      </c>
      <c r="AD4361" s="101"/>
      <c r="AE4361" s="254" t="s">
        <v>5919</v>
      </c>
      <c r="AF4361" s="184" t="s">
        <v>4352</v>
      </c>
      <c r="AG4361" s="183" t="s">
        <v>4357</v>
      </c>
      <c r="AH4361" s="183" t="s">
        <v>4352</v>
      </c>
      <c r="AI4361" s="183" t="s">
        <v>5248</v>
      </c>
      <c r="AJ4361" s="183"/>
      <c r="AK4361" s="183"/>
      <c r="AL4361" s="183"/>
      <c r="AM4361" s="183"/>
      <c r="AN4361" s="131"/>
      <c r="AO4361" s="131"/>
      <c r="AP4361" s="131"/>
      <c r="AQ4361" s="131"/>
      <c r="AR4361" s="288"/>
      <c r="AS4361" s="259"/>
      <c r="AT4361" s="183"/>
      <c r="AU4361" s="208" t="s">
        <v>5041</v>
      </c>
      <c r="AV4361" s="6" t="str">
        <f t="shared" si="106"/>
        <v/>
      </c>
    </row>
    <row r="4362" spans="1:48" ht="15" customHeight="1" thickBot="1" x14ac:dyDescent="0.5">
      <c r="A4362" s="317"/>
      <c r="B4362" s="318"/>
      <c r="C4362" s="301" t="s">
        <v>2</v>
      </c>
      <c r="D4362" s="302"/>
      <c r="E4362" s="301" t="s">
        <v>3</v>
      </c>
      <c r="F4362" s="302"/>
      <c r="G4362" s="301" t="s">
        <v>2896</v>
      </c>
      <c r="H4362" s="302"/>
      <c r="R4362" s="115"/>
      <c r="S4362" s="115"/>
      <c r="T4362" s="115"/>
      <c r="U4362" s="115"/>
      <c r="V4362" s="115"/>
      <c r="W4362" s="115"/>
      <c r="X4362" s="220"/>
      <c r="Y4362" s="149"/>
      <c r="Z4362" s="183"/>
      <c r="AA4362" s="183"/>
      <c r="AB4362" s="183"/>
      <c r="AC4362" s="183"/>
      <c r="AD4362" s="183"/>
      <c r="AE4362" s="184"/>
      <c r="AF4362" s="184"/>
      <c r="AG4362" s="183"/>
      <c r="AH4362" s="183"/>
      <c r="AI4362" s="183"/>
      <c r="AJ4362" s="183"/>
      <c r="AK4362" s="183"/>
      <c r="AL4362" s="183"/>
      <c r="AM4362" s="183"/>
      <c r="AN4362" s="131"/>
      <c r="AO4362" s="131"/>
      <c r="AP4362" s="131"/>
      <c r="AQ4362" s="131"/>
      <c r="AR4362" s="288"/>
      <c r="AS4362" s="259"/>
      <c r="AT4362" s="183"/>
      <c r="AU4362" s="208" t="s">
        <v>5041</v>
      </c>
      <c r="AV4362" s="6" t="str">
        <f t="shared" si="106"/>
        <v/>
      </c>
    </row>
    <row r="4363" spans="1:48" ht="14.65" thickBot="1" x14ac:dyDescent="0.5">
      <c r="A4363" s="46" t="s">
        <v>2377</v>
      </c>
      <c r="B4363" s="47"/>
      <c r="C4363" s="303"/>
      <c r="D4363" s="304"/>
      <c r="E4363" s="303"/>
      <c r="F4363" s="304"/>
      <c r="G4363" s="303"/>
      <c r="H4363" s="304"/>
      <c r="R4363" s="129"/>
      <c r="S4363" s="117"/>
      <c r="T4363" s="117"/>
      <c r="U4363" s="117"/>
      <c r="V4363" s="117"/>
      <c r="W4363" s="117"/>
      <c r="X4363" s="221"/>
      <c r="Y4363" s="118"/>
      <c r="Z4363" s="185"/>
      <c r="AA4363" s="185"/>
      <c r="AB4363" s="185"/>
      <c r="AC4363" s="185"/>
      <c r="AD4363" s="185"/>
      <c r="AE4363" s="186"/>
      <c r="AF4363" s="186"/>
      <c r="AG4363" s="185"/>
      <c r="AH4363" s="185"/>
      <c r="AI4363" s="185"/>
      <c r="AJ4363" s="185"/>
      <c r="AK4363" s="185"/>
      <c r="AL4363" s="185"/>
      <c r="AM4363" s="185"/>
      <c r="AN4363" s="117"/>
      <c r="AO4363" s="117"/>
      <c r="AP4363" s="117"/>
      <c r="AQ4363" s="117"/>
      <c r="AR4363" s="287"/>
      <c r="AS4363" s="258"/>
      <c r="AT4363" s="185"/>
      <c r="AU4363" s="208" t="s">
        <v>5041</v>
      </c>
      <c r="AV4363" s="6" t="str">
        <f t="shared" si="106"/>
        <v/>
      </c>
    </row>
    <row r="4364" spans="1:48" ht="14.65" thickBot="1" x14ac:dyDescent="0.5">
      <c r="A4364" s="29" t="s">
        <v>3394</v>
      </c>
      <c r="B4364" s="9"/>
      <c r="C4364" s="305"/>
      <c r="D4364" s="306"/>
      <c r="E4364" s="305"/>
      <c r="F4364" s="306"/>
      <c r="G4364" s="305"/>
      <c r="H4364" s="306"/>
      <c r="L4364" s="18" t="s">
        <v>2336</v>
      </c>
      <c r="R4364" s="111" t="s">
        <v>3429</v>
      </c>
      <c r="S4364" s="111" t="s">
        <v>3430</v>
      </c>
      <c r="T4364" s="111" t="s">
        <v>3427</v>
      </c>
      <c r="U4364" s="111" t="s">
        <v>3431</v>
      </c>
      <c r="V4364" s="111" t="s">
        <v>3432</v>
      </c>
      <c r="W4364" s="111" t="s">
        <v>3433</v>
      </c>
      <c r="X4364" s="217" t="s">
        <v>3434</v>
      </c>
      <c r="Y4364" s="118" t="s">
        <v>3965</v>
      </c>
      <c r="Z4364" s="185"/>
      <c r="AA4364" s="185"/>
      <c r="AB4364" s="185"/>
      <c r="AC4364" s="185"/>
      <c r="AD4364" s="185"/>
      <c r="AE4364" s="186"/>
      <c r="AF4364" s="186"/>
      <c r="AG4364" s="185"/>
      <c r="AH4364" s="185"/>
      <c r="AI4364" s="185"/>
      <c r="AJ4364" s="185"/>
      <c r="AK4364" s="185"/>
      <c r="AL4364" s="185"/>
      <c r="AM4364" s="185"/>
      <c r="AN4364" s="117"/>
      <c r="AO4364" s="117"/>
      <c r="AP4364" s="117"/>
      <c r="AQ4364" s="117"/>
      <c r="AR4364" s="287"/>
      <c r="AS4364" s="258"/>
      <c r="AT4364" s="185"/>
      <c r="AU4364" s="208" t="s">
        <v>5041</v>
      </c>
      <c r="AV4364" s="6" t="str">
        <f t="shared" si="106"/>
        <v/>
      </c>
    </row>
    <row r="4365" spans="1:48" ht="15" customHeight="1" thickBot="1" x14ac:dyDescent="0.5">
      <c r="A4365" s="60" t="s">
        <v>4</v>
      </c>
      <c r="B4365" s="61" t="s">
        <v>5</v>
      </c>
      <c r="C4365" s="62" t="s">
        <v>6</v>
      </c>
      <c r="D4365" s="62" t="s">
        <v>7</v>
      </c>
      <c r="E4365" s="62" t="s">
        <v>6</v>
      </c>
      <c r="F4365" s="62" t="s">
        <v>7</v>
      </c>
      <c r="G4365" s="62" t="s">
        <v>6</v>
      </c>
      <c r="H4365" s="62" t="s">
        <v>7</v>
      </c>
      <c r="R4365" s="352" t="s">
        <v>4040</v>
      </c>
      <c r="S4365" s="353"/>
      <c r="T4365" s="353"/>
      <c r="U4365" s="353"/>
      <c r="V4365" s="353"/>
      <c r="W4365" s="353"/>
      <c r="X4365" s="357"/>
      <c r="Y4365" s="149"/>
      <c r="Z4365" s="183" t="s">
        <v>4347</v>
      </c>
      <c r="AA4365" s="183" t="s">
        <v>4343</v>
      </c>
      <c r="AB4365" s="183" t="s">
        <v>4172</v>
      </c>
      <c r="AC4365" s="183" t="s">
        <v>4340</v>
      </c>
      <c r="AD4365" s="183" t="s">
        <v>4339</v>
      </c>
      <c r="AE4365" s="184" t="s">
        <v>4341</v>
      </c>
      <c r="AF4365" s="184" t="s">
        <v>4342</v>
      </c>
      <c r="AG4365" s="183" t="s">
        <v>4353</v>
      </c>
      <c r="AH4365" s="183" t="s">
        <v>3429</v>
      </c>
      <c r="AI4365" s="183" t="s">
        <v>4356</v>
      </c>
      <c r="AJ4365" s="183" t="s">
        <v>4364</v>
      </c>
      <c r="AK4365" s="183"/>
      <c r="AL4365" s="183"/>
      <c r="AM4365" s="183"/>
      <c r="AN4365" s="131"/>
      <c r="AO4365" s="131"/>
      <c r="AP4365" s="131"/>
      <c r="AQ4365" s="131"/>
      <c r="AR4365" s="288"/>
      <c r="AS4365" s="259"/>
      <c r="AT4365" s="183"/>
      <c r="AU4365" s="208" t="s">
        <v>5041</v>
      </c>
      <c r="AV4365" s="6" t="str">
        <f t="shared" si="106"/>
        <v/>
      </c>
    </row>
    <row r="4366" spans="1:48" ht="23.65" thickBot="1" x14ac:dyDescent="0.5">
      <c r="A4366" s="182" t="s">
        <v>8</v>
      </c>
      <c r="B4366" s="165" t="s">
        <v>4464</v>
      </c>
      <c r="C4366" s="192"/>
      <c r="D4366" s="192"/>
      <c r="E4366" s="192"/>
      <c r="F4366" s="192"/>
      <c r="G4366" s="192"/>
      <c r="H4366" s="192"/>
      <c r="Z4366" s="183"/>
      <c r="AB4366" s="8" t="s">
        <v>4348</v>
      </c>
      <c r="AT4366" s="189" t="s">
        <v>5325</v>
      </c>
      <c r="AU4366" s="208" t="s">
        <v>5041</v>
      </c>
      <c r="AV4366" s="6" t="str">
        <f t="shared" si="106"/>
        <v/>
      </c>
    </row>
    <row r="4367" spans="1:48" ht="23.65" thickBot="1" x14ac:dyDescent="0.5">
      <c r="A4367" s="163" t="s">
        <v>2676</v>
      </c>
      <c r="B4367" s="159" t="s">
        <v>3987</v>
      </c>
      <c r="C4367" s="160"/>
      <c r="D4367" s="160"/>
      <c r="E4367" s="161"/>
      <c r="F4367" s="161"/>
      <c r="G4367" s="160"/>
      <c r="H4367" s="160"/>
      <c r="R4367" s="122" t="s">
        <v>3529</v>
      </c>
      <c r="S4367" s="114" t="s">
        <v>4</v>
      </c>
      <c r="T4367" s="114" t="s">
        <v>2676</v>
      </c>
      <c r="U4367" s="114" t="s">
        <v>3521</v>
      </c>
      <c r="V4367" s="114" t="s">
        <v>3530</v>
      </c>
      <c r="W4367" s="114" t="s">
        <v>3436</v>
      </c>
      <c r="X4367" s="114" t="s">
        <v>13</v>
      </c>
      <c r="Y4367" s="149"/>
      <c r="Z4367" s="183"/>
      <c r="AA4367" s="183"/>
      <c r="AB4367" s="183" t="s">
        <v>758</v>
      </c>
      <c r="AC4367" s="183" t="s">
        <v>4346</v>
      </c>
      <c r="AD4367" s="183"/>
      <c r="AE4367" s="184"/>
      <c r="AF4367" s="184"/>
      <c r="AG4367" s="183"/>
      <c r="AH4367" s="183"/>
      <c r="AI4367" s="183"/>
      <c r="AJ4367" s="183"/>
      <c r="AK4367" s="183"/>
      <c r="AL4367" s="183"/>
      <c r="AM4367" s="183"/>
      <c r="AN4367" s="131"/>
      <c r="AO4367" s="131"/>
      <c r="AP4367" s="131"/>
      <c r="AQ4367" s="131"/>
      <c r="AR4367" s="288"/>
      <c r="AS4367" s="259"/>
      <c r="AT4367" s="189" t="s">
        <v>5325</v>
      </c>
      <c r="AU4367" s="208" t="s">
        <v>5041</v>
      </c>
      <c r="AV4367" s="6" t="str">
        <f t="shared" si="106"/>
        <v>OK</v>
      </c>
    </row>
    <row r="4368" spans="1:48" ht="23.65" thickBot="1" x14ac:dyDescent="0.5">
      <c r="A4368" s="158" t="s">
        <v>4544</v>
      </c>
      <c r="B4368" s="159" t="s">
        <v>4545</v>
      </c>
      <c r="C4368" s="160"/>
      <c r="D4368" s="160"/>
      <c r="E4368" s="161"/>
      <c r="F4368" s="161"/>
      <c r="G4368" s="160"/>
      <c r="H4368" s="160"/>
      <c r="R4368" s="122" t="s">
        <v>3529</v>
      </c>
      <c r="S4368" s="114" t="s">
        <v>4</v>
      </c>
      <c r="T4368" s="114" t="s">
        <v>4544</v>
      </c>
      <c r="U4368" s="114" t="s">
        <v>3521</v>
      </c>
      <c r="V4368" s="114" t="s">
        <v>3530</v>
      </c>
      <c r="W4368" s="114" t="s">
        <v>3436</v>
      </c>
      <c r="X4368" s="114" t="s">
        <v>13</v>
      </c>
      <c r="Y4368" s="149"/>
      <c r="Z4368" s="183"/>
      <c r="AA4368" s="183"/>
      <c r="AB4368" s="183" t="s">
        <v>758</v>
      </c>
      <c r="AC4368" s="183" t="s">
        <v>4346</v>
      </c>
      <c r="AD4368" s="183"/>
      <c r="AE4368" s="184"/>
      <c r="AF4368" s="184"/>
      <c r="AG4368" s="183"/>
      <c r="AH4368" s="183"/>
      <c r="AI4368" s="183"/>
      <c r="AJ4368" s="183"/>
      <c r="AK4368" s="183"/>
      <c r="AL4368" s="183"/>
      <c r="AM4368" s="183"/>
      <c r="AN4368" s="131"/>
      <c r="AO4368" s="131"/>
      <c r="AP4368" s="131"/>
      <c r="AQ4368" s="131"/>
      <c r="AR4368" s="288"/>
      <c r="AS4368" s="259"/>
      <c r="AT4368" s="189" t="s">
        <v>5325</v>
      </c>
      <c r="AU4368" s="208" t="s">
        <v>5041</v>
      </c>
      <c r="AV4368" s="6" t="str">
        <f t="shared" si="106"/>
        <v>OK</v>
      </c>
    </row>
    <row r="4369" spans="1:48" ht="35.25" thickBot="1" x14ac:dyDescent="0.5">
      <c r="A4369" s="158" t="s">
        <v>4517</v>
      </c>
      <c r="B4369" s="159" t="s">
        <v>4571</v>
      </c>
      <c r="C4369" s="160"/>
      <c r="D4369" s="160"/>
      <c r="E4369" s="161"/>
      <c r="F4369" s="161"/>
      <c r="G4369" s="160"/>
      <c r="H4369" s="160"/>
      <c r="R4369" s="122" t="s">
        <v>3529</v>
      </c>
      <c r="S4369" s="114" t="s">
        <v>4</v>
      </c>
      <c r="T4369" s="114" t="s">
        <v>2675</v>
      </c>
      <c r="U4369" s="114" t="s">
        <v>3521</v>
      </c>
      <c r="V4369" s="114" t="s">
        <v>3530</v>
      </c>
      <c r="W4369" s="114" t="s">
        <v>3436</v>
      </c>
      <c r="X4369" s="114" t="s">
        <v>13</v>
      </c>
      <c r="Y4369" s="149"/>
      <c r="Z4369" s="183"/>
      <c r="AA4369" s="183"/>
      <c r="AB4369" s="183" t="s">
        <v>4635</v>
      </c>
      <c r="AC4369" s="183" t="s">
        <v>4346</v>
      </c>
      <c r="AD4369" s="183"/>
      <c r="AE4369" s="184"/>
      <c r="AF4369" s="184"/>
      <c r="AG4369" s="183"/>
      <c r="AH4369" s="183"/>
      <c r="AI4369" s="183"/>
      <c r="AJ4369" s="183"/>
      <c r="AK4369" s="183"/>
      <c r="AL4369" s="183"/>
      <c r="AM4369" s="183"/>
      <c r="AN4369" s="131"/>
      <c r="AO4369" s="131"/>
      <c r="AP4369" s="131"/>
      <c r="AQ4369" s="131"/>
      <c r="AR4369" s="288"/>
      <c r="AS4369" s="259"/>
      <c r="AT4369" s="189" t="s">
        <v>5325</v>
      </c>
      <c r="AU4369" s="208" t="s">
        <v>5041</v>
      </c>
      <c r="AV4369" s="6" t="str">
        <f t="shared" si="106"/>
        <v>ERROR</v>
      </c>
    </row>
    <row r="4370" spans="1:48" ht="23.65" thickBot="1" x14ac:dyDescent="0.5">
      <c r="A4370" s="163" t="s">
        <v>2649</v>
      </c>
      <c r="B4370" s="159" t="s">
        <v>3744</v>
      </c>
      <c r="C4370" s="160"/>
      <c r="D4370" s="160"/>
      <c r="E4370" s="161"/>
      <c r="F4370" s="161"/>
      <c r="G4370" s="160"/>
      <c r="H4370" s="160"/>
      <c r="R4370" s="122"/>
      <c r="S4370" s="114"/>
      <c r="T4370" s="114"/>
      <c r="U4370" s="114"/>
      <c r="V4370" s="114"/>
      <c r="W4370" s="114"/>
      <c r="X4370" s="114"/>
      <c r="Y4370" s="149"/>
      <c r="Z4370" s="183"/>
      <c r="AA4370" s="183"/>
      <c r="AB4370" s="183"/>
      <c r="AC4370" s="183"/>
      <c r="AD4370" s="183"/>
      <c r="AE4370" s="184"/>
      <c r="AF4370" s="184"/>
      <c r="AG4370" s="183"/>
      <c r="AH4370" s="183"/>
      <c r="AI4370" s="183"/>
      <c r="AJ4370" s="183"/>
      <c r="AK4370" s="183"/>
      <c r="AL4370" s="183"/>
      <c r="AM4370" s="183"/>
      <c r="AN4370" s="131"/>
      <c r="AO4370" s="131"/>
      <c r="AP4370" s="131"/>
      <c r="AQ4370" s="131"/>
      <c r="AR4370" s="288"/>
      <c r="AS4370" s="259"/>
      <c r="AT4370" s="189" t="s">
        <v>5325</v>
      </c>
      <c r="AU4370" s="208" t="s">
        <v>5041</v>
      </c>
      <c r="AV4370" s="6" t="str">
        <f t="shared" si="106"/>
        <v/>
      </c>
    </row>
    <row r="4371" spans="1:48" ht="30.75" thickBot="1" x14ac:dyDescent="0.5">
      <c r="A4371" s="163" t="s">
        <v>3517</v>
      </c>
      <c r="B4371" s="159" t="s">
        <v>3741</v>
      </c>
      <c r="C4371" s="160"/>
      <c r="D4371" s="160"/>
      <c r="E4371" s="161"/>
      <c r="F4371" s="161"/>
      <c r="G4371" s="160"/>
      <c r="H4371" s="160"/>
      <c r="R4371" s="122" t="s">
        <v>3529</v>
      </c>
      <c r="S4371" s="114" t="s">
        <v>4</v>
      </c>
      <c r="T4371" s="114" t="s">
        <v>3517</v>
      </c>
      <c r="U4371" s="114"/>
      <c r="V4371" s="114" t="s">
        <v>3633</v>
      </c>
      <c r="W4371" s="114" t="s">
        <v>3436</v>
      </c>
      <c r="X4371" s="114" t="s">
        <v>13</v>
      </c>
      <c r="Y4371" s="149"/>
      <c r="Z4371" s="183"/>
      <c r="AA4371" s="183"/>
      <c r="AB4371" s="183" t="s">
        <v>4349</v>
      </c>
      <c r="AC4371" s="183" t="s">
        <v>4346</v>
      </c>
      <c r="AD4371" s="183"/>
      <c r="AE4371" s="184"/>
      <c r="AF4371" s="184"/>
      <c r="AG4371" s="183"/>
      <c r="AH4371" s="183"/>
      <c r="AI4371" s="183" t="s">
        <v>4357</v>
      </c>
      <c r="AJ4371" s="183"/>
      <c r="AK4371" s="183" t="s">
        <v>4484</v>
      </c>
      <c r="AL4371" s="183"/>
      <c r="AM4371" s="183"/>
      <c r="AN4371" s="131"/>
      <c r="AO4371" s="131"/>
      <c r="AP4371" s="131"/>
      <c r="AQ4371" s="131"/>
      <c r="AR4371" s="288"/>
      <c r="AS4371" s="259"/>
      <c r="AT4371" s="189" t="s">
        <v>5325</v>
      </c>
      <c r="AU4371" s="208" t="s">
        <v>5041</v>
      </c>
      <c r="AV4371" s="6" t="str">
        <f t="shared" si="106"/>
        <v>OK</v>
      </c>
    </row>
    <row r="4372" spans="1:48" ht="23.65" thickBot="1" x14ac:dyDescent="0.5">
      <c r="A4372" s="163" t="s">
        <v>33</v>
      </c>
      <c r="B4372" s="159" t="s">
        <v>3686</v>
      </c>
      <c r="C4372" s="160"/>
      <c r="D4372" s="161"/>
      <c r="E4372" s="161"/>
      <c r="F4372" s="161"/>
      <c r="G4372" s="160"/>
      <c r="H4372" s="161"/>
      <c r="R4372" s="114"/>
      <c r="S4372" s="114"/>
      <c r="T4372" s="114"/>
      <c r="U4372" s="114"/>
      <c r="V4372" s="114"/>
      <c r="W4372" s="114"/>
      <c r="X4372" s="114"/>
      <c r="Y4372" s="149"/>
      <c r="Z4372" s="183"/>
      <c r="AA4372" s="183"/>
      <c r="AB4372" s="183"/>
      <c r="AC4372" s="183"/>
      <c r="AD4372" s="183"/>
      <c r="AE4372" s="184"/>
      <c r="AF4372" s="184"/>
      <c r="AG4372" s="183"/>
      <c r="AH4372" s="183"/>
      <c r="AI4372" s="183"/>
      <c r="AJ4372" s="183"/>
      <c r="AK4372" s="183"/>
      <c r="AL4372" s="183"/>
      <c r="AM4372" s="183"/>
      <c r="AN4372" s="131"/>
      <c r="AO4372" s="131"/>
      <c r="AP4372" s="131"/>
      <c r="AQ4372" s="131"/>
      <c r="AR4372" s="288"/>
      <c r="AS4372" s="259"/>
      <c r="AT4372" s="189" t="s">
        <v>5325</v>
      </c>
      <c r="AU4372" s="208" t="s">
        <v>5041</v>
      </c>
      <c r="AV4372" s="6" t="str">
        <f t="shared" si="106"/>
        <v/>
      </c>
    </row>
    <row r="4373" spans="1:48" ht="23.65" thickBot="1" x14ac:dyDescent="0.5">
      <c r="A4373" s="164" t="s">
        <v>461</v>
      </c>
      <c r="B4373" s="165" t="s">
        <v>3688</v>
      </c>
      <c r="C4373" s="160"/>
      <c r="D4373" s="161"/>
      <c r="E4373" s="161"/>
      <c r="F4373" s="166"/>
      <c r="G4373" s="160"/>
      <c r="H4373" s="161"/>
      <c r="R4373" s="114"/>
      <c r="S4373" s="114"/>
      <c r="T4373" s="114"/>
      <c r="U4373" s="114"/>
      <c r="V4373" s="114"/>
      <c r="W4373" s="114"/>
      <c r="X4373" s="114"/>
      <c r="Y4373" s="149"/>
      <c r="Z4373" s="183"/>
      <c r="AA4373" s="183"/>
      <c r="AB4373" s="183"/>
      <c r="AC4373" s="183"/>
      <c r="AD4373" s="183"/>
      <c r="AE4373" s="184"/>
      <c r="AF4373" s="184"/>
      <c r="AG4373" s="183"/>
      <c r="AH4373" s="183"/>
      <c r="AI4373" s="183"/>
      <c r="AJ4373" s="183"/>
      <c r="AK4373" s="183"/>
      <c r="AL4373" s="183"/>
      <c r="AM4373" s="183"/>
      <c r="AN4373" s="131"/>
      <c r="AO4373" s="131"/>
      <c r="AP4373" s="131"/>
      <c r="AQ4373" s="131"/>
      <c r="AR4373" s="288"/>
      <c r="AS4373" s="259"/>
      <c r="AT4373" s="189" t="s">
        <v>5325</v>
      </c>
      <c r="AU4373" s="208" t="s">
        <v>5041</v>
      </c>
      <c r="AV4373" s="6" t="str">
        <f t="shared" si="106"/>
        <v/>
      </c>
    </row>
    <row r="4374" spans="1:48" ht="23.65" thickBot="1" x14ac:dyDescent="0.5">
      <c r="A4374" s="164" t="s">
        <v>424</v>
      </c>
      <c r="B4374" s="165" t="s">
        <v>3689</v>
      </c>
      <c r="C4374" s="160"/>
      <c r="D4374" s="161"/>
      <c r="E4374" s="161"/>
      <c r="F4374" s="166"/>
      <c r="G4374" s="160"/>
      <c r="H4374" s="161"/>
      <c r="R4374" s="114"/>
      <c r="S4374" s="114"/>
      <c r="T4374" s="114"/>
      <c r="U4374" s="114"/>
      <c r="V4374" s="114"/>
      <c r="W4374" s="114"/>
      <c r="X4374" s="114"/>
      <c r="Y4374" s="149"/>
      <c r="Z4374" s="183"/>
      <c r="AA4374" s="183"/>
      <c r="AB4374" s="183"/>
      <c r="AC4374" s="183"/>
      <c r="AD4374" s="183"/>
      <c r="AE4374" s="184"/>
      <c r="AF4374" s="184"/>
      <c r="AG4374" s="183"/>
      <c r="AH4374" s="183"/>
      <c r="AI4374" s="183"/>
      <c r="AJ4374" s="183"/>
      <c r="AK4374" s="183"/>
      <c r="AL4374" s="183"/>
      <c r="AM4374" s="183"/>
      <c r="AN4374" s="131"/>
      <c r="AO4374" s="131"/>
      <c r="AP4374" s="131"/>
      <c r="AQ4374" s="131"/>
      <c r="AR4374" s="288"/>
      <c r="AS4374" s="259"/>
      <c r="AT4374" s="189" t="s">
        <v>5325</v>
      </c>
      <c r="AU4374" s="208" t="s">
        <v>5041</v>
      </c>
      <c r="AV4374" s="6" t="str">
        <f t="shared" si="106"/>
        <v/>
      </c>
    </row>
    <row r="4375" spans="1:48" ht="36" thickBot="1" x14ac:dyDescent="0.5">
      <c r="A4375" s="163" t="s">
        <v>4469</v>
      </c>
      <c r="B4375" s="159" t="s">
        <v>3742</v>
      </c>
      <c r="C4375" s="160"/>
      <c r="D4375" s="160"/>
      <c r="E4375" s="161"/>
      <c r="F4375" s="161"/>
      <c r="G4375" s="160"/>
      <c r="H4375" s="160"/>
      <c r="Q4375" s="8" t="s">
        <v>3633</v>
      </c>
      <c r="R4375" s="122" t="s">
        <v>3529</v>
      </c>
      <c r="S4375" s="114" t="s">
        <v>4</v>
      </c>
      <c r="T4375" s="114" t="s">
        <v>2677</v>
      </c>
      <c r="U4375" s="114" t="s">
        <v>3521</v>
      </c>
      <c r="V4375" s="114" t="s">
        <v>3530</v>
      </c>
      <c r="W4375" s="114" t="s">
        <v>3436</v>
      </c>
      <c r="X4375" s="114" t="s">
        <v>13</v>
      </c>
      <c r="Y4375" s="149"/>
      <c r="Z4375" s="183"/>
      <c r="AA4375" s="183" t="s">
        <v>3517</v>
      </c>
      <c r="AB4375" s="183" t="s">
        <v>758</v>
      </c>
      <c r="AC4375" s="183" t="s">
        <v>4346</v>
      </c>
      <c r="AD4375" s="183"/>
      <c r="AE4375" s="184"/>
      <c r="AF4375" s="184"/>
      <c r="AG4375" s="183"/>
      <c r="AH4375" s="183"/>
      <c r="AI4375" s="183"/>
      <c r="AJ4375" s="183"/>
      <c r="AK4375" s="183"/>
      <c r="AL4375" s="183"/>
      <c r="AM4375" s="183"/>
      <c r="AN4375" s="131"/>
      <c r="AO4375" s="131"/>
      <c r="AP4375" s="131"/>
      <c r="AQ4375" s="131"/>
      <c r="AR4375" s="288"/>
      <c r="AS4375" s="259"/>
      <c r="AT4375" s="189" t="s">
        <v>5325</v>
      </c>
      <c r="AU4375" s="208" t="s">
        <v>5041</v>
      </c>
      <c r="AV4375" s="6" t="str">
        <f t="shared" si="106"/>
        <v>OK</v>
      </c>
    </row>
    <row r="4376" spans="1:48" ht="23.65" thickBot="1" x14ac:dyDescent="0.5">
      <c r="A4376" s="158" t="s">
        <v>4546</v>
      </c>
      <c r="B4376" s="159" t="s">
        <v>4547</v>
      </c>
      <c r="C4376" s="160"/>
      <c r="D4376" s="160"/>
      <c r="E4376" s="161"/>
      <c r="F4376" s="161"/>
      <c r="G4376" s="160"/>
      <c r="H4376" s="160"/>
      <c r="R4376" s="122" t="s">
        <v>3529</v>
      </c>
      <c r="S4376" s="114" t="s">
        <v>4</v>
      </c>
      <c r="T4376" s="114" t="s">
        <v>4548</v>
      </c>
      <c r="U4376" s="114" t="s">
        <v>3521</v>
      </c>
      <c r="V4376" s="114" t="s">
        <v>3530</v>
      </c>
      <c r="W4376" s="114" t="s">
        <v>3436</v>
      </c>
      <c r="X4376" s="114" t="s">
        <v>13</v>
      </c>
      <c r="Y4376" s="149"/>
      <c r="Z4376" s="183"/>
      <c r="AA4376" s="183"/>
      <c r="AB4376" s="183" t="s">
        <v>758</v>
      </c>
      <c r="AC4376" s="183" t="s">
        <v>4346</v>
      </c>
      <c r="AD4376" s="183"/>
      <c r="AE4376" s="184"/>
      <c r="AF4376" s="184"/>
      <c r="AG4376" s="183"/>
      <c r="AH4376" s="183"/>
      <c r="AI4376" s="183"/>
      <c r="AJ4376" s="183"/>
      <c r="AK4376" s="183"/>
      <c r="AL4376" s="183"/>
      <c r="AM4376" s="183"/>
      <c r="AN4376" s="131"/>
      <c r="AO4376" s="131"/>
      <c r="AP4376" s="131"/>
      <c r="AQ4376" s="131"/>
      <c r="AR4376" s="288"/>
      <c r="AS4376" s="259"/>
      <c r="AT4376" s="189" t="s">
        <v>5325</v>
      </c>
      <c r="AU4376" s="208" t="s">
        <v>5041</v>
      </c>
      <c r="AV4376" s="6" t="str">
        <f t="shared" ref="AV4376:AV4377" si="107">IF(A4376&lt;&gt;"",IF(T4376&lt;&gt;"",IF(LEFT(R4376,3)="Has",IF(TRIM(A4376)&lt;&gt;T4376,"ERROR","OK"),""),""),"")</f>
        <v>OK</v>
      </c>
    </row>
    <row r="4377" spans="1:48" ht="35.25" thickBot="1" x14ac:dyDescent="0.5">
      <c r="A4377" s="158" t="s">
        <v>4569</v>
      </c>
      <c r="B4377" s="159" t="s">
        <v>4570</v>
      </c>
      <c r="C4377" s="160"/>
      <c r="D4377" s="160"/>
      <c r="E4377" s="161"/>
      <c r="F4377" s="161"/>
      <c r="G4377" s="160"/>
      <c r="H4377" s="160"/>
      <c r="R4377" s="122" t="s">
        <v>3529</v>
      </c>
      <c r="S4377" s="114" t="s">
        <v>4</v>
      </c>
      <c r="T4377" s="114" t="s">
        <v>2675</v>
      </c>
      <c r="U4377" s="114" t="s">
        <v>3521</v>
      </c>
      <c r="V4377" s="114" t="s">
        <v>3530</v>
      </c>
      <c r="W4377" s="114" t="s">
        <v>3436</v>
      </c>
      <c r="X4377" s="114" t="s">
        <v>13</v>
      </c>
      <c r="Y4377" s="149"/>
      <c r="Z4377" s="183"/>
      <c r="AA4377" s="183"/>
      <c r="AB4377" s="183" t="s">
        <v>4636</v>
      </c>
      <c r="AC4377" s="183" t="s">
        <v>4346</v>
      </c>
      <c r="AD4377" s="183"/>
      <c r="AE4377" s="184"/>
      <c r="AF4377" s="184"/>
      <c r="AG4377" s="183"/>
      <c r="AH4377" s="183"/>
      <c r="AI4377" s="183"/>
      <c r="AJ4377" s="183"/>
      <c r="AK4377" s="183"/>
      <c r="AL4377" s="183"/>
      <c r="AM4377" s="183"/>
      <c r="AN4377" s="131"/>
      <c r="AO4377" s="131"/>
      <c r="AP4377" s="131"/>
      <c r="AQ4377" s="131"/>
      <c r="AR4377" s="288"/>
      <c r="AS4377" s="259"/>
      <c r="AT4377" s="189" t="s">
        <v>5325</v>
      </c>
      <c r="AU4377" s="208" t="s">
        <v>5041</v>
      </c>
      <c r="AV4377" s="6" t="str">
        <f t="shared" si="107"/>
        <v>ERROR</v>
      </c>
    </row>
    <row r="4378" spans="1:48" ht="30.75" thickBot="1" x14ac:dyDescent="0.5">
      <c r="A4378" s="163" t="s">
        <v>4470</v>
      </c>
      <c r="B4378" s="159" t="s">
        <v>4298</v>
      </c>
      <c r="C4378" s="160"/>
      <c r="D4378" s="160"/>
      <c r="E4378" s="161"/>
      <c r="F4378" s="161"/>
      <c r="G4378" s="160"/>
      <c r="H4378" s="160"/>
      <c r="Q4378" s="131" t="s">
        <v>3633</v>
      </c>
      <c r="R4378" s="122" t="s">
        <v>3529</v>
      </c>
      <c r="S4378" s="114" t="s">
        <v>4</v>
      </c>
      <c r="T4378" s="114" t="s">
        <v>950</v>
      </c>
      <c r="U4378" s="114" t="s">
        <v>3521</v>
      </c>
      <c r="V4378" s="114" t="s">
        <v>3530</v>
      </c>
      <c r="W4378" s="114" t="s">
        <v>3436</v>
      </c>
      <c r="X4378" s="114" t="s">
        <v>13</v>
      </c>
      <c r="Y4378" s="149"/>
      <c r="Z4378" s="183"/>
      <c r="AA4378" s="183" t="s">
        <v>3517</v>
      </c>
      <c r="AB4378" s="183" t="s">
        <v>758</v>
      </c>
      <c r="AC4378" s="183" t="s">
        <v>4346</v>
      </c>
      <c r="AD4378" s="183"/>
      <c r="AE4378" s="184"/>
      <c r="AF4378" s="184"/>
      <c r="AG4378" s="183"/>
      <c r="AH4378" s="183"/>
      <c r="AI4378" s="183"/>
      <c r="AJ4378" s="183"/>
      <c r="AK4378" s="183"/>
      <c r="AL4378" s="183"/>
      <c r="AM4378" s="183"/>
      <c r="AN4378" s="131"/>
      <c r="AO4378" s="131"/>
      <c r="AP4378" s="131"/>
      <c r="AQ4378" s="131"/>
      <c r="AR4378" s="288"/>
      <c r="AS4378" s="259"/>
      <c r="AT4378" s="189" t="s">
        <v>5325</v>
      </c>
      <c r="AU4378" s="208" t="s">
        <v>5041</v>
      </c>
      <c r="AV4378" s="6" t="str">
        <f t="shared" si="106"/>
        <v>OK</v>
      </c>
    </row>
    <row r="4379" spans="1:48" ht="23.65" thickBot="1" x14ac:dyDescent="0.5">
      <c r="A4379" s="163" t="s">
        <v>4471</v>
      </c>
      <c r="B4379" s="159" t="s">
        <v>4299</v>
      </c>
      <c r="C4379" s="160"/>
      <c r="D4379" s="160"/>
      <c r="E4379" s="161"/>
      <c r="F4379" s="161"/>
      <c r="G4379" s="160"/>
      <c r="H4379" s="160"/>
      <c r="Q4379" s="131"/>
      <c r="R4379" s="122"/>
      <c r="S4379" s="114"/>
      <c r="T4379" s="114"/>
      <c r="U4379" s="114"/>
      <c r="V4379" s="114"/>
      <c r="W4379" s="114"/>
      <c r="X4379" s="114"/>
      <c r="Y4379" s="149"/>
      <c r="Z4379" s="183"/>
      <c r="AA4379" s="183"/>
      <c r="AB4379" s="183"/>
      <c r="AC4379" s="183"/>
      <c r="AD4379" s="183"/>
      <c r="AE4379" s="184"/>
      <c r="AF4379" s="184"/>
      <c r="AG4379" s="183"/>
      <c r="AH4379" s="183"/>
      <c r="AI4379" s="183"/>
      <c r="AJ4379" s="183"/>
      <c r="AK4379" s="183"/>
      <c r="AL4379" s="183"/>
      <c r="AM4379" s="183"/>
      <c r="AN4379" s="131"/>
      <c r="AO4379" s="131"/>
      <c r="AP4379" s="131"/>
      <c r="AQ4379" s="131"/>
      <c r="AR4379" s="288"/>
      <c r="AS4379" s="259"/>
      <c r="AT4379" s="189" t="s">
        <v>5325</v>
      </c>
      <c r="AU4379" s="208" t="s">
        <v>5041</v>
      </c>
      <c r="AV4379" s="6" t="str">
        <f t="shared" si="106"/>
        <v/>
      </c>
    </row>
    <row r="4380" spans="1:48" ht="30.75" thickBot="1" x14ac:dyDescent="0.5">
      <c r="A4380" s="163" t="s">
        <v>4472</v>
      </c>
      <c r="B4380" s="159" t="s">
        <v>4312</v>
      </c>
      <c r="C4380" s="160"/>
      <c r="D4380" s="160"/>
      <c r="E4380" s="161"/>
      <c r="F4380" s="161"/>
      <c r="G4380" s="160"/>
      <c r="H4380" s="160"/>
      <c r="Q4380" s="131" t="s">
        <v>3633</v>
      </c>
      <c r="R4380" s="122" t="s">
        <v>3435</v>
      </c>
      <c r="S4380" s="114" t="s">
        <v>3437</v>
      </c>
      <c r="T4380" s="114" t="s">
        <v>2651</v>
      </c>
      <c r="U4380" s="114"/>
      <c r="V4380" s="114" t="s">
        <v>3445</v>
      </c>
      <c r="W4380" s="114" t="s">
        <v>3436</v>
      </c>
      <c r="X4380" s="114" t="s">
        <v>13</v>
      </c>
      <c r="Y4380" s="149"/>
      <c r="Z4380" s="183"/>
      <c r="AA4380" s="183" t="s">
        <v>3517</v>
      </c>
      <c r="AB4380" s="183" t="s">
        <v>4348</v>
      </c>
      <c r="AC4380" s="183"/>
      <c r="AD4380" s="183"/>
      <c r="AE4380" s="184"/>
      <c r="AF4380" s="184"/>
      <c r="AG4380" s="183"/>
      <c r="AH4380" s="183"/>
      <c r="AI4380" s="183"/>
      <c r="AJ4380" s="183"/>
      <c r="AK4380" s="183"/>
      <c r="AL4380" s="183"/>
      <c r="AM4380" s="183"/>
      <c r="AN4380" s="131"/>
      <c r="AO4380" s="131"/>
      <c r="AP4380" s="131"/>
      <c r="AQ4380" s="131"/>
      <c r="AR4380" s="288"/>
      <c r="AS4380" s="259"/>
      <c r="AT4380" s="189" t="s">
        <v>5325</v>
      </c>
      <c r="AU4380" s="208" t="s">
        <v>5041</v>
      </c>
      <c r="AV4380" s="6" t="str">
        <f t="shared" si="106"/>
        <v>OK</v>
      </c>
    </row>
    <row r="4381" spans="1:48" ht="36" thickBot="1" x14ac:dyDescent="0.5">
      <c r="A4381" s="163" t="s">
        <v>4473</v>
      </c>
      <c r="B4381" s="159" t="s">
        <v>4313</v>
      </c>
      <c r="C4381" s="160"/>
      <c r="D4381" s="160"/>
      <c r="E4381" s="161"/>
      <c r="F4381" s="161"/>
      <c r="G4381" s="160"/>
      <c r="H4381" s="160"/>
      <c r="Q4381" s="8" t="s">
        <v>3445</v>
      </c>
      <c r="R4381" s="122" t="s">
        <v>3435</v>
      </c>
      <c r="S4381" s="114" t="s">
        <v>3443</v>
      </c>
      <c r="T4381" s="114" t="s">
        <v>3506</v>
      </c>
      <c r="U4381" s="114" t="s">
        <v>3521</v>
      </c>
      <c r="V4381" s="114" t="s">
        <v>3531</v>
      </c>
      <c r="W4381" s="114" t="s">
        <v>3436</v>
      </c>
      <c r="X4381" s="114" t="s">
        <v>13</v>
      </c>
      <c r="Y4381" s="149"/>
      <c r="Z4381" s="183"/>
      <c r="AA4381" s="183" t="s">
        <v>2651</v>
      </c>
      <c r="AB4381" s="183" t="s">
        <v>758</v>
      </c>
      <c r="AC4381" s="183" t="s">
        <v>4346</v>
      </c>
      <c r="AD4381" s="183"/>
      <c r="AE4381" s="184"/>
      <c r="AF4381" s="184"/>
      <c r="AG4381" s="183"/>
      <c r="AH4381" s="183"/>
      <c r="AI4381" s="183"/>
      <c r="AJ4381" s="183"/>
      <c r="AK4381" s="183"/>
      <c r="AL4381" s="183"/>
      <c r="AM4381" s="183"/>
      <c r="AN4381" s="131"/>
      <c r="AO4381" s="131"/>
      <c r="AP4381" s="131"/>
      <c r="AQ4381" s="131"/>
      <c r="AR4381" s="288"/>
      <c r="AS4381" s="259"/>
      <c r="AT4381" s="189" t="s">
        <v>5325</v>
      </c>
      <c r="AU4381" s="208" t="s">
        <v>5041</v>
      </c>
      <c r="AV4381" s="6" t="str">
        <f t="shared" si="106"/>
        <v>OK</v>
      </c>
    </row>
    <row r="4382" spans="1:48" ht="36" thickBot="1" x14ac:dyDescent="0.5">
      <c r="A4382" s="163" t="s">
        <v>4474</v>
      </c>
      <c r="B4382" s="159" t="s">
        <v>3746</v>
      </c>
      <c r="C4382" s="160"/>
      <c r="D4382" s="160"/>
      <c r="E4382" s="161"/>
      <c r="F4382" s="161"/>
      <c r="G4382" s="160"/>
      <c r="H4382" s="160"/>
      <c r="Q4382" s="8" t="s">
        <v>3445</v>
      </c>
      <c r="R4382" s="122" t="s">
        <v>3529</v>
      </c>
      <c r="S4382" s="114" t="s">
        <v>4</v>
      </c>
      <c r="T4382" s="114" t="s">
        <v>3507</v>
      </c>
      <c r="U4382" s="114" t="s">
        <v>3522</v>
      </c>
      <c r="V4382" s="114" t="s">
        <v>3530</v>
      </c>
      <c r="W4382" s="114" t="s">
        <v>3436</v>
      </c>
      <c r="X4382" s="114" t="s">
        <v>13</v>
      </c>
      <c r="Y4382" s="149"/>
      <c r="Z4382" s="183"/>
      <c r="AA4382" s="183" t="s">
        <v>2651</v>
      </c>
      <c r="AB4382" s="183" t="s">
        <v>4344</v>
      </c>
      <c r="AC4382" s="183" t="s">
        <v>4346</v>
      </c>
      <c r="AD4382" s="183"/>
      <c r="AE4382" s="184"/>
      <c r="AF4382" s="184"/>
      <c r="AG4382" s="183"/>
      <c r="AH4382" s="183"/>
      <c r="AI4382" s="183"/>
      <c r="AJ4382" s="183"/>
      <c r="AK4382" s="183"/>
      <c r="AL4382" s="183"/>
      <c r="AM4382" s="183"/>
      <c r="AN4382" s="131"/>
      <c r="AO4382" s="131"/>
      <c r="AP4382" s="131"/>
      <c r="AQ4382" s="131"/>
      <c r="AR4382" s="288"/>
      <c r="AS4382" s="259"/>
      <c r="AT4382" s="189" t="s">
        <v>5325</v>
      </c>
      <c r="AU4382" s="208" t="s">
        <v>5041</v>
      </c>
      <c r="AV4382" s="6" t="str">
        <f t="shared" si="106"/>
        <v>OK</v>
      </c>
    </row>
    <row r="4383" spans="1:48" ht="36" thickBot="1" x14ac:dyDescent="0.5">
      <c r="A4383" s="163" t="s">
        <v>4475</v>
      </c>
      <c r="B4383" s="159" t="s">
        <v>3972</v>
      </c>
      <c r="C4383" s="160"/>
      <c r="D4383" s="160"/>
      <c r="E4383" s="161"/>
      <c r="F4383" s="161"/>
      <c r="G4383" s="160"/>
      <c r="H4383" s="160"/>
      <c r="Q4383" s="8" t="s">
        <v>3445</v>
      </c>
      <c r="R4383" s="122" t="s">
        <v>3435</v>
      </c>
      <c r="S4383" s="114" t="s">
        <v>3443</v>
      </c>
      <c r="T4383" s="114" t="s">
        <v>3508</v>
      </c>
      <c r="U4383" s="114" t="s">
        <v>3522</v>
      </c>
      <c r="V4383" s="114" t="s">
        <v>3531</v>
      </c>
      <c r="W4383" s="114" t="s">
        <v>3436</v>
      </c>
      <c r="X4383" s="114" t="s">
        <v>13</v>
      </c>
      <c r="Y4383" s="149"/>
      <c r="Z4383" s="183"/>
      <c r="AA4383" s="183" t="s">
        <v>2651</v>
      </c>
      <c r="AB4383" s="183" t="s">
        <v>758</v>
      </c>
      <c r="AC4383" s="183" t="s">
        <v>6</v>
      </c>
      <c r="AD4383" s="183"/>
      <c r="AE4383" s="184"/>
      <c r="AF4383" s="184"/>
      <c r="AG4383" s="183"/>
      <c r="AH4383" s="183"/>
      <c r="AI4383" s="183"/>
      <c r="AJ4383" s="183"/>
      <c r="AK4383" s="183"/>
      <c r="AL4383" s="183"/>
      <c r="AM4383" s="183"/>
      <c r="AN4383" s="131"/>
      <c r="AO4383" s="131"/>
      <c r="AP4383" s="131"/>
      <c r="AQ4383" s="131"/>
      <c r="AR4383" s="288"/>
      <c r="AS4383" s="259"/>
      <c r="AT4383" s="189" t="s">
        <v>5325</v>
      </c>
      <c r="AU4383" s="208" t="s">
        <v>5041</v>
      </c>
      <c r="AV4383" s="6" t="str">
        <f t="shared" si="106"/>
        <v>OK</v>
      </c>
    </row>
    <row r="4384" spans="1:48" ht="36" thickBot="1" x14ac:dyDescent="0.5">
      <c r="A4384" s="163" t="s">
        <v>4476</v>
      </c>
      <c r="B4384" s="159" t="s">
        <v>3973</v>
      </c>
      <c r="C4384" s="160"/>
      <c r="D4384" s="160"/>
      <c r="E4384" s="161"/>
      <c r="F4384" s="161"/>
      <c r="G4384" s="160"/>
      <c r="H4384" s="160"/>
      <c r="Q4384" s="8" t="s">
        <v>3445</v>
      </c>
      <c r="R4384" s="122" t="s">
        <v>3529</v>
      </c>
      <c r="S4384" s="114" t="s">
        <v>4</v>
      </c>
      <c r="T4384" s="114" t="s">
        <v>3509</v>
      </c>
      <c r="U4384" s="114" t="s">
        <v>3522</v>
      </c>
      <c r="V4384" s="114" t="s">
        <v>3530</v>
      </c>
      <c r="W4384" s="114" t="s">
        <v>3436</v>
      </c>
      <c r="X4384" s="114" t="s">
        <v>13</v>
      </c>
      <c r="Y4384" s="149"/>
      <c r="Z4384" s="183"/>
      <c r="AA4384" s="183" t="s">
        <v>2651</v>
      </c>
      <c r="AB4384" s="183" t="s">
        <v>4344</v>
      </c>
      <c r="AC4384" s="183" t="s">
        <v>4346</v>
      </c>
      <c r="AD4384" s="183"/>
      <c r="AE4384" s="184"/>
      <c r="AF4384" s="184"/>
      <c r="AG4384" s="183"/>
      <c r="AH4384" s="183"/>
      <c r="AI4384" s="183"/>
      <c r="AJ4384" s="183"/>
      <c r="AK4384" s="183"/>
      <c r="AL4384" s="183"/>
      <c r="AM4384" s="183"/>
      <c r="AN4384" s="131"/>
      <c r="AO4384" s="131"/>
      <c r="AP4384" s="131"/>
      <c r="AQ4384" s="131"/>
      <c r="AR4384" s="288"/>
      <c r="AS4384" s="259"/>
      <c r="AT4384" s="189" t="s">
        <v>5325</v>
      </c>
      <c r="AU4384" s="208" t="s">
        <v>5041</v>
      </c>
      <c r="AV4384" s="6" t="str">
        <f t="shared" si="106"/>
        <v>OK</v>
      </c>
    </row>
    <row r="4385" spans="1:48" ht="36" thickBot="1" x14ac:dyDescent="0.5">
      <c r="A4385" s="163" t="s">
        <v>4477</v>
      </c>
      <c r="B4385" s="159" t="s">
        <v>3745</v>
      </c>
      <c r="C4385" s="160"/>
      <c r="D4385" s="160"/>
      <c r="E4385" s="161"/>
      <c r="F4385" s="161"/>
      <c r="G4385" s="160"/>
      <c r="H4385" s="160"/>
      <c r="Q4385" s="8" t="s">
        <v>3445</v>
      </c>
      <c r="R4385" s="122" t="s">
        <v>3435</v>
      </c>
      <c r="S4385" s="114" t="s">
        <v>3443</v>
      </c>
      <c r="T4385" s="114" t="s">
        <v>3510</v>
      </c>
      <c r="U4385" s="114" t="s">
        <v>3522</v>
      </c>
      <c r="V4385" s="114" t="s">
        <v>3531</v>
      </c>
      <c r="W4385" s="114" t="s">
        <v>3436</v>
      </c>
      <c r="X4385" s="114" t="s">
        <v>13</v>
      </c>
      <c r="Y4385" s="149"/>
      <c r="Z4385" s="183"/>
      <c r="AA4385" s="183" t="s">
        <v>2651</v>
      </c>
      <c r="AB4385" s="183" t="s">
        <v>4344</v>
      </c>
      <c r="AC4385" s="183" t="s">
        <v>6</v>
      </c>
      <c r="AD4385" s="183"/>
      <c r="AE4385" s="184"/>
      <c r="AF4385" s="184"/>
      <c r="AG4385" s="183"/>
      <c r="AH4385" s="183"/>
      <c r="AI4385" s="183"/>
      <c r="AJ4385" s="183"/>
      <c r="AK4385" s="183"/>
      <c r="AL4385" s="183"/>
      <c r="AM4385" s="183"/>
      <c r="AN4385" s="131"/>
      <c r="AO4385" s="131"/>
      <c r="AP4385" s="131"/>
      <c r="AQ4385" s="131"/>
      <c r="AR4385" s="288"/>
      <c r="AS4385" s="259"/>
      <c r="AT4385" s="189" t="s">
        <v>5325</v>
      </c>
      <c r="AU4385" s="208" t="s">
        <v>5041</v>
      </c>
      <c r="AV4385" s="6" t="str">
        <f t="shared" si="106"/>
        <v>OK</v>
      </c>
    </row>
    <row r="4386" spans="1:48" ht="36" thickBot="1" x14ac:dyDescent="0.5">
      <c r="A4386" s="163" t="s">
        <v>4478</v>
      </c>
      <c r="B4386" s="159" t="s">
        <v>4314</v>
      </c>
      <c r="C4386" s="160"/>
      <c r="D4386" s="160"/>
      <c r="E4386" s="161"/>
      <c r="F4386" s="161"/>
      <c r="G4386" s="160"/>
      <c r="H4386" s="160"/>
      <c r="Q4386" s="8" t="s">
        <v>3633</v>
      </c>
      <c r="R4386" s="122" t="s">
        <v>3435</v>
      </c>
      <c r="S4386" s="114" t="s">
        <v>3437</v>
      </c>
      <c r="T4386" s="114" t="s">
        <v>2652</v>
      </c>
      <c r="U4386" s="114"/>
      <c r="V4386" s="114" t="s">
        <v>3444</v>
      </c>
      <c r="W4386" s="114" t="s">
        <v>3436</v>
      </c>
      <c r="X4386" s="114" t="s">
        <v>13</v>
      </c>
      <c r="Y4386" s="149"/>
      <c r="Z4386" s="183"/>
      <c r="AA4386" s="183" t="s">
        <v>3517</v>
      </c>
      <c r="AB4386" s="183" t="s">
        <v>4348</v>
      </c>
      <c r="AC4386" s="183"/>
      <c r="AD4386" s="183"/>
      <c r="AE4386" s="184"/>
      <c r="AF4386" s="184"/>
      <c r="AG4386" s="183"/>
      <c r="AH4386" s="183"/>
      <c r="AI4386" s="183"/>
      <c r="AJ4386" s="183"/>
      <c r="AK4386" s="183"/>
      <c r="AL4386" s="183"/>
      <c r="AM4386" s="183"/>
      <c r="AN4386" s="131"/>
      <c r="AO4386" s="131"/>
      <c r="AP4386" s="131"/>
      <c r="AQ4386" s="131"/>
      <c r="AR4386" s="288"/>
      <c r="AS4386" s="259"/>
      <c r="AT4386" s="189" t="s">
        <v>5325</v>
      </c>
      <c r="AU4386" s="208" t="s">
        <v>5041</v>
      </c>
      <c r="AV4386" s="6" t="str">
        <f t="shared" si="106"/>
        <v>OK</v>
      </c>
    </row>
    <row r="4387" spans="1:48" ht="24.4" thickBot="1" x14ac:dyDescent="0.5">
      <c r="A4387" s="163" t="s">
        <v>4479</v>
      </c>
      <c r="B4387" s="159" t="s">
        <v>3747</v>
      </c>
      <c r="C4387" s="160"/>
      <c r="D4387" s="160"/>
      <c r="E4387" s="161"/>
      <c r="F4387" s="161"/>
      <c r="G4387" s="160"/>
      <c r="H4387" s="160"/>
      <c r="Q4387" s="8" t="s">
        <v>3444</v>
      </c>
      <c r="R4387" s="122" t="s">
        <v>3435</v>
      </c>
      <c r="S4387" s="114" t="s">
        <v>4</v>
      </c>
      <c r="T4387" s="114" t="s">
        <v>3511</v>
      </c>
      <c r="U4387" s="114" t="s">
        <v>3521</v>
      </c>
      <c r="V4387" s="114" t="s">
        <v>3530</v>
      </c>
      <c r="W4387" s="114" t="s">
        <v>3436</v>
      </c>
      <c r="X4387" s="114" t="s">
        <v>13</v>
      </c>
      <c r="Y4387" s="149"/>
      <c r="Z4387" s="183"/>
      <c r="AA4387" s="183" t="s">
        <v>2652</v>
      </c>
      <c r="AB4387" s="183" t="s">
        <v>758</v>
      </c>
      <c r="AC4387" s="183" t="s">
        <v>4346</v>
      </c>
      <c r="AD4387" s="183"/>
      <c r="AE4387" s="184"/>
      <c r="AF4387" s="184"/>
      <c r="AG4387" s="183"/>
      <c r="AH4387" s="183"/>
      <c r="AI4387" s="183"/>
      <c r="AJ4387" s="183"/>
      <c r="AK4387" s="183"/>
      <c r="AL4387" s="183"/>
      <c r="AM4387" s="183"/>
      <c r="AN4387" s="131"/>
      <c r="AO4387" s="131"/>
      <c r="AP4387" s="131"/>
      <c r="AQ4387" s="131"/>
      <c r="AR4387" s="288"/>
      <c r="AS4387" s="259"/>
      <c r="AT4387" s="189" t="s">
        <v>5325</v>
      </c>
      <c r="AU4387" s="208" t="s">
        <v>5041</v>
      </c>
      <c r="AV4387" s="6" t="str">
        <f t="shared" si="106"/>
        <v>OK</v>
      </c>
    </row>
    <row r="4388" spans="1:48" ht="24.4" thickBot="1" x14ac:dyDescent="0.5">
      <c r="A4388" s="163" t="s">
        <v>4480</v>
      </c>
      <c r="B4388" s="159" t="s">
        <v>4317</v>
      </c>
      <c r="C4388" s="160"/>
      <c r="D4388" s="160"/>
      <c r="E4388" s="161"/>
      <c r="F4388" s="161"/>
      <c r="G4388" s="160"/>
      <c r="H4388" s="160"/>
      <c r="Q4388" s="8" t="s">
        <v>3444</v>
      </c>
      <c r="R4388" s="122" t="s">
        <v>3435</v>
      </c>
      <c r="S4388" s="114" t="s">
        <v>4</v>
      </c>
      <c r="T4388" s="114" t="s">
        <v>4319</v>
      </c>
      <c r="U4388" s="114" t="s">
        <v>3521</v>
      </c>
      <c r="V4388" s="114" t="s">
        <v>3530</v>
      </c>
      <c r="W4388" s="114" t="s">
        <v>3436</v>
      </c>
      <c r="X4388" s="114" t="s">
        <v>13</v>
      </c>
      <c r="Y4388" s="149"/>
      <c r="Z4388" s="183"/>
      <c r="AA4388" s="183" t="s">
        <v>2652</v>
      </c>
      <c r="AB4388" s="183" t="s">
        <v>758</v>
      </c>
      <c r="AC4388" s="183" t="s">
        <v>4346</v>
      </c>
      <c r="AD4388" s="183"/>
      <c r="AE4388" s="184"/>
      <c r="AF4388" s="184"/>
      <c r="AG4388" s="183"/>
      <c r="AH4388" s="183"/>
      <c r="AI4388" s="183"/>
      <c r="AJ4388" s="183"/>
      <c r="AK4388" s="183"/>
      <c r="AL4388" s="183"/>
      <c r="AM4388" s="183"/>
      <c r="AN4388" s="131"/>
      <c r="AO4388" s="131"/>
      <c r="AP4388" s="131"/>
      <c r="AQ4388" s="131"/>
      <c r="AR4388" s="288"/>
      <c r="AS4388" s="259"/>
      <c r="AT4388" s="189" t="s">
        <v>5325</v>
      </c>
      <c r="AU4388" s="208" t="s">
        <v>5041</v>
      </c>
      <c r="AV4388" s="6" t="str">
        <f t="shared" si="106"/>
        <v>OK</v>
      </c>
    </row>
    <row r="4389" spans="1:48" ht="24.4" thickBot="1" x14ac:dyDescent="0.5">
      <c r="A4389" s="163" t="s">
        <v>4481</v>
      </c>
      <c r="B4389" s="159" t="s">
        <v>4318</v>
      </c>
      <c r="C4389" s="160"/>
      <c r="D4389" s="160"/>
      <c r="E4389" s="161"/>
      <c r="F4389" s="161"/>
      <c r="G4389" s="160"/>
      <c r="H4389" s="160"/>
      <c r="Q4389" s="8" t="s">
        <v>3444</v>
      </c>
      <c r="R4389" s="122" t="s">
        <v>3435</v>
      </c>
      <c r="S4389" s="114" t="s">
        <v>4</v>
      </c>
      <c r="T4389" s="114" t="s">
        <v>4320</v>
      </c>
      <c r="U4389" s="114" t="s">
        <v>3521</v>
      </c>
      <c r="V4389" s="114" t="s">
        <v>3530</v>
      </c>
      <c r="W4389" s="114" t="s">
        <v>3436</v>
      </c>
      <c r="X4389" s="114" t="s">
        <v>13</v>
      </c>
      <c r="Y4389" s="149"/>
      <c r="Z4389" s="183"/>
      <c r="AA4389" s="183" t="s">
        <v>2652</v>
      </c>
      <c r="AB4389" s="183" t="s">
        <v>758</v>
      </c>
      <c r="AC4389" s="183" t="s">
        <v>4346</v>
      </c>
      <c r="AD4389" s="183"/>
      <c r="AE4389" s="184"/>
      <c r="AF4389" s="184"/>
      <c r="AG4389" s="183"/>
      <c r="AH4389" s="183"/>
      <c r="AI4389" s="183"/>
      <c r="AJ4389" s="183"/>
      <c r="AK4389" s="183"/>
      <c r="AL4389" s="183"/>
      <c r="AM4389" s="183"/>
      <c r="AN4389" s="131"/>
      <c r="AO4389" s="131"/>
      <c r="AP4389" s="131"/>
      <c r="AQ4389" s="131"/>
      <c r="AR4389" s="288"/>
      <c r="AS4389" s="259"/>
      <c r="AT4389" s="189" t="s">
        <v>5325</v>
      </c>
      <c r="AU4389" s="208" t="s">
        <v>5041</v>
      </c>
      <c r="AV4389" s="6" t="str">
        <f t="shared" si="106"/>
        <v>OK</v>
      </c>
    </row>
    <row r="4390" spans="1:48" ht="24.4" thickBot="1" x14ac:dyDescent="0.5">
      <c r="A4390" s="163" t="s">
        <v>4482</v>
      </c>
      <c r="B4390" s="159" t="s">
        <v>3751</v>
      </c>
      <c r="C4390" s="160"/>
      <c r="D4390" s="160"/>
      <c r="E4390" s="161"/>
      <c r="F4390" s="161"/>
      <c r="G4390" s="160"/>
      <c r="H4390" s="160"/>
      <c r="Q4390" s="8" t="s">
        <v>3444</v>
      </c>
      <c r="R4390" s="122" t="s">
        <v>3435</v>
      </c>
      <c r="S4390" s="114" t="s">
        <v>3443</v>
      </c>
      <c r="T4390" s="114" t="s">
        <v>3512</v>
      </c>
      <c r="U4390" s="114" t="s">
        <v>3522</v>
      </c>
      <c r="V4390" s="114" t="s">
        <v>3531</v>
      </c>
      <c r="W4390" s="114" t="s">
        <v>3436</v>
      </c>
      <c r="X4390" s="114" t="s">
        <v>13</v>
      </c>
      <c r="Y4390" s="149"/>
      <c r="Z4390" s="183"/>
      <c r="AA4390" s="183" t="s">
        <v>2652</v>
      </c>
      <c r="AB4390" s="183" t="s">
        <v>4344</v>
      </c>
      <c r="AC4390" s="183" t="s">
        <v>6</v>
      </c>
      <c r="AD4390" s="183"/>
      <c r="AE4390" s="184"/>
      <c r="AF4390" s="184"/>
      <c r="AG4390" s="183"/>
      <c r="AH4390" s="183"/>
      <c r="AI4390" s="183"/>
      <c r="AJ4390" s="183"/>
      <c r="AK4390" s="183"/>
      <c r="AL4390" s="183"/>
      <c r="AM4390" s="183"/>
      <c r="AN4390" s="131"/>
      <c r="AO4390" s="131"/>
      <c r="AP4390" s="131"/>
      <c r="AQ4390" s="131"/>
      <c r="AR4390" s="288"/>
      <c r="AS4390" s="259"/>
      <c r="AT4390" s="189" t="s">
        <v>5325</v>
      </c>
      <c r="AU4390" s="208" t="s">
        <v>5041</v>
      </c>
      <c r="AV4390" s="6" t="str">
        <f t="shared" si="106"/>
        <v>OK</v>
      </c>
    </row>
    <row r="4391" spans="1:48" ht="24.4" thickBot="1" x14ac:dyDescent="0.5">
      <c r="A4391" s="163" t="s">
        <v>4483</v>
      </c>
      <c r="B4391" s="159" t="s">
        <v>3750</v>
      </c>
      <c r="C4391" s="160"/>
      <c r="D4391" s="160"/>
      <c r="E4391" s="161"/>
      <c r="F4391" s="161"/>
      <c r="G4391" s="160"/>
      <c r="H4391" s="160"/>
      <c r="Q4391" s="8" t="s">
        <v>3444</v>
      </c>
      <c r="R4391" s="122" t="s">
        <v>3435</v>
      </c>
      <c r="S4391" s="114" t="s">
        <v>3443</v>
      </c>
      <c r="T4391" s="114" t="s">
        <v>3513</v>
      </c>
      <c r="U4391" s="114" t="s">
        <v>3522</v>
      </c>
      <c r="V4391" s="114" t="s">
        <v>3531</v>
      </c>
      <c r="W4391" s="114" t="s">
        <v>3436</v>
      </c>
      <c r="X4391" s="114" t="s">
        <v>13</v>
      </c>
      <c r="Y4391" s="149"/>
      <c r="Z4391" s="183"/>
      <c r="AA4391" s="183" t="s">
        <v>2652</v>
      </c>
      <c r="AB4391" s="183" t="s">
        <v>4344</v>
      </c>
      <c r="AC4391" s="183" t="s">
        <v>6</v>
      </c>
      <c r="AD4391" s="183"/>
      <c r="AE4391" s="184"/>
      <c r="AF4391" s="184"/>
      <c r="AG4391" s="183"/>
      <c r="AH4391" s="183"/>
      <c r="AI4391" s="183"/>
      <c r="AJ4391" s="183"/>
      <c r="AK4391" s="183"/>
      <c r="AL4391" s="183"/>
      <c r="AM4391" s="183"/>
      <c r="AN4391" s="131"/>
      <c r="AO4391" s="131"/>
      <c r="AP4391" s="131"/>
      <c r="AQ4391" s="131"/>
      <c r="AR4391" s="288"/>
      <c r="AS4391" s="259"/>
      <c r="AT4391" s="189" t="s">
        <v>5325</v>
      </c>
      <c r="AU4391" s="208" t="s">
        <v>5041</v>
      </c>
      <c r="AV4391" s="6" t="str">
        <f t="shared" si="106"/>
        <v>OK</v>
      </c>
    </row>
    <row r="4392" spans="1:48" ht="23.65" thickBot="1" x14ac:dyDescent="0.5">
      <c r="A4392" s="182" t="s">
        <v>753</v>
      </c>
      <c r="B4392" s="165" t="s">
        <v>60</v>
      </c>
      <c r="C4392" s="166"/>
      <c r="D4392" s="166"/>
      <c r="E4392" s="166"/>
      <c r="F4392" s="166"/>
      <c r="G4392" s="166"/>
      <c r="H4392" s="166"/>
      <c r="AT4392" s="189" t="s">
        <v>5325</v>
      </c>
      <c r="AU4392" s="208" t="s">
        <v>5041</v>
      </c>
      <c r="AV4392" s="6" t="str">
        <f t="shared" ref="AV4392:AV4469" si="108">IF(A4392&lt;&gt;"",IF(T4392&lt;&gt;"",IF(LEFT(R4392,3)="Has",IF(TRIM(A4392)&lt;&gt;T4392,"ERROR","OK"),""),""),"")</f>
        <v/>
      </c>
    </row>
    <row r="4393" spans="1:48" x14ac:dyDescent="0.45">
      <c r="A4393" s="33" t="s">
        <v>4492</v>
      </c>
      <c r="AU4393" s="208" t="s">
        <v>5041</v>
      </c>
      <c r="AV4393" s="6" t="str">
        <f t="shared" si="108"/>
        <v/>
      </c>
    </row>
    <row r="4394" spans="1:48" ht="29.55" customHeight="1" thickBot="1" x14ac:dyDescent="0.5">
      <c r="A4394" s="367" t="s">
        <v>5920</v>
      </c>
      <c r="B4394" s="368"/>
      <c r="C4394" s="368"/>
      <c r="D4394" s="368"/>
      <c r="E4394" s="368"/>
      <c r="F4394" s="368"/>
      <c r="G4394" s="368"/>
      <c r="H4394" s="368"/>
      <c r="I4394" s="45"/>
      <c r="AU4394" s="208" t="s">
        <v>5041</v>
      </c>
      <c r="AV4394" s="6" t="str">
        <f t="shared" si="108"/>
        <v/>
      </c>
    </row>
    <row r="4395" spans="1:48" s="79" customFormat="1" ht="58.5" thickTop="1" x14ac:dyDescent="0.45">
      <c r="A4395" s="75"/>
      <c r="B4395" s="76"/>
      <c r="C4395" s="77"/>
      <c r="D4395" s="77"/>
      <c r="E4395" s="77"/>
      <c r="F4395" s="77"/>
      <c r="G4395" s="77"/>
      <c r="H4395" s="77"/>
      <c r="I4395" s="77"/>
      <c r="J4395" s="77"/>
      <c r="K4395" s="77"/>
      <c r="L4395" s="77"/>
      <c r="M4395" s="148"/>
      <c r="N4395" s="78"/>
      <c r="O4395" s="78"/>
      <c r="P4395" s="78"/>
      <c r="Q4395" s="78"/>
      <c r="R4395" s="78"/>
      <c r="S4395" s="78"/>
      <c r="T4395" s="78"/>
      <c r="U4395" s="78"/>
      <c r="V4395" s="78"/>
      <c r="W4395" s="78"/>
      <c r="X4395" s="78"/>
      <c r="Y4395" s="148"/>
      <c r="Z4395" s="78"/>
      <c r="AA4395" s="78"/>
      <c r="AB4395" s="78"/>
      <c r="AC4395" s="78"/>
      <c r="AD4395" s="78"/>
      <c r="AE4395" s="156"/>
      <c r="AF4395" s="156"/>
      <c r="AG4395" s="78"/>
      <c r="AH4395" s="78"/>
      <c r="AI4395" s="78"/>
      <c r="AJ4395" s="78"/>
      <c r="AK4395" s="78"/>
      <c r="AL4395" s="78"/>
      <c r="AM4395" s="78"/>
      <c r="AN4395" s="78"/>
      <c r="AO4395" s="78"/>
      <c r="AP4395" s="78"/>
      <c r="AQ4395" s="78"/>
      <c r="AR4395" s="286"/>
      <c r="AS4395" s="78"/>
      <c r="AT4395" s="237" t="s">
        <v>5311</v>
      </c>
      <c r="AU4395" s="8"/>
      <c r="AV4395" s="6" t="str">
        <f t="shared" si="108"/>
        <v/>
      </c>
    </row>
    <row r="4396" spans="1:48" ht="46.5" x14ac:dyDescent="0.45">
      <c r="A4396" s="27" t="s">
        <v>4683</v>
      </c>
      <c r="L4396" s="18" t="s">
        <v>2335</v>
      </c>
      <c r="AT4396" s="237" t="s">
        <v>5326</v>
      </c>
      <c r="AU4396" s="202" t="s">
        <v>5039</v>
      </c>
      <c r="AV4396" s="6" t="str">
        <f t="shared" ref="AV4396:AV4432" si="109">IF(A4396&lt;&gt;"",IF(T4396&lt;&gt;"",IF(LEFT(R4396,3)="Has",IF(TRIM(A4396)&lt;&gt;T4396,"ERROR","OK"),""),""),"")</f>
        <v/>
      </c>
    </row>
    <row r="4397" spans="1:48" ht="46.9" thickBot="1" x14ac:dyDescent="0.5">
      <c r="A4397" s="346" t="s">
        <v>4718</v>
      </c>
      <c r="B4397" s="324"/>
      <c r="C4397" s="324"/>
      <c r="D4397" s="324"/>
      <c r="E4397" s="324"/>
      <c r="F4397" s="324"/>
      <c r="G4397" s="101"/>
      <c r="H4397" s="101"/>
      <c r="L4397" s="18" t="s">
        <v>2335</v>
      </c>
      <c r="Z4397" s="183" t="s">
        <v>4347</v>
      </c>
      <c r="AA4397" s="183" t="s">
        <v>2322</v>
      </c>
      <c r="AB4397" s="183" t="s">
        <v>1697</v>
      </c>
      <c r="AC4397" s="183" t="s">
        <v>5</v>
      </c>
      <c r="AD4397" s="183" t="s">
        <v>4339</v>
      </c>
      <c r="AE4397" s="184" t="s">
        <v>4338</v>
      </c>
      <c r="AF4397" s="184" t="s">
        <v>4350</v>
      </c>
      <c r="AG4397" s="183" t="s">
        <v>1695</v>
      </c>
      <c r="AH4397" s="183" t="s">
        <v>4351</v>
      </c>
      <c r="AI4397" s="8" t="s">
        <v>4455</v>
      </c>
      <c r="AJ4397" s="183" t="s">
        <v>5051</v>
      </c>
      <c r="AT4397" s="237" t="s">
        <v>5326</v>
      </c>
      <c r="AU4397" s="202" t="s">
        <v>5039</v>
      </c>
      <c r="AV4397" s="6" t="str">
        <f t="shared" si="109"/>
        <v/>
      </c>
    </row>
    <row r="4398" spans="1:48" ht="384" thickBot="1" x14ac:dyDescent="0.5">
      <c r="A4398" s="309" t="s">
        <v>4684</v>
      </c>
      <c r="B4398" s="310"/>
      <c r="C4398" s="301" t="s">
        <v>1</v>
      </c>
      <c r="D4398" s="319"/>
      <c r="E4398" s="319"/>
      <c r="F4398" s="302"/>
      <c r="G4398" s="102"/>
      <c r="H4398" s="102"/>
      <c r="L4398" s="18" t="s">
        <v>2335</v>
      </c>
      <c r="Z4398" s="183"/>
      <c r="AA4398" s="183" t="str">
        <f>LEFT($A4398,FIND(" ",$A4398)-1)</f>
        <v>DCNOpasIOSubsystemCollection</v>
      </c>
      <c r="AB4398" s="183" t="str">
        <f>MID($A4398,FIND("(",$A4398)+1,LEN($A4398)-FIND("(",$A4398)-1)</f>
        <v>1.0.0</v>
      </c>
      <c r="AC4398" s="101" t="str">
        <f>A4397</f>
        <v>A DCNOpasIOSubsystemCollection is a collection of DCN O-PAS I/O Subsystem Resources running on a node.
This resource contains minimal detail in this version and will be defined in further detail in O-PAS Version 3.0 For additional detail on Proprietary System and DCN Physical Topology, see O-PAS Part 7 – Physical Platform.
Additional properties and attributes will be added to this resource in O-PAS Version 3.</v>
      </c>
      <c r="AD4398" s="101" t="s">
        <v>4757</v>
      </c>
      <c r="AE4398" s="253" t="s">
        <v>5921</v>
      </c>
      <c r="AF4398" s="184" t="s">
        <v>4352</v>
      </c>
      <c r="AG4398" s="183" t="s">
        <v>4352</v>
      </c>
      <c r="AH4398" s="183" t="s">
        <v>4352</v>
      </c>
      <c r="AI4398" s="183" t="s">
        <v>5248</v>
      </c>
      <c r="AT4398" s="237" t="s">
        <v>5333</v>
      </c>
      <c r="AU4398" s="202" t="s">
        <v>5923</v>
      </c>
      <c r="AV4398" s="6" t="str">
        <f t="shared" si="109"/>
        <v/>
      </c>
    </row>
    <row r="4399" spans="1:48" ht="46.9" thickBot="1" x14ac:dyDescent="0.5">
      <c r="A4399" s="311"/>
      <c r="B4399" s="312"/>
      <c r="C4399" s="301" t="s">
        <v>2</v>
      </c>
      <c r="D4399" s="302"/>
      <c r="E4399" s="301" t="s">
        <v>3</v>
      </c>
      <c r="F4399" s="302"/>
      <c r="G4399" s="301" t="s">
        <v>2896</v>
      </c>
      <c r="H4399" s="302"/>
      <c r="L4399" s="18" t="s">
        <v>2335</v>
      </c>
      <c r="AT4399" s="237" t="s">
        <v>5326</v>
      </c>
      <c r="AU4399" s="6"/>
      <c r="AV4399" s="6" t="str">
        <f t="shared" si="109"/>
        <v/>
      </c>
    </row>
    <row r="4400" spans="1:48" ht="46.9" thickBot="1" x14ac:dyDescent="0.5">
      <c r="A4400" s="46" t="s">
        <v>2377</v>
      </c>
      <c r="B4400" s="47"/>
      <c r="C4400" s="303"/>
      <c r="D4400" s="304"/>
      <c r="E4400" s="303"/>
      <c r="F4400" s="304"/>
      <c r="G4400" s="303"/>
      <c r="H4400" s="304"/>
      <c r="AT4400" s="237" t="s">
        <v>5326</v>
      </c>
      <c r="AU4400" s="6"/>
      <c r="AV4400" s="6" t="str">
        <f t="shared" si="109"/>
        <v/>
      </c>
    </row>
    <row r="4401" spans="1:48" ht="46.9" thickBot="1" x14ac:dyDescent="0.5">
      <c r="A4401" s="30" t="s">
        <v>4</v>
      </c>
      <c r="B4401" s="59" t="s">
        <v>5</v>
      </c>
      <c r="C4401" s="7" t="s">
        <v>6</v>
      </c>
      <c r="D4401" s="7" t="s">
        <v>7</v>
      </c>
      <c r="E4401" s="7" t="s">
        <v>6</v>
      </c>
      <c r="F4401" s="7" t="s">
        <v>7</v>
      </c>
      <c r="G4401" s="7" t="s">
        <v>6</v>
      </c>
      <c r="H4401" s="7" t="s">
        <v>7</v>
      </c>
      <c r="L4401" s="18" t="s">
        <v>2335</v>
      </c>
      <c r="Z4401" s="183" t="s">
        <v>4347</v>
      </c>
      <c r="AA4401" s="183" t="s">
        <v>4343</v>
      </c>
      <c r="AB4401" s="183" t="s">
        <v>4172</v>
      </c>
      <c r="AC4401" s="183" t="s">
        <v>4340</v>
      </c>
      <c r="AD4401" s="183" t="s">
        <v>4339</v>
      </c>
      <c r="AE4401" s="184" t="s">
        <v>4341</v>
      </c>
      <c r="AF4401" s="184" t="s">
        <v>4342</v>
      </c>
      <c r="AG4401" s="183" t="s">
        <v>4353</v>
      </c>
      <c r="AH4401" s="183" t="s">
        <v>3429</v>
      </c>
      <c r="AI4401" s="183" t="s">
        <v>4356</v>
      </c>
      <c r="AJ4401" s="183" t="s">
        <v>4364</v>
      </c>
      <c r="AT4401" s="237" t="s">
        <v>5326</v>
      </c>
      <c r="AU4401" s="6"/>
      <c r="AV4401" s="6" t="str">
        <f t="shared" si="109"/>
        <v/>
      </c>
    </row>
    <row r="4402" spans="1:48" ht="116.65" thickBot="1" x14ac:dyDescent="0.5">
      <c r="A4402" s="36" t="s">
        <v>2792</v>
      </c>
      <c r="B4402" s="3" t="s">
        <v>4695</v>
      </c>
      <c r="C4402" s="4"/>
      <c r="D4402" s="4"/>
      <c r="E4402" s="4"/>
      <c r="F4402" s="4"/>
      <c r="G4402" s="4" t="s">
        <v>10</v>
      </c>
      <c r="H4402" s="4"/>
      <c r="AB4402" s="8" t="s">
        <v>4354</v>
      </c>
      <c r="AC4402" s="183" t="s">
        <v>6</v>
      </c>
      <c r="AD4402" s="183" t="s">
        <v>5292</v>
      </c>
      <c r="AE4402" s="184"/>
      <c r="AF4402" s="184"/>
      <c r="AG4402" s="183" t="s">
        <v>4355</v>
      </c>
      <c r="AH4402" s="183" t="s">
        <v>5267</v>
      </c>
      <c r="AI4402" s="183" t="s">
        <v>4357</v>
      </c>
      <c r="AT4402" s="237" t="s">
        <v>5334</v>
      </c>
      <c r="AU4402" s="140" t="s">
        <v>5291</v>
      </c>
      <c r="AV4402" s="6" t="str">
        <f t="shared" si="109"/>
        <v/>
      </c>
    </row>
    <row r="4403" spans="1:48" ht="46.9" thickBot="1" x14ac:dyDescent="0.5">
      <c r="A4403" s="35" t="s">
        <v>33</v>
      </c>
      <c r="B4403" s="3" t="s">
        <v>4696</v>
      </c>
      <c r="C4403" s="4"/>
      <c r="D4403" s="4"/>
      <c r="E4403" s="4"/>
      <c r="F4403" s="4"/>
      <c r="G4403" s="4"/>
      <c r="H4403" s="4"/>
      <c r="L4403" s="18" t="s">
        <v>2335</v>
      </c>
      <c r="AT4403" s="237" t="s">
        <v>5326</v>
      </c>
      <c r="AU4403" s="6"/>
      <c r="AV4403" s="6" t="str">
        <f t="shared" si="109"/>
        <v/>
      </c>
    </row>
    <row r="4404" spans="1:48" ht="46.5" x14ac:dyDescent="0.45">
      <c r="A4404" s="33" t="s">
        <v>4685</v>
      </c>
      <c r="L4404" s="18" t="s">
        <v>2335</v>
      </c>
      <c r="AT4404" s="237" t="s">
        <v>5326</v>
      </c>
      <c r="AU4404" s="6"/>
      <c r="AV4404" s="6" t="str">
        <f t="shared" si="109"/>
        <v/>
      </c>
    </row>
    <row r="4405" spans="1:48" ht="69.75" x14ac:dyDescent="0.45">
      <c r="A4405" s="34" t="s">
        <v>5921</v>
      </c>
      <c r="L4405" s="18" t="s">
        <v>2335</v>
      </c>
      <c r="AT4405" s="237" t="s">
        <v>5326</v>
      </c>
      <c r="AU4405" s="140" t="s">
        <v>5922</v>
      </c>
      <c r="AV4405" s="6" t="str">
        <f t="shared" si="109"/>
        <v/>
      </c>
    </row>
    <row r="4406" spans="1:48" s="79" customFormat="1" ht="14.65" thickBot="1" x14ac:dyDescent="0.5">
      <c r="A4406" s="75"/>
      <c r="B4406" s="76"/>
      <c r="C4406" s="77"/>
      <c r="D4406" s="77"/>
      <c r="E4406" s="77"/>
      <c r="F4406" s="77"/>
      <c r="G4406" s="77"/>
      <c r="H4406" s="77"/>
      <c r="I4406" s="77"/>
      <c r="J4406" s="77"/>
      <c r="K4406" s="77"/>
      <c r="L4406" s="77"/>
      <c r="M4406" s="148"/>
      <c r="N4406" s="78"/>
      <c r="O4406" s="78"/>
      <c r="P4406" s="78"/>
      <c r="Q4406" s="78"/>
      <c r="R4406" s="78"/>
      <c r="S4406" s="78"/>
      <c r="T4406" s="78"/>
      <c r="U4406" s="78"/>
      <c r="V4406" s="78"/>
      <c r="W4406" s="78"/>
      <c r="X4406" s="78"/>
      <c r="Y4406" s="148"/>
      <c r="Z4406" s="78"/>
      <c r="AA4406" s="78"/>
      <c r="AB4406" s="78"/>
      <c r="AC4406" s="78"/>
      <c r="AD4406" s="78"/>
      <c r="AE4406" s="156"/>
      <c r="AF4406" s="156"/>
      <c r="AG4406" s="78"/>
      <c r="AH4406" s="78"/>
      <c r="AI4406" s="78"/>
      <c r="AJ4406" s="78"/>
      <c r="AK4406" s="78"/>
      <c r="AL4406" s="78"/>
      <c r="AM4406" s="78"/>
      <c r="AN4406" s="78"/>
      <c r="AO4406" s="78"/>
      <c r="AP4406" s="78"/>
      <c r="AQ4406" s="78"/>
      <c r="AR4406" s="286"/>
      <c r="AS4406" s="78"/>
      <c r="AT4406" s="78"/>
      <c r="AU4406" s="8"/>
      <c r="AV4406" s="6" t="str">
        <f t="shared" si="109"/>
        <v/>
      </c>
    </row>
    <row r="4407" spans="1:48" ht="46.9" thickBot="1" x14ac:dyDescent="0.5">
      <c r="A4407" s="39" t="s">
        <v>4686</v>
      </c>
      <c r="R4407" s="111" t="s">
        <v>3426</v>
      </c>
      <c r="S4407" s="349" t="s">
        <v>823</v>
      </c>
      <c r="T4407" s="350"/>
      <c r="U4407" s="350"/>
      <c r="V4407" s="350"/>
      <c r="W4407" s="350"/>
      <c r="X4407" s="355"/>
      <c r="Y4407" s="118"/>
      <c r="Z4407" s="185"/>
      <c r="AA4407" s="185"/>
      <c r="AB4407" s="185"/>
      <c r="AC4407" s="185"/>
      <c r="AD4407" s="185"/>
      <c r="AE4407" s="186"/>
      <c r="AF4407" s="186"/>
      <c r="AG4407" s="185"/>
      <c r="AH4407" s="185"/>
      <c r="AI4407" s="185"/>
      <c r="AJ4407" s="185"/>
      <c r="AK4407" s="185"/>
      <c r="AL4407" s="185"/>
      <c r="AM4407" s="185"/>
      <c r="AN4407" s="117"/>
      <c r="AO4407" s="117"/>
      <c r="AP4407" s="117"/>
      <c r="AQ4407" s="117"/>
      <c r="AR4407" s="287"/>
      <c r="AS4407" s="258"/>
      <c r="AT4407" s="237" t="s">
        <v>5326</v>
      </c>
      <c r="AU4407" s="202" t="s">
        <v>5039</v>
      </c>
      <c r="AV4407" s="6" t="str">
        <f t="shared" si="109"/>
        <v/>
      </c>
    </row>
    <row r="4408" spans="1:48" ht="116.65" thickBot="1" x14ac:dyDescent="0.5">
      <c r="A4408" s="110" t="s">
        <v>4720</v>
      </c>
      <c r="R4408" s="122" t="s">
        <v>3427</v>
      </c>
      <c r="S4408" s="352" t="s">
        <v>4687</v>
      </c>
      <c r="T4408" s="353"/>
      <c r="U4408" s="353"/>
      <c r="V4408" s="353"/>
      <c r="W4408" s="353"/>
      <c r="X4408" s="356"/>
      <c r="Y4408" s="149"/>
      <c r="Z4408" s="183" t="s">
        <v>4347</v>
      </c>
      <c r="AA4408" s="183" t="s">
        <v>2322</v>
      </c>
      <c r="AB4408" s="183" t="s">
        <v>1697</v>
      </c>
      <c r="AC4408" s="183" t="s">
        <v>5</v>
      </c>
      <c r="AD4408" s="183" t="s">
        <v>4339</v>
      </c>
      <c r="AE4408" s="184" t="s">
        <v>4338</v>
      </c>
      <c r="AF4408" s="184" t="s">
        <v>4350</v>
      </c>
      <c r="AG4408" s="183" t="s">
        <v>1695</v>
      </c>
      <c r="AH4408" s="183" t="s">
        <v>4351</v>
      </c>
      <c r="AI4408" s="8" t="s">
        <v>4455</v>
      </c>
      <c r="AJ4408" s="183" t="s">
        <v>5051</v>
      </c>
      <c r="AK4408" s="183"/>
      <c r="AL4408" s="183"/>
      <c r="AM4408" s="183"/>
      <c r="AN4408" s="131"/>
      <c r="AO4408" s="131"/>
      <c r="AP4408" s="131"/>
      <c r="AQ4408" s="131"/>
      <c r="AR4408" s="288"/>
      <c r="AS4408" s="259"/>
      <c r="AT4408" s="237" t="s">
        <v>5326</v>
      </c>
      <c r="AU4408" s="202" t="s">
        <v>5039</v>
      </c>
      <c r="AV4408" s="6" t="str">
        <f t="shared" si="109"/>
        <v/>
      </c>
    </row>
    <row r="4409" spans="1:48" ht="256.14999999999998" thickBot="1" x14ac:dyDescent="0.5">
      <c r="A4409" s="321" t="s">
        <v>4688</v>
      </c>
      <c r="B4409" s="322"/>
      <c r="C4409" s="314" t="s">
        <v>1</v>
      </c>
      <c r="D4409" s="314"/>
      <c r="E4409" s="314"/>
      <c r="F4409" s="314"/>
      <c r="G4409" s="102"/>
      <c r="H4409" s="102"/>
      <c r="R4409" s="122" t="s">
        <v>3428</v>
      </c>
      <c r="S4409" s="352" t="b">
        <v>0</v>
      </c>
      <c r="T4409" s="353"/>
      <c r="U4409" s="353"/>
      <c r="V4409" s="353"/>
      <c r="W4409" s="353"/>
      <c r="X4409" s="356"/>
      <c r="Y4409" s="149"/>
      <c r="Z4409" s="183"/>
      <c r="AA4409" s="183" t="str">
        <f>LEFT($A4409,FIND(" ",$A4409)-1)</f>
        <v>DCNOpasIOSubsystem</v>
      </c>
      <c r="AB4409" s="183" t="str">
        <f>MID($A4409,FIND("(",$A4409)+1,LEN($A4409)-FIND("(",$A4409)-1)</f>
        <v>1.0.0</v>
      </c>
      <c r="AC4409" s="101" t="str">
        <f>A4408</f>
        <v>Resource to describe a southbound O-PAS I/O Subsystem connected to an O-PAS DCN.
For additional detail on O-PAS I/O Subsystems and DCN Physical Topology, see O-PAS Part 7 – Physical Platform.
Additional properties and attributes will be added to this resource in O-PAS Version 3.</v>
      </c>
      <c r="AD4409" s="101" t="s">
        <v>4756</v>
      </c>
      <c r="AE4409" s="254" t="s">
        <v>5924</v>
      </c>
      <c r="AF4409" s="184" t="s">
        <v>4352</v>
      </c>
      <c r="AG4409" s="183" t="s">
        <v>4357</v>
      </c>
      <c r="AH4409" s="183" t="s">
        <v>4352</v>
      </c>
      <c r="AI4409" s="183" t="s">
        <v>5248</v>
      </c>
      <c r="AJ4409" s="183"/>
      <c r="AK4409" s="183"/>
      <c r="AL4409" s="183"/>
      <c r="AM4409" s="183"/>
      <c r="AN4409" s="131"/>
      <c r="AO4409" s="131"/>
      <c r="AP4409" s="131"/>
      <c r="AQ4409" s="131"/>
      <c r="AR4409" s="288"/>
      <c r="AS4409" s="259"/>
      <c r="AT4409" s="237" t="s">
        <v>5335</v>
      </c>
      <c r="AU4409" s="202" t="s">
        <v>5923</v>
      </c>
      <c r="AV4409" s="6" t="str">
        <f t="shared" si="109"/>
        <v/>
      </c>
    </row>
    <row r="4410" spans="1:48" ht="46.9" thickBot="1" x14ac:dyDescent="0.5">
      <c r="A4410" s="321"/>
      <c r="B4410" s="322"/>
      <c r="C4410" s="314" t="s">
        <v>2</v>
      </c>
      <c r="D4410" s="314"/>
      <c r="E4410" s="314" t="s">
        <v>3</v>
      </c>
      <c r="F4410" s="314"/>
      <c r="G4410" s="314" t="s">
        <v>2896</v>
      </c>
      <c r="H4410" s="314"/>
      <c r="R4410" s="115"/>
      <c r="S4410" s="115"/>
      <c r="T4410" s="115"/>
      <c r="U4410" s="115"/>
      <c r="V4410" s="115"/>
      <c r="W4410" s="115"/>
      <c r="X4410" s="115"/>
      <c r="Y4410" s="149"/>
      <c r="Z4410" s="183"/>
      <c r="AA4410" s="183"/>
      <c r="AB4410" s="183"/>
      <c r="AC4410" s="183"/>
      <c r="AD4410" s="183"/>
      <c r="AE4410" s="184"/>
      <c r="AF4410" s="184"/>
      <c r="AG4410" s="183"/>
      <c r="AH4410" s="183"/>
      <c r="AI4410" s="183"/>
      <c r="AJ4410" s="183"/>
      <c r="AK4410" s="183"/>
      <c r="AL4410" s="183"/>
      <c r="AM4410" s="8" t="str">
        <f>C4410</f>
        <v>OSM-Redfish</v>
      </c>
      <c r="AN4410" s="8" t="str">
        <f>E4410</f>
        <v>OSM-RedfishBMC</v>
      </c>
      <c r="AO4410" s="8" t="str">
        <f>G4410</f>
        <v>OSM-RedfishDCN</v>
      </c>
      <c r="AP4410" s="131"/>
      <c r="AQ4410" s="131"/>
      <c r="AR4410" s="288"/>
      <c r="AS4410" s="259"/>
      <c r="AT4410" s="237" t="s">
        <v>5326</v>
      </c>
      <c r="AV4410" s="6" t="str">
        <f t="shared" si="109"/>
        <v/>
      </c>
    </row>
    <row r="4411" spans="1:48" ht="46.9" thickBot="1" x14ac:dyDescent="0.5">
      <c r="A4411" s="46" t="s">
        <v>2377</v>
      </c>
      <c r="B4411" s="47"/>
      <c r="C4411" s="303"/>
      <c r="D4411" s="304"/>
      <c r="E4411" s="303"/>
      <c r="F4411" s="304"/>
      <c r="G4411" s="303"/>
      <c r="H4411" s="304"/>
      <c r="R4411" s="129"/>
      <c r="S4411" s="117"/>
      <c r="T4411" s="117"/>
      <c r="U4411" s="117"/>
      <c r="V4411" s="117"/>
      <c r="W4411" s="117"/>
      <c r="X4411" s="216"/>
      <c r="Y4411" s="118"/>
      <c r="Z4411" s="185"/>
      <c r="AA4411" s="185"/>
      <c r="AB4411" s="185"/>
      <c r="AC4411" s="185"/>
      <c r="AD4411" s="185"/>
      <c r="AE4411" s="186"/>
      <c r="AF4411" s="186"/>
      <c r="AG4411" s="185"/>
      <c r="AH4411" s="185"/>
      <c r="AI4411" s="185"/>
      <c r="AJ4411" s="185"/>
      <c r="AK4411" s="185"/>
      <c r="AL4411" s="185"/>
      <c r="AM4411" s="8" t="str">
        <f>IF(C4411&lt;&gt;"","CRQ-P5-"&amp;(AM$2+$AP4411*$AP$3),"")</f>
        <v/>
      </c>
      <c r="AN4411" s="8" t="str">
        <f>IF(E4411&lt;&gt;"","CRQ-P5-"&amp;(AN$2+$AP4411*$AP$3),"")</f>
        <v/>
      </c>
      <c r="AO4411" s="8" t="str">
        <f>IF(G4411&lt;&gt;"","CRQ-P5-"&amp;(AO$2+$AP4411*$AP$3),"")</f>
        <v/>
      </c>
      <c r="AP4411" s="117">
        <v>14</v>
      </c>
      <c r="AQ4411" s="117"/>
      <c r="AR4411" s="287"/>
      <c r="AS4411" s="258"/>
      <c r="AT4411" s="237" t="s">
        <v>5326</v>
      </c>
      <c r="AU4411" s="6"/>
      <c r="AV4411" s="6" t="str">
        <f t="shared" si="109"/>
        <v/>
      </c>
    </row>
    <row r="4412" spans="1:48" ht="46.9" thickBot="1" x14ac:dyDescent="0.5">
      <c r="A4412" s="29" t="s">
        <v>3394</v>
      </c>
      <c r="B4412" s="9"/>
      <c r="C4412" s="305"/>
      <c r="D4412" s="306"/>
      <c r="E4412" s="305"/>
      <c r="F4412" s="306"/>
      <c r="G4412" s="305"/>
      <c r="H4412" s="306"/>
      <c r="R4412" s="111" t="s">
        <v>3429</v>
      </c>
      <c r="S4412" s="111" t="s">
        <v>3430</v>
      </c>
      <c r="T4412" s="111" t="s">
        <v>3427</v>
      </c>
      <c r="U4412" s="111" t="s">
        <v>3431</v>
      </c>
      <c r="V4412" s="111" t="s">
        <v>3432</v>
      </c>
      <c r="W4412" s="111" t="s">
        <v>3433</v>
      </c>
      <c r="X4412" s="217" t="s">
        <v>3434</v>
      </c>
      <c r="Y4412" s="118" t="s">
        <v>3965</v>
      </c>
      <c r="Z4412" s="185"/>
      <c r="AA4412" s="185"/>
      <c r="AB4412" s="185"/>
      <c r="AC4412" s="185"/>
      <c r="AD4412" s="185"/>
      <c r="AE4412" s="186"/>
      <c r="AF4412" s="186"/>
      <c r="AG4412" s="185"/>
      <c r="AH4412" s="185"/>
      <c r="AI4412" s="185"/>
      <c r="AJ4412" s="185"/>
      <c r="AK4412" s="185"/>
      <c r="AL4412" s="185"/>
      <c r="AM4412" s="185"/>
      <c r="AN4412" s="117"/>
      <c r="AO4412" s="117"/>
      <c r="AP4412" s="117"/>
      <c r="AQ4412" s="117"/>
      <c r="AR4412" s="287"/>
      <c r="AS4412" s="258"/>
      <c r="AT4412" s="237" t="s">
        <v>5326</v>
      </c>
      <c r="AU4412" s="6"/>
      <c r="AV4412" s="6" t="str">
        <f t="shared" si="109"/>
        <v/>
      </c>
    </row>
    <row r="4413" spans="1:48" ht="15" customHeight="1" thickBot="1" x14ac:dyDescent="0.5">
      <c r="A4413" s="60" t="s">
        <v>4</v>
      </c>
      <c r="B4413" s="61" t="s">
        <v>5</v>
      </c>
      <c r="C4413" s="62" t="s">
        <v>6</v>
      </c>
      <c r="D4413" s="62" t="s">
        <v>7</v>
      </c>
      <c r="E4413" s="62" t="s">
        <v>6</v>
      </c>
      <c r="F4413" s="62" t="s">
        <v>7</v>
      </c>
      <c r="G4413" s="62" t="s">
        <v>6</v>
      </c>
      <c r="H4413" s="62" t="s">
        <v>7</v>
      </c>
      <c r="R4413" s="352" t="s">
        <v>4040</v>
      </c>
      <c r="S4413" s="353"/>
      <c r="T4413" s="353"/>
      <c r="U4413" s="353"/>
      <c r="V4413" s="353"/>
      <c r="W4413" s="353"/>
      <c r="X4413" s="357"/>
      <c r="Y4413" s="149"/>
      <c r="Z4413" s="183" t="s">
        <v>4347</v>
      </c>
      <c r="AA4413" s="183" t="s">
        <v>4343</v>
      </c>
      <c r="AB4413" s="183" t="s">
        <v>4172</v>
      </c>
      <c r="AC4413" s="183" t="s">
        <v>4340</v>
      </c>
      <c r="AD4413" s="183" t="s">
        <v>4339</v>
      </c>
      <c r="AE4413" s="184" t="s">
        <v>4341</v>
      </c>
      <c r="AF4413" s="184" t="s">
        <v>4342</v>
      </c>
      <c r="AG4413" s="183" t="s">
        <v>4353</v>
      </c>
      <c r="AH4413" s="183" t="s">
        <v>3429</v>
      </c>
      <c r="AI4413" s="183" t="s">
        <v>4356</v>
      </c>
      <c r="AJ4413" s="183" t="s">
        <v>4364</v>
      </c>
      <c r="AK4413" s="183"/>
      <c r="AL4413" s="183"/>
      <c r="AM4413" s="183"/>
      <c r="AN4413" s="131"/>
      <c r="AO4413" s="131"/>
      <c r="AP4413" s="131"/>
      <c r="AQ4413" s="131"/>
      <c r="AR4413" s="288"/>
      <c r="AS4413" s="259"/>
      <c r="AT4413" s="237" t="s">
        <v>5326</v>
      </c>
      <c r="AV4413" s="6" t="str">
        <f t="shared" si="109"/>
        <v/>
      </c>
    </row>
    <row r="4414" spans="1:48" ht="46.9" thickBot="1" x14ac:dyDescent="0.5">
      <c r="A4414" s="36" t="s">
        <v>8</v>
      </c>
      <c r="B4414" s="3" t="s">
        <v>4697</v>
      </c>
      <c r="C4414" s="51"/>
      <c r="D4414" s="51"/>
      <c r="E4414" s="51"/>
      <c r="F4414" s="51"/>
      <c r="G4414" s="51"/>
      <c r="H4414" s="51"/>
      <c r="AT4414" s="237" t="s">
        <v>5326</v>
      </c>
      <c r="AV4414" s="6" t="str">
        <f t="shared" si="109"/>
        <v/>
      </c>
    </row>
    <row r="4415" spans="1:48" ht="105" thickBot="1" x14ac:dyDescent="0.5">
      <c r="A4415" s="44" t="s">
        <v>4097</v>
      </c>
      <c r="B4415" s="50" t="s">
        <v>4698</v>
      </c>
      <c r="C4415" s="12"/>
      <c r="D4415" s="12"/>
      <c r="E4415" s="20"/>
      <c r="F4415" s="20"/>
      <c r="G4415" s="12" t="s">
        <v>10</v>
      </c>
      <c r="H4415" s="12"/>
      <c r="R4415" s="122" t="s">
        <v>3435</v>
      </c>
      <c r="S4415" s="114" t="s">
        <v>4</v>
      </c>
      <c r="T4415" s="114" t="s">
        <v>4689</v>
      </c>
      <c r="U4415" s="114" t="s">
        <v>3521</v>
      </c>
      <c r="V4415" s="114" t="s">
        <v>3530</v>
      </c>
      <c r="W4415" s="114" t="s">
        <v>3436</v>
      </c>
      <c r="X4415" s="114" t="s">
        <v>13</v>
      </c>
      <c r="Y4415" s="149"/>
      <c r="Z4415" s="183"/>
      <c r="AA4415" s="183"/>
      <c r="AB4415" s="183" t="s">
        <v>758</v>
      </c>
      <c r="AC4415" s="183" t="s">
        <v>4346</v>
      </c>
      <c r="AD4415" s="183" t="s">
        <v>4985</v>
      </c>
      <c r="AE4415" s="184"/>
      <c r="AF4415" s="184"/>
      <c r="AG4415" s="183"/>
      <c r="AH4415" s="183"/>
      <c r="AI4415" s="183"/>
      <c r="AJ4415" s="183"/>
      <c r="AK4415" s="183"/>
      <c r="AL4415" s="183"/>
      <c r="AM4415" s="183"/>
      <c r="AN4415" s="131"/>
      <c r="AO4415" s="131"/>
      <c r="AP4415" s="131"/>
      <c r="AQ4415" s="131"/>
      <c r="AR4415" s="288"/>
      <c r="AS4415" s="259"/>
      <c r="AT4415" s="237" t="s">
        <v>5334</v>
      </c>
      <c r="AV4415" s="6" t="str">
        <f t="shared" si="109"/>
        <v>ERROR</v>
      </c>
    </row>
    <row r="4416" spans="1:48" ht="105" thickBot="1" x14ac:dyDescent="0.5">
      <c r="A4416" s="44" t="s">
        <v>4551</v>
      </c>
      <c r="B4416" s="50" t="s">
        <v>4737</v>
      </c>
      <c r="C4416" s="12"/>
      <c r="D4416" s="12"/>
      <c r="E4416" s="20"/>
      <c r="F4416" s="20"/>
      <c r="G4416" s="12" t="s">
        <v>10</v>
      </c>
      <c r="H4416" s="12"/>
      <c r="R4416" s="122" t="s">
        <v>3435</v>
      </c>
      <c r="S4416" s="114" t="s">
        <v>4</v>
      </c>
      <c r="T4416" s="114" t="s">
        <v>4690</v>
      </c>
      <c r="U4416" s="114" t="s">
        <v>3521</v>
      </c>
      <c r="V4416" s="114" t="s">
        <v>3530</v>
      </c>
      <c r="W4416" s="114" t="s">
        <v>3436</v>
      </c>
      <c r="X4416" s="114" t="s">
        <v>13</v>
      </c>
      <c r="Y4416" s="149"/>
      <c r="Z4416" s="183"/>
      <c r="AA4416" s="183"/>
      <c r="AB4416" s="183" t="s">
        <v>758</v>
      </c>
      <c r="AC4416" s="183" t="s">
        <v>4346</v>
      </c>
      <c r="AD4416" s="183" t="s">
        <v>4986</v>
      </c>
      <c r="AE4416" s="184"/>
      <c r="AF4416" s="184"/>
      <c r="AG4416" s="183"/>
      <c r="AH4416" s="183"/>
      <c r="AI4416" s="183"/>
      <c r="AJ4416" s="183"/>
      <c r="AK4416" s="183"/>
      <c r="AL4416" s="183"/>
      <c r="AM4416" s="183"/>
      <c r="AN4416" s="131"/>
      <c r="AO4416" s="131"/>
      <c r="AP4416" s="131"/>
      <c r="AQ4416" s="131"/>
      <c r="AR4416" s="288"/>
      <c r="AS4416" s="259"/>
      <c r="AT4416" s="237" t="s">
        <v>5334</v>
      </c>
      <c r="AV4416" s="6" t="str">
        <f t="shared" si="109"/>
        <v>ERROR</v>
      </c>
    </row>
    <row r="4417" spans="1:48" ht="105" thickBot="1" x14ac:dyDescent="0.5">
      <c r="A4417" s="44" t="s">
        <v>3490</v>
      </c>
      <c r="B4417" s="50" t="s">
        <v>4699</v>
      </c>
      <c r="C4417" s="12"/>
      <c r="D4417" s="12"/>
      <c r="E4417" s="20"/>
      <c r="F4417" s="20"/>
      <c r="G4417" s="12" t="s">
        <v>10</v>
      </c>
      <c r="H4417" s="12"/>
      <c r="R4417" s="122" t="s">
        <v>3435</v>
      </c>
      <c r="S4417" s="114" t="s">
        <v>4</v>
      </c>
      <c r="T4417" s="114" t="s">
        <v>4690</v>
      </c>
      <c r="U4417" s="114" t="s">
        <v>3521</v>
      </c>
      <c r="V4417" s="114" t="s">
        <v>3530</v>
      </c>
      <c r="W4417" s="114" t="s">
        <v>3436</v>
      </c>
      <c r="X4417" s="114" t="s">
        <v>13</v>
      </c>
      <c r="Y4417" s="149"/>
      <c r="Z4417" s="183"/>
      <c r="AA4417" s="183"/>
      <c r="AB4417" s="183" t="s">
        <v>758</v>
      </c>
      <c r="AC4417" s="183" t="s">
        <v>4346</v>
      </c>
      <c r="AD4417" s="183" t="s">
        <v>4987</v>
      </c>
      <c r="AE4417" s="184"/>
      <c r="AF4417" s="184"/>
      <c r="AG4417" s="183"/>
      <c r="AH4417" s="183"/>
      <c r="AI4417" s="183"/>
      <c r="AJ4417" s="183"/>
      <c r="AK4417" s="183"/>
      <c r="AL4417" s="183"/>
      <c r="AM4417" s="183"/>
      <c r="AN4417" s="131"/>
      <c r="AO4417" s="131"/>
      <c r="AP4417" s="131"/>
      <c r="AQ4417" s="131"/>
      <c r="AR4417" s="288"/>
      <c r="AS4417" s="259"/>
      <c r="AT4417" s="237" t="s">
        <v>5334</v>
      </c>
      <c r="AV4417" s="6" t="str">
        <f t="shared" si="109"/>
        <v>ERROR</v>
      </c>
    </row>
    <row r="4418" spans="1:48" ht="105" thickBot="1" x14ac:dyDescent="0.5">
      <c r="A4418" s="36" t="s">
        <v>1124</v>
      </c>
      <c r="B4418" s="3" t="s">
        <v>4647</v>
      </c>
      <c r="C4418" s="4"/>
      <c r="D4418" s="4"/>
      <c r="E4418" s="4"/>
      <c r="F4418" s="4"/>
      <c r="G4418" s="4" t="s">
        <v>37</v>
      </c>
      <c r="H4418" s="4"/>
      <c r="Q4418" s="8" t="s">
        <v>3551</v>
      </c>
      <c r="R4418" s="122" t="s">
        <v>3529</v>
      </c>
      <c r="S4418" s="114" t="s">
        <v>4</v>
      </c>
      <c r="T4418" s="114" t="s">
        <v>1124</v>
      </c>
      <c r="U4418" s="114" t="s">
        <v>3521</v>
      </c>
      <c r="V4418" s="114" t="s">
        <v>3530</v>
      </c>
      <c r="W4418" s="114" t="s">
        <v>3436</v>
      </c>
      <c r="X4418" s="114" t="s">
        <v>13</v>
      </c>
      <c r="Y4418" s="149"/>
      <c r="Z4418" s="183"/>
      <c r="AA4418" s="183"/>
      <c r="AB4418" s="183" t="s">
        <v>4358</v>
      </c>
      <c r="AC4418" s="183" t="s">
        <v>6</v>
      </c>
      <c r="AD4418" s="183" t="s">
        <v>4988</v>
      </c>
      <c r="AE4418" s="184"/>
      <c r="AF4418" s="184"/>
      <c r="AG4418" s="183"/>
      <c r="AH4418" s="183"/>
      <c r="AI4418" s="183"/>
      <c r="AJ4418" s="183"/>
      <c r="AK4418" s="183"/>
      <c r="AL4418" s="183"/>
      <c r="AM4418" s="183"/>
      <c r="AN4418" s="131"/>
      <c r="AO4418" s="131"/>
      <c r="AP4418" s="131"/>
      <c r="AQ4418" s="131"/>
      <c r="AR4418" s="288"/>
      <c r="AS4418" s="259"/>
      <c r="AT4418" s="237" t="s">
        <v>5334</v>
      </c>
      <c r="AU4418" s="6"/>
      <c r="AV4418" s="6" t="str">
        <f t="shared" si="109"/>
        <v>OK</v>
      </c>
    </row>
    <row r="4419" spans="1:48" ht="105" thickBot="1" x14ac:dyDescent="0.5">
      <c r="A4419" s="44" t="s">
        <v>4517</v>
      </c>
      <c r="B4419" s="50" t="s">
        <v>4738</v>
      </c>
      <c r="C4419" s="12"/>
      <c r="D4419" s="12"/>
      <c r="E4419" s="20"/>
      <c r="F4419" s="20"/>
      <c r="G4419" s="12" t="s">
        <v>10</v>
      </c>
      <c r="H4419" s="12"/>
      <c r="Q4419" s="8" t="s">
        <v>4691</v>
      </c>
      <c r="R4419" s="122" t="s">
        <v>3529</v>
      </c>
      <c r="S4419" s="114" t="s">
        <v>4</v>
      </c>
      <c r="T4419" s="114" t="s">
        <v>4550</v>
      </c>
      <c r="U4419" s="114"/>
      <c r="V4419" s="114" t="s">
        <v>3633</v>
      </c>
      <c r="W4419" s="114" t="s">
        <v>3436</v>
      </c>
      <c r="X4419" s="114" t="s">
        <v>13</v>
      </c>
      <c r="Y4419" s="149"/>
      <c r="Z4419" s="183"/>
      <c r="AA4419" s="183"/>
      <c r="AB4419" s="183" t="s">
        <v>4692</v>
      </c>
      <c r="AC4419" s="183" t="s">
        <v>6</v>
      </c>
      <c r="AD4419" s="183" t="s">
        <v>5031</v>
      </c>
      <c r="AE4419" s="184"/>
      <c r="AF4419" s="184"/>
      <c r="AG4419" s="183"/>
      <c r="AH4419" s="183"/>
      <c r="AI4419" s="183"/>
      <c r="AJ4419" s="183"/>
      <c r="AK4419" s="183"/>
      <c r="AL4419" s="183"/>
      <c r="AM4419" s="183"/>
      <c r="AN4419" s="131"/>
      <c r="AO4419" s="131"/>
      <c r="AP4419" s="131"/>
      <c r="AQ4419" s="131"/>
      <c r="AR4419" s="288"/>
      <c r="AS4419" s="259"/>
      <c r="AT4419" s="237" t="s">
        <v>5334</v>
      </c>
      <c r="AV4419" s="6" t="str">
        <f t="shared" si="109"/>
        <v>ERROR</v>
      </c>
    </row>
    <row r="4420" spans="1:48" ht="105" thickBot="1" x14ac:dyDescent="0.5">
      <c r="A4420" s="44" t="s">
        <v>418</v>
      </c>
      <c r="B4420" s="50" t="s">
        <v>4739</v>
      </c>
      <c r="C4420" s="12"/>
      <c r="D4420" s="12"/>
      <c r="E4420" s="20"/>
      <c r="F4420" s="20"/>
      <c r="G4420" s="12" t="s">
        <v>37</v>
      </c>
      <c r="H4420" s="12"/>
      <c r="R4420" s="122" t="s">
        <v>3435</v>
      </c>
      <c r="S4420" s="114" t="s">
        <v>3437</v>
      </c>
      <c r="T4420" s="114" t="s">
        <v>418</v>
      </c>
      <c r="U4420" s="114"/>
      <c r="V4420" s="114" t="s">
        <v>4691</v>
      </c>
      <c r="W4420" s="114" t="s">
        <v>3436</v>
      </c>
      <c r="X4420" s="114" t="s">
        <v>13</v>
      </c>
      <c r="Y4420" s="149"/>
      <c r="Z4420" s="183"/>
      <c r="AA4420" s="183"/>
      <c r="AB4420" s="183" t="s">
        <v>4349</v>
      </c>
      <c r="AC4420" s="183" t="s">
        <v>4346</v>
      </c>
      <c r="AD4420" s="183" t="s">
        <v>4989</v>
      </c>
      <c r="AE4420" s="184"/>
      <c r="AF4420" s="184"/>
      <c r="AG4420" s="183"/>
      <c r="AH4420" s="183"/>
      <c r="AI4420" s="183" t="s">
        <v>4357</v>
      </c>
      <c r="AJ4420" s="183"/>
      <c r="AK4420" s="183" t="s">
        <v>4555</v>
      </c>
      <c r="AL4420" s="183"/>
      <c r="AM4420" s="183"/>
      <c r="AN4420" s="131"/>
      <c r="AO4420" s="131"/>
      <c r="AP4420" s="131"/>
      <c r="AQ4420" s="131"/>
      <c r="AR4420" s="288"/>
      <c r="AS4420" s="259"/>
      <c r="AT4420" s="237" t="s">
        <v>5334</v>
      </c>
      <c r="AU4420" s="8"/>
      <c r="AV4420" s="6" t="str">
        <f t="shared" si="109"/>
        <v>OK</v>
      </c>
    </row>
    <row r="4421" spans="1:48" ht="46.9" thickBot="1" x14ac:dyDescent="0.5">
      <c r="A4421" s="41" t="s">
        <v>33</v>
      </c>
      <c r="B4421" s="50" t="s">
        <v>3686</v>
      </c>
      <c r="C4421" s="12"/>
      <c r="D4421" s="20"/>
      <c r="E4421" s="20"/>
      <c r="F4421" s="20"/>
      <c r="G4421" s="12"/>
      <c r="H4421" s="20"/>
      <c r="R4421" s="114"/>
      <c r="S4421" s="114"/>
      <c r="T4421" s="114"/>
      <c r="U4421" s="114"/>
      <c r="V4421" s="114"/>
      <c r="W4421" s="114"/>
      <c r="X4421" s="114"/>
      <c r="Y4421" s="149"/>
      <c r="Z4421" s="183"/>
      <c r="AA4421" s="183"/>
      <c r="AB4421" s="183"/>
      <c r="AC4421" s="183"/>
      <c r="AD4421" s="183"/>
      <c r="AE4421" s="184"/>
      <c r="AF4421" s="184"/>
      <c r="AG4421" s="183"/>
      <c r="AH4421" s="183"/>
      <c r="AI4421" s="183"/>
      <c r="AJ4421" s="183"/>
      <c r="AK4421" s="183"/>
      <c r="AL4421" s="183"/>
      <c r="AM4421" s="183"/>
      <c r="AN4421" s="131"/>
      <c r="AO4421" s="131"/>
      <c r="AP4421" s="131"/>
      <c r="AQ4421" s="131"/>
      <c r="AR4421" s="288"/>
      <c r="AS4421" s="259"/>
      <c r="AT4421" s="237" t="s">
        <v>5326</v>
      </c>
      <c r="AV4421" s="6" t="str">
        <f t="shared" si="109"/>
        <v/>
      </c>
    </row>
    <row r="4422" spans="1:48" ht="46.9" thickBot="1" x14ac:dyDescent="0.5">
      <c r="A4422" s="35" t="s">
        <v>461</v>
      </c>
      <c r="B4422" s="3" t="s">
        <v>3688</v>
      </c>
      <c r="C4422" s="12"/>
      <c r="D4422" s="20"/>
      <c r="E4422" s="20"/>
      <c r="F4422" s="4"/>
      <c r="G4422" s="12"/>
      <c r="H4422" s="20"/>
      <c r="R4422" s="114"/>
      <c r="S4422" s="114"/>
      <c r="T4422" s="114"/>
      <c r="U4422" s="114"/>
      <c r="V4422" s="114"/>
      <c r="W4422" s="114"/>
      <c r="X4422" s="114"/>
      <c r="Y4422" s="149"/>
      <c r="Z4422" s="183"/>
      <c r="AA4422" s="183"/>
      <c r="AB4422" s="183"/>
      <c r="AC4422" s="183"/>
      <c r="AD4422" s="183"/>
      <c r="AE4422" s="184"/>
      <c r="AF4422" s="184"/>
      <c r="AG4422" s="183"/>
      <c r="AH4422" s="183"/>
      <c r="AI4422" s="183"/>
      <c r="AJ4422" s="183"/>
      <c r="AK4422" s="183"/>
      <c r="AL4422" s="183"/>
      <c r="AM4422" s="183"/>
      <c r="AN4422" s="131"/>
      <c r="AO4422" s="131"/>
      <c r="AP4422" s="131"/>
      <c r="AQ4422" s="131"/>
      <c r="AR4422" s="288"/>
      <c r="AS4422" s="259"/>
      <c r="AT4422" s="237" t="s">
        <v>5326</v>
      </c>
      <c r="AU4422" s="8"/>
      <c r="AV4422" s="6" t="str">
        <f t="shared" si="109"/>
        <v/>
      </c>
    </row>
    <row r="4423" spans="1:48" ht="46.9" thickBot="1" x14ac:dyDescent="0.5">
      <c r="A4423" s="35" t="s">
        <v>424</v>
      </c>
      <c r="B4423" s="3" t="s">
        <v>3689</v>
      </c>
      <c r="C4423" s="12"/>
      <c r="D4423" s="20"/>
      <c r="E4423" s="20"/>
      <c r="F4423" s="4"/>
      <c r="G4423" s="12"/>
      <c r="H4423" s="20"/>
      <c r="R4423" s="114"/>
      <c r="S4423" s="114"/>
      <c r="T4423" s="114"/>
      <c r="U4423" s="114"/>
      <c r="V4423" s="114"/>
      <c r="W4423" s="114"/>
      <c r="X4423" s="114"/>
      <c r="Y4423" s="149"/>
      <c r="Z4423" s="183"/>
      <c r="AA4423" s="183"/>
      <c r="AB4423" s="183"/>
      <c r="AC4423" s="183"/>
      <c r="AD4423" s="183"/>
      <c r="AE4423" s="184"/>
      <c r="AF4423" s="184"/>
      <c r="AG4423" s="183"/>
      <c r="AH4423" s="183"/>
      <c r="AI4423" s="183"/>
      <c r="AJ4423" s="183"/>
      <c r="AK4423" s="183"/>
      <c r="AL4423" s="183"/>
      <c r="AM4423" s="183"/>
      <c r="AN4423" s="131"/>
      <c r="AO4423" s="131"/>
      <c r="AP4423" s="131"/>
      <c r="AQ4423" s="131"/>
      <c r="AR4423" s="288"/>
      <c r="AS4423" s="259"/>
      <c r="AT4423" s="237" t="s">
        <v>5326</v>
      </c>
      <c r="AU4423" s="8"/>
      <c r="AV4423" s="6" t="str">
        <f t="shared" si="109"/>
        <v/>
      </c>
    </row>
    <row r="4424" spans="1:48" ht="105" thickBot="1" x14ac:dyDescent="0.5">
      <c r="A4424" s="41" t="s">
        <v>2653</v>
      </c>
      <c r="B4424" s="50" t="s">
        <v>4740</v>
      </c>
      <c r="C4424" s="12"/>
      <c r="D4424" s="12"/>
      <c r="E4424" s="20"/>
      <c r="F4424" s="20"/>
      <c r="G4424" s="12" t="s">
        <v>10</v>
      </c>
      <c r="H4424" s="12"/>
      <c r="Q4424" s="8" t="s">
        <v>4691</v>
      </c>
      <c r="R4424" s="122" t="s">
        <v>3529</v>
      </c>
      <c r="S4424" s="114" t="s">
        <v>4</v>
      </c>
      <c r="T4424" s="114" t="s">
        <v>2678</v>
      </c>
      <c r="U4424" s="114" t="s">
        <v>3521</v>
      </c>
      <c r="V4424" s="114" t="s">
        <v>3530</v>
      </c>
      <c r="W4424" s="114" t="s">
        <v>3436</v>
      </c>
      <c r="X4424" s="114" t="s">
        <v>13</v>
      </c>
      <c r="Y4424" s="149"/>
      <c r="Z4424" s="183"/>
      <c r="AA4424" s="183" t="s">
        <v>418</v>
      </c>
      <c r="AB4424" s="183" t="s">
        <v>758</v>
      </c>
      <c r="AC4424" s="183" t="s">
        <v>4346</v>
      </c>
      <c r="AD4424" s="183" t="s">
        <v>4990</v>
      </c>
      <c r="AE4424" s="184"/>
      <c r="AF4424" s="184"/>
      <c r="AG4424" s="183"/>
      <c r="AH4424" s="183"/>
      <c r="AI4424" s="183"/>
      <c r="AJ4424" s="183"/>
      <c r="AK4424" s="183"/>
      <c r="AL4424" s="183"/>
      <c r="AM4424" s="183"/>
      <c r="AN4424" s="131"/>
      <c r="AO4424" s="131"/>
      <c r="AP4424" s="131"/>
      <c r="AQ4424" s="131"/>
      <c r="AR4424" s="288"/>
      <c r="AS4424" s="259"/>
      <c r="AT4424" s="237" t="s">
        <v>5334</v>
      </c>
      <c r="AU4424" s="202" t="s">
        <v>5246</v>
      </c>
      <c r="AV4424" s="6" t="str">
        <f t="shared" si="109"/>
        <v>OK</v>
      </c>
    </row>
    <row r="4425" spans="1:48" ht="105" thickBot="1" x14ac:dyDescent="0.5">
      <c r="A4425" s="41" t="s">
        <v>4552</v>
      </c>
      <c r="B4425" s="50" t="s">
        <v>4741</v>
      </c>
      <c r="C4425" s="12"/>
      <c r="D4425" s="12"/>
      <c r="E4425" s="20"/>
      <c r="F4425" s="20"/>
      <c r="G4425" s="12" t="s">
        <v>10</v>
      </c>
      <c r="H4425" s="12"/>
      <c r="Q4425" s="8" t="s">
        <v>4691</v>
      </c>
      <c r="R4425" s="122" t="s">
        <v>3529</v>
      </c>
      <c r="S4425" s="114" t="s">
        <v>4</v>
      </c>
      <c r="T4425" s="114" t="s">
        <v>4549</v>
      </c>
      <c r="U4425" s="114" t="s">
        <v>3521</v>
      </c>
      <c r="V4425" s="114" t="s">
        <v>3530</v>
      </c>
      <c r="W4425" s="114" t="s">
        <v>3436</v>
      </c>
      <c r="X4425" s="114" t="s">
        <v>13</v>
      </c>
      <c r="Y4425" s="149"/>
      <c r="Z4425" s="183"/>
      <c r="AA4425" s="183" t="s">
        <v>418</v>
      </c>
      <c r="AB4425" s="183" t="s">
        <v>758</v>
      </c>
      <c r="AC4425" s="183" t="s">
        <v>4346</v>
      </c>
      <c r="AD4425" s="183" t="s">
        <v>4991</v>
      </c>
      <c r="AE4425" s="184"/>
      <c r="AF4425" s="184"/>
      <c r="AG4425" s="183"/>
      <c r="AH4425" s="183"/>
      <c r="AI4425" s="183"/>
      <c r="AJ4425" s="183"/>
      <c r="AK4425" s="183"/>
      <c r="AL4425" s="183"/>
      <c r="AM4425" s="183"/>
      <c r="AN4425" s="131"/>
      <c r="AO4425" s="131"/>
      <c r="AP4425" s="131"/>
      <c r="AQ4425" s="131"/>
      <c r="AR4425" s="288"/>
      <c r="AS4425" s="259"/>
      <c r="AT4425" s="237" t="s">
        <v>5334</v>
      </c>
      <c r="AU4425" s="202" t="s">
        <v>5246</v>
      </c>
      <c r="AV4425" s="6" t="str">
        <f t="shared" si="109"/>
        <v>OK</v>
      </c>
    </row>
    <row r="4426" spans="1:48" ht="105" thickBot="1" x14ac:dyDescent="0.5">
      <c r="A4426" s="41" t="s">
        <v>4569</v>
      </c>
      <c r="B4426" s="50" t="s">
        <v>4742</v>
      </c>
      <c r="C4426" s="12"/>
      <c r="D4426" s="12"/>
      <c r="E4426" s="20"/>
      <c r="F4426" s="20"/>
      <c r="G4426" s="12" t="s">
        <v>10</v>
      </c>
      <c r="H4426" s="12"/>
      <c r="Q4426" s="8" t="s">
        <v>4691</v>
      </c>
      <c r="R4426" s="122" t="s">
        <v>3529</v>
      </c>
      <c r="S4426" s="114" t="s">
        <v>4</v>
      </c>
      <c r="T4426" s="114" t="s">
        <v>4550</v>
      </c>
      <c r="U4426" s="114"/>
      <c r="V4426" s="114" t="s">
        <v>3633</v>
      </c>
      <c r="W4426" s="114" t="s">
        <v>3436</v>
      </c>
      <c r="X4426" s="114" t="s">
        <v>13</v>
      </c>
      <c r="Y4426" s="149"/>
      <c r="Z4426" s="183"/>
      <c r="AA4426" s="183" t="s">
        <v>418</v>
      </c>
      <c r="AB4426" s="183" t="s">
        <v>4693</v>
      </c>
      <c r="AC4426" s="183" t="s">
        <v>6</v>
      </c>
      <c r="AD4426" s="183" t="s">
        <v>5032</v>
      </c>
      <c r="AE4426" s="184"/>
      <c r="AF4426" s="184"/>
      <c r="AG4426" s="183"/>
      <c r="AH4426" s="183"/>
      <c r="AI4426" s="183"/>
      <c r="AJ4426" s="183"/>
      <c r="AK4426" s="183"/>
      <c r="AL4426" s="183"/>
      <c r="AM4426" s="183"/>
      <c r="AN4426" s="131"/>
      <c r="AO4426" s="131"/>
      <c r="AP4426" s="131"/>
      <c r="AQ4426" s="131"/>
      <c r="AR4426" s="288"/>
      <c r="AS4426" s="259"/>
      <c r="AT4426" s="237" t="s">
        <v>5334</v>
      </c>
      <c r="AU4426" s="202" t="s">
        <v>5246</v>
      </c>
      <c r="AV4426" s="6" t="str">
        <f t="shared" si="109"/>
        <v>ERROR</v>
      </c>
    </row>
    <row r="4427" spans="1:48" ht="128.25" thickBot="1" x14ac:dyDescent="0.5">
      <c r="A4427" s="41" t="s">
        <v>4553</v>
      </c>
      <c r="B4427" s="50" t="s">
        <v>3773</v>
      </c>
      <c r="C4427" s="4"/>
      <c r="D4427" s="12"/>
      <c r="E4427" s="20"/>
      <c r="F4427" s="20"/>
      <c r="G4427" s="12" t="s">
        <v>10</v>
      </c>
      <c r="H4427" s="12"/>
      <c r="Q4427" s="8" t="s">
        <v>4691</v>
      </c>
      <c r="R4427" s="122" t="s">
        <v>3435</v>
      </c>
      <c r="S4427" s="114" t="s">
        <v>3443</v>
      </c>
      <c r="T4427" s="114" t="s">
        <v>2642</v>
      </c>
      <c r="U4427" s="114" t="s">
        <v>3522</v>
      </c>
      <c r="V4427" s="114" t="s">
        <v>3531</v>
      </c>
      <c r="W4427" s="114" t="s">
        <v>3436</v>
      </c>
      <c r="X4427" s="114" t="s">
        <v>13</v>
      </c>
      <c r="Y4427" s="149"/>
      <c r="Z4427" s="183"/>
      <c r="AA4427" s="183" t="s">
        <v>418</v>
      </c>
      <c r="AB4427" s="183" t="s">
        <v>4344</v>
      </c>
      <c r="AC4427" s="183" t="s">
        <v>6</v>
      </c>
      <c r="AD4427" s="183" t="s">
        <v>5037</v>
      </c>
      <c r="AE4427" s="184"/>
      <c r="AF4427" s="184"/>
      <c r="AG4427" s="183"/>
      <c r="AH4427" s="183"/>
      <c r="AI4427" s="183"/>
      <c r="AJ4427" s="183"/>
      <c r="AK4427" s="183"/>
      <c r="AL4427" s="183"/>
      <c r="AM4427" s="183"/>
      <c r="AN4427" s="131"/>
      <c r="AO4427" s="131"/>
      <c r="AP4427" s="131"/>
      <c r="AQ4427" s="131"/>
      <c r="AR4427" s="288"/>
      <c r="AS4427" s="259"/>
      <c r="AT4427" s="237" t="s">
        <v>5334</v>
      </c>
      <c r="AU4427" s="202" t="s">
        <v>5246</v>
      </c>
      <c r="AV4427" s="6" t="str">
        <f t="shared" si="109"/>
        <v>OK</v>
      </c>
    </row>
    <row r="4428" spans="1:48" ht="128.25" thickBot="1" x14ac:dyDescent="0.5">
      <c r="A4428" s="41" t="s">
        <v>4554</v>
      </c>
      <c r="B4428" s="50" t="s">
        <v>3774</v>
      </c>
      <c r="C4428" s="4"/>
      <c r="D4428" s="12"/>
      <c r="E4428" s="20"/>
      <c r="F4428" s="20"/>
      <c r="G4428" s="12" t="s">
        <v>10</v>
      </c>
      <c r="H4428" s="12"/>
      <c r="Q4428" s="8" t="s">
        <v>4691</v>
      </c>
      <c r="R4428" s="122" t="s">
        <v>3435</v>
      </c>
      <c r="S4428" s="114" t="s">
        <v>3443</v>
      </c>
      <c r="T4428" s="114" t="s">
        <v>2643</v>
      </c>
      <c r="U4428" s="114" t="s">
        <v>3522</v>
      </c>
      <c r="V4428" s="114" t="s">
        <v>3531</v>
      </c>
      <c r="W4428" s="114" t="s">
        <v>3436</v>
      </c>
      <c r="X4428" s="114" t="s">
        <v>13</v>
      </c>
      <c r="Y4428" s="149"/>
      <c r="Z4428" s="183"/>
      <c r="AA4428" s="183" t="s">
        <v>418</v>
      </c>
      <c r="AB4428" s="183" t="s">
        <v>4344</v>
      </c>
      <c r="AC4428" s="183" t="s">
        <v>6</v>
      </c>
      <c r="AD4428" s="183" t="s">
        <v>5038</v>
      </c>
      <c r="AE4428" s="184"/>
      <c r="AF4428" s="184"/>
      <c r="AG4428" s="183"/>
      <c r="AH4428" s="183"/>
      <c r="AI4428" s="183"/>
      <c r="AJ4428" s="183"/>
      <c r="AK4428" s="183"/>
      <c r="AL4428" s="183"/>
      <c r="AM4428" s="183"/>
      <c r="AN4428" s="131"/>
      <c r="AO4428" s="131"/>
      <c r="AP4428" s="131"/>
      <c r="AQ4428" s="131"/>
      <c r="AR4428" s="288"/>
      <c r="AS4428" s="259"/>
      <c r="AT4428" s="237" t="s">
        <v>5334</v>
      </c>
      <c r="AU4428" s="202" t="s">
        <v>5246</v>
      </c>
      <c r="AV4428" s="6" t="str">
        <f t="shared" si="109"/>
        <v>OK</v>
      </c>
    </row>
    <row r="4429" spans="1:48" ht="46.9" thickBot="1" x14ac:dyDescent="0.5">
      <c r="A4429" s="36" t="s">
        <v>753</v>
      </c>
      <c r="B4429" s="3" t="s">
        <v>60</v>
      </c>
      <c r="C4429" s="4"/>
      <c r="D4429" s="4"/>
      <c r="E4429" s="4"/>
      <c r="F4429" s="4"/>
      <c r="G4429" s="4"/>
      <c r="H4429" s="4"/>
      <c r="AT4429" s="237" t="s">
        <v>5326</v>
      </c>
      <c r="AU4429" s="8"/>
      <c r="AV4429" s="6" t="str">
        <f t="shared" si="109"/>
        <v/>
      </c>
    </row>
    <row r="4430" spans="1:48" ht="46.5" x14ac:dyDescent="0.45">
      <c r="A4430" s="33" t="s">
        <v>4694</v>
      </c>
      <c r="AT4430" s="237" t="s">
        <v>5326</v>
      </c>
      <c r="AV4430" s="6" t="str">
        <f t="shared" si="109"/>
        <v/>
      </c>
    </row>
    <row r="4431" spans="1:48" ht="69.75" x14ac:dyDescent="0.45">
      <c r="A4431" s="34" t="s">
        <v>5924</v>
      </c>
      <c r="AT4431" s="237" t="s">
        <v>5326</v>
      </c>
      <c r="AU4431" s="140" t="s">
        <v>5922</v>
      </c>
      <c r="AV4431" s="6" t="str">
        <f t="shared" si="109"/>
        <v/>
      </c>
    </row>
    <row r="4432" spans="1:48" s="79" customFormat="1" x14ac:dyDescent="0.45">
      <c r="A4432" s="75"/>
      <c r="B4432" s="76"/>
      <c r="C4432" s="77"/>
      <c r="D4432" s="77"/>
      <c r="E4432" s="77"/>
      <c r="F4432" s="77"/>
      <c r="G4432" s="77"/>
      <c r="H4432" s="77"/>
      <c r="I4432" s="77"/>
      <c r="J4432" s="77"/>
      <c r="K4432" s="77"/>
      <c r="L4432" s="77"/>
      <c r="M4432" s="148"/>
      <c r="N4432" s="78"/>
      <c r="O4432" s="78"/>
      <c r="P4432" s="78"/>
      <c r="Q4432" s="78"/>
      <c r="R4432" s="78"/>
      <c r="S4432" s="78"/>
      <c r="T4432" s="78"/>
      <c r="U4432" s="78"/>
      <c r="V4432" s="78"/>
      <c r="W4432" s="78"/>
      <c r="X4432" s="78"/>
      <c r="Y4432" s="148"/>
      <c r="Z4432" s="78"/>
      <c r="AA4432" s="78"/>
      <c r="AB4432" s="78"/>
      <c r="AC4432" s="78"/>
      <c r="AD4432" s="78"/>
      <c r="AE4432" s="156"/>
      <c r="AF4432" s="156"/>
      <c r="AG4432" s="78"/>
      <c r="AH4432" s="78"/>
      <c r="AI4432" s="78"/>
      <c r="AJ4432" s="78"/>
      <c r="AK4432" s="78"/>
      <c r="AL4432" s="78"/>
      <c r="AM4432" s="78"/>
      <c r="AN4432" s="78"/>
      <c r="AO4432" s="78"/>
      <c r="AP4432" s="78"/>
      <c r="AQ4432" s="78"/>
      <c r="AR4432" s="286"/>
      <c r="AS4432" s="78"/>
      <c r="AT4432" s="78"/>
      <c r="AU4432" s="8"/>
      <c r="AV4432" s="6" t="str">
        <f t="shared" si="109"/>
        <v/>
      </c>
    </row>
    <row r="4433" spans="1:48" ht="46.5" x14ac:dyDescent="0.45">
      <c r="A4433" s="27" t="s">
        <v>4673</v>
      </c>
      <c r="L4433" s="18" t="s">
        <v>2335</v>
      </c>
      <c r="AT4433" s="237" t="s">
        <v>5326</v>
      </c>
      <c r="AU4433" s="6"/>
      <c r="AV4433" s="6" t="str">
        <f t="shared" si="108"/>
        <v/>
      </c>
    </row>
    <row r="4434" spans="1:48" ht="46.9" thickBot="1" x14ac:dyDescent="0.5">
      <c r="A4434" s="346" t="s">
        <v>4674</v>
      </c>
      <c r="B4434" s="324"/>
      <c r="C4434" s="324"/>
      <c r="D4434" s="324"/>
      <c r="E4434" s="324"/>
      <c r="F4434" s="324"/>
      <c r="G4434" s="101"/>
      <c r="H4434" s="101"/>
      <c r="L4434" s="18" t="s">
        <v>2335</v>
      </c>
      <c r="Z4434" s="183" t="s">
        <v>4347</v>
      </c>
      <c r="AA4434" s="183" t="s">
        <v>2322</v>
      </c>
      <c r="AB4434" s="183" t="s">
        <v>1697</v>
      </c>
      <c r="AC4434" s="183" t="s">
        <v>5</v>
      </c>
      <c r="AD4434" s="183" t="s">
        <v>4339</v>
      </c>
      <c r="AE4434" s="184" t="s">
        <v>4338</v>
      </c>
      <c r="AF4434" s="184" t="s">
        <v>4350</v>
      </c>
      <c r="AG4434" s="183" t="s">
        <v>1695</v>
      </c>
      <c r="AH4434" s="183" t="s">
        <v>4351</v>
      </c>
      <c r="AI4434" s="8" t="s">
        <v>4455</v>
      </c>
      <c r="AJ4434" s="183" t="s">
        <v>5051</v>
      </c>
      <c r="AT4434" s="237" t="s">
        <v>5326</v>
      </c>
      <c r="AU4434" s="6"/>
      <c r="AV4434" s="6" t="str">
        <f t="shared" si="108"/>
        <v/>
      </c>
    </row>
    <row r="4435" spans="1:48" ht="232.9" thickBot="1" x14ac:dyDescent="0.5">
      <c r="A4435" s="309" t="s">
        <v>4675</v>
      </c>
      <c r="B4435" s="310"/>
      <c r="C4435" s="301" t="s">
        <v>1</v>
      </c>
      <c r="D4435" s="319"/>
      <c r="E4435" s="319"/>
      <c r="F4435" s="302"/>
      <c r="G4435" s="102"/>
      <c r="H4435" s="102"/>
      <c r="L4435" s="18" t="s">
        <v>2335</v>
      </c>
      <c r="Z4435" s="183"/>
      <c r="AA4435" s="183" t="str">
        <f>LEFT($A4435,FIND(" ",$A4435)-1)</f>
        <v>DCNNonOpasIOSubsystemCollection</v>
      </c>
      <c r="AB4435" s="183" t="str">
        <f>MID($A4435,FIND("(",$A4435)+1,LEN($A4435)-FIND("(",$A4435)-1)</f>
        <v>1.0.0</v>
      </c>
      <c r="AC4435" s="101" t="str">
        <f>A4434</f>
        <v>A DCNNonOpasIOSubsystemCollection is a collection of DCN Non-O-PAS I/O Subsystem Resources running on a node.
For additional detail on Proprietary System and DCN Physical Topology, see O-PAS Part 7 – Physical Platform.</v>
      </c>
      <c r="AD4435" s="101" t="s">
        <v>4759</v>
      </c>
      <c r="AE4435" s="253" t="s">
        <v>5925</v>
      </c>
      <c r="AF4435" s="184" t="s">
        <v>4352</v>
      </c>
      <c r="AG4435" s="183" t="s">
        <v>4352</v>
      </c>
      <c r="AH4435" s="183" t="s">
        <v>4352</v>
      </c>
      <c r="AI4435" s="183" t="s">
        <v>5248</v>
      </c>
      <c r="AT4435" s="237" t="s">
        <v>5333</v>
      </c>
      <c r="AU4435" s="140" t="s">
        <v>5893</v>
      </c>
      <c r="AV4435" s="6" t="str">
        <f t="shared" si="108"/>
        <v/>
      </c>
    </row>
    <row r="4436" spans="1:48" ht="46.9" thickBot="1" x14ac:dyDescent="0.5">
      <c r="A4436" s="311"/>
      <c r="B4436" s="312"/>
      <c r="C4436" s="301" t="s">
        <v>2</v>
      </c>
      <c r="D4436" s="302"/>
      <c r="E4436" s="301" t="s">
        <v>3</v>
      </c>
      <c r="F4436" s="302"/>
      <c r="G4436" s="301" t="s">
        <v>2896</v>
      </c>
      <c r="H4436" s="302"/>
      <c r="L4436" s="18" t="s">
        <v>2335</v>
      </c>
      <c r="AT4436" s="237" t="s">
        <v>5326</v>
      </c>
      <c r="AU4436" s="6"/>
      <c r="AV4436" s="6" t="str">
        <f t="shared" si="108"/>
        <v/>
      </c>
    </row>
    <row r="4437" spans="1:48" ht="46.9" thickBot="1" x14ac:dyDescent="0.5">
      <c r="A4437" s="46" t="s">
        <v>2377</v>
      </c>
      <c r="B4437" s="47"/>
      <c r="C4437" s="303"/>
      <c r="D4437" s="304"/>
      <c r="E4437" s="303"/>
      <c r="F4437" s="304"/>
      <c r="G4437" s="303"/>
      <c r="H4437" s="304"/>
      <c r="AT4437" s="237" t="s">
        <v>5326</v>
      </c>
      <c r="AU4437" s="6"/>
      <c r="AV4437" s="6" t="str">
        <f t="shared" si="108"/>
        <v/>
      </c>
    </row>
    <row r="4438" spans="1:48" ht="46.9" thickBot="1" x14ac:dyDescent="0.5">
      <c r="A4438" s="30" t="s">
        <v>4</v>
      </c>
      <c r="B4438" s="59" t="s">
        <v>5</v>
      </c>
      <c r="C4438" s="7" t="s">
        <v>6</v>
      </c>
      <c r="D4438" s="7" t="s">
        <v>7</v>
      </c>
      <c r="E4438" s="7" t="s">
        <v>6</v>
      </c>
      <c r="F4438" s="7" t="s">
        <v>7</v>
      </c>
      <c r="G4438" s="7" t="s">
        <v>6</v>
      </c>
      <c r="H4438" s="7" t="s">
        <v>7</v>
      </c>
      <c r="L4438" s="18" t="s">
        <v>2335</v>
      </c>
      <c r="Z4438" s="183" t="s">
        <v>4347</v>
      </c>
      <c r="AA4438" s="183" t="s">
        <v>4343</v>
      </c>
      <c r="AB4438" s="183" t="s">
        <v>4172</v>
      </c>
      <c r="AC4438" s="183" t="s">
        <v>4340</v>
      </c>
      <c r="AD4438" s="183" t="s">
        <v>4339</v>
      </c>
      <c r="AE4438" s="184" t="s">
        <v>4341</v>
      </c>
      <c r="AF4438" s="184" t="s">
        <v>4342</v>
      </c>
      <c r="AG4438" s="183" t="s">
        <v>4353</v>
      </c>
      <c r="AH4438" s="183" t="s">
        <v>3429</v>
      </c>
      <c r="AI4438" s="183" t="s">
        <v>4356</v>
      </c>
      <c r="AJ4438" s="183" t="s">
        <v>4364</v>
      </c>
      <c r="AT4438" s="237" t="s">
        <v>5326</v>
      </c>
      <c r="AU4438" s="6"/>
      <c r="AV4438" s="6" t="str">
        <f t="shared" si="108"/>
        <v/>
      </c>
    </row>
    <row r="4439" spans="1:48" ht="116.65" thickBot="1" x14ac:dyDescent="0.5">
      <c r="A4439" s="36" t="s">
        <v>2792</v>
      </c>
      <c r="B4439" s="3" t="s">
        <v>4676</v>
      </c>
      <c r="C4439" s="4"/>
      <c r="D4439" s="4"/>
      <c r="E4439" s="4"/>
      <c r="F4439" s="4"/>
      <c r="G4439" s="4" t="s">
        <v>10</v>
      </c>
      <c r="H4439" s="4"/>
      <c r="AB4439" s="8" t="s">
        <v>4354</v>
      </c>
      <c r="AC4439" s="183" t="s">
        <v>6</v>
      </c>
      <c r="AD4439" s="183" t="s">
        <v>5292</v>
      </c>
      <c r="AE4439" s="184"/>
      <c r="AF4439" s="184"/>
      <c r="AG4439" s="183" t="s">
        <v>4355</v>
      </c>
      <c r="AH4439" s="183" t="s">
        <v>5268</v>
      </c>
      <c r="AI4439" s="183" t="s">
        <v>4357</v>
      </c>
      <c r="AT4439" s="237" t="s">
        <v>5334</v>
      </c>
      <c r="AU4439" s="140" t="s">
        <v>5291</v>
      </c>
      <c r="AV4439" s="6" t="str">
        <f t="shared" si="108"/>
        <v/>
      </c>
    </row>
    <row r="4440" spans="1:48" ht="46.9" thickBot="1" x14ac:dyDescent="0.5">
      <c r="A4440" s="35" t="s">
        <v>33</v>
      </c>
      <c r="B4440" s="3" t="s">
        <v>4677</v>
      </c>
      <c r="C4440" s="2"/>
      <c r="D4440" s="2"/>
      <c r="E4440" s="2"/>
      <c r="F4440" s="2"/>
      <c r="G4440" s="2"/>
      <c r="H4440" s="2"/>
      <c r="L4440" s="18" t="s">
        <v>2335</v>
      </c>
      <c r="AT4440" s="237" t="s">
        <v>5326</v>
      </c>
      <c r="AU4440" s="6"/>
      <c r="AV4440" s="6" t="str">
        <f t="shared" si="108"/>
        <v/>
      </c>
    </row>
    <row r="4441" spans="1:48" ht="46.5" x14ac:dyDescent="0.45">
      <c r="A4441" s="33" t="s">
        <v>4678</v>
      </c>
      <c r="L4441" s="18" t="s">
        <v>2335</v>
      </c>
      <c r="AT4441" s="237" t="s">
        <v>5326</v>
      </c>
      <c r="AU4441" s="6"/>
      <c r="AV4441" s="6" t="str">
        <f t="shared" si="108"/>
        <v/>
      </c>
    </row>
    <row r="4442" spans="1:48" ht="69.75" x14ac:dyDescent="0.45">
      <c r="A4442" s="34" t="s">
        <v>5925</v>
      </c>
      <c r="L4442" s="18" t="s">
        <v>2335</v>
      </c>
      <c r="AT4442" s="237" t="s">
        <v>5326</v>
      </c>
      <c r="AU4442" s="140" t="s">
        <v>5922</v>
      </c>
      <c r="AV4442" s="6" t="str">
        <f t="shared" si="108"/>
        <v/>
      </c>
    </row>
    <row r="4443" spans="1:48" s="79" customFormat="1" ht="14.65" thickBot="1" x14ac:dyDescent="0.5">
      <c r="A4443" s="75"/>
      <c r="B4443" s="76"/>
      <c r="C4443" s="77"/>
      <c r="D4443" s="77"/>
      <c r="E4443" s="77"/>
      <c r="F4443" s="77"/>
      <c r="G4443" s="77"/>
      <c r="H4443" s="77"/>
      <c r="I4443" s="77"/>
      <c r="J4443" s="77"/>
      <c r="K4443" s="77"/>
      <c r="L4443" s="77"/>
      <c r="M4443" s="148"/>
      <c r="N4443" s="78"/>
      <c r="O4443" s="78"/>
      <c r="P4443" s="78"/>
      <c r="Q4443" s="78"/>
      <c r="R4443" s="78"/>
      <c r="S4443" s="78"/>
      <c r="T4443" s="78"/>
      <c r="U4443" s="78"/>
      <c r="V4443" s="78"/>
      <c r="W4443" s="78"/>
      <c r="X4443" s="78"/>
      <c r="Y4443" s="148"/>
      <c r="Z4443" s="78"/>
      <c r="AA4443" s="78"/>
      <c r="AB4443" s="78"/>
      <c r="AC4443" s="78"/>
      <c r="AD4443" s="78"/>
      <c r="AE4443" s="154"/>
      <c r="AF4443" s="154"/>
      <c r="AG4443" s="8"/>
      <c r="AH4443" s="8"/>
      <c r="AI4443" s="78"/>
      <c r="AJ4443" s="78"/>
      <c r="AK4443" s="78"/>
      <c r="AL4443" s="78"/>
      <c r="AM4443" s="78"/>
      <c r="AN4443" s="78"/>
      <c r="AO4443" s="78"/>
      <c r="AP4443" s="78"/>
      <c r="AQ4443" s="78"/>
      <c r="AR4443" s="286"/>
      <c r="AS4443" s="78"/>
      <c r="AT4443" s="78"/>
      <c r="AU4443" s="8"/>
      <c r="AV4443" s="6" t="str">
        <f t="shared" si="108"/>
        <v/>
      </c>
    </row>
    <row r="4444" spans="1:48" ht="46.9" thickBot="1" x14ac:dyDescent="0.5">
      <c r="A4444" s="39" t="s">
        <v>4672</v>
      </c>
      <c r="R4444" s="111" t="s">
        <v>3426</v>
      </c>
      <c r="S4444" s="349" t="s">
        <v>823</v>
      </c>
      <c r="T4444" s="350"/>
      <c r="U4444" s="350"/>
      <c r="V4444" s="350"/>
      <c r="W4444" s="350"/>
      <c r="X4444" s="355"/>
      <c r="Y4444" s="118"/>
      <c r="Z4444" s="185"/>
      <c r="AA4444" s="185"/>
      <c r="AB4444" s="185"/>
      <c r="AC4444" s="185"/>
      <c r="AD4444" s="185"/>
      <c r="AE4444" s="186"/>
      <c r="AF4444" s="186"/>
      <c r="AG4444" s="185"/>
      <c r="AH4444" s="185"/>
      <c r="AI4444" s="185"/>
      <c r="AJ4444" s="185"/>
      <c r="AK4444" s="185"/>
      <c r="AL4444" s="185"/>
      <c r="AM4444" s="185"/>
      <c r="AN4444" s="117"/>
      <c r="AO4444" s="117"/>
      <c r="AP4444" s="117"/>
      <c r="AQ4444" s="117"/>
      <c r="AR4444" s="287"/>
      <c r="AS4444" s="258"/>
      <c r="AT4444" s="237" t="s">
        <v>5326</v>
      </c>
      <c r="AU4444" s="202" t="s">
        <v>5039</v>
      </c>
      <c r="AV4444" s="6" t="str">
        <f t="shared" si="108"/>
        <v/>
      </c>
    </row>
    <row r="4445" spans="1:48" ht="81.75" thickBot="1" x14ac:dyDescent="0.5">
      <c r="A4445" s="110" t="s">
        <v>4679</v>
      </c>
      <c r="R4445" s="122" t="s">
        <v>3427</v>
      </c>
      <c r="S4445" s="352" t="s">
        <v>4680</v>
      </c>
      <c r="T4445" s="353"/>
      <c r="U4445" s="353"/>
      <c r="V4445" s="353"/>
      <c r="W4445" s="353"/>
      <c r="X4445" s="356"/>
      <c r="Y4445" s="149"/>
      <c r="Z4445" s="183" t="s">
        <v>4347</v>
      </c>
      <c r="AA4445" s="183" t="s">
        <v>2322</v>
      </c>
      <c r="AB4445" s="183" t="s">
        <v>1697</v>
      </c>
      <c r="AC4445" s="183" t="s">
        <v>5</v>
      </c>
      <c r="AD4445" s="183" t="s">
        <v>4339</v>
      </c>
      <c r="AE4445" s="184" t="s">
        <v>4338</v>
      </c>
      <c r="AF4445" s="184" t="s">
        <v>4350</v>
      </c>
      <c r="AG4445" s="183" t="s">
        <v>1695</v>
      </c>
      <c r="AH4445" s="183" t="s">
        <v>4351</v>
      </c>
      <c r="AI4445" s="8" t="s">
        <v>4455</v>
      </c>
      <c r="AJ4445" s="183" t="s">
        <v>5051</v>
      </c>
      <c r="AK4445" s="183"/>
      <c r="AL4445" s="183"/>
      <c r="AM4445" s="183"/>
      <c r="AN4445" s="131"/>
      <c r="AO4445" s="131"/>
      <c r="AP4445" s="131"/>
      <c r="AQ4445" s="131"/>
      <c r="AR4445" s="288"/>
      <c r="AS4445" s="259"/>
      <c r="AT4445" s="237" t="s">
        <v>5326</v>
      </c>
      <c r="AU4445" s="202" t="s">
        <v>5039</v>
      </c>
      <c r="AV4445" s="6" t="str">
        <f t="shared" si="108"/>
        <v/>
      </c>
    </row>
    <row r="4446" spans="1:48" ht="244.5" thickBot="1" x14ac:dyDescent="0.5">
      <c r="A4446" s="321" t="s">
        <v>4649</v>
      </c>
      <c r="B4446" s="322"/>
      <c r="C4446" s="314" t="s">
        <v>1</v>
      </c>
      <c r="D4446" s="314"/>
      <c r="E4446" s="314"/>
      <c r="F4446" s="314"/>
      <c r="G4446" s="102"/>
      <c r="H4446" s="102"/>
      <c r="R4446" s="122" t="s">
        <v>3428</v>
      </c>
      <c r="S4446" s="352" t="b">
        <v>0</v>
      </c>
      <c r="T4446" s="353"/>
      <c r="U4446" s="353"/>
      <c r="V4446" s="353"/>
      <c r="W4446" s="353"/>
      <c r="X4446" s="356"/>
      <c r="Y4446" s="149"/>
      <c r="Z4446" s="183"/>
      <c r="AA4446" s="183" t="str">
        <f>LEFT($A4446,FIND(" ",$A4446)-1)</f>
        <v>DCNNonOpasIOSubsystem</v>
      </c>
      <c r="AB4446" s="183" t="str">
        <f>MID($A4446,FIND("(",$A4446)+1,LEN($A4446)-FIND("(",$A4446)-1)</f>
        <v>1.0.0</v>
      </c>
      <c r="AC4446" s="101" t="str">
        <f>A4445</f>
        <v>Resource to describe a southbound Non-O-PAS I/O Subsystem connected to an O-PAS DCN.
For additional detail on Non-O-PAS I/O Subsystems and DCN Physical Topology, see O-PAS Part 7 – Physical Platform.</v>
      </c>
      <c r="AD4446" s="101" t="s">
        <v>4758</v>
      </c>
      <c r="AE4446" s="254" t="s">
        <v>5926</v>
      </c>
      <c r="AF4446" s="184" t="s">
        <v>4352</v>
      </c>
      <c r="AG4446" s="183" t="s">
        <v>4357</v>
      </c>
      <c r="AH4446" s="183" t="s">
        <v>4352</v>
      </c>
      <c r="AI4446" s="183" t="s">
        <v>5248</v>
      </c>
      <c r="AJ4446" s="183"/>
      <c r="AK4446" s="183"/>
      <c r="AL4446" s="183"/>
      <c r="AM4446" s="183"/>
      <c r="AN4446" s="131"/>
      <c r="AO4446" s="131"/>
      <c r="AP4446" s="131"/>
      <c r="AQ4446" s="131"/>
      <c r="AR4446" s="288"/>
      <c r="AS4446" s="259"/>
      <c r="AT4446" s="237" t="s">
        <v>5334</v>
      </c>
      <c r="AU4446" s="202" t="s">
        <v>5923</v>
      </c>
      <c r="AV4446" s="6" t="str">
        <f t="shared" si="108"/>
        <v/>
      </c>
    </row>
    <row r="4447" spans="1:48" ht="46.9" thickBot="1" x14ac:dyDescent="0.5">
      <c r="A4447" s="321"/>
      <c r="B4447" s="322"/>
      <c r="C4447" s="314" t="s">
        <v>2</v>
      </c>
      <c r="D4447" s="314"/>
      <c r="E4447" s="314" t="s">
        <v>3</v>
      </c>
      <c r="F4447" s="314"/>
      <c r="G4447" s="314" t="s">
        <v>2896</v>
      </c>
      <c r="H4447" s="314"/>
      <c r="R4447" s="115"/>
      <c r="S4447" s="115"/>
      <c r="T4447" s="115"/>
      <c r="U4447" s="115"/>
      <c r="V4447" s="115"/>
      <c r="W4447" s="115"/>
      <c r="X4447" s="115"/>
      <c r="Y4447" s="149"/>
      <c r="Z4447" s="183"/>
      <c r="AA4447" s="183"/>
      <c r="AB4447" s="183"/>
      <c r="AC4447" s="183"/>
      <c r="AD4447" s="183"/>
      <c r="AE4447" s="184"/>
      <c r="AF4447" s="184"/>
      <c r="AG4447" s="183"/>
      <c r="AH4447" s="183"/>
      <c r="AI4447" s="183"/>
      <c r="AJ4447" s="183"/>
      <c r="AK4447" s="183"/>
      <c r="AL4447" s="183"/>
      <c r="AM4447" s="8" t="str">
        <f>C4447</f>
        <v>OSM-Redfish</v>
      </c>
      <c r="AN4447" s="8" t="str">
        <f>E4447</f>
        <v>OSM-RedfishBMC</v>
      </c>
      <c r="AO4447" s="8" t="str">
        <f>G4447</f>
        <v>OSM-RedfishDCN</v>
      </c>
      <c r="AP4447" s="131"/>
      <c r="AQ4447" s="131"/>
      <c r="AR4447" s="288"/>
      <c r="AS4447" s="259"/>
      <c r="AT4447" s="237" t="s">
        <v>5326</v>
      </c>
      <c r="AV4447" s="6" t="str">
        <f t="shared" si="108"/>
        <v/>
      </c>
    </row>
    <row r="4448" spans="1:48" ht="46.9" thickBot="1" x14ac:dyDescent="0.5">
      <c r="A4448" s="46" t="s">
        <v>2377</v>
      </c>
      <c r="B4448" s="47"/>
      <c r="C4448" s="303"/>
      <c r="D4448" s="304"/>
      <c r="E4448" s="303"/>
      <c r="F4448" s="304"/>
      <c r="G4448" s="303"/>
      <c r="H4448" s="304"/>
      <c r="R4448" s="129"/>
      <c r="S4448" s="117"/>
      <c r="T4448" s="117"/>
      <c r="U4448" s="117"/>
      <c r="V4448" s="117"/>
      <c r="W4448" s="117"/>
      <c r="X4448" s="216"/>
      <c r="Y4448" s="118"/>
      <c r="Z4448" s="185"/>
      <c r="AA4448" s="185"/>
      <c r="AB4448" s="185"/>
      <c r="AC4448" s="185"/>
      <c r="AD4448" s="185"/>
      <c r="AE4448" s="186"/>
      <c r="AF4448" s="186"/>
      <c r="AG4448" s="185"/>
      <c r="AH4448" s="185"/>
      <c r="AI4448" s="185"/>
      <c r="AJ4448" s="185"/>
      <c r="AK4448" s="185"/>
      <c r="AL4448" s="185"/>
      <c r="AM4448" s="8" t="str">
        <f>IF(C4448&lt;&gt;"","CRQ-P5-"&amp;(AM$2+$AP4448*$AP$3),"")</f>
        <v/>
      </c>
      <c r="AN4448" s="8" t="str">
        <f>IF(E4448&lt;&gt;"","CRQ-P5-"&amp;(AN$2+$AP4448*$AP$3),"")</f>
        <v/>
      </c>
      <c r="AO4448" s="8" t="str">
        <f>IF(G4448&lt;&gt;"","CRQ-P5-"&amp;(AO$2+$AP4448*$AP$3),"")</f>
        <v/>
      </c>
      <c r="AP4448" s="117">
        <v>13</v>
      </c>
      <c r="AQ4448" s="117"/>
      <c r="AR4448" s="287"/>
      <c r="AS4448" s="258"/>
      <c r="AT4448" s="237" t="s">
        <v>5326</v>
      </c>
      <c r="AU4448" s="6"/>
      <c r="AV4448" s="6" t="str">
        <f t="shared" si="108"/>
        <v/>
      </c>
    </row>
    <row r="4449" spans="1:48" ht="46.9" thickBot="1" x14ac:dyDescent="0.5">
      <c r="A4449" s="29" t="s">
        <v>3394</v>
      </c>
      <c r="B4449" s="9"/>
      <c r="C4449" s="305"/>
      <c r="D4449" s="306"/>
      <c r="E4449" s="305"/>
      <c r="F4449" s="306"/>
      <c r="G4449" s="305"/>
      <c r="H4449" s="306"/>
      <c r="R4449" s="111" t="s">
        <v>3429</v>
      </c>
      <c r="S4449" s="111" t="s">
        <v>3430</v>
      </c>
      <c r="T4449" s="111" t="s">
        <v>3427</v>
      </c>
      <c r="U4449" s="111" t="s">
        <v>3431</v>
      </c>
      <c r="V4449" s="111" t="s">
        <v>3432</v>
      </c>
      <c r="W4449" s="111" t="s">
        <v>3433</v>
      </c>
      <c r="X4449" s="217" t="s">
        <v>3434</v>
      </c>
      <c r="Y4449" s="118" t="s">
        <v>3965</v>
      </c>
      <c r="Z4449" s="185"/>
      <c r="AA4449" s="185"/>
      <c r="AB4449" s="185"/>
      <c r="AC4449" s="185"/>
      <c r="AD4449" s="185"/>
      <c r="AE4449" s="186"/>
      <c r="AF4449" s="186"/>
      <c r="AG4449" s="185"/>
      <c r="AH4449" s="185"/>
      <c r="AI4449" s="185"/>
      <c r="AJ4449" s="185"/>
      <c r="AK4449" s="185"/>
      <c r="AL4449" s="185"/>
      <c r="AM4449" s="185"/>
      <c r="AN4449" s="117"/>
      <c r="AO4449" s="117"/>
      <c r="AP4449" s="117"/>
      <c r="AQ4449" s="117"/>
      <c r="AR4449" s="287"/>
      <c r="AS4449" s="258"/>
      <c r="AT4449" s="237" t="s">
        <v>5326</v>
      </c>
      <c r="AU4449" s="6"/>
      <c r="AV4449" s="6" t="str">
        <f t="shared" si="108"/>
        <v/>
      </c>
    </row>
    <row r="4450" spans="1:48" ht="15" customHeight="1" thickBot="1" x14ac:dyDescent="0.5">
      <c r="A4450" s="60" t="s">
        <v>4</v>
      </c>
      <c r="B4450" s="61" t="s">
        <v>5</v>
      </c>
      <c r="C4450" s="62" t="s">
        <v>6</v>
      </c>
      <c r="D4450" s="62" t="s">
        <v>7</v>
      </c>
      <c r="E4450" s="62" t="s">
        <v>6</v>
      </c>
      <c r="F4450" s="62" t="s">
        <v>7</v>
      </c>
      <c r="G4450" s="62" t="s">
        <v>6</v>
      </c>
      <c r="H4450" s="62" t="s">
        <v>7</v>
      </c>
      <c r="R4450" s="352" t="s">
        <v>4040</v>
      </c>
      <c r="S4450" s="353"/>
      <c r="T4450" s="353"/>
      <c r="U4450" s="353"/>
      <c r="V4450" s="353"/>
      <c r="W4450" s="353"/>
      <c r="X4450" s="357"/>
      <c r="Y4450" s="149"/>
      <c r="Z4450" s="183" t="s">
        <v>4347</v>
      </c>
      <c r="AA4450" s="183" t="s">
        <v>4343</v>
      </c>
      <c r="AB4450" s="183" t="s">
        <v>4172</v>
      </c>
      <c r="AC4450" s="183" t="s">
        <v>4340</v>
      </c>
      <c r="AD4450" s="183" t="s">
        <v>4339</v>
      </c>
      <c r="AE4450" s="184" t="s">
        <v>4341</v>
      </c>
      <c r="AF4450" s="184" t="s">
        <v>4342</v>
      </c>
      <c r="AG4450" s="183" t="s">
        <v>4353</v>
      </c>
      <c r="AH4450" s="183" t="s">
        <v>3429</v>
      </c>
      <c r="AI4450" s="183" t="s">
        <v>4356</v>
      </c>
      <c r="AJ4450" s="183" t="s">
        <v>4364</v>
      </c>
      <c r="AK4450" s="183"/>
      <c r="AL4450" s="183"/>
      <c r="AM4450" s="183"/>
      <c r="AN4450" s="131"/>
      <c r="AO4450" s="131"/>
      <c r="AP4450" s="131"/>
      <c r="AQ4450" s="131"/>
      <c r="AR4450" s="288"/>
      <c r="AS4450" s="259"/>
      <c r="AT4450" s="237" t="s">
        <v>5326</v>
      </c>
      <c r="AV4450" s="6" t="str">
        <f t="shared" si="108"/>
        <v/>
      </c>
    </row>
    <row r="4451" spans="1:48" ht="46.9" thickBot="1" x14ac:dyDescent="0.5">
      <c r="A4451" s="36" t="s">
        <v>8</v>
      </c>
      <c r="B4451" s="3" t="s">
        <v>4648</v>
      </c>
      <c r="C4451" s="51"/>
      <c r="D4451" s="51"/>
      <c r="E4451" s="51"/>
      <c r="F4451" s="51"/>
      <c r="G4451" s="51"/>
      <c r="H4451" s="51"/>
      <c r="AT4451" s="237" t="s">
        <v>5326</v>
      </c>
      <c r="AV4451" s="6" t="str">
        <f t="shared" si="108"/>
        <v/>
      </c>
    </row>
    <row r="4452" spans="1:48" ht="105" thickBot="1" x14ac:dyDescent="0.5">
      <c r="A4452" s="44" t="s">
        <v>4097</v>
      </c>
      <c r="B4452" s="50" t="s">
        <v>4650</v>
      </c>
      <c r="C4452" s="12"/>
      <c r="D4452" s="12"/>
      <c r="E4452" s="20"/>
      <c r="F4452" s="20"/>
      <c r="G4452" s="12" t="s">
        <v>10</v>
      </c>
      <c r="H4452" s="12"/>
      <c r="R4452" s="122" t="s">
        <v>3435</v>
      </c>
      <c r="S4452" s="114" t="s">
        <v>4</v>
      </c>
      <c r="T4452" s="114" t="s">
        <v>4651</v>
      </c>
      <c r="U4452" s="114" t="s">
        <v>3521</v>
      </c>
      <c r="V4452" s="114" t="s">
        <v>3530</v>
      </c>
      <c r="W4452" s="114" t="s">
        <v>3436</v>
      </c>
      <c r="X4452" s="114" t="s">
        <v>13</v>
      </c>
      <c r="Y4452" s="149"/>
      <c r="Z4452" s="183"/>
      <c r="AA4452" s="183"/>
      <c r="AB4452" s="183" t="s">
        <v>758</v>
      </c>
      <c r="AC4452" s="183" t="s">
        <v>4346</v>
      </c>
      <c r="AD4452" s="183" t="s">
        <v>4992</v>
      </c>
      <c r="AE4452" s="184"/>
      <c r="AF4452" s="184"/>
      <c r="AG4452" s="183"/>
      <c r="AH4452" s="183"/>
      <c r="AI4452" s="183"/>
      <c r="AJ4452" s="183"/>
      <c r="AK4452" s="183"/>
      <c r="AL4452" s="183"/>
      <c r="AM4452" s="183"/>
      <c r="AN4452" s="131"/>
      <c r="AO4452" s="131"/>
      <c r="AP4452" s="131"/>
      <c r="AQ4452" s="131"/>
      <c r="AR4452" s="288"/>
      <c r="AS4452" s="259"/>
      <c r="AT4452" s="237" t="s">
        <v>5334</v>
      </c>
      <c r="AV4452" s="6" t="str">
        <f t="shared" si="108"/>
        <v>ERROR</v>
      </c>
    </row>
    <row r="4453" spans="1:48" ht="105" thickBot="1" x14ac:dyDescent="0.5">
      <c r="A4453" s="44" t="s">
        <v>4551</v>
      </c>
      <c r="B4453" s="50" t="s">
        <v>4743</v>
      </c>
      <c r="C4453" s="12"/>
      <c r="D4453" s="12"/>
      <c r="E4453" s="20"/>
      <c r="F4453" s="20"/>
      <c r="G4453" s="12" t="s">
        <v>10</v>
      </c>
      <c r="H4453" s="12"/>
      <c r="R4453" s="122" t="s">
        <v>3435</v>
      </c>
      <c r="S4453" s="114" t="s">
        <v>4</v>
      </c>
      <c r="T4453" s="114" t="s">
        <v>4652</v>
      </c>
      <c r="U4453" s="114" t="s">
        <v>3521</v>
      </c>
      <c r="V4453" s="114" t="s">
        <v>3530</v>
      </c>
      <c r="W4453" s="114" t="s">
        <v>3436</v>
      </c>
      <c r="X4453" s="114" t="s">
        <v>13</v>
      </c>
      <c r="Y4453" s="149"/>
      <c r="Z4453" s="183"/>
      <c r="AA4453" s="183"/>
      <c r="AB4453" s="183" t="s">
        <v>758</v>
      </c>
      <c r="AC4453" s="183" t="s">
        <v>4346</v>
      </c>
      <c r="AD4453" s="183" t="s">
        <v>4993</v>
      </c>
      <c r="AE4453" s="184"/>
      <c r="AF4453" s="184"/>
      <c r="AG4453" s="183"/>
      <c r="AH4453" s="183"/>
      <c r="AI4453" s="183"/>
      <c r="AJ4453" s="183"/>
      <c r="AK4453" s="183"/>
      <c r="AL4453" s="183"/>
      <c r="AM4453" s="183"/>
      <c r="AN4453" s="131"/>
      <c r="AO4453" s="131"/>
      <c r="AP4453" s="131"/>
      <c r="AQ4453" s="131"/>
      <c r="AR4453" s="288"/>
      <c r="AS4453" s="259"/>
      <c r="AT4453" s="237" t="s">
        <v>5334</v>
      </c>
      <c r="AV4453" s="6" t="str">
        <f t="shared" ref="AV4453" si="110">IF(A4453&lt;&gt;"",IF(T4453&lt;&gt;"",IF(LEFT(R4453,3)="Has",IF(TRIM(A4453)&lt;&gt;T4453,"ERROR","OK"),""),""),"")</f>
        <v>ERROR</v>
      </c>
    </row>
    <row r="4454" spans="1:48" ht="105" thickBot="1" x14ac:dyDescent="0.5">
      <c r="A4454" s="44" t="s">
        <v>3490</v>
      </c>
      <c r="B4454" s="50" t="s">
        <v>4653</v>
      </c>
      <c r="C4454" s="12"/>
      <c r="D4454" s="12"/>
      <c r="E4454" s="20"/>
      <c r="F4454" s="20"/>
      <c r="G4454" s="12" t="s">
        <v>10</v>
      </c>
      <c r="H4454" s="12"/>
      <c r="R4454" s="122" t="s">
        <v>3435</v>
      </c>
      <c r="S4454" s="114" t="s">
        <v>4</v>
      </c>
      <c r="T4454" s="114" t="s">
        <v>4652</v>
      </c>
      <c r="U4454" s="114" t="s">
        <v>3521</v>
      </c>
      <c r="V4454" s="114" t="s">
        <v>3530</v>
      </c>
      <c r="W4454" s="114" t="s">
        <v>3436</v>
      </c>
      <c r="X4454" s="114" t="s">
        <v>13</v>
      </c>
      <c r="Y4454" s="149"/>
      <c r="Z4454" s="183"/>
      <c r="AA4454" s="183"/>
      <c r="AB4454" s="183" t="s">
        <v>758</v>
      </c>
      <c r="AC4454" s="183" t="s">
        <v>4346</v>
      </c>
      <c r="AD4454" s="183" t="s">
        <v>4994</v>
      </c>
      <c r="AE4454" s="184"/>
      <c r="AF4454" s="184"/>
      <c r="AG4454" s="183"/>
      <c r="AH4454" s="183"/>
      <c r="AI4454" s="183"/>
      <c r="AJ4454" s="183"/>
      <c r="AK4454" s="183"/>
      <c r="AL4454" s="183"/>
      <c r="AM4454" s="183"/>
      <c r="AN4454" s="131"/>
      <c r="AO4454" s="131"/>
      <c r="AP4454" s="131"/>
      <c r="AQ4454" s="131"/>
      <c r="AR4454" s="288"/>
      <c r="AS4454" s="259"/>
      <c r="AT4454" s="237" t="s">
        <v>5334</v>
      </c>
      <c r="AV4454" s="6" t="str">
        <f t="shared" si="108"/>
        <v>ERROR</v>
      </c>
    </row>
    <row r="4455" spans="1:48" ht="105" thickBot="1" x14ac:dyDescent="0.5">
      <c r="A4455" s="36" t="s">
        <v>1124</v>
      </c>
      <c r="B4455" s="3" t="s">
        <v>4647</v>
      </c>
      <c r="C4455" s="4"/>
      <c r="D4455" s="4"/>
      <c r="E4455" s="4"/>
      <c r="F4455" s="4"/>
      <c r="G4455" s="4" t="s">
        <v>37</v>
      </c>
      <c r="H4455" s="4"/>
      <c r="Q4455" s="8" t="s">
        <v>3551</v>
      </c>
      <c r="R4455" s="122" t="s">
        <v>3529</v>
      </c>
      <c r="S4455" s="114" t="s">
        <v>4</v>
      </c>
      <c r="T4455" s="114" t="s">
        <v>1124</v>
      </c>
      <c r="U4455" s="114" t="s">
        <v>3521</v>
      </c>
      <c r="V4455" s="114" t="s">
        <v>3530</v>
      </c>
      <c r="W4455" s="114" t="s">
        <v>3436</v>
      </c>
      <c r="X4455" s="114" t="s">
        <v>13</v>
      </c>
      <c r="Y4455" s="149"/>
      <c r="Z4455" s="183"/>
      <c r="AA4455" s="183"/>
      <c r="AB4455" s="183" t="s">
        <v>4358</v>
      </c>
      <c r="AC4455" s="183" t="s">
        <v>6</v>
      </c>
      <c r="AD4455" s="183" t="s">
        <v>4988</v>
      </c>
      <c r="AE4455" s="184"/>
      <c r="AF4455" s="184"/>
      <c r="AG4455" s="183"/>
      <c r="AH4455" s="183"/>
      <c r="AI4455" s="183"/>
      <c r="AJ4455" s="183"/>
      <c r="AK4455" s="183"/>
      <c r="AL4455" s="183"/>
      <c r="AM4455" s="183"/>
      <c r="AN4455" s="131"/>
      <c r="AO4455" s="131"/>
      <c r="AP4455" s="131"/>
      <c r="AQ4455" s="131"/>
      <c r="AR4455" s="288"/>
      <c r="AS4455" s="259"/>
      <c r="AT4455" s="237" t="s">
        <v>5334</v>
      </c>
      <c r="AU4455" s="6"/>
      <c r="AV4455" s="6" t="str">
        <f t="shared" si="108"/>
        <v>OK</v>
      </c>
    </row>
    <row r="4456" spans="1:48" ht="105" thickBot="1" x14ac:dyDescent="0.5">
      <c r="A4456" s="44" t="s">
        <v>4517</v>
      </c>
      <c r="B4456" s="50" t="s">
        <v>4744</v>
      </c>
      <c r="C4456" s="12"/>
      <c r="D4456" s="12"/>
      <c r="E4456" s="20"/>
      <c r="F4456" s="20"/>
      <c r="G4456" s="12" t="s">
        <v>10</v>
      </c>
      <c r="H4456" s="12"/>
      <c r="Q4456" s="8" t="s">
        <v>4654</v>
      </c>
      <c r="R4456" s="122" t="s">
        <v>3529</v>
      </c>
      <c r="S4456" s="114" t="s">
        <v>4</v>
      </c>
      <c r="T4456" s="114" t="s">
        <v>4550</v>
      </c>
      <c r="U4456" s="114"/>
      <c r="V4456" s="114" t="s">
        <v>3633</v>
      </c>
      <c r="W4456" s="114" t="s">
        <v>3436</v>
      </c>
      <c r="X4456" s="114" t="s">
        <v>13</v>
      </c>
      <c r="Y4456" s="149"/>
      <c r="Z4456" s="183"/>
      <c r="AA4456" s="183"/>
      <c r="AB4456" s="183" t="s">
        <v>4655</v>
      </c>
      <c r="AC4456" s="183" t="s">
        <v>6</v>
      </c>
      <c r="AD4456" s="183" t="s">
        <v>5033</v>
      </c>
      <c r="AE4456" s="184"/>
      <c r="AF4456" s="184"/>
      <c r="AG4456" s="183"/>
      <c r="AH4456" s="183"/>
      <c r="AI4456" s="183"/>
      <c r="AJ4456" s="183"/>
      <c r="AK4456" s="183"/>
      <c r="AL4456" s="183"/>
      <c r="AM4456" s="183"/>
      <c r="AN4456" s="131"/>
      <c r="AO4456" s="131"/>
      <c r="AP4456" s="131"/>
      <c r="AQ4456" s="131"/>
      <c r="AR4456" s="288"/>
      <c r="AS4456" s="259"/>
      <c r="AT4456" s="237" t="s">
        <v>5334</v>
      </c>
      <c r="AV4456" s="6" t="str">
        <f t="shared" ref="AV4456" si="111">IF(A4456&lt;&gt;"",IF(T4456&lt;&gt;"",IF(LEFT(R4456,3)="Has",IF(TRIM(A4456)&lt;&gt;T4456,"ERROR","OK"),""),""),"")</f>
        <v>ERROR</v>
      </c>
    </row>
    <row r="4457" spans="1:48" ht="105" thickBot="1" x14ac:dyDescent="0.5">
      <c r="A4457" s="44" t="s">
        <v>418</v>
      </c>
      <c r="B4457" s="50" t="s">
        <v>4745</v>
      </c>
      <c r="C4457" s="12"/>
      <c r="D4457" s="12"/>
      <c r="E4457" s="20"/>
      <c r="F4457" s="20"/>
      <c r="G4457" s="12" t="s">
        <v>37</v>
      </c>
      <c r="H4457" s="12"/>
      <c r="R4457" s="122" t="s">
        <v>3435</v>
      </c>
      <c r="S4457" s="114" t="s">
        <v>3437</v>
      </c>
      <c r="T4457" s="114" t="s">
        <v>418</v>
      </c>
      <c r="U4457" s="114"/>
      <c r="V4457" s="114" t="s">
        <v>4654</v>
      </c>
      <c r="W4457" s="114" t="s">
        <v>3436</v>
      </c>
      <c r="X4457" s="114" t="s">
        <v>13</v>
      </c>
      <c r="Y4457" s="149"/>
      <c r="Z4457" s="183"/>
      <c r="AA4457" s="183"/>
      <c r="AB4457" s="183" t="s">
        <v>4349</v>
      </c>
      <c r="AC4457" s="183" t="s">
        <v>4346</v>
      </c>
      <c r="AD4457" s="183" t="s">
        <v>4995</v>
      </c>
      <c r="AE4457" s="184"/>
      <c r="AF4457" s="184"/>
      <c r="AG4457" s="183"/>
      <c r="AH4457" s="183"/>
      <c r="AI4457" s="183" t="s">
        <v>4357</v>
      </c>
      <c r="AJ4457" s="183"/>
      <c r="AK4457" s="183" t="s">
        <v>4555</v>
      </c>
      <c r="AL4457" s="183"/>
      <c r="AM4457" s="183"/>
      <c r="AN4457" s="131"/>
      <c r="AO4457" s="131"/>
      <c r="AP4457" s="131"/>
      <c r="AQ4457" s="131"/>
      <c r="AR4457" s="288"/>
      <c r="AS4457" s="259"/>
      <c r="AT4457" s="237" t="s">
        <v>5334</v>
      </c>
      <c r="AU4457" s="8"/>
      <c r="AV4457" s="6" t="str">
        <f t="shared" si="108"/>
        <v>OK</v>
      </c>
    </row>
    <row r="4458" spans="1:48" ht="46.9" thickBot="1" x14ac:dyDescent="0.5">
      <c r="A4458" s="41" t="s">
        <v>33</v>
      </c>
      <c r="B4458" s="50" t="s">
        <v>3686</v>
      </c>
      <c r="C4458" s="12"/>
      <c r="D4458" s="20"/>
      <c r="E4458" s="20"/>
      <c r="F4458" s="20"/>
      <c r="G4458" s="12"/>
      <c r="H4458" s="20"/>
      <c r="R4458" s="114"/>
      <c r="S4458" s="114"/>
      <c r="T4458" s="114"/>
      <c r="U4458" s="114"/>
      <c r="V4458" s="114"/>
      <c r="W4458" s="114"/>
      <c r="X4458" s="114"/>
      <c r="Y4458" s="149"/>
      <c r="Z4458" s="183"/>
      <c r="AA4458" s="183"/>
      <c r="AB4458" s="183"/>
      <c r="AC4458" s="183"/>
      <c r="AD4458" s="183"/>
      <c r="AE4458" s="184"/>
      <c r="AF4458" s="184"/>
      <c r="AG4458" s="183"/>
      <c r="AH4458" s="183"/>
      <c r="AI4458" s="183"/>
      <c r="AJ4458" s="183"/>
      <c r="AK4458" s="183"/>
      <c r="AL4458" s="183"/>
      <c r="AM4458" s="183"/>
      <c r="AN4458" s="131"/>
      <c r="AO4458" s="131"/>
      <c r="AP4458" s="131"/>
      <c r="AQ4458" s="131"/>
      <c r="AR4458" s="288"/>
      <c r="AS4458" s="259"/>
      <c r="AT4458" s="237" t="s">
        <v>5326</v>
      </c>
      <c r="AV4458" s="6" t="str">
        <f t="shared" si="108"/>
        <v/>
      </c>
    </row>
    <row r="4459" spans="1:48" ht="46.9" thickBot="1" x14ac:dyDescent="0.5">
      <c r="A4459" s="35" t="s">
        <v>461</v>
      </c>
      <c r="B4459" s="3" t="s">
        <v>3688</v>
      </c>
      <c r="C4459" s="12"/>
      <c r="D4459" s="20"/>
      <c r="E4459" s="20"/>
      <c r="F4459" s="4"/>
      <c r="G4459" s="12"/>
      <c r="H4459" s="20"/>
      <c r="R4459" s="114"/>
      <c r="S4459" s="114"/>
      <c r="T4459" s="114"/>
      <c r="U4459" s="114"/>
      <c r="V4459" s="114"/>
      <c r="W4459" s="114"/>
      <c r="X4459" s="114"/>
      <c r="Y4459" s="149"/>
      <c r="Z4459" s="183"/>
      <c r="AA4459" s="183"/>
      <c r="AB4459" s="183"/>
      <c r="AC4459" s="183"/>
      <c r="AD4459" s="183"/>
      <c r="AE4459" s="184"/>
      <c r="AF4459" s="184"/>
      <c r="AG4459" s="183"/>
      <c r="AH4459" s="183"/>
      <c r="AI4459" s="183"/>
      <c r="AJ4459" s="183"/>
      <c r="AK4459" s="183"/>
      <c r="AL4459" s="183"/>
      <c r="AM4459" s="183"/>
      <c r="AN4459" s="131"/>
      <c r="AO4459" s="131"/>
      <c r="AP4459" s="131"/>
      <c r="AQ4459" s="131"/>
      <c r="AR4459" s="288"/>
      <c r="AS4459" s="259"/>
      <c r="AT4459" s="237" t="s">
        <v>5326</v>
      </c>
      <c r="AU4459" s="8"/>
      <c r="AV4459" s="6" t="str">
        <f t="shared" si="108"/>
        <v/>
      </c>
    </row>
    <row r="4460" spans="1:48" ht="46.9" thickBot="1" x14ac:dyDescent="0.5">
      <c r="A4460" s="35" t="s">
        <v>424</v>
      </c>
      <c r="B4460" s="3" t="s">
        <v>3689</v>
      </c>
      <c r="C4460" s="12"/>
      <c r="D4460" s="20"/>
      <c r="E4460" s="20"/>
      <c r="F4460" s="4"/>
      <c r="G4460" s="12"/>
      <c r="H4460" s="20"/>
      <c r="R4460" s="114"/>
      <c r="S4460" s="114"/>
      <c r="T4460" s="114"/>
      <c r="U4460" s="114"/>
      <c r="V4460" s="114"/>
      <c r="W4460" s="114"/>
      <c r="X4460" s="114"/>
      <c r="Y4460" s="149"/>
      <c r="Z4460" s="183"/>
      <c r="AA4460" s="183"/>
      <c r="AB4460" s="183"/>
      <c r="AC4460" s="183"/>
      <c r="AD4460" s="183"/>
      <c r="AE4460" s="184"/>
      <c r="AF4460" s="184"/>
      <c r="AG4460" s="183"/>
      <c r="AH4460" s="183"/>
      <c r="AI4460" s="183"/>
      <c r="AJ4460" s="183"/>
      <c r="AK4460" s="183"/>
      <c r="AL4460" s="183"/>
      <c r="AM4460" s="183"/>
      <c r="AN4460" s="131"/>
      <c r="AO4460" s="131"/>
      <c r="AP4460" s="131"/>
      <c r="AQ4460" s="131"/>
      <c r="AR4460" s="288"/>
      <c r="AS4460" s="259"/>
      <c r="AT4460" s="237" t="s">
        <v>5326</v>
      </c>
      <c r="AU4460" s="8"/>
      <c r="AV4460" s="6" t="str">
        <f t="shared" si="108"/>
        <v/>
      </c>
    </row>
    <row r="4461" spans="1:48" ht="105" thickBot="1" x14ac:dyDescent="0.5">
      <c r="A4461" s="41" t="s">
        <v>2653</v>
      </c>
      <c r="B4461" s="50" t="s">
        <v>4746</v>
      </c>
      <c r="C4461" s="12"/>
      <c r="D4461" s="12"/>
      <c r="E4461" s="20"/>
      <c r="F4461" s="20"/>
      <c r="G4461" s="12" t="s">
        <v>10</v>
      </c>
      <c r="H4461" s="12"/>
      <c r="Q4461" s="8" t="s">
        <v>4654</v>
      </c>
      <c r="R4461" s="122" t="s">
        <v>3529</v>
      </c>
      <c r="S4461" s="114" t="s">
        <v>4</v>
      </c>
      <c r="T4461" s="114" t="s">
        <v>2678</v>
      </c>
      <c r="U4461" s="114" t="s">
        <v>3521</v>
      </c>
      <c r="V4461" s="114" t="s">
        <v>3530</v>
      </c>
      <c r="W4461" s="114" t="s">
        <v>3436</v>
      </c>
      <c r="X4461" s="114" t="s">
        <v>13</v>
      </c>
      <c r="Y4461" s="149"/>
      <c r="Z4461" s="183"/>
      <c r="AA4461" s="183" t="s">
        <v>418</v>
      </c>
      <c r="AB4461" s="183" t="s">
        <v>758</v>
      </c>
      <c r="AC4461" s="183" t="s">
        <v>4346</v>
      </c>
      <c r="AD4461" s="183" t="s">
        <v>4996</v>
      </c>
      <c r="AE4461" s="184"/>
      <c r="AF4461" s="184"/>
      <c r="AG4461" s="183"/>
      <c r="AH4461" s="183"/>
      <c r="AI4461" s="183"/>
      <c r="AJ4461" s="183"/>
      <c r="AK4461" s="183"/>
      <c r="AL4461" s="183"/>
      <c r="AM4461" s="183"/>
      <c r="AN4461" s="131"/>
      <c r="AO4461" s="131"/>
      <c r="AP4461" s="131"/>
      <c r="AQ4461" s="131"/>
      <c r="AR4461" s="288"/>
      <c r="AS4461" s="259"/>
      <c r="AT4461" s="237" t="s">
        <v>5334</v>
      </c>
      <c r="AU4461" s="202" t="s">
        <v>5246</v>
      </c>
      <c r="AV4461" s="6" t="str">
        <f t="shared" si="108"/>
        <v>OK</v>
      </c>
    </row>
    <row r="4462" spans="1:48" ht="105" thickBot="1" x14ac:dyDescent="0.5">
      <c r="A4462" s="41" t="s">
        <v>4552</v>
      </c>
      <c r="B4462" s="50" t="s">
        <v>4741</v>
      </c>
      <c r="C4462" s="12"/>
      <c r="D4462" s="12"/>
      <c r="E4462" s="20"/>
      <c r="F4462" s="20"/>
      <c r="G4462" s="12" t="s">
        <v>10</v>
      </c>
      <c r="H4462" s="12"/>
      <c r="Q4462" s="8" t="s">
        <v>4654</v>
      </c>
      <c r="R4462" s="122" t="s">
        <v>3529</v>
      </c>
      <c r="S4462" s="114" t="s">
        <v>4</v>
      </c>
      <c r="T4462" s="114" t="s">
        <v>4549</v>
      </c>
      <c r="U4462" s="114" t="s">
        <v>3521</v>
      </c>
      <c r="V4462" s="114" t="s">
        <v>3530</v>
      </c>
      <c r="W4462" s="114" t="s">
        <v>3436</v>
      </c>
      <c r="X4462" s="114" t="s">
        <v>13</v>
      </c>
      <c r="Y4462" s="149"/>
      <c r="Z4462" s="183"/>
      <c r="AA4462" s="183" t="s">
        <v>418</v>
      </c>
      <c r="AB4462" s="183" t="s">
        <v>758</v>
      </c>
      <c r="AC4462" s="183" t="s">
        <v>4346</v>
      </c>
      <c r="AD4462" s="183" t="s">
        <v>4997</v>
      </c>
      <c r="AE4462" s="184"/>
      <c r="AF4462" s="184"/>
      <c r="AG4462" s="183"/>
      <c r="AH4462" s="183"/>
      <c r="AI4462" s="183"/>
      <c r="AJ4462" s="183"/>
      <c r="AK4462" s="183"/>
      <c r="AL4462" s="183"/>
      <c r="AM4462" s="183"/>
      <c r="AN4462" s="131"/>
      <c r="AO4462" s="131"/>
      <c r="AP4462" s="131"/>
      <c r="AQ4462" s="131"/>
      <c r="AR4462" s="288"/>
      <c r="AS4462" s="259"/>
      <c r="AT4462" s="237" t="s">
        <v>5334</v>
      </c>
      <c r="AU4462" s="202" t="s">
        <v>5246</v>
      </c>
      <c r="AV4462" s="6" t="str">
        <f t="shared" si="108"/>
        <v>OK</v>
      </c>
    </row>
    <row r="4463" spans="1:48" ht="105" thickBot="1" x14ac:dyDescent="0.5">
      <c r="A4463" s="41" t="s">
        <v>4569</v>
      </c>
      <c r="B4463" s="50" t="s">
        <v>4742</v>
      </c>
      <c r="C4463" s="12"/>
      <c r="D4463" s="12"/>
      <c r="E4463" s="20"/>
      <c r="F4463" s="20"/>
      <c r="G4463" s="12" t="s">
        <v>10</v>
      </c>
      <c r="H4463" s="12"/>
      <c r="Q4463" s="8" t="s">
        <v>4654</v>
      </c>
      <c r="R4463" s="122" t="s">
        <v>3529</v>
      </c>
      <c r="S4463" s="114" t="s">
        <v>4</v>
      </c>
      <c r="T4463" s="114" t="s">
        <v>4550</v>
      </c>
      <c r="U4463" s="114"/>
      <c r="V4463" s="114" t="s">
        <v>3633</v>
      </c>
      <c r="W4463" s="114" t="s">
        <v>3436</v>
      </c>
      <c r="X4463" s="114" t="s">
        <v>13</v>
      </c>
      <c r="Y4463" s="149"/>
      <c r="Z4463" s="183"/>
      <c r="AA4463" s="183" t="s">
        <v>418</v>
      </c>
      <c r="AB4463" s="183" t="s">
        <v>4656</v>
      </c>
      <c r="AC4463" s="183" t="s">
        <v>6</v>
      </c>
      <c r="AD4463" s="183" t="s">
        <v>5034</v>
      </c>
      <c r="AE4463" s="184"/>
      <c r="AF4463" s="184"/>
      <c r="AG4463" s="183"/>
      <c r="AH4463" s="183"/>
      <c r="AI4463" s="183"/>
      <c r="AJ4463" s="183"/>
      <c r="AK4463" s="183"/>
      <c r="AL4463" s="183"/>
      <c r="AM4463" s="183"/>
      <c r="AN4463" s="131"/>
      <c r="AO4463" s="131"/>
      <c r="AP4463" s="131"/>
      <c r="AQ4463" s="131"/>
      <c r="AR4463" s="288"/>
      <c r="AS4463" s="259"/>
      <c r="AT4463" s="237" t="s">
        <v>5334</v>
      </c>
      <c r="AU4463" s="202" t="s">
        <v>5246</v>
      </c>
      <c r="AV4463" s="6" t="str">
        <f t="shared" si="108"/>
        <v>ERROR</v>
      </c>
    </row>
    <row r="4464" spans="1:48" ht="128.25" thickBot="1" x14ac:dyDescent="0.5">
      <c r="A4464" s="41" t="s">
        <v>4553</v>
      </c>
      <c r="B4464" s="50" t="s">
        <v>3773</v>
      </c>
      <c r="C4464" s="4"/>
      <c r="D4464" s="12"/>
      <c r="E4464" s="20"/>
      <c r="F4464" s="20"/>
      <c r="G4464" s="12" t="s">
        <v>10</v>
      </c>
      <c r="H4464" s="12"/>
      <c r="Q4464" s="8" t="s">
        <v>4654</v>
      </c>
      <c r="R4464" s="122" t="s">
        <v>3435</v>
      </c>
      <c r="S4464" s="114" t="s">
        <v>3443</v>
      </c>
      <c r="T4464" s="114" t="s">
        <v>2642</v>
      </c>
      <c r="U4464" s="114" t="s">
        <v>3522</v>
      </c>
      <c r="V4464" s="114" t="s">
        <v>3531</v>
      </c>
      <c r="W4464" s="114" t="s">
        <v>3436</v>
      </c>
      <c r="X4464" s="114" t="s">
        <v>13</v>
      </c>
      <c r="Y4464" s="149"/>
      <c r="Z4464" s="183"/>
      <c r="AA4464" s="183" t="s">
        <v>418</v>
      </c>
      <c r="AB4464" s="183" t="s">
        <v>4344</v>
      </c>
      <c r="AC4464" s="183" t="s">
        <v>6</v>
      </c>
      <c r="AD4464" s="183" t="s">
        <v>5035</v>
      </c>
      <c r="AE4464" s="184"/>
      <c r="AF4464" s="184"/>
      <c r="AG4464" s="183"/>
      <c r="AH4464" s="183"/>
      <c r="AI4464" s="183"/>
      <c r="AJ4464" s="183"/>
      <c r="AK4464" s="183"/>
      <c r="AL4464" s="183"/>
      <c r="AM4464" s="183"/>
      <c r="AN4464" s="131"/>
      <c r="AO4464" s="131"/>
      <c r="AP4464" s="131"/>
      <c r="AQ4464" s="131"/>
      <c r="AR4464" s="288"/>
      <c r="AS4464" s="259"/>
      <c r="AT4464" s="237" t="s">
        <v>5334</v>
      </c>
      <c r="AU4464" s="202" t="s">
        <v>5246</v>
      </c>
      <c r="AV4464" s="6" t="str">
        <f t="shared" si="108"/>
        <v>OK</v>
      </c>
    </row>
    <row r="4465" spans="1:48" ht="128.25" thickBot="1" x14ac:dyDescent="0.5">
      <c r="A4465" s="41" t="s">
        <v>4554</v>
      </c>
      <c r="B4465" s="50" t="s">
        <v>3774</v>
      </c>
      <c r="C4465" s="4"/>
      <c r="D4465" s="12"/>
      <c r="E4465" s="20"/>
      <c r="F4465" s="20"/>
      <c r="G4465" s="12" t="s">
        <v>10</v>
      </c>
      <c r="H4465" s="12"/>
      <c r="Q4465" s="8" t="s">
        <v>4654</v>
      </c>
      <c r="R4465" s="122" t="s">
        <v>3435</v>
      </c>
      <c r="S4465" s="114" t="s">
        <v>3443</v>
      </c>
      <c r="T4465" s="114" t="s">
        <v>2643</v>
      </c>
      <c r="U4465" s="114" t="s">
        <v>3522</v>
      </c>
      <c r="V4465" s="114" t="s">
        <v>3531</v>
      </c>
      <c r="W4465" s="114" t="s">
        <v>3436</v>
      </c>
      <c r="X4465" s="114" t="s">
        <v>13</v>
      </c>
      <c r="Y4465" s="149"/>
      <c r="Z4465" s="183"/>
      <c r="AA4465" s="183" t="s">
        <v>418</v>
      </c>
      <c r="AB4465" s="183" t="s">
        <v>4344</v>
      </c>
      <c r="AC4465" s="183" t="s">
        <v>6</v>
      </c>
      <c r="AD4465" s="183" t="s">
        <v>5036</v>
      </c>
      <c r="AE4465" s="184"/>
      <c r="AF4465" s="184"/>
      <c r="AG4465" s="183"/>
      <c r="AH4465" s="183"/>
      <c r="AI4465" s="183"/>
      <c r="AJ4465" s="183"/>
      <c r="AK4465" s="183"/>
      <c r="AL4465" s="183"/>
      <c r="AM4465" s="183"/>
      <c r="AN4465" s="131"/>
      <c r="AO4465" s="131"/>
      <c r="AP4465" s="131"/>
      <c r="AQ4465" s="131"/>
      <c r="AR4465" s="288"/>
      <c r="AS4465" s="259"/>
      <c r="AT4465" s="237" t="s">
        <v>5334</v>
      </c>
      <c r="AU4465" s="202" t="s">
        <v>5246</v>
      </c>
      <c r="AV4465" s="6" t="str">
        <f t="shared" si="108"/>
        <v>OK</v>
      </c>
    </row>
    <row r="4466" spans="1:48" ht="46.9" thickBot="1" x14ac:dyDescent="0.5">
      <c r="A4466" s="36" t="s">
        <v>753</v>
      </c>
      <c r="B4466" s="3" t="s">
        <v>60</v>
      </c>
      <c r="C4466" s="4"/>
      <c r="D4466" s="4"/>
      <c r="E4466" s="4"/>
      <c r="F4466" s="4"/>
      <c r="G4466" s="4"/>
      <c r="H4466" s="4"/>
      <c r="AT4466" s="237" t="s">
        <v>5326</v>
      </c>
      <c r="AU4466" s="8"/>
      <c r="AV4466" s="6" t="str">
        <f t="shared" si="108"/>
        <v/>
      </c>
    </row>
    <row r="4467" spans="1:48" ht="46.5" x14ac:dyDescent="0.45">
      <c r="A4467" s="33" t="s">
        <v>4657</v>
      </c>
      <c r="AT4467" s="237" t="s">
        <v>5326</v>
      </c>
      <c r="AV4467" s="6" t="str">
        <f t="shared" si="108"/>
        <v/>
      </c>
    </row>
    <row r="4468" spans="1:48" ht="69.75" x14ac:dyDescent="0.45">
      <c r="A4468" s="34" t="s">
        <v>5927</v>
      </c>
      <c r="AT4468" s="237" t="s">
        <v>5326</v>
      </c>
      <c r="AU4468" s="140" t="s">
        <v>5922</v>
      </c>
      <c r="AV4468" s="6" t="str">
        <f t="shared" si="108"/>
        <v/>
      </c>
    </row>
    <row r="4469" spans="1:48" s="79" customFormat="1" x14ac:dyDescent="0.45">
      <c r="A4469" s="75"/>
      <c r="B4469" s="76"/>
      <c r="C4469" s="77"/>
      <c r="D4469" s="77"/>
      <c r="E4469" s="77"/>
      <c r="F4469" s="77"/>
      <c r="G4469" s="77"/>
      <c r="H4469" s="77"/>
      <c r="I4469" s="77"/>
      <c r="J4469" s="77"/>
      <c r="K4469" s="77"/>
      <c r="L4469" s="77"/>
      <c r="M4469" s="148"/>
      <c r="N4469" s="78"/>
      <c r="O4469" s="78"/>
      <c r="P4469" s="78"/>
      <c r="Q4469" s="78"/>
      <c r="R4469" s="78"/>
      <c r="S4469" s="78"/>
      <c r="T4469" s="78"/>
      <c r="U4469" s="78"/>
      <c r="V4469" s="78"/>
      <c r="W4469" s="78"/>
      <c r="X4469" s="78"/>
      <c r="Y4469" s="148"/>
      <c r="Z4469" s="78"/>
      <c r="AA4469" s="78"/>
      <c r="AB4469" s="78"/>
      <c r="AC4469" s="78"/>
      <c r="AD4469" s="78"/>
      <c r="AE4469" s="156"/>
      <c r="AF4469" s="156"/>
      <c r="AG4469" s="78"/>
      <c r="AH4469" s="78"/>
      <c r="AI4469" s="78"/>
      <c r="AJ4469" s="78"/>
      <c r="AK4469" s="78"/>
      <c r="AL4469" s="78"/>
      <c r="AM4469" s="78"/>
      <c r="AN4469" s="78"/>
      <c r="AO4469" s="78"/>
      <c r="AP4469" s="78"/>
      <c r="AQ4469" s="78"/>
      <c r="AR4469" s="286"/>
      <c r="AS4469" s="78"/>
      <c r="AT4469" s="78"/>
      <c r="AU4469" s="8"/>
      <c r="AV4469" s="6" t="str">
        <f t="shared" si="108"/>
        <v/>
      </c>
    </row>
    <row r="4470" spans="1:48" ht="47.25" x14ac:dyDescent="0.45">
      <c r="A4470" s="27" t="s">
        <v>4419</v>
      </c>
      <c r="L4470" s="18" t="s">
        <v>2335</v>
      </c>
      <c r="AU4470" s="207" t="s">
        <v>5040</v>
      </c>
      <c r="AV4470" s="6" t="str">
        <f t="shared" ref="AV4470:AV4496" si="112">IF(A4470&lt;&gt;"",IF(T4470&lt;&gt;"",IF(LEFT(R4470,3)="Has",IF(TRIM(A4470)&lt;&gt;T4470,"ERROR","OK"),""),""),"")</f>
        <v/>
      </c>
    </row>
    <row r="4471" spans="1:48" ht="47.65" thickBot="1" x14ac:dyDescent="0.5">
      <c r="A4471" s="323" t="s">
        <v>4420</v>
      </c>
      <c r="B4471" s="324"/>
      <c r="C4471" s="324"/>
      <c r="D4471" s="324"/>
      <c r="E4471" s="324"/>
      <c r="F4471" s="324"/>
      <c r="G4471" s="101"/>
      <c r="H4471" s="101"/>
      <c r="L4471" s="18" t="s">
        <v>2335</v>
      </c>
      <c r="Z4471" s="183" t="s">
        <v>4347</v>
      </c>
      <c r="AA4471" s="183" t="s">
        <v>2322</v>
      </c>
      <c r="AB4471" s="183" t="s">
        <v>1697</v>
      </c>
      <c r="AC4471" s="183" t="s">
        <v>5</v>
      </c>
      <c r="AD4471" s="183" t="s">
        <v>4339</v>
      </c>
      <c r="AE4471" s="184" t="s">
        <v>4338</v>
      </c>
      <c r="AF4471" s="184" t="s">
        <v>4350</v>
      </c>
      <c r="AG4471" s="183" t="s">
        <v>1695</v>
      </c>
      <c r="AH4471" s="183" t="s">
        <v>4351</v>
      </c>
      <c r="AI4471" s="8" t="s">
        <v>4455</v>
      </c>
      <c r="AJ4471" s="183" t="s">
        <v>5051</v>
      </c>
      <c r="AU4471" s="207" t="s">
        <v>5040</v>
      </c>
      <c r="AV4471" s="6" t="str">
        <f t="shared" si="112"/>
        <v/>
      </c>
    </row>
    <row r="4472" spans="1:48" ht="14.65" thickBot="1" x14ac:dyDescent="0.5">
      <c r="A4472" s="309" t="s">
        <v>4421</v>
      </c>
      <c r="B4472" s="310"/>
      <c r="C4472" s="301" t="s">
        <v>1</v>
      </c>
      <c r="D4472" s="319"/>
      <c r="E4472" s="319"/>
      <c r="F4472" s="302"/>
      <c r="G4472" s="102"/>
      <c r="H4472" s="102"/>
      <c r="L4472" s="18" t="s">
        <v>2335</v>
      </c>
      <c r="Z4472" s="183"/>
      <c r="AA4472" s="183"/>
      <c r="AB4472" s="183"/>
      <c r="AC4472" s="101"/>
      <c r="AD4472" s="101"/>
      <c r="AE4472" s="188"/>
      <c r="AF4472" s="184"/>
      <c r="AG4472" s="183"/>
      <c r="AH4472" s="183"/>
      <c r="AI4472" s="183"/>
      <c r="AU4472" s="208" t="s">
        <v>5041</v>
      </c>
      <c r="AV4472" s="6" t="str">
        <f t="shared" si="112"/>
        <v/>
      </c>
    </row>
    <row r="4473" spans="1:48" ht="14.65" thickBot="1" x14ac:dyDescent="0.5">
      <c r="A4473" s="311"/>
      <c r="B4473" s="312"/>
      <c r="C4473" s="301" t="s">
        <v>2</v>
      </c>
      <c r="D4473" s="302"/>
      <c r="E4473" s="301" t="s">
        <v>3</v>
      </c>
      <c r="F4473" s="302"/>
      <c r="G4473" s="301" t="s">
        <v>2896</v>
      </c>
      <c r="H4473" s="302"/>
      <c r="L4473" s="18" t="s">
        <v>2335</v>
      </c>
      <c r="AU4473" s="208" t="s">
        <v>5041</v>
      </c>
      <c r="AV4473" s="6" t="str">
        <f t="shared" si="112"/>
        <v/>
      </c>
    </row>
    <row r="4474" spans="1:48" ht="14.65" thickBot="1" x14ac:dyDescent="0.5">
      <c r="A4474" s="46" t="s">
        <v>2377</v>
      </c>
      <c r="B4474" s="47"/>
      <c r="C4474" s="303"/>
      <c r="D4474" s="304"/>
      <c r="E4474" s="303"/>
      <c r="F4474" s="304"/>
      <c r="G4474" s="303"/>
      <c r="H4474" s="304"/>
      <c r="AU4474" s="208" t="s">
        <v>5041</v>
      </c>
      <c r="AV4474" s="6" t="str">
        <f t="shared" si="112"/>
        <v/>
      </c>
    </row>
    <row r="4475" spans="1:48" ht="14.65" thickBot="1" x14ac:dyDescent="0.5">
      <c r="A4475" s="30" t="s">
        <v>4</v>
      </c>
      <c r="B4475" s="59" t="s">
        <v>5</v>
      </c>
      <c r="C4475" s="7" t="s">
        <v>6</v>
      </c>
      <c r="D4475" s="7" t="s">
        <v>7</v>
      </c>
      <c r="E4475" s="7" t="s">
        <v>6</v>
      </c>
      <c r="F4475" s="7" t="s">
        <v>7</v>
      </c>
      <c r="G4475" s="7" t="s">
        <v>6</v>
      </c>
      <c r="H4475" s="7" t="s">
        <v>7</v>
      </c>
      <c r="L4475" s="18" t="s">
        <v>2335</v>
      </c>
      <c r="Z4475" s="183" t="s">
        <v>4347</v>
      </c>
      <c r="AA4475" s="183" t="s">
        <v>4343</v>
      </c>
      <c r="AB4475" s="183" t="s">
        <v>4172</v>
      </c>
      <c r="AC4475" s="183" t="s">
        <v>4340</v>
      </c>
      <c r="AD4475" s="183" t="s">
        <v>4339</v>
      </c>
      <c r="AE4475" s="184" t="s">
        <v>4341</v>
      </c>
      <c r="AF4475" s="184" t="s">
        <v>4342</v>
      </c>
      <c r="AG4475" s="183" t="s">
        <v>4353</v>
      </c>
      <c r="AH4475" s="183" t="s">
        <v>3429</v>
      </c>
      <c r="AI4475" s="183" t="s">
        <v>4356</v>
      </c>
      <c r="AJ4475" s="183" t="s">
        <v>4364</v>
      </c>
      <c r="AU4475" s="208" t="s">
        <v>5041</v>
      </c>
      <c r="AV4475" s="6" t="str">
        <f t="shared" si="112"/>
        <v/>
      </c>
    </row>
    <row r="4476" spans="1:48" ht="23.65" thickBot="1" x14ac:dyDescent="0.5">
      <c r="A4476" s="182" t="s">
        <v>2792</v>
      </c>
      <c r="B4476" s="165" t="s">
        <v>4422</v>
      </c>
      <c r="C4476" s="166"/>
      <c r="D4476" s="166"/>
      <c r="E4476" s="166"/>
      <c r="F4476" s="166"/>
      <c r="G4476" s="166"/>
      <c r="H4476" s="166"/>
      <c r="AC4476" s="183"/>
      <c r="AD4476" s="183"/>
      <c r="AE4476" s="184"/>
      <c r="AF4476" s="184"/>
      <c r="AG4476" s="183"/>
      <c r="AH4476" s="183"/>
      <c r="AI4476" s="183"/>
      <c r="AT4476" s="189" t="s">
        <v>5325</v>
      </c>
      <c r="AU4476" s="208" t="s">
        <v>5041</v>
      </c>
      <c r="AV4476" s="6" t="str">
        <f t="shared" si="112"/>
        <v/>
      </c>
    </row>
    <row r="4477" spans="1:48" ht="23.65" thickBot="1" x14ac:dyDescent="0.5">
      <c r="A4477" s="164" t="s">
        <v>33</v>
      </c>
      <c r="B4477" s="165" t="s">
        <v>4423</v>
      </c>
      <c r="C4477" s="166"/>
      <c r="D4477" s="166"/>
      <c r="E4477" s="166"/>
      <c r="F4477" s="166"/>
      <c r="G4477" s="166"/>
      <c r="H4477" s="166"/>
      <c r="L4477" s="18" t="s">
        <v>2335</v>
      </c>
      <c r="AT4477" s="189" t="s">
        <v>5325</v>
      </c>
      <c r="AU4477" s="208" t="s">
        <v>5041</v>
      </c>
      <c r="AV4477" s="6" t="str">
        <f t="shared" si="112"/>
        <v/>
      </c>
    </row>
    <row r="4478" spans="1:48" x14ac:dyDescent="0.45">
      <c r="A4478" s="33" t="s">
        <v>4424</v>
      </c>
      <c r="L4478" s="18" t="s">
        <v>2335</v>
      </c>
      <c r="AU4478" s="208" t="s">
        <v>5041</v>
      </c>
      <c r="AV4478" s="6" t="str">
        <f t="shared" si="112"/>
        <v/>
      </c>
    </row>
    <row r="4479" spans="1:48" x14ac:dyDescent="0.45">
      <c r="A4479" s="34" t="s">
        <v>5930</v>
      </c>
      <c r="L4479" s="18" t="s">
        <v>2335</v>
      </c>
      <c r="AU4479" s="208" t="s">
        <v>5041</v>
      </c>
      <c r="AV4479" s="6" t="str">
        <f t="shared" si="112"/>
        <v/>
      </c>
    </row>
    <row r="4480" spans="1:48" s="79" customFormat="1" ht="14.65" thickBot="1" x14ac:dyDescent="0.5">
      <c r="A4480" s="75"/>
      <c r="B4480" s="76"/>
      <c r="C4480" s="77"/>
      <c r="D4480" s="77"/>
      <c r="E4480" s="77"/>
      <c r="F4480" s="77"/>
      <c r="G4480" s="77"/>
      <c r="H4480" s="77"/>
      <c r="I4480" s="77"/>
      <c r="J4480" s="77"/>
      <c r="K4480" s="77"/>
      <c r="L4480" s="77"/>
      <c r="M4480" s="148"/>
      <c r="N4480" s="78"/>
      <c r="O4480" s="78"/>
      <c r="P4480" s="78"/>
      <c r="Q4480" s="78"/>
      <c r="R4480" s="78"/>
      <c r="S4480" s="78"/>
      <c r="T4480" s="78"/>
      <c r="U4480" s="78"/>
      <c r="V4480" s="78"/>
      <c r="W4480" s="78"/>
      <c r="X4480" s="78"/>
      <c r="Y4480" s="148"/>
      <c r="Z4480" s="78"/>
      <c r="AA4480" s="78"/>
      <c r="AB4480" s="78"/>
      <c r="AC4480" s="78"/>
      <c r="AD4480" s="78"/>
      <c r="AE4480" s="156"/>
      <c r="AF4480" s="156"/>
      <c r="AG4480" s="78"/>
      <c r="AH4480" s="78"/>
      <c r="AI4480" s="78"/>
      <c r="AJ4480" s="78"/>
      <c r="AK4480" s="78"/>
      <c r="AL4480" s="78"/>
      <c r="AM4480" s="78"/>
      <c r="AN4480" s="78"/>
      <c r="AO4480" s="78"/>
      <c r="AP4480" s="78"/>
      <c r="AQ4480" s="78"/>
      <c r="AR4480" s="286"/>
      <c r="AS4480" s="78"/>
      <c r="AT4480" s="78"/>
      <c r="AU4480" s="8"/>
      <c r="AV4480" s="6" t="str">
        <f t="shared" si="112"/>
        <v/>
      </c>
    </row>
    <row r="4481" spans="1:48" ht="47.65" thickBot="1" x14ac:dyDescent="0.5">
      <c r="A4481" s="39" t="s">
        <v>3388</v>
      </c>
      <c r="R4481" s="111" t="s">
        <v>3426</v>
      </c>
      <c r="S4481" s="349" t="s">
        <v>823</v>
      </c>
      <c r="T4481" s="350"/>
      <c r="U4481" s="350"/>
      <c r="V4481" s="350"/>
      <c r="W4481" s="350"/>
      <c r="X4481" s="355"/>
      <c r="Y4481" s="118"/>
      <c r="Z4481" s="185"/>
      <c r="AA4481" s="185"/>
      <c r="AB4481" s="185"/>
      <c r="AC4481" s="185"/>
      <c r="AD4481" s="185"/>
      <c r="AE4481" s="186"/>
      <c r="AF4481" s="186"/>
      <c r="AG4481" s="185"/>
      <c r="AH4481" s="185"/>
      <c r="AI4481" s="185"/>
      <c r="AJ4481" s="185"/>
      <c r="AK4481" s="185"/>
      <c r="AL4481" s="185"/>
      <c r="AM4481" s="185"/>
      <c r="AN4481" s="117"/>
      <c r="AO4481" s="117"/>
      <c r="AP4481" s="117"/>
      <c r="AQ4481" s="117"/>
      <c r="AR4481" s="287"/>
      <c r="AS4481" s="258"/>
      <c r="AT4481" s="185"/>
      <c r="AU4481" s="207" t="s">
        <v>5040</v>
      </c>
      <c r="AV4481" s="6" t="str">
        <f t="shared" si="112"/>
        <v/>
      </c>
    </row>
    <row r="4482" spans="1:48" ht="128.25" thickBot="1" x14ac:dyDescent="0.5">
      <c r="A4482" s="110" t="s">
        <v>4297</v>
      </c>
      <c r="R4482" s="122" t="s">
        <v>3427</v>
      </c>
      <c r="S4482" s="352" t="s">
        <v>3453</v>
      </c>
      <c r="T4482" s="353"/>
      <c r="U4482" s="353"/>
      <c r="V4482" s="353"/>
      <c r="W4482" s="353"/>
      <c r="X4482" s="356"/>
      <c r="Y4482" s="149"/>
      <c r="Z4482" s="183" t="s">
        <v>4347</v>
      </c>
      <c r="AA4482" s="183" t="s">
        <v>2322</v>
      </c>
      <c r="AB4482" s="183" t="s">
        <v>1697</v>
      </c>
      <c r="AC4482" s="183" t="s">
        <v>5</v>
      </c>
      <c r="AD4482" s="183" t="s">
        <v>4339</v>
      </c>
      <c r="AE4482" s="184" t="s">
        <v>4338</v>
      </c>
      <c r="AF4482" s="184" t="s">
        <v>4350</v>
      </c>
      <c r="AG4482" s="183" t="s">
        <v>1695</v>
      </c>
      <c r="AH4482" s="183" t="s">
        <v>4351</v>
      </c>
      <c r="AI4482" s="8" t="s">
        <v>4455</v>
      </c>
      <c r="AJ4482" s="183" t="s">
        <v>5051</v>
      </c>
      <c r="AK4482" s="183"/>
      <c r="AL4482" s="183"/>
      <c r="AM4482" s="183"/>
      <c r="AN4482" s="131"/>
      <c r="AO4482" s="131"/>
      <c r="AP4482" s="131"/>
      <c r="AQ4482" s="131"/>
      <c r="AR4482" s="288"/>
      <c r="AS4482" s="259"/>
      <c r="AT4482" s="183"/>
      <c r="AU4482" s="207" t="s">
        <v>5040</v>
      </c>
      <c r="AV4482" s="6" t="str">
        <f t="shared" si="112"/>
        <v/>
      </c>
    </row>
    <row r="4483" spans="1:48" ht="14.65" thickBot="1" x14ac:dyDescent="0.5">
      <c r="A4483" s="321" t="s">
        <v>4372</v>
      </c>
      <c r="B4483" s="322"/>
      <c r="C4483" s="314" t="s">
        <v>1</v>
      </c>
      <c r="D4483" s="314"/>
      <c r="E4483" s="314"/>
      <c r="F4483" s="314"/>
      <c r="G4483" s="102"/>
      <c r="H4483" s="102"/>
      <c r="R4483" s="122" t="s">
        <v>3428</v>
      </c>
      <c r="S4483" s="352" t="b">
        <v>0</v>
      </c>
      <c r="T4483" s="353"/>
      <c r="U4483" s="353"/>
      <c r="V4483" s="353"/>
      <c r="W4483" s="353"/>
      <c r="X4483" s="356"/>
      <c r="Y4483" s="149"/>
      <c r="Z4483" s="183"/>
      <c r="AA4483" s="183"/>
      <c r="AB4483" s="183"/>
      <c r="AC4483" s="101"/>
      <c r="AD4483" s="101"/>
      <c r="AE4483" s="188"/>
      <c r="AF4483" s="184"/>
      <c r="AG4483" s="183"/>
      <c r="AH4483" s="183"/>
      <c r="AI4483" s="183"/>
      <c r="AJ4483" s="183"/>
      <c r="AK4483" s="183"/>
      <c r="AL4483" s="183"/>
      <c r="AM4483" s="183"/>
      <c r="AN4483" s="131"/>
      <c r="AO4483" s="131"/>
      <c r="AP4483" s="131"/>
      <c r="AQ4483" s="131"/>
      <c r="AR4483" s="288"/>
      <c r="AS4483" s="259"/>
      <c r="AT4483" s="183"/>
      <c r="AU4483" s="208" t="s">
        <v>5041</v>
      </c>
      <c r="AV4483" s="6" t="str">
        <f t="shared" si="112"/>
        <v/>
      </c>
    </row>
    <row r="4484" spans="1:48" ht="14.65" thickBot="1" x14ac:dyDescent="0.5">
      <c r="A4484" s="321"/>
      <c r="B4484" s="322"/>
      <c r="C4484" s="314" t="s">
        <v>2</v>
      </c>
      <c r="D4484" s="314"/>
      <c r="E4484" s="314" t="s">
        <v>3</v>
      </c>
      <c r="F4484" s="314"/>
      <c r="G4484" s="314" t="s">
        <v>2896</v>
      </c>
      <c r="H4484" s="314"/>
      <c r="R4484" s="115"/>
      <c r="S4484" s="115"/>
      <c r="T4484" s="115"/>
      <c r="U4484" s="115"/>
      <c r="V4484" s="115"/>
      <c r="W4484" s="115"/>
      <c r="X4484" s="115"/>
      <c r="Y4484" s="149"/>
      <c r="Z4484" s="183"/>
      <c r="AA4484" s="183"/>
      <c r="AB4484" s="183"/>
      <c r="AC4484" s="183"/>
      <c r="AD4484" s="183"/>
      <c r="AE4484" s="184"/>
      <c r="AF4484" s="184"/>
      <c r="AG4484" s="183"/>
      <c r="AH4484" s="183"/>
      <c r="AI4484" s="183"/>
      <c r="AJ4484" s="183"/>
      <c r="AK4484" s="183"/>
      <c r="AL4484" s="183"/>
      <c r="AM4484" s="183"/>
      <c r="AN4484" s="131"/>
      <c r="AO4484" s="131"/>
      <c r="AP4484" s="131"/>
      <c r="AQ4484" s="131"/>
      <c r="AR4484" s="288"/>
      <c r="AS4484" s="259"/>
      <c r="AT4484" s="183"/>
      <c r="AU4484" s="208" t="s">
        <v>5041</v>
      </c>
      <c r="AV4484" s="6" t="str">
        <f t="shared" si="112"/>
        <v/>
      </c>
    </row>
    <row r="4485" spans="1:48" ht="14.65" thickBot="1" x14ac:dyDescent="0.5">
      <c r="A4485" s="46" t="s">
        <v>2377</v>
      </c>
      <c r="B4485" s="47"/>
      <c r="C4485" s="303"/>
      <c r="D4485" s="304"/>
      <c r="E4485" s="303"/>
      <c r="F4485" s="304"/>
      <c r="G4485" s="303"/>
      <c r="H4485" s="304"/>
      <c r="R4485" s="129"/>
      <c r="S4485" s="117"/>
      <c r="T4485" s="117"/>
      <c r="U4485" s="117"/>
      <c r="V4485" s="117"/>
      <c r="W4485" s="117"/>
      <c r="X4485" s="216"/>
      <c r="Y4485" s="118"/>
      <c r="Z4485" s="185"/>
      <c r="AA4485" s="185"/>
      <c r="AB4485" s="185"/>
      <c r="AC4485" s="185"/>
      <c r="AD4485" s="185"/>
      <c r="AE4485" s="186"/>
      <c r="AF4485" s="186"/>
      <c r="AG4485" s="185"/>
      <c r="AH4485" s="185"/>
      <c r="AI4485" s="185"/>
      <c r="AJ4485" s="185"/>
      <c r="AK4485" s="185"/>
      <c r="AL4485" s="185"/>
      <c r="AM4485" s="185"/>
      <c r="AN4485" s="117"/>
      <c r="AO4485" s="117"/>
      <c r="AP4485" s="117"/>
      <c r="AQ4485" s="117"/>
      <c r="AR4485" s="287"/>
      <c r="AS4485" s="258"/>
      <c r="AT4485" s="185"/>
      <c r="AU4485" s="208" t="s">
        <v>5041</v>
      </c>
      <c r="AV4485" s="6" t="str">
        <f t="shared" si="112"/>
        <v/>
      </c>
    </row>
    <row r="4486" spans="1:48" ht="14.65" thickBot="1" x14ac:dyDescent="0.5">
      <c r="A4486" s="29" t="s">
        <v>3394</v>
      </c>
      <c r="B4486" s="9"/>
      <c r="C4486" s="305"/>
      <c r="D4486" s="306"/>
      <c r="E4486" s="305"/>
      <c r="F4486" s="306"/>
      <c r="G4486" s="305"/>
      <c r="H4486" s="306"/>
      <c r="R4486" s="111" t="s">
        <v>3429</v>
      </c>
      <c r="S4486" s="111" t="s">
        <v>3430</v>
      </c>
      <c r="T4486" s="111" t="s">
        <v>3427</v>
      </c>
      <c r="U4486" s="111" t="s">
        <v>3431</v>
      </c>
      <c r="V4486" s="111" t="s">
        <v>3432</v>
      </c>
      <c r="W4486" s="111" t="s">
        <v>3433</v>
      </c>
      <c r="X4486" s="217" t="s">
        <v>3434</v>
      </c>
      <c r="Y4486" s="118" t="s">
        <v>3965</v>
      </c>
      <c r="Z4486" s="185"/>
      <c r="AA4486" s="185"/>
      <c r="AB4486" s="185"/>
      <c r="AC4486" s="185"/>
      <c r="AD4486" s="185"/>
      <c r="AE4486" s="186"/>
      <c r="AF4486" s="186"/>
      <c r="AG4486" s="185"/>
      <c r="AH4486" s="185"/>
      <c r="AI4486" s="185"/>
      <c r="AJ4486" s="185"/>
      <c r="AK4486" s="185"/>
      <c r="AL4486" s="185"/>
      <c r="AM4486" s="185"/>
      <c r="AN4486" s="117"/>
      <c r="AO4486" s="117"/>
      <c r="AP4486" s="117"/>
      <c r="AQ4486" s="117"/>
      <c r="AR4486" s="287"/>
      <c r="AS4486" s="258"/>
      <c r="AT4486" s="185"/>
      <c r="AU4486" s="208" t="s">
        <v>5041</v>
      </c>
      <c r="AV4486" s="6" t="str">
        <f t="shared" si="112"/>
        <v/>
      </c>
    </row>
    <row r="4487" spans="1:48" ht="15" customHeight="1" thickBot="1" x14ac:dyDescent="0.5">
      <c r="A4487" s="60" t="s">
        <v>4</v>
      </c>
      <c r="B4487" s="61" t="s">
        <v>5</v>
      </c>
      <c r="C4487" s="62" t="s">
        <v>6</v>
      </c>
      <c r="D4487" s="62" t="s">
        <v>7</v>
      </c>
      <c r="E4487" s="62" t="s">
        <v>6</v>
      </c>
      <c r="F4487" s="62" t="s">
        <v>7</v>
      </c>
      <c r="G4487" s="62" t="s">
        <v>6</v>
      </c>
      <c r="H4487" s="62" t="s">
        <v>7</v>
      </c>
      <c r="R4487" s="352" t="s">
        <v>4040</v>
      </c>
      <c r="S4487" s="353"/>
      <c r="T4487" s="353"/>
      <c r="U4487" s="353"/>
      <c r="V4487" s="353"/>
      <c r="W4487" s="353"/>
      <c r="X4487" s="357"/>
      <c r="Y4487" s="149"/>
      <c r="Z4487" s="183" t="s">
        <v>4347</v>
      </c>
      <c r="AA4487" s="183" t="s">
        <v>4343</v>
      </c>
      <c r="AB4487" s="183" t="s">
        <v>4172</v>
      </c>
      <c r="AC4487" s="183" t="s">
        <v>4340</v>
      </c>
      <c r="AD4487" s="183" t="s">
        <v>4339</v>
      </c>
      <c r="AE4487" s="184" t="s">
        <v>4341</v>
      </c>
      <c r="AF4487" s="184" t="s">
        <v>4342</v>
      </c>
      <c r="AG4487" s="183" t="s">
        <v>4353</v>
      </c>
      <c r="AH4487" s="183" t="s">
        <v>3429</v>
      </c>
      <c r="AI4487" s="183" t="s">
        <v>4356</v>
      </c>
      <c r="AJ4487" s="183" t="s">
        <v>4364</v>
      </c>
      <c r="AK4487" s="183"/>
      <c r="AL4487" s="183"/>
      <c r="AM4487" s="183"/>
      <c r="AN4487" s="131"/>
      <c r="AO4487" s="131"/>
      <c r="AP4487" s="131"/>
      <c r="AQ4487" s="131"/>
      <c r="AR4487" s="288"/>
      <c r="AS4487" s="259"/>
      <c r="AT4487" s="183"/>
      <c r="AU4487" s="208" t="s">
        <v>5041</v>
      </c>
      <c r="AV4487" s="6" t="str">
        <f t="shared" si="112"/>
        <v/>
      </c>
    </row>
    <row r="4488" spans="1:48" ht="23.65" thickBot="1" x14ac:dyDescent="0.5">
      <c r="A4488" s="182" t="s">
        <v>8</v>
      </c>
      <c r="B4488" s="165" t="s">
        <v>3983</v>
      </c>
      <c r="C4488" s="192"/>
      <c r="D4488" s="192"/>
      <c r="E4488" s="192"/>
      <c r="F4488" s="192"/>
      <c r="G4488" s="192"/>
      <c r="H4488" s="192"/>
      <c r="AT4488" s="189" t="s">
        <v>5325</v>
      </c>
      <c r="AU4488" s="208" t="s">
        <v>5041</v>
      </c>
      <c r="AV4488" s="6" t="str">
        <f t="shared" si="112"/>
        <v/>
      </c>
    </row>
    <row r="4489" spans="1:48" ht="23.65" thickBot="1" x14ac:dyDescent="0.5">
      <c r="A4489" s="158" t="s">
        <v>4097</v>
      </c>
      <c r="B4489" s="159" t="s">
        <v>3771</v>
      </c>
      <c r="C4489" s="160"/>
      <c r="D4489" s="160"/>
      <c r="E4489" s="161"/>
      <c r="F4489" s="161"/>
      <c r="G4489" s="160"/>
      <c r="H4489" s="160"/>
      <c r="R4489" s="122" t="s">
        <v>3435</v>
      </c>
      <c r="S4489" s="114" t="s">
        <v>4</v>
      </c>
      <c r="T4489" s="114" t="s">
        <v>4097</v>
      </c>
      <c r="U4489" s="114" t="s">
        <v>3521</v>
      </c>
      <c r="V4489" s="114" t="s">
        <v>3530</v>
      </c>
      <c r="W4489" s="114" t="s">
        <v>3436</v>
      </c>
      <c r="X4489" s="114" t="s">
        <v>13</v>
      </c>
      <c r="Y4489" s="149"/>
      <c r="Z4489" s="183"/>
      <c r="AA4489" s="183"/>
      <c r="AB4489" s="183"/>
      <c r="AC4489" s="183"/>
      <c r="AD4489" s="183"/>
      <c r="AE4489" s="184"/>
      <c r="AF4489" s="184"/>
      <c r="AG4489" s="183"/>
      <c r="AH4489" s="183"/>
      <c r="AI4489" s="183"/>
      <c r="AJ4489" s="183"/>
      <c r="AK4489" s="183"/>
      <c r="AL4489" s="183"/>
      <c r="AM4489" s="183"/>
      <c r="AN4489" s="131"/>
      <c r="AO4489" s="131"/>
      <c r="AP4489" s="131"/>
      <c r="AQ4489" s="131"/>
      <c r="AR4489" s="288"/>
      <c r="AS4489" s="259"/>
      <c r="AT4489" s="189" t="s">
        <v>5325</v>
      </c>
      <c r="AU4489" s="208" t="s">
        <v>5041</v>
      </c>
      <c r="AV4489" s="6" t="str">
        <f t="shared" si="112"/>
        <v>OK</v>
      </c>
    </row>
    <row r="4490" spans="1:48" ht="23.65" thickBot="1" x14ac:dyDescent="0.5">
      <c r="A4490" s="158" t="s">
        <v>2639</v>
      </c>
      <c r="B4490" s="159" t="s">
        <v>3810</v>
      </c>
      <c r="C4490" s="160"/>
      <c r="D4490" s="160"/>
      <c r="E4490" s="161"/>
      <c r="F4490" s="161"/>
      <c r="G4490" s="160"/>
      <c r="H4490" s="160"/>
      <c r="R4490" s="122" t="s">
        <v>3435</v>
      </c>
      <c r="S4490" s="114" t="s">
        <v>4</v>
      </c>
      <c r="T4490" s="114" t="s">
        <v>2639</v>
      </c>
      <c r="U4490" s="114" t="s">
        <v>3521</v>
      </c>
      <c r="V4490" s="114" t="s">
        <v>3530</v>
      </c>
      <c r="W4490" s="114" t="s">
        <v>3436</v>
      </c>
      <c r="X4490" s="114" t="s">
        <v>13</v>
      </c>
      <c r="Y4490" s="149"/>
      <c r="Z4490" s="183"/>
      <c r="AA4490" s="183"/>
      <c r="AB4490" s="183"/>
      <c r="AC4490" s="183"/>
      <c r="AD4490" s="183"/>
      <c r="AE4490" s="184"/>
      <c r="AF4490" s="184"/>
      <c r="AG4490" s="183"/>
      <c r="AH4490" s="183"/>
      <c r="AI4490" s="183"/>
      <c r="AJ4490" s="183"/>
      <c r="AK4490" s="183"/>
      <c r="AL4490" s="183"/>
      <c r="AM4490" s="183"/>
      <c r="AN4490" s="131"/>
      <c r="AO4490" s="131"/>
      <c r="AP4490" s="131"/>
      <c r="AQ4490" s="131"/>
      <c r="AR4490" s="288"/>
      <c r="AS4490" s="259"/>
      <c r="AT4490" s="189" t="s">
        <v>5325</v>
      </c>
      <c r="AU4490" s="208" t="s">
        <v>5041</v>
      </c>
      <c r="AV4490" s="6" t="str">
        <f t="shared" si="112"/>
        <v>OK</v>
      </c>
    </row>
    <row r="4491" spans="1:48" ht="30.75" thickBot="1" x14ac:dyDescent="0.5">
      <c r="A4491" s="158" t="s">
        <v>418</v>
      </c>
      <c r="B4491" s="159" t="s">
        <v>3984</v>
      </c>
      <c r="C4491" s="160"/>
      <c r="D4491" s="161"/>
      <c r="E4491" s="161"/>
      <c r="F4491" s="161"/>
      <c r="G4491" s="160"/>
      <c r="H4491" s="161"/>
      <c r="R4491" s="122" t="s">
        <v>3435</v>
      </c>
      <c r="S4491" s="114" t="s">
        <v>3437</v>
      </c>
      <c r="T4491" s="114" t="s">
        <v>418</v>
      </c>
      <c r="U4491" s="114"/>
      <c r="V4491" s="114" t="s">
        <v>3576</v>
      </c>
      <c r="W4491" s="114" t="s">
        <v>3436</v>
      </c>
      <c r="X4491" s="114" t="s">
        <v>13</v>
      </c>
      <c r="Y4491" s="149"/>
      <c r="Z4491" s="183"/>
      <c r="AA4491" s="183"/>
      <c r="AB4491" s="183"/>
      <c r="AC4491" s="183"/>
      <c r="AD4491" s="183"/>
      <c r="AE4491" s="184"/>
      <c r="AF4491" s="184"/>
      <c r="AG4491" s="183"/>
      <c r="AH4491" s="183"/>
      <c r="AI4491" s="183"/>
      <c r="AJ4491" s="183"/>
      <c r="AK4491" s="183"/>
      <c r="AL4491" s="183"/>
      <c r="AM4491" s="183"/>
      <c r="AN4491" s="131"/>
      <c r="AO4491" s="131"/>
      <c r="AP4491" s="131"/>
      <c r="AQ4491" s="131"/>
      <c r="AR4491" s="288"/>
      <c r="AS4491" s="259"/>
      <c r="AT4491" s="189" t="s">
        <v>5325</v>
      </c>
      <c r="AU4491" s="208" t="s">
        <v>5041</v>
      </c>
      <c r="AV4491" s="6" t="str">
        <f t="shared" si="112"/>
        <v>OK</v>
      </c>
    </row>
    <row r="4492" spans="1:48" ht="23.65" thickBot="1" x14ac:dyDescent="0.5">
      <c r="A4492" s="163" t="s">
        <v>33</v>
      </c>
      <c r="B4492" s="159" t="s">
        <v>3686</v>
      </c>
      <c r="C4492" s="160"/>
      <c r="D4492" s="161"/>
      <c r="E4492" s="161"/>
      <c r="F4492" s="161"/>
      <c r="G4492" s="160"/>
      <c r="H4492" s="161"/>
      <c r="AT4492" s="189" t="s">
        <v>5325</v>
      </c>
      <c r="AU4492" s="208" t="s">
        <v>5041</v>
      </c>
      <c r="AV4492" s="6" t="str">
        <f t="shared" si="112"/>
        <v/>
      </c>
    </row>
    <row r="4493" spans="1:48" ht="23.65" thickBot="1" x14ac:dyDescent="0.5">
      <c r="A4493" s="182" t="s">
        <v>753</v>
      </c>
      <c r="B4493" s="165" t="s">
        <v>60</v>
      </c>
      <c r="C4493" s="166"/>
      <c r="D4493" s="166"/>
      <c r="E4493" s="166"/>
      <c r="F4493" s="166"/>
      <c r="G4493" s="166"/>
      <c r="H4493" s="166"/>
      <c r="AT4493" s="189" t="s">
        <v>5325</v>
      </c>
      <c r="AU4493" s="208" t="s">
        <v>5041</v>
      </c>
      <c r="AV4493" s="6" t="str">
        <f t="shared" si="112"/>
        <v/>
      </c>
    </row>
    <row r="4494" spans="1:48" x14ac:dyDescent="0.45">
      <c r="A4494" s="33" t="s">
        <v>3389</v>
      </c>
      <c r="AU4494" s="208" t="s">
        <v>5041</v>
      </c>
      <c r="AV4494" s="6" t="str">
        <f t="shared" si="112"/>
        <v/>
      </c>
    </row>
    <row r="4495" spans="1:48" x14ac:dyDescent="0.45">
      <c r="A4495" s="34" t="s">
        <v>5931</v>
      </c>
      <c r="AU4495" s="208" t="s">
        <v>5041</v>
      </c>
      <c r="AV4495" s="6" t="str">
        <f t="shared" si="112"/>
        <v/>
      </c>
    </row>
    <row r="4496" spans="1:48" s="79" customFormat="1" x14ac:dyDescent="0.45">
      <c r="A4496" s="75"/>
      <c r="B4496" s="76"/>
      <c r="C4496" s="77"/>
      <c r="D4496" s="77"/>
      <c r="E4496" s="77"/>
      <c r="F4496" s="77"/>
      <c r="G4496" s="77"/>
      <c r="H4496" s="77"/>
      <c r="I4496" s="77"/>
      <c r="J4496" s="77"/>
      <c r="K4496" s="77"/>
      <c r="L4496" s="77"/>
      <c r="M4496" s="148"/>
      <c r="N4496" s="78"/>
      <c r="O4496" s="78"/>
      <c r="P4496" s="78"/>
      <c r="Q4496" s="78"/>
      <c r="R4496" s="78"/>
      <c r="S4496" s="78"/>
      <c r="T4496" s="78"/>
      <c r="U4496" s="78"/>
      <c r="V4496" s="78"/>
      <c r="W4496" s="78"/>
      <c r="X4496" s="78"/>
      <c r="Y4496" s="148"/>
      <c r="Z4496" s="78"/>
      <c r="AA4496" s="78"/>
      <c r="AB4496" s="78"/>
      <c r="AC4496" s="78"/>
      <c r="AD4496" s="78"/>
      <c r="AE4496" s="156"/>
      <c r="AF4496" s="156"/>
      <c r="AG4496" s="78"/>
      <c r="AH4496" s="78"/>
      <c r="AI4496" s="78"/>
      <c r="AJ4496" s="78"/>
      <c r="AK4496" s="78"/>
      <c r="AL4496" s="78"/>
      <c r="AM4496" s="78"/>
      <c r="AN4496" s="78"/>
      <c r="AO4496" s="78"/>
      <c r="AP4496" s="78"/>
      <c r="AQ4496" s="78"/>
      <c r="AR4496" s="286"/>
      <c r="AS4496" s="78"/>
      <c r="AT4496" s="78"/>
      <c r="AU4496" s="8"/>
      <c r="AV4496" s="6" t="str">
        <f t="shared" si="112"/>
        <v/>
      </c>
    </row>
    <row r="4497" spans="1:48" ht="47.25" x14ac:dyDescent="0.45">
      <c r="A4497" s="27" t="s">
        <v>4425</v>
      </c>
      <c r="L4497" s="18" t="s">
        <v>2335</v>
      </c>
      <c r="AU4497" s="207" t="s">
        <v>5040</v>
      </c>
      <c r="AV4497" s="6" t="str">
        <f t="shared" ref="AV4497:AV4507" si="113">IF(A4497&lt;&gt;"",IF(T4497&lt;&gt;"",IF(LEFT(R4497,3)="Has",IF(TRIM(A4497)&lt;&gt;T4497,"ERROR","OK"),""),""),"")</f>
        <v/>
      </c>
    </row>
    <row r="4498" spans="1:48" ht="47.65" thickBot="1" x14ac:dyDescent="0.5">
      <c r="A4498" s="323" t="s">
        <v>4426</v>
      </c>
      <c r="B4498" s="324"/>
      <c r="C4498" s="324"/>
      <c r="D4498" s="324"/>
      <c r="E4498" s="324"/>
      <c r="F4498" s="324"/>
      <c r="G4498" s="101"/>
      <c r="H4498" s="101"/>
      <c r="L4498" s="18" t="s">
        <v>2335</v>
      </c>
      <c r="Z4498" s="183" t="s">
        <v>4347</v>
      </c>
      <c r="AA4498" s="183" t="s">
        <v>2322</v>
      </c>
      <c r="AB4498" s="183" t="s">
        <v>1697</v>
      </c>
      <c r="AC4498" s="183" t="s">
        <v>5</v>
      </c>
      <c r="AD4498" s="183" t="s">
        <v>4339</v>
      </c>
      <c r="AE4498" s="184" t="s">
        <v>4338</v>
      </c>
      <c r="AF4498" s="184" t="s">
        <v>4350</v>
      </c>
      <c r="AG4498" s="183" t="s">
        <v>1695</v>
      </c>
      <c r="AH4498" s="183" t="s">
        <v>4351</v>
      </c>
      <c r="AI4498" s="8" t="s">
        <v>4455</v>
      </c>
      <c r="AJ4498" s="183" t="s">
        <v>5051</v>
      </c>
      <c r="AU4498" s="207" t="s">
        <v>5040</v>
      </c>
      <c r="AV4498" s="6" t="str">
        <f t="shared" si="113"/>
        <v/>
      </c>
    </row>
    <row r="4499" spans="1:48" ht="105" thickBot="1" x14ac:dyDescent="0.5">
      <c r="A4499" s="309" t="s">
        <v>4427</v>
      </c>
      <c r="B4499" s="310"/>
      <c r="C4499" s="301" t="s">
        <v>1</v>
      </c>
      <c r="D4499" s="319"/>
      <c r="E4499" s="319"/>
      <c r="F4499" s="302"/>
      <c r="G4499" s="102"/>
      <c r="H4499" s="102"/>
      <c r="L4499" s="18" t="s">
        <v>2335</v>
      </c>
      <c r="Z4499" s="189"/>
      <c r="AA4499" s="183" t="str">
        <f>LEFT($A4499,FIND(" ",$A4499)-1)</f>
        <v>DCNDeviceCollection</v>
      </c>
      <c r="AB4499" s="183" t="str">
        <f>MID($A4499,FIND("(",$A4499)+1,LEN($A4499)-FIND("(",$A4499)-1)</f>
        <v>1.0.0</v>
      </c>
      <c r="AC4499" s="101" t="str">
        <f>A4498</f>
        <v>A DCNDeviceCollection is a collection of DCNDevice Resources running on a node.</v>
      </c>
      <c r="AD4499" s="101"/>
      <c r="AE4499" s="253" t="s">
        <v>5928</v>
      </c>
      <c r="AF4499" s="184" t="s">
        <v>4352</v>
      </c>
      <c r="AG4499" s="183" t="s">
        <v>4352</v>
      </c>
      <c r="AH4499" s="183" t="s">
        <v>4352</v>
      </c>
      <c r="AI4499" s="183" t="s">
        <v>5248</v>
      </c>
      <c r="AU4499" s="208" t="s">
        <v>5041</v>
      </c>
      <c r="AV4499" s="6" t="str">
        <f t="shared" si="113"/>
        <v/>
      </c>
    </row>
    <row r="4500" spans="1:48" ht="14.65" thickBot="1" x14ac:dyDescent="0.5">
      <c r="A4500" s="311"/>
      <c r="B4500" s="312"/>
      <c r="C4500" s="301" t="s">
        <v>2</v>
      </c>
      <c r="D4500" s="302"/>
      <c r="E4500" s="301" t="s">
        <v>3</v>
      </c>
      <c r="F4500" s="302"/>
      <c r="G4500" s="301" t="s">
        <v>2896</v>
      </c>
      <c r="H4500" s="302"/>
      <c r="L4500" s="18" t="s">
        <v>2335</v>
      </c>
      <c r="AU4500" s="208" t="s">
        <v>5041</v>
      </c>
      <c r="AV4500" s="6" t="str">
        <f t="shared" si="113"/>
        <v/>
      </c>
    </row>
    <row r="4501" spans="1:48" ht="14.65" thickBot="1" x14ac:dyDescent="0.5">
      <c r="A4501" s="46" t="s">
        <v>2377</v>
      </c>
      <c r="B4501" s="47"/>
      <c r="C4501" s="303"/>
      <c r="D4501" s="304"/>
      <c r="E4501" s="303"/>
      <c r="F4501" s="304"/>
      <c r="G4501" s="303"/>
      <c r="H4501" s="304"/>
      <c r="AU4501" s="208" t="s">
        <v>5041</v>
      </c>
      <c r="AV4501" s="6" t="str">
        <f t="shared" si="113"/>
        <v/>
      </c>
    </row>
    <row r="4502" spans="1:48" ht="14.65" thickBot="1" x14ac:dyDescent="0.5">
      <c r="A4502" s="30" t="s">
        <v>4</v>
      </c>
      <c r="B4502" s="59" t="s">
        <v>5</v>
      </c>
      <c r="C4502" s="7" t="s">
        <v>6</v>
      </c>
      <c r="D4502" s="7" t="s">
        <v>7</v>
      </c>
      <c r="E4502" s="7" t="s">
        <v>6</v>
      </c>
      <c r="F4502" s="7" t="s">
        <v>7</v>
      </c>
      <c r="G4502" s="7" t="s">
        <v>6</v>
      </c>
      <c r="H4502" s="7" t="s">
        <v>7</v>
      </c>
      <c r="L4502" s="18" t="s">
        <v>2335</v>
      </c>
      <c r="Z4502" s="183" t="s">
        <v>4347</v>
      </c>
      <c r="AA4502" s="183" t="s">
        <v>4343</v>
      </c>
      <c r="AB4502" s="183" t="s">
        <v>4172</v>
      </c>
      <c r="AC4502" s="183" t="s">
        <v>4340</v>
      </c>
      <c r="AD4502" s="183" t="s">
        <v>4339</v>
      </c>
      <c r="AE4502" s="184" t="s">
        <v>4341</v>
      </c>
      <c r="AF4502" s="184" t="s">
        <v>4342</v>
      </c>
      <c r="AG4502" s="183" t="s">
        <v>4353</v>
      </c>
      <c r="AH4502" s="183" t="s">
        <v>3429</v>
      </c>
      <c r="AI4502" s="183" t="s">
        <v>4356</v>
      </c>
      <c r="AJ4502" s="183" t="s">
        <v>4364</v>
      </c>
      <c r="AU4502" s="208" t="s">
        <v>5041</v>
      </c>
      <c r="AV4502" s="6" t="str">
        <f t="shared" si="113"/>
        <v/>
      </c>
    </row>
    <row r="4503" spans="1:48" ht="105" thickBot="1" x14ac:dyDescent="0.5">
      <c r="A4503" s="182" t="s">
        <v>2792</v>
      </c>
      <c r="B4503" s="165" t="s">
        <v>4428</v>
      </c>
      <c r="C4503" s="166"/>
      <c r="D4503" s="166"/>
      <c r="E4503" s="166"/>
      <c r="F4503" s="166"/>
      <c r="G4503" s="166"/>
      <c r="H4503" s="166"/>
      <c r="Z4503" s="189"/>
      <c r="AB4503" s="8" t="s">
        <v>4354</v>
      </c>
      <c r="AC4503" s="183" t="s">
        <v>6</v>
      </c>
      <c r="AD4503" s="183"/>
      <c r="AE4503" s="184"/>
      <c r="AF4503" s="184"/>
      <c r="AG4503" s="183" t="s">
        <v>4355</v>
      </c>
      <c r="AH4503" s="183" t="s">
        <v>5247</v>
      </c>
      <c r="AI4503" s="183" t="s">
        <v>4357</v>
      </c>
      <c r="AT4503" s="189" t="s">
        <v>5325</v>
      </c>
      <c r="AU4503" s="208" t="s">
        <v>5041</v>
      </c>
      <c r="AV4503" s="6" t="str">
        <f t="shared" si="113"/>
        <v/>
      </c>
    </row>
    <row r="4504" spans="1:48" ht="23.65" thickBot="1" x14ac:dyDescent="0.5">
      <c r="A4504" s="164" t="s">
        <v>33</v>
      </c>
      <c r="B4504" s="165" t="s">
        <v>4429</v>
      </c>
      <c r="C4504" s="166"/>
      <c r="D4504" s="166"/>
      <c r="E4504" s="166"/>
      <c r="F4504" s="166"/>
      <c r="G4504" s="166"/>
      <c r="H4504" s="166"/>
      <c r="L4504" s="18" t="s">
        <v>2335</v>
      </c>
      <c r="AT4504" s="189" t="s">
        <v>5325</v>
      </c>
      <c r="AU4504" s="208" t="s">
        <v>5041</v>
      </c>
      <c r="AV4504" s="6" t="str">
        <f t="shared" si="113"/>
        <v/>
      </c>
    </row>
    <row r="4505" spans="1:48" x14ac:dyDescent="0.45">
      <c r="A4505" s="33" t="s">
        <v>4430</v>
      </c>
      <c r="L4505" s="18" t="s">
        <v>2335</v>
      </c>
      <c r="AU4505" s="208" t="s">
        <v>5041</v>
      </c>
      <c r="AV4505" s="6" t="str">
        <f t="shared" si="113"/>
        <v/>
      </c>
    </row>
    <row r="4506" spans="1:48" x14ac:dyDescent="0.45">
      <c r="A4506" s="34" t="s">
        <v>5928</v>
      </c>
      <c r="L4506" s="18" t="s">
        <v>2335</v>
      </c>
      <c r="AU4506" s="208" t="s">
        <v>5041</v>
      </c>
      <c r="AV4506" s="6" t="str">
        <f t="shared" si="113"/>
        <v/>
      </c>
    </row>
    <row r="4507" spans="1:48" s="79" customFormat="1" ht="14.65" thickBot="1" x14ac:dyDescent="0.5">
      <c r="A4507" s="75"/>
      <c r="B4507" s="76"/>
      <c r="C4507" s="77"/>
      <c r="D4507" s="77"/>
      <c r="E4507" s="77"/>
      <c r="F4507" s="77"/>
      <c r="G4507" s="77"/>
      <c r="H4507" s="77"/>
      <c r="I4507" s="77"/>
      <c r="J4507" s="77"/>
      <c r="K4507" s="77"/>
      <c r="L4507" s="77"/>
      <c r="M4507" s="148"/>
      <c r="N4507" s="78"/>
      <c r="O4507" s="78"/>
      <c r="P4507" s="78"/>
      <c r="Q4507" s="78"/>
      <c r="R4507" s="78"/>
      <c r="S4507" s="78"/>
      <c r="T4507" s="78"/>
      <c r="U4507" s="78"/>
      <c r="V4507" s="78"/>
      <c r="W4507" s="78"/>
      <c r="X4507" s="78"/>
      <c r="Y4507" s="148"/>
      <c r="Z4507" s="78"/>
      <c r="AA4507" s="78"/>
      <c r="AB4507" s="78"/>
      <c r="AC4507" s="78"/>
      <c r="AD4507" s="78"/>
      <c r="AE4507" s="156"/>
      <c r="AF4507" s="156"/>
      <c r="AG4507" s="78"/>
      <c r="AH4507" s="78"/>
      <c r="AI4507" s="78"/>
      <c r="AJ4507" s="78"/>
      <c r="AK4507" s="78"/>
      <c r="AL4507" s="78"/>
      <c r="AM4507" s="78"/>
      <c r="AN4507" s="78"/>
      <c r="AO4507" s="78"/>
      <c r="AP4507" s="78"/>
      <c r="AQ4507" s="78"/>
      <c r="AR4507" s="286"/>
      <c r="AS4507" s="78"/>
      <c r="AT4507" s="78"/>
      <c r="AU4507" s="8"/>
      <c r="AV4507" s="6" t="str">
        <f t="shared" si="113"/>
        <v/>
      </c>
    </row>
    <row r="4508" spans="1:48" ht="47.65" thickBot="1" x14ac:dyDescent="0.5">
      <c r="A4508" s="39" t="s">
        <v>3391</v>
      </c>
      <c r="R4508" s="111" t="s">
        <v>3426</v>
      </c>
      <c r="S4508" s="349" t="s">
        <v>823</v>
      </c>
      <c r="T4508" s="350"/>
      <c r="U4508" s="350"/>
      <c r="V4508" s="350"/>
      <c r="W4508" s="350"/>
      <c r="X4508" s="362"/>
      <c r="Y4508" s="118"/>
      <c r="Z4508" s="185"/>
      <c r="AA4508" s="185"/>
      <c r="AB4508" s="185"/>
      <c r="AC4508" s="185"/>
      <c r="AD4508" s="185"/>
      <c r="AE4508" s="186"/>
      <c r="AF4508" s="186"/>
      <c r="AG4508" s="185"/>
      <c r="AH4508" s="185"/>
      <c r="AI4508" s="185"/>
      <c r="AJ4508" s="185"/>
      <c r="AK4508" s="185"/>
      <c r="AL4508" s="185"/>
      <c r="AM4508" s="185"/>
      <c r="AN4508" s="117"/>
      <c r="AO4508" s="117"/>
      <c r="AP4508" s="117"/>
      <c r="AQ4508" s="117"/>
      <c r="AR4508" s="287"/>
      <c r="AS4508" s="258"/>
      <c r="AT4508" s="185"/>
      <c r="AU4508" s="207" t="s">
        <v>5040</v>
      </c>
      <c r="AV4508" s="6" t="str">
        <f t="shared" ref="AV4508:AV4529" si="114">IF(A4508&lt;&gt;"",IF(T4508&lt;&gt;"",IF(LEFT(R4508,3)="Has",IF(TRIM(A4508)&lt;&gt;T4508,"ERROR","OK"),""),""),"")</f>
        <v/>
      </c>
    </row>
    <row r="4509" spans="1:48" ht="128.25" thickBot="1" x14ac:dyDescent="0.5">
      <c r="A4509" s="110" t="s">
        <v>4296</v>
      </c>
      <c r="R4509" s="122" t="s">
        <v>3427</v>
      </c>
      <c r="S4509" s="352" t="s">
        <v>3454</v>
      </c>
      <c r="T4509" s="353"/>
      <c r="U4509" s="353"/>
      <c r="V4509" s="353"/>
      <c r="W4509" s="353"/>
      <c r="X4509" s="357"/>
      <c r="Y4509" s="149"/>
      <c r="Z4509" s="183" t="s">
        <v>4347</v>
      </c>
      <c r="AA4509" s="183" t="s">
        <v>2322</v>
      </c>
      <c r="AB4509" s="183" t="s">
        <v>1697</v>
      </c>
      <c r="AC4509" s="183" t="s">
        <v>5</v>
      </c>
      <c r="AD4509" s="183" t="s">
        <v>4339</v>
      </c>
      <c r="AE4509" s="184" t="s">
        <v>4338</v>
      </c>
      <c r="AF4509" s="184" t="s">
        <v>4350</v>
      </c>
      <c r="AG4509" s="183" t="s">
        <v>1695</v>
      </c>
      <c r="AH4509" s="183" t="s">
        <v>4351</v>
      </c>
      <c r="AI4509" s="8" t="s">
        <v>4455</v>
      </c>
      <c r="AJ4509" s="183" t="s">
        <v>5051</v>
      </c>
      <c r="AK4509" s="183"/>
      <c r="AL4509" s="183"/>
      <c r="AM4509" s="183"/>
      <c r="AN4509" s="131"/>
      <c r="AO4509" s="131"/>
      <c r="AP4509" s="131"/>
      <c r="AQ4509" s="131"/>
      <c r="AR4509" s="288"/>
      <c r="AS4509" s="259"/>
      <c r="AT4509" s="183"/>
      <c r="AU4509" s="207" t="s">
        <v>5040</v>
      </c>
      <c r="AV4509" s="6" t="str">
        <f t="shared" si="114"/>
        <v/>
      </c>
    </row>
    <row r="4510" spans="1:48" ht="314.25" thickBot="1" x14ac:dyDescent="0.5">
      <c r="A4510" s="315" t="s">
        <v>4373</v>
      </c>
      <c r="B4510" s="316"/>
      <c r="C4510" s="301" t="s">
        <v>1</v>
      </c>
      <c r="D4510" s="319"/>
      <c r="E4510" s="319"/>
      <c r="F4510" s="302"/>
      <c r="G4510" s="102"/>
      <c r="H4510" s="102"/>
      <c r="R4510" s="122" t="s">
        <v>3428</v>
      </c>
      <c r="S4510" s="352" t="b">
        <v>0</v>
      </c>
      <c r="T4510" s="353"/>
      <c r="U4510" s="353"/>
      <c r="V4510" s="353"/>
      <c r="W4510" s="353"/>
      <c r="X4510" s="357"/>
      <c r="Y4510" s="149"/>
      <c r="Z4510" s="189"/>
      <c r="AA4510" s="183" t="str">
        <f>LEFT($A4510,FIND(" ",$A4510)-1)</f>
        <v>DCNDevice</v>
      </c>
      <c r="AB4510" s="183" t="str">
        <f>MID($A4510,FIND("(",$A4510)+1,LEN($A4510)-FIND("(",$A4510)-1)</f>
        <v>1.0.0</v>
      </c>
      <c r="AC4510" s="101" t="str">
        <f>A4509</f>
        <v>Resource to describe a device connected to an O-PAS DCN subsystem.
Note:  This resource definition is preliminary and intended to show the direction of the system management model for interfaces and devices attached to DCNs.  The properties within are subject to change in updates to this standard.</v>
      </c>
      <c r="AD4510" s="101"/>
      <c r="AE4510" s="253" t="s">
        <v>5929</v>
      </c>
      <c r="AF4510" s="184" t="s">
        <v>4352</v>
      </c>
      <c r="AG4510" s="183" t="s">
        <v>4357</v>
      </c>
      <c r="AH4510" s="183" t="s">
        <v>4352</v>
      </c>
      <c r="AI4510" s="183" t="s">
        <v>5248</v>
      </c>
      <c r="AJ4510" s="183"/>
      <c r="AK4510" s="183"/>
      <c r="AL4510" s="183"/>
      <c r="AM4510" s="183"/>
      <c r="AN4510" s="131"/>
      <c r="AO4510" s="131"/>
      <c r="AP4510" s="131"/>
      <c r="AQ4510" s="131"/>
      <c r="AR4510" s="288"/>
      <c r="AS4510" s="259"/>
      <c r="AT4510" s="183"/>
      <c r="AU4510" s="208" t="s">
        <v>5041</v>
      </c>
      <c r="AV4510" s="6" t="str">
        <f t="shared" si="114"/>
        <v/>
      </c>
    </row>
    <row r="4511" spans="1:48" ht="15" customHeight="1" thickBot="1" x14ac:dyDescent="0.5">
      <c r="A4511" s="317"/>
      <c r="B4511" s="318"/>
      <c r="C4511" s="301" t="s">
        <v>2</v>
      </c>
      <c r="D4511" s="302"/>
      <c r="E4511" s="301" t="s">
        <v>3</v>
      </c>
      <c r="F4511" s="302"/>
      <c r="G4511" s="301" t="s">
        <v>2896</v>
      </c>
      <c r="H4511" s="302"/>
      <c r="R4511" s="115"/>
      <c r="S4511" s="115"/>
      <c r="T4511" s="115"/>
      <c r="U4511" s="115"/>
      <c r="V4511" s="115"/>
      <c r="W4511" s="115"/>
      <c r="X4511" s="115"/>
      <c r="Y4511" s="149"/>
      <c r="Z4511" s="183"/>
      <c r="AA4511" s="183"/>
      <c r="AB4511" s="183"/>
      <c r="AC4511" s="183"/>
      <c r="AD4511" s="183"/>
      <c r="AE4511" s="184"/>
      <c r="AF4511" s="184"/>
      <c r="AG4511" s="183"/>
      <c r="AH4511" s="183"/>
      <c r="AI4511" s="183"/>
      <c r="AJ4511" s="183"/>
      <c r="AK4511" s="183"/>
      <c r="AL4511" s="183"/>
      <c r="AM4511" s="183"/>
      <c r="AN4511" s="131"/>
      <c r="AO4511" s="131"/>
      <c r="AP4511" s="131"/>
      <c r="AQ4511" s="131"/>
      <c r="AR4511" s="288"/>
      <c r="AS4511" s="259"/>
      <c r="AT4511" s="183"/>
      <c r="AU4511" s="208" t="s">
        <v>5041</v>
      </c>
      <c r="AV4511" s="6" t="str">
        <f t="shared" si="114"/>
        <v/>
      </c>
    </row>
    <row r="4512" spans="1:48" ht="14.65" thickBot="1" x14ac:dyDescent="0.5">
      <c r="A4512" s="46" t="s">
        <v>2377</v>
      </c>
      <c r="B4512" s="47"/>
      <c r="C4512" s="303"/>
      <c r="D4512" s="304"/>
      <c r="E4512" s="303"/>
      <c r="F4512" s="304"/>
      <c r="G4512" s="303"/>
      <c r="H4512" s="304"/>
      <c r="R4512" s="129"/>
      <c r="S4512" s="117"/>
      <c r="T4512" s="117"/>
      <c r="U4512" s="117"/>
      <c r="V4512" s="117"/>
      <c r="W4512" s="117"/>
      <c r="X4512" s="216"/>
      <c r="Y4512" s="118"/>
      <c r="Z4512" s="185"/>
      <c r="AA4512" s="185"/>
      <c r="AB4512" s="185"/>
      <c r="AC4512" s="185"/>
      <c r="AD4512" s="185"/>
      <c r="AE4512" s="186"/>
      <c r="AF4512" s="186"/>
      <c r="AG4512" s="185"/>
      <c r="AH4512" s="185"/>
      <c r="AI4512" s="185"/>
      <c r="AJ4512" s="185"/>
      <c r="AK4512" s="185"/>
      <c r="AL4512" s="185"/>
      <c r="AM4512" s="185"/>
      <c r="AN4512" s="117"/>
      <c r="AO4512" s="117"/>
      <c r="AP4512" s="117"/>
      <c r="AQ4512" s="117"/>
      <c r="AR4512" s="287"/>
      <c r="AS4512" s="258"/>
      <c r="AT4512" s="185"/>
      <c r="AU4512" s="208" t="s">
        <v>5041</v>
      </c>
      <c r="AV4512" s="6" t="str">
        <f t="shared" si="114"/>
        <v/>
      </c>
    </row>
    <row r="4513" spans="1:48" ht="14.65" thickBot="1" x14ac:dyDescent="0.5">
      <c r="A4513" s="29" t="s">
        <v>3394</v>
      </c>
      <c r="B4513" s="9"/>
      <c r="C4513" s="305"/>
      <c r="D4513" s="306"/>
      <c r="E4513" s="305"/>
      <c r="F4513" s="306"/>
      <c r="G4513" s="305"/>
      <c r="H4513" s="306"/>
      <c r="L4513" s="18" t="s">
        <v>2336</v>
      </c>
      <c r="R4513" s="111" t="s">
        <v>3429</v>
      </c>
      <c r="S4513" s="111" t="s">
        <v>3430</v>
      </c>
      <c r="T4513" s="111" t="s">
        <v>3427</v>
      </c>
      <c r="U4513" s="111" t="s">
        <v>3431</v>
      </c>
      <c r="V4513" s="111" t="s">
        <v>3432</v>
      </c>
      <c r="W4513" s="111" t="s">
        <v>3433</v>
      </c>
      <c r="X4513" s="111" t="s">
        <v>3434</v>
      </c>
      <c r="Y4513" s="118" t="s">
        <v>3965</v>
      </c>
      <c r="Z4513" s="185"/>
      <c r="AA4513" s="185"/>
      <c r="AB4513" s="185"/>
      <c r="AC4513" s="185"/>
      <c r="AD4513" s="185"/>
      <c r="AE4513" s="186"/>
      <c r="AF4513" s="186"/>
      <c r="AG4513" s="185"/>
      <c r="AH4513" s="185"/>
      <c r="AI4513" s="185"/>
      <c r="AJ4513" s="185"/>
      <c r="AK4513" s="185"/>
      <c r="AL4513" s="185"/>
      <c r="AM4513" s="185"/>
      <c r="AN4513" s="117"/>
      <c r="AO4513" s="117"/>
      <c r="AP4513" s="117"/>
      <c r="AQ4513" s="117"/>
      <c r="AR4513" s="287"/>
      <c r="AS4513" s="258"/>
      <c r="AT4513" s="185"/>
      <c r="AU4513" s="208" t="s">
        <v>5041</v>
      </c>
      <c r="AV4513" s="6" t="str">
        <f t="shared" si="114"/>
        <v/>
      </c>
    </row>
    <row r="4514" spans="1:48" ht="15" customHeight="1" thickBot="1" x14ac:dyDescent="0.5">
      <c r="A4514" s="193" t="s">
        <v>4</v>
      </c>
      <c r="B4514" s="194" t="s">
        <v>5</v>
      </c>
      <c r="C4514" s="195" t="s">
        <v>6</v>
      </c>
      <c r="D4514" s="195" t="s">
        <v>7</v>
      </c>
      <c r="E4514" s="195" t="s">
        <v>6</v>
      </c>
      <c r="F4514" s="195" t="s">
        <v>7</v>
      </c>
      <c r="G4514" s="195" t="s">
        <v>6</v>
      </c>
      <c r="H4514" s="195" t="s">
        <v>7</v>
      </c>
      <c r="R4514" s="352" t="s">
        <v>4040</v>
      </c>
      <c r="S4514" s="353"/>
      <c r="T4514" s="353"/>
      <c r="U4514" s="353"/>
      <c r="V4514" s="353"/>
      <c r="W4514" s="353"/>
      <c r="X4514" s="357"/>
      <c r="Y4514" s="149"/>
      <c r="Z4514" s="183" t="s">
        <v>4347</v>
      </c>
      <c r="AA4514" s="183" t="s">
        <v>4343</v>
      </c>
      <c r="AB4514" s="183" t="s">
        <v>4172</v>
      </c>
      <c r="AC4514" s="183" t="s">
        <v>4340</v>
      </c>
      <c r="AD4514" s="183" t="s">
        <v>4339</v>
      </c>
      <c r="AE4514" s="184" t="s">
        <v>4341</v>
      </c>
      <c r="AF4514" s="184" t="s">
        <v>4342</v>
      </c>
      <c r="AG4514" s="183" t="s">
        <v>4353</v>
      </c>
      <c r="AH4514" s="183" t="s">
        <v>3429</v>
      </c>
      <c r="AI4514" s="183" t="s">
        <v>4356</v>
      </c>
      <c r="AJ4514" s="183" t="s">
        <v>4364</v>
      </c>
      <c r="AK4514" s="183"/>
      <c r="AL4514" s="183"/>
      <c r="AM4514" s="183"/>
      <c r="AN4514" s="131"/>
      <c r="AO4514" s="131"/>
      <c r="AP4514" s="131"/>
      <c r="AQ4514" s="131"/>
      <c r="AR4514" s="288"/>
      <c r="AS4514" s="259"/>
      <c r="AT4514" s="183"/>
      <c r="AU4514" s="208" t="s">
        <v>5041</v>
      </c>
      <c r="AV4514" s="6" t="str">
        <f t="shared" si="114"/>
        <v/>
      </c>
    </row>
    <row r="4515" spans="1:48" ht="23.65" thickBot="1" x14ac:dyDescent="0.5">
      <c r="A4515" s="182" t="s">
        <v>8</v>
      </c>
      <c r="B4515" s="165" t="s">
        <v>3772</v>
      </c>
      <c r="C4515" s="192"/>
      <c r="D4515" s="192"/>
      <c r="E4515" s="192"/>
      <c r="F4515" s="192"/>
      <c r="G4515" s="192"/>
      <c r="H4515" s="192"/>
      <c r="Z4515" s="189"/>
      <c r="AB4515" s="8" t="s">
        <v>4348</v>
      </c>
      <c r="AT4515" s="189" t="s">
        <v>5325</v>
      </c>
      <c r="AU4515" s="208" t="s">
        <v>5041</v>
      </c>
      <c r="AV4515" s="6" t="str">
        <f t="shared" si="114"/>
        <v/>
      </c>
    </row>
    <row r="4516" spans="1:48" ht="23.65" thickBot="1" x14ac:dyDescent="0.5">
      <c r="A4516" s="182" t="s">
        <v>2678</v>
      </c>
      <c r="B4516" s="165" t="s">
        <v>3726</v>
      </c>
      <c r="C4516" s="166"/>
      <c r="D4516" s="166"/>
      <c r="E4516" s="192"/>
      <c r="F4516" s="192"/>
      <c r="G4516" s="166"/>
      <c r="H4516" s="166"/>
      <c r="R4516" s="122" t="s">
        <v>3435</v>
      </c>
      <c r="S4516" s="114" t="s">
        <v>4</v>
      </c>
      <c r="T4516" s="114" t="s">
        <v>2678</v>
      </c>
      <c r="U4516" s="114" t="s">
        <v>3521</v>
      </c>
      <c r="V4516" s="114" t="s">
        <v>3530</v>
      </c>
      <c r="W4516" s="114" t="s">
        <v>3436</v>
      </c>
      <c r="X4516" s="114" t="s">
        <v>13</v>
      </c>
      <c r="Y4516" s="149"/>
      <c r="Z4516" s="189"/>
      <c r="AA4516" s="183"/>
      <c r="AB4516" s="183" t="s">
        <v>758</v>
      </c>
      <c r="AC4516" s="183" t="s">
        <v>4346</v>
      </c>
      <c r="AD4516" s="183"/>
      <c r="AE4516" s="184"/>
      <c r="AF4516" s="184"/>
      <c r="AG4516" s="183"/>
      <c r="AH4516" s="183"/>
      <c r="AI4516" s="183"/>
      <c r="AJ4516" s="183"/>
      <c r="AK4516" s="183"/>
      <c r="AL4516" s="183"/>
      <c r="AM4516" s="183"/>
      <c r="AN4516" s="131"/>
      <c r="AO4516" s="131"/>
      <c r="AP4516" s="131"/>
      <c r="AQ4516" s="131"/>
      <c r="AR4516" s="288"/>
      <c r="AS4516" s="259"/>
      <c r="AT4516" s="189" t="s">
        <v>5325</v>
      </c>
      <c r="AU4516" s="208" t="s">
        <v>5041</v>
      </c>
      <c r="AV4516" s="6" t="str">
        <f t="shared" si="114"/>
        <v>OK</v>
      </c>
    </row>
    <row r="4517" spans="1:48" ht="23.65" thickBot="1" x14ac:dyDescent="0.5">
      <c r="A4517" s="158" t="s">
        <v>2640</v>
      </c>
      <c r="B4517" s="159" t="s">
        <v>4067</v>
      </c>
      <c r="C4517" s="166"/>
      <c r="D4517" s="160"/>
      <c r="E4517" s="161"/>
      <c r="F4517" s="161"/>
      <c r="G4517" s="160"/>
      <c r="H4517" s="160"/>
      <c r="R4517" s="122" t="s">
        <v>3435</v>
      </c>
      <c r="S4517" s="114" t="s">
        <v>3443</v>
      </c>
      <c r="T4517" s="114" t="s">
        <v>2640</v>
      </c>
      <c r="U4517" s="114" t="s">
        <v>3522</v>
      </c>
      <c r="V4517" s="114" t="s">
        <v>3531</v>
      </c>
      <c r="W4517" s="114" t="s">
        <v>3436</v>
      </c>
      <c r="X4517" s="114" t="s">
        <v>13</v>
      </c>
      <c r="Y4517" s="149"/>
      <c r="Z4517" s="189"/>
      <c r="AA4517" s="183"/>
      <c r="AB4517" s="183" t="s">
        <v>4344</v>
      </c>
      <c r="AC4517" s="183" t="s">
        <v>6</v>
      </c>
      <c r="AD4517" s="183"/>
      <c r="AE4517" s="184"/>
      <c r="AF4517" s="184"/>
      <c r="AG4517" s="183"/>
      <c r="AH4517" s="183"/>
      <c r="AI4517" s="183"/>
      <c r="AJ4517" s="183"/>
      <c r="AK4517" s="183"/>
      <c r="AL4517" s="183"/>
      <c r="AM4517" s="183"/>
      <c r="AN4517" s="131"/>
      <c r="AO4517" s="131"/>
      <c r="AP4517" s="131"/>
      <c r="AQ4517" s="131"/>
      <c r="AR4517" s="288"/>
      <c r="AS4517" s="259"/>
      <c r="AT4517" s="189" t="s">
        <v>5325</v>
      </c>
      <c r="AU4517" s="208" t="s">
        <v>5041</v>
      </c>
      <c r="AV4517" s="6" t="str">
        <f t="shared" si="114"/>
        <v>OK</v>
      </c>
    </row>
    <row r="4518" spans="1:48" ht="23.65" thickBot="1" x14ac:dyDescent="0.5">
      <c r="A4518" s="158" t="s">
        <v>2641</v>
      </c>
      <c r="B4518" s="159" t="s">
        <v>2645</v>
      </c>
      <c r="C4518" s="166"/>
      <c r="D4518" s="160"/>
      <c r="E4518" s="161"/>
      <c r="F4518" s="161"/>
      <c r="G4518" s="160"/>
      <c r="H4518" s="160"/>
      <c r="R4518" s="122" t="s">
        <v>3435</v>
      </c>
      <c r="S4518" s="114" t="s">
        <v>3443</v>
      </c>
      <c r="T4518" s="114" t="s">
        <v>2641</v>
      </c>
      <c r="U4518" s="114" t="s">
        <v>3522</v>
      </c>
      <c r="V4518" s="114" t="s">
        <v>3531</v>
      </c>
      <c r="W4518" s="114" t="s">
        <v>3436</v>
      </c>
      <c r="X4518" s="114" t="s">
        <v>13</v>
      </c>
      <c r="Y4518" s="149"/>
      <c r="Z4518" s="189"/>
      <c r="AA4518" s="183"/>
      <c r="AB4518" s="183" t="s">
        <v>4344</v>
      </c>
      <c r="AC4518" s="183" t="s">
        <v>6</v>
      </c>
      <c r="AD4518" s="183"/>
      <c r="AE4518" s="184"/>
      <c r="AF4518" s="184"/>
      <c r="AG4518" s="183"/>
      <c r="AH4518" s="183"/>
      <c r="AI4518" s="183"/>
      <c r="AJ4518" s="183"/>
      <c r="AK4518" s="183"/>
      <c r="AL4518" s="183"/>
      <c r="AM4518" s="183"/>
      <c r="AN4518" s="131"/>
      <c r="AO4518" s="131"/>
      <c r="AP4518" s="131"/>
      <c r="AQ4518" s="131"/>
      <c r="AR4518" s="288"/>
      <c r="AS4518" s="259"/>
      <c r="AT4518" s="189" t="s">
        <v>5325</v>
      </c>
      <c r="AU4518" s="208" t="s">
        <v>5041</v>
      </c>
      <c r="AV4518" s="6" t="str">
        <f t="shared" si="114"/>
        <v>OK</v>
      </c>
    </row>
    <row r="4519" spans="1:48" ht="23.65" thickBot="1" x14ac:dyDescent="0.5">
      <c r="A4519" s="158" t="s">
        <v>2642</v>
      </c>
      <c r="B4519" s="159" t="s">
        <v>3773</v>
      </c>
      <c r="C4519" s="166"/>
      <c r="D4519" s="160"/>
      <c r="E4519" s="161"/>
      <c r="F4519" s="161"/>
      <c r="G4519" s="160"/>
      <c r="H4519" s="160"/>
      <c r="R4519" s="122" t="s">
        <v>3435</v>
      </c>
      <c r="S4519" s="114" t="s">
        <v>3443</v>
      </c>
      <c r="T4519" s="114" t="s">
        <v>2642</v>
      </c>
      <c r="U4519" s="114" t="s">
        <v>3522</v>
      </c>
      <c r="V4519" s="114" t="s">
        <v>3531</v>
      </c>
      <c r="W4519" s="114" t="s">
        <v>3436</v>
      </c>
      <c r="X4519" s="114" t="s">
        <v>13</v>
      </c>
      <c r="Y4519" s="149"/>
      <c r="Z4519" s="189"/>
      <c r="AA4519" s="183"/>
      <c r="AB4519" s="183" t="s">
        <v>4344</v>
      </c>
      <c r="AC4519" s="183" t="s">
        <v>6</v>
      </c>
      <c r="AD4519" s="183"/>
      <c r="AE4519" s="184"/>
      <c r="AF4519" s="184"/>
      <c r="AG4519" s="183"/>
      <c r="AH4519" s="183"/>
      <c r="AI4519" s="183"/>
      <c r="AJ4519" s="183"/>
      <c r="AK4519" s="183"/>
      <c r="AL4519" s="183"/>
      <c r="AM4519" s="183"/>
      <c r="AN4519" s="131"/>
      <c r="AO4519" s="131"/>
      <c r="AP4519" s="131"/>
      <c r="AQ4519" s="131"/>
      <c r="AR4519" s="288"/>
      <c r="AS4519" s="259"/>
      <c r="AT4519" s="189" t="s">
        <v>5325</v>
      </c>
      <c r="AU4519" s="208" t="s">
        <v>5041</v>
      </c>
      <c r="AV4519" s="6" t="str">
        <f t="shared" si="114"/>
        <v>OK</v>
      </c>
    </row>
    <row r="4520" spans="1:48" ht="23.65" thickBot="1" x14ac:dyDescent="0.5">
      <c r="A4520" s="158" t="s">
        <v>2643</v>
      </c>
      <c r="B4520" s="159" t="s">
        <v>3774</v>
      </c>
      <c r="C4520" s="166"/>
      <c r="D4520" s="160"/>
      <c r="E4520" s="161"/>
      <c r="F4520" s="161"/>
      <c r="G4520" s="160"/>
      <c r="H4520" s="160"/>
      <c r="R4520" s="122" t="s">
        <v>3435</v>
      </c>
      <c r="S4520" s="114" t="s">
        <v>3443</v>
      </c>
      <c r="T4520" s="114" t="s">
        <v>2643</v>
      </c>
      <c r="U4520" s="114" t="s">
        <v>3522</v>
      </c>
      <c r="V4520" s="114" t="s">
        <v>3531</v>
      </c>
      <c r="W4520" s="114" t="s">
        <v>3436</v>
      </c>
      <c r="X4520" s="114" t="s">
        <v>13</v>
      </c>
      <c r="Y4520" s="149"/>
      <c r="Z4520" s="189"/>
      <c r="AA4520" s="183"/>
      <c r="AB4520" s="183" t="s">
        <v>4344</v>
      </c>
      <c r="AC4520" s="183" t="s">
        <v>6</v>
      </c>
      <c r="AD4520" s="183"/>
      <c r="AE4520" s="184"/>
      <c r="AF4520" s="184"/>
      <c r="AG4520" s="183"/>
      <c r="AH4520" s="183"/>
      <c r="AI4520" s="183"/>
      <c r="AJ4520" s="183"/>
      <c r="AK4520" s="183"/>
      <c r="AL4520" s="183"/>
      <c r="AM4520" s="183"/>
      <c r="AN4520" s="131"/>
      <c r="AO4520" s="131"/>
      <c r="AP4520" s="131"/>
      <c r="AQ4520" s="131"/>
      <c r="AR4520" s="288"/>
      <c r="AS4520" s="259"/>
      <c r="AT4520" s="189" t="s">
        <v>5325</v>
      </c>
      <c r="AU4520" s="208" t="s">
        <v>5041</v>
      </c>
      <c r="AV4520" s="6" t="str">
        <f t="shared" si="114"/>
        <v>OK</v>
      </c>
    </row>
    <row r="4521" spans="1:48" ht="23.65" thickBot="1" x14ac:dyDescent="0.5">
      <c r="A4521" s="158" t="s">
        <v>2644</v>
      </c>
      <c r="B4521" s="196" t="s">
        <v>4300</v>
      </c>
      <c r="C4521" s="166"/>
      <c r="D4521" s="161"/>
      <c r="E4521" s="161"/>
      <c r="F4521" s="161"/>
      <c r="G4521" s="161"/>
      <c r="H4521" s="161"/>
      <c r="R4521" s="122" t="s">
        <v>3435</v>
      </c>
      <c r="S4521" s="114" t="s">
        <v>3443</v>
      </c>
      <c r="T4521" s="114" t="s">
        <v>2644</v>
      </c>
      <c r="U4521" s="114" t="s">
        <v>4301</v>
      </c>
      <c r="V4521" s="114"/>
      <c r="W4521" s="114" t="s">
        <v>3436</v>
      </c>
      <c r="X4521" s="114" t="s">
        <v>13</v>
      </c>
      <c r="Y4521" s="149"/>
      <c r="Z4521" s="189"/>
      <c r="AA4521" s="183"/>
      <c r="AB4521" s="183" t="s">
        <v>4439</v>
      </c>
      <c r="AC4521" s="183" t="s">
        <v>6</v>
      </c>
      <c r="AD4521" s="183"/>
      <c r="AE4521" s="184"/>
      <c r="AF4521" s="184"/>
      <c r="AG4521" s="183"/>
      <c r="AH4521" s="183"/>
      <c r="AI4521" s="183"/>
      <c r="AJ4521" s="183"/>
      <c r="AK4521" s="183"/>
      <c r="AL4521" s="183"/>
      <c r="AM4521" s="183"/>
      <c r="AN4521" s="131"/>
      <c r="AO4521" s="131"/>
      <c r="AP4521" s="131"/>
      <c r="AQ4521" s="131"/>
      <c r="AR4521" s="288"/>
      <c r="AS4521" s="259"/>
      <c r="AT4521" s="189" t="s">
        <v>5325</v>
      </c>
      <c r="AU4521" s="208" t="s">
        <v>5041</v>
      </c>
      <c r="AV4521" s="6" t="str">
        <f t="shared" si="114"/>
        <v>OK</v>
      </c>
    </row>
    <row r="4522" spans="1:48" ht="23.65" thickBot="1" x14ac:dyDescent="0.5">
      <c r="A4522" s="158" t="s">
        <v>2646</v>
      </c>
      <c r="B4522" s="159" t="s">
        <v>3775</v>
      </c>
      <c r="C4522" s="160"/>
      <c r="D4522" s="160"/>
      <c r="E4522" s="161"/>
      <c r="F4522" s="161"/>
      <c r="G4522" s="160"/>
      <c r="H4522" s="160"/>
      <c r="R4522" s="122" t="s">
        <v>3435</v>
      </c>
      <c r="S4522" s="114" t="s">
        <v>3437</v>
      </c>
      <c r="T4522" s="114" t="s">
        <v>2646</v>
      </c>
      <c r="U4522" s="114"/>
      <c r="V4522" s="114" t="s">
        <v>3456</v>
      </c>
      <c r="W4522" s="114" t="s">
        <v>3436</v>
      </c>
      <c r="X4522" s="114" t="s">
        <v>13</v>
      </c>
      <c r="Y4522" s="149"/>
      <c r="Z4522" s="189"/>
      <c r="AA4522" s="183"/>
      <c r="AB4522" s="183" t="s">
        <v>4348</v>
      </c>
      <c r="AC4522" s="183"/>
      <c r="AD4522" s="183"/>
      <c r="AE4522" s="184"/>
      <c r="AF4522" s="184"/>
      <c r="AG4522" s="183"/>
      <c r="AH4522" s="183"/>
      <c r="AI4522" s="183"/>
      <c r="AJ4522" s="183"/>
      <c r="AK4522" s="183"/>
      <c r="AL4522" s="183"/>
      <c r="AM4522" s="183"/>
      <c r="AN4522" s="131"/>
      <c r="AO4522" s="131"/>
      <c r="AP4522" s="131"/>
      <c r="AQ4522" s="131"/>
      <c r="AR4522" s="288"/>
      <c r="AS4522" s="259"/>
      <c r="AT4522" s="189" t="s">
        <v>5325</v>
      </c>
      <c r="AU4522" s="208" t="s">
        <v>5041</v>
      </c>
      <c r="AV4522" s="6" t="str">
        <f t="shared" si="114"/>
        <v>OK</v>
      </c>
    </row>
    <row r="4523" spans="1:48" ht="24.4" thickBot="1" x14ac:dyDescent="0.5">
      <c r="A4523" s="163" t="s">
        <v>4174</v>
      </c>
      <c r="B4523" s="159" t="s">
        <v>3976</v>
      </c>
      <c r="C4523" s="166"/>
      <c r="D4523" s="160"/>
      <c r="E4523" s="161"/>
      <c r="F4523" s="161"/>
      <c r="G4523" s="160"/>
      <c r="H4523" s="160"/>
      <c r="Q4523" s="8" t="s">
        <v>3456</v>
      </c>
      <c r="R4523" s="122" t="s">
        <v>3529</v>
      </c>
      <c r="S4523" s="114" t="s">
        <v>4</v>
      </c>
      <c r="T4523" s="114" t="s">
        <v>3518</v>
      </c>
      <c r="U4523" s="114" t="s">
        <v>3521</v>
      </c>
      <c r="V4523" s="114" t="s">
        <v>3530</v>
      </c>
      <c r="W4523" s="114" t="s">
        <v>3436</v>
      </c>
      <c r="X4523" s="114" t="s">
        <v>13</v>
      </c>
      <c r="Y4523" s="149"/>
      <c r="Z4523" s="189"/>
      <c r="AA4523" s="183" t="s">
        <v>2646</v>
      </c>
      <c r="AB4523" s="183" t="s">
        <v>758</v>
      </c>
      <c r="AC4523" s="183" t="s">
        <v>4346</v>
      </c>
      <c r="AD4523" s="183"/>
      <c r="AE4523" s="184"/>
      <c r="AF4523" s="184"/>
      <c r="AG4523" s="183"/>
      <c r="AH4523" s="183"/>
      <c r="AI4523" s="183"/>
      <c r="AJ4523" s="183"/>
      <c r="AK4523" s="183"/>
      <c r="AL4523" s="183"/>
      <c r="AM4523" s="183"/>
      <c r="AN4523" s="131"/>
      <c r="AO4523" s="131"/>
      <c r="AP4523" s="131"/>
      <c r="AQ4523" s="131"/>
      <c r="AR4523" s="288"/>
      <c r="AS4523" s="259"/>
      <c r="AT4523" s="189" t="s">
        <v>5325</v>
      </c>
      <c r="AU4523" s="208" t="s">
        <v>5041</v>
      </c>
      <c r="AV4523" s="6" t="str">
        <f t="shared" si="114"/>
        <v>OK</v>
      </c>
    </row>
    <row r="4524" spans="1:48" ht="24.4" thickBot="1" x14ac:dyDescent="0.5">
      <c r="A4524" s="163" t="s">
        <v>2647</v>
      </c>
      <c r="B4524" s="159" t="s">
        <v>3776</v>
      </c>
      <c r="C4524" s="166"/>
      <c r="D4524" s="160"/>
      <c r="E4524" s="161"/>
      <c r="F4524" s="161"/>
      <c r="G4524" s="160"/>
      <c r="H4524" s="160"/>
      <c r="Q4524" s="8" t="s">
        <v>3456</v>
      </c>
      <c r="R4524" s="122" t="s">
        <v>3529</v>
      </c>
      <c r="S4524" s="114" t="s">
        <v>4</v>
      </c>
      <c r="T4524" s="114" t="s">
        <v>3519</v>
      </c>
      <c r="U4524" s="114" t="s">
        <v>3521</v>
      </c>
      <c r="V4524" s="114" t="s">
        <v>3530</v>
      </c>
      <c r="W4524" s="114" t="s">
        <v>3436</v>
      </c>
      <c r="X4524" s="114" t="s">
        <v>13</v>
      </c>
      <c r="Y4524" s="149"/>
      <c r="Z4524" s="189"/>
      <c r="AA4524" s="183" t="s">
        <v>2646</v>
      </c>
      <c r="AB4524" s="183" t="s">
        <v>758</v>
      </c>
      <c r="AC4524" s="183" t="s">
        <v>4346</v>
      </c>
      <c r="AD4524" s="183"/>
      <c r="AE4524" s="184"/>
      <c r="AF4524" s="184"/>
      <c r="AG4524" s="183"/>
      <c r="AH4524" s="183"/>
      <c r="AI4524" s="183"/>
      <c r="AJ4524" s="183"/>
      <c r="AK4524" s="183"/>
      <c r="AL4524" s="183"/>
      <c r="AM4524" s="183"/>
      <c r="AN4524" s="131"/>
      <c r="AO4524" s="131"/>
      <c r="AP4524" s="131"/>
      <c r="AQ4524" s="131"/>
      <c r="AR4524" s="288"/>
      <c r="AS4524" s="259"/>
      <c r="AT4524" s="189" t="s">
        <v>5325</v>
      </c>
      <c r="AU4524" s="208" t="s">
        <v>5041</v>
      </c>
      <c r="AV4524" s="6" t="str">
        <f t="shared" si="114"/>
        <v>OK</v>
      </c>
    </row>
    <row r="4525" spans="1:48" ht="24.4" thickBot="1" x14ac:dyDescent="0.5">
      <c r="A4525" s="163" t="s">
        <v>2648</v>
      </c>
      <c r="B4525" s="196" t="s">
        <v>3777</v>
      </c>
      <c r="C4525" s="166"/>
      <c r="D4525" s="161"/>
      <c r="E4525" s="161"/>
      <c r="F4525" s="161"/>
      <c r="G4525" s="161"/>
      <c r="H4525" s="161"/>
      <c r="Q4525" s="8" t="s">
        <v>3456</v>
      </c>
      <c r="R4525" s="122" t="s">
        <v>3529</v>
      </c>
      <c r="S4525" s="114" t="s">
        <v>4</v>
      </c>
      <c r="T4525" s="114" t="s">
        <v>3520</v>
      </c>
      <c r="U4525" s="114" t="s">
        <v>3521</v>
      </c>
      <c r="V4525" s="114" t="s">
        <v>3530</v>
      </c>
      <c r="W4525" s="114" t="s">
        <v>3436</v>
      </c>
      <c r="X4525" s="114" t="s">
        <v>13</v>
      </c>
      <c r="Y4525" s="149"/>
      <c r="Z4525" s="189"/>
      <c r="AA4525" s="183" t="s">
        <v>2646</v>
      </c>
      <c r="AB4525" s="183" t="s">
        <v>758</v>
      </c>
      <c r="AC4525" s="183" t="s">
        <v>4346</v>
      </c>
      <c r="AD4525" s="183"/>
      <c r="AE4525" s="184"/>
      <c r="AF4525" s="184"/>
      <c r="AG4525" s="183"/>
      <c r="AH4525" s="183"/>
      <c r="AI4525" s="183"/>
      <c r="AJ4525" s="183"/>
      <c r="AK4525" s="183"/>
      <c r="AL4525" s="183"/>
      <c r="AM4525" s="183"/>
      <c r="AN4525" s="131"/>
      <c r="AO4525" s="131"/>
      <c r="AP4525" s="131"/>
      <c r="AQ4525" s="131"/>
      <c r="AR4525" s="288"/>
      <c r="AS4525" s="259"/>
      <c r="AT4525" s="189" t="s">
        <v>5325</v>
      </c>
      <c r="AU4525" s="208" t="s">
        <v>5041</v>
      </c>
      <c r="AV4525" s="6" t="str">
        <f t="shared" si="114"/>
        <v>OK</v>
      </c>
    </row>
    <row r="4526" spans="1:48" ht="23.65" thickBot="1" x14ac:dyDescent="0.5">
      <c r="A4526" s="182" t="s">
        <v>753</v>
      </c>
      <c r="B4526" s="165" t="s">
        <v>60</v>
      </c>
      <c r="C4526" s="166"/>
      <c r="D4526" s="166"/>
      <c r="E4526" s="166"/>
      <c r="F4526" s="166"/>
      <c r="G4526" s="166"/>
      <c r="H4526" s="166"/>
      <c r="AT4526" s="189" t="s">
        <v>5325</v>
      </c>
      <c r="AU4526" s="208" t="s">
        <v>5041</v>
      </c>
      <c r="AV4526" s="6" t="str">
        <f t="shared" si="114"/>
        <v/>
      </c>
    </row>
    <row r="4527" spans="1:48" x14ac:dyDescent="0.45">
      <c r="A4527" s="33" t="s">
        <v>3392</v>
      </c>
      <c r="AU4527" s="208" t="s">
        <v>5041</v>
      </c>
      <c r="AV4527" s="6" t="str">
        <f t="shared" si="114"/>
        <v/>
      </c>
    </row>
    <row r="4528" spans="1:48" x14ac:dyDescent="0.45">
      <c r="A4528" s="257" t="s">
        <v>5929</v>
      </c>
      <c r="AU4528" s="208" t="s">
        <v>5041</v>
      </c>
      <c r="AV4528" s="6" t="str">
        <f t="shared" si="114"/>
        <v/>
      </c>
    </row>
    <row r="4529" spans="1:48" s="79" customFormat="1" x14ac:dyDescent="0.45">
      <c r="A4529" s="75"/>
      <c r="B4529" s="76"/>
      <c r="C4529" s="77"/>
      <c r="D4529" s="77"/>
      <c r="E4529" s="77"/>
      <c r="F4529" s="77"/>
      <c r="G4529" s="77"/>
      <c r="H4529" s="77"/>
      <c r="I4529" s="77"/>
      <c r="J4529" s="77"/>
      <c r="K4529" s="77"/>
      <c r="L4529" s="77"/>
      <c r="M4529" s="148"/>
      <c r="N4529" s="78"/>
      <c r="O4529" s="78"/>
      <c r="P4529" s="78"/>
      <c r="Q4529" s="78"/>
      <c r="R4529" s="78"/>
      <c r="S4529" s="78"/>
      <c r="T4529" s="78"/>
      <c r="U4529" s="78"/>
      <c r="V4529" s="78"/>
      <c r="W4529" s="78"/>
      <c r="X4529" s="78"/>
      <c r="Y4529" s="148"/>
      <c r="Z4529" s="78"/>
      <c r="AA4529" s="78"/>
      <c r="AB4529" s="78"/>
      <c r="AC4529" s="78"/>
      <c r="AD4529" s="78"/>
      <c r="AE4529" s="156"/>
      <c r="AF4529" s="156"/>
      <c r="AG4529" s="78"/>
      <c r="AH4529" s="78"/>
      <c r="AI4529" s="78"/>
      <c r="AJ4529" s="78"/>
      <c r="AK4529" s="78"/>
      <c r="AL4529" s="78"/>
      <c r="AM4529" s="78"/>
      <c r="AN4529" s="78"/>
      <c r="AO4529" s="78"/>
      <c r="AP4529" s="78"/>
      <c r="AQ4529" s="78"/>
      <c r="AR4529" s="286"/>
      <c r="AS4529" s="78"/>
      <c r="AT4529" s="78"/>
      <c r="AU4529" s="8"/>
      <c r="AV4529" s="6" t="str">
        <f t="shared" si="114"/>
        <v/>
      </c>
    </row>
    <row r="4530" spans="1:48" x14ac:dyDescent="0.45">
      <c r="A4530" s="39" t="s">
        <v>2725</v>
      </c>
      <c r="L4530" s="8"/>
      <c r="AV4530" s="6" t="str">
        <f t="shared" si="106"/>
        <v/>
      </c>
    </row>
    <row r="4531" spans="1:48" ht="15" customHeight="1" thickBot="1" x14ac:dyDescent="0.5">
      <c r="A4531" s="110" t="s">
        <v>4008</v>
      </c>
      <c r="L4531" s="8"/>
      <c r="AV4531" s="6" t="str">
        <f t="shared" si="106"/>
        <v/>
      </c>
    </row>
    <row r="4532" spans="1:48" ht="14.65" thickBot="1" x14ac:dyDescent="0.5">
      <c r="A4532" s="307" t="s">
        <v>2759</v>
      </c>
      <c r="B4532" s="308"/>
      <c r="C4532" s="314" t="s">
        <v>1</v>
      </c>
      <c r="D4532" s="314"/>
      <c r="E4532" s="314"/>
      <c r="F4532" s="314"/>
      <c r="G4532" s="102"/>
      <c r="H4532" s="102"/>
      <c r="L4532" s="8"/>
      <c r="AV4532" s="6" t="str">
        <f t="shared" si="106"/>
        <v/>
      </c>
    </row>
    <row r="4533" spans="1:48" ht="14.65" thickBot="1" x14ac:dyDescent="0.5">
      <c r="A4533" s="307"/>
      <c r="B4533" s="308"/>
      <c r="C4533" s="314" t="s">
        <v>2</v>
      </c>
      <c r="D4533" s="314"/>
      <c r="E4533" s="314" t="s">
        <v>3</v>
      </c>
      <c r="F4533" s="314"/>
      <c r="G4533" s="314" t="s">
        <v>2896</v>
      </c>
      <c r="H4533" s="314"/>
      <c r="L4533" s="8"/>
      <c r="AV4533" s="6" t="str">
        <f t="shared" si="106"/>
        <v/>
      </c>
    </row>
    <row r="4534" spans="1:48" ht="14.65" thickBot="1" x14ac:dyDescent="0.5">
      <c r="A4534" s="46" t="s">
        <v>2377</v>
      </c>
      <c r="B4534" s="47"/>
      <c r="C4534" s="303"/>
      <c r="D4534" s="304"/>
      <c r="E4534" s="303"/>
      <c r="F4534" s="304"/>
      <c r="G4534" s="303"/>
      <c r="H4534" s="304"/>
      <c r="L4534" s="8"/>
      <c r="AU4534" s="6"/>
      <c r="AV4534" s="6" t="str">
        <f t="shared" si="106"/>
        <v/>
      </c>
    </row>
    <row r="4535" spans="1:48" ht="14.65" thickBot="1" x14ac:dyDescent="0.5">
      <c r="A4535" s="29" t="s">
        <v>3394</v>
      </c>
      <c r="B4535" s="9"/>
      <c r="C4535" s="305"/>
      <c r="D4535" s="306"/>
      <c r="E4535" s="305"/>
      <c r="F4535" s="306"/>
      <c r="G4535" s="305"/>
      <c r="H4535" s="306"/>
      <c r="AU4535" s="6"/>
      <c r="AV4535" s="6" t="str">
        <f t="shared" si="106"/>
        <v/>
      </c>
    </row>
    <row r="4536" spans="1:48" ht="15" customHeight="1" thickBot="1" x14ac:dyDescent="0.5">
      <c r="A4536" s="60" t="s">
        <v>4</v>
      </c>
      <c r="B4536" s="61" t="s">
        <v>5</v>
      </c>
      <c r="C4536" s="62" t="s">
        <v>6</v>
      </c>
      <c r="D4536" s="62" t="s">
        <v>7</v>
      </c>
      <c r="E4536" s="62" t="s">
        <v>6</v>
      </c>
      <c r="F4536" s="62" t="s">
        <v>7</v>
      </c>
      <c r="G4536" s="62" t="s">
        <v>6</v>
      </c>
      <c r="H4536" s="62" t="s">
        <v>7</v>
      </c>
      <c r="L4536" s="8"/>
      <c r="AV4536" s="6" t="str">
        <f t="shared" si="106"/>
        <v/>
      </c>
    </row>
    <row r="4537" spans="1:48" ht="14.65" thickBot="1" x14ac:dyDescent="0.5">
      <c r="A4537" s="95" t="s">
        <v>8</v>
      </c>
      <c r="B4537" s="72" t="s">
        <v>9</v>
      </c>
      <c r="C4537" s="20"/>
      <c r="D4537" s="20"/>
      <c r="E4537" s="20"/>
      <c r="F4537" s="20"/>
      <c r="G4537" s="20"/>
      <c r="H4537" s="20"/>
      <c r="L4537" s="8"/>
      <c r="AV4537" s="6" t="str">
        <f t="shared" si="106"/>
        <v/>
      </c>
    </row>
    <row r="4538" spans="1:48" ht="14.65" thickBot="1" x14ac:dyDescent="0.5">
      <c r="A4538" s="95" t="s">
        <v>2729</v>
      </c>
      <c r="B4538" s="72" t="s">
        <v>2753</v>
      </c>
      <c r="C4538" s="20"/>
      <c r="D4538" s="20"/>
      <c r="E4538" s="20"/>
      <c r="F4538" s="20"/>
      <c r="G4538" s="20"/>
      <c r="H4538" s="20"/>
      <c r="L4538" s="8"/>
      <c r="AV4538" s="6" t="str">
        <f t="shared" si="106"/>
        <v/>
      </c>
    </row>
    <row r="4539" spans="1:48" ht="14.65" thickBot="1" x14ac:dyDescent="0.5">
      <c r="A4539" s="95" t="s">
        <v>2730</v>
      </c>
      <c r="B4539" s="72" t="s">
        <v>2731</v>
      </c>
      <c r="C4539" s="20"/>
      <c r="D4539" s="20"/>
      <c r="E4539" s="20"/>
      <c r="F4539" s="20"/>
      <c r="G4539" s="20"/>
      <c r="H4539" s="20"/>
      <c r="L4539" s="8"/>
      <c r="AV4539" s="6" t="str">
        <f t="shared" si="106"/>
        <v/>
      </c>
    </row>
    <row r="4540" spans="1:48" ht="14.65" thickBot="1" x14ac:dyDescent="0.5">
      <c r="A4540" s="95" t="s">
        <v>2733</v>
      </c>
      <c r="B4540" s="72"/>
      <c r="C4540" s="20"/>
      <c r="D4540" s="20"/>
      <c r="E4540" s="20"/>
      <c r="F4540" s="20"/>
      <c r="G4540" s="20"/>
      <c r="H4540" s="20"/>
      <c r="L4540" s="8"/>
      <c r="AV4540" s="6" t="str">
        <f t="shared" si="106"/>
        <v/>
      </c>
    </row>
    <row r="4541" spans="1:48" ht="14.65" thickBot="1" x14ac:dyDescent="0.5">
      <c r="A4541" s="95" t="s">
        <v>2746</v>
      </c>
      <c r="B4541" s="19" t="s">
        <v>2747</v>
      </c>
      <c r="L4541" s="8"/>
      <c r="AV4541" s="6" t="str">
        <f t="shared" si="106"/>
        <v/>
      </c>
    </row>
    <row r="4542" spans="1:48" ht="14.65" thickBot="1" x14ac:dyDescent="0.5">
      <c r="A4542" s="91" t="s">
        <v>43</v>
      </c>
      <c r="B4542" s="19"/>
      <c r="L4542" s="8"/>
      <c r="AV4542" s="6" t="str">
        <f t="shared" si="106"/>
        <v/>
      </c>
    </row>
    <row r="4543" spans="1:48" ht="14.65" thickBot="1" x14ac:dyDescent="0.5">
      <c r="A4543" s="95" t="s">
        <v>2732</v>
      </c>
      <c r="B4543" s="72" t="s">
        <v>2728</v>
      </c>
      <c r="C4543" s="20"/>
      <c r="D4543" s="20"/>
      <c r="E4543" s="20"/>
      <c r="F4543" s="20"/>
      <c r="G4543" s="20"/>
      <c r="H4543" s="20"/>
      <c r="L4543" s="8"/>
      <c r="AV4543" s="6" t="str">
        <f t="shared" si="106"/>
        <v/>
      </c>
    </row>
    <row r="4544" spans="1:48" ht="14.65" thickBot="1" x14ac:dyDescent="0.5">
      <c r="A4544" s="91" t="s">
        <v>43</v>
      </c>
      <c r="B4544" s="72"/>
      <c r="C4544" s="20"/>
      <c r="D4544" s="20"/>
      <c r="E4544" s="20"/>
      <c r="F4544" s="20"/>
      <c r="G4544" s="20"/>
      <c r="H4544" s="20"/>
      <c r="L4544" s="8"/>
      <c r="AV4544" s="6" t="str">
        <f t="shared" si="106"/>
        <v/>
      </c>
    </row>
    <row r="4545" spans="1:48" ht="36" thickBot="1" x14ac:dyDescent="0.5">
      <c r="A4545" s="95" t="s">
        <v>2750</v>
      </c>
      <c r="B4545" s="72" t="s">
        <v>3995</v>
      </c>
      <c r="C4545" s="20"/>
      <c r="D4545" s="20"/>
      <c r="E4545" s="20"/>
      <c r="F4545" s="20"/>
      <c r="G4545" s="20"/>
      <c r="H4545" s="20"/>
      <c r="L4545" s="8"/>
      <c r="AV4545" s="6" t="str">
        <f t="shared" si="106"/>
        <v/>
      </c>
    </row>
    <row r="4546" spans="1:48" ht="14.65" thickBot="1" x14ac:dyDescent="0.5">
      <c r="A4546" s="91" t="s">
        <v>43</v>
      </c>
      <c r="B4546" s="72"/>
      <c r="C4546" s="20"/>
      <c r="D4546" s="20"/>
      <c r="E4546" s="20"/>
      <c r="F4546" s="20"/>
      <c r="G4546" s="20"/>
      <c r="H4546" s="20"/>
      <c r="L4546" s="8"/>
      <c r="AV4546" s="6" t="str">
        <f t="shared" si="106"/>
        <v/>
      </c>
    </row>
    <row r="4547" spans="1:48" ht="14.65" thickBot="1" x14ac:dyDescent="0.5">
      <c r="A4547" s="95" t="s">
        <v>2751</v>
      </c>
      <c r="B4547" s="72" t="s">
        <v>2755</v>
      </c>
      <c r="C4547" s="20"/>
      <c r="D4547" s="20"/>
      <c r="E4547" s="20"/>
      <c r="F4547" s="20"/>
      <c r="G4547" s="20"/>
      <c r="H4547" s="20"/>
      <c r="L4547" s="8"/>
      <c r="AV4547" s="6" t="str">
        <f t="shared" si="106"/>
        <v/>
      </c>
    </row>
    <row r="4548" spans="1:48" ht="14.65" thickBot="1" x14ac:dyDescent="0.5">
      <c r="A4548" s="91" t="s">
        <v>43</v>
      </c>
      <c r="B4548" s="72"/>
      <c r="C4548" s="20"/>
      <c r="D4548" s="20"/>
      <c r="E4548" s="20"/>
      <c r="F4548" s="20"/>
      <c r="G4548" s="20"/>
      <c r="H4548" s="20"/>
      <c r="L4548" s="8"/>
      <c r="AV4548" s="6" t="str">
        <f t="shared" si="106"/>
        <v/>
      </c>
    </row>
    <row r="4549" spans="1:48" ht="14.65" thickBot="1" x14ac:dyDescent="0.5">
      <c r="A4549" s="95" t="s">
        <v>2752</v>
      </c>
      <c r="B4549" s="72" t="s">
        <v>2754</v>
      </c>
      <c r="C4549" s="20"/>
      <c r="D4549" s="20"/>
      <c r="E4549" s="20"/>
      <c r="F4549" s="20"/>
      <c r="G4549" s="20"/>
      <c r="H4549" s="20"/>
      <c r="L4549" s="8"/>
      <c r="AV4549" s="6" t="str">
        <f t="shared" si="106"/>
        <v/>
      </c>
    </row>
    <row r="4550" spans="1:48" ht="14.65" thickBot="1" x14ac:dyDescent="0.5">
      <c r="A4550" s="91" t="s">
        <v>43</v>
      </c>
      <c r="B4550" s="72"/>
      <c r="C4550" s="20"/>
      <c r="D4550" s="20"/>
      <c r="E4550" s="20"/>
      <c r="F4550" s="20"/>
      <c r="G4550" s="20"/>
      <c r="H4550" s="20"/>
      <c r="L4550" s="8"/>
      <c r="AV4550" s="6" t="str">
        <f t="shared" si="106"/>
        <v/>
      </c>
    </row>
    <row r="4551" spans="1:48" ht="14.65" thickBot="1" x14ac:dyDescent="0.5">
      <c r="A4551" s="95" t="s">
        <v>2757</v>
      </c>
      <c r="B4551" s="72" t="s">
        <v>2756</v>
      </c>
      <c r="C4551" s="20"/>
      <c r="D4551" s="20"/>
      <c r="E4551" s="20"/>
      <c r="F4551" s="20"/>
      <c r="G4551" s="20"/>
      <c r="H4551" s="20"/>
      <c r="L4551" s="8"/>
      <c r="AV4551" s="6" t="str">
        <f t="shared" si="106"/>
        <v/>
      </c>
    </row>
    <row r="4552" spans="1:48" ht="14.65" thickBot="1" x14ac:dyDescent="0.5">
      <c r="A4552" s="91" t="s">
        <v>43</v>
      </c>
      <c r="B4552" s="72"/>
      <c r="C4552" s="20"/>
      <c r="D4552" s="20"/>
      <c r="E4552" s="20"/>
      <c r="F4552" s="20"/>
      <c r="G4552" s="20"/>
      <c r="H4552" s="20"/>
      <c r="L4552" s="8"/>
      <c r="AV4552" s="6" t="str">
        <f t="shared" si="106"/>
        <v/>
      </c>
    </row>
    <row r="4553" spans="1:48" x14ac:dyDescent="0.45">
      <c r="A4553" s="92" t="s">
        <v>2726</v>
      </c>
      <c r="L4553" s="8"/>
      <c r="AV4553" s="6" t="str">
        <f t="shared" si="106"/>
        <v/>
      </c>
    </row>
    <row r="4554" spans="1:48" x14ac:dyDescent="0.45">
      <c r="A4554" s="99" t="s">
        <v>2727</v>
      </c>
      <c r="L4554" s="8"/>
      <c r="AV4554" s="6" t="str">
        <f t="shared" si="106"/>
        <v/>
      </c>
    </row>
    <row r="4555" spans="1:48" s="79" customFormat="1" x14ac:dyDescent="0.45">
      <c r="A4555" s="75"/>
      <c r="B4555" s="76"/>
      <c r="C4555" s="77"/>
      <c r="D4555" s="77"/>
      <c r="E4555" s="77"/>
      <c r="F4555" s="77"/>
      <c r="G4555" s="77"/>
      <c r="H4555" s="77"/>
      <c r="I4555" s="77"/>
      <c r="J4555" s="77"/>
      <c r="K4555" s="77"/>
      <c r="L4555" s="77"/>
      <c r="M4555" s="148"/>
      <c r="N4555" s="78"/>
      <c r="O4555" s="78"/>
      <c r="P4555" s="78"/>
      <c r="Q4555" s="78"/>
      <c r="R4555" s="78"/>
      <c r="S4555" s="78"/>
      <c r="T4555" s="78"/>
      <c r="U4555" s="78"/>
      <c r="V4555" s="78"/>
      <c r="W4555" s="78"/>
      <c r="X4555" s="78"/>
      <c r="Y4555" s="148"/>
      <c r="Z4555" s="78"/>
      <c r="AA4555" s="78"/>
      <c r="AB4555" s="78"/>
      <c r="AC4555" s="78"/>
      <c r="AD4555" s="78"/>
      <c r="AE4555" s="156"/>
      <c r="AF4555" s="156"/>
      <c r="AG4555" s="78"/>
      <c r="AH4555" s="78"/>
      <c r="AI4555" s="78"/>
      <c r="AJ4555" s="78"/>
      <c r="AK4555" s="78"/>
      <c r="AL4555" s="78"/>
      <c r="AM4555" s="78"/>
      <c r="AN4555" s="78"/>
      <c r="AO4555" s="78"/>
      <c r="AP4555" s="78"/>
      <c r="AQ4555" s="78"/>
      <c r="AR4555" s="286"/>
      <c r="AS4555" s="78"/>
      <c r="AT4555" s="78"/>
      <c r="AU4555" s="8"/>
      <c r="AV4555" s="6" t="str">
        <f t="shared" si="106"/>
        <v/>
      </c>
    </row>
    <row r="4556" spans="1:48" x14ac:dyDescent="0.45">
      <c r="A4556" s="39" t="s">
        <v>2734</v>
      </c>
      <c r="L4556" s="8"/>
      <c r="AV4556" s="6" t="str">
        <f t="shared" si="106"/>
        <v/>
      </c>
    </row>
    <row r="4557" spans="1:48" ht="14.65" thickBot="1" x14ac:dyDescent="0.5">
      <c r="A4557" s="40" t="s">
        <v>2737</v>
      </c>
      <c r="L4557" s="8"/>
      <c r="AV4557" s="6" t="str">
        <f t="shared" si="106"/>
        <v/>
      </c>
    </row>
    <row r="4558" spans="1:48" ht="14.65" thickBot="1" x14ac:dyDescent="0.5">
      <c r="A4558" s="307" t="s">
        <v>2760</v>
      </c>
      <c r="B4558" s="308"/>
      <c r="C4558" s="314" t="s">
        <v>1</v>
      </c>
      <c r="D4558" s="314"/>
      <c r="E4558" s="314"/>
      <c r="F4558" s="314"/>
      <c r="G4558" s="102"/>
      <c r="H4558" s="102"/>
      <c r="L4558" s="8"/>
      <c r="AV4558" s="6" t="str">
        <f t="shared" si="106"/>
        <v/>
      </c>
    </row>
    <row r="4559" spans="1:48" ht="14.65" thickBot="1" x14ac:dyDescent="0.5">
      <c r="A4559" s="307"/>
      <c r="B4559" s="308"/>
      <c r="C4559" s="314" t="s">
        <v>2</v>
      </c>
      <c r="D4559" s="314"/>
      <c r="E4559" s="314" t="s">
        <v>3</v>
      </c>
      <c r="F4559" s="314"/>
      <c r="G4559" s="314" t="s">
        <v>2896</v>
      </c>
      <c r="H4559" s="314"/>
      <c r="L4559" s="8"/>
      <c r="AV4559" s="6" t="str">
        <f t="shared" si="106"/>
        <v/>
      </c>
    </row>
    <row r="4560" spans="1:48" ht="14.65" thickBot="1" x14ac:dyDescent="0.5">
      <c r="A4560" s="46" t="s">
        <v>2377</v>
      </c>
      <c r="B4560" s="47"/>
      <c r="C4560" s="303"/>
      <c r="D4560" s="304"/>
      <c r="E4560" s="303"/>
      <c r="F4560" s="304"/>
      <c r="G4560" s="303"/>
      <c r="H4560" s="304"/>
      <c r="L4560" s="8"/>
      <c r="AU4560" s="6"/>
      <c r="AV4560" s="6" t="str">
        <f t="shared" si="106"/>
        <v/>
      </c>
    </row>
    <row r="4561" spans="1:48" ht="14.65" thickBot="1" x14ac:dyDescent="0.5">
      <c r="A4561" s="29" t="s">
        <v>3394</v>
      </c>
      <c r="B4561" s="9"/>
      <c r="C4561" s="305"/>
      <c r="D4561" s="306"/>
      <c r="E4561" s="305"/>
      <c r="F4561" s="306"/>
      <c r="G4561" s="305"/>
      <c r="H4561" s="306"/>
      <c r="AU4561" s="6"/>
      <c r="AV4561" s="6" t="str">
        <f t="shared" si="106"/>
        <v/>
      </c>
    </row>
    <row r="4562" spans="1:48" ht="14.65" thickBot="1" x14ac:dyDescent="0.5">
      <c r="A4562" s="60" t="s">
        <v>4</v>
      </c>
      <c r="B4562" s="61" t="s">
        <v>5</v>
      </c>
      <c r="C4562" s="62" t="s">
        <v>6</v>
      </c>
      <c r="D4562" s="62" t="s">
        <v>7</v>
      </c>
      <c r="E4562" s="62" t="s">
        <v>6</v>
      </c>
      <c r="F4562" s="62" t="s">
        <v>7</v>
      </c>
      <c r="G4562" s="62" t="s">
        <v>6</v>
      </c>
      <c r="H4562" s="62" t="s">
        <v>7</v>
      </c>
      <c r="L4562" s="8"/>
      <c r="AV4562" s="6" t="str">
        <f t="shared" si="106"/>
        <v/>
      </c>
    </row>
    <row r="4563" spans="1:48" ht="14.65" thickBot="1" x14ac:dyDescent="0.5">
      <c r="A4563" s="95" t="s">
        <v>8</v>
      </c>
      <c r="B4563" s="72" t="s">
        <v>9</v>
      </c>
      <c r="C4563" s="20"/>
      <c r="D4563" s="20"/>
      <c r="E4563" s="20"/>
      <c r="F4563" s="20"/>
      <c r="G4563" s="20"/>
      <c r="H4563" s="20"/>
      <c r="L4563" s="8"/>
      <c r="AV4563" s="6" t="str">
        <f t="shared" si="106"/>
        <v/>
      </c>
    </row>
    <row r="4564" spans="1:48" ht="14.65" thickBot="1" x14ac:dyDescent="0.5">
      <c r="A4564" s="95" t="s">
        <v>2738</v>
      </c>
      <c r="B4564" s="72"/>
      <c r="C4564" s="20"/>
      <c r="D4564" s="20"/>
      <c r="E4564" s="20"/>
      <c r="F4564" s="20"/>
      <c r="G4564" s="20"/>
      <c r="H4564" s="20"/>
      <c r="L4564" s="8"/>
      <c r="AV4564" s="6" t="str">
        <f t="shared" si="106"/>
        <v/>
      </c>
    </row>
    <row r="4565" spans="1:48" ht="14.65" thickBot="1" x14ac:dyDescent="0.5">
      <c r="A4565" s="95" t="s">
        <v>2748</v>
      </c>
      <c r="B4565" s="72" t="s">
        <v>2749</v>
      </c>
      <c r="C4565" s="20"/>
      <c r="D4565" s="20"/>
      <c r="E4565" s="20"/>
      <c r="F4565" s="20"/>
      <c r="G4565" s="20"/>
      <c r="H4565" s="20"/>
      <c r="L4565" s="8"/>
      <c r="AV4565" s="6" t="str">
        <f t="shared" si="106"/>
        <v/>
      </c>
    </row>
    <row r="4566" spans="1:48" ht="14.65" thickBot="1" x14ac:dyDescent="0.5">
      <c r="A4566" s="95" t="s">
        <v>2739</v>
      </c>
      <c r="B4566" s="72"/>
      <c r="C4566" s="20"/>
      <c r="D4566" s="20"/>
      <c r="E4566" s="20"/>
      <c r="F4566" s="20"/>
      <c r="G4566" s="20"/>
      <c r="H4566" s="20"/>
      <c r="L4566" s="8"/>
      <c r="AV4566" s="6" t="str">
        <f t="shared" si="106"/>
        <v/>
      </c>
    </row>
    <row r="4567" spans="1:48" ht="14.65" thickBot="1" x14ac:dyDescent="0.5">
      <c r="A4567" s="91" t="s">
        <v>2740</v>
      </c>
      <c r="B4567" s="72" t="s">
        <v>2741</v>
      </c>
      <c r="C4567" s="20"/>
      <c r="D4567" s="20"/>
      <c r="E4567" s="20"/>
      <c r="F4567" s="20"/>
      <c r="G4567" s="20"/>
      <c r="H4567" s="20"/>
      <c r="L4567" s="8"/>
      <c r="AV4567" s="6" t="str">
        <f t="shared" si="106"/>
        <v/>
      </c>
    </row>
    <row r="4568" spans="1:48" ht="14.65" thickBot="1" x14ac:dyDescent="0.5">
      <c r="A4568" s="91" t="s">
        <v>2742</v>
      </c>
      <c r="B4568" s="72" t="s">
        <v>2743</v>
      </c>
      <c r="C4568" s="20"/>
      <c r="D4568" s="20"/>
      <c r="E4568" s="20"/>
      <c r="F4568" s="20"/>
      <c r="G4568" s="20"/>
      <c r="H4568" s="20"/>
      <c r="L4568" s="8"/>
      <c r="AV4568" s="6" t="str">
        <f t="shared" si="106"/>
        <v/>
      </c>
    </row>
    <row r="4569" spans="1:48" ht="14.65" thickBot="1" x14ac:dyDescent="0.5">
      <c r="A4569" s="91" t="s">
        <v>2744</v>
      </c>
      <c r="B4569" s="72"/>
      <c r="C4569" s="20"/>
      <c r="D4569" s="20"/>
      <c r="E4569" s="20"/>
      <c r="F4569" s="20"/>
      <c r="G4569" s="20"/>
      <c r="H4569" s="20"/>
      <c r="L4569" s="8"/>
      <c r="AV4569" s="6" t="str">
        <f t="shared" si="106"/>
        <v/>
      </c>
    </row>
    <row r="4570" spans="1:48" ht="14.65" thickBot="1" x14ac:dyDescent="0.5">
      <c r="A4570" s="91" t="s">
        <v>2745</v>
      </c>
      <c r="B4570" s="72"/>
      <c r="C4570" s="20"/>
      <c r="D4570" s="20"/>
      <c r="E4570" s="20"/>
      <c r="F4570" s="20"/>
      <c r="G4570" s="20"/>
      <c r="H4570" s="20"/>
      <c r="L4570" s="8"/>
      <c r="AV4570" s="6" t="str">
        <f t="shared" si="106"/>
        <v/>
      </c>
    </row>
    <row r="4571" spans="1:48" x14ac:dyDescent="0.45">
      <c r="A4571" s="92" t="s">
        <v>2735</v>
      </c>
      <c r="L4571" s="8"/>
      <c r="AV4571" s="6" t="str">
        <f t="shared" si="106"/>
        <v/>
      </c>
    </row>
    <row r="4572" spans="1:48" x14ac:dyDescent="0.45">
      <c r="A4572" s="99" t="s">
        <v>2736</v>
      </c>
      <c r="L4572" s="8"/>
      <c r="AV4572" s="6" t="str">
        <f t="shared" si="106"/>
        <v/>
      </c>
    </row>
    <row r="4573" spans="1:48" s="79" customFormat="1" x14ac:dyDescent="0.45">
      <c r="A4573" s="75"/>
      <c r="B4573" s="76"/>
      <c r="C4573" s="77"/>
      <c r="D4573" s="77"/>
      <c r="E4573" s="77"/>
      <c r="F4573" s="77"/>
      <c r="G4573" s="77"/>
      <c r="H4573" s="77"/>
      <c r="I4573" s="77"/>
      <c r="J4573" s="77"/>
      <c r="K4573" s="77"/>
      <c r="L4573" s="77"/>
      <c r="M4573" s="148"/>
      <c r="N4573" s="78"/>
      <c r="O4573" s="78"/>
      <c r="P4573" s="78"/>
      <c r="Q4573" s="78"/>
      <c r="R4573" s="78"/>
      <c r="S4573" s="78"/>
      <c r="T4573" s="78"/>
      <c r="U4573" s="78"/>
      <c r="V4573" s="78"/>
      <c r="W4573" s="78"/>
      <c r="X4573" s="78"/>
      <c r="Y4573" s="148"/>
      <c r="Z4573" s="78"/>
      <c r="AA4573" s="78"/>
      <c r="AB4573" s="78"/>
      <c r="AC4573" s="78"/>
      <c r="AD4573" s="78"/>
      <c r="AE4573" s="156"/>
      <c r="AF4573" s="156"/>
      <c r="AG4573" s="78"/>
      <c r="AH4573" s="78"/>
      <c r="AI4573" s="78"/>
      <c r="AJ4573" s="78"/>
      <c r="AK4573" s="78"/>
      <c r="AL4573" s="78"/>
      <c r="AM4573" s="78"/>
      <c r="AN4573" s="78"/>
      <c r="AO4573" s="78"/>
      <c r="AP4573" s="78"/>
      <c r="AQ4573" s="78"/>
      <c r="AR4573" s="286"/>
      <c r="AS4573" s="78"/>
      <c r="AT4573" s="78"/>
      <c r="AU4573" s="8"/>
      <c r="AV4573" s="6" t="str">
        <f t="shared" si="106"/>
        <v/>
      </c>
    </row>
    <row r="4574" spans="1:48" x14ac:dyDescent="0.45">
      <c r="A4574" s="39" t="s">
        <v>2781</v>
      </c>
      <c r="AV4574" s="6" t="str">
        <f t="shared" si="106"/>
        <v/>
      </c>
    </row>
    <row r="4575" spans="1:48" ht="14.65" thickBot="1" x14ac:dyDescent="0.5">
      <c r="A4575" s="40" t="s">
        <v>4018</v>
      </c>
      <c r="AV4575" s="6" t="str">
        <f t="shared" si="106"/>
        <v/>
      </c>
    </row>
    <row r="4576" spans="1:48" ht="14.65" thickBot="1" x14ac:dyDescent="0.5">
      <c r="A4576" s="309" t="s">
        <v>2782</v>
      </c>
      <c r="B4576" s="310"/>
      <c r="C4576" s="301" t="s">
        <v>1</v>
      </c>
      <c r="D4576" s="319"/>
      <c r="E4576" s="319"/>
      <c r="F4576" s="302"/>
      <c r="G4576" s="102"/>
      <c r="H4576" s="102"/>
      <c r="AV4576" s="6" t="str">
        <f t="shared" si="106"/>
        <v/>
      </c>
    </row>
    <row r="4577" spans="1:48" ht="14.65" thickBot="1" x14ac:dyDescent="0.5">
      <c r="A4577" s="311"/>
      <c r="B4577" s="312"/>
      <c r="C4577" s="301" t="s">
        <v>2</v>
      </c>
      <c r="D4577" s="302"/>
      <c r="E4577" s="301" t="s">
        <v>3</v>
      </c>
      <c r="F4577" s="302"/>
      <c r="G4577" s="301" t="s">
        <v>2896</v>
      </c>
      <c r="H4577" s="302"/>
      <c r="AV4577" s="6" t="str">
        <f t="shared" si="106"/>
        <v/>
      </c>
    </row>
    <row r="4578" spans="1:48" ht="14.65" thickBot="1" x14ac:dyDescent="0.5">
      <c r="A4578" s="46" t="s">
        <v>2377</v>
      </c>
      <c r="B4578" s="47"/>
      <c r="C4578" s="303"/>
      <c r="D4578" s="304"/>
      <c r="E4578" s="303"/>
      <c r="F4578" s="304"/>
      <c r="G4578" s="303"/>
      <c r="H4578" s="304"/>
      <c r="AU4578" s="6"/>
      <c r="AV4578" s="6" t="str">
        <f t="shared" si="106"/>
        <v/>
      </c>
    </row>
    <row r="4579" spans="1:48" ht="14.65" thickBot="1" x14ac:dyDescent="0.5">
      <c r="A4579" s="29" t="s">
        <v>3394</v>
      </c>
      <c r="B4579" s="9"/>
      <c r="C4579" s="305"/>
      <c r="D4579" s="306"/>
      <c r="E4579" s="305"/>
      <c r="F4579" s="306"/>
      <c r="G4579" s="305"/>
      <c r="H4579" s="306"/>
      <c r="AU4579" s="6"/>
      <c r="AV4579" s="6" t="str">
        <f t="shared" si="106"/>
        <v/>
      </c>
    </row>
    <row r="4580" spans="1:48" ht="14.65" thickBot="1" x14ac:dyDescent="0.5">
      <c r="A4580" s="30" t="s">
        <v>4</v>
      </c>
      <c r="B4580" s="59" t="s">
        <v>5</v>
      </c>
      <c r="C4580" s="7" t="s">
        <v>6</v>
      </c>
      <c r="D4580" s="7" t="s">
        <v>7</v>
      </c>
      <c r="E4580" s="7" t="s">
        <v>6</v>
      </c>
      <c r="F4580" s="7" t="s">
        <v>7</v>
      </c>
      <c r="G4580" s="7" t="s">
        <v>6</v>
      </c>
      <c r="H4580" s="7" t="s">
        <v>7</v>
      </c>
      <c r="AV4580" s="6" t="str">
        <f t="shared" si="106"/>
        <v/>
      </c>
    </row>
    <row r="4581" spans="1:48" ht="14.65" thickBot="1" x14ac:dyDescent="0.5">
      <c r="A4581" s="44" t="s">
        <v>8</v>
      </c>
      <c r="B4581" s="50" t="s">
        <v>9</v>
      </c>
      <c r="C4581" s="12"/>
      <c r="D4581" s="20"/>
      <c r="E4581" s="20"/>
      <c r="F4581" s="20"/>
      <c r="G4581" s="12"/>
      <c r="H4581" s="20"/>
      <c r="AV4581" s="6" t="str">
        <f t="shared" si="106"/>
        <v/>
      </c>
    </row>
    <row r="4582" spans="1:48" ht="14.65" thickBot="1" x14ac:dyDescent="0.5">
      <c r="A4582" s="44" t="s">
        <v>773</v>
      </c>
      <c r="B4582" s="50" t="s">
        <v>2724</v>
      </c>
      <c r="C4582" s="12"/>
      <c r="D4582" s="20"/>
      <c r="E4582" s="20"/>
      <c r="F4582" s="20"/>
      <c r="G4582" s="12"/>
      <c r="H4582" s="20"/>
      <c r="AV4582" s="6" t="str">
        <f t="shared" si="106"/>
        <v/>
      </c>
    </row>
    <row r="4583" spans="1:48" ht="35.25" thickBot="1" x14ac:dyDescent="0.5">
      <c r="A4583" s="44" t="s">
        <v>2768</v>
      </c>
      <c r="B4583" s="50" t="s">
        <v>4282</v>
      </c>
      <c r="C4583" s="12"/>
      <c r="D4583" s="20"/>
      <c r="E4583" s="20"/>
      <c r="F4583" s="20"/>
      <c r="G4583" s="12"/>
      <c r="H4583" s="20"/>
      <c r="AU4583" s="209" t="s">
        <v>4283</v>
      </c>
      <c r="AV4583" s="6" t="str">
        <f t="shared" si="106"/>
        <v/>
      </c>
    </row>
    <row r="4584" spans="1:48" ht="14.65" thickBot="1" x14ac:dyDescent="0.5">
      <c r="A4584" s="35" t="s">
        <v>2654</v>
      </c>
      <c r="B4584" s="3" t="s">
        <v>2761</v>
      </c>
      <c r="C4584" s="12"/>
      <c r="D4584" s="20"/>
      <c r="E4584" s="12"/>
      <c r="F4584" s="20"/>
      <c r="G4584" s="12"/>
      <c r="H4584" s="20"/>
      <c r="AV4584" s="6" t="str">
        <f t="shared" si="106"/>
        <v/>
      </c>
    </row>
    <row r="4585" spans="1:48" ht="14.65" thickBot="1" x14ac:dyDescent="0.5">
      <c r="A4585" s="35" t="s">
        <v>2711</v>
      </c>
      <c r="B4585" s="3" t="s">
        <v>2762</v>
      </c>
      <c r="C4585" s="12"/>
      <c r="D4585" s="20"/>
      <c r="E4585" s="12"/>
      <c r="F4585" s="20"/>
      <c r="G4585" s="12"/>
      <c r="H4585" s="20"/>
      <c r="AV4585" s="6" t="str">
        <f t="shared" si="106"/>
        <v/>
      </c>
    </row>
    <row r="4586" spans="1:48" ht="14.65" thickBot="1" x14ac:dyDescent="0.5">
      <c r="A4586" s="35" t="s">
        <v>2765</v>
      </c>
      <c r="B4586" s="3" t="s">
        <v>2763</v>
      </c>
      <c r="C4586" s="12"/>
      <c r="D4586" s="20"/>
      <c r="E4586" s="12"/>
      <c r="F4586" s="20"/>
      <c r="G4586" s="12"/>
      <c r="H4586" s="20"/>
      <c r="AV4586" s="6" t="str">
        <f t="shared" si="106"/>
        <v/>
      </c>
    </row>
    <row r="4587" spans="1:48" ht="35.25" thickBot="1" x14ac:dyDescent="0.5">
      <c r="A4587" s="44" t="s">
        <v>2769</v>
      </c>
      <c r="B4587" s="50" t="s">
        <v>3996</v>
      </c>
      <c r="C4587" s="12"/>
      <c r="D4587" s="20"/>
      <c r="E4587" s="20"/>
      <c r="F4587" s="20"/>
      <c r="G4587" s="12"/>
      <c r="H4587" s="20"/>
      <c r="AV4587" s="6" t="str">
        <f t="shared" ref="AV4587:AV4654" si="115">IF(A4587&lt;&gt;"",IF(T4587&lt;&gt;"",IF(LEFT(R4587,3)="Has",IF(TRIM(A4587)&lt;&gt;T4587,"ERROR","OK"),""),""),"")</f>
        <v/>
      </c>
    </row>
    <row r="4588" spans="1:48" ht="14.65" thickBot="1" x14ac:dyDescent="0.5">
      <c r="A4588" s="35" t="s">
        <v>128</v>
      </c>
      <c r="B4588" s="3" t="s">
        <v>2764</v>
      </c>
      <c r="C4588" s="12"/>
      <c r="D4588" s="20"/>
      <c r="E4588" s="12"/>
      <c r="F4588" s="20"/>
      <c r="G4588" s="12"/>
      <c r="H4588" s="20"/>
      <c r="AV4588" s="6" t="str">
        <f t="shared" si="115"/>
        <v/>
      </c>
    </row>
    <row r="4589" spans="1:48" ht="14.65" thickBot="1" x14ac:dyDescent="0.5">
      <c r="A4589" s="35" t="s">
        <v>2655</v>
      </c>
      <c r="B4589" s="3" t="s">
        <v>2709</v>
      </c>
      <c r="C4589" s="12"/>
      <c r="D4589" s="20"/>
      <c r="E4589" s="12"/>
      <c r="F4589" s="20"/>
      <c r="G4589" s="12"/>
      <c r="H4589" s="20"/>
      <c r="AV4589" s="6" t="str">
        <f t="shared" si="115"/>
        <v/>
      </c>
    </row>
    <row r="4590" spans="1:48" ht="14.65" thickBot="1" x14ac:dyDescent="0.5">
      <c r="A4590" s="35" t="s">
        <v>2710</v>
      </c>
      <c r="B4590" s="3" t="s">
        <v>2344</v>
      </c>
      <c r="C4590" s="12"/>
      <c r="D4590" s="20"/>
      <c r="E4590" s="12"/>
      <c r="F4590" s="20"/>
      <c r="G4590" s="12"/>
      <c r="H4590" s="20"/>
      <c r="AV4590" s="6" t="str">
        <f t="shared" si="115"/>
        <v/>
      </c>
    </row>
    <row r="4591" spans="1:48" ht="14.65" thickBot="1" x14ac:dyDescent="0.5">
      <c r="A4591" s="35" t="s">
        <v>2765</v>
      </c>
      <c r="B4591" s="3" t="s">
        <v>2766</v>
      </c>
      <c r="C4591" s="12"/>
      <c r="D4591" s="20"/>
      <c r="E4591" s="12"/>
      <c r="F4591" s="20"/>
      <c r="G4591" s="12"/>
      <c r="H4591" s="20"/>
      <c r="AV4591" s="6" t="str">
        <f t="shared" si="115"/>
        <v/>
      </c>
    </row>
    <row r="4592" spans="1:48" ht="14.65" thickBot="1" x14ac:dyDescent="0.5">
      <c r="A4592" s="35" t="s">
        <v>2767</v>
      </c>
      <c r="B4592" s="3" t="s">
        <v>3778</v>
      </c>
      <c r="C4592" s="12"/>
      <c r="D4592" s="20"/>
      <c r="E4592" s="12"/>
      <c r="F4592" s="20"/>
      <c r="G4592" s="12"/>
      <c r="H4592" s="20"/>
      <c r="AV4592" s="6" t="str">
        <f t="shared" si="115"/>
        <v/>
      </c>
    </row>
    <row r="4593" spans="1:48" ht="14.65" thickBot="1" x14ac:dyDescent="0.5">
      <c r="A4593" s="44" t="s">
        <v>2770</v>
      </c>
      <c r="B4593" s="50" t="s">
        <v>2774</v>
      </c>
      <c r="C4593" s="12"/>
      <c r="D4593" s="20"/>
      <c r="E4593" s="20"/>
      <c r="F4593" s="20"/>
      <c r="G4593" s="12"/>
      <c r="H4593" s="20"/>
      <c r="AV4593" s="6" t="str">
        <f t="shared" si="115"/>
        <v/>
      </c>
    </row>
    <row r="4594" spans="1:48" ht="14.65" thickBot="1" x14ac:dyDescent="0.5">
      <c r="A4594" s="42" t="s">
        <v>420</v>
      </c>
      <c r="B4594" s="13" t="s">
        <v>2775</v>
      </c>
      <c r="C4594" s="14"/>
      <c r="D4594" s="20"/>
      <c r="E4594" s="12"/>
      <c r="F4594" s="20"/>
      <c r="G4594" s="14"/>
      <c r="H4594" s="20"/>
      <c r="AV4594" s="6" t="str">
        <f t="shared" si="115"/>
        <v/>
      </c>
    </row>
    <row r="4595" spans="1:48" ht="14.65" thickBot="1" x14ac:dyDescent="0.5">
      <c r="A4595" s="42" t="s">
        <v>2656</v>
      </c>
      <c r="B4595" s="13" t="s">
        <v>2776</v>
      </c>
      <c r="C4595" s="14"/>
      <c r="D4595" s="20"/>
      <c r="E4595" s="12"/>
      <c r="F4595" s="20"/>
      <c r="G4595" s="14"/>
      <c r="H4595" s="20"/>
      <c r="AV4595" s="6" t="str">
        <f t="shared" si="115"/>
        <v/>
      </c>
    </row>
    <row r="4596" spans="1:48" ht="14.65" thickBot="1" x14ac:dyDescent="0.5">
      <c r="A4596" s="42" t="s">
        <v>2771</v>
      </c>
      <c r="B4596" s="13" t="s">
        <v>2772</v>
      </c>
      <c r="C4596" s="14"/>
      <c r="D4596" s="20"/>
      <c r="E4596" s="12"/>
      <c r="F4596" s="20"/>
      <c r="G4596" s="14"/>
      <c r="H4596" s="20"/>
      <c r="AV4596" s="6" t="str">
        <f t="shared" si="115"/>
        <v/>
      </c>
    </row>
    <row r="4597" spans="1:48" ht="14.65" thickBot="1" x14ac:dyDescent="0.5">
      <c r="A4597" s="44" t="s">
        <v>2773</v>
      </c>
      <c r="B4597" s="50" t="s">
        <v>2777</v>
      </c>
      <c r="C4597" s="12"/>
      <c r="D4597" s="20"/>
      <c r="E4597" s="20"/>
      <c r="F4597" s="20"/>
      <c r="G4597" s="12"/>
      <c r="H4597" s="20"/>
      <c r="AV4597" s="6" t="str">
        <f t="shared" si="115"/>
        <v/>
      </c>
    </row>
    <row r="4598" spans="1:48" ht="14.65" thickBot="1" x14ac:dyDescent="0.5">
      <c r="A4598" s="42" t="s">
        <v>420</v>
      </c>
      <c r="B4598" s="13" t="s">
        <v>2775</v>
      </c>
      <c r="C4598" s="14"/>
      <c r="D4598" s="20"/>
      <c r="E4598" s="12"/>
      <c r="F4598" s="20"/>
      <c r="G4598" s="14"/>
      <c r="H4598" s="20"/>
      <c r="AV4598" s="6" t="str">
        <f t="shared" si="115"/>
        <v/>
      </c>
    </row>
    <row r="4599" spans="1:48" ht="14.65" thickBot="1" x14ac:dyDescent="0.5">
      <c r="A4599" s="42" t="s">
        <v>2656</v>
      </c>
      <c r="B4599" s="13" t="s">
        <v>2776</v>
      </c>
      <c r="C4599" s="14"/>
      <c r="D4599" s="20"/>
      <c r="E4599" s="12"/>
      <c r="F4599" s="20"/>
      <c r="G4599" s="14"/>
      <c r="H4599" s="20"/>
      <c r="AV4599" s="6" t="str">
        <f t="shared" si="115"/>
        <v/>
      </c>
    </row>
    <row r="4600" spans="1:48" ht="14.65" thickBot="1" x14ac:dyDescent="0.5">
      <c r="A4600" s="42" t="s">
        <v>2778</v>
      </c>
      <c r="B4600" s="13" t="s">
        <v>2772</v>
      </c>
      <c r="C4600" s="14"/>
      <c r="D4600" s="20"/>
      <c r="E4600" s="12"/>
      <c r="F4600" s="20"/>
      <c r="G4600" s="14"/>
      <c r="H4600" s="20"/>
      <c r="AV4600" s="6" t="str">
        <f t="shared" si="115"/>
        <v/>
      </c>
    </row>
    <row r="4601" spans="1:48" ht="14.65" thickBot="1" x14ac:dyDescent="0.5">
      <c r="A4601" s="44" t="s">
        <v>2779</v>
      </c>
      <c r="B4601" s="50" t="s">
        <v>2780</v>
      </c>
      <c r="C4601" s="12"/>
      <c r="D4601" s="20"/>
      <c r="E4601" s="20"/>
      <c r="F4601" s="20"/>
      <c r="G4601" s="12"/>
      <c r="H4601" s="20"/>
      <c r="AV4601" s="6" t="str">
        <f t="shared" si="115"/>
        <v/>
      </c>
    </row>
    <row r="4602" spans="1:48" ht="14.65" thickBot="1" x14ac:dyDescent="0.5">
      <c r="A4602" s="42" t="s">
        <v>420</v>
      </c>
      <c r="B4602" s="13" t="s">
        <v>2775</v>
      </c>
      <c r="C4602" s="14"/>
      <c r="D4602" s="20"/>
      <c r="E4602" s="12"/>
      <c r="F4602" s="20"/>
      <c r="G4602" s="14"/>
      <c r="H4602" s="20"/>
      <c r="AV4602" s="6" t="str">
        <f t="shared" si="115"/>
        <v/>
      </c>
    </row>
    <row r="4603" spans="1:48" ht="14.65" thickBot="1" x14ac:dyDescent="0.5">
      <c r="A4603" s="42" t="s">
        <v>2656</v>
      </c>
      <c r="B4603" s="13" t="s">
        <v>2776</v>
      </c>
      <c r="C4603" s="14"/>
      <c r="D4603" s="20"/>
      <c r="E4603" s="12"/>
      <c r="F4603" s="20"/>
      <c r="G4603" s="14"/>
      <c r="H4603" s="20"/>
      <c r="AV4603" s="6" t="str">
        <f t="shared" si="115"/>
        <v/>
      </c>
    </row>
    <row r="4604" spans="1:48" x14ac:dyDescent="0.45">
      <c r="A4604" s="33" t="s">
        <v>2783</v>
      </c>
      <c r="AU4604" s="8"/>
      <c r="AV4604" s="6" t="str">
        <f t="shared" si="115"/>
        <v/>
      </c>
    </row>
    <row r="4605" spans="1:48" x14ac:dyDescent="0.45">
      <c r="A4605" s="34" t="s">
        <v>2784</v>
      </c>
      <c r="AU4605" s="8"/>
      <c r="AV4605" s="6" t="str">
        <f t="shared" si="115"/>
        <v/>
      </c>
    </row>
    <row r="4606" spans="1:48" s="79" customFormat="1" x14ac:dyDescent="0.45">
      <c r="A4606" s="75"/>
      <c r="B4606" s="76"/>
      <c r="C4606" s="77"/>
      <c r="D4606" s="77"/>
      <c r="E4606" s="77"/>
      <c r="F4606" s="77"/>
      <c r="G4606" s="77"/>
      <c r="H4606" s="77"/>
      <c r="I4606" s="77"/>
      <c r="J4606" s="77"/>
      <c r="K4606" s="77"/>
      <c r="L4606" s="77"/>
      <c r="M4606" s="148"/>
      <c r="N4606" s="78"/>
      <c r="O4606" s="78"/>
      <c r="P4606" s="78"/>
      <c r="Q4606" s="78"/>
      <c r="R4606" s="78"/>
      <c r="S4606" s="78"/>
      <c r="T4606" s="78"/>
      <c r="U4606" s="78"/>
      <c r="V4606" s="78"/>
      <c r="W4606" s="78"/>
      <c r="X4606" s="78"/>
      <c r="Y4606" s="148"/>
      <c r="Z4606" s="78"/>
      <c r="AA4606" s="78"/>
      <c r="AB4606" s="78"/>
      <c r="AC4606" s="78"/>
      <c r="AD4606" s="78"/>
      <c r="AE4606" s="156"/>
      <c r="AF4606" s="156"/>
      <c r="AG4606" s="78"/>
      <c r="AH4606" s="78"/>
      <c r="AI4606" s="78"/>
      <c r="AJ4606" s="78"/>
      <c r="AK4606" s="78"/>
      <c r="AL4606" s="78"/>
      <c r="AM4606" s="78"/>
      <c r="AN4606" s="78"/>
      <c r="AO4606" s="78"/>
      <c r="AP4606" s="78"/>
      <c r="AQ4606" s="78"/>
      <c r="AR4606" s="286"/>
      <c r="AS4606" s="78"/>
      <c r="AT4606" s="78"/>
      <c r="AU4606" s="8"/>
      <c r="AV4606" s="6" t="str">
        <f t="shared" si="115"/>
        <v/>
      </c>
    </row>
    <row r="4607" spans="1:48" x14ac:dyDescent="0.45">
      <c r="AV4607" s="6" t="str">
        <f t="shared" si="115"/>
        <v/>
      </c>
    </row>
    <row r="4608" spans="1:48" ht="70.900000000000006" thickBot="1" x14ac:dyDescent="0.5">
      <c r="A4608" s="17" t="s">
        <v>5230</v>
      </c>
      <c r="B4608" s="19" t="s">
        <v>5231</v>
      </c>
      <c r="AV4608" s="6" t="str">
        <f t="shared" si="115"/>
        <v/>
      </c>
    </row>
    <row r="4609" spans="1:48" ht="14.65" thickBot="1" x14ac:dyDescent="0.5">
      <c r="A4609" s="242" t="s">
        <v>2827</v>
      </c>
      <c r="B4609" s="242" t="s">
        <v>2828</v>
      </c>
      <c r="C4609" s="320" t="s">
        <v>823</v>
      </c>
      <c r="D4609" s="320"/>
      <c r="E4609" s="320"/>
      <c r="F4609" s="320"/>
      <c r="G4609" s="241"/>
      <c r="H4609" s="241"/>
      <c r="I4609" s="98" t="s">
        <v>2473</v>
      </c>
      <c r="J4609" s="18" t="s">
        <v>2473</v>
      </c>
      <c r="K4609" s="18" t="s">
        <v>2473</v>
      </c>
      <c r="AV4609" s="6" t="str">
        <f t="shared" si="115"/>
        <v/>
      </c>
    </row>
    <row r="4610" spans="1:48" ht="85.9" thickBot="1" x14ac:dyDescent="0.5">
      <c r="A4610" s="21" t="s">
        <v>2820</v>
      </c>
      <c r="B4610" s="21" t="s">
        <v>2322</v>
      </c>
      <c r="C4610" s="313" t="s">
        <v>5058</v>
      </c>
      <c r="D4610" s="313"/>
      <c r="E4610" s="313"/>
      <c r="F4610" s="313"/>
      <c r="I4610" s="18" t="s">
        <v>2473</v>
      </c>
      <c r="J4610" s="18" t="s">
        <v>2473</v>
      </c>
      <c r="K4610" s="18" t="s">
        <v>2473</v>
      </c>
      <c r="L4610"/>
      <c r="M4610" s="151"/>
      <c r="N4610" s="109"/>
      <c r="O4610" s="109"/>
      <c r="P4610" s="109"/>
      <c r="Q4610" s="109"/>
      <c r="R4610" s="109"/>
      <c r="S4610" s="109"/>
      <c r="T4610" s="109"/>
      <c r="U4610" s="109"/>
      <c r="V4610" s="109"/>
      <c r="W4610" s="109"/>
      <c r="X4610" s="109"/>
      <c r="Y4610" s="151"/>
      <c r="Z4610" s="19"/>
      <c r="AA4610" s="19"/>
      <c r="AB4610" s="19"/>
      <c r="AC4610" s="19"/>
      <c r="AD4610" s="19"/>
      <c r="AE4610" s="191"/>
      <c r="AF4610" s="191"/>
      <c r="AG4610" s="19"/>
      <c r="AH4610" s="19"/>
      <c r="AI4610" s="19"/>
      <c r="AJ4610" s="19"/>
      <c r="AK4610" s="19"/>
      <c r="AL4610" s="19"/>
      <c r="AM4610" s="19"/>
      <c r="AN4610" s="109"/>
      <c r="AO4610" s="109"/>
      <c r="AP4610" s="109"/>
      <c r="AQ4610" s="109"/>
      <c r="AR4610" s="296"/>
      <c r="AS4610" s="270"/>
      <c r="AT4610" s="19"/>
      <c r="AU4610" s="210" t="s">
        <v>5064</v>
      </c>
      <c r="AV4610" s="6" t="str">
        <f t="shared" si="115"/>
        <v/>
      </c>
    </row>
    <row r="4611" spans="1:48" ht="85.9" thickBot="1" x14ac:dyDescent="0.5">
      <c r="A4611" s="21" t="s">
        <v>2820</v>
      </c>
      <c r="B4611" s="21" t="s">
        <v>4</v>
      </c>
      <c r="C4611" s="298" t="s">
        <v>146</v>
      </c>
      <c r="D4611" s="299"/>
      <c r="E4611" s="299"/>
      <c r="F4611" s="300"/>
      <c r="I4611" s="98" t="s">
        <v>2473</v>
      </c>
      <c r="J4611" s="18" t="s">
        <v>2473</v>
      </c>
      <c r="K4611" s="18" t="s">
        <v>2473</v>
      </c>
      <c r="L4611"/>
      <c r="M4611" s="151"/>
      <c r="N4611" s="109"/>
      <c r="O4611" s="109"/>
      <c r="P4611" s="109"/>
      <c r="Q4611" s="109"/>
      <c r="R4611" s="109"/>
      <c r="S4611" s="109"/>
      <c r="T4611" s="109"/>
      <c r="U4611" s="109"/>
      <c r="V4611" s="109"/>
      <c r="W4611" s="109"/>
      <c r="X4611" s="109"/>
      <c r="Y4611" s="151"/>
      <c r="Z4611" s="19"/>
      <c r="AA4611" s="19"/>
      <c r="AB4611" s="19"/>
      <c r="AC4611" s="19"/>
      <c r="AD4611" s="19"/>
      <c r="AE4611" s="191"/>
      <c r="AF4611" s="191"/>
      <c r="AG4611" s="19"/>
      <c r="AH4611" s="19"/>
      <c r="AI4611" s="19"/>
      <c r="AJ4611" s="19"/>
      <c r="AK4611" s="19"/>
      <c r="AL4611" s="19"/>
      <c r="AM4611" s="19"/>
      <c r="AN4611" s="109"/>
      <c r="AO4611" s="109"/>
      <c r="AP4611" s="109"/>
      <c r="AQ4611" s="109"/>
      <c r="AR4611" s="296"/>
      <c r="AS4611" s="270"/>
      <c r="AT4611" s="19"/>
      <c r="AU4611" s="210" t="s">
        <v>5064</v>
      </c>
      <c r="AV4611" s="6" t="str">
        <f t="shared" si="115"/>
        <v/>
      </c>
    </row>
    <row r="4612" spans="1:48" ht="14.65" thickBot="1" x14ac:dyDescent="0.5">
      <c r="A4612" s="21" t="s">
        <v>2820</v>
      </c>
      <c r="B4612" s="21" t="s">
        <v>2821</v>
      </c>
      <c r="C4612" s="298" t="s">
        <v>2824</v>
      </c>
      <c r="D4612" s="299"/>
      <c r="E4612" s="299"/>
      <c r="F4612" s="300"/>
      <c r="I4612" s="18" t="s">
        <v>2473</v>
      </c>
      <c r="J4612" s="18" t="s">
        <v>2473</v>
      </c>
      <c r="K4612" s="18" t="s">
        <v>2473</v>
      </c>
      <c r="L4612"/>
      <c r="M4612" s="151"/>
      <c r="N4612" s="109"/>
      <c r="O4612" s="109"/>
      <c r="P4612" s="109"/>
      <c r="Q4612" s="109"/>
      <c r="R4612" s="109"/>
      <c r="S4612" s="109"/>
      <c r="T4612" s="109"/>
      <c r="U4612" s="109"/>
      <c r="V4612" s="109"/>
      <c r="W4612" s="109"/>
      <c r="X4612" s="109"/>
      <c r="Y4612" s="151"/>
      <c r="Z4612" s="19"/>
      <c r="AA4612" s="19"/>
      <c r="AB4612" s="19"/>
      <c r="AC4612" s="19"/>
      <c r="AD4612" s="19"/>
      <c r="AE4612" s="191"/>
      <c r="AF4612" s="191"/>
      <c r="AG4612" s="19"/>
      <c r="AH4612" s="19"/>
      <c r="AI4612" s="19"/>
      <c r="AJ4612" s="19"/>
      <c r="AK4612" s="19"/>
      <c r="AL4612" s="19"/>
      <c r="AM4612" s="19"/>
      <c r="AN4612" s="109"/>
      <c r="AO4612" s="109"/>
      <c r="AP4612" s="109"/>
      <c r="AQ4612" s="109"/>
      <c r="AR4612" s="296"/>
      <c r="AS4612" s="270"/>
      <c r="AT4612" s="19"/>
      <c r="AU4612"/>
      <c r="AV4612" s="6" t="str">
        <f>IF(A4612&lt;&gt;"",IF(T4612&lt;&gt;"",IF(LEFT(R4612,3)="Has",IF(TRIM(A4612)&lt;&gt;T4612,"ERROR","OK"),""),""),"")</f>
        <v/>
      </c>
    </row>
    <row r="4613" spans="1:48" ht="14.65" thickBot="1" x14ac:dyDescent="0.5">
      <c r="A4613" s="21" t="s">
        <v>2820</v>
      </c>
      <c r="B4613" s="21" t="s">
        <v>2822</v>
      </c>
      <c r="C4613" s="298" t="s">
        <v>142</v>
      </c>
      <c r="D4613" s="299"/>
      <c r="E4613" s="299"/>
      <c r="F4613" s="300"/>
      <c r="I4613" s="18" t="s">
        <v>2473</v>
      </c>
      <c r="J4613" s="18" t="s">
        <v>2473</v>
      </c>
      <c r="K4613" s="18" t="s">
        <v>2473</v>
      </c>
      <c r="L4613"/>
      <c r="M4613" s="151"/>
      <c r="N4613" s="109"/>
      <c r="O4613" s="109"/>
      <c r="P4613" s="109"/>
      <c r="Q4613" s="109"/>
      <c r="R4613" s="109"/>
      <c r="S4613" s="109"/>
      <c r="T4613" s="109"/>
      <c r="U4613" s="109"/>
      <c r="V4613" s="109"/>
      <c r="W4613" s="109"/>
      <c r="X4613" s="109"/>
      <c r="Y4613" s="151"/>
      <c r="Z4613" s="19"/>
      <c r="AA4613" s="19"/>
      <c r="AB4613" s="19"/>
      <c r="AC4613" s="19"/>
      <c r="AD4613" s="19"/>
      <c r="AE4613" s="191"/>
      <c r="AF4613" s="191"/>
      <c r="AG4613" s="19"/>
      <c r="AH4613" s="19"/>
      <c r="AI4613" s="19"/>
      <c r="AJ4613" s="19"/>
      <c r="AK4613" s="19"/>
      <c r="AL4613" s="19"/>
      <c r="AM4613" s="19"/>
      <c r="AN4613" s="109"/>
      <c r="AO4613" s="109"/>
      <c r="AP4613" s="109"/>
      <c r="AQ4613" s="109"/>
      <c r="AR4613" s="296"/>
      <c r="AS4613" s="270"/>
      <c r="AT4613" s="19"/>
      <c r="AU4613"/>
      <c r="AV4613" s="6" t="str">
        <f t="shared" si="115"/>
        <v/>
      </c>
    </row>
    <row r="4614" spans="1:48" ht="43.15" thickBot="1" x14ac:dyDescent="0.5">
      <c r="A4614" s="21" t="s">
        <v>2820</v>
      </c>
      <c r="B4614" s="21" t="s">
        <v>5072</v>
      </c>
      <c r="C4614" s="298" t="s">
        <v>767</v>
      </c>
      <c r="D4614" s="299"/>
      <c r="E4614" s="299"/>
      <c r="F4614" s="300"/>
      <c r="I4614" s="18" t="s">
        <v>2473</v>
      </c>
      <c r="J4614" s="18" t="s">
        <v>2473</v>
      </c>
      <c r="K4614" s="18" t="s">
        <v>2473</v>
      </c>
      <c r="L4614"/>
      <c r="M4614" s="151"/>
      <c r="N4614" s="109"/>
      <c r="O4614" s="109"/>
      <c r="P4614" s="109"/>
      <c r="Q4614" s="109"/>
      <c r="R4614" s="109"/>
      <c r="S4614" s="109"/>
      <c r="T4614" s="109"/>
      <c r="U4614" s="109"/>
      <c r="V4614" s="109"/>
      <c r="W4614" s="109"/>
      <c r="X4614" s="109"/>
      <c r="Y4614" s="151"/>
      <c r="Z4614" s="19"/>
      <c r="AA4614" s="19"/>
      <c r="AB4614" s="19"/>
      <c r="AC4614" s="19"/>
      <c r="AD4614" s="19"/>
      <c r="AE4614" s="191"/>
      <c r="AF4614" s="191"/>
      <c r="AG4614" s="19"/>
      <c r="AH4614" s="19"/>
      <c r="AI4614" s="19"/>
      <c r="AJ4614" s="19"/>
      <c r="AK4614" s="19"/>
      <c r="AL4614" s="19"/>
      <c r="AM4614" s="19"/>
      <c r="AN4614" s="109"/>
      <c r="AO4614" s="109"/>
      <c r="AP4614" s="109"/>
      <c r="AQ4614" s="109"/>
      <c r="AR4614" s="296"/>
      <c r="AS4614" s="270"/>
      <c r="AT4614" s="19"/>
      <c r="AU4614" s="210" t="s">
        <v>5073</v>
      </c>
      <c r="AV4614" s="6" t="str">
        <f t="shared" si="115"/>
        <v/>
      </c>
    </row>
    <row r="4615" spans="1:48" ht="57.4" thickBot="1" x14ac:dyDescent="0.5">
      <c r="A4615" s="21" t="s">
        <v>2820</v>
      </c>
      <c r="B4615" s="21" t="s">
        <v>2823</v>
      </c>
      <c r="C4615" s="298" t="s">
        <v>5061</v>
      </c>
      <c r="D4615" s="299"/>
      <c r="E4615" s="299"/>
      <c r="F4615" s="300"/>
      <c r="I4615" s="18" t="s">
        <v>2473</v>
      </c>
      <c r="J4615" s="18" t="s">
        <v>2473</v>
      </c>
      <c r="K4615" s="18" t="s">
        <v>2473</v>
      </c>
      <c r="L4615"/>
      <c r="M4615" s="151"/>
      <c r="N4615" s="109"/>
      <c r="O4615" s="109"/>
      <c r="P4615" s="109"/>
      <c r="Q4615" s="109"/>
      <c r="R4615" s="109"/>
      <c r="S4615" s="109"/>
      <c r="T4615" s="109"/>
      <c r="U4615" s="109"/>
      <c r="V4615" s="109"/>
      <c r="W4615" s="109"/>
      <c r="X4615" s="109"/>
      <c r="Y4615" s="151"/>
      <c r="Z4615" s="19"/>
      <c r="AA4615" s="19"/>
      <c r="AB4615" s="19"/>
      <c r="AC4615" s="19"/>
      <c r="AD4615" s="19"/>
      <c r="AE4615" s="191"/>
      <c r="AF4615" s="191"/>
      <c r="AG4615" s="19"/>
      <c r="AH4615" s="19"/>
      <c r="AI4615" s="19"/>
      <c r="AJ4615" s="19"/>
      <c r="AK4615" s="19"/>
      <c r="AL4615" s="19"/>
      <c r="AM4615" s="19"/>
      <c r="AN4615" s="109"/>
      <c r="AO4615" s="109"/>
      <c r="AP4615" s="109"/>
      <c r="AQ4615" s="109"/>
      <c r="AR4615" s="296"/>
      <c r="AS4615" s="270"/>
      <c r="AT4615" s="19"/>
      <c r="AU4615" s="210" t="s">
        <v>5060</v>
      </c>
      <c r="AV4615" s="6" t="str">
        <f t="shared" si="115"/>
        <v/>
      </c>
    </row>
    <row r="4616" spans="1:48" ht="14.65" thickBot="1" x14ac:dyDescent="0.5">
      <c r="B4616" s="19"/>
      <c r="C4616" s="97"/>
      <c r="G4616" s="97"/>
      <c r="L4616"/>
      <c r="M4616" s="151"/>
      <c r="N4616" s="109"/>
      <c r="O4616" s="109"/>
      <c r="P4616" s="109"/>
      <c r="Q4616" s="109"/>
      <c r="R4616" s="109"/>
      <c r="S4616" s="109"/>
      <c r="T4616" s="109"/>
      <c r="U4616" s="109"/>
      <c r="V4616" s="109"/>
      <c r="W4616" s="109"/>
      <c r="X4616" s="109"/>
      <c r="Y4616" s="151"/>
      <c r="Z4616" s="19"/>
      <c r="AA4616" s="19"/>
      <c r="AB4616" s="19"/>
      <c r="AC4616" s="19"/>
      <c r="AD4616" s="19"/>
      <c r="AE4616" s="191"/>
      <c r="AF4616" s="191"/>
      <c r="AG4616" s="19"/>
      <c r="AH4616" s="19"/>
      <c r="AI4616" s="19"/>
      <c r="AJ4616" s="19"/>
      <c r="AK4616" s="19"/>
      <c r="AL4616" s="19"/>
      <c r="AM4616" s="19"/>
      <c r="AN4616" s="109"/>
      <c r="AO4616" s="109"/>
      <c r="AP4616" s="109"/>
      <c r="AQ4616" s="109"/>
      <c r="AR4616" s="296"/>
      <c r="AS4616" s="270"/>
      <c r="AT4616" s="19"/>
      <c r="AU4616"/>
      <c r="AV4616" s="6" t="str">
        <f t="shared" si="115"/>
        <v/>
      </c>
    </row>
    <row r="4617" spans="1:48" ht="14.65" thickBot="1" x14ac:dyDescent="0.5">
      <c r="A4617" s="242" t="s">
        <v>2827</v>
      </c>
      <c r="B4617" s="242" t="s">
        <v>2828</v>
      </c>
      <c r="C4617" s="320" t="s">
        <v>823</v>
      </c>
      <c r="D4617" s="320"/>
      <c r="E4617" s="320"/>
      <c r="F4617" s="320"/>
      <c r="G4617" s="241"/>
      <c r="H4617" s="241"/>
      <c r="I4617" s="98" t="s">
        <v>2473</v>
      </c>
      <c r="J4617" s="18" t="s">
        <v>2473</v>
      </c>
      <c r="K4617" s="18" t="s">
        <v>2473</v>
      </c>
      <c r="L4617"/>
      <c r="M4617" s="151"/>
      <c r="N4617" s="109"/>
      <c r="O4617" s="109"/>
      <c r="P4617" s="109"/>
      <c r="Q4617" s="109"/>
      <c r="R4617" s="109"/>
      <c r="S4617" s="109"/>
      <c r="T4617" s="109"/>
      <c r="U4617" s="109"/>
      <c r="V4617" s="109"/>
      <c r="W4617" s="109"/>
      <c r="X4617" s="109"/>
      <c r="Y4617" s="151"/>
      <c r="Z4617" s="19"/>
      <c r="AA4617" s="19"/>
      <c r="AB4617" s="19"/>
      <c r="AC4617" s="19"/>
      <c r="AD4617" s="19"/>
      <c r="AE4617" s="191"/>
      <c r="AF4617" s="191"/>
      <c r="AG4617" s="19"/>
      <c r="AH4617" s="19"/>
      <c r="AI4617" s="19"/>
      <c r="AJ4617" s="19"/>
      <c r="AK4617" s="19"/>
      <c r="AL4617" s="19"/>
      <c r="AM4617" s="19"/>
      <c r="AN4617" s="109"/>
      <c r="AO4617" s="109"/>
      <c r="AP4617" s="109"/>
      <c r="AQ4617" s="109"/>
      <c r="AR4617" s="296"/>
      <c r="AS4617" s="270"/>
      <c r="AT4617" s="19"/>
      <c r="AU4617"/>
      <c r="AV4617" s="6" t="str">
        <f t="shared" si="115"/>
        <v/>
      </c>
    </row>
    <row r="4618" spans="1:48" ht="85.9" thickBot="1" x14ac:dyDescent="0.5">
      <c r="A4618" s="21" t="s">
        <v>2820</v>
      </c>
      <c r="B4618" s="21" t="s">
        <v>2322</v>
      </c>
      <c r="C4618" s="298" t="s">
        <v>5058</v>
      </c>
      <c r="D4618" s="299"/>
      <c r="E4618" s="299"/>
      <c r="F4618" s="300"/>
      <c r="I4618" s="18" t="s">
        <v>2473</v>
      </c>
      <c r="J4618" s="18" t="s">
        <v>2473</v>
      </c>
      <c r="K4618" s="18" t="s">
        <v>2473</v>
      </c>
      <c r="L4618"/>
      <c r="M4618" s="151"/>
      <c r="N4618" s="109"/>
      <c r="O4618" s="109"/>
      <c r="P4618" s="109"/>
      <c r="Q4618" s="109"/>
      <c r="R4618" s="109"/>
      <c r="S4618" s="109"/>
      <c r="T4618" s="109"/>
      <c r="U4618" s="109"/>
      <c r="V4618" s="109"/>
      <c r="W4618" s="109"/>
      <c r="X4618" s="109"/>
      <c r="Y4618" s="151"/>
      <c r="Z4618" s="19"/>
      <c r="AA4618" s="19"/>
      <c r="AB4618" s="19"/>
      <c r="AC4618" s="19"/>
      <c r="AD4618" s="19"/>
      <c r="AE4618" s="191"/>
      <c r="AF4618" s="191"/>
      <c r="AG4618" s="19"/>
      <c r="AH4618" s="19"/>
      <c r="AI4618" s="19"/>
      <c r="AJ4618" s="19"/>
      <c r="AK4618" s="19"/>
      <c r="AL4618" s="19"/>
      <c r="AM4618" s="19"/>
      <c r="AN4618" s="109"/>
      <c r="AO4618" s="109"/>
      <c r="AP4618" s="109"/>
      <c r="AQ4618" s="109"/>
      <c r="AR4618" s="296"/>
      <c r="AS4618" s="270"/>
      <c r="AT4618" s="19"/>
      <c r="AU4618" s="210" t="s">
        <v>5059</v>
      </c>
      <c r="AV4618" s="6" t="str">
        <f t="shared" si="115"/>
        <v/>
      </c>
    </row>
    <row r="4619" spans="1:48" ht="85.9" thickBot="1" x14ac:dyDescent="0.5">
      <c r="A4619" s="21" t="s">
        <v>2820</v>
      </c>
      <c r="B4619" s="21" t="s">
        <v>4</v>
      </c>
      <c r="C4619" s="298" t="s">
        <v>142</v>
      </c>
      <c r="D4619" s="299"/>
      <c r="E4619" s="299"/>
      <c r="F4619" s="300"/>
      <c r="I4619" s="98" t="s">
        <v>2473</v>
      </c>
      <c r="J4619" s="18" t="s">
        <v>2473</v>
      </c>
      <c r="K4619" s="18" t="s">
        <v>2473</v>
      </c>
      <c r="L4619"/>
      <c r="M4619" s="151"/>
      <c r="N4619" s="109"/>
      <c r="O4619" s="109"/>
      <c r="P4619" s="109"/>
      <c r="Q4619" s="109"/>
      <c r="R4619" s="109"/>
      <c r="S4619" s="109"/>
      <c r="T4619" s="109"/>
      <c r="U4619" s="109"/>
      <c r="V4619" s="109"/>
      <c r="W4619" s="109"/>
      <c r="X4619" s="109"/>
      <c r="Y4619" s="151"/>
      <c r="Z4619" s="19"/>
      <c r="AA4619" s="19"/>
      <c r="AB4619" s="19"/>
      <c r="AC4619" s="19"/>
      <c r="AD4619" s="19"/>
      <c r="AE4619" s="191"/>
      <c r="AF4619" s="191"/>
      <c r="AG4619" s="19"/>
      <c r="AH4619" s="19"/>
      <c r="AI4619" s="19"/>
      <c r="AJ4619" s="19"/>
      <c r="AK4619" s="19"/>
      <c r="AL4619" s="19"/>
      <c r="AM4619" s="19"/>
      <c r="AN4619" s="109"/>
      <c r="AO4619" s="109"/>
      <c r="AP4619" s="109"/>
      <c r="AQ4619" s="109"/>
      <c r="AR4619" s="296"/>
      <c r="AS4619" s="270"/>
      <c r="AT4619" s="19"/>
      <c r="AU4619" s="210" t="s">
        <v>5064</v>
      </c>
      <c r="AV4619" s="6" t="str">
        <f>IF(A4619&lt;&gt;"",IF(T4619&lt;&gt;"",IF(LEFT(R4619,3)="Has",IF(TRIM(A4619)&lt;&gt;T4619,"ERROR","OK"),""),""),"")</f>
        <v/>
      </c>
    </row>
    <row r="4620" spans="1:48" ht="14.65" thickBot="1" x14ac:dyDescent="0.5">
      <c r="A4620" s="21" t="s">
        <v>2820</v>
      </c>
      <c r="B4620" s="21" t="s">
        <v>2821</v>
      </c>
      <c r="C4620" s="298" t="s">
        <v>2824</v>
      </c>
      <c r="D4620" s="299"/>
      <c r="E4620" s="299"/>
      <c r="F4620" s="300"/>
      <c r="I4620" s="18" t="s">
        <v>2473</v>
      </c>
      <c r="J4620" s="18" t="s">
        <v>2473</v>
      </c>
      <c r="K4620" s="18" t="s">
        <v>2473</v>
      </c>
      <c r="L4620"/>
      <c r="M4620" s="151"/>
      <c r="N4620" s="109"/>
      <c r="O4620" s="109"/>
      <c r="P4620" s="109"/>
      <c r="Q4620" s="109"/>
      <c r="R4620" s="109"/>
      <c r="S4620" s="109"/>
      <c r="T4620" s="109"/>
      <c r="U4620" s="109"/>
      <c r="V4620" s="109"/>
      <c r="W4620" s="109"/>
      <c r="X4620" s="109"/>
      <c r="Y4620" s="151"/>
      <c r="Z4620" s="19"/>
      <c r="AA4620" s="19"/>
      <c r="AB4620" s="19"/>
      <c r="AC4620" s="19"/>
      <c r="AD4620" s="19"/>
      <c r="AE4620" s="191"/>
      <c r="AF4620" s="191"/>
      <c r="AG4620" s="19"/>
      <c r="AH4620" s="19"/>
      <c r="AI4620" s="19"/>
      <c r="AJ4620" s="19"/>
      <c r="AK4620" s="19"/>
      <c r="AL4620" s="19"/>
      <c r="AM4620" s="19"/>
      <c r="AN4620" s="109"/>
      <c r="AO4620" s="109"/>
      <c r="AP4620" s="109"/>
      <c r="AQ4620" s="109"/>
      <c r="AR4620" s="296"/>
      <c r="AS4620" s="270"/>
      <c r="AT4620" s="19"/>
      <c r="AU4620"/>
      <c r="AV4620" s="6" t="str">
        <f>IF(A4620&lt;&gt;"",IF(T4620&lt;&gt;"",IF(LEFT(R4620,3)="Has",IF(TRIM(A4620)&lt;&gt;T4620,"ERROR","OK"),""),""),"")</f>
        <v/>
      </c>
    </row>
    <row r="4621" spans="1:48" ht="14.65" thickBot="1" x14ac:dyDescent="0.5">
      <c r="A4621" s="21" t="s">
        <v>2820</v>
      </c>
      <c r="B4621" s="21" t="s">
        <v>2822</v>
      </c>
      <c r="C4621" s="298" t="s">
        <v>146</v>
      </c>
      <c r="D4621" s="299"/>
      <c r="E4621" s="299"/>
      <c r="F4621" s="300"/>
      <c r="I4621" s="18" t="s">
        <v>2473</v>
      </c>
      <c r="J4621" s="18" t="s">
        <v>2473</v>
      </c>
      <c r="K4621" s="18" t="s">
        <v>2473</v>
      </c>
      <c r="L4621"/>
      <c r="M4621" s="151"/>
      <c r="N4621" s="109"/>
      <c r="O4621" s="109"/>
      <c r="P4621" s="109"/>
      <c r="Q4621" s="109"/>
      <c r="R4621" s="109"/>
      <c r="S4621" s="109"/>
      <c r="T4621" s="109"/>
      <c r="U4621" s="109"/>
      <c r="V4621" s="109"/>
      <c r="W4621" s="109"/>
      <c r="X4621" s="109"/>
      <c r="Y4621" s="151"/>
      <c r="Z4621" s="19"/>
      <c r="AA4621" s="19"/>
      <c r="AB4621" s="19"/>
      <c r="AC4621" s="19"/>
      <c r="AD4621" s="19"/>
      <c r="AE4621" s="191"/>
      <c r="AF4621" s="191"/>
      <c r="AG4621" s="19"/>
      <c r="AH4621" s="19"/>
      <c r="AI4621" s="19"/>
      <c r="AJ4621" s="19"/>
      <c r="AK4621" s="19"/>
      <c r="AL4621" s="19"/>
      <c r="AM4621" s="19"/>
      <c r="AN4621" s="109"/>
      <c r="AO4621" s="109"/>
      <c r="AP4621" s="109"/>
      <c r="AQ4621" s="109"/>
      <c r="AR4621" s="296"/>
      <c r="AS4621" s="270"/>
      <c r="AT4621" s="19"/>
      <c r="AU4621"/>
      <c r="AV4621" s="6" t="str">
        <f t="shared" si="115"/>
        <v/>
      </c>
    </row>
    <row r="4622" spans="1:48" ht="43.15" thickBot="1" x14ac:dyDescent="0.5">
      <c r="A4622" s="21" t="s">
        <v>2820</v>
      </c>
      <c r="B4622" s="21" t="s">
        <v>5072</v>
      </c>
      <c r="C4622" s="298" t="s">
        <v>767</v>
      </c>
      <c r="D4622" s="299"/>
      <c r="E4622" s="299"/>
      <c r="F4622" s="300"/>
      <c r="I4622" s="18" t="s">
        <v>2473</v>
      </c>
      <c r="J4622" s="18" t="s">
        <v>2473</v>
      </c>
      <c r="K4622" s="18" t="s">
        <v>2473</v>
      </c>
      <c r="L4622"/>
      <c r="M4622" s="151"/>
      <c r="N4622" s="109"/>
      <c r="O4622" s="109"/>
      <c r="P4622" s="109"/>
      <c r="Q4622" s="109"/>
      <c r="R4622" s="109"/>
      <c r="S4622" s="109"/>
      <c r="T4622" s="109"/>
      <c r="U4622" s="109"/>
      <c r="V4622" s="109"/>
      <c r="W4622" s="109"/>
      <c r="X4622" s="109"/>
      <c r="Y4622" s="151"/>
      <c r="Z4622" s="19"/>
      <c r="AA4622" s="19"/>
      <c r="AB4622" s="19"/>
      <c r="AC4622" s="19"/>
      <c r="AD4622" s="19"/>
      <c r="AE4622" s="191"/>
      <c r="AF4622" s="191"/>
      <c r="AG4622" s="19"/>
      <c r="AH4622" s="19"/>
      <c r="AI4622" s="19"/>
      <c r="AJ4622" s="19"/>
      <c r="AK4622" s="19"/>
      <c r="AL4622" s="19"/>
      <c r="AM4622" s="19"/>
      <c r="AN4622" s="109"/>
      <c r="AO4622" s="109"/>
      <c r="AP4622" s="109"/>
      <c r="AQ4622" s="109"/>
      <c r="AR4622" s="296"/>
      <c r="AS4622" s="270"/>
      <c r="AT4622" s="19"/>
      <c r="AU4622" s="210" t="s">
        <v>5073</v>
      </c>
      <c r="AV4622" s="6" t="str">
        <f t="shared" si="115"/>
        <v/>
      </c>
    </row>
    <row r="4623" spans="1:48" ht="57.4" thickBot="1" x14ac:dyDescent="0.5">
      <c r="A4623" s="21" t="s">
        <v>2820</v>
      </c>
      <c r="B4623" s="21" t="s">
        <v>2823</v>
      </c>
      <c r="C4623" s="298" t="s">
        <v>5061</v>
      </c>
      <c r="D4623" s="299"/>
      <c r="E4623" s="299"/>
      <c r="F4623" s="300"/>
      <c r="I4623" s="18" t="s">
        <v>2473</v>
      </c>
      <c r="J4623" s="18" t="s">
        <v>2473</v>
      </c>
      <c r="K4623" s="18" t="s">
        <v>2473</v>
      </c>
      <c r="L4623"/>
      <c r="M4623" s="151"/>
      <c r="N4623" s="109"/>
      <c r="O4623" s="109"/>
      <c r="P4623" s="109"/>
      <c r="Q4623" s="109"/>
      <c r="R4623" s="109"/>
      <c r="S4623" s="109"/>
      <c r="T4623" s="109"/>
      <c r="U4623" s="109"/>
      <c r="V4623" s="109"/>
      <c r="W4623" s="109"/>
      <c r="X4623" s="109"/>
      <c r="Y4623" s="151"/>
      <c r="Z4623" s="19"/>
      <c r="AA4623" s="19"/>
      <c r="AB4623" s="19"/>
      <c r="AC4623" s="19"/>
      <c r="AD4623" s="19"/>
      <c r="AE4623" s="191"/>
      <c r="AF4623" s="191"/>
      <c r="AG4623" s="19"/>
      <c r="AH4623" s="19"/>
      <c r="AI4623" s="19"/>
      <c r="AJ4623" s="19"/>
      <c r="AK4623" s="19"/>
      <c r="AL4623" s="19"/>
      <c r="AM4623" s="19"/>
      <c r="AN4623" s="109"/>
      <c r="AO4623" s="109"/>
      <c r="AP4623" s="109"/>
      <c r="AQ4623" s="109"/>
      <c r="AR4623" s="296"/>
      <c r="AS4623" s="270"/>
      <c r="AT4623" s="19"/>
      <c r="AU4623" s="210" t="s">
        <v>5060</v>
      </c>
      <c r="AV4623" s="6" t="str">
        <f t="shared" si="115"/>
        <v/>
      </c>
    </row>
    <row r="4624" spans="1:48" ht="14.65" thickBot="1" x14ac:dyDescent="0.5">
      <c r="L4624"/>
      <c r="M4624" s="151"/>
      <c r="N4624" s="109"/>
      <c r="O4624" s="109"/>
      <c r="P4624" s="109"/>
      <c r="Q4624" s="109"/>
      <c r="R4624" s="109"/>
      <c r="S4624" s="109"/>
      <c r="T4624" s="109"/>
      <c r="U4624" s="109"/>
      <c r="V4624" s="109"/>
      <c r="W4624" s="109"/>
      <c r="X4624" s="109"/>
      <c r="Y4624" s="151"/>
      <c r="Z4624" s="19"/>
      <c r="AA4624" s="19"/>
      <c r="AB4624" s="19"/>
      <c r="AC4624" s="19"/>
      <c r="AD4624" s="19"/>
      <c r="AE4624" s="191"/>
      <c r="AF4624" s="191"/>
      <c r="AG4624" s="19"/>
      <c r="AH4624" s="19"/>
      <c r="AI4624" s="19"/>
      <c r="AJ4624" s="19"/>
      <c r="AK4624" s="19"/>
      <c r="AL4624" s="19"/>
      <c r="AM4624" s="19"/>
      <c r="AN4624" s="109"/>
      <c r="AO4624" s="109"/>
      <c r="AP4624" s="109"/>
      <c r="AQ4624" s="109"/>
      <c r="AR4624" s="296"/>
      <c r="AS4624" s="270"/>
      <c r="AT4624" s="19"/>
      <c r="AU4624"/>
      <c r="AV4624" s="6" t="str">
        <f t="shared" si="115"/>
        <v/>
      </c>
    </row>
    <row r="4625" spans="1:48" ht="14.65" thickBot="1" x14ac:dyDescent="0.5">
      <c r="A4625" s="242" t="s">
        <v>2827</v>
      </c>
      <c r="B4625" s="242" t="s">
        <v>2828</v>
      </c>
      <c r="C4625" s="320" t="s">
        <v>823</v>
      </c>
      <c r="D4625" s="320"/>
      <c r="E4625" s="320"/>
      <c r="F4625" s="320"/>
      <c r="G4625" s="241"/>
      <c r="H4625" s="241"/>
      <c r="I4625" s="98" t="s">
        <v>2473</v>
      </c>
      <c r="J4625" s="18" t="s">
        <v>2473</v>
      </c>
      <c r="K4625" s="18" t="s">
        <v>2473</v>
      </c>
      <c r="L4625"/>
      <c r="M4625" s="151"/>
      <c r="N4625" s="109"/>
      <c r="O4625" s="109"/>
      <c r="P4625" s="109"/>
      <c r="Q4625" s="109"/>
      <c r="R4625" s="109"/>
      <c r="S4625" s="109"/>
      <c r="T4625" s="109"/>
      <c r="U4625" s="109"/>
      <c r="V4625" s="109"/>
      <c r="W4625" s="109"/>
      <c r="X4625" s="109"/>
      <c r="Y4625" s="151"/>
      <c r="Z4625" s="19"/>
      <c r="AA4625" s="19"/>
      <c r="AB4625" s="19"/>
      <c r="AC4625" s="19"/>
      <c r="AD4625" s="19"/>
      <c r="AE4625" s="191"/>
      <c r="AF4625" s="191"/>
      <c r="AG4625" s="19"/>
      <c r="AH4625" s="19"/>
      <c r="AI4625" s="19"/>
      <c r="AJ4625" s="19"/>
      <c r="AK4625" s="19"/>
      <c r="AL4625" s="19"/>
      <c r="AM4625" s="19"/>
      <c r="AN4625" s="109"/>
      <c r="AO4625" s="109"/>
      <c r="AP4625" s="109"/>
      <c r="AQ4625" s="109"/>
      <c r="AR4625" s="296"/>
      <c r="AS4625" s="270"/>
      <c r="AT4625" s="19"/>
      <c r="AU4625"/>
      <c r="AV4625" s="6" t="str">
        <f t="shared" si="115"/>
        <v/>
      </c>
    </row>
    <row r="4626" spans="1:48" ht="14.65" thickBot="1" x14ac:dyDescent="0.5">
      <c r="A4626" s="21" t="s">
        <v>2820</v>
      </c>
      <c r="B4626" s="21" t="s">
        <v>2322</v>
      </c>
      <c r="C4626" s="313" t="s">
        <v>960</v>
      </c>
      <c r="D4626" s="313"/>
      <c r="E4626" s="313"/>
      <c r="F4626" s="313"/>
      <c r="I4626" s="18" t="s">
        <v>2473</v>
      </c>
      <c r="J4626" s="18" t="s">
        <v>2473</v>
      </c>
      <c r="K4626" s="18" t="s">
        <v>2473</v>
      </c>
      <c r="L4626"/>
      <c r="M4626" s="151"/>
      <c r="N4626" s="109"/>
      <c r="O4626" s="109"/>
      <c r="P4626" s="109"/>
      <c r="Q4626" s="109"/>
      <c r="R4626" s="109"/>
      <c r="S4626" s="109"/>
      <c r="T4626" s="109"/>
      <c r="U4626" s="109"/>
      <c r="V4626" s="109"/>
      <c r="W4626" s="109"/>
      <c r="X4626" s="109"/>
      <c r="Y4626" s="151"/>
      <c r="Z4626" s="19"/>
      <c r="AA4626" s="19"/>
      <c r="AB4626" s="19"/>
      <c r="AC4626" s="19"/>
      <c r="AD4626" s="19"/>
      <c r="AE4626" s="191"/>
      <c r="AF4626" s="191"/>
      <c r="AG4626" s="19"/>
      <c r="AH4626" s="19"/>
      <c r="AI4626" s="19"/>
      <c r="AJ4626" s="19"/>
      <c r="AK4626" s="19"/>
      <c r="AL4626" s="19"/>
      <c r="AM4626" s="19"/>
      <c r="AN4626" s="109"/>
      <c r="AO4626" s="109"/>
      <c r="AP4626" s="109"/>
      <c r="AQ4626" s="109"/>
      <c r="AR4626" s="296"/>
      <c r="AS4626" s="270"/>
      <c r="AT4626" s="19"/>
      <c r="AU4626"/>
      <c r="AV4626" s="6" t="str">
        <f t="shared" si="115"/>
        <v/>
      </c>
    </row>
    <row r="4627" spans="1:48" ht="14.65" thickBot="1" x14ac:dyDescent="0.5">
      <c r="A4627" s="21" t="s">
        <v>2820</v>
      </c>
      <c r="B4627" s="21" t="s">
        <v>4</v>
      </c>
      <c r="C4627" s="298" t="s">
        <v>136</v>
      </c>
      <c r="D4627" s="299"/>
      <c r="E4627" s="299"/>
      <c r="F4627" s="300"/>
      <c r="I4627" s="98" t="s">
        <v>2473</v>
      </c>
      <c r="J4627" s="18" t="s">
        <v>2473</v>
      </c>
      <c r="K4627" s="18" t="s">
        <v>2473</v>
      </c>
      <c r="L4627"/>
      <c r="M4627" s="151"/>
      <c r="N4627" s="109"/>
      <c r="O4627" s="109"/>
      <c r="P4627" s="109"/>
      <c r="Q4627" s="109"/>
      <c r="R4627" s="109"/>
      <c r="S4627" s="109"/>
      <c r="T4627" s="109"/>
      <c r="U4627" s="109"/>
      <c r="V4627" s="109"/>
      <c r="W4627" s="109"/>
      <c r="X4627" s="109"/>
      <c r="Y4627" s="151"/>
      <c r="Z4627" s="19"/>
      <c r="AA4627" s="19"/>
      <c r="AB4627" s="19"/>
      <c r="AC4627" s="19"/>
      <c r="AD4627" s="19"/>
      <c r="AE4627" s="191"/>
      <c r="AF4627" s="191"/>
      <c r="AG4627" s="19"/>
      <c r="AH4627" s="19"/>
      <c r="AI4627" s="19"/>
      <c r="AJ4627" s="19"/>
      <c r="AK4627" s="19"/>
      <c r="AL4627" s="19"/>
      <c r="AM4627" s="19"/>
      <c r="AN4627" s="109"/>
      <c r="AO4627" s="109"/>
      <c r="AP4627" s="109"/>
      <c r="AQ4627" s="109"/>
      <c r="AR4627" s="296"/>
      <c r="AS4627" s="270"/>
      <c r="AT4627" s="19"/>
      <c r="AU4627"/>
      <c r="AV4627" s="6" t="str">
        <f t="shared" si="115"/>
        <v/>
      </c>
    </row>
    <row r="4628" spans="1:48" ht="14.65" thickBot="1" x14ac:dyDescent="0.5">
      <c r="A4628" s="21" t="s">
        <v>2820</v>
      </c>
      <c r="B4628" s="21" t="s">
        <v>2821</v>
      </c>
      <c r="C4628" s="298" t="s">
        <v>2826</v>
      </c>
      <c r="D4628" s="299"/>
      <c r="E4628" s="299"/>
      <c r="F4628" s="300"/>
      <c r="I4628" s="98" t="s">
        <v>2473</v>
      </c>
      <c r="J4628" s="18" t="s">
        <v>2473</v>
      </c>
      <c r="K4628" s="18" t="s">
        <v>2473</v>
      </c>
      <c r="L4628"/>
      <c r="M4628" s="151"/>
      <c r="N4628" s="109"/>
      <c r="O4628" s="109"/>
      <c r="P4628" s="109"/>
      <c r="Q4628" s="109"/>
      <c r="R4628" s="109"/>
      <c r="S4628" s="109"/>
      <c r="T4628" s="109"/>
      <c r="U4628" s="109"/>
      <c r="V4628" s="109"/>
      <c r="W4628" s="109"/>
      <c r="X4628" s="109"/>
      <c r="Y4628" s="151"/>
      <c r="Z4628" s="19"/>
      <c r="AA4628" s="19"/>
      <c r="AB4628" s="19"/>
      <c r="AC4628" s="19"/>
      <c r="AD4628" s="19"/>
      <c r="AE4628" s="191"/>
      <c r="AF4628" s="191"/>
      <c r="AG4628" s="19"/>
      <c r="AH4628" s="19"/>
      <c r="AI4628" s="19"/>
      <c r="AJ4628" s="19"/>
      <c r="AK4628" s="19"/>
      <c r="AL4628" s="19"/>
      <c r="AM4628" s="19"/>
      <c r="AN4628" s="109"/>
      <c r="AO4628" s="109"/>
      <c r="AP4628" s="109"/>
      <c r="AQ4628" s="109"/>
      <c r="AR4628" s="296"/>
      <c r="AS4628" s="270"/>
      <c r="AT4628" s="19"/>
      <c r="AU4628"/>
      <c r="AV4628" s="6" t="str">
        <f t="shared" si="115"/>
        <v/>
      </c>
    </row>
    <row r="4629" spans="1:48" ht="14.65" thickBot="1" x14ac:dyDescent="0.5">
      <c r="A4629" s="21" t="s">
        <v>2820</v>
      </c>
      <c r="B4629" s="21" t="s">
        <v>2822</v>
      </c>
      <c r="C4629" s="298" t="s">
        <v>244</v>
      </c>
      <c r="D4629" s="299"/>
      <c r="E4629" s="299"/>
      <c r="F4629" s="300"/>
      <c r="I4629" s="98" t="s">
        <v>2473</v>
      </c>
      <c r="J4629" s="18" t="s">
        <v>2473</v>
      </c>
      <c r="K4629" s="18" t="s">
        <v>2473</v>
      </c>
      <c r="L4629"/>
      <c r="M4629" s="151"/>
      <c r="N4629" s="109"/>
      <c r="O4629" s="109"/>
      <c r="P4629" s="109"/>
      <c r="Q4629" s="109"/>
      <c r="R4629" s="109"/>
      <c r="S4629" s="109"/>
      <c r="T4629" s="109"/>
      <c r="U4629" s="109"/>
      <c r="V4629" s="109"/>
      <c r="W4629" s="109"/>
      <c r="X4629" s="109"/>
      <c r="Y4629" s="151"/>
      <c r="Z4629" s="19"/>
      <c r="AA4629" s="19"/>
      <c r="AB4629" s="19"/>
      <c r="AC4629" s="19"/>
      <c r="AD4629" s="19"/>
      <c r="AE4629" s="191"/>
      <c r="AF4629" s="191"/>
      <c r="AG4629" s="19"/>
      <c r="AH4629" s="19"/>
      <c r="AI4629" s="19"/>
      <c r="AJ4629" s="19"/>
      <c r="AK4629" s="19"/>
      <c r="AL4629" s="19"/>
      <c r="AM4629" s="19"/>
      <c r="AN4629" s="109"/>
      <c r="AO4629" s="109"/>
      <c r="AP4629" s="109"/>
      <c r="AQ4629" s="109"/>
      <c r="AR4629" s="296"/>
      <c r="AS4629" s="270"/>
      <c r="AT4629" s="19"/>
      <c r="AU4629"/>
      <c r="AV4629" s="6" t="str">
        <f t="shared" si="115"/>
        <v/>
      </c>
    </row>
    <row r="4630" spans="1:48" ht="43.15" thickBot="1" x14ac:dyDescent="0.5">
      <c r="A4630" s="21" t="s">
        <v>2820</v>
      </c>
      <c r="B4630" s="21" t="s">
        <v>5072</v>
      </c>
      <c r="C4630" s="298" t="s">
        <v>767</v>
      </c>
      <c r="D4630" s="299"/>
      <c r="E4630" s="299"/>
      <c r="F4630" s="300"/>
      <c r="I4630" s="98" t="s">
        <v>2473</v>
      </c>
      <c r="J4630" s="18" t="s">
        <v>2473</v>
      </c>
      <c r="K4630" s="18" t="s">
        <v>2473</v>
      </c>
      <c r="L4630"/>
      <c r="M4630" s="151"/>
      <c r="N4630" s="109"/>
      <c r="O4630" s="109"/>
      <c r="P4630" s="109"/>
      <c r="Q4630" s="109"/>
      <c r="R4630" s="109"/>
      <c r="S4630" s="109"/>
      <c r="T4630" s="109"/>
      <c r="U4630" s="109"/>
      <c r="V4630" s="109"/>
      <c r="W4630" s="109"/>
      <c r="X4630" s="109"/>
      <c r="Y4630" s="151"/>
      <c r="Z4630" s="19"/>
      <c r="AA4630" s="19"/>
      <c r="AB4630" s="19"/>
      <c r="AC4630" s="19"/>
      <c r="AD4630" s="19"/>
      <c r="AE4630" s="191"/>
      <c r="AF4630" s="191"/>
      <c r="AG4630" s="19"/>
      <c r="AH4630" s="19"/>
      <c r="AI4630" s="19"/>
      <c r="AJ4630" s="19"/>
      <c r="AK4630" s="19"/>
      <c r="AL4630" s="19"/>
      <c r="AM4630" s="19"/>
      <c r="AN4630" s="109"/>
      <c r="AO4630" s="109"/>
      <c r="AP4630" s="109"/>
      <c r="AQ4630" s="109"/>
      <c r="AR4630" s="296"/>
      <c r="AS4630" s="270"/>
      <c r="AT4630" s="19"/>
      <c r="AU4630" s="210" t="s">
        <v>5073</v>
      </c>
      <c r="AV4630" s="6" t="str">
        <f t="shared" si="115"/>
        <v/>
      </c>
    </row>
    <row r="4631" spans="1:48" ht="14.65" thickBot="1" x14ac:dyDescent="0.5">
      <c r="A4631" s="21" t="s">
        <v>2820</v>
      </c>
      <c r="B4631" s="21" t="s">
        <v>2823</v>
      </c>
      <c r="C4631" s="298" t="s">
        <v>2825</v>
      </c>
      <c r="D4631" s="299"/>
      <c r="E4631" s="299"/>
      <c r="F4631" s="300"/>
      <c r="I4631" s="98" t="s">
        <v>2473</v>
      </c>
      <c r="J4631" s="18" t="s">
        <v>2473</v>
      </c>
      <c r="K4631" s="18" t="s">
        <v>2473</v>
      </c>
      <c r="L4631"/>
      <c r="M4631" s="151"/>
      <c r="N4631" s="109"/>
      <c r="O4631" s="109"/>
      <c r="P4631" s="109"/>
      <c r="Q4631" s="109"/>
      <c r="R4631" s="109"/>
      <c r="S4631" s="109"/>
      <c r="T4631" s="109"/>
      <c r="U4631" s="109"/>
      <c r="V4631" s="109"/>
      <c r="W4631" s="109"/>
      <c r="X4631" s="109"/>
      <c r="Y4631" s="151"/>
      <c r="Z4631" s="19"/>
      <c r="AA4631" s="19"/>
      <c r="AB4631" s="19"/>
      <c r="AC4631" s="19"/>
      <c r="AD4631" s="19"/>
      <c r="AE4631" s="191"/>
      <c r="AF4631" s="191"/>
      <c r="AG4631" s="19"/>
      <c r="AH4631" s="19"/>
      <c r="AI4631" s="19"/>
      <c r="AJ4631" s="19"/>
      <c r="AK4631" s="19"/>
      <c r="AL4631" s="19"/>
      <c r="AM4631" s="19"/>
      <c r="AN4631" s="109"/>
      <c r="AO4631" s="109"/>
      <c r="AP4631" s="109"/>
      <c r="AQ4631" s="109"/>
      <c r="AR4631" s="296"/>
      <c r="AS4631" s="270"/>
      <c r="AT4631" s="19"/>
      <c r="AU4631"/>
      <c r="AV4631" s="6" t="str">
        <f t="shared" si="115"/>
        <v/>
      </c>
    </row>
    <row r="4632" spans="1:48" ht="14.65" thickBot="1" x14ac:dyDescent="0.5">
      <c r="C4632" s="97"/>
      <c r="G4632" s="97"/>
      <c r="L4632"/>
      <c r="M4632" s="151"/>
      <c r="N4632" s="109"/>
      <c r="O4632" s="109"/>
      <c r="P4632" s="109"/>
      <c r="Q4632" s="109"/>
      <c r="R4632" s="109"/>
      <c r="S4632" s="109"/>
      <c r="T4632" s="109"/>
      <c r="U4632" s="109"/>
      <c r="V4632" s="109"/>
      <c r="W4632" s="109"/>
      <c r="X4632" s="109"/>
      <c r="Y4632" s="151"/>
      <c r="Z4632" s="19"/>
      <c r="AA4632" s="19"/>
      <c r="AB4632" s="19"/>
      <c r="AC4632" s="19"/>
      <c r="AD4632" s="19"/>
      <c r="AE4632" s="191"/>
      <c r="AF4632" s="191"/>
      <c r="AG4632" s="19"/>
      <c r="AH4632" s="19"/>
      <c r="AI4632" s="19"/>
      <c r="AJ4632" s="19"/>
      <c r="AK4632" s="19"/>
      <c r="AL4632" s="19"/>
      <c r="AM4632" s="19"/>
      <c r="AN4632" s="109"/>
      <c r="AO4632" s="109"/>
      <c r="AP4632" s="109"/>
      <c r="AQ4632" s="109"/>
      <c r="AR4632" s="296"/>
      <c r="AS4632" s="270"/>
      <c r="AT4632" s="19"/>
      <c r="AU4632"/>
      <c r="AV4632" s="6" t="str">
        <f t="shared" si="115"/>
        <v/>
      </c>
    </row>
    <row r="4633" spans="1:48" ht="14.65" thickBot="1" x14ac:dyDescent="0.5">
      <c r="A4633" s="242" t="s">
        <v>2827</v>
      </c>
      <c r="B4633" s="242" t="s">
        <v>2828</v>
      </c>
      <c r="C4633" s="320" t="s">
        <v>823</v>
      </c>
      <c r="D4633" s="320"/>
      <c r="E4633" s="320"/>
      <c r="F4633" s="320"/>
      <c r="G4633" s="241"/>
      <c r="H4633" s="241"/>
      <c r="I4633" s="98" t="s">
        <v>2473</v>
      </c>
      <c r="J4633" s="18" t="s">
        <v>2473</v>
      </c>
      <c r="K4633" s="18" t="s">
        <v>2473</v>
      </c>
      <c r="L4633"/>
      <c r="M4633" s="151"/>
      <c r="N4633" s="109"/>
      <c r="O4633" s="109"/>
      <c r="P4633" s="109"/>
      <c r="Q4633" s="109"/>
      <c r="R4633" s="109"/>
      <c r="S4633" s="109"/>
      <c r="T4633" s="109"/>
      <c r="U4633" s="109"/>
      <c r="V4633" s="109"/>
      <c r="W4633" s="109"/>
      <c r="X4633" s="109"/>
      <c r="Y4633" s="151"/>
      <c r="Z4633" s="19"/>
      <c r="AA4633" s="19"/>
      <c r="AB4633" s="19"/>
      <c r="AC4633" s="19"/>
      <c r="AD4633" s="19"/>
      <c r="AE4633" s="191"/>
      <c r="AF4633" s="191"/>
      <c r="AG4633" s="19"/>
      <c r="AH4633" s="19"/>
      <c r="AI4633" s="19"/>
      <c r="AJ4633" s="19"/>
      <c r="AK4633" s="19"/>
      <c r="AL4633" s="19"/>
      <c r="AM4633" s="19"/>
      <c r="AN4633" s="109"/>
      <c r="AO4633" s="109"/>
      <c r="AP4633" s="109"/>
      <c r="AQ4633" s="109"/>
      <c r="AR4633" s="296"/>
      <c r="AS4633" s="270"/>
      <c r="AT4633" s="19"/>
      <c r="AU4633"/>
      <c r="AV4633" s="6" t="str">
        <f t="shared" si="115"/>
        <v/>
      </c>
    </row>
    <row r="4634" spans="1:48" ht="14.65" thickBot="1" x14ac:dyDescent="0.5">
      <c r="A4634" s="21" t="s">
        <v>2820</v>
      </c>
      <c r="B4634" s="21" t="s">
        <v>2322</v>
      </c>
      <c r="C4634" s="313" t="s">
        <v>960</v>
      </c>
      <c r="D4634" s="313"/>
      <c r="E4634" s="313"/>
      <c r="F4634" s="313"/>
      <c r="I4634" s="18" t="s">
        <v>2473</v>
      </c>
      <c r="J4634" s="18" t="s">
        <v>2473</v>
      </c>
      <c r="K4634" s="18" t="s">
        <v>2473</v>
      </c>
      <c r="L4634"/>
      <c r="M4634" s="151"/>
      <c r="N4634" s="109"/>
      <c r="O4634" s="109"/>
      <c r="P4634" s="109"/>
      <c r="Q4634" s="109"/>
      <c r="R4634" s="109"/>
      <c r="S4634" s="109"/>
      <c r="T4634" s="109"/>
      <c r="U4634" s="109"/>
      <c r="V4634" s="109"/>
      <c r="W4634" s="109"/>
      <c r="X4634" s="109"/>
      <c r="Y4634" s="151"/>
      <c r="Z4634" s="19"/>
      <c r="AA4634" s="19"/>
      <c r="AB4634" s="19"/>
      <c r="AC4634" s="19"/>
      <c r="AD4634" s="19"/>
      <c r="AE4634" s="191"/>
      <c r="AF4634" s="191"/>
      <c r="AG4634" s="19"/>
      <c r="AH4634" s="19"/>
      <c r="AI4634" s="19"/>
      <c r="AJ4634" s="19"/>
      <c r="AK4634" s="19"/>
      <c r="AL4634" s="19"/>
      <c r="AM4634" s="19"/>
      <c r="AN4634" s="109"/>
      <c r="AO4634" s="109"/>
      <c r="AP4634" s="109"/>
      <c r="AQ4634" s="109"/>
      <c r="AR4634" s="296"/>
      <c r="AS4634" s="270"/>
      <c r="AT4634" s="19"/>
      <c r="AU4634"/>
      <c r="AV4634" s="6" t="str">
        <f t="shared" si="115"/>
        <v/>
      </c>
    </row>
    <row r="4635" spans="1:48" ht="14.65" thickBot="1" x14ac:dyDescent="0.5">
      <c r="A4635" s="21" t="s">
        <v>2820</v>
      </c>
      <c r="B4635" s="21" t="s">
        <v>4</v>
      </c>
      <c r="C4635" s="298" t="s">
        <v>244</v>
      </c>
      <c r="D4635" s="299"/>
      <c r="E4635" s="299"/>
      <c r="F4635" s="300"/>
      <c r="I4635" s="98" t="s">
        <v>2473</v>
      </c>
      <c r="J4635" s="18" t="s">
        <v>2473</v>
      </c>
      <c r="K4635" s="18" t="s">
        <v>2473</v>
      </c>
      <c r="L4635"/>
      <c r="M4635" s="151"/>
      <c r="N4635" s="109"/>
      <c r="O4635" s="109"/>
      <c r="P4635" s="109"/>
      <c r="Q4635" s="109"/>
      <c r="R4635" s="109"/>
      <c r="S4635" s="109"/>
      <c r="T4635" s="109"/>
      <c r="U4635" s="109"/>
      <c r="V4635" s="109"/>
      <c r="W4635" s="109"/>
      <c r="X4635" s="109"/>
      <c r="Y4635" s="151"/>
      <c r="Z4635" s="19"/>
      <c r="AA4635" s="19"/>
      <c r="AB4635" s="19"/>
      <c r="AC4635" s="19"/>
      <c r="AD4635" s="19"/>
      <c r="AE4635" s="191"/>
      <c r="AF4635" s="191"/>
      <c r="AG4635" s="19"/>
      <c r="AH4635" s="19"/>
      <c r="AI4635" s="19"/>
      <c r="AJ4635" s="19"/>
      <c r="AK4635" s="19"/>
      <c r="AL4635" s="19"/>
      <c r="AM4635" s="19"/>
      <c r="AN4635" s="109"/>
      <c r="AO4635" s="109"/>
      <c r="AP4635" s="109"/>
      <c r="AQ4635" s="109"/>
      <c r="AR4635" s="296"/>
      <c r="AS4635" s="270"/>
      <c r="AT4635" s="19"/>
      <c r="AU4635"/>
      <c r="AV4635" s="6" t="str">
        <f t="shared" si="115"/>
        <v/>
      </c>
    </row>
    <row r="4636" spans="1:48" ht="14.65" thickBot="1" x14ac:dyDescent="0.5">
      <c r="A4636" s="21" t="s">
        <v>2820</v>
      </c>
      <c r="B4636" s="21" t="s">
        <v>2821</v>
      </c>
      <c r="C4636" s="298" t="s">
        <v>2826</v>
      </c>
      <c r="D4636" s="299"/>
      <c r="E4636" s="299"/>
      <c r="F4636" s="300"/>
      <c r="I4636" s="98" t="s">
        <v>2473</v>
      </c>
      <c r="J4636" s="18" t="s">
        <v>2473</v>
      </c>
      <c r="K4636" s="18" t="s">
        <v>2473</v>
      </c>
      <c r="L4636"/>
      <c r="M4636" s="151"/>
      <c r="N4636" s="109"/>
      <c r="O4636" s="109"/>
      <c r="P4636" s="109"/>
      <c r="Q4636" s="109"/>
      <c r="R4636" s="109"/>
      <c r="S4636" s="109"/>
      <c r="T4636" s="109"/>
      <c r="U4636" s="109"/>
      <c r="V4636" s="109"/>
      <c r="W4636" s="109"/>
      <c r="X4636" s="109"/>
      <c r="Y4636" s="151"/>
      <c r="Z4636" s="19"/>
      <c r="AA4636" s="19"/>
      <c r="AB4636" s="19"/>
      <c r="AC4636" s="19"/>
      <c r="AD4636" s="19"/>
      <c r="AE4636" s="191"/>
      <c r="AF4636" s="191"/>
      <c r="AG4636" s="19"/>
      <c r="AH4636" s="19"/>
      <c r="AI4636" s="19"/>
      <c r="AJ4636" s="19"/>
      <c r="AK4636" s="19"/>
      <c r="AL4636" s="19"/>
      <c r="AM4636" s="19"/>
      <c r="AN4636" s="109"/>
      <c r="AO4636" s="109"/>
      <c r="AP4636" s="109"/>
      <c r="AQ4636" s="109"/>
      <c r="AR4636" s="296"/>
      <c r="AS4636" s="270"/>
      <c r="AT4636" s="19"/>
      <c r="AU4636"/>
      <c r="AV4636" s="6" t="str">
        <f t="shared" si="115"/>
        <v/>
      </c>
    </row>
    <row r="4637" spans="1:48" ht="14.65" thickBot="1" x14ac:dyDescent="0.5">
      <c r="A4637" s="21" t="s">
        <v>2820</v>
      </c>
      <c r="B4637" s="21" t="s">
        <v>2822</v>
      </c>
      <c r="C4637" s="298" t="s">
        <v>136</v>
      </c>
      <c r="D4637" s="299"/>
      <c r="E4637" s="299"/>
      <c r="F4637" s="300"/>
      <c r="I4637" s="98" t="s">
        <v>2473</v>
      </c>
      <c r="J4637" s="18" t="s">
        <v>2473</v>
      </c>
      <c r="K4637" s="18" t="s">
        <v>2473</v>
      </c>
      <c r="L4637"/>
      <c r="M4637" s="151"/>
      <c r="N4637" s="109"/>
      <c r="O4637" s="109"/>
      <c r="P4637" s="109"/>
      <c r="Q4637" s="109"/>
      <c r="R4637" s="109"/>
      <c r="S4637" s="109"/>
      <c r="T4637" s="109"/>
      <c r="U4637" s="109"/>
      <c r="V4637" s="109"/>
      <c r="W4637" s="109"/>
      <c r="X4637" s="109"/>
      <c r="Y4637" s="151"/>
      <c r="Z4637" s="19"/>
      <c r="AA4637" s="19"/>
      <c r="AB4637" s="19"/>
      <c r="AC4637" s="19"/>
      <c r="AD4637" s="19"/>
      <c r="AE4637" s="191"/>
      <c r="AF4637" s="191"/>
      <c r="AG4637" s="19"/>
      <c r="AH4637" s="19"/>
      <c r="AI4637" s="19"/>
      <c r="AJ4637" s="19"/>
      <c r="AK4637" s="19"/>
      <c r="AL4637" s="19"/>
      <c r="AM4637" s="19"/>
      <c r="AN4637" s="109"/>
      <c r="AO4637" s="109"/>
      <c r="AP4637" s="109"/>
      <c r="AQ4637" s="109"/>
      <c r="AR4637" s="296"/>
      <c r="AS4637" s="270"/>
      <c r="AT4637" s="19"/>
      <c r="AU4637"/>
      <c r="AV4637" s="6" t="str">
        <f t="shared" si="115"/>
        <v/>
      </c>
    </row>
    <row r="4638" spans="1:48" ht="43.15" thickBot="1" x14ac:dyDescent="0.5">
      <c r="A4638" s="21" t="s">
        <v>2820</v>
      </c>
      <c r="B4638" s="21" t="s">
        <v>5072</v>
      </c>
      <c r="C4638" s="298" t="s">
        <v>767</v>
      </c>
      <c r="D4638" s="299"/>
      <c r="E4638" s="299"/>
      <c r="F4638" s="300"/>
      <c r="I4638" s="98" t="s">
        <v>2473</v>
      </c>
      <c r="J4638" s="18" t="s">
        <v>2473</v>
      </c>
      <c r="K4638" s="18" t="s">
        <v>2473</v>
      </c>
      <c r="L4638"/>
      <c r="M4638" s="151"/>
      <c r="N4638" s="109"/>
      <c r="O4638" s="109"/>
      <c r="P4638" s="109"/>
      <c r="Q4638" s="109"/>
      <c r="R4638" s="109"/>
      <c r="S4638" s="109"/>
      <c r="T4638" s="109"/>
      <c r="U4638" s="109"/>
      <c r="V4638" s="109"/>
      <c r="W4638" s="109"/>
      <c r="X4638" s="109"/>
      <c r="Y4638" s="151"/>
      <c r="Z4638" s="19"/>
      <c r="AA4638" s="19"/>
      <c r="AB4638" s="19"/>
      <c r="AC4638" s="19"/>
      <c r="AD4638" s="19"/>
      <c r="AE4638" s="191"/>
      <c r="AF4638" s="191"/>
      <c r="AG4638" s="19"/>
      <c r="AH4638" s="19"/>
      <c r="AI4638" s="19"/>
      <c r="AJ4638" s="19"/>
      <c r="AK4638" s="19"/>
      <c r="AL4638" s="19"/>
      <c r="AM4638" s="19"/>
      <c r="AN4638" s="109"/>
      <c r="AO4638" s="109"/>
      <c r="AP4638" s="109"/>
      <c r="AQ4638" s="109"/>
      <c r="AR4638" s="296"/>
      <c r="AS4638" s="270"/>
      <c r="AT4638" s="19"/>
      <c r="AU4638" s="210" t="s">
        <v>5073</v>
      </c>
      <c r="AV4638" s="6" t="str">
        <f t="shared" si="115"/>
        <v/>
      </c>
    </row>
    <row r="4639" spans="1:48" ht="14.65" thickBot="1" x14ac:dyDescent="0.5">
      <c r="A4639" s="21" t="s">
        <v>2820</v>
      </c>
      <c r="B4639" s="21" t="s">
        <v>2823</v>
      </c>
      <c r="C4639" s="298" t="s">
        <v>2825</v>
      </c>
      <c r="D4639" s="299"/>
      <c r="E4639" s="299"/>
      <c r="F4639" s="300"/>
      <c r="I4639" s="98" t="s">
        <v>2473</v>
      </c>
      <c r="J4639" s="18" t="s">
        <v>2473</v>
      </c>
      <c r="K4639" s="18" t="s">
        <v>2473</v>
      </c>
      <c r="L4639"/>
      <c r="M4639" s="151"/>
      <c r="N4639" s="109"/>
      <c r="O4639" s="109"/>
      <c r="P4639" s="109"/>
      <c r="Q4639" s="109"/>
      <c r="R4639" s="109"/>
      <c r="S4639" s="109"/>
      <c r="T4639" s="109"/>
      <c r="U4639" s="109"/>
      <c r="V4639" s="109"/>
      <c r="W4639" s="109"/>
      <c r="X4639" s="109"/>
      <c r="Y4639" s="151"/>
      <c r="Z4639" s="19"/>
      <c r="AA4639" s="19"/>
      <c r="AB4639" s="19"/>
      <c r="AC4639" s="19"/>
      <c r="AD4639" s="19"/>
      <c r="AE4639" s="191"/>
      <c r="AF4639" s="191"/>
      <c r="AG4639" s="19"/>
      <c r="AH4639" s="19"/>
      <c r="AI4639" s="19"/>
      <c r="AJ4639" s="19"/>
      <c r="AK4639" s="19"/>
      <c r="AL4639" s="19"/>
      <c r="AM4639" s="19"/>
      <c r="AN4639" s="109"/>
      <c r="AO4639" s="109"/>
      <c r="AP4639" s="109"/>
      <c r="AQ4639" s="109"/>
      <c r="AR4639" s="296"/>
      <c r="AS4639" s="270"/>
      <c r="AT4639" s="19"/>
      <c r="AU4639"/>
      <c r="AV4639" s="6" t="str">
        <f t="shared" si="115"/>
        <v/>
      </c>
    </row>
    <row r="4640" spans="1:48" ht="14.65" thickBot="1" x14ac:dyDescent="0.5">
      <c r="L4640"/>
      <c r="M4640" s="151"/>
      <c r="N4640" s="109"/>
      <c r="O4640" s="109"/>
      <c r="P4640" s="109"/>
      <c r="Q4640" s="109"/>
      <c r="R4640" s="109"/>
      <c r="S4640" s="109"/>
      <c r="T4640" s="109"/>
      <c r="U4640" s="109"/>
      <c r="V4640" s="109"/>
      <c r="W4640" s="109"/>
      <c r="X4640" s="109"/>
      <c r="Y4640" s="151"/>
      <c r="Z4640" s="19"/>
      <c r="AA4640" s="19"/>
      <c r="AB4640" s="19"/>
      <c r="AC4640" s="19"/>
      <c r="AD4640" s="19"/>
      <c r="AE4640" s="191"/>
      <c r="AF4640" s="191"/>
      <c r="AG4640" s="19"/>
      <c r="AH4640" s="19"/>
      <c r="AI4640" s="19"/>
      <c r="AJ4640" s="19"/>
      <c r="AK4640" s="19"/>
      <c r="AL4640" s="19"/>
      <c r="AM4640" s="19"/>
      <c r="AN4640" s="109"/>
      <c r="AO4640" s="109"/>
      <c r="AP4640" s="109"/>
      <c r="AQ4640" s="109"/>
      <c r="AR4640" s="296"/>
      <c r="AS4640" s="270"/>
      <c r="AT4640" s="19"/>
      <c r="AU4640"/>
      <c r="AV4640" s="6"/>
    </row>
    <row r="4641" spans="1:48" ht="100.15" thickBot="1" x14ac:dyDescent="0.5">
      <c r="A4641" s="242" t="s">
        <v>5232</v>
      </c>
      <c r="B4641" s="242" t="s">
        <v>2828</v>
      </c>
      <c r="C4641" s="320" t="s">
        <v>823</v>
      </c>
      <c r="D4641" s="320"/>
      <c r="E4641" s="320"/>
      <c r="F4641" s="320"/>
      <c r="G4641" s="241"/>
      <c r="H4641" s="241"/>
      <c r="I4641" s="98"/>
      <c r="J4641" s="18" t="s">
        <v>2473</v>
      </c>
      <c r="K4641" s="18" t="s">
        <v>2473</v>
      </c>
      <c r="L4641"/>
      <c r="M4641" s="151"/>
      <c r="N4641" s="109"/>
      <c r="O4641" s="109"/>
      <c r="P4641" s="109"/>
      <c r="Q4641" s="109"/>
      <c r="R4641" s="109"/>
      <c r="S4641" s="109"/>
      <c r="T4641" s="109"/>
      <c r="U4641" s="109"/>
      <c r="V4641" s="109"/>
      <c r="W4641" s="109"/>
      <c r="X4641" s="109"/>
      <c r="Y4641" s="151"/>
      <c r="Z4641" s="19"/>
      <c r="AA4641" s="19"/>
      <c r="AB4641" s="19"/>
      <c r="AC4641" s="19"/>
      <c r="AD4641" s="19"/>
      <c r="AE4641" s="191"/>
      <c r="AF4641" s="191"/>
      <c r="AG4641" s="19"/>
      <c r="AH4641" s="19"/>
      <c r="AI4641" s="19"/>
      <c r="AJ4641" s="19"/>
      <c r="AK4641" s="19"/>
      <c r="AL4641" s="19"/>
      <c r="AM4641" s="19"/>
      <c r="AN4641" s="109"/>
      <c r="AO4641" s="109"/>
      <c r="AP4641" s="109"/>
      <c r="AQ4641" s="109"/>
      <c r="AR4641" s="296"/>
      <c r="AS4641" s="270"/>
      <c r="AT4641" s="19"/>
      <c r="AU4641" s="210" t="s">
        <v>5241</v>
      </c>
      <c r="AV4641" s="6" t="str">
        <f t="shared" ref="AV4641:AV4648" si="116">IF(A4641&lt;&gt;"",IF(T4641&lt;&gt;"",IF(LEFT(R4641,3)="Has",IF(TRIM(A4641)&lt;&gt;T4641,"ERROR","OK"),""),""),"")</f>
        <v/>
      </c>
    </row>
    <row r="4642" spans="1:48" ht="100.15" thickBot="1" x14ac:dyDescent="0.5">
      <c r="A4642" s="200" t="s">
        <v>5242</v>
      </c>
      <c r="B4642" s="21" t="s">
        <v>2322</v>
      </c>
      <c r="C4642" s="313" t="s">
        <v>5058</v>
      </c>
      <c r="D4642" s="313"/>
      <c r="E4642" s="313"/>
      <c r="F4642" s="313"/>
      <c r="J4642" s="18" t="s">
        <v>2473</v>
      </c>
      <c r="K4642" s="18" t="s">
        <v>2473</v>
      </c>
      <c r="L4642"/>
      <c r="M4642" s="151"/>
      <c r="N4642" s="109"/>
      <c r="O4642" s="109"/>
      <c r="P4642" s="109"/>
      <c r="Q4642" s="109"/>
      <c r="R4642" s="109"/>
      <c r="S4642" s="109"/>
      <c r="T4642" s="109"/>
      <c r="U4642" s="109"/>
      <c r="V4642" s="109"/>
      <c r="W4642" s="109"/>
      <c r="X4642" s="109"/>
      <c r="Y4642" s="151"/>
      <c r="Z4642" s="19"/>
      <c r="AA4642" s="19"/>
      <c r="AB4642" s="19"/>
      <c r="AC4642" s="19"/>
      <c r="AD4642" s="19"/>
      <c r="AE4642" s="191"/>
      <c r="AF4642" s="191"/>
      <c r="AG4642" s="19"/>
      <c r="AH4642" s="19"/>
      <c r="AI4642" s="19"/>
      <c r="AJ4642" s="19"/>
      <c r="AK4642" s="19"/>
      <c r="AL4642" s="19"/>
      <c r="AM4642" s="19"/>
      <c r="AN4642" s="109"/>
      <c r="AO4642" s="109"/>
      <c r="AP4642" s="109"/>
      <c r="AQ4642" s="109"/>
      <c r="AR4642" s="296"/>
      <c r="AS4642" s="270"/>
      <c r="AT4642" s="19"/>
      <c r="AU4642" s="210" t="s">
        <v>5240</v>
      </c>
      <c r="AV4642" s="6" t="str">
        <f t="shared" si="116"/>
        <v/>
      </c>
    </row>
    <row r="4643" spans="1:48" ht="100.15" thickBot="1" x14ac:dyDescent="0.5">
      <c r="A4643" s="200" t="s">
        <v>5242</v>
      </c>
      <c r="B4643" s="21" t="s">
        <v>5227</v>
      </c>
      <c r="C4643" s="298" t="s">
        <v>5226</v>
      </c>
      <c r="D4643" s="299"/>
      <c r="E4643" s="299"/>
      <c r="F4643" s="300"/>
      <c r="I4643" s="98"/>
      <c r="J4643" s="18" t="s">
        <v>2473</v>
      </c>
      <c r="K4643" s="18" t="s">
        <v>2473</v>
      </c>
      <c r="L4643"/>
      <c r="M4643" s="151"/>
      <c r="N4643" s="109"/>
      <c r="O4643" s="109"/>
      <c r="P4643" s="109"/>
      <c r="Q4643" s="109"/>
      <c r="R4643" s="109"/>
      <c r="S4643" s="109"/>
      <c r="T4643" s="109"/>
      <c r="U4643" s="109"/>
      <c r="V4643" s="109"/>
      <c r="W4643" s="109"/>
      <c r="X4643" s="109"/>
      <c r="Y4643" s="151"/>
      <c r="Z4643" s="19"/>
      <c r="AA4643" s="19"/>
      <c r="AB4643" s="19"/>
      <c r="AC4643" s="19"/>
      <c r="AD4643" s="19"/>
      <c r="AE4643" s="191"/>
      <c r="AF4643" s="191"/>
      <c r="AG4643" s="19"/>
      <c r="AH4643" s="19"/>
      <c r="AI4643" s="19"/>
      <c r="AJ4643" s="19"/>
      <c r="AK4643" s="19"/>
      <c r="AL4643" s="19"/>
      <c r="AM4643" s="19"/>
      <c r="AN4643" s="109"/>
      <c r="AO4643" s="109"/>
      <c r="AP4643" s="109"/>
      <c r="AQ4643" s="109"/>
      <c r="AR4643" s="296"/>
      <c r="AS4643" s="270"/>
      <c r="AT4643" s="19"/>
      <c r="AU4643" s="210" t="s">
        <v>5240</v>
      </c>
      <c r="AV4643" s="6" t="str">
        <f t="shared" si="116"/>
        <v/>
      </c>
    </row>
    <row r="4644" spans="1:48" ht="100.15" thickBot="1" x14ac:dyDescent="0.5">
      <c r="A4644" s="200" t="s">
        <v>5242</v>
      </c>
      <c r="B4644" s="21" t="s">
        <v>5227</v>
      </c>
      <c r="C4644" s="298" t="s">
        <v>5225</v>
      </c>
      <c r="D4644" s="299"/>
      <c r="E4644" s="299"/>
      <c r="F4644" s="300"/>
      <c r="I4644" s="98"/>
      <c r="J4644" s="18" t="s">
        <v>2473</v>
      </c>
      <c r="K4644" s="18" t="s">
        <v>2473</v>
      </c>
      <c r="L4644"/>
      <c r="M4644" s="151"/>
      <c r="N4644" s="109"/>
      <c r="O4644" s="109"/>
      <c r="P4644" s="109"/>
      <c r="Q4644" s="109"/>
      <c r="R4644" s="109"/>
      <c r="S4644" s="109"/>
      <c r="T4644" s="109"/>
      <c r="U4644" s="109"/>
      <c r="V4644" s="109"/>
      <c r="W4644" s="109"/>
      <c r="X4644" s="109"/>
      <c r="Y4644" s="151"/>
      <c r="Z4644" s="19"/>
      <c r="AA4644" s="19"/>
      <c r="AB4644" s="19"/>
      <c r="AC4644" s="19"/>
      <c r="AD4644" s="19"/>
      <c r="AE4644" s="191"/>
      <c r="AF4644" s="191"/>
      <c r="AG4644" s="19"/>
      <c r="AH4644" s="19"/>
      <c r="AI4644" s="19"/>
      <c r="AJ4644" s="19"/>
      <c r="AK4644" s="19"/>
      <c r="AL4644" s="19"/>
      <c r="AM4644" s="19"/>
      <c r="AN4644" s="109"/>
      <c r="AO4644" s="109"/>
      <c r="AP4644" s="109"/>
      <c r="AQ4644" s="109"/>
      <c r="AR4644" s="296"/>
      <c r="AS4644" s="270"/>
      <c r="AT4644" s="19"/>
      <c r="AU4644" s="210" t="s">
        <v>5240</v>
      </c>
      <c r="AV4644" s="6" t="str">
        <f t="shared" si="116"/>
        <v/>
      </c>
    </row>
    <row r="4645" spans="1:48" ht="100.15" thickBot="1" x14ac:dyDescent="0.5">
      <c r="A4645" s="200" t="s">
        <v>5242</v>
      </c>
      <c r="B4645" s="21" t="s">
        <v>4</v>
      </c>
      <c r="C4645" s="298" t="s">
        <v>62</v>
      </c>
      <c r="D4645" s="299"/>
      <c r="E4645" s="299"/>
      <c r="F4645" s="300"/>
      <c r="I4645" s="98" t="s">
        <v>2473</v>
      </c>
      <c r="J4645" s="18" t="s">
        <v>2473</v>
      </c>
      <c r="K4645" s="18" t="s">
        <v>2473</v>
      </c>
      <c r="L4645"/>
      <c r="M4645" s="151"/>
      <c r="N4645" s="109"/>
      <c r="O4645" s="109"/>
      <c r="P4645" s="109"/>
      <c r="Q4645" s="109"/>
      <c r="R4645" s="109"/>
      <c r="S4645" s="109"/>
      <c r="T4645" s="109"/>
      <c r="U4645" s="109"/>
      <c r="V4645" s="109"/>
      <c r="W4645" s="109"/>
      <c r="X4645" s="109"/>
      <c r="Y4645" s="151"/>
      <c r="Z4645" s="19"/>
      <c r="AA4645" s="19"/>
      <c r="AB4645" s="19"/>
      <c r="AC4645" s="19"/>
      <c r="AD4645" s="19"/>
      <c r="AE4645" s="191"/>
      <c r="AF4645" s="191"/>
      <c r="AG4645" s="19"/>
      <c r="AH4645" s="19"/>
      <c r="AI4645" s="19"/>
      <c r="AJ4645" s="19"/>
      <c r="AK4645" s="19"/>
      <c r="AL4645" s="19"/>
      <c r="AM4645" s="19"/>
      <c r="AN4645" s="109"/>
      <c r="AO4645" s="109"/>
      <c r="AP4645" s="109"/>
      <c r="AQ4645" s="109"/>
      <c r="AR4645" s="296"/>
      <c r="AS4645" s="270"/>
      <c r="AT4645" s="19"/>
      <c r="AU4645" s="210" t="s">
        <v>5240</v>
      </c>
      <c r="AV4645" s="6" t="str">
        <f t="shared" si="116"/>
        <v/>
      </c>
    </row>
    <row r="4646" spans="1:48" ht="100.15" thickBot="1" x14ac:dyDescent="0.5">
      <c r="A4646" s="200" t="s">
        <v>5242</v>
      </c>
      <c r="B4646" s="21" t="s">
        <v>5229</v>
      </c>
      <c r="C4646" s="298" t="s">
        <v>5224</v>
      </c>
      <c r="D4646" s="299"/>
      <c r="E4646" s="299"/>
      <c r="F4646" s="300"/>
      <c r="I4646" s="98"/>
      <c r="J4646" s="18" t="s">
        <v>2473</v>
      </c>
      <c r="K4646" s="18" t="s">
        <v>2473</v>
      </c>
      <c r="L4646"/>
      <c r="M4646" s="151"/>
      <c r="N4646" s="109"/>
      <c r="O4646" s="109"/>
      <c r="P4646" s="109"/>
      <c r="Q4646" s="109"/>
      <c r="R4646" s="109"/>
      <c r="S4646" s="109"/>
      <c r="T4646" s="109"/>
      <c r="U4646" s="109"/>
      <c r="V4646" s="109"/>
      <c r="W4646" s="109"/>
      <c r="X4646" s="109"/>
      <c r="Y4646" s="151"/>
      <c r="Z4646" s="19"/>
      <c r="AA4646" s="19"/>
      <c r="AB4646" s="19"/>
      <c r="AC4646" s="19"/>
      <c r="AD4646" s="19"/>
      <c r="AE4646" s="191"/>
      <c r="AF4646" s="191"/>
      <c r="AG4646" s="19"/>
      <c r="AH4646" s="19"/>
      <c r="AI4646" s="19"/>
      <c r="AJ4646" s="19"/>
      <c r="AK4646" s="19"/>
      <c r="AL4646" s="19"/>
      <c r="AM4646" s="19"/>
      <c r="AN4646" s="109"/>
      <c r="AO4646" s="109"/>
      <c r="AP4646" s="109"/>
      <c r="AQ4646" s="109"/>
      <c r="AR4646" s="296"/>
      <c r="AS4646" s="270"/>
      <c r="AT4646" s="19"/>
      <c r="AU4646" s="210" t="s">
        <v>5240</v>
      </c>
      <c r="AV4646" s="6" t="str">
        <f t="shared" si="116"/>
        <v/>
      </c>
    </row>
    <row r="4647" spans="1:48" ht="100.15" thickBot="1" x14ac:dyDescent="0.5">
      <c r="A4647" s="200" t="s">
        <v>5242</v>
      </c>
      <c r="B4647" s="21" t="s">
        <v>5228</v>
      </c>
      <c r="C4647" s="298" t="s">
        <v>4177</v>
      </c>
      <c r="D4647" s="299"/>
      <c r="E4647" s="299"/>
      <c r="F4647" s="300"/>
      <c r="I4647" s="98"/>
      <c r="J4647" s="18" t="s">
        <v>2473</v>
      </c>
      <c r="K4647" s="18" t="s">
        <v>2473</v>
      </c>
      <c r="L4647"/>
      <c r="M4647" s="151"/>
      <c r="N4647" s="109"/>
      <c r="O4647" s="109"/>
      <c r="P4647" s="109"/>
      <c r="Q4647" s="109"/>
      <c r="R4647" s="109"/>
      <c r="S4647" s="109"/>
      <c r="T4647" s="109"/>
      <c r="U4647" s="109"/>
      <c r="V4647" s="109"/>
      <c r="W4647" s="109"/>
      <c r="X4647" s="109"/>
      <c r="Y4647" s="151"/>
      <c r="Z4647" s="19"/>
      <c r="AA4647" s="19"/>
      <c r="AB4647" s="19"/>
      <c r="AC4647" s="19"/>
      <c r="AD4647" s="19"/>
      <c r="AE4647" s="191"/>
      <c r="AF4647" s="191"/>
      <c r="AG4647" s="19"/>
      <c r="AH4647" s="19"/>
      <c r="AI4647" s="19"/>
      <c r="AJ4647" s="19"/>
      <c r="AK4647" s="19"/>
      <c r="AL4647" s="19"/>
      <c r="AM4647" s="19"/>
      <c r="AN4647" s="109"/>
      <c r="AO4647" s="109"/>
      <c r="AP4647" s="109"/>
      <c r="AQ4647" s="109"/>
      <c r="AR4647" s="296"/>
      <c r="AS4647" s="270"/>
      <c r="AT4647" s="19"/>
      <c r="AU4647" s="210" t="s">
        <v>5240</v>
      </c>
      <c r="AV4647" s="6" t="str">
        <f t="shared" si="116"/>
        <v/>
      </c>
    </row>
    <row r="4648" spans="1:48" ht="100.15" thickBot="1" x14ac:dyDescent="0.5">
      <c r="A4648" s="200" t="s">
        <v>5242</v>
      </c>
      <c r="B4648" s="21" t="s">
        <v>5228</v>
      </c>
      <c r="C4648" s="298" t="s">
        <v>4183</v>
      </c>
      <c r="D4648" s="299"/>
      <c r="E4648" s="299"/>
      <c r="F4648" s="300"/>
      <c r="I4648" s="98"/>
      <c r="J4648" s="18" t="s">
        <v>2473</v>
      </c>
      <c r="K4648" s="18" t="s">
        <v>2473</v>
      </c>
      <c r="L4648"/>
      <c r="M4648" s="151"/>
      <c r="N4648" s="109"/>
      <c r="O4648" s="109"/>
      <c r="P4648" s="109"/>
      <c r="Q4648" s="109"/>
      <c r="R4648" s="109"/>
      <c r="S4648" s="109"/>
      <c r="T4648" s="109"/>
      <c r="U4648" s="109"/>
      <c r="V4648" s="109"/>
      <c r="W4648" s="109"/>
      <c r="X4648" s="109"/>
      <c r="Y4648" s="151"/>
      <c r="Z4648" s="19"/>
      <c r="AA4648" s="19"/>
      <c r="AB4648" s="19"/>
      <c r="AC4648" s="19"/>
      <c r="AD4648" s="19"/>
      <c r="AE4648" s="191"/>
      <c r="AF4648" s="191"/>
      <c r="AG4648" s="19"/>
      <c r="AH4648" s="19"/>
      <c r="AI4648" s="19"/>
      <c r="AJ4648" s="19"/>
      <c r="AK4648" s="19"/>
      <c r="AL4648" s="19"/>
      <c r="AM4648" s="19"/>
      <c r="AN4648" s="109"/>
      <c r="AO4648" s="109"/>
      <c r="AP4648" s="109"/>
      <c r="AQ4648" s="109"/>
      <c r="AR4648" s="296"/>
      <c r="AS4648" s="270"/>
      <c r="AT4648" s="19"/>
      <c r="AU4648" s="210" t="s">
        <v>5240</v>
      </c>
      <c r="AV4648" s="6" t="str">
        <f t="shared" si="116"/>
        <v/>
      </c>
    </row>
    <row r="4649" spans="1:48" x14ac:dyDescent="0.45">
      <c r="L4649"/>
      <c r="M4649" s="151"/>
      <c r="N4649" s="109"/>
      <c r="O4649" s="109"/>
      <c r="P4649" s="109"/>
      <c r="Q4649" s="109"/>
      <c r="R4649" s="109"/>
      <c r="S4649" s="109"/>
      <c r="T4649" s="109"/>
      <c r="U4649" s="109"/>
      <c r="V4649" s="109"/>
      <c r="W4649" s="109"/>
      <c r="X4649" s="109"/>
      <c r="Y4649" s="151"/>
      <c r="Z4649" s="19"/>
      <c r="AA4649" s="19"/>
      <c r="AB4649" s="19"/>
      <c r="AC4649" s="19"/>
      <c r="AD4649" s="19"/>
      <c r="AE4649" s="191"/>
      <c r="AF4649" s="191"/>
      <c r="AG4649" s="19"/>
      <c r="AH4649" s="19"/>
      <c r="AI4649" s="19"/>
      <c r="AJ4649" s="19"/>
      <c r="AK4649" s="19"/>
      <c r="AL4649" s="19"/>
      <c r="AM4649" s="19"/>
      <c r="AN4649" s="109"/>
      <c r="AO4649" s="109"/>
      <c r="AP4649" s="109"/>
      <c r="AQ4649" s="109"/>
      <c r="AR4649" s="296"/>
      <c r="AS4649" s="270"/>
      <c r="AT4649" s="19"/>
      <c r="AU4649"/>
      <c r="AV4649" s="6"/>
    </row>
    <row r="4650" spans="1:48" ht="14.65" thickBot="1" x14ac:dyDescent="0.5">
      <c r="L4650"/>
      <c r="M4650" s="151"/>
      <c r="N4650" s="109"/>
      <c r="O4650" s="109"/>
      <c r="P4650" s="109"/>
      <c r="Q4650" s="109"/>
      <c r="R4650" s="109"/>
      <c r="S4650" s="109"/>
      <c r="T4650" s="109"/>
      <c r="U4650" s="109"/>
      <c r="V4650" s="109"/>
      <c r="W4650" s="109"/>
      <c r="X4650" s="109"/>
      <c r="Y4650" s="151"/>
      <c r="Z4650" s="19"/>
      <c r="AA4650" s="19"/>
      <c r="AB4650" s="19"/>
      <c r="AC4650" s="19"/>
      <c r="AD4650" s="19"/>
      <c r="AE4650" s="191"/>
      <c r="AF4650" s="191"/>
      <c r="AG4650" s="19"/>
      <c r="AH4650" s="19"/>
      <c r="AI4650" s="19"/>
      <c r="AJ4650" s="19"/>
      <c r="AK4650" s="19"/>
      <c r="AL4650" s="19"/>
      <c r="AM4650" s="19"/>
      <c r="AN4650" s="109"/>
      <c r="AO4650" s="109"/>
      <c r="AP4650" s="109"/>
      <c r="AQ4650" s="109"/>
      <c r="AR4650" s="296"/>
      <c r="AS4650" s="270"/>
      <c r="AT4650" s="19"/>
      <c r="AU4650"/>
      <c r="AV4650" s="6" t="str">
        <f t="shared" ref="AV4650" si="117">IF(A4650&lt;&gt;"",IF(T4650&lt;&gt;"",IF(LEFT(R4650,3)="Has",IF(TRIM(A4650)&lt;&gt;T4650,"ERROR","OK"),""),""),"")</f>
        <v/>
      </c>
    </row>
    <row r="4651" spans="1:48" ht="15" customHeight="1" thickBot="1" x14ac:dyDescent="0.5">
      <c r="A4651" s="30" t="s">
        <v>4</v>
      </c>
      <c r="B4651" s="59" t="s">
        <v>5</v>
      </c>
      <c r="C4651" s="7" t="s">
        <v>6</v>
      </c>
      <c r="D4651" s="7" t="s">
        <v>7</v>
      </c>
      <c r="E4651" s="7" t="s">
        <v>6</v>
      </c>
      <c r="F4651" s="7" t="s">
        <v>7</v>
      </c>
      <c r="G4651" s="7" t="s">
        <v>6</v>
      </c>
      <c r="H4651" s="7" t="s">
        <v>7</v>
      </c>
      <c r="J4651" s="18" t="s">
        <v>2473</v>
      </c>
      <c r="K4651" s="18" t="s">
        <v>2473</v>
      </c>
      <c r="L4651" s="18" t="s">
        <v>2334</v>
      </c>
      <c r="R4651" s="363" t="s">
        <v>4035</v>
      </c>
      <c r="S4651" s="363"/>
      <c r="T4651" s="363"/>
      <c r="U4651" s="363"/>
      <c r="V4651" s="363"/>
      <c r="W4651" s="363"/>
      <c r="X4651" s="364"/>
      <c r="Y4651" s="149"/>
      <c r="Z4651" s="183"/>
      <c r="AA4651" s="183"/>
      <c r="AB4651" s="183"/>
      <c r="AC4651" s="183"/>
      <c r="AD4651" s="183"/>
      <c r="AE4651" s="184"/>
      <c r="AF4651" s="184"/>
      <c r="AG4651" s="183"/>
      <c r="AH4651" s="183"/>
      <c r="AI4651" s="183"/>
      <c r="AJ4651" s="183"/>
      <c r="AK4651" s="183"/>
      <c r="AL4651" s="183"/>
      <c r="AM4651" s="183"/>
      <c r="AN4651" s="131"/>
      <c r="AO4651" s="131"/>
      <c r="AP4651" s="131"/>
      <c r="AQ4651" s="131"/>
      <c r="AR4651" s="288"/>
      <c r="AS4651" s="259"/>
      <c r="AT4651" s="183"/>
      <c r="AV4651" s="6" t="str">
        <f t="shared" si="115"/>
        <v/>
      </c>
    </row>
    <row r="4652" spans="1:48" ht="23.65" thickBot="1" x14ac:dyDescent="0.5">
      <c r="A4652" s="41" t="str">
        <f>"@odata.context"</f>
        <v>@odata.context</v>
      </c>
      <c r="B4652" s="50" t="s">
        <v>4027</v>
      </c>
      <c r="C4652" s="12"/>
      <c r="D4652" s="20"/>
      <c r="E4652" s="20"/>
      <c r="F4652" s="20"/>
      <c r="G4652" s="12"/>
      <c r="H4652" s="20"/>
      <c r="J4652" s="18" t="s">
        <v>2473</v>
      </c>
      <c r="K4652" s="18" t="s">
        <v>2473</v>
      </c>
      <c r="L4652" s="18" t="s">
        <v>2336</v>
      </c>
      <c r="R4652" s="122" t="s">
        <v>3529</v>
      </c>
      <c r="S4652" s="114" t="s">
        <v>4</v>
      </c>
      <c r="T4652" s="114" t="s">
        <v>3630</v>
      </c>
      <c r="U4652" s="114" t="s">
        <v>3521</v>
      </c>
      <c r="V4652" s="114" t="s">
        <v>3530</v>
      </c>
      <c r="W4652" s="114" t="s">
        <v>3436</v>
      </c>
      <c r="X4652" s="114" t="s">
        <v>13</v>
      </c>
      <c r="Y4652" s="149"/>
      <c r="Z4652" s="183"/>
      <c r="AA4652" s="183"/>
      <c r="AB4652" s="183"/>
      <c r="AC4652" s="183"/>
      <c r="AD4652" s="183"/>
      <c r="AE4652" s="184"/>
      <c r="AF4652" s="184"/>
      <c r="AG4652" s="183"/>
      <c r="AH4652" s="183"/>
      <c r="AI4652" s="183"/>
      <c r="AJ4652" s="183"/>
      <c r="AK4652" s="183"/>
      <c r="AL4652" s="183"/>
      <c r="AM4652" s="183"/>
      <c r="AN4652" s="131"/>
      <c r="AO4652" s="131"/>
      <c r="AP4652" s="131"/>
      <c r="AQ4652" s="131"/>
      <c r="AR4652" s="288"/>
      <c r="AS4652" s="259"/>
      <c r="AT4652" s="183"/>
      <c r="AV4652" s="6" t="str">
        <f t="shared" si="115"/>
        <v>ERROR</v>
      </c>
    </row>
    <row r="4653" spans="1:48" ht="14.65" thickBot="1" x14ac:dyDescent="0.5">
      <c r="A4653" s="41" t="str">
        <f>"@odata.type"</f>
        <v>@odata.type</v>
      </c>
      <c r="B4653" s="50" t="s">
        <v>4026</v>
      </c>
      <c r="C4653" s="12"/>
      <c r="D4653" s="20"/>
      <c r="E4653" s="20"/>
      <c r="F4653" s="20"/>
      <c r="G4653" s="12"/>
      <c r="H4653" s="20"/>
      <c r="J4653" s="18" t="s">
        <v>2473</v>
      </c>
      <c r="K4653" s="18" t="s">
        <v>2473</v>
      </c>
      <c r="L4653" s="18" t="s">
        <v>2334</v>
      </c>
      <c r="R4653" s="122" t="s">
        <v>3529</v>
      </c>
      <c r="S4653" s="114" t="s">
        <v>4</v>
      </c>
      <c r="T4653" s="114" t="s">
        <v>3629</v>
      </c>
      <c r="U4653" s="114" t="s">
        <v>3521</v>
      </c>
      <c r="V4653" s="114" t="s">
        <v>3530</v>
      </c>
      <c r="W4653" s="114" t="s">
        <v>3436</v>
      </c>
      <c r="X4653" s="114" t="s">
        <v>13</v>
      </c>
      <c r="Y4653" s="149"/>
      <c r="Z4653" s="183"/>
      <c r="AA4653" s="183"/>
      <c r="AB4653" s="183"/>
      <c r="AC4653" s="183"/>
      <c r="AD4653" s="183"/>
      <c r="AE4653" s="184"/>
      <c r="AF4653" s="184"/>
      <c r="AG4653" s="183"/>
      <c r="AH4653" s="183"/>
      <c r="AI4653" s="183"/>
      <c r="AJ4653" s="183"/>
      <c r="AK4653" s="183"/>
      <c r="AL4653" s="183"/>
      <c r="AM4653" s="183"/>
      <c r="AN4653" s="131"/>
      <c r="AO4653" s="131"/>
      <c r="AP4653" s="131"/>
      <c r="AQ4653" s="131"/>
      <c r="AR4653" s="288"/>
      <c r="AS4653" s="259"/>
      <c r="AT4653" s="183"/>
      <c r="AV4653" s="6" t="str">
        <f t="shared" si="115"/>
        <v>ERROR</v>
      </c>
    </row>
    <row r="4654" spans="1:48" ht="14.65" thickBot="1" x14ac:dyDescent="0.5">
      <c r="A4654" s="41" t="str">
        <f>"@odata.id"</f>
        <v>@odata.id</v>
      </c>
      <c r="B4654" s="50" t="s">
        <v>4028</v>
      </c>
      <c r="C4654" s="12"/>
      <c r="D4654" s="20"/>
      <c r="E4654" s="20"/>
      <c r="F4654" s="4"/>
      <c r="G4654" s="12"/>
      <c r="H4654" s="20"/>
      <c r="J4654" s="18" t="s">
        <v>2473</v>
      </c>
      <c r="K4654" s="18" t="s">
        <v>2473</v>
      </c>
      <c r="L4654" s="18" t="s">
        <v>2334</v>
      </c>
      <c r="R4654" s="122" t="s">
        <v>3529</v>
      </c>
      <c r="S4654" s="114" t="s">
        <v>4</v>
      </c>
      <c r="T4654" s="114" t="s">
        <v>3628</v>
      </c>
      <c r="U4654" s="114" t="s">
        <v>3521</v>
      </c>
      <c r="V4654" s="114" t="s">
        <v>3530</v>
      </c>
      <c r="W4654" s="114" t="s">
        <v>3436</v>
      </c>
      <c r="X4654" s="114" t="s">
        <v>13</v>
      </c>
      <c r="Y4654" s="149"/>
      <c r="Z4654" s="183"/>
      <c r="AA4654" s="183"/>
      <c r="AB4654" s="183"/>
      <c r="AC4654" s="183"/>
      <c r="AD4654" s="183"/>
      <c r="AE4654" s="184"/>
      <c r="AF4654" s="184"/>
      <c r="AG4654" s="183"/>
      <c r="AH4654" s="183"/>
      <c r="AI4654" s="183"/>
      <c r="AJ4654" s="183"/>
      <c r="AK4654" s="183"/>
      <c r="AL4654" s="183"/>
      <c r="AM4654" s="183"/>
      <c r="AN4654" s="131"/>
      <c r="AO4654" s="131"/>
      <c r="AP4654" s="131"/>
      <c r="AQ4654" s="131"/>
      <c r="AR4654" s="288"/>
      <c r="AS4654" s="259"/>
      <c r="AT4654" s="183"/>
      <c r="AV4654" s="6" t="str">
        <f t="shared" si="115"/>
        <v>ERROR</v>
      </c>
    </row>
    <row r="4655" spans="1:48" ht="14.65" thickBot="1" x14ac:dyDescent="0.5">
      <c r="A4655" s="35" t="s">
        <v>820</v>
      </c>
      <c r="B4655" s="3" t="s">
        <v>4036</v>
      </c>
      <c r="C4655" s="12"/>
      <c r="D4655" s="20"/>
      <c r="E4655" s="20"/>
      <c r="F4655" s="4"/>
      <c r="G4655" s="12"/>
      <c r="H4655" s="20"/>
      <c r="J4655" s="18" t="s">
        <v>2473</v>
      </c>
      <c r="K4655" s="18" t="s">
        <v>2473</v>
      </c>
      <c r="L4655" s="18" t="s">
        <v>2334</v>
      </c>
      <c r="R4655" s="122" t="s">
        <v>3529</v>
      </c>
      <c r="S4655" s="114" t="s">
        <v>4</v>
      </c>
      <c r="T4655" s="114" t="s">
        <v>3427</v>
      </c>
      <c r="U4655" s="114" t="s">
        <v>3521</v>
      </c>
      <c r="V4655" s="114" t="s">
        <v>3530</v>
      </c>
      <c r="W4655" s="114" t="s">
        <v>3436</v>
      </c>
      <c r="X4655" s="114" t="s">
        <v>13</v>
      </c>
      <c r="Y4655" s="149"/>
      <c r="Z4655" s="183"/>
      <c r="AA4655" s="183"/>
      <c r="AB4655" s="183"/>
      <c r="AC4655" s="183"/>
      <c r="AD4655" s="183"/>
      <c r="AE4655" s="184"/>
      <c r="AF4655" s="184"/>
      <c r="AG4655" s="183"/>
      <c r="AH4655" s="183"/>
      <c r="AI4655" s="183"/>
      <c r="AJ4655" s="183"/>
      <c r="AK4655" s="183"/>
      <c r="AL4655" s="183"/>
      <c r="AM4655" s="183"/>
      <c r="AN4655" s="131"/>
      <c r="AO4655" s="131"/>
      <c r="AP4655" s="131"/>
      <c r="AQ4655" s="131"/>
      <c r="AR4655" s="288"/>
      <c r="AS4655" s="259"/>
      <c r="AT4655" s="183"/>
      <c r="AV4655" s="6" t="str">
        <f t="shared" ref="AV4655:AV4718" si="118">IF(A4655&lt;&gt;"",IF(T4655&lt;&gt;"",IF(LEFT(R4655,3)="Has",IF(TRIM(A4655)&lt;&gt;T4655,"ERROR","OK"),""),""),"")</f>
        <v>ERROR</v>
      </c>
    </row>
    <row r="4656" spans="1:48" ht="14.65" thickBot="1" x14ac:dyDescent="0.5">
      <c r="A4656" s="35" t="s">
        <v>1118</v>
      </c>
      <c r="B4656" s="3" t="s">
        <v>4037</v>
      </c>
      <c r="C4656" s="12"/>
      <c r="D4656" s="20"/>
      <c r="E4656" s="20"/>
      <c r="F4656" s="4"/>
      <c r="G4656" s="12"/>
      <c r="H4656" s="20"/>
      <c r="J4656" s="18" t="s">
        <v>2473</v>
      </c>
      <c r="K4656" s="18" t="s">
        <v>2473</v>
      </c>
      <c r="L4656" s="18" t="s">
        <v>2334</v>
      </c>
      <c r="R4656" s="122" t="s">
        <v>3529</v>
      </c>
      <c r="S4656" s="114" t="s">
        <v>4</v>
      </c>
      <c r="T4656" s="114" t="s">
        <v>1118</v>
      </c>
      <c r="U4656" s="114" t="s">
        <v>3521</v>
      </c>
      <c r="V4656" s="114" t="s">
        <v>3530</v>
      </c>
      <c r="W4656" s="114" t="s">
        <v>3436</v>
      </c>
      <c r="X4656" s="114" t="s">
        <v>13</v>
      </c>
      <c r="Y4656" s="149"/>
      <c r="Z4656" s="183"/>
      <c r="AA4656" s="183"/>
      <c r="AB4656" s="183"/>
      <c r="AC4656" s="183"/>
      <c r="AD4656" s="183"/>
      <c r="AE4656" s="184"/>
      <c r="AF4656" s="184"/>
      <c r="AG4656" s="183"/>
      <c r="AH4656" s="183"/>
      <c r="AI4656" s="183"/>
      <c r="AJ4656" s="183"/>
      <c r="AK4656" s="183"/>
      <c r="AL4656" s="183"/>
      <c r="AM4656" s="183"/>
      <c r="AN4656" s="131"/>
      <c r="AO4656" s="131"/>
      <c r="AP4656" s="131"/>
      <c r="AQ4656" s="131"/>
      <c r="AR4656" s="288"/>
      <c r="AS4656" s="259"/>
      <c r="AT4656" s="183"/>
      <c r="AV4656" s="6" t="str">
        <f t="shared" si="118"/>
        <v>OK</v>
      </c>
    </row>
    <row r="4657" spans="1:48" ht="14.65" thickBot="1" x14ac:dyDescent="0.5">
      <c r="A4657" s="35" t="s">
        <v>5</v>
      </c>
      <c r="B4657" s="3" t="s">
        <v>4038</v>
      </c>
      <c r="C4657" s="12"/>
      <c r="D4657" s="20"/>
      <c r="E4657" s="20"/>
      <c r="F4657" s="20"/>
      <c r="G4657" s="12"/>
      <c r="H4657" s="20"/>
      <c r="J4657" s="18" t="s">
        <v>2473</v>
      </c>
      <c r="K4657" s="18" t="s">
        <v>2473</v>
      </c>
      <c r="L4657" s="18" t="s">
        <v>2334</v>
      </c>
      <c r="R4657" s="122" t="s">
        <v>3529</v>
      </c>
      <c r="S4657" s="114" t="s">
        <v>4</v>
      </c>
      <c r="T4657" s="114" t="s">
        <v>5</v>
      </c>
      <c r="U4657" s="114" t="s">
        <v>3521</v>
      </c>
      <c r="V4657" s="114" t="s">
        <v>3530</v>
      </c>
      <c r="W4657" s="114" t="s">
        <v>3436</v>
      </c>
      <c r="X4657" s="114" t="s">
        <v>13</v>
      </c>
      <c r="Y4657" s="149"/>
      <c r="Z4657" s="183"/>
      <c r="AA4657" s="183"/>
      <c r="AB4657" s="183"/>
      <c r="AC4657" s="183"/>
      <c r="AD4657" s="183"/>
      <c r="AE4657" s="184"/>
      <c r="AF4657" s="184"/>
      <c r="AG4657" s="183"/>
      <c r="AH4657" s="183"/>
      <c r="AI4657" s="183"/>
      <c r="AJ4657" s="183"/>
      <c r="AK4657" s="183"/>
      <c r="AL4657" s="183"/>
      <c r="AM4657" s="183"/>
      <c r="AN4657" s="131"/>
      <c r="AO4657" s="131"/>
      <c r="AP4657" s="131"/>
      <c r="AQ4657" s="131"/>
      <c r="AR4657" s="288"/>
      <c r="AS4657" s="259"/>
      <c r="AT4657" s="183"/>
      <c r="AV4657" s="6" t="str">
        <f t="shared" si="118"/>
        <v>OK</v>
      </c>
    </row>
    <row r="4658" spans="1:48" x14ac:dyDescent="0.45">
      <c r="AV4658" s="6" t="str">
        <f t="shared" si="118"/>
        <v/>
      </c>
    </row>
    <row r="4659" spans="1:48" x14ac:dyDescent="0.45">
      <c r="AV4659" s="6" t="str">
        <f t="shared" si="118"/>
        <v/>
      </c>
    </row>
    <row r="4660" spans="1:48" s="79" customFormat="1" ht="14.65" thickBot="1" x14ac:dyDescent="0.5">
      <c r="A4660" s="75"/>
      <c r="B4660" s="76"/>
      <c r="C4660" s="77"/>
      <c r="D4660" s="77"/>
      <c r="E4660" s="77"/>
      <c r="F4660" s="77"/>
      <c r="G4660" s="77"/>
      <c r="H4660" s="77"/>
      <c r="I4660" s="77"/>
      <c r="J4660" s="77"/>
      <c r="K4660" s="77"/>
      <c r="L4660" s="77"/>
      <c r="M4660" s="148"/>
      <c r="N4660" s="78"/>
      <c r="O4660" s="78"/>
      <c r="P4660" s="78"/>
      <c r="Q4660" s="78"/>
      <c r="R4660" s="78"/>
      <c r="S4660" s="78"/>
      <c r="T4660" s="78"/>
      <c r="U4660" s="78"/>
      <c r="V4660" s="78"/>
      <c r="W4660" s="78"/>
      <c r="X4660" s="78"/>
      <c r="Y4660" s="148"/>
      <c r="Z4660" s="78"/>
      <c r="AA4660" s="78"/>
      <c r="AB4660" s="78"/>
      <c r="AC4660" s="78"/>
      <c r="AD4660" s="78"/>
      <c r="AE4660" s="156"/>
      <c r="AF4660" s="156"/>
      <c r="AG4660" s="78"/>
      <c r="AH4660" s="78"/>
      <c r="AI4660" s="78"/>
      <c r="AJ4660" s="78"/>
      <c r="AK4660" s="78"/>
      <c r="AL4660" s="78"/>
      <c r="AM4660" s="78"/>
      <c r="AN4660" s="78"/>
      <c r="AO4660" s="78"/>
      <c r="AP4660" s="78"/>
      <c r="AQ4660" s="78"/>
      <c r="AR4660" s="286"/>
      <c r="AS4660" s="78"/>
      <c r="AT4660" s="78"/>
      <c r="AU4660" s="8"/>
      <c r="AV4660" s="6" t="str">
        <f t="shared" si="118"/>
        <v/>
      </c>
    </row>
    <row r="4661" spans="1:48" ht="14.65" thickBot="1" x14ac:dyDescent="0.5">
      <c r="A4661" s="39" t="s">
        <v>3542</v>
      </c>
      <c r="J4661" s="18" t="s">
        <v>2473</v>
      </c>
      <c r="K4661" s="18" t="s">
        <v>2473</v>
      </c>
      <c r="L4661" s="18" t="s">
        <v>2334</v>
      </c>
      <c r="R4661" s="111" t="s">
        <v>3426</v>
      </c>
      <c r="S4661" s="349" t="s">
        <v>823</v>
      </c>
      <c r="T4661" s="350"/>
      <c r="U4661" s="350"/>
      <c r="V4661" s="350"/>
      <c r="W4661" s="350"/>
      <c r="X4661" s="362"/>
      <c r="Y4661" s="118"/>
      <c r="Z4661" s="185"/>
      <c r="AA4661" s="185"/>
      <c r="AB4661" s="185"/>
      <c r="AC4661" s="185"/>
      <c r="AD4661" s="185"/>
      <c r="AE4661" s="186"/>
      <c r="AF4661" s="186"/>
      <c r="AG4661" s="185"/>
      <c r="AH4661" s="185"/>
      <c r="AI4661" s="185"/>
      <c r="AJ4661" s="185"/>
      <c r="AK4661" s="185"/>
      <c r="AL4661" s="185"/>
      <c r="AM4661" s="185"/>
      <c r="AN4661" s="117"/>
      <c r="AO4661" s="117"/>
      <c r="AP4661" s="117"/>
      <c r="AQ4661" s="117"/>
      <c r="AR4661" s="287"/>
      <c r="AS4661" s="258"/>
      <c r="AT4661" s="185"/>
      <c r="AV4661" s="6" t="str">
        <f t="shared" si="118"/>
        <v/>
      </c>
    </row>
    <row r="4662" spans="1:48" ht="14.65" thickBot="1" x14ac:dyDescent="0.5">
      <c r="A4662" s="40" t="s">
        <v>3541</v>
      </c>
      <c r="J4662" s="18" t="s">
        <v>2473</v>
      </c>
      <c r="K4662" s="18" t="s">
        <v>2473</v>
      </c>
      <c r="L4662" s="18" t="s">
        <v>2334</v>
      </c>
      <c r="R4662" s="122" t="s">
        <v>3427</v>
      </c>
      <c r="S4662" s="352" t="s">
        <v>3539</v>
      </c>
      <c r="T4662" s="353"/>
      <c r="U4662" s="353"/>
      <c r="V4662" s="353"/>
      <c r="W4662" s="353"/>
      <c r="X4662" s="357"/>
      <c r="Y4662" s="149"/>
      <c r="Z4662" s="183"/>
      <c r="AA4662" s="183"/>
      <c r="AB4662" s="183"/>
      <c r="AC4662" s="183"/>
      <c r="AD4662" s="183"/>
      <c r="AE4662" s="184"/>
      <c r="AF4662" s="184"/>
      <c r="AG4662" s="183"/>
      <c r="AH4662" s="183"/>
      <c r="AI4662" s="183"/>
      <c r="AJ4662" s="183"/>
      <c r="AK4662" s="183"/>
      <c r="AL4662" s="183"/>
      <c r="AM4662" s="183"/>
      <c r="AN4662" s="131"/>
      <c r="AO4662" s="131"/>
      <c r="AP4662" s="131"/>
      <c r="AQ4662" s="131"/>
      <c r="AR4662" s="288"/>
      <c r="AS4662" s="259"/>
      <c r="AT4662" s="183"/>
      <c r="AV4662" s="6" t="str">
        <f t="shared" si="118"/>
        <v/>
      </c>
    </row>
    <row r="4663" spans="1:48" ht="14.65" thickBot="1" x14ac:dyDescent="0.5">
      <c r="A4663" s="309" t="s">
        <v>3563</v>
      </c>
      <c r="B4663" s="310"/>
      <c r="C4663" s="301" t="s">
        <v>1</v>
      </c>
      <c r="D4663" s="319"/>
      <c r="E4663" s="319"/>
      <c r="F4663" s="302"/>
      <c r="G4663" s="102"/>
      <c r="H4663" s="102"/>
      <c r="J4663" s="18" t="s">
        <v>2473</v>
      </c>
      <c r="K4663" s="18" t="s">
        <v>2473</v>
      </c>
      <c r="L4663" s="18" t="s">
        <v>2334</v>
      </c>
      <c r="R4663" s="122" t="s">
        <v>3428</v>
      </c>
      <c r="S4663" s="352" t="b">
        <v>1</v>
      </c>
      <c r="T4663" s="353"/>
      <c r="U4663" s="353"/>
      <c r="V4663" s="353"/>
      <c r="W4663" s="353"/>
      <c r="X4663" s="357"/>
      <c r="Y4663" s="149"/>
      <c r="Z4663" s="183"/>
      <c r="AA4663" s="183"/>
      <c r="AB4663" s="183"/>
      <c r="AC4663" s="183"/>
      <c r="AD4663" s="183"/>
      <c r="AE4663" s="184"/>
      <c r="AF4663" s="184"/>
      <c r="AG4663" s="183"/>
      <c r="AH4663" s="183"/>
      <c r="AI4663" s="183"/>
      <c r="AJ4663" s="183"/>
      <c r="AK4663" s="183"/>
      <c r="AL4663" s="183"/>
      <c r="AM4663" s="183"/>
      <c r="AN4663" s="131"/>
      <c r="AO4663" s="131"/>
      <c r="AP4663" s="131"/>
      <c r="AQ4663" s="131"/>
      <c r="AR4663" s="288"/>
      <c r="AS4663" s="259"/>
      <c r="AT4663" s="183"/>
      <c r="AV4663" s="6" t="str">
        <f t="shared" si="118"/>
        <v/>
      </c>
    </row>
    <row r="4664" spans="1:48" ht="14.65" thickBot="1" x14ac:dyDescent="0.5">
      <c r="A4664" s="311"/>
      <c r="B4664" s="312"/>
      <c r="C4664" s="301" t="s">
        <v>2</v>
      </c>
      <c r="D4664" s="302"/>
      <c r="E4664" s="301" t="s">
        <v>3</v>
      </c>
      <c r="F4664" s="302"/>
      <c r="G4664" s="301" t="s">
        <v>2896</v>
      </c>
      <c r="H4664" s="302"/>
      <c r="J4664" s="18" t="s">
        <v>2473</v>
      </c>
      <c r="K4664" s="18" t="s">
        <v>2473</v>
      </c>
      <c r="L4664" s="18" t="s">
        <v>2334</v>
      </c>
      <c r="R4664" s="115"/>
      <c r="S4664" s="115"/>
      <c r="T4664" s="115"/>
      <c r="U4664" s="115"/>
      <c r="V4664" s="115"/>
      <c r="W4664" s="115"/>
      <c r="X4664" s="115"/>
      <c r="Y4664" s="149"/>
      <c r="Z4664" s="183"/>
      <c r="AA4664" s="183"/>
      <c r="AB4664" s="183"/>
      <c r="AC4664" s="183"/>
      <c r="AD4664" s="183"/>
      <c r="AE4664" s="184"/>
      <c r="AF4664" s="184"/>
      <c r="AG4664" s="183"/>
      <c r="AH4664" s="183"/>
      <c r="AI4664" s="183"/>
      <c r="AJ4664" s="183"/>
      <c r="AK4664" s="183"/>
      <c r="AL4664" s="183"/>
      <c r="AM4664" s="183"/>
      <c r="AN4664" s="131"/>
      <c r="AO4664" s="131"/>
      <c r="AP4664" s="131"/>
      <c r="AQ4664" s="131"/>
      <c r="AR4664" s="288"/>
      <c r="AS4664" s="259"/>
      <c r="AT4664" s="183"/>
      <c r="AV4664" s="6" t="str">
        <f t="shared" si="118"/>
        <v/>
      </c>
    </row>
    <row r="4665" spans="1:48" ht="14.65" thickBot="1" x14ac:dyDescent="0.5">
      <c r="A4665" s="212" t="s">
        <v>2377</v>
      </c>
      <c r="B4665" s="213"/>
      <c r="C4665" s="344"/>
      <c r="D4665" s="345"/>
      <c r="E4665" s="344"/>
      <c r="F4665" s="345"/>
      <c r="G4665" s="344"/>
      <c r="H4665" s="345"/>
      <c r="J4665" s="18" t="s">
        <v>2473</v>
      </c>
      <c r="K4665" s="18" t="s">
        <v>2473</v>
      </c>
      <c r="L4665" s="18" t="s">
        <v>2334</v>
      </c>
      <c r="R4665" s="129"/>
      <c r="S4665" s="117"/>
      <c r="T4665" s="117"/>
      <c r="U4665" s="117"/>
      <c r="V4665" s="117"/>
      <c r="W4665" s="117"/>
      <c r="X4665" s="216"/>
      <c r="Y4665" s="118"/>
      <c r="Z4665" s="185"/>
      <c r="AA4665" s="185"/>
      <c r="AB4665" s="185"/>
      <c r="AC4665" s="185"/>
      <c r="AD4665" s="185"/>
      <c r="AE4665" s="186"/>
      <c r="AF4665" s="186"/>
      <c r="AG4665" s="185"/>
      <c r="AH4665" s="185"/>
      <c r="AI4665" s="185"/>
      <c r="AJ4665" s="185"/>
      <c r="AK4665" s="185"/>
      <c r="AL4665" s="185"/>
      <c r="AM4665" s="185"/>
      <c r="AN4665" s="117"/>
      <c r="AO4665" s="117"/>
      <c r="AP4665" s="117"/>
      <c r="AQ4665" s="117"/>
      <c r="AR4665" s="287"/>
      <c r="AS4665" s="258"/>
      <c r="AT4665" s="185"/>
      <c r="AU4665" s="6"/>
      <c r="AV4665" s="6" t="str">
        <f>IF(A4665&lt;&gt;"",IF(T4665&lt;&gt;"",IF(LEFT(R4665,3)="Has",IF(TRIM(A4665)&lt;&gt;T4665,"ERROR","OK"),""),""),"")</f>
        <v/>
      </c>
    </row>
    <row r="4666" spans="1:48" ht="14.65" thickBot="1" x14ac:dyDescent="0.5">
      <c r="A4666" s="214" t="s">
        <v>3394</v>
      </c>
      <c r="B4666" s="215"/>
      <c r="C4666" s="347"/>
      <c r="D4666" s="348"/>
      <c r="E4666" s="347"/>
      <c r="F4666" s="348"/>
      <c r="G4666" s="347"/>
      <c r="H4666" s="348"/>
      <c r="J4666" s="18" t="s">
        <v>2473</v>
      </c>
      <c r="K4666" s="18" t="s">
        <v>2473</v>
      </c>
      <c r="L4666" s="18" t="s">
        <v>2336</v>
      </c>
      <c r="R4666" s="111" t="s">
        <v>3429</v>
      </c>
      <c r="S4666" s="111" t="s">
        <v>3430</v>
      </c>
      <c r="T4666" s="111" t="s">
        <v>3427</v>
      </c>
      <c r="U4666" s="111" t="s">
        <v>3431</v>
      </c>
      <c r="V4666" s="111" t="s">
        <v>3432</v>
      </c>
      <c r="W4666" s="111" t="s">
        <v>3433</v>
      </c>
      <c r="X4666" s="111" t="s">
        <v>3434</v>
      </c>
      <c r="Y4666" s="118" t="s">
        <v>3965</v>
      </c>
      <c r="Z4666" s="185"/>
      <c r="AA4666" s="185"/>
      <c r="AB4666" s="185"/>
      <c r="AC4666" s="185"/>
      <c r="AD4666" s="185"/>
      <c r="AE4666" s="186"/>
      <c r="AF4666" s="186"/>
      <c r="AG4666" s="185"/>
      <c r="AH4666" s="185"/>
      <c r="AI4666" s="185"/>
      <c r="AJ4666" s="185"/>
      <c r="AK4666" s="185"/>
      <c r="AL4666" s="185"/>
      <c r="AM4666" s="185"/>
      <c r="AN4666" s="117"/>
      <c r="AO4666" s="117"/>
      <c r="AP4666" s="117"/>
      <c r="AQ4666" s="117"/>
      <c r="AR4666" s="287"/>
      <c r="AS4666" s="258"/>
      <c r="AT4666" s="185"/>
      <c r="AU4666" s="6"/>
      <c r="AV4666" s="6" t="str">
        <f>IF(A4666&lt;&gt;"",IF(T4666&lt;&gt;"",IF(LEFT(R4666,3)="Has",IF(TRIM(A4666)&lt;&gt;T4666,"ERROR","OK"),""),""),"")</f>
        <v/>
      </c>
    </row>
    <row r="4667" spans="1:48" ht="15" customHeight="1" thickBot="1" x14ac:dyDescent="0.5">
      <c r="A4667" s="30" t="s">
        <v>4</v>
      </c>
      <c r="B4667" s="59" t="s">
        <v>5</v>
      </c>
      <c r="C4667" s="7" t="s">
        <v>6</v>
      </c>
      <c r="D4667" s="7" t="s">
        <v>7</v>
      </c>
      <c r="E4667" s="7" t="s">
        <v>6</v>
      </c>
      <c r="F4667" s="7" t="s">
        <v>7</v>
      </c>
      <c r="G4667" s="7" t="s">
        <v>6</v>
      </c>
      <c r="H4667" s="7" t="s">
        <v>7</v>
      </c>
      <c r="J4667" s="18" t="s">
        <v>2473</v>
      </c>
      <c r="K4667" s="18" t="s">
        <v>2473</v>
      </c>
      <c r="L4667" s="18" t="s">
        <v>2334</v>
      </c>
      <c r="R4667" s="363" t="s">
        <v>4035</v>
      </c>
      <c r="S4667" s="363"/>
      <c r="T4667" s="363"/>
      <c r="U4667" s="363"/>
      <c r="V4667" s="363"/>
      <c r="W4667" s="363"/>
      <c r="X4667" s="363"/>
      <c r="Y4667" s="149"/>
      <c r="Z4667" s="183"/>
      <c r="AA4667" s="183"/>
      <c r="AB4667" s="183"/>
      <c r="AC4667" s="183"/>
      <c r="AD4667" s="183"/>
      <c r="AE4667" s="184"/>
      <c r="AF4667" s="184"/>
      <c r="AG4667" s="183"/>
      <c r="AH4667" s="183"/>
      <c r="AI4667" s="183"/>
      <c r="AJ4667" s="183"/>
      <c r="AK4667" s="183"/>
      <c r="AL4667" s="183"/>
      <c r="AM4667" s="183"/>
      <c r="AN4667" s="131"/>
      <c r="AO4667" s="131"/>
      <c r="AP4667" s="131"/>
      <c r="AQ4667" s="131"/>
      <c r="AR4667" s="288"/>
      <c r="AS4667" s="259"/>
      <c r="AT4667" s="183"/>
      <c r="AV4667" s="6" t="str">
        <f>IF(A4667&lt;&gt;"",IF(T4667&lt;&gt;"",IF(LEFT(R4667,3)="Has",IF(TRIM(A4667)&lt;&gt;T4667,"ERROR","OK"),""),""),"")</f>
        <v/>
      </c>
    </row>
    <row r="4668" spans="1:48" ht="14.65" thickBot="1" x14ac:dyDescent="0.5">
      <c r="A4668" s="41" t="str">
        <f>"@odata.id"</f>
        <v>@odata.id</v>
      </c>
      <c r="B4668" s="50" t="s">
        <v>4028</v>
      </c>
      <c r="C4668" s="12"/>
      <c r="D4668" s="20"/>
      <c r="E4668" s="20"/>
      <c r="F4668" s="4"/>
      <c r="G4668" s="12"/>
      <c r="H4668" s="20"/>
      <c r="J4668" s="18" t="s">
        <v>2473</v>
      </c>
      <c r="K4668" s="18" t="s">
        <v>2473</v>
      </c>
      <c r="L4668" s="18" t="s">
        <v>2334</v>
      </c>
      <c r="R4668" s="122" t="s">
        <v>3529</v>
      </c>
      <c r="S4668" s="114" t="s">
        <v>4</v>
      </c>
      <c r="T4668" s="114" t="s">
        <v>3628</v>
      </c>
      <c r="U4668" s="114" t="s">
        <v>3521</v>
      </c>
      <c r="V4668" s="114" t="s">
        <v>3530</v>
      </c>
      <c r="W4668" s="114" t="s">
        <v>3436</v>
      </c>
      <c r="X4668" s="114" t="s">
        <v>13</v>
      </c>
      <c r="Y4668" s="149"/>
      <c r="Z4668" s="183"/>
      <c r="AA4668" s="183"/>
      <c r="AB4668" s="183"/>
      <c r="AC4668" s="183"/>
      <c r="AD4668" s="183"/>
      <c r="AE4668" s="184"/>
      <c r="AF4668" s="184"/>
      <c r="AG4668" s="183"/>
      <c r="AH4668" s="183"/>
      <c r="AI4668" s="183"/>
      <c r="AJ4668" s="183"/>
      <c r="AK4668" s="183"/>
      <c r="AL4668" s="183"/>
      <c r="AM4668" s="183"/>
      <c r="AN4668" s="131"/>
      <c r="AO4668" s="131"/>
      <c r="AP4668" s="131"/>
      <c r="AQ4668" s="131"/>
      <c r="AR4668" s="288"/>
      <c r="AS4668" s="259"/>
      <c r="AT4668" s="183"/>
      <c r="AV4668" s="6" t="str">
        <f t="shared" si="118"/>
        <v>ERROR</v>
      </c>
    </row>
    <row r="4669" spans="1:48" ht="14.65" thickBot="1" x14ac:dyDescent="0.5">
      <c r="A4669" s="35" t="s">
        <v>820</v>
      </c>
      <c r="B4669" s="3" t="s">
        <v>4036</v>
      </c>
      <c r="C4669" s="12"/>
      <c r="D4669" s="20"/>
      <c r="E4669" s="20"/>
      <c r="F4669" s="4"/>
      <c r="G4669" s="12"/>
      <c r="H4669" s="20"/>
      <c r="J4669" s="18" t="s">
        <v>2473</v>
      </c>
      <c r="K4669" s="18" t="s">
        <v>2473</v>
      </c>
      <c r="L4669" s="18" t="s">
        <v>2334</v>
      </c>
      <c r="R4669" s="122" t="s">
        <v>3529</v>
      </c>
      <c r="S4669" s="114" t="s">
        <v>4</v>
      </c>
      <c r="T4669" s="114" t="s">
        <v>3427</v>
      </c>
      <c r="U4669" s="114" t="s">
        <v>3521</v>
      </c>
      <c r="V4669" s="114" t="s">
        <v>3530</v>
      </c>
      <c r="W4669" s="114" t="s">
        <v>3436</v>
      </c>
      <c r="X4669" s="114" t="s">
        <v>13</v>
      </c>
      <c r="Y4669" s="149"/>
      <c r="Z4669" s="183"/>
      <c r="AA4669" s="183"/>
      <c r="AB4669" s="183"/>
      <c r="AC4669" s="183"/>
      <c r="AD4669" s="183"/>
      <c r="AE4669" s="184"/>
      <c r="AF4669" s="184"/>
      <c r="AG4669" s="183"/>
      <c r="AH4669" s="183"/>
      <c r="AI4669" s="183"/>
      <c r="AJ4669" s="183"/>
      <c r="AK4669" s="183"/>
      <c r="AL4669" s="183"/>
      <c r="AM4669" s="183"/>
      <c r="AN4669" s="131"/>
      <c r="AO4669" s="131"/>
      <c r="AP4669" s="131"/>
      <c r="AQ4669" s="131"/>
      <c r="AR4669" s="288"/>
      <c r="AS4669" s="259"/>
      <c r="AT4669" s="183"/>
      <c r="AV4669" s="6" t="str">
        <f t="shared" si="118"/>
        <v>ERROR</v>
      </c>
    </row>
    <row r="4670" spans="1:48" ht="14.65" thickBot="1" x14ac:dyDescent="0.5">
      <c r="A4670" s="35" t="s">
        <v>1646</v>
      </c>
      <c r="B4670" s="3" t="s">
        <v>4039</v>
      </c>
      <c r="C4670" s="12"/>
      <c r="D4670" s="20"/>
      <c r="E4670" s="20"/>
      <c r="F4670" s="4"/>
      <c r="G4670" s="12"/>
      <c r="H4670" s="20"/>
      <c r="J4670" s="18" t="s">
        <v>2473</v>
      </c>
      <c r="K4670" s="18" t="s">
        <v>2473</v>
      </c>
      <c r="L4670" s="18" t="s">
        <v>2334</v>
      </c>
      <c r="R4670" s="122" t="s">
        <v>3529</v>
      </c>
      <c r="S4670" s="114" t="s">
        <v>4</v>
      </c>
      <c r="T4670" s="114" t="s">
        <v>1646</v>
      </c>
      <c r="U4670" s="114" t="s">
        <v>3524</v>
      </c>
      <c r="V4670" s="114" t="s">
        <v>3530</v>
      </c>
      <c r="W4670" s="114" t="s">
        <v>3436</v>
      </c>
      <c r="X4670" s="114" t="s">
        <v>13</v>
      </c>
      <c r="Y4670" s="149"/>
      <c r="Z4670" s="183"/>
      <c r="AA4670" s="183"/>
      <c r="AB4670" s="183"/>
      <c r="AC4670" s="183"/>
      <c r="AD4670" s="183"/>
      <c r="AE4670" s="184"/>
      <c r="AF4670" s="184"/>
      <c r="AG4670" s="183"/>
      <c r="AH4670" s="183"/>
      <c r="AI4670" s="183"/>
      <c r="AJ4670" s="183"/>
      <c r="AK4670" s="183"/>
      <c r="AL4670" s="183"/>
      <c r="AM4670" s="183"/>
      <c r="AN4670" s="131"/>
      <c r="AO4670" s="131"/>
      <c r="AP4670" s="131"/>
      <c r="AQ4670" s="131"/>
      <c r="AR4670" s="288"/>
      <c r="AS4670" s="259"/>
      <c r="AT4670" s="183"/>
      <c r="AV4670" s="6" t="str">
        <f t="shared" si="118"/>
        <v>OK</v>
      </c>
    </row>
    <row r="4671" spans="1:48" ht="14.65" thickBot="1" x14ac:dyDescent="0.5">
      <c r="A4671" s="35" t="s">
        <v>5</v>
      </c>
      <c r="B4671" s="3" t="s">
        <v>4038</v>
      </c>
      <c r="C4671" s="12"/>
      <c r="D4671" s="20"/>
      <c r="E4671" s="20"/>
      <c r="F4671" s="20"/>
      <c r="G4671" s="12"/>
      <c r="H4671" s="20"/>
      <c r="J4671" s="18" t="s">
        <v>2473</v>
      </c>
      <c r="K4671" s="18" t="s">
        <v>2473</v>
      </c>
      <c r="L4671" s="18" t="s">
        <v>2334</v>
      </c>
      <c r="R4671" s="122" t="s">
        <v>3529</v>
      </c>
      <c r="S4671" s="114" t="s">
        <v>4</v>
      </c>
      <c r="T4671" s="114" t="s">
        <v>5</v>
      </c>
      <c r="U4671" s="114" t="s">
        <v>3521</v>
      </c>
      <c r="V4671" s="114" t="s">
        <v>3530</v>
      </c>
      <c r="W4671" s="114" t="s">
        <v>3436</v>
      </c>
      <c r="X4671" s="114" t="s">
        <v>13</v>
      </c>
      <c r="Y4671" s="149"/>
      <c r="Z4671" s="183"/>
      <c r="AA4671" s="183"/>
      <c r="AB4671" s="183"/>
      <c r="AC4671" s="183"/>
      <c r="AD4671" s="183"/>
      <c r="AE4671" s="184"/>
      <c r="AF4671" s="184"/>
      <c r="AG4671" s="183"/>
      <c r="AH4671" s="183"/>
      <c r="AI4671" s="183"/>
      <c r="AJ4671" s="183"/>
      <c r="AK4671" s="183"/>
      <c r="AL4671" s="183"/>
      <c r="AM4671" s="183"/>
      <c r="AN4671" s="131"/>
      <c r="AO4671" s="131"/>
      <c r="AP4671" s="131"/>
      <c r="AQ4671" s="131"/>
      <c r="AR4671" s="288"/>
      <c r="AS4671" s="259"/>
      <c r="AT4671" s="183"/>
      <c r="AV4671" s="6" t="str">
        <f t="shared" si="118"/>
        <v>OK</v>
      </c>
    </row>
    <row r="4672" spans="1:48" ht="14.65" thickBot="1" x14ac:dyDescent="0.5">
      <c r="AV4672" s="6" t="str">
        <f t="shared" si="118"/>
        <v/>
      </c>
    </row>
    <row r="4673" spans="2:48" ht="24.4" thickBot="1" x14ac:dyDescent="0.5">
      <c r="B4673" s="142" t="s">
        <v>3560</v>
      </c>
      <c r="C4673" s="8" t="s">
        <v>4175</v>
      </c>
      <c r="L4673" s="18" t="s">
        <v>2334</v>
      </c>
      <c r="Q4673" s="8" t="s">
        <v>3607</v>
      </c>
      <c r="R4673" s="132" t="s">
        <v>3560</v>
      </c>
      <c r="S4673" s="134" t="s">
        <v>3608</v>
      </c>
      <c r="T4673" s="132"/>
      <c r="AV4673" s="6" t="str">
        <f t="shared" si="118"/>
        <v/>
      </c>
    </row>
    <row r="4674" spans="2:48" ht="24.5" customHeight="1" thickBot="1" x14ac:dyDescent="0.5">
      <c r="B4674" s="142" t="s">
        <v>3560</v>
      </c>
      <c r="C4674" s="8" t="s">
        <v>4175</v>
      </c>
      <c r="L4674" s="18" t="s">
        <v>2334</v>
      </c>
      <c r="R4674" s="132" t="s">
        <v>3560</v>
      </c>
      <c r="S4674" s="132" t="s">
        <v>759</v>
      </c>
      <c r="T4674" s="134" t="s">
        <v>760</v>
      </c>
      <c r="AV4674" s="6" t="str">
        <f t="shared" si="118"/>
        <v/>
      </c>
    </row>
    <row r="4675" spans="2:48" ht="24.4" thickBot="1" x14ac:dyDescent="0.5">
      <c r="B4675" s="142" t="s">
        <v>3560</v>
      </c>
      <c r="C4675" s="8" t="s">
        <v>4175</v>
      </c>
      <c r="L4675" s="18" t="s">
        <v>2334</v>
      </c>
      <c r="R4675" s="132" t="s">
        <v>3560</v>
      </c>
      <c r="S4675" s="132" t="s">
        <v>761</v>
      </c>
      <c r="T4675" s="134" t="s">
        <v>762</v>
      </c>
      <c r="AV4675" s="6" t="str">
        <f t="shared" si="118"/>
        <v/>
      </c>
    </row>
    <row r="4676" spans="2:48" ht="24.5" customHeight="1" thickBot="1" x14ac:dyDescent="0.5">
      <c r="B4676" s="142" t="s">
        <v>3560</v>
      </c>
      <c r="C4676" s="8" t="s">
        <v>4175</v>
      </c>
      <c r="L4676" s="18" t="s">
        <v>2334</v>
      </c>
      <c r="R4676" s="132" t="s">
        <v>3560</v>
      </c>
      <c r="S4676" s="132" t="s">
        <v>763</v>
      </c>
      <c r="T4676" s="134" t="s">
        <v>764</v>
      </c>
      <c r="AV4676" s="6" t="str">
        <f t="shared" si="118"/>
        <v/>
      </c>
    </row>
    <row r="4677" spans="2:48" ht="14.65" thickBot="1" x14ac:dyDescent="0.5">
      <c r="B4677" s="97"/>
      <c r="S4677" s="17"/>
      <c r="T4677" s="17"/>
      <c r="AV4677" s="6" t="str">
        <f t="shared" si="118"/>
        <v/>
      </c>
    </row>
    <row r="4678" spans="2:48" ht="24.4" thickBot="1" x14ac:dyDescent="0.5">
      <c r="B4678" s="142" t="s">
        <v>3561</v>
      </c>
      <c r="C4678" s="8" t="s">
        <v>4175</v>
      </c>
      <c r="L4678" s="18" t="s">
        <v>2334</v>
      </c>
      <c r="Q4678" s="8" t="s">
        <v>3607</v>
      </c>
      <c r="R4678" s="132" t="s">
        <v>3561</v>
      </c>
      <c r="S4678" s="97" t="s">
        <v>3609</v>
      </c>
      <c r="AV4678" s="6" t="str">
        <f t="shared" si="118"/>
        <v/>
      </c>
    </row>
    <row r="4679" spans="2:48" ht="24.4" thickBot="1" x14ac:dyDescent="0.5">
      <c r="B4679" s="142" t="s">
        <v>3561</v>
      </c>
      <c r="C4679" s="8" t="s">
        <v>4175</v>
      </c>
      <c r="L4679" s="18" t="s">
        <v>2334</v>
      </c>
      <c r="R4679" s="132" t="s">
        <v>3561</v>
      </c>
      <c r="S4679" s="133" t="s">
        <v>759</v>
      </c>
      <c r="T4679" s="66" t="s">
        <v>760</v>
      </c>
      <c r="AV4679" s="6" t="str">
        <f t="shared" si="118"/>
        <v/>
      </c>
    </row>
    <row r="4680" spans="2:48" ht="14.55" customHeight="1" thickBot="1" x14ac:dyDescent="0.5">
      <c r="B4680" s="142" t="s">
        <v>3561</v>
      </c>
      <c r="C4680" s="8" t="s">
        <v>4175</v>
      </c>
      <c r="L4680" s="18" t="s">
        <v>2334</v>
      </c>
      <c r="R4680" s="132" t="s">
        <v>3561</v>
      </c>
      <c r="S4680" s="133" t="s">
        <v>761</v>
      </c>
      <c r="T4680" s="66" t="s">
        <v>762</v>
      </c>
      <c r="AV4680" s="6" t="str">
        <f t="shared" si="118"/>
        <v/>
      </c>
    </row>
    <row r="4681" spans="2:48" ht="14.55" customHeight="1" thickBot="1" x14ac:dyDescent="0.5">
      <c r="B4681" s="142" t="s">
        <v>3561</v>
      </c>
      <c r="C4681" s="8" t="s">
        <v>4175</v>
      </c>
      <c r="L4681" s="18" t="s">
        <v>2334</v>
      </c>
      <c r="R4681" s="132" t="s">
        <v>3561</v>
      </c>
      <c r="S4681" s="133" t="s">
        <v>763</v>
      </c>
      <c r="T4681" s="66" t="s">
        <v>764</v>
      </c>
      <c r="AV4681" s="6" t="str">
        <f t="shared" si="118"/>
        <v/>
      </c>
    </row>
    <row r="4682" spans="2:48" ht="14.55" customHeight="1" thickBot="1" x14ac:dyDescent="0.5">
      <c r="B4682" s="97"/>
      <c r="S4682" s="17"/>
      <c r="T4682" s="17"/>
      <c r="AV4682" s="6" t="str">
        <f t="shared" si="118"/>
        <v/>
      </c>
    </row>
    <row r="4683" spans="2:48" ht="14.55" customHeight="1" thickBot="1" x14ac:dyDescent="0.5">
      <c r="B4683" s="142" t="s">
        <v>3562</v>
      </c>
      <c r="C4683" s="8" t="s">
        <v>4175</v>
      </c>
      <c r="L4683" s="18" t="s">
        <v>2334</v>
      </c>
      <c r="Q4683" s="8" t="s">
        <v>3607</v>
      </c>
      <c r="R4683" s="132" t="s">
        <v>3562</v>
      </c>
      <c r="S4683" s="97" t="s">
        <v>755</v>
      </c>
      <c r="AV4683" s="6" t="str">
        <f t="shared" si="118"/>
        <v/>
      </c>
    </row>
    <row r="4684" spans="2:48" ht="24.4" thickBot="1" x14ac:dyDescent="0.5">
      <c r="B4684" s="142" t="s">
        <v>3562</v>
      </c>
      <c r="C4684" s="8" t="s">
        <v>4175</v>
      </c>
      <c r="L4684" s="18" t="s">
        <v>2334</v>
      </c>
      <c r="R4684" s="132" t="s">
        <v>3562</v>
      </c>
      <c r="S4684" s="133" t="s">
        <v>3605</v>
      </c>
      <c r="T4684" s="66" t="s">
        <v>3606</v>
      </c>
      <c r="AV4684" s="6" t="str">
        <f t="shared" si="118"/>
        <v/>
      </c>
    </row>
    <row r="4685" spans="2:48" ht="14.55" customHeight="1" thickBot="1" x14ac:dyDescent="0.5">
      <c r="B4685" s="142" t="s">
        <v>3562</v>
      </c>
      <c r="C4685" s="8" t="s">
        <v>4175</v>
      </c>
      <c r="L4685" s="18" t="s">
        <v>2334</v>
      </c>
      <c r="R4685" s="132" t="s">
        <v>3562</v>
      </c>
      <c r="S4685" s="133" t="s">
        <v>767</v>
      </c>
      <c r="T4685" s="66" t="s">
        <v>768</v>
      </c>
      <c r="AV4685" s="6" t="str">
        <f t="shared" si="118"/>
        <v/>
      </c>
    </row>
    <row r="4686" spans="2:48" ht="24.4" thickBot="1" x14ac:dyDescent="0.5">
      <c r="B4686" s="142" t="s">
        <v>3562</v>
      </c>
      <c r="C4686" s="8" t="s">
        <v>4175</v>
      </c>
      <c r="L4686" s="18" t="s">
        <v>2334</v>
      </c>
      <c r="R4686" s="132" t="s">
        <v>3562</v>
      </c>
      <c r="S4686" s="133" t="s">
        <v>769</v>
      </c>
      <c r="T4686" s="66" t="s">
        <v>770</v>
      </c>
      <c r="AV4686" s="6" t="str">
        <f t="shared" si="118"/>
        <v/>
      </c>
    </row>
    <row r="4687" spans="2:48" ht="14.55" customHeight="1" thickBot="1" x14ac:dyDescent="0.5">
      <c r="B4687" s="142" t="s">
        <v>3562</v>
      </c>
      <c r="C4687" s="8" t="s">
        <v>4175</v>
      </c>
      <c r="L4687" s="18" t="s">
        <v>2334</v>
      </c>
      <c r="R4687" s="132" t="s">
        <v>3562</v>
      </c>
      <c r="S4687" s="133" t="s">
        <v>771</v>
      </c>
      <c r="T4687" s="66" t="s">
        <v>772</v>
      </c>
      <c r="AV4687" s="6" t="str">
        <f t="shared" si="118"/>
        <v/>
      </c>
    </row>
    <row r="4688" spans="2:48" ht="14.55" customHeight="1" thickBot="1" x14ac:dyDescent="0.5">
      <c r="B4688" s="142" t="s">
        <v>3562</v>
      </c>
      <c r="C4688" s="8" t="s">
        <v>4175</v>
      </c>
      <c r="L4688" s="18" t="s">
        <v>2334</v>
      </c>
      <c r="R4688" s="132" t="s">
        <v>3562</v>
      </c>
      <c r="S4688" s="133" t="s">
        <v>773</v>
      </c>
      <c r="T4688" s="66" t="s">
        <v>774</v>
      </c>
      <c r="AV4688" s="6" t="str">
        <f t="shared" si="118"/>
        <v/>
      </c>
    </row>
    <row r="4689" spans="2:48" ht="14.55" customHeight="1" thickBot="1" x14ac:dyDescent="0.5">
      <c r="B4689" s="142" t="s">
        <v>3562</v>
      </c>
      <c r="C4689" s="8" t="s">
        <v>4175</v>
      </c>
      <c r="L4689" s="18" t="s">
        <v>2334</v>
      </c>
      <c r="R4689" s="132" t="s">
        <v>3562</v>
      </c>
      <c r="S4689" s="133" t="s">
        <v>775</v>
      </c>
      <c r="T4689" s="66" t="s">
        <v>776</v>
      </c>
      <c r="AV4689" s="6" t="str">
        <f t="shared" si="118"/>
        <v/>
      </c>
    </row>
    <row r="4690" spans="2:48" ht="14.55" customHeight="1" thickBot="1" x14ac:dyDescent="0.5">
      <c r="B4690" s="142" t="s">
        <v>3562</v>
      </c>
      <c r="C4690" s="8" t="s">
        <v>4175</v>
      </c>
      <c r="L4690" s="18" t="s">
        <v>2334</v>
      </c>
      <c r="R4690" s="132" t="s">
        <v>3562</v>
      </c>
      <c r="S4690" s="133" t="s">
        <v>777</v>
      </c>
      <c r="T4690" s="66" t="s">
        <v>778</v>
      </c>
      <c r="AV4690" s="6" t="str">
        <f t="shared" si="118"/>
        <v/>
      </c>
    </row>
    <row r="4691" spans="2:48" ht="14.55" customHeight="1" thickBot="1" x14ac:dyDescent="0.5">
      <c r="B4691" s="142" t="s">
        <v>3562</v>
      </c>
      <c r="C4691" s="8" t="s">
        <v>4175</v>
      </c>
      <c r="L4691" s="18" t="s">
        <v>2334</v>
      </c>
      <c r="R4691" s="132" t="s">
        <v>3562</v>
      </c>
      <c r="S4691" s="133" t="s">
        <v>779</v>
      </c>
      <c r="T4691" s="66" t="s">
        <v>780</v>
      </c>
      <c r="AV4691" s="6" t="str">
        <f t="shared" si="118"/>
        <v/>
      </c>
    </row>
    <row r="4692" spans="2:48" ht="14.55" customHeight="1" thickBot="1" x14ac:dyDescent="0.5">
      <c r="B4692" s="142" t="s">
        <v>3562</v>
      </c>
      <c r="C4692" s="8" t="s">
        <v>4175</v>
      </c>
      <c r="L4692" s="18" t="s">
        <v>2334</v>
      </c>
      <c r="R4692" s="132" t="s">
        <v>3562</v>
      </c>
      <c r="S4692" s="133" t="s">
        <v>781</v>
      </c>
      <c r="T4692" s="66" t="s">
        <v>782</v>
      </c>
      <c r="AV4692" s="6" t="str">
        <f t="shared" si="118"/>
        <v/>
      </c>
    </row>
    <row r="4693" spans="2:48" ht="14.55" customHeight="1" thickBot="1" x14ac:dyDescent="0.5">
      <c r="B4693" s="142" t="s">
        <v>3562</v>
      </c>
      <c r="C4693" s="8" t="s">
        <v>4175</v>
      </c>
      <c r="L4693" s="18" t="s">
        <v>2334</v>
      </c>
      <c r="R4693" s="132" t="s">
        <v>3562</v>
      </c>
      <c r="S4693" s="133" t="s">
        <v>783</v>
      </c>
      <c r="T4693" s="66" t="s">
        <v>784</v>
      </c>
      <c r="AV4693" s="6" t="str">
        <f t="shared" si="118"/>
        <v/>
      </c>
    </row>
    <row r="4694" spans="2:48" ht="14.55" customHeight="1" thickBot="1" x14ac:dyDescent="0.5">
      <c r="B4694" s="142" t="s">
        <v>3562</v>
      </c>
      <c r="C4694" s="8" t="s">
        <v>4175</v>
      </c>
      <c r="L4694" s="18" t="s">
        <v>2334</v>
      </c>
      <c r="R4694" s="132" t="s">
        <v>3562</v>
      </c>
      <c r="S4694" s="133" t="s">
        <v>785</v>
      </c>
      <c r="T4694" s="66" t="s">
        <v>786</v>
      </c>
      <c r="AV4694" s="6" t="str">
        <f t="shared" si="118"/>
        <v/>
      </c>
    </row>
    <row r="4695" spans="2:48" ht="24.4" thickBot="1" x14ac:dyDescent="0.5">
      <c r="B4695" s="142" t="s">
        <v>3562</v>
      </c>
      <c r="C4695" s="8" t="s">
        <v>4175</v>
      </c>
      <c r="L4695" s="18" t="s">
        <v>2334</v>
      </c>
      <c r="R4695" s="132" t="s">
        <v>3562</v>
      </c>
      <c r="S4695" s="133" t="s">
        <v>787</v>
      </c>
      <c r="T4695" s="66" t="s">
        <v>788</v>
      </c>
      <c r="AV4695" s="6" t="str">
        <f t="shared" si="118"/>
        <v/>
      </c>
    </row>
    <row r="4696" spans="2:48" ht="24.4" thickBot="1" x14ac:dyDescent="0.5">
      <c r="B4696" s="142" t="s">
        <v>3562</v>
      </c>
      <c r="C4696" s="8" t="s">
        <v>4175</v>
      </c>
      <c r="L4696" s="18" t="s">
        <v>2334</v>
      </c>
      <c r="R4696" s="132" t="s">
        <v>3562</v>
      </c>
      <c r="S4696" s="133" t="s">
        <v>783</v>
      </c>
      <c r="T4696" s="66" t="s">
        <v>784</v>
      </c>
      <c r="AV4696" s="6" t="str">
        <f t="shared" si="118"/>
        <v/>
      </c>
    </row>
    <row r="4697" spans="2:48" ht="24.4" thickBot="1" x14ac:dyDescent="0.5">
      <c r="B4697" s="142" t="s">
        <v>3562</v>
      </c>
      <c r="C4697" s="8" t="s">
        <v>4175</v>
      </c>
      <c r="L4697" s="18" t="s">
        <v>2334</v>
      </c>
      <c r="R4697" s="132" t="s">
        <v>3562</v>
      </c>
      <c r="S4697" s="133" t="s">
        <v>785</v>
      </c>
      <c r="T4697" s="66" t="s">
        <v>786</v>
      </c>
      <c r="AV4697" s="6" t="str">
        <f t="shared" si="118"/>
        <v/>
      </c>
    </row>
    <row r="4698" spans="2:48" ht="24.4" thickBot="1" x14ac:dyDescent="0.5">
      <c r="B4698" s="142" t="s">
        <v>3562</v>
      </c>
      <c r="C4698" s="8" t="s">
        <v>4175</v>
      </c>
      <c r="L4698" s="18" t="s">
        <v>2334</v>
      </c>
      <c r="R4698" s="132" t="s">
        <v>3562</v>
      </c>
      <c r="S4698" s="133" t="s">
        <v>787</v>
      </c>
      <c r="T4698" s="66" t="s">
        <v>788</v>
      </c>
      <c r="AV4698" s="6" t="str">
        <f t="shared" si="118"/>
        <v/>
      </c>
    </row>
    <row r="4699" spans="2:48" x14ac:dyDescent="0.45">
      <c r="B4699" s="97"/>
      <c r="AV4699" s="6" t="str">
        <f t="shared" si="118"/>
        <v/>
      </c>
    </row>
    <row r="4700" spans="2:48" x14ac:dyDescent="0.45">
      <c r="B4700" s="97"/>
      <c r="AV4700" s="6" t="str">
        <f t="shared" si="118"/>
        <v/>
      </c>
    </row>
    <row r="4701" spans="2:48" ht="35.65" x14ac:dyDescent="0.45">
      <c r="B4701" s="143" t="s">
        <v>3843</v>
      </c>
      <c r="C4701" s="8" t="s">
        <v>4175</v>
      </c>
      <c r="Q4701" s="8" t="s">
        <v>3607</v>
      </c>
      <c r="R4701" s="121" t="s">
        <v>3843</v>
      </c>
      <c r="S4701" s="137" t="s">
        <v>2065</v>
      </c>
      <c r="T4701" s="137"/>
      <c r="AU4701" s="202" t="s">
        <v>4293</v>
      </c>
      <c r="AV4701" s="6" t="str">
        <f t="shared" si="118"/>
        <v/>
      </c>
    </row>
    <row r="4702" spans="2:48" ht="35.65" x14ac:dyDescent="0.45">
      <c r="B4702" s="143" t="s">
        <v>3843</v>
      </c>
      <c r="C4702" s="8" t="s">
        <v>4175</v>
      </c>
      <c r="R4702" s="121" t="s">
        <v>3843</v>
      </c>
      <c r="S4702" s="137" t="s">
        <v>3844</v>
      </c>
      <c r="T4702" s="137" t="s">
        <v>3845</v>
      </c>
      <c r="AU4702" s="202" t="s">
        <v>4293</v>
      </c>
      <c r="AV4702" s="6" t="str">
        <f t="shared" si="118"/>
        <v/>
      </c>
    </row>
    <row r="4703" spans="2:48" ht="35.65" x14ac:dyDescent="0.45">
      <c r="B4703" s="143" t="s">
        <v>3843</v>
      </c>
      <c r="C4703" s="8" t="s">
        <v>4175</v>
      </c>
      <c r="R4703" s="121" t="s">
        <v>3843</v>
      </c>
      <c r="S4703" s="137" t="s">
        <v>3846</v>
      </c>
      <c r="T4703" s="137" t="s">
        <v>3847</v>
      </c>
      <c r="AU4703" s="202" t="s">
        <v>4293</v>
      </c>
      <c r="AV4703" s="6" t="str">
        <f t="shared" si="118"/>
        <v/>
      </c>
    </row>
    <row r="4704" spans="2:48" ht="35.65" x14ac:dyDescent="0.45">
      <c r="B4704" s="143" t="s">
        <v>3843</v>
      </c>
      <c r="C4704" s="8" t="s">
        <v>4175</v>
      </c>
      <c r="R4704" s="121" t="s">
        <v>3843</v>
      </c>
      <c r="S4704" s="137" t="s">
        <v>3848</v>
      </c>
      <c r="T4704" s="137" t="s">
        <v>3849</v>
      </c>
      <c r="AU4704" s="202" t="s">
        <v>4293</v>
      </c>
      <c r="AV4704" s="6" t="str">
        <f t="shared" si="118"/>
        <v/>
      </c>
    </row>
    <row r="4705" spans="2:48" ht="35.65" x14ac:dyDescent="0.45">
      <c r="B4705" s="143" t="s">
        <v>3843</v>
      </c>
      <c r="C4705" s="8" t="s">
        <v>4175</v>
      </c>
      <c r="R4705" s="121" t="s">
        <v>3843</v>
      </c>
      <c r="S4705" s="137" t="s">
        <v>753</v>
      </c>
      <c r="T4705" s="137" t="s">
        <v>3850</v>
      </c>
      <c r="AU4705" s="202" t="s">
        <v>4293</v>
      </c>
      <c r="AV4705" s="6" t="str">
        <f t="shared" si="118"/>
        <v/>
      </c>
    </row>
    <row r="4706" spans="2:48" x14ac:dyDescent="0.45">
      <c r="B4706" s="143" t="s">
        <v>3843</v>
      </c>
      <c r="S4706" s="136"/>
      <c r="T4706" s="136"/>
      <c r="AV4706" s="6" t="str">
        <f t="shared" si="118"/>
        <v/>
      </c>
    </row>
    <row r="4707" spans="2:48" ht="35.65" x14ac:dyDescent="0.45">
      <c r="B4707" s="143" t="s">
        <v>3843</v>
      </c>
      <c r="C4707" s="8" t="s">
        <v>4175</v>
      </c>
      <c r="L4707" s="18" t="s">
        <v>2334</v>
      </c>
      <c r="Q4707" s="8" t="s">
        <v>3607</v>
      </c>
      <c r="R4707" s="121" t="s">
        <v>3958</v>
      </c>
      <c r="S4707" s="137" t="s">
        <v>2109</v>
      </c>
      <c r="T4707" s="137"/>
      <c r="AV4707" s="6" t="str">
        <f t="shared" si="118"/>
        <v/>
      </c>
    </row>
    <row r="4708" spans="2:48" ht="35.65" x14ac:dyDescent="0.45">
      <c r="B4708" s="143" t="s">
        <v>3843</v>
      </c>
      <c r="C4708" s="8" t="s">
        <v>4175</v>
      </c>
      <c r="L4708" s="18" t="s">
        <v>2334</v>
      </c>
      <c r="R4708" s="121" t="s">
        <v>3958</v>
      </c>
      <c r="S4708" s="137" t="s">
        <v>3851</v>
      </c>
      <c r="T4708" s="137" t="s">
        <v>3852</v>
      </c>
      <c r="AV4708" s="6" t="str">
        <f t="shared" si="118"/>
        <v/>
      </c>
    </row>
    <row r="4709" spans="2:48" ht="35.65" x14ac:dyDescent="0.45">
      <c r="B4709" s="143" t="s">
        <v>3843</v>
      </c>
      <c r="C4709" s="8" t="s">
        <v>4175</v>
      </c>
      <c r="L4709" s="18" t="s">
        <v>2334</v>
      </c>
      <c r="R4709" s="121" t="s">
        <v>3958</v>
      </c>
      <c r="S4709" s="137" t="s">
        <v>3853</v>
      </c>
      <c r="T4709" s="137" t="s">
        <v>3854</v>
      </c>
      <c r="AV4709" s="6" t="str">
        <f t="shared" si="118"/>
        <v/>
      </c>
    </row>
    <row r="4710" spans="2:48" ht="35.65" x14ac:dyDescent="0.45">
      <c r="B4710" s="143" t="s">
        <v>3843</v>
      </c>
      <c r="C4710" s="8" t="s">
        <v>4175</v>
      </c>
      <c r="L4710" s="18" t="s">
        <v>2334</v>
      </c>
      <c r="R4710" s="121" t="s">
        <v>3958</v>
      </c>
      <c r="S4710" s="137" t="s">
        <v>3855</v>
      </c>
      <c r="T4710" s="137" t="s">
        <v>3856</v>
      </c>
      <c r="AV4710" s="6" t="str">
        <f t="shared" si="118"/>
        <v/>
      </c>
    </row>
    <row r="4711" spans="2:48" ht="35.65" x14ac:dyDescent="0.45">
      <c r="B4711" s="143" t="s">
        <v>3843</v>
      </c>
      <c r="C4711" s="8" t="s">
        <v>4175</v>
      </c>
      <c r="L4711" s="18" t="s">
        <v>2334</v>
      </c>
      <c r="R4711" s="121" t="s">
        <v>3958</v>
      </c>
      <c r="S4711" s="137" t="s">
        <v>3857</v>
      </c>
      <c r="T4711" s="137" t="s">
        <v>3858</v>
      </c>
      <c r="AV4711" s="6" t="str">
        <f t="shared" si="118"/>
        <v/>
      </c>
    </row>
    <row r="4712" spans="2:48" ht="35.65" x14ac:dyDescent="0.45">
      <c r="B4712" s="143" t="s">
        <v>3843</v>
      </c>
      <c r="C4712" s="8" t="s">
        <v>4175</v>
      </c>
      <c r="L4712" s="18" t="s">
        <v>2334</v>
      </c>
      <c r="R4712" s="121" t="s">
        <v>3958</v>
      </c>
      <c r="S4712" s="137" t="s">
        <v>3859</v>
      </c>
      <c r="T4712" s="137" t="s">
        <v>3860</v>
      </c>
      <c r="AV4712" s="6" t="str">
        <f t="shared" si="118"/>
        <v/>
      </c>
    </row>
    <row r="4713" spans="2:48" ht="35.65" x14ac:dyDescent="0.45">
      <c r="B4713" s="143" t="s">
        <v>3843</v>
      </c>
      <c r="C4713" s="8" t="s">
        <v>4175</v>
      </c>
      <c r="L4713" s="18" t="s">
        <v>2334</v>
      </c>
      <c r="R4713" s="121" t="s">
        <v>3958</v>
      </c>
      <c r="S4713" s="137" t="s">
        <v>3861</v>
      </c>
      <c r="T4713" s="137" t="s">
        <v>3862</v>
      </c>
      <c r="AV4713" s="6" t="str">
        <f t="shared" si="118"/>
        <v/>
      </c>
    </row>
    <row r="4714" spans="2:48" ht="35.65" x14ac:dyDescent="0.45">
      <c r="B4714" s="143" t="s">
        <v>3843</v>
      </c>
      <c r="C4714" s="8" t="s">
        <v>4175</v>
      </c>
      <c r="L4714" s="18" t="s">
        <v>2334</v>
      </c>
      <c r="R4714" s="121" t="s">
        <v>3958</v>
      </c>
      <c r="S4714" s="137" t="s">
        <v>3863</v>
      </c>
      <c r="T4714" s="137" t="s">
        <v>3864</v>
      </c>
      <c r="AV4714" s="6" t="str">
        <f t="shared" si="118"/>
        <v/>
      </c>
    </row>
    <row r="4715" spans="2:48" ht="35.65" x14ac:dyDescent="0.45">
      <c r="B4715" s="143" t="s">
        <v>3843</v>
      </c>
      <c r="C4715" s="8" t="s">
        <v>4175</v>
      </c>
      <c r="L4715" s="18" t="s">
        <v>2334</v>
      </c>
      <c r="R4715" s="121" t="s">
        <v>3958</v>
      </c>
      <c r="S4715" s="137" t="s">
        <v>3865</v>
      </c>
      <c r="T4715" s="137" t="s">
        <v>3866</v>
      </c>
      <c r="AV4715" s="6" t="str">
        <f t="shared" si="118"/>
        <v/>
      </c>
    </row>
    <row r="4716" spans="2:48" ht="35.65" x14ac:dyDescent="0.45">
      <c r="B4716" s="143" t="s">
        <v>3843</v>
      </c>
      <c r="C4716" s="8" t="s">
        <v>4175</v>
      </c>
      <c r="L4716" s="18" t="s">
        <v>2334</v>
      </c>
      <c r="R4716" s="121" t="s">
        <v>3958</v>
      </c>
      <c r="S4716" s="137" t="s">
        <v>3867</v>
      </c>
      <c r="T4716" s="137" t="s">
        <v>3868</v>
      </c>
      <c r="AV4716" s="6" t="str">
        <f t="shared" si="118"/>
        <v/>
      </c>
    </row>
    <row r="4717" spans="2:48" x14ac:dyDescent="0.45">
      <c r="B4717" s="143" t="s">
        <v>3843</v>
      </c>
      <c r="S4717" s="136"/>
      <c r="T4717" s="136"/>
      <c r="AV4717" s="6" t="str">
        <f t="shared" si="118"/>
        <v/>
      </c>
    </row>
    <row r="4718" spans="2:48" ht="35.65" x14ac:dyDescent="0.45">
      <c r="B4718" s="143" t="s">
        <v>3843</v>
      </c>
      <c r="C4718" s="8" t="s">
        <v>4175</v>
      </c>
      <c r="L4718" s="18" t="s">
        <v>2334</v>
      </c>
      <c r="Q4718" s="8" t="s">
        <v>3607</v>
      </c>
      <c r="R4718" s="121" t="s">
        <v>3956</v>
      </c>
      <c r="S4718" s="137" t="s">
        <v>2139</v>
      </c>
      <c r="T4718" s="137"/>
      <c r="AV4718" s="6" t="str">
        <f t="shared" si="118"/>
        <v/>
      </c>
    </row>
    <row r="4719" spans="2:48" ht="35.65" x14ac:dyDescent="0.45">
      <c r="B4719" s="143" t="s">
        <v>3843</v>
      </c>
      <c r="C4719" s="8" t="s">
        <v>4175</v>
      </c>
      <c r="L4719" s="18" t="s">
        <v>2334</v>
      </c>
      <c r="R4719" s="121" t="s">
        <v>3956</v>
      </c>
      <c r="S4719" s="137" t="s">
        <v>3869</v>
      </c>
      <c r="T4719" s="137" t="s">
        <v>3870</v>
      </c>
      <c r="AV4719" s="6" t="str">
        <f t="shared" ref="AV4719:AV4782" si="119">IF(A4719&lt;&gt;"",IF(T4719&lt;&gt;"",IF(LEFT(R4719,3)="Has",IF(TRIM(A4719)&lt;&gt;T4719,"ERROR","OK"),""),""),"")</f>
        <v/>
      </c>
    </row>
    <row r="4720" spans="2:48" ht="35.65" x14ac:dyDescent="0.45">
      <c r="B4720" s="143" t="s">
        <v>3843</v>
      </c>
      <c r="C4720" s="8" t="s">
        <v>4175</v>
      </c>
      <c r="L4720" s="18" t="s">
        <v>2334</v>
      </c>
      <c r="R4720" s="121" t="s">
        <v>3956</v>
      </c>
      <c r="S4720" s="137" t="s">
        <v>3871</v>
      </c>
      <c r="T4720" s="137" t="s">
        <v>3872</v>
      </c>
      <c r="AV4720" s="6" t="str">
        <f t="shared" si="119"/>
        <v/>
      </c>
    </row>
    <row r="4721" spans="2:48" ht="35.65" x14ac:dyDescent="0.45">
      <c r="B4721" s="143" t="s">
        <v>3843</v>
      </c>
      <c r="C4721" s="8" t="s">
        <v>4175</v>
      </c>
      <c r="L4721" s="18" t="s">
        <v>2334</v>
      </c>
      <c r="R4721" s="121" t="s">
        <v>3956</v>
      </c>
      <c r="S4721" s="137" t="s">
        <v>3873</v>
      </c>
      <c r="T4721" s="137" t="s">
        <v>3874</v>
      </c>
      <c r="AV4721" s="6" t="str">
        <f t="shared" si="119"/>
        <v/>
      </c>
    </row>
    <row r="4722" spans="2:48" ht="35.65" x14ac:dyDescent="0.45">
      <c r="B4722" s="143" t="s">
        <v>3843</v>
      </c>
      <c r="C4722" s="8" t="s">
        <v>4175</v>
      </c>
      <c r="L4722" s="18" t="s">
        <v>2334</v>
      </c>
      <c r="R4722" s="121" t="s">
        <v>3956</v>
      </c>
      <c r="S4722" s="137" t="s">
        <v>3875</v>
      </c>
      <c r="T4722" s="137" t="s">
        <v>3876</v>
      </c>
      <c r="AV4722" s="6" t="str">
        <f t="shared" si="119"/>
        <v/>
      </c>
    </row>
    <row r="4723" spans="2:48" ht="35.65" x14ac:dyDescent="0.45">
      <c r="B4723" s="143" t="s">
        <v>3843</v>
      </c>
      <c r="C4723" s="8" t="s">
        <v>4175</v>
      </c>
      <c r="L4723" s="18" t="s">
        <v>2334</v>
      </c>
      <c r="R4723" s="121" t="s">
        <v>3956</v>
      </c>
      <c r="S4723" s="137" t="s">
        <v>3877</v>
      </c>
      <c r="T4723" s="137" t="s">
        <v>3878</v>
      </c>
      <c r="AV4723" s="6" t="str">
        <f t="shared" si="119"/>
        <v/>
      </c>
    </row>
    <row r="4724" spans="2:48" ht="35.65" x14ac:dyDescent="0.45">
      <c r="B4724" s="143" t="s">
        <v>3843</v>
      </c>
      <c r="C4724" s="8" t="s">
        <v>4175</v>
      </c>
      <c r="L4724" s="18" t="s">
        <v>2334</v>
      </c>
      <c r="R4724" s="121" t="s">
        <v>3956</v>
      </c>
      <c r="S4724" s="137" t="s">
        <v>3879</v>
      </c>
      <c r="T4724" s="137" t="s">
        <v>3880</v>
      </c>
      <c r="AV4724" s="6" t="str">
        <f t="shared" si="119"/>
        <v/>
      </c>
    </row>
    <row r="4725" spans="2:48" ht="35.65" x14ac:dyDescent="0.45">
      <c r="B4725" s="143" t="s">
        <v>3843</v>
      </c>
      <c r="C4725" s="8" t="s">
        <v>4175</v>
      </c>
      <c r="L4725" s="18" t="s">
        <v>2334</v>
      </c>
      <c r="R4725" s="121" t="s">
        <v>3956</v>
      </c>
      <c r="S4725" s="137" t="s">
        <v>3881</v>
      </c>
      <c r="T4725" s="137" t="s">
        <v>3882</v>
      </c>
      <c r="AV4725" s="6" t="str">
        <f t="shared" si="119"/>
        <v/>
      </c>
    </row>
    <row r="4726" spans="2:48" ht="35.65" x14ac:dyDescent="0.45">
      <c r="B4726" s="143" t="s">
        <v>3843</v>
      </c>
      <c r="C4726" s="8" t="s">
        <v>4175</v>
      </c>
      <c r="L4726" s="18" t="s">
        <v>2334</v>
      </c>
      <c r="R4726" s="121" t="s">
        <v>3956</v>
      </c>
      <c r="S4726" s="137" t="s">
        <v>3883</v>
      </c>
      <c r="T4726" s="137" t="s">
        <v>3884</v>
      </c>
      <c r="AV4726" s="6" t="str">
        <f t="shared" si="119"/>
        <v/>
      </c>
    </row>
    <row r="4727" spans="2:48" ht="35.65" x14ac:dyDescent="0.45">
      <c r="B4727" s="143" t="s">
        <v>3843</v>
      </c>
      <c r="C4727" s="8" t="s">
        <v>4175</v>
      </c>
      <c r="L4727" s="18" t="s">
        <v>2334</v>
      </c>
      <c r="R4727" s="121" t="s">
        <v>3956</v>
      </c>
      <c r="S4727" s="137" t="s">
        <v>3885</v>
      </c>
      <c r="T4727" s="137" t="s">
        <v>3886</v>
      </c>
      <c r="AV4727" s="6" t="str">
        <f t="shared" si="119"/>
        <v/>
      </c>
    </row>
    <row r="4728" spans="2:48" ht="35.65" x14ac:dyDescent="0.45">
      <c r="B4728" s="143" t="s">
        <v>3843</v>
      </c>
      <c r="C4728" s="8" t="s">
        <v>4175</v>
      </c>
      <c r="L4728" s="18" t="s">
        <v>2334</v>
      </c>
      <c r="R4728" s="121" t="s">
        <v>3956</v>
      </c>
      <c r="S4728" s="137" t="s">
        <v>960</v>
      </c>
      <c r="T4728" s="137" t="s">
        <v>3887</v>
      </c>
      <c r="AV4728" s="6" t="str">
        <f t="shared" si="119"/>
        <v/>
      </c>
    </row>
    <row r="4729" spans="2:48" ht="35.65" x14ac:dyDescent="0.45">
      <c r="B4729" s="143" t="s">
        <v>3843</v>
      </c>
      <c r="C4729" s="8" t="s">
        <v>4175</v>
      </c>
      <c r="L4729" s="18" t="s">
        <v>2334</v>
      </c>
      <c r="R4729" s="121" t="s">
        <v>3956</v>
      </c>
      <c r="S4729" s="137" t="s">
        <v>3888</v>
      </c>
      <c r="T4729" s="137" t="s">
        <v>3889</v>
      </c>
      <c r="AV4729" s="6" t="str">
        <f t="shared" si="119"/>
        <v/>
      </c>
    </row>
    <row r="4730" spans="2:48" ht="35.65" x14ac:dyDescent="0.45">
      <c r="B4730" s="143" t="s">
        <v>3843</v>
      </c>
      <c r="C4730" s="8" t="s">
        <v>4175</v>
      </c>
      <c r="L4730" s="18" t="s">
        <v>2334</v>
      </c>
      <c r="R4730" s="121" t="s">
        <v>3956</v>
      </c>
      <c r="S4730" s="137" t="s">
        <v>3890</v>
      </c>
      <c r="T4730" s="137" t="s">
        <v>3891</v>
      </c>
      <c r="AV4730" s="6" t="str">
        <f t="shared" si="119"/>
        <v/>
      </c>
    </row>
    <row r="4731" spans="2:48" ht="35.65" x14ac:dyDescent="0.45">
      <c r="B4731" s="143" t="s">
        <v>3843</v>
      </c>
      <c r="C4731" s="8" t="s">
        <v>4175</v>
      </c>
      <c r="L4731" s="18" t="s">
        <v>2334</v>
      </c>
      <c r="R4731" s="121" t="s">
        <v>3956</v>
      </c>
      <c r="S4731" s="137" t="s">
        <v>3892</v>
      </c>
      <c r="T4731" s="137" t="s">
        <v>3893</v>
      </c>
      <c r="AV4731" s="6" t="str">
        <f t="shared" si="119"/>
        <v/>
      </c>
    </row>
    <row r="4732" spans="2:48" ht="35.65" x14ac:dyDescent="0.45">
      <c r="B4732" s="143" t="s">
        <v>3843</v>
      </c>
      <c r="C4732" s="8" t="s">
        <v>4175</v>
      </c>
      <c r="L4732" s="18" t="s">
        <v>2334</v>
      </c>
      <c r="R4732" s="121" t="s">
        <v>3956</v>
      </c>
      <c r="S4732" s="137" t="s">
        <v>3894</v>
      </c>
      <c r="T4732" s="137" t="s">
        <v>3895</v>
      </c>
      <c r="AV4732" s="6" t="str">
        <f t="shared" si="119"/>
        <v/>
      </c>
    </row>
    <row r="4733" spans="2:48" ht="35.65" x14ac:dyDescent="0.45">
      <c r="B4733" s="143" t="s">
        <v>3843</v>
      </c>
      <c r="C4733" s="8" t="s">
        <v>4175</v>
      </c>
      <c r="L4733" s="18" t="s">
        <v>2334</v>
      </c>
      <c r="R4733" s="121" t="s">
        <v>3956</v>
      </c>
      <c r="S4733" s="137" t="s">
        <v>3896</v>
      </c>
      <c r="T4733" s="137" t="s">
        <v>3897</v>
      </c>
      <c r="AV4733" s="6" t="str">
        <f t="shared" si="119"/>
        <v/>
      </c>
    </row>
    <row r="4734" spans="2:48" ht="35.65" x14ac:dyDescent="0.45">
      <c r="B4734" s="143" t="s">
        <v>3843</v>
      </c>
      <c r="C4734" s="8" t="s">
        <v>4175</v>
      </c>
      <c r="L4734" s="18" t="s">
        <v>2334</v>
      </c>
      <c r="R4734" s="121" t="s">
        <v>3956</v>
      </c>
      <c r="S4734" s="137" t="s">
        <v>3898</v>
      </c>
      <c r="T4734" s="137" t="s">
        <v>3899</v>
      </c>
      <c r="AV4734" s="6" t="str">
        <f t="shared" si="119"/>
        <v/>
      </c>
    </row>
    <row r="4735" spans="2:48" ht="35.65" x14ac:dyDescent="0.45">
      <c r="B4735" s="143" t="s">
        <v>3843</v>
      </c>
      <c r="C4735" s="8" t="s">
        <v>4175</v>
      </c>
      <c r="L4735" s="18" t="s">
        <v>2334</v>
      </c>
      <c r="R4735" s="121" t="s">
        <v>3956</v>
      </c>
      <c r="S4735" s="137" t="s">
        <v>3900</v>
      </c>
      <c r="T4735" s="137" t="s">
        <v>3901</v>
      </c>
      <c r="AV4735" s="6" t="str">
        <f t="shared" si="119"/>
        <v/>
      </c>
    </row>
    <row r="4736" spans="2:48" ht="35.65" x14ac:dyDescent="0.45">
      <c r="B4736" s="143" t="s">
        <v>3843</v>
      </c>
      <c r="C4736" s="8" t="s">
        <v>4175</v>
      </c>
      <c r="L4736" s="18" t="s">
        <v>2334</v>
      </c>
      <c r="R4736" s="121" t="s">
        <v>3956</v>
      </c>
      <c r="S4736" s="137" t="s">
        <v>3902</v>
      </c>
      <c r="T4736" s="137" t="s">
        <v>3903</v>
      </c>
      <c r="AV4736" s="6" t="str">
        <f t="shared" si="119"/>
        <v/>
      </c>
    </row>
    <row r="4737" spans="2:48" ht="35.65" x14ac:dyDescent="0.45">
      <c r="B4737" s="143" t="s">
        <v>3843</v>
      </c>
      <c r="C4737" s="8" t="s">
        <v>4175</v>
      </c>
      <c r="L4737" s="18" t="s">
        <v>2334</v>
      </c>
      <c r="R4737" s="121" t="s">
        <v>3956</v>
      </c>
      <c r="S4737" s="137" t="s">
        <v>3124</v>
      </c>
      <c r="T4737" s="137" t="s">
        <v>3904</v>
      </c>
      <c r="AV4737" s="6" t="str">
        <f t="shared" si="119"/>
        <v/>
      </c>
    </row>
    <row r="4738" spans="2:48" ht="35.65" x14ac:dyDescent="0.45">
      <c r="B4738" s="143" t="s">
        <v>3843</v>
      </c>
      <c r="C4738" s="8" t="s">
        <v>4175</v>
      </c>
      <c r="L4738" s="18" t="s">
        <v>2334</v>
      </c>
      <c r="R4738" s="121" t="s">
        <v>3956</v>
      </c>
      <c r="S4738" s="137" t="s">
        <v>3905</v>
      </c>
      <c r="T4738" s="137" t="s">
        <v>3906</v>
      </c>
      <c r="AV4738" s="6" t="str">
        <f t="shared" si="119"/>
        <v/>
      </c>
    </row>
    <row r="4739" spans="2:48" ht="35.65" x14ac:dyDescent="0.45">
      <c r="B4739" s="143" t="s">
        <v>3843</v>
      </c>
      <c r="C4739" s="8" t="s">
        <v>4175</v>
      </c>
      <c r="L4739" s="18" t="s">
        <v>2334</v>
      </c>
      <c r="R4739" s="121" t="s">
        <v>3956</v>
      </c>
      <c r="S4739" s="137" t="s">
        <v>3907</v>
      </c>
      <c r="T4739" s="137" t="s">
        <v>3908</v>
      </c>
      <c r="AV4739" s="6" t="str">
        <f t="shared" si="119"/>
        <v/>
      </c>
    </row>
    <row r="4740" spans="2:48" ht="35.65" x14ac:dyDescent="0.45">
      <c r="B4740" s="143" t="s">
        <v>3843</v>
      </c>
      <c r="C4740" s="8" t="s">
        <v>4175</v>
      </c>
      <c r="L4740" s="18" t="s">
        <v>2334</v>
      </c>
      <c r="R4740" s="121" t="s">
        <v>3956</v>
      </c>
      <c r="S4740" s="137" t="s">
        <v>3909</v>
      </c>
      <c r="T4740" s="137" t="s">
        <v>3910</v>
      </c>
      <c r="AV4740" s="6" t="str">
        <f t="shared" si="119"/>
        <v/>
      </c>
    </row>
    <row r="4741" spans="2:48" ht="35.65" x14ac:dyDescent="0.45">
      <c r="B4741" s="143" t="s">
        <v>3843</v>
      </c>
      <c r="C4741" s="8" t="s">
        <v>4175</v>
      </c>
      <c r="L4741" s="18" t="s">
        <v>2334</v>
      </c>
      <c r="R4741" s="121" t="s">
        <v>3956</v>
      </c>
      <c r="S4741" s="137" t="s">
        <v>3911</v>
      </c>
      <c r="T4741" s="137" t="s">
        <v>3912</v>
      </c>
      <c r="AV4741" s="6" t="str">
        <f t="shared" si="119"/>
        <v/>
      </c>
    </row>
    <row r="4742" spans="2:48" ht="35.65" x14ac:dyDescent="0.45">
      <c r="B4742" s="143" t="s">
        <v>3843</v>
      </c>
      <c r="C4742" s="8" t="s">
        <v>4175</v>
      </c>
      <c r="L4742" s="18" t="s">
        <v>2334</v>
      </c>
      <c r="R4742" s="121" t="s">
        <v>3956</v>
      </c>
      <c r="S4742" s="137" t="s">
        <v>3913</v>
      </c>
      <c r="T4742" s="137" t="s">
        <v>3914</v>
      </c>
      <c r="AV4742" s="6" t="str">
        <f t="shared" si="119"/>
        <v/>
      </c>
    </row>
    <row r="4743" spans="2:48" ht="35.65" x14ac:dyDescent="0.45">
      <c r="B4743" s="143" t="s">
        <v>3843</v>
      </c>
      <c r="C4743" s="8" t="s">
        <v>4175</v>
      </c>
      <c r="L4743" s="18" t="s">
        <v>2334</v>
      </c>
      <c r="R4743" s="121" t="s">
        <v>3956</v>
      </c>
      <c r="S4743" s="137" t="s">
        <v>3915</v>
      </c>
      <c r="T4743" s="137" t="s">
        <v>3916</v>
      </c>
      <c r="AV4743" s="6" t="str">
        <f t="shared" si="119"/>
        <v/>
      </c>
    </row>
    <row r="4744" spans="2:48" ht="35.65" x14ac:dyDescent="0.45">
      <c r="B4744" s="143" t="s">
        <v>3843</v>
      </c>
      <c r="C4744" s="8" t="s">
        <v>4175</v>
      </c>
      <c r="L4744" s="18" t="s">
        <v>2334</v>
      </c>
      <c r="R4744" s="121" t="s">
        <v>3956</v>
      </c>
      <c r="S4744" s="137" t="s">
        <v>3917</v>
      </c>
      <c r="T4744" s="137" t="s">
        <v>3918</v>
      </c>
      <c r="AV4744" s="6" t="str">
        <f t="shared" si="119"/>
        <v/>
      </c>
    </row>
    <row r="4745" spans="2:48" ht="35.65" x14ac:dyDescent="0.45">
      <c r="B4745" s="143" t="s">
        <v>3843</v>
      </c>
      <c r="C4745" s="8" t="s">
        <v>4175</v>
      </c>
      <c r="L4745" s="18" t="s">
        <v>2334</v>
      </c>
      <c r="R4745" s="121" t="s">
        <v>3956</v>
      </c>
      <c r="S4745" s="137" t="s">
        <v>101</v>
      </c>
      <c r="T4745" s="137" t="s">
        <v>3919</v>
      </c>
      <c r="AV4745" s="6" t="str">
        <f t="shared" si="119"/>
        <v/>
      </c>
    </row>
    <row r="4746" spans="2:48" ht="35.65" x14ac:dyDescent="0.45">
      <c r="B4746" s="143" t="s">
        <v>3843</v>
      </c>
      <c r="C4746" s="8" t="s">
        <v>4175</v>
      </c>
      <c r="L4746" s="18" t="s">
        <v>2334</v>
      </c>
      <c r="R4746" s="121" t="s">
        <v>3956</v>
      </c>
      <c r="S4746" s="137" t="s">
        <v>3920</v>
      </c>
      <c r="T4746" s="137" t="s">
        <v>3921</v>
      </c>
      <c r="AV4746" s="6" t="str">
        <f t="shared" si="119"/>
        <v/>
      </c>
    </row>
    <row r="4747" spans="2:48" ht="35.65" x14ac:dyDescent="0.45">
      <c r="B4747" s="143" t="s">
        <v>3843</v>
      </c>
      <c r="C4747" s="8" t="s">
        <v>4175</v>
      </c>
      <c r="L4747" s="18" t="s">
        <v>2334</v>
      </c>
      <c r="R4747" s="121" t="s">
        <v>3956</v>
      </c>
      <c r="S4747" s="137" t="s">
        <v>3922</v>
      </c>
      <c r="T4747" s="137" t="s">
        <v>3923</v>
      </c>
      <c r="AV4747" s="6" t="str">
        <f t="shared" si="119"/>
        <v/>
      </c>
    </row>
    <row r="4748" spans="2:48" ht="35.65" x14ac:dyDescent="0.45">
      <c r="B4748" s="143" t="s">
        <v>3843</v>
      </c>
      <c r="C4748" s="8" t="s">
        <v>4175</v>
      </c>
      <c r="L4748" s="18" t="s">
        <v>2334</v>
      </c>
      <c r="R4748" s="121" t="s">
        <v>3956</v>
      </c>
      <c r="S4748" s="137" t="s">
        <v>3924</v>
      </c>
      <c r="T4748" s="137" t="s">
        <v>3925</v>
      </c>
      <c r="AV4748" s="6" t="str">
        <f t="shared" si="119"/>
        <v/>
      </c>
    </row>
    <row r="4749" spans="2:48" ht="35.65" x14ac:dyDescent="0.45">
      <c r="B4749" s="143" t="s">
        <v>3843</v>
      </c>
      <c r="C4749" s="8" t="s">
        <v>4175</v>
      </c>
      <c r="L4749" s="18" t="s">
        <v>2334</v>
      </c>
      <c r="R4749" s="121" t="s">
        <v>3956</v>
      </c>
      <c r="S4749" s="137" t="s">
        <v>3926</v>
      </c>
      <c r="T4749" s="137" t="s">
        <v>3927</v>
      </c>
      <c r="AV4749" s="6" t="str">
        <f t="shared" si="119"/>
        <v/>
      </c>
    </row>
    <row r="4750" spans="2:48" ht="35.65" x14ac:dyDescent="0.45">
      <c r="B4750" s="143" t="s">
        <v>3843</v>
      </c>
      <c r="C4750" s="8" t="s">
        <v>4175</v>
      </c>
      <c r="L4750" s="18" t="s">
        <v>2334</v>
      </c>
      <c r="R4750" s="121" t="s">
        <v>3956</v>
      </c>
      <c r="S4750" s="137" t="s">
        <v>3928</v>
      </c>
      <c r="T4750" s="137" t="s">
        <v>3929</v>
      </c>
      <c r="AV4750" s="6" t="str">
        <f t="shared" si="119"/>
        <v/>
      </c>
    </row>
    <row r="4751" spans="2:48" ht="35.65" x14ac:dyDescent="0.45">
      <c r="B4751" s="143" t="s">
        <v>3843</v>
      </c>
      <c r="C4751" s="8" t="s">
        <v>4175</v>
      </c>
      <c r="L4751" s="18" t="s">
        <v>2334</v>
      </c>
      <c r="R4751" s="121" t="s">
        <v>3956</v>
      </c>
      <c r="S4751" s="137" t="s">
        <v>3930</v>
      </c>
      <c r="T4751" s="137" t="s">
        <v>3931</v>
      </c>
      <c r="AV4751" s="6" t="str">
        <f t="shared" si="119"/>
        <v/>
      </c>
    </row>
    <row r="4752" spans="2:48" ht="35.65" x14ac:dyDescent="0.45">
      <c r="B4752" s="143" t="s">
        <v>3843</v>
      </c>
      <c r="C4752" s="8" t="s">
        <v>4175</v>
      </c>
      <c r="L4752" s="18" t="s">
        <v>2334</v>
      </c>
      <c r="R4752" s="121" t="s">
        <v>3956</v>
      </c>
      <c r="S4752" s="137" t="s">
        <v>3932</v>
      </c>
      <c r="T4752" s="137" t="s">
        <v>3933</v>
      </c>
      <c r="AV4752" s="6" t="str">
        <f t="shared" si="119"/>
        <v/>
      </c>
    </row>
    <row r="4753" spans="2:48" ht="35.65" x14ac:dyDescent="0.45">
      <c r="B4753" s="143" t="s">
        <v>3843</v>
      </c>
      <c r="C4753" s="8" t="s">
        <v>4175</v>
      </c>
      <c r="L4753" s="18" t="s">
        <v>2334</v>
      </c>
      <c r="R4753" s="121" t="s">
        <v>3956</v>
      </c>
      <c r="S4753" s="137" t="s">
        <v>3934</v>
      </c>
      <c r="T4753" s="137" t="s">
        <v>3935</v>
      </c>
      <c r="AV4753" s="6" t="str">
        <f t="shared" si="119"/>
        <v/>
      </c>
    </row>
    <row r="4754" spans="2:48" ht="35.65" x14ac:dyDescent="0.45">
      <c r="B4754" s="143" t="s">
        <v>3843</v>
      </c>
      <c r="C4754" s="8" t="s">
        <v>4175</v>
      </c>
      <c r="L4754" s="18" t="s">
        <v>2334</v>
      </c>
      <c r="R4754" s="121" t="s">
        <v>3956</v>
      </c>
      <c r="S4754" s="137" t="s">
        <v>3936</v>
      </c>
      <c r="T4754" s="137" t="s">
        <v>3937</v>
      </c>
      <c r="AV4754" s="6" t="str">
        <f t="shared" si="119"/>
        <v/>
      </c>
    </row>
    <row r="4755" spans="2:48" ht="35.65" x14ac:dyDescent="0.45">
      <c r="B4755" s="143" t="s">
        <v>3843</v>
      </c>
      <c r="C4755" s="8" t="s">
        <v>4175</v>
      </c>
      <c r="L4755" s="18" t="s">
        <v>2334</v>
      </c>
      <c r="R4755" s="121" t="s">
        <v>3956</v>
      </c>
      <c r="S4755" s="137" t="s">
        <v>3938</v>
      </c>
      <c r="T4755" s="137" t="s">
        <v>3939</v>
      </c>
      <c r="AV4755" s="6" t="str">
        <f t="shared" si="119"/>
        <v/>
      </c>
    </row>
    <row r="4756" spans="2:48" ht="35.65" x14ac:dyDescent="0.45">
      <c r="B4756" s="143" t="s">
        <v>3843</v>
      </c>
      <c r="C4756" s="8" t="s">
        <v>4175</v>
      </c>
      <c r="L4756" s="18" t="s">
        <v>2334</v>
      </c>
      <c r="R4756" s="121" t="s">
        <v>3956</v>
      </c>
      <c r="S4756" s="137" t="s">
        <v>3940</v>
      </c>
      <c r="T4756" s="137" t="s">
        <v>3941</v>
      </c>
      <c r="AV4756" s="6" t="str">
        <f t="shared" si="119"/>
        <v/>
      </c>
    </row>
    <row r="4757" spans="2:48" ht="35.65" x14ac:dyDescent="0.45">
      <c r="B4757" s="143" t="s">
        <v>3843</v>
      </c>
      <c r="C4757" s="8" t="s">
        <v>4175</v>
      </c>
      <c r="L4757" s="18" t="s">
        <v>2334</v>
      </c>
      <c r="R4757" s="121" t="s">
        <v>3956</v>
      </c>
      <c r="S4757" s="137" t="s">
        <v>3942</v>
      </c>
      <c r="T4757" s="137" t="s">
        <v>3943</v>
      </c>
      <c r="AV4757" s="6" t="str">
        <f t="shared" si="119"/>
        <v/>
      </c>
    </row>
    <row r="4758" spans="2:48" ht="35.65" x14ac:dyDescent="0.45">
      <c r="B4758" s="143" t="s">
        <v>3843</v>
      </c>
      <c r="C4758" s="8" t="s">
        <v>4175</v>
      </c>
      <c r="L4758" s="18" t="s">
        <v>2334</v>
      </c>
      <c r="R4758" s="121" t="s">
        <v>3956</v>
      </c>
      <c r="S4758" s="137" t="s">
        <v>3944</v>
      </c>
      <c r="T4758" s="137" t="s">
        <v>3945</v>
      </c>
      <c r="AV4758" s="6" t="str">
        <f t="shared" si="119"/>
        <v/>
      </c>
    </row>
    <row r="4759" spans="2:48" ht="35.65" x14ac:dyDescent="0.45">
      <c r="B4759" s="143" t="s">
        <v>3843</v>
      </c>
      <c r="C4759" s="8" t="s">
        <v>4175</v>
      </c>
      <c r="L4759" s="18" t="s">
        <v>2334</v>
      </c>
      <c r="R4759" s="121" t="s">
        <v>3956</v>
      </c>
      <c r="S4759" s="137" t="s">
        <v>3946</v>
      </c>
      <c r="T4759" s="137" t="s">
        <v>3947</v>
      </c>
      <c r="AV4759" s="6" t="str">
        <f t="shared" si="119"/>
        <v/>
      </c>
    </row>
    <row r="4760" spans="2:48" ht="35.65" x14ac:dyDescent="0.45">
      <c r="B4760" s="143" t="s">
        <v>3843</v>
      </c>
      <c r="C4760" s="8" t="s">
        <v>4175</v>
      </c>
      <c r="L4760" s="18" t="s">
        <v>2334</v>
      </c>
      <c r="R4760" s="121" t="s">
        <v>3956</v>
      </c>
      <c r="S4760" s="137" t="s">
        <v>3948</v>
      </c>
      <c r="T4760" s="137" t="s">
        <v>3949</v>
      </c>
      <c r="AV4760" s="6" t="str">
        <f t="shared" si="119"/>
        <v/>
      </c>
    </row>
    <row r="4761" spans="2:48" x14ac:dyDescent="0.45">
      <c r="B4761" s="97"/>
      <c r="S4761" s="136"/>
      <c r="T4761" s="136"/>
      <c r="AV4761" s="6" t="str">
        <f t="shared" si="119"/>
        <v/>
      </c>
    </row>
    <row r="4762" spans="2:48" ht="35.65" x14ac:dyDescent="0.45">
      <c r="B4762" s="143" t="s">
        <v>3957</v>
      </c>
      <c r="C4762" s="8" t="s">
        <v>4175</v>
      </c>
      <c r="L4762" s="18" t="s">
        <v>2334</v>
      </c>
      <c r="Q4762" s="8" t="s">
        <v>3607</v>
      </c>
      <c r="R4762" s="121" t="s">
        <v>3957</v>
      </c>
      <c r="S4762" s="137" t="s">
        <v>2120</v>
      </c>
      <c r="T4762" s="137"/>
      <c r="AV4762" s="6" t="str">
        <f t="shared" si="119"/>
        <v/>
      </c>
    </row>
    <row r="4763" spans="2:48" ht="35.65" x14ac:dyDescent="0.45">
      <c r="B4763" s="143" t="s">
        <v>3957</v>
      </c>
      <c r="C4763" s="8" t="s">
        <v>4175</v>
      </c>
      <c r="L4763" s="18" t="s">
        <v>2334</v>
      </c>
      <c r="R4763" s="121" t="s">
        <v>3957</v>
      </c>
      <c r="S4763" s="137" t="s">
        <v>3950</v>
      </c>
      <c r="T4763" s="137" t="s">
        <v>3951</v>
      </c>
      <c r="AV4763" s="6" t="str">
        <f t="shared" si="119"/>
        <v/>
      </c>
    </row>
    <row r="4764" spans="2:48" ht="35.65" x14ac:dyDescent="0.45">
      <c r="B4764" s="143" t="s">
        <v>3957</v>
      </c>
      <c r="C4764" s="8" t="s">
        <v>4175</v>
      </c>
      <c r="L4764" s="18" t="s">
        <v>2334</v>
      </c>
      <c r="R4764" s="121" t="s">
        <v>3957</v>
      </c>
      <c r="S4764" s="137" t="s">
        <v>3952</v>
      </c>
      <c r="T4764" s="137" t="s">
        <v>4077</v>
      </c>
      <c r="AV4764" s="6" t="str">
        <f t="shared" si="119"/>
        <v/>
      </c>
    </row>
    <row r="4765" spans="2:48" ht="35.65" x14ac:dyDescent="0.45">
      <c r="B4765" s="143" t="s">
        <v>3957</v>
      </c>
      <c r="C4765" s="8" t="s">
        <v>4175</v>
      </c>
      <c r="L4765" s="18" t="s">
        <v>2334</v>
      </c>
      <c r="R4765" s="121" t="s">
        <v>3957</v>
      </c>
      <c r="S4765" s="137" t="s">
        <v>3953</v>
      </c>
      <c r="T4765" s="137" t="s">
        <v>3954</v>
      </c>
      <c r="AV4765" s="6" t="str">
        <f t="shared" si="119"/>
        <v/>
      </c>
    </row>
    <row r="4766" spans="2:48" ht="35.65" x14ac:dyDescent="0.45">
      <c r="B4766" s="143" t="s">
        <v>3957</v>
      </c>
      <c r="C4766" s="8" t="s">
        <v>4175</v>
      </c>
      <c r="L4766" s="18" t="s">
        <v>2334</v>
      </c>
      <c r="R4766" s="121" t="s">
        <v>3957</v>
      </c>
      <c r="S4766" s="137" t="s">
        <v>3867</v>
      </c>
      <c r="T4766" s="137" t="s">
        <v>3955</v>
      </c>
      <c r="AV4766" s="6" t="str">
        <f t="shared" si="119"/>
        <v/>
      </c>
    </row>
    <row r="4767" spans="2:48" x14ac:dyDescent="0.45">
      <c r="B4767" s="97"/>
      <c r="AV4767" s="6" t="str">
        <f t="shared" si="119"/>
        <v/>
      </c>
    </row>
    <row r="4768" spans="2:48" ht="35.65" x14ac:dyDescent="0.45">
      <c r="B4768" s="143" t="s">
        <v>3959</v>
      </c>
      <c r="C4768" s="8" t="s">
        <v>4175</v>
      </c>
      <c r="L4768" s="18" t="s">
        <v>2334</v>
      </c>
      <c r="Q4768" s="8" t="s">
        <v>3607</v>
      </c>
      <c r="R4768" s="121" t="s">
        <v>3959</v>
      </c>
      <c r="S4768" s="137" t="s">
        <v>2192</v>
      </c>
      <c r="T4768" s="137"/>
      <c r="AV4768" s="6" t="str">
        <f t="shared" si="119"/>
        <v/>
      </c>
    </row>
    <row r="4769" spans="2:48" ht="35.65" x14ac:dyDescent="0.45">
      <c r="B4769" s="143" t="s">
        <v>3959</v>
      </c>
      <c r="C4769" s="8" t="s">
        <v>4175</v>
      </c>
      <c r="L4769" s="18" t="s">
        <v>2334</v>
      </c>
      <c r="R4769" s="121" t="s">
        <v>3959</v>
      </c>
      <c r="S4769" s="137" t="s">
        <v>3869</v>
      </c>
      <c r="T4769" s="137" t="s">
        <v>3870</v>
      </c>
      <c r="AV4769" s="6" t="str">
        <f t="shared" si="119"/>
        <v/>
      </c>
    </row>
    <row r="4770" spans="2:48" ht="35.65" x14ac:dyDescent="0.45">
      <c r="B4770" s="143" t="s">
        <v>3959</v>
      </c>
      <c r="C4770" s="8" t="s">
        <v>4175</v>
      </c>
      <c r="L4770" s="18" t="s">
        <v>2334</v>
      </c>
      <c r="R4770" s="121" t="s">
        <v>3959</v>
      </c>
      <c r="S4770" s="137" t="s">
        <v>3871</v>
      </c>
      <c r="T4770" s="137" t="s">
        <v>3872</v>
      </c>
      <c r="AV4770" s="6" t="str">
        <f t="shared" si="119"/>
        <v/>
      </c>
    </row>
    <row r="4771" spans="2:48" ht="35.65" x14ac:dyDescent="0.45">
      <c r="B4771" s="143" t="s">
        <v>3959</v>
      </c>
      <c r="C4771" s="8" t="s">
        <v>4175</v>
      </c>
      <c r="L4771" s="18" t="s">
        <v>2334</v>
      </c>
      <c r="R4771" s="121" t="s">
        <v>3959</v>
      </c>
      <c r="S4771" s="137" t="s">
        <v>3873</v>
      </c>
      <c r="T4771" s="137" t="s">
        <v>3874</v>
      </c>
      <c r="AV4771" s="6" t="str">
        <f t="shared" si="119"/>
        <v/>
      </c>
    </row>
    <row r="4772" spans="2:48" ht="35.65" x14ac:dyDescent="0.45">
      <c r="B4772" s="143" t="s">
        <v>3959</v>
      </c>
      <c r="C4772" s="8" t="s">
        <v>4175</v>
      </c>
      <c r="L4772" s="18" t="s">
        <v>2334</v>
      </c>
      <c r="R4772" s="121" t="s">
        <v>3959</v>
      </c>
      <c r="S4772" s="137" t="s">
        <v>3875</v>
      </c>
      <c r="T4772" s="137" t="s">
        <v>3876</v>
      </c>
      <c r="AV4772" s="6" t="str">
        <f t="shared" si="119"/>
        <v/>
      </c>
    </row>
    <row r="4773" spans="2:48" ht="35.65" x14ac:dyDescent="0.45">
      <c r="B4773" s="143" t="s">
        <v>3959</v>
      </c>
      <c r="C4773" s="8" t="s">
        <v>4175</v>
      </c>
      <c r="L4773" s="18" t="s">
        <v>2334</v>
      </c>
      <c r="R4773" s="121" t="s">
        <v>3959</v>
      </c>
      <c r="S4773" s="137" t="s">
        <v>3877</v>
      </c>
      <c r="T4773" s="137" t="s">
        <v>3878</v>
      </c>
      <c r="AV4773" s="6" t="str">
        <f t="shared" si="119"/>
        <v/>
      </c>
    </row>
    <row r="4774" spans="2:48" ht="35.65" x14ac:dyDescent="0.45">
      <c r="B4774" s="143" t="s">
        <v>3959</v>
      </c>
      <c r="C4774" s="8" t="s">
        <v>4175</v>
      </c>
      <c r="L4774" s="18" t="s">
        <v>2334</v>
      </c>
      <c r="R4774" s="121" t="s">
        <v>3959</v>
      </c>
      <c r="S4774" s="137" t="s">
        <v>3879</v>
      </c>
      <c r="T4774" s="137" t="s">
        <v>3880</v>
      </c>
      <c r="AV4774" s="6" t="str">
        <f t="shared" si="119"/>
        <v/>
      </c>
    </row>
    <row r="4775" spans="2:48" ht="35.65" x14ac:dyDescent="0.45">
      <c r="B4775" s="143" t="s">
        <v>3959</v>
      </c>
      <c r="C4775" s="8" t="s">
        <v>4175</v>
      </c>
      <c r="L4775" s="18" t="s">
        <v>2334</v>
      </c>
      <c r="R4775" s="121" t="s">
        <v>3959</v>
      </c>
      <c r="S4775" s="137" t="s">
        <v>3881</v>
      </c>
      <c r="T4775" s="137" t="s">
        <v>3882</v>
      </c>
      <c r="AV4775" s="6" t="str">
        <f t="shared" si="119"/>
        <v/>
      </c>
    </row>
    <row r="4776" spans="2:48" ht="35.65" x14ac:dyDescent="0.45">
      <c r="B4776" s="143" t="s">
        <v>3959</v>
      </c>
      <c r="C4776" s="8" t="s">
        <v>4175</v>
      </c>
      <c r="L4776" s="18" t="s">
        <v>2334</v>
      </c>
      <c r="R4776" s="121" t="s">
        <v>3959</v>
      </c>
      <c r="S4776" s="137" t="s">
        <v>3883</v>
      </c>
      <c r="T4776" s="137" t="s">
        <v>3884</v>
      </c>
      <c r="AV4776" s="6" t="str">
        <f t="shared" si="119"/>
        <v/>
      </c>
    </row>
    <row r="4777" spans="2:48" ht="35.65" x14ac:dyDescent="0.45">
      <c r="B4777" s="143" t="s">
        <v>3959</v>
      </c>
      <c r="C4777" s="8" t="s">
        <v>4175</v>
      </c>
      <c r="L4777" s="18" t="s">
        <v>2334</v>
      </c>
      <c r="R4777" s="121" t="s">
        <v>3959</v>
      </c>
      <c r="S4777" s="137" t="s">
        <v>3885</v>
      </c>
      <c r="T4777" s="137" t="s">
        <v>3886</v>
      </c>
      <c r="AV4777" s="6" t="str">
        <f t="shared" si="119"/>
        <v/>
      </c>
    </row>
    <row r="4778" spans="2:48" ht="35.65" x14ac:dyDescent="0.45">
      <c r="B4778" s="143" t="s">
        <v>3959</v>
      </c>
      <c r="C4778" s="8" t="s">
        <v>4175</v>
      </c>
      <c r="L4778" s="18" t="s">
        <v>2334</v>
      </c>
      <c r="R4778" s="121" t="s">
        <v>3959</v>
      </c>
      <c r="S4778" s="137" t="s">
        <v>960</v>
      </c>
      <c r="T4778" s="137" t="s">
        <v>3887</v>
      </c>
      <c r="AV4778" s="6" t="str">
        <f t="shared" si="119"/>
        <v/>
      </c>
    </row>
    <row r="4779" spans="2:48" ht="35.65" x14ac:dyDescent="0.45">
      <c r="B4779" s="143" t="s">
        <v>3959</v>
      </c>
      <c r="C4779" s="8" t="s">
        <v>4175</v>
      </c>
      <c r="L4779" s="18" t="s">
        <v>2334</v>
      </c>
      <c r="R4779" s="121" t="s">
        <v>3959</v>
      </c>
      <c r="S4779" s="137" t="s">
        <v>3888</v>
      </c>
      <c r="T4779" s="137" t="s">
        <v>3889</v>
      </c>
      <c r="AV4779" s="6" t="str">
        <f t="shared" si="119"/>
        <v/>
      </c>
    </row>
    <row r="4780" spans="2:48" ht="35.65" x14ac:dyDescent="0.45">
      <c r="B4780" s="143" t="s">
        <v>3959</v>
      </c>
      <c r="C4780" s="8" t="s">
        <v>4175</v>
      </c>
      <c r="L4780" s="18" t="s">
        <v>2334</v>
      </c>
      <c r="R4780" s="121" t="s">
        <v>3959</v>
      </c>
      <c r="S4780" s="137" t="s">
        <v>3890</v>
      </c>
      <c r="T4780" s="137" t="s">
        <v>3891</v>
      </c>
      <c r="AV4780" s="6" t="str">
        <f t="shared" si="119"/>
        <v/>
      </c>
    </row>
    <row r="4781" spans="2:48" ht="35.65" x14ac:dyDescent="0.45">
      <c r="B4781" s="143" t="s">
        <v>3959</v>
      </c>
      <c r="C4781" s="8" t="s">
        <v>4175</v>
      </c>
      <c r="L4781" s="18" t="s">
        <v>2334</v>
      </c>
      <c r="R4781" s="121" t="s">
        <v>3959</v>
      </c>
      <c r="S4781" s="137" t="s">
        <v>3892</v>
      </c>
      <c r="T4781" s="137" t="s">
        <v>3893</v>
      </c>
      <c r="AV4781" s="6" t="str">
        <f t="shared" si="119"/>
        <v/>
      </c>
    </row>
    <row r="4782" spans="2:48" ht="35.65" x14ac:dyDescent="0.45">
      <c r="B4782" s="143" t="s">
        <v>3959</v>
      </c>
      <c r="C4782" s="8" t="s">
        <v>4175</v>
      </c>
      <c r="L4782" s="18" t="s">
        <v>2334</v>
      </c>
      <c r="R4782" s="121" t="s">
        <v>3959</v>
      </c>
      <c r="S4782" s="137" t="s">
        <v>3894</v>
      </c>
      <c r="T4782" s="137" t="s">
        <v>3895</v>
      </c>
      <c r="AV4782" s="6" t="str">
        <f t="shared" si="119"/>
        <v/>
      </c>
    </row>
    <row r="4783" spans="2:48" ht="35.65" x14ac:dyDescent="0.45">
      <c r="B4783" s="143" t="s">
        <v>3959</v>
      </c>
      <c r="C4783" s="8" t="s">
        <v>4175</v>
      </c>
      <c r="L4783" s="18" t="s">
        <v>2334</v>
      </c>
      <c r="R4783" s="121" t="s">
        <v>3959</v>
      </c>
      <c r="S4783" s="137" t="s">
        <v>3896</v>
      </c>
      <c r="T4783" s="137" t="s">
        <v>3897</v>
      </c>
      <c r="AV4783" s="6" t="str">
        <f t="shared" ref="AV4783:AV4815" si="120">IF(A4783&lt;&gt;"",IF(T4783&lt;&gt;"",IF(LEFT(R4783,3)="Has",IF(TRIM(A4783)&lt;&gt;T4783,"ERROR","OK"),""),""),"")</f>
        <v/>
      </c>
    </row>
    <row r="4784" spans="2:48" ht="35.65" x14ac:dyDescent="0.45">
      <c r="B4784" s="143" t="s">
        <v>3959</v>
      </c>
      <c r="C4784" s="8" t="s">
        <v>4175</v>
      </c>
      <c r="L4784" s="18" t="s">
        <v>2334</v>
      </c>
      <c r="R4784" s="121" t="s">
        <v>3959</v>
      </c>
      <c r="S4784" s="137" t="s">
        <v>3898</v>
      </c>
      <c r="T4784" s="137" t="s">
        <v>3899</v>
      </c>
      <c r="AV4784" s="6" t="str">
        <f t="shared" si="120"/>
        <v/>
      </c>
    </row>
    <row r="4785" spans="2:48" ht="35.65" x14ac:dyDescent="0.45">
      <c r="B4785" s="143" t="s">
        <v>3959</v>
      </c>
      <c r="C4785" s="8" t="s">
        <v>4175</v>
      </c>
      <c r="L4785" s="18" t="s">
        <v>2334</v>
      </c>
      <c r="R4785" s="121" t="s">
        <v>3959</v>
      </c>
      <c r="S4785" s="137" t="s">
        <v>3900</v>
      </c>
      <c r="T4785" s="137" t="s">
        <v>3901</v>
      </c>
      <c r="AV4785" s="6" t="str">
        <f t="shared" si="120"/>
        <v/>
      </c>
    </row>
    <row r="4786" spans="2:48" ht="35.65" x14ac:dyDescent="0.45">
      <c r="B4786" s="143" t="s">
        <v>3959</v>
      </c>
      <c r="C4786" s="8" t="s">
        <v>4175</v>
      </c>
      <c r="L4786" s="18" t="s">
        <v>2334</v>
      </c>
      <c r="R4786" s="121" t="s">
        <v>3959</v>
      </c>
      <c r="S4786" s="137" t="s">
        <v>3902</v>
      </c>
      <c r="T4786" s="137" t="s">
        <v>3903</v>
      </c>
      <c r="AV4786" s="6" t="str">
        <f t="shared" si="120"/>
        <v/>
      </c>
    </row>
    <row r="4787" spans="2:48" ht="35.65" x14ac:dyDescent="0.45">
      <c r="B4787" s="143" t="s">
        <v>3959</v>
      </c>
      <c r="C4787" s="8" t="s">
        <v>4175</v>
      </c>
      <c r="L4787" s="18" t="s">
        <v>2334</v>
      </c>
      <c r="R4787" s="121" t="s">
        <v>3959</v>
      </c>
      <c r="S4787" s="137" t="s">
        <v>3124</v>
      </c>
      <c r="T4787" s="137" t="s">
        <v>3904</v>
      </c>
      <c r="AV4787" s="6" t="str">
        <f t="shared" si="120"/>
        <v/>
      </c>
    </row>
    <row r="4788" spans="2:48" ht="35.65" x14ac:dyDescent="0.45">
      <c r="B4788" s="143" t="s">
        <v>3959</v>
      </c>
      <c r="C4788" s="8" t="s">
        <v>4175</v>
      </c>
      <c r="L4788" s="18" t="s">
        <v>2334</v>
      </c>
      <c r="R4788" s="121" t="s">
        <v>3959</v>
      </c>
      <c r="S4788" s="137" t="s">
        <v>3905</v>
      </c>
      <c r="T4788" s="137" t="s">
        <v>3906</v>
      </c>
      <c r="AV4788" s="6" t="str">
        <f t="shared" si="120"/>
        <v/>
      </c>
    </row>
    <row r="4789" spans="2:48" ht="35.65" x14ac:dyDescent="0.45">
      <c r="B4789" s="143" t="s">
        <v>3959</v>
      </c>
      <c r="C4789" s="8" t="s">
        <v>4175</v>
      </c>
      <c r="L4789" s="18" t="s">
        <v>2334</v>
      </c>
      <c r="R4789" s="121" t="s">
        <v>3959</v>
      </c>
      <c r="S4789" s="137" t="s">
        <v>3907</v>
      </c>
      <c r="T4789" s="137" t="s">
        <v>3908</v>
      </c>
      <c r="AV4789" s="6" t="str">
        <f t="shared" si="120"/>
        <v/>
      </c>
    </row>
    <row r="4790" spans="2:48" ht="35.65" x14ac:dyDescent="0.45">
      <c r="B4790" s="143" t="s">
        <v>3959</v>
      </c>
      <c r="C4790" s="8" t="s">
        <v>4175</v>
      </c>
      <c r="L4790" s="18" t="s">
        <v>2334</v>
      </c>
      <c r="R4790" s="121" t="s">
        <v>3959</v>
      </c>
      <c r="S4790" s="137" t="s">
        <v>3909</v>
      </c>
      <c r="T4790" s="137" t="s">
        <v>3910</v>
      </c>
      <c r="AV4790" s="6" t="str">
        <f t="shared" si="120"/>
        <v/>
      </c>
    </row>
    <row r="4791" spans="2:48" ht="35.65" x14ac:dyDescent="0.45">
      <c r="B4791" s="143" t="s">
        <v>3959</v>
      </c>
      <c r="C4791" s="8" t="s">
        <v>4175</v>
      </c>
      <c r="L4791" s="18" t="s">
        <v>2334</v>
      </c>
      <c r="R4791" s="121" t="s">
        <v>3959</v>
      </c>
      <c r="S4791" s="137" t="s">
        <v>3911</v>
      </c>
      <c r="T4791" s="137" t="s">
        <v>3912</v>
      </c>
      <c r="AV4791" s="6" t="str">
        <f t="shared" si="120"/>
        <v/>
      </c>
    </row>
    <row r="4792" spans="2:48" ht="35.65" x14ac:dyDescent="0.45">
      <c r="B4792" s="143" t="s">
        <v>3959</v>
      </c>
      <c r="C4792" s="8" t="s">
        <v>4175</v>
      </c>
      <c r="L4792" s="18" t="s">
        <v>2334</v>
      </c>
      <c r="R4792" s="121" t="s">
        <v>3959</v>
      </c>
      <c r="S4792" s="137" t="s">
        <v>3913</v>
      </c>
      <c r="T4792" s="137" t="s">
        <v>3914</v>
      </c>
      <c r="AV4792" s="6" t="str">
        <f t="shared" si="120"/>
        <v/>
      </c>
    </row>
    <row r="4793" spans="2:48" ht="35.65" x14ac:dyDescent="0.45">
      <c r="B4793" s="143" t="s">
        <v>3959</v>
      </c>
      <c r="C4793" s="8" t="s">
        <v>4175</v>
      </c>
      <c r="L4793" s="18" t="s">
        <v>2334</v>
      </c>
      <c r="R4793" s="121" t="s">
        <v>3959</v>
      </c>
      <c r="S4793" s="137" t="s">
        <v>3915</v>
      </c>
      <c r="T4793" s="137" t="s">
        <v>3916</v>
      </c>
      <c r="AV4793" s="6" t="str">
        <f t="shared" si="120"/>
        <v/>
      </c>
    </row>
    <row r="4794" spans="2:48" ht="35.65" x14ac:dyDescent="0.45">
      <c r="B4794" s="143" t="s">
        <v>3959</v>
      </c>
      <c r="C4794" s="8" t="s">
        <v>4175</v>
      </c>
      <c r="L4794" s="18" t="s">
        <v>2334</v>
      </c>
      <c r="R4794" s="121" t="s">
        <v>3959</v>
      </c>
      <c r="S4794" s="137" t="s">
        <v>3917</v>
      </c>
      <c r="T4794" s="137" t="s">
        <v>3918</v>
      </c>
      <c r="AV4794" s="6" t="str">
        <f t="shared" si="120"/>
        <v/>
      </c>
    </row>
    <row r="4795" spans="2:48" ht="35.65" x14ac:dyDescent="0.45">
      <c r="B4795" s="143" t="s">
        <v>3959</v>
      </c>
      <c r="C4795" s="8" t="s">
        <v>4175</v>
      </c>
      <c r="L4795" s="18" t="s">
        <v>2334</v>
      </c>
      <c r="R4795" s="121" t="s">
        <v>3959</v>
      </c>
      <c r="S4795" s="137" t="s">
        <v>101</v>
      </c>
      <c r="T4795" s="137" t="s">
        <v>3919</v>
      </c>
      <c r="AV4795" s="6" t="str">
        <f t="shared" si="120"/>
        <v/>
      </c>
    </row>
    <row r="4796" spans="2:48" ht="35.65" x14ac:dyDescent="0.45">
      <c r="B4796" s="143" t="s">
        <v>3959</v>
      </c>
      <c r="C4796" s="8" t="s">
        <v>4175</v>
      </c>
      <c r="L4796" s="18" t="s">
        <v>2334</v>
      </c>
      <c r="R4796" s="121" t="s">
        <v>3959</v>
      </c>
      <c r="S4796" s="137" t="s">
        <v>3920</v>
      </c>
      <c r="T4796" s="137" t="s">
        <v>3921</v>
      </c>
      <c r="AV4796" s="6" t="str">
        <f t="shared" si="120"/>
        <v/>
      </c>
    </row>
    <row r="4797" spans="2:48" ht="35.65" x14ac:dyDescent="0.45">
      <c r="B4797" s="143" t="s">
        <v>3959</v>
      </c>
      <c r="C4797" s="8" t="s">
        <v>4175</v>
      </c>
      <c r="L4797" s="18" t="s">
        <v>2334</v>
      </c>
      <c r="R4797" s="121" t="s">
        <v>3959</v>
      </c>
      <c r="S4797" s="137" t="s">
        <v>3922</v>
      </c>
      <c r="T4797" s="137" t="s">
        <v>3923</v>
      </c>
      <c r="AV4797" s="6" t="str">
        <f t="shared" si="120"/>
        <v/>
      </c>
    </row>
    <row r="4798" spans="2:48" ht="35.65" x14ac:dyDescent="0.45">
      <c r="B4798" s="143" t="s">
        <v>3959</v>
      </c>
      <c r="C4798" s="8" t="s">
        <v>4175</v>
      </c>
      <c r="L4798" s="18" t="s">
        <v>2334</v>
      </c>
      <c r="R4798" s="121" t="s">
        <v>3959</v>
      </c>
      <c r="S4798" s="137" t="s">
        <v>3924</v>
      </c>
      <c r="T4798" s="137" t="s">
        <v>3925</v>
      </c>
      <c r="AV4798" s="6" t="str">
        <f t="shared" si="120"/>
        <v/>
      </c>
    </row>
    <row r="4799" spans="2:48" ht="35.65" x14ac:dyDescent="0.45">
      <c r="B4799" s="143" t="s">
        <v>3959</v>
      </c>
      <c r="C4799" s="8" t="s">
        <v>4175</v>
      </c>
      <c r="L4799" s="18" t="s">
        <v>2334</v>
      </c>
      <c r="R4799" s="121" t="s">
        <v>3959</v>
      </c>
      <c r="S4799" s="137" t="s">
        <v>3926</v>
      </c>
      <c r="T4799" s="137" t="s">
        <v>3927</v>
      </c>
      <c r="AV4799" s="6" t="str">
        <f t="shared" si="120"/>
        <v/>
      </c>
    </row>
    <row r="4800" spans="2:48" ht="35.65" x14ac:dyDescent="0.45">
      <c r="B4800" s="143" t="s">
        <v>3959</v>
      </c>
      <c r="C4800" s="8" t="s">
        <v>4175</v>
      </c>
      <c r="L4800" s="18" t="s">
        <v>2334</v>
      </c>
      <c r="R4800" s="121" t="s">
        <v>3959</v>
      </c>
      <c r="S4800" s="137" t="s">
        <v>3928</v>
      </c>
      <c r="T4800" s="137" t="s">
        <v>3929</v>
      </c>
      <c r="AV4800" s="6" t="str">
        <f t="shared" si="120"/>
        <v/>
      </c>
    </row>
    <row r="4801" spans="2:48" ht="35.65" x14ac:dyDescent="0.45">
      <c r="B4801" s="143" t="s">
        <v>3959</v>
      </c>
      <c r="C4801" s="8" t="s">
        <v>4175</v>
      </c>
      <c r="L4801" s="18" t="s">
        <v>2334</v>
      </c>
      <c r="R4801" s="121" t="s">
        <v>3959</v>
      </c>
      <c r="S4801" s="137" t="s">
        <v>3930</v>
      </c>
      <c r="T4801" s="137" t="s">
        <v>3931</v>
      </c>
      <c r="AV4801" s="6" t="str">
        <f t="shared" si="120"/>
        <v/>
      </c>
    </row>
    <row r="4802" spans="2:48" ht="35.65" x14ac:dyDescent="0.45">
      <c r="B4802" s="143" t="s">
        <v>3959</v>
      </c>
      <c r="C4802" s="8" t="s">
        <v>4175</v>
      </c>
      <c r="L4802" s="18" t="s">
        <v>2334</v>
      </c>
      <c r="R4802" s="121" t="s">
        <v>3959</v>
      </c>
      <c r="S4802" s="137" t="s">
        <v>3932</v>
      </c>
      <c r="T4802" s="137" t="s">
        <v>3933</v>
      </c>
      <c r="AV4802" s="6" t="str">
        <f t="shared" si="120"/>
        <v/>
      </c>
    </row>
    <row r="4803" spans="2:48" ht="35.65" x14ac:dyDescent="0.45">
      <c r="B4803" s="143" t="s">
        <v>3959</v>
      </c>
      <c r="C4803" s="8" t="s">
        <v>4175</v>
      </c>
      <c r="L4803" s="18" t="s">
        <v>2334</v>
      </c>
      <c r="R4803" s="121" t="s">
        <v>3959</v>
      </c>
      <c r="S4803" s="137" t="s">
        <v>3934</v>
      </c>
      <c r="T4803" s="137" t="s">
        <v>3935</v>
      </c>
      <c r="AV4803" s="6" t="str">
        <f t="shared" si="120"/>
        <v/>
      </c>
    </row>
    <row r="4804" spans="2:48" ht="35.65" x14ac:dyDescent="0.45">
      <c r="B4804" s="143" t="s">
        <v>3959</v>
      </c>
      <c r="C4804" s="8" t="s">
        <v>4175</v>
      </c>
      <c r="L4804" s="18" t="s">
        <v>2334</v>
      </c>
      <c r="R4804" s="121" t="s">
        <v>3959</v>
      </c>
      <c r="S4804" s="137" t="s">
        <v>3936</v>
      </c>
      <c r="T4804" s="137" t="s">
        <v>3937</v>
      </c>
      <c r="AV4804" s="6" t="str">
        <f t="shared" si="120"/>
        <v/>
      </c>
    </row>
    <row r="4805" spans="2:48" ht="35.65" x14ac:dyDescent="0.45">
      <c r="B4805" s="143" t="s">
        <v>3959</v>
      </c>
      <c r="C4805" s="8" t="s">
        <v>4175</v>
      </c>
      <c r="L4805" s="18" t="s">
        <v>2334</v>
      </c>
      <c r="R4805" s="121" t="s">
        <v>3959</v>
      </c>
      <c r="S4805" s="137" t="s">
        <v>3938</v>
      </c>
      <c r="T4805" s="137" t="s">
        <v>3939</v>
      </c>
      <c r="AV4805" s="6" t="str">
        <f t="shared" si="120"/>
        <v/>
      </c>
    </row>
    <row r="4806" spans="2:48" ht="35.65" x14ac:dyDescent="0.45">
      <c r="B4806" s="143" t="s">
        <v>3959</v>
      </c>
      <c r="C4806" s="8" t="s">
        <v>4175</v>
      </c>
      <c r="L4806" s="18" t="s">
        <v>2334</v>
      </c>
      <c r="R4806" s="121" t="s">
        <v>3959</v>
      </c>
      <c r="S4806" s="137" t="s">
        <v>3940</v>
      </c>
      <c r="T4806" s="137" t="s">
        <v>3941</v>
      </c>
      <c r="AV4806" s="6" t="str">
        <f t="shared" si="120"/>
        <v/>
      </c>
    </row>
    <row r="4807" spans="2:48" ht="35.65" x14ac:dyDescent="0.45">
      <c r="B4807" s="143" t="s">
        <v>3959</v>
      </c>
      <c r="C4807" s="8" t="s">
        <v>4175</v>
      </c>
      <c r="L4807" s="18" t="s">
        <v>2334</v>
      </c>
      <c r="R4807" s="121" t="s">
        <v>3959</v>
      </c>
      <c r="S4807" s="137" t="s">
        <v>3942</v>
      </c>
      <c r="T4807" s="137" t="s">
        <v>3943</v>
      </c>
      <c r="AV4807" s="6" t="str">
        <f t="shared" si="120"/>
        <v/>
      </c>
    </row>
    <row r="4808" spans="2:48" ht="35.65" x14ac:dyDescent="0.45">
      <c r="B4808" s="143" t="s">
        <v>3959</v>
      </c>
      <c r="C4808" s="8" t="s">
        <v>4175</v>
      </c>
      <c r="L4808" s="18" t="s">
        <v>2334</v>
      </c>
      <c r="R4808" s="121" t="s">
        <v>3959</v>
      </c>
      <c r="S4808" s="137" t="s">
        <v>3944</v>
      </c>
      <c r="T4808" s="137" t="s">
        <v>3945</v>
      </c>
      <c r="AV4808" s="6" t="str">
        <f t="shared" si="120"/>
        <v/>
      </c>
    </row>
    <row r="4809" spans="2:48" ht="35.65" x14ac:dyDescent="0.45">
      <c r="B4809" s="143" t="s">
        <v>3959</v>
      </c>
      <c r="C4809" s="8" t="s">
        <v>4175</v>
      </c>
      <c r="L4809" s="18" t="s">
        <v>2334</v>
      </c>
      <c r="R4809" s="121" t="s">
        <v>3959</v>
      </c>
      <c r="S4809" s="137" t="s">
        <v>3946</v>
      </c>
      <c r="T4809" s="137" t="s">
        <v>3947</v>
      </c>
      <c r="AV4809" s="6" t="str">
        <f t="shared" si="120"/>
        <v/>
      </c>
    </row>
    <row r="4810" spans="2:48" ht="35.65" x14ac:dyDescent="0.45">
      <c r="B4810" s="143" t="s">
        <v>3959</v>
      </c>
      <c r="C4810" s="8" t="s">
        <v>4175</v>
      </c>
      <c r="L4810" s="18" t="s">
        <v>2334</v>
      </c>
      <c r="R4810" s="121" t="s">
        <v>3959</v>
      </c>
      <c r="S4810" s="137" t="s">
        <v>3948</v>
      </c>
      <c r="T4810" s="137" t="s">
        <v>3949</v>
      </c>
      <c r="AV4810" s="6" t="str">
        <f t="shared" si="120"/>
        <v/>
      </c>
    </row>
    <row r="4811" spans="2:48" x14ac:dyDescent="0.45">
      <c r="B4811" s="97"/>
      <c r="S4811" s="135"/>
      <c r="T4811"/>
      <c r="AV4811" s="6" t="str">
        <f t="shared" si="120"/>
        <v/>
      </c>
    </row>
    <row r="4812" spans="2:48" ht="24" x14ac:dyDescent="0.45">
      <c r="B4812" s="143" t="s">
        <v>3964</v>
      </c>
      <c r="C4812" s="8" t="s">
        <v>4175</v>
      </c>
      <c r="L4812" s="18" t="s">
        <v>2334</v>
      </c>
      <c r="Q4812" s="8" t="s">
        <v>3607</v>
      </c>
      <c r="R4812" s="121" t="s">
        <v>3964</v>
      </c>
      <c r="S4812" s="137" t="s">
        <v>2168</v>
      </c>
      <c r="T4812" s="137"/>
      <c r="AV4812" s="6" t="str">
        <f t="shared" si="120"/>
        <v/>
      </c>
    </row>
    <row r="4813" spans="2:48" ht="24" x14ac:dyDescent="0.45">
      <c r="B4813" s="143" t="s">
        <v>3964</v>
      </c>
      <c r="C4813" s="8" t="s">
        <v>4175</v>
      </c>
      <c r="L4813" s="18" t="s">
        <v>2334</v>
      </c>
      <c r="R4813" s="121" t="s">
        <v>3964</v>
      </c>
      <c r="S4813" s="137" t="s">
        <v>3960</v>
      </c>
      <c r="T4813" s="137" t="s">
        <v>3961</v>
      </c>
      <c r="AV4813" s="6" t="str">
        <f t="shared" si="120"/>
        <v/>
      </c>
    </row>
    <row r="4814" spans="2:48" ht="24" x14ac:dyDescent="0.45">
      <c r="B4814" s="143" t="s">
        <v>3964</v>
      </c>
      <c r="C4814" s="8" t="s">
        <v>4175</v>
      </c>
      <c r="L4814" s="18" t="s">
        <v>2334</v>
      </c>
      <c r="R4814" s="121" t="s">
        <v>3964</v>
      </c>
      <c r="S4814" s="137" t="s">
        <v>3962</v>
      </c>
      <c r="T4814" s="137" t="s">
        <v>3963</v>
      </c>
      <c r="AV4814" s="6" t="str">
        <f t="shared" si="120"/>
        <v/>
      </c>
    </row>
    <row r="4815" spans="2:48" x14ac:dyDescent="0.45">
      <c r="AV4815" s="6" t="str">
        <f t="shared" si="120"/>
        <v/>
      </c>
    </row>
    <row r="4816" spans="2:48" ht="70.5" x14ac:dyDescent="0.45">
      <c r="B4816" s="143" t="s">
        <v>4185</v>
      </c>
      <c r="C4816" s="8" t="s">
        <v>4175</v>
      </c>
      <c r="L4816" s="18" t="s">
        <v>2334</v>
      </c>
      <c r="Q4816" s="8" t="s">
        <v>3607</v>
      </c>
      <c r="R4816" s="121" t="s">
        <v>4185</v>
      </c>
      <c r="S4816" s="137" t="s">
        <v>4176</v>
      </c>
      <c r="T4816" s="137"/>
      <c r="AU4816" s="139" t="s">
        <v>4165</v>
      </c>
    </row>
    <row r="4817" spans="1:47" ht="70.5" x14ac:dyDescent="0.45">
      <c r="B4817" s="143" t="s">
        <v>4185</v>
      </c>
      <c r="C4817" s="8" t="s">
        <v>4175</v>
      </c>
      <c r="L4817" s="18" t="s">
        <v>2334</v>
      </c>
      <c r="R4817" s="121" t="s">
        <v>4185</v>
      </c>
      <c r="S4817" s="121" t="s">
        <v>4177</v>
      </c>
      <c r="T4817" s="222" t="s">
        <v>4178</v>
      </c>
      <c r="AU4817" s="139" t="s">
        <v>4165</v>
      </c>
    </row>
    <row r="4818" spans="1:47" ht="70.5" x14ac:dyDescent="0.45">
      <c r="B4818" s="143" t="s">
        <v>4185</v>
      </c>
      <c r="C4818" s="8" t="s">
        <v>4175</v>
      </c>
      <c r="L4818" s="18" t="s">
        <v>2334</v>
      </c>
      <c r="R4818" s="121" t="s">
        <v>4185</v>
      </c>
      <c r="S4818" s="121" t="s">
        <v>4183</v>
      </c>
      <c r="T4818" s="222" t="s">
        <v>4184</v>
      </c>
      <c r="AU4818" s="139" t="s">
        <v>4165</v>
      </c>
    </row>
    <row r="4819" spans="1:47" ht="70.5" x14ac:dyDescent="0.45">
      <c r="B4819" s="143" t="s">
        <v>4185</v>
      </c>
      <c r="C4819" s="8" t="s">
        <v>4175</v>
      </c>
      <c r="L4819" s="18" t="s">
        <v>2334</v>
      </c>
      <c r="R4819" s="121" t="s">
        <v>4185</v>
      </c>
      <c r="S4819" s="121" t="s">
        <v>4179</v>
      </c>
      <c r="T4819" s="222" t="s">
        <v>4180</v>
      </c>
      <c r="AU4819" s="139" t="s">
        <v>4165</v>
      </c>
    </row>
    <row r="4820" spans="1:47" ht="70.5" x14ac:dyDescent="0.45">
      <c r="B4820" s="143" t="s">
        <v>4185</v>
      </c>
      <c r="C4820" s="8" t="s">
        <v>4175</v>
      </c>
      <c r="L4820" s="18" t="s">
        <v>2334</v>
      </c>
      <c r="R4820" s="121" t="s">
        <v>4185</v>
      </c>
      <c r="S4820" s="121" t="s">
        <v>4181</v>
      </c>
      <c r="T4820" s="222" t="s">
        <v>4182</v>
      </c>
      <c r="AU4820" s="139" t="s">
        <v>4165</v>
      </c>
    </row>
    <row r="4821" spans="1:47" x14ac:dyDescent="0.45">
      <c r="B4821" s="97"/>
    </row>
    <row r="4822" spans="1:47" ht="47.25" x14ac:dyDescent="0.45">
      <c r="B4822" s="143" t="s">
        <v>4190</v>
      </c>
      <c r="C4822" s="8" t="s">
        <v>4175</v>
      </c>
      <c r="L4822" s="18" t="s">
        <v>2334</v>
      </c>
      <c r="Q4822" s="8" t="s">
        <v>3607</v>
      </c>
      <c r="R4822" s="121" t="s">
        <v>4190</v>
      </c>
      <c r="S4822" s="137" t="s">
        <v>4193</v>
      </c>
      <c r="T4822" s="137"/>
      <c r="AU4822" s="209" t="s">
        <v>4192</v>
      </c>
    </row>
    <row r="4823" spans="1:47" ht="47.25" x14ac:dyDescent="0.45">
      <c r="B4823" s="143" t="s">
        <v>4190</v>
      </c>
      <c r="C4823" s="8" t="s">
        <v>4175</v>
      </c>
      <c r="L4823" s="18" t="s">
        <v>2334</v>
      </c>
      <c r="R4823" s="121" t="s">
        <v>4190</v>
      </c>
      <c r="S4823" s="121" t="s">
        <v>4194</v>
      </c>
      <c r="T4823" s="222" t="s">
        <v>4195</v>
      </c>
      <c r="AU4823" s="209" t="s">
        <v>4192</v>
      </c>
    </row>
    <row r="4824" spans="1:47" ht="47.25" x14ac:dyDescent="0.45">
      <c r="A4824" s="17" t="s">
        <v>5217</v>
      </c>
      <c r="B4824" s="143" t="s">
        <v>4190</v>
      </c>
      <c r="C4824" s="8" t="s">
        <v>4175</v>
      </c>
      <c r="L4824" s="18" t="s">
        <v>2334</v>
      </c>
      <c r="R4824" s="121" t="s">
        <v>4190</v>
      </c>
      <c r="S4824" s="8" t="s">
        <v>4196</v>
      </c>
      <c r="T4824" s="97" t="s">
        <v>4197</v>
      </c>
      <c r="AU4824" s="209" t="s">
        <v>4192</v>
      </c>
    </row>
    <row r="4825" spans="1:47" ht="47.25" x14ac:dyDescent="0.45">
      <c r="B4825" s="143" t="s">
        <v>4190</v>
      </c>
      <c r="C4825" s="8" t="s">
        <v>4175</v>
      </c>
      <c r="L4825" s="18" t="s">
        <v>2334</v>
      </c>
      <c r="R4825" s="121" t="s">
        <v>4190</v>
      </c>
      <c r="S4825" s="8" t="s">
        <v>4198</v>
      </c>
      <c r="T4825" s="97" t="s">
        <v>4199</v>
      </c>
      <c r="AU4825" s="209" t="s">
        <v>4192</v>
      </c>
    </row>
    <row r="4826" spans="1:47" x14ac:dyDescent="0.45">
      <c r="B4826" s="97"/>
      <c r="T4826" s="141"/>
    </row>
    <row r="4827" spans="1:47" ht="93.75" x14ac:dyDescent="0.45">
      <c r="B4827" s="143" t="s">
        <v>4200</v>
      </c>
      <c r="C4827" s="8" t="s">
        <v>4175</v>
      </c>
      <c r="Q4827" s="8" t="s">
        <v>3607</v>
      </c>
      <c r="R4827" s="121" t="s">
        <v>4200</v>
      </c>
      <c r="S4827" s="137" t="s">
        <v>4193</v>
      </c>
      <c r="T4827" s="223"/>
      <c r="AU4827" s="202" t="s">
        <v>4295</v>
      </c>
    </row>
    <row r="4828" spans="1:47" ht="93.75" x14ac:dyDescent="0.45">
      <c r="B4828" s="143" t="s">
        <v>4200</v>
      </c>
      <c r="C4828" s="8" t="s">
        <v>4175</v>
      </c>
      <c r="R4828" s="121" t="s">
        <v>4200</v>
      </c>
      <c r="S4828" s="121" t="s">
        <v>4201</v>
      </c>
      <c r="T4828" s="222" t="s">
        <v>4202</v>
      </c>
      <c r="AU4828" s="202" t="s">
        <v>4295</v>
      </c>
    </row>
    <row r="4829" spans="1:47" ht="93.75" x14ac:dyDescent="0.45">
      <c r="B4829" s="143" t="s">
        <v>4200</v>
      </c>
      <c r="C4829" s="8" t="s">
        <v>4175</v>
      </c>
      <c r="R4829" s="121" t="s">
        <v>4200</v>
      </c>
      <c r="S4829" s="8" t="s">
        <v>4203</v>
      </c>
      <c r="T4829" s="97" t="s">
        <v>4204</v>
      </c>
      <c r="AU4829" s="202" t="s">
        <v>4295</v>
      </c>
    </row>
    <row r="4830" spans="1:47" x14ac:dyDescent="0.45">
      <c r="B4830" s="97"/>
    </row>
    <row r="4831" spans="1:47" ht="35.65" x14ac:dyDescent="0.45">
      <c r="B4831" s="143" t="s">
        <v>4210</v>
      </c>
      <c r="C4831" s="8" t="s">
        <v>4175</v>
      </c>
      <c r="L4831" s="18" t="s">
        <v>2334</v>
      </c>
      <c r="Q4831" s="8" t="s">
        <v>3607</v>
      </c>
      <c r="R4831" s="121" t="s">
        <v>4210</v>
      </c>
      <c r="S4831" s="137" t="s">
        <v>4211</v>
      </c>
      <c r="T4831" s="223"/>
      <c r="AU4831" s="209" t="s">
        <v>4224</v>
      </c>
    </row>
    <row r="4832" spans="1:47" ht="35.65" x14ac:dyDescent="0.45">
      <c r="B4832" s="143" t="s">
        <v>4210</v>
      </c>
      <c r="C4832" s="8" t="s">
        <v>4175</v>
      </c>
      <c r="L4832" s="18" t="s">
        <v>2334</v>
      </c>
      <c r="R4832" s="121" t="s">
        <v>4210</v>
      </c>
      <c r="S4832" s="121" t="s">
        <v>4212</v>
      </c>
      <c r="T4832" s="222" t="s">
        <v>4213</v>
      </c>
      <c r="AU4832" s="209" t="s">
        <v>4224</v>
      </c>
    </row>
    <row r="4833" spans="2:47" ht="35.65" x14ac:dyDescent="0.45">
      <c r="B4833" s="143" t="s">
        <v>4210</v>
      </c>
      <c r="C4833" s="8" t="s">
        <v>4175</v>
      </c>
      <c r="L4833" s="18" t="s">
        <v>2334</v>
      </c>
      <c r="R4833" s="121" t="s">
        <v>4210</v>
      </c>
      <c r="S4833" s="121" t="s">
        <v>4214</v>
      </c>
      <c r="T4833" s="222" t="s">
        <v>4215</v>
      </c>
      <c r="AU4833" s="209" t="s">
        <v>4224</v>
      </c>
    </row>
    <row r="4834" spans="2:47" ht="35.65" x14ac:dyDescent="0.45">
      <c r="B4834" s="143" t="s">
        <v>4210</v>
      </c>
      <c r="C4834" s="8" t="s">
        <v>4175</v>
      </c>
      <c r="L4834" s="18" t="s">
        <v>2334</v>
      </c>
      <c r="R4834" s="121" t="s">
        <v>4210</v>
      </c>
      <c r="S4834" s="121" t="s">
        <v>4216</v>
      </c>
      <c r="T4834" s="222" t="s">
        <v>4217</v>
      </c>
      <c r="AU4834" s="209" t="s">
        <v>4224</v>
      </c>
    </row>
    <row r="4835" spans="2:47" ht="35.65" x14ac:dyDescent="0.45">
      <c r="B4835" s="143" t="s">
        <v>4210</v>
      </c>
      <c r="C4835" s="8" t="s">
        <v>4175</v>
      </c>
      <c r="L4835" s="18" t="s">
        <v>2334</v>
      </c>
      <c r="R4835" s="121" t="s">
        <v>4210</v>
      </c>
      <c r="S4835" s="121" t="s">
        <v>4218</v>
      </c>
      <c r="T4835" s="222" t="s">
        <v>4219</v>
      </c>
      <c r="AU4835" s="209" t="s">
        <v>4224</v>
      </c>
    </row>
    <row r="4836" spans="2:47" ht="35.65" x14ac:dyDescent="0.45">
      <c r="B4836" s="143" t="s">
        <v>4210</v>
      </c>
      <c r="C4836" s="8" t="s">
        <v>4175</v>
      </c>
      <c r="L4836" s="18" t="s">
        <v>2334</v>
      </c>
      <c r="R4836" s="121" t="s">
        <v>4210</v>
      </c>
      <c r="S4836" s="121" t="s">
        <v>4220</v>
      </c>
      <c r="T4836" s="222" t="s">
        <v>4221</v>
      </c>
      <c r="AU4836" s="209" t="s">
        <v>4224</v>
      </c>
    </row>
    <row r="4837" spans="2:47" ht="35.65" x14ac:dyDescent="0.45">
      <c r="B4837" s="143" t="s">
        <v>4210</v>
      </c>
      <c r="C4837" s="8" t="s">
        <v>4175</v>
      </c>
      <c r="L4837" s="18" t="s">
        <v>2334</v>
      </c>
      <c r="R4837" s="121" t="s">
        <v>4210</v>
      </c>
      <c r="S4837" s="121" t="s">
        <v>4222</v>
      </c>
      <c r="T4837" s="222" t="s">
        <v>4223</v>
      </c>
      <c r="AU4837" s="209" t="s">
        <v>4224</v>
      </c>
    </row>
    <row r="4838" spans="2:47" x14ac:dyDescent="0.45">
      <c r="B4838" s="97"/>
    </row>
    <row r="4839" spans="2:47" ht="47.25" x14ac:dyDescent="0.45">
      <c r="B4839" s="143" t="s">
        <v>4208</v>
      </c>
      <c r="C4839" s="8" t="s">
        <v>4175</v>
      </c>
      <c r="L4839" s="18" t="s">
        <v>2334</v>
      </c>
      <c r="Q4839" s="8" t="s">
        <v>3607</v>
      </c>
      <c r="R4839" s="121" t="s">
        <v>4208</v>
      </c>
      <c r="S4839" s="137" t="s">
        <v>4225</v>
      </c>
      <c r="T4839" s="223"/>
      <c r="AU4839" s="209" t="s">
        <v>4232</v>
      </c>
    </row>
    <row r="4840" spans="2:47" ht="47.25" x14ac:dyDescent="0.45">
      <c r="B4840" s="143" t="s">
        <v>4208</v>
      </c>
      <c r="C4840" s="8" t="s">
        <v>4175</v>
      </c>
      <c r="L4840" s="18" t="s">
        <v>2334</v>
      </c>
      <c r="R4840" s="121" t="s">
        <v>4208</v>
      </c>
      <c r="S4840" s="121" t="s">
        <v>4226</v>
      </c>
      <c r="T4840" s="66" t="s">
        <v>4227</v>
      </c>
      <c r="AU4840" s="209" t="s">
        <v>4232</v>
      </c>
    </row>
    <row r="4841" spans="2:47" ht="47.25" x14ac:dyDescent="0.45">
      <c r="B4841" s="143" t="s">
        <v>4208</v>
      </c>
      <c r="C4841" s="8" t="s">
        <v>4175</v>
      </c>
      <c r="L4841" s="18" t="s">
        <v>2334</v>
      </c>
      <c r="R4841" s="121" t="s">
        <v>4208</v>
      </c>
      <c r="S4841" s="121" t="s">
        <v>4228</v>
      </c>
      <c r="T4841" s="66" t="s">
        <v>4229</v>
      </c>
      <c r="AU4841" s="209" t="s">
        <v>4232</v>
      </c>
    </row>
    <row r="4842" spans="2:47" ht="47.25" x14ac:dyDescent="0.45">
      <c r="B4842" s="143" t="s">
        <v>4208</v>
      </c>
      <c r="C4842" s="8" t="s">
        <v>4175</v>
      </c>
      <c r="L4842" s="18" t="s">
        <v>2334</v>
      </c>
      <c r="R4842" s="121" t="s">
        <v>4208</v>
      </c>
      <c r="S4842" s="121" t="s">
        <v>4230</v>
      </c>
      <c r="T4842" s="66" t="s">
        <v>4231</v>
      </c>
      <c r="AU4842" s="209" t="s">
        <v>4232</v>
      </c>
    </row>
    <row r="4843" spans="2:47" x14ac:dyDescent="0.45">
      <c r="B4843" s="97"/>
    </row>
    <row r="4844" spans="2:47" ht="47.25" x14ac:dyDescent="0.45">
      <c r="B4844" s="143" t="s">
        <v>4209</v>
      </c>
      <c r="C4844" s="8" t="s">
        <v>4175</v>
      </c>
      <c r="L4844" s="18" t="s">
        <v>2334</v>
      </c>
      <c r="Q4844" s="8" t="s">
        <v>3607</v>
      </c>
      <c r="R4844" s="121" t="s">
        <v>4209</v>
      </c>
      <c r="S4844" s="137" t="s">
        <v>4233</v>
      </c>
      <c r="T4844" s="223"/>
      <c r="AU4844" s="209" t="s">
        <v>4234</v>
      </c>
    </row>
    <row r="4845" spans="2:47" ht="47.25" x14ac:dyDescent="0.45">
      <c r="B4845" s="143" t="s">
        <v>4209</v>
      </c>
      <c r="C4845" s="8" t="s">
        <v>4175</v>
      </c>
      <c r="L4845" s="18" t="s">
        <v>2334</v>
      </c>
      <c r="R4845" s="121" t="s">
        <v>4209</v>
      </c>
      <c r="S4845" s="121" t="s">
        <v>4241</v>
      </c>
      <c r="T4845" s="66" t="s">
        <v>4242</v>
      </c>
      <c r="AU4845" s="209" t="s">
        <v>4234</v>
      </c>
    </row>
    <row r="4846" spans="2:47" ht="47.25" x14ac:dyDescent="0.45">
      <c r="B4846" s="143" t="s">
        <v>4209</v>
      </c>
      <c r="C4846" s="8" t="s">
        <v>4175</v>
      </c>
      <c r="L4846" s="18" t="s">
        <v>2334</v>
      </c>
      <c r="R4846" s="121" t="s">
        <v>4209</v>
      </c>
      <c r="S4846" s="121" t="s">
        <v>4235</v>
      </c>
      <c r="T4846" s="67" t="s">
        <v>4236</v>
      </c>
      <c r="AU4846" s="209" t="s">
        <v>4234</v>
      </c>
    </row>
    <row r="4847" spans="2:47" ht="47.25" x14ac:dyDescent="0.45">
      <c r="B4847" s="143" t="s">
        <v>4209</v>
      </c>
      <c r="C4847" s="8" t="s">
        <v>4175</v>
      </c>
      <c r="L4847" s="18" t="s">
        <v>2334</v>
      </c>
      <c r="R4847" s="121" t="s">
        <v>4209</v>
      </c>
      <c r="S4847" s="121" t="s">
        <v>4237</v>
      </c>
      <c r="T4847" s="67" t="s">
        <v>4238</v>
      </c>
      <c r="AU4847" s="209" t="s">
        <v>4234</v>
      </c>
    </row>
    <row r="4848" spans="2:47" ht="47.25" x14ac:dyDescent="0.45">
      <c r="B4848" s="143" t="s">
        <v>4209</v>
      </c>
      <c r="C4848" s="8" t="s">
        <v>4175</v>
      </c>
      <c r="L4848" s="18" t="s">
        <v>2334</v>
      </c>
      <c r="R4848" s="121" t="s">
        <v>4209</v>
      </c>
      <c r="S4848" s="121" t="s">
        <v>4239</v>
      </c>
      <c r="T4848" s="67" t="s">
        <v>4240</v>
      </c>
      <c r="AU4848" s="209" t="s">
        <v>4234</v>
      </c>
    </row>
    <row r="4849" spans="2:47" x14ac:dyDescent="0.45">
      <c r="B4849" s="141"/>
      <c r="C4849" s="8"/>
      <c r="T4849" s="18"/>
    </row>
    <row r="4850" spans="2:47" x14ac:dyDescent="0.45">
      <c r="Z4850" s="8" t="s">
        <v>4347</v>
      </c>
      <c r="AA4850" s="8" t="s">
        <v>4343</v>
      </c>
      <c r="AB4850" s="8" t="s">
        <v>2322</v>
      </c>
      <c r="AC4850" s="8" t="s">
        <v>823</v>
      </c>
      <c r="AD4850" s="8" t="s">
        <v>4339</v>
      </c>
      <c r="AE4850" s="154" t="s">
        <v>5</v>
      </c>
    </row>
    <row r="4851" spans="2:47" ht="47.25" x14ac:dyDescent="0.45">
      <c r="B4851" s="121" t="s">
        <v>4301</v>
      </c>
      <c r="C4851" s="8" t="s">
        <v>4175</v>
      </c>
      <c r="Q4851" s="8" t="s">
        <v>3607</v>
      </c>
      <c r="R4851" s="121" t="s">
        <v>4301</v>
      </c>
      <c r="S4851" s="222" t="s">
        <v>4302</v>
      </c>
      <c r="T4851" s="224"/>
      <c r="AA4851" s="8" t="s">
        <v>2644</v>
      </c>
      <c r="AB4851" s="8" t="s">
        <v>4365</v>
      </c>
      <c r="AC4851" s="17"/>
      <c r="AE4851" s="154" t="str">
        <f>S4851</f>
        <v>The NAMUR NE107 Status Signal Description</v>
      </c>
      <c r="AU4851" s="139" t="s">
        <v>4311</v>
      </c>
    </row>
    <row r="4852" spans="2:47" ht="82.15" x14ac:dyDescent="0.45">
      <c r="B4852" s="121" t="s">
        <v>4301</v>
      </c>
      <c r="C4852" s="8" t="s">
        <v>4175</v>
      </c>
      <c r="R4852" s="121" t="s">
        <v>4301</v>
      </c>
      <c r="S4852" s="121" t="s">
        <v>4303</v>
      </c>
      <c r="T4852" s="222" t="s">
        <v>4307</v>
      </c>
      <c r="AA4852" s="8" t="s">
        <v>2644</v>
      </c>
      <c r="AB4852" s="8" t="s">
        <v>4365</v>
      </c>
      <c r="AC4852" s="17" t="str">
        <f>S4852</f>
        <v>Failed</v>
      </c>
      <c r="AE4852" s="154" t="str">
        <f>T4852</f>
        <v>High severity: signal invalid due to malfunction in the device, sensor, or actuator.</v>
      </c>
      <c r="AU4852" s="139" t="s">
        <v>4311</v>
      </c>
    </row>
    <row r="4853" spans="2:47" ht="175.15" x14ac:dyDescent="0.45">
      <c r="B4853" s="121" t="s">
        <v>4301</v>
      </c>
      <c r="C4853" s="8" t="s">
        <v>4175</v>
      </c>
      <c r="R4853" s="121" t="s">
        <v>4301</v>
      </c>
      <c r="S4853" s="121" t="s">
        <v>4304</v>
      </c>
      <c r="T4853" s="222" t="s">
        <v>4309</v>
      </c>
      <c r="AA4853" s="8" t="s">
        <v>2644</v>
      </c>
      <c r="AB4853" s="8" t="s">
        <v>4365</v>
      </c>
      <c r="AC4853" s="17" t="str">
        <f t="shared" ref="AC4853:AC4855" si="121">S4853</f>
        <v>OutOfSpecification</v>
      </c>
      <c r="AE4853" s="154" t="str">
        <f>T4853</f>
        <v>Medium severity: permissible ambient or process conditions exceeded or the measuring uncertainty of sensor or deviations from the set value in actuators is probably greater than expected.</v>
      </c>
      <c r="AU4853" s="139" t="s">
        <v>4311</v>
      </c>
    </row>
    <row r="4854" spans="2:47" ht="163.5" x14ac:dyDescent="0.45">
      <c r="B4854" s="121" t="s">
        <v>4301</v>
      </c>
      <c r="C4854" s="8" t="s">
        <v>4175</v>
      </c>
      <c r="R4854" s="121" t="s">
        <v>4301</v>
      </c>
      <c r="S4854" s="121" t="s">
        <v>4305</v>
      </c>
      <c r="T4854" s="222" t="s">
        <v>4308</v>
      </c>
      <c r="AA4854" s="8" t="s">
        <v>2644</v>
      </c>
      <c r="AB4854" s="8" t="s">
        <v>4365</v>
      </c>
      <c r="AC4854" s="17" t="str">
        <f t="shared" si="121"/>
        <v>MaintenanceRequired</v>
      </c>
      <c r="AE4854" s="154" t="str">
        <f>T4854</f>
        <v>Low severity (advisory):  although the signal is valid, the remaining life is nearly exhausted or a function will soon be restricted due to operational conditions e.g. aging of a pH-electrode.</v>
      </c>
      <c r="AU4854" s="139" t="s">
        <v>4311</v>
      </c>
    </row>
    <row r="4855" spans="2:47" ht="70.5" x14ac:dyDescent="0.45">
      <c r="B4855" s="121" t="s">
        <v>4301</v>
      </c>
      <c r="C4855" s="8" t="s">
        <v>4175</v>
      </c>
      <c r="R4855" s="121" t="s">
        <v>4301</v>
      </c>
      <c r="S4855" s="121" t="s">
        <v>4306</v>
      </c>
      <c r="T4855" s="222" t="s">
        <v>4310</v>
      </c>
      <c r="AA4855" s="8" t="s">
        <v>2644</v>
      </c>
      <c r="AB4855" s="8" t="s">
        <v>4365</v>
      </c>
      <c r="AC4855" s="17" t="str">
        <f t="shared" si="121"/>
        <v>CheckFunction</v>
      </c>
      <c r="AE4855" s="154" t="str">
        <f>T4855</f>
        <v>Signal temporarily invalid (e.g. frozen) due to on-going work on the device.</v>
      </c>
      <c r="AU4855" s="139" t="s">
        <v>4311</v>
      </c>
    </row>
    <row r="4857" spans="2:47" ht="47.25" x14ac:dyDescent="0.45">
      <c r="B4857" s="121" t="s">
        <v>4574</v>
      </c>
      <c r="C4857" s="8" t="s">
        <v>4175</v>
      </c>
      <c r="Q4857" s="8" t="s">
        <v>3607</v>
      </c>
      <c r="R4857" s="121" t="s">
        <v>4574</v>
      </c>
      <c r="S4857" s="222" t="s">
        <v>4575</v>
      </c>
      <c r="T4857" s="224"/>
      <c r="AA4857" s="8" t="s">
        <v>4627</v>
      </c>
      <c r="AB4857" s="8" t="s">
        <v>4579</v>
      </c>
      <c r="AC4857" s="17"/>
      <c r="AE4857" s="154" t="str">
        <f>S4857</f>
        <v>The DCN I/O Network communication status.</v>
      </c>
      <c r="AU4857" s="139" t="s">
        <v>4528</v>
      </c>
    </row>
    <row r="4858" spans="2:47" ht="35.65" x14ac:dyDescent="0.45">
      <c r="B4858" s="121" t="s">
        <v>4574</v>
      </c>
      <c r="C4858" s="8" t="s">
        <v>4175</v>
      </c>
      <c r="R4858" s="121" t="s">
        <v>4574</v>
      </c>
      <c r="S4858" s="121" t="s">
        <v>4522</v>
      </c>
      <c r="T4858" s="222" t="s">
        <v>4307</v>
      </c>
      <c r="AA4858" s="8" t="s">
        <v>4627</v>
      </c>
      <c r="AB4858" s="8" t="s">
        <v>4579</v>
      </c>
      <c r="AC4858" s="17" t="str">
        <f>S4858</f>
        <v>Good</v>
      </c>
      <c r="AE4858" s="154" t="s">
        <v>4576</v>
      </c>
      <c r="AU4858" s="139" t="s">
        <v>4528</v>
      </c>
    </row>
    <row r="4859" spans="2:47" ht="47.25" x14ac:dyDescent="0.45">
      <c r="B4859" s="121" t="s">
        <v>4574</v>
      </c>
      <c r="C4859" s="8" t="s">
        <v>4175</v>
      </c>
      <c r="R4859" s="121" t="s">
        <v>4574</v>
      </c>
      <c r="S4859" s="121" t="s">
        <v>4523</v>
      </c>
      <c r="T4859" s="222" t="s">
        <v>4309</v>
      </c>
      <c r="AA4859" s="8" t="s">
        <v>4627</v>
      </c>
      <c r="AB4859" s="8" t="s">
        <v>4579</v>
      </c>
      <c r="AC4859" s="17" t="str">
        <f t="shared" ref="AC4859:AC4860" si="122">S4859</f>
        <v>Bad</v>
      </c>
      <c r="AE4859" s="154" t="s">
        <v>4577</v>
      </c>
      <c r="AU4859" s="139" t="s">
        <v>4528</v>
      </c>
    </row>
    <row r="4860" spans="2:47" ht="47.25" x14ac:dyDescent="0.45">
      <c r="B4860" s="121" t="s">
        <v>4574</v>
      </c>
      <c r="C4860" s="8" t="s">
        <v>4175</v>
      </c>
      <c r="R4860" s="121" t="s">
        <v>4574</v>
      </c>
      <c r="S4860" s="121" t="s">
        <v>4524</v>
      </c>
      <c r="T4860" s="222" t="s">
        <v>4308</v>
      </c>
      <c r="AA4860" s="8" t="s">
        <v>4627</v>
      </c>
      <c r="AB4860" s="8" t="s">
        <v>4579</v>
      </c>
      <c r="AC4860" s="17" t="str">
        <f t="shared" si="122"/>
        <v>Suspect</v>
      </c>
      <c r="AE4860" s="154" t="s">
        <v>4578</v>
      </c>
      <c r="AU4860" s="139" t="s">
        <v>4528</v>
      </c>
    </row>
    <row r="4862" spans="2:47" ht="47.25" x14ac:dyDescent="0.45">
      <c r="B4862" s="121" t="s">
        <v>4580</v>
      </c>
      <c r="C4862" s="8" t="s">
        <v>4175</v>
      </c>
      <c r="Q4862" s="8" t="s">
        <v>3607</v>
      </c>
      <c r="R4862" s="121" t="s">
        <v>4580</v>
      </c>
      <c r="S4862" s="222" t="s">
        <v>4587</v>
      </c>
      <c r="T4862" s="224"/>
      <c r="AA4862" s="8" t="s">
        <v>4628</v>
      </c>
      <c r="AB4862" s="8" t="s">
        <v>4581</v>
      </c>
      <c r="AC4862" s="17"/>
      <c r="AE4862" s="154" t="str">
        <f>S4862</f>
        <v>The DCN I/O Head Unit communication status.</v>
      </c>
      <c r="AU4862" s="139" t="s">
        <v>4528</v>
      </c>
    </row>
    <row r="4863" spans="2:47" ht="35.65" x14ac:dyDescent="0.45">
      <c r="B4863" s="121" t="s">
        <v>4580</v>
      </c>
      <c r="C4863" s="8" t="s">
        <v>4175</v>
      </c>
      <c r="R4863" s="121" t="s">
        <v>4580</v>
      </c>
      <c r="S4863" s="121" t="s">
        <v>4522</v>
      </c>
      <c r="T4863" s="222" t="s">
        <v>4307</v>
      </c>
      <c r="AA4863" s="8" t="s">
        <v>4628</v>
      </c>
      <c r="AB4863" s="8" t="s">
        <v>4581</v>
      </c>
      <c r="AC4863" s="17" t="str">
        <f>S4863</f>
        <v>Good</v>
      </c>
      <c r="AE4863" s="154" t="s">
        <v>4588</v>
      </c>
      <c r="AU4863" s="139" t="s">
        <v>4528</v>
      </c>
    </row>
    <row r="4864" spans="2:47" ht="47.25" x14ac:dyDescent="0.45">
      <c r="B4864" s="121" t="s">
        <v>4580</v>
      </c>
      <c r="C4864" s="8" t="s">
        <v>4175</v>
      </c>
      <c r="R4864" s="121" t="s">
        <v>4580</v>
      </c>
      <c r="S4864" s="121" t="s">
        <v>4523</v>
      </c>
      <c r="T4864" s="222" t="s">
        <v>4309</v>
      </c>
      <c r="AA4864" s="8" t="s">
        <v>4628</v>
      </c>
      <c r="AB4864" s="8" t="s">
        <v>4581</v>
      </c>
      <c r="AC4864" s="17" t="str">
        <f t="shared" ref="AC4864:AC4865" si="123">S4864</f>
        <v>Bad</v>
      </c>
      <c r="AE4864" s="154" t="s">
        <v>4589</v>
      </c>
      <c r="AU4864" s="139" t="s">
        <v>4528</v>
      </c>
    </row>
    <row r="4865" spans="2:47" ht="47.25" x14ac:dyDescent="0.45">
      <c r="B4865" s="121" t="s">
        <v>4580</v>
      </c>
      <c r="C4865" s="8" t="s">
        <v>4175</v>
      </c>
      <c r="R4865" s="121" t="s">
        <v>4580</v>
      </c>
      <c r="S4865" s="121" t="s">
        <v>4524</v>
      </c>
      <c r="T4865" s="222" t="s">
        <v>4308</v>
      </c>
      <c r="AA4865" s="8" t="s">
        <v>4628</v>
      </c>
      <c r="AB4865" s="8" t="s">
        <v>4581</v>
      </c>
      <c r="AC4865" s="17" t="str">
        <f t="shared" si="123"/>
        <v>Suspect</v>
      </c>
      <c r="AE4865" s="154" t="s">
        <v>4590</v>
      </c>
      <c r="AU4865" s="139" t="s">
        <v>4528</v>
      </c>
    </row>
    <row r="4867" spans="2:47" ht="47.25" x14ac:dyDescent="0.45">
      <c r="B4867" s="121" t="s">
        <v>4582</v>
      </c>
      <c r="C4867" s="8" t="s">
        <v>4175</v>
      </c>
      <c r="Q4867" s="8" t="s">
        <v>3607</v>
      </c>
      <c r="R4867" s="121" t="s">
        <v>4582</v>
      </c>
      <c r="S4867" s="222" t="s">
        <v>4521</v>
      </c>
      <c r="T4867" s="224"/>
      <c r="AA4867" s="8" t="s">
        <v>4629</v>
      </c>
      <c r="AB4867" s="8" t="s">
        <v>4583</v>
      </c>
      <c r="AC4867" s="17"/>
      <c r="AE4867" s="154" t="str">
        <f>S4867</f>
        <v>The DCN I/O Bus communication status.</v>
      </c>
      <c r="AU4867" s="139" t="s">
        <v>4528</v>
      </c>
    </row>
    <row r="4868" spans="2:47" ht="35.65" x14ac:dyDescent="0.45">
      <c r="B4868" s="121" t="s">
        <v>4582</v>
      </c>
      <c r="C4868" s="8" t="s">
        <v>4175</v>
      </c>
      <c r="R4868" s="121" t="s">
        <v>4582</v>
      </c>
      <c r="S4868" s="121" t="s">
        <v>4522</v>
      </c>
      <c r="T4868" s="222" t="s">
        <v>4307</v>
      </c>
      <c r="AA4868" s="8" t="s">
        <v>4629</v>
      </c>
      <c r="AB4868" s="8" t="s">
        <v>4583</v>
      </c>
      <c r="AC4868" s="17" t="str">
        <f>S4868</f>
        <v>Good</v>
      </c>
      <c r="AE4868" s="154" t="s">
        <v>4527</v>
      </c>
      <c r="AU4868" s="139" t="s">
        <v>4528</v>
      </c>
    </row>
    <row r="4869" spans="2:47" ht="47.25" x14ac:dyDescent="0.45">
      <c r="B4869" s="121" t="s">
        <v>4582</v>
      </c>
      <c r="C4869" s="8" t="s">
        <v>4175</v>
      </c>
      <c r="R4869" s="121" t="s">
        <v>4582</v>
      </c>
      <c r="S4869" s="121" t="s">
        <v>4523</v>
      </c>
      <c r="T4869" s="222" t="s">
        <v>4309</v>
      </c>
      <c r="AA4869" s="8" t="s">
        <v>4629</v>
      </c>
      <c r="AB4869" s="8" t="s">
        <v>4583</v>
      </c>
      <c r="AC4869" s="17" t="str">
        <f t="shared" ref="AC4869:AC4870" si="124">S4869</f>
        <v>Bad</v>
      </c>
      <c r="AE4869" s="154" t="s">
        <v>4526</v>
      </c>
      <c r="AU4869" s="139" t="s">
        <v>4528</v>
      </c>
    </row>
    <row r="4870" spans="2:47" ht="47.25" x14ac:dyDescent="0.45">
      <c r="B4870" s="121" t="s">
        <v>4582</v>
      </c>
      <c r="C4870" s="8" t="s">
        <v>4175</v>
      </c>
      <c r="R4870" s="121" t="s">
        <v>4582</v>
      </c>
      <c r="S4870" s="121" t="s">
        <v>4524</v>
      </c>
      <c r="T4870" s="222" t="s">
        <v>4308</v>
      </c>
      <c r="AA4870" s="8" t="s">
        <v>4629</v>
      </c>
      <c r="AB4870" s="8" t="s">
        <v>4583</v>
      </c>
      <c r="AC4870" s="17" t="str">
        <f t="shared" si="124"/>
        <v>Suspect</v>
      </c>
      <c r="AE4870" s="154" t="s">
        <v>4525</v>
      </c>
      <c r="AU4870" s="139" t="s">
        <v>4528</v>
      </c>
    </row>
    <row r="4872" spans="2:47" ht="47.25" x14ac:dyDescent="0.45">
      <c r="B4872" s="121" t="s">
        <v>4584</v>
      </c>
      <c r="C4872" s="8" t="s">
        <v>4175</v>
      </c>
      <c r="Q4872" s="8" t="s">
        <v>3607</v>
      </c>
      <c r="R4872" s="121" t="s">
        <v>4584</v>
      </c>
      <c r="S4872" s="222" t="s">
        <v>4591</v>
      </c>
      <c r="T4872" s="224"/>
      <c r="AA4872" s="8" t="s">
        <v>4630</v>
      </c>
      <c r="AB4872" s="8" t="s">
        <v>4585</v>
      </c>
      <c r="AC4872" s="17"/>
      <c r="AE4872" s="154" t="str">
        <f>S4872</f>
        <v>The DCN I/O Module communication status.</v>
      </c>
      <c r="AU4872" s="139" t="s">
        <v>4528</v>
      </c>
    </row>
    <row r="4873" spans="2:47" ht="35.65" x14ac:dyDescent="0.45">
      <c r="B4873" s="121" t="s">
        <v>4584</v>
      </c>
      <c r="C4873" s="8" t="s">
        <v>4175</v>
      </c>
      <c r="R4873" s="121" t="s">
        <v>4584</v>
      </c>
      <c r="S4873" s="121" t="s">
        <v>4522</v>
      </c>
      <c r="T4873" s="222" t="s">
        <v>4307</v>
      </c>
      <c r="AA4873" s="8" t="s">
        <v>4630</v>
      </c>
      <c r="AB4873" s="8" t="s">
        <v>4585</v>
      </c>
      <c r="AC4873" s="17" t="str">
        <f>S4873</f>
        <v>Good</v>
      </c>
      <c r="AE4873" s="154" t="s">
        <v>4592</v>
      </c>
      <c r="AU4873" s="139" t="s">
        <v>4528</v>
      </c>
    </row>
    <row r="4874" spans="2:47" ht="47.25" x14ac:dyDescent="0.45">
      <c r="B4874" s="121" t="s">
        <v>4584</v>
      </c>
      <c r="C4874" s="8" t="s">
        <v>4175</v>
      </c>
      <c r="R4874" s="121" t="s">
        <v>4584</v>
      </c>
      <c r="S4874" s="121" t="s">
        <v>4523</v>
      </c>
      <c r="T4874" s="222" t="s">
        <v>4309</v>
      </c>
      <c r="AA4874" s="8" t="s">
        <v>4630</v>
      </c>
      <c r="AB4874" s="8" t="s">
        <v>4585</v>
      </c>
      <c r="AC4874" s="17" t="str">
        <f t="shared" ref="AC4874:AC4875" si="125">S4874</f>
        <v>Bad</v>
      </c>
      <c r="AE4874" s="154" t="s">
        <v>4593</v>
      </c>
      <c r="AU4874" s="139" t="s">
        <v>4528</v>
      </c>
    </row>
    <row r="4875" spans="2:47" ht="47.25" x14ac:dyDescent="0.45">
      <c r="B4875" s="121" t="s">
        <v>4584</v>
      </c>
      <c r="C4875" s="8" t="s">
        <v>4175</v>
      </c>
      <c r="R4875" s="121" t="s">
        <v>4584</v>
      </c>
      <c r="S4875" s="121" t="s">
        <v>4524</v>
      </c>
      <c r="T4875" s="222" t="s">
        <v>4308</v>
      </c>
      <c r="AA4875" s="8" t="s">
        <v>4630</v>
      </c>
      <c r="AB4875" s="8" t="s">
        <v>4585</v>
      </c>
      <c r="AC4875" s="17" t="str">
        <f t="shared" si="125"/>
        <v>Suspect</v>
      </c>
      <c r="AE4875" s="154" t="s">
        <v>4594</v>
      </c>
      <c r="AU4875" s="139" t="s">
        <v>4528</v>
      </c>
    </row>
    <row r="4877" spans="2:47" ht="47.25" x14ac:dyDescent="0.45">
      <c r="B4877" s="121" t="s">
        <v>4586</v>
      </c>
      <c r="C4877" s="8" t="s">
        <v>4175</v>
      </c>
      <c r="Q4877" s="8" t="s">
        <v>3607</v>
      </c>
      <c r="R4877" s="121" t="s">
        <v>4586</v>
      </c>
      <c r="S4877" s="222" t="s">
        <v>4595</v>
      </c>
      <c r="T4877" s="224"/>
      <c r="AA4877" s="8" t="s">
        <v>4631</v>
      </c>
      <c r="AB4877" s="8" t="s">
        <v>4585</v>
      </c>
      <c r="AC4877" s="17"/>
      <c r="AE4877" s="154" t="str">
        <f>S4877</f>
        <v>The DCN I/O Channel communication status.</v>
      </c>
      <c r="AU4877" s="139" t="s">
        <v>4528</v>
      </c>
    </row>
    <row r="4878" spans="2:47" ht="35.65" x14ac:dyDescent="0.45">
      <c r="B4878" s="121" t="s">
        <v>4586</v>
      </c>
      <c r="C4878" s="8" t="s">
        <v>4175</v>
      </c>
      <c r="R4878" s="121" t="s">
        <v>4586</v>
      </c>
      <c r="S4878" s="121" t="s">
        <v>4522</v>
      </c>
      <c r="T4878" s="222" t="s">
        <v>4307</v>
      </c>
      <c r="AA4878" s="8" t="s">
        <v>4631</v>
      </c>
      <c r="AB4878" s="8" t="s">
        <v>4585</v>
      </c>
      <c r="AC4878" s="17" t="str">
        <f>S4878</f>
        <v>Good</v>
      </c>
      <c r="AE4878" s="154" t="s">
        <v>4596</v>
      </c>
      <c r="AU4878" s="139" t="s">
        <v>4528</v>
      </c>
    </row>
    <row r="4879" spans="2:47" ht="47.25" x14ac:dyDescent="0.45">
      <c r="B4879" s="121" t="s">
        <v>4586</v>
      </c>
      <c r="C4879" s="8" t="s">
        <v>4175</v>
      </c>
      <c r="R4879" s="121" t="s">
        <v>4586</v>
      </c>
      <c r="S4879" s="121" t="s">
        <v>4523</v>
      </c>
      <c r="T4879" s="222" t="s">
        <v>4309</v>
      </c>
      <c r="AA4879" s="8" t="s">
        <v>4631</v>
      </c>
      <c r="AB4879" s="8" t="s">
        <v>4585</v>
      </c>
      <c r="AC4879" s="17" t="str">
        <f t="shared" ref="AC4879:AC4880" si="126">S4879</f>
        <v>Bad</v>
      </c>
      <c r="AE4879" s="154" t="s">
        <v>4597</v>
      </c>
      <c r="AU4879" s="139" t="s">
        <v>4528</v>
      </c>
    </row>
    <row r="4880" spans="2:47" ht="47.25" x14ac:dyDescent="0.45">
      <c r="B4880" s="121" t="s">
        <v>4586</v>
      </c>
      <c r="C4880" s="8" t="s">
        <v>4175</v>
      </c>
      <c r="R4880" s="121" t="s">
        <v>4586</v>
      </c>
      <c r="S4880" s="121" t="s">
        <v>4524</v>
      </c>
      <c r="T4880" s="222" t="s">
        <v>4308</v>
      </c>
      <c r="AA4880" s="8" t="s">
        <v>4631</v>
      </c>
      <c r="AB4880" s="8" t="s">
        <v>4585</v>
      </c>
      <c r="AC4880" s="17" t="str">
        <f t="shared" si="126"/>
        <v>Suspect</v>
      </c>
      <c r="AE4880" s="154" t="s">
        <v>4598</v>
      </c>
      <c r="AU4880" s="139" t="s">
        <v>4528</v>
      </c>
    </row>
    <row r="4882" spans="2:47" ht="93" x14ac:dyDescent="0.45">
      <c r="B4882" s="121" t="s">
        <v>4658</v>
      </c>
      <c r="C4882" s="8" t="s">
        <v>4175</v>
      </c>
      <c r="Q4882" s="8" t="s">
        <v>3607</v>
      </c>
      <c r="R4882" s="121" t="s">
        <v>4658</v>
      </c>
      <c r="S4882" s="222" t="s">
        <v>4660</v>
      </c>
      <c r="T4882" s="224"/>
      <c r="AA4882" s="8" t="s">
        <v>4661</v>
      </c>
      <c r="AB4882" s="8" t="s">
        <v>4663</v>
      </c>
      <c r="AC4882" s="17"/>
      <c r="AE4882" s="154" t="str">
        <f>S4882</f>
        <v>The Non-O-PAS I/O Subsystem communication status.</v>
      </c>
      <c r="AT4882" s="237" t="s">
        <v>5339</v>
      </c>
      <c r="AU4882" s="139" t="s">
        <v>4528</v>
      </c>
    </row>
    <row r="4883" spans="2:47" ht="93" x14ac:dyDescent="0.45">
      <c r="B4883" s="121" t="s">
        <v>4658</v>
      </c>
      <c r="C4883" s="8" t="s">
        <v>4175</v>
      </c>
      <c r="R4883" s="121" t="s">
        <v>4658</v>
      </c>
      <c r="S4883" s="121" t="s">
        <v>4522</v>
      </c>
      <c r="T4883" s="222" t="s">
        <v>4307</v>
      </c>
      <c r="AA4883" s="8" t="s">
        <v>4661</v>
      </c>
      <c r="AB4883" s="8" t="s">
        <v>4663</v>
      </c>
      <c r="AC4883" s="17" t="str">
        <f>S4883</f>
        <v>Good</v>
      </c>
      <c r="AE4883" s="154" t="s">
        <v>4667</v>
      </c>
      <c r="AT4883" s="237" t="s">
        <v>5338</v>
      </c>
      <c r="AU4883" s="139" t="s">
        <v>4528</v>
      </c>
    </row>
    <row r="4884" spans="2:47" ht="93" x14ac:dyDescent="0.45">
      <c r="B4884" s="121" t="s">
        <v>4658</v>
      </c>
      <c r="C4884" s="8" t="s">
        <v>4175</v>
      </c>
      <c r="R4884" s="121" t="s">
        <v>4658</v>
      </c>
      <c r="S4884" s="121" t="s">
        <v>4523</v>
      </c>
      <c r="T4884" s="222" t="s">
        <v>4309</v>
      </c>
      <c r="AA4884" s="8" t="s">
        <v>4661</v>
      </c>
      <c r="AB4884" s="8" t="s">
        <v>4663</v>
      </c>
      <c r="AC4884" s="17" t="str">
        <f t="shared" ref="AC4884:AC4885" si="127">S4884</f>
        <v>Bad</v>
      </c>
      <c r="AE4884" s="154" t="s">
        <v>4668</v>
      </c>
      <c r="AT4884" s="237" t="s">
        <v>5338</v>
      </c>
      <c r="AU4884" s="139" t="s">
        <v>4528</v>
      </c>
    </row>
    <row r="4885" spans="2:47" ht="93" x14ac:dyDescent="0.45">
      <c r="B4885" s="121" t="s">
        <v>4658</v>
      </c>
      <c r="C4885" s="8" t="s">
        <v>4175</v>
      </c>
      <c r="R4885" s="121" t="s">
        <v>4658</v>
      </c>
      <c r="S4885" s="121" t="s">
        <v>4524</v>
      </c>
      <c r="T4885" s="222" t="s">
        <v>4308</v>
      </c>
      <c r="AA4885" s="8" t="s">
        <v>4661</v>
      </c>
      <c r="AB4885" s="8" t="s">
        <v>4663</v>
      </c>
      <c r="AC4885" s="17" t="str">
        <f t="shared" si="127"/>
        <v>Suspect</v>
      </c>
      <c r="AE4885" s="154" t="s">
        <v>4669</v>
      </c>
      <c r="AT4885" s="237" t="s">
        <v>5338</v>
      </c>
      <c r="AU4885" s="139" t="s">
        <v>4528</v>
      </c>
    </row>
    <row r="4887" spans="2:47" ht="93" x14ac:dyDescent="0.45">
      <c r="B4887" s="121" t="s">
        <v>4659</v>
      </c>
      <c r="C4887" s="8" t="s">
        <v>4175</v>
      </c>
      <c r="Q4887" s="8" t="s">
        <v>3607</v>
      </c>
      <c r="R4887" s="121" t="s">
        <v>4659</v>
      </c>
      <c r="S4887" s="222" t="s">
        <v>4708</v>
      </c>
      <c r="T4887" s="224"/>
      <c r="AA4887" s="8" t="s">
        <v>4662</v>
      </c>
      <c r="AB4887" s="8" t="s">
        <v>4663</v>
      </c>
      <c r="AC4887" s="17"/>
      <c r="AE4887" s="154" t="str">
        <f>S4887</f>
        <v>The Non-O-PAS I/O Device Communication status.</v>
      </c>
      <c r="AT4887" s="237" t="s">
        <v>5339</v>
      </c>
      <c r="AU4887" s="139" t="s">
        <v>4528</v>
      </c>
    </row>
    <row r="4888" spans="2:47" ht="93" x14ac:dyDescent="0.45">
      <c r="B4888" s="121" t="s">
        <v>4659</v>
      </c>
      <c r="C4888" s="8" t="s">
        <v>4175</v>
      </c>
      <c r="R4888" s="121" t="s">
        <v>4659</v>
      </c>
      <c r="S4888" s="121" t="s">
        <v>4522</v>
      </c>
      <c r="T4888" s="222" t="s">
        <v>4307</v>
      </c>
      <c r="AA4888" s="8" t="s">
        <v>4662</v>
      </c>
      <c r="AB4888" s="8" t="s">
        <v>4663</v>
      </c>
      <c r="AC4888" s="17" t="str">
        <f>S4888</f>
        <v>Good</v>
      </c>
      <c r="AE4888" s="154" t="s">
        <v>4664</v>
      </c>
      <c r="AT4888" s="237" t="s">
        <v>5338</v>
      </c>
      <c r="AU4888" s="139" t="s">
        <v>4528</v>
      </c>
    </row>
    <row r="4889" spans="2:47" ht="93" x14ac:dyDescent="0.45">
      <c r="B4889" s="121" t="s">
        <v>4659</v>
      </c>
      <c r="C4889" s="8" t="s">
        <v>4175</v>
      </c>
      <c r="R4889" s="121" t="s">
        <v>4659</v>
      </c>
      <c r="S4889" s="121" t="s">
        <v>4523</v>
      </c>
      <c r="T4889" s="222" t="s">
        <v>4309</v>
      </c>
      <c r="AA4889" s="8" t="s">
        <v>4662</v>
      </c>
      <c r="AB4889" s="8" t="s">
        <v>4663</v>
      </c>
      <c r="AC4889" s="17" t="str">
        <f t="shared" ref="AC4889:AC4890" si="128">S4889</f>
        <v>Bad</v>
      </c>
      <c r="AE4889" s="154" t="s">
        <v>4665</v>
      </c>
      <c r="AT4889" s="237" t="s">
        <v>5338</v>
      </c>
      <c r="AU4889" s="139" t="s">
        <v>4528</v>
      </c>
    </row>
    <row r="4890" spans="2:47" ht="93" x14ac:dyDescent="0.45">
      <c r="B4890" s="121" t="s">
        <v>4659</v>
      </c>
      <c r="C4890" s="8" t="s">
        <v>4175</v>
      </c>
      <c r="R4890" s="121" t="s">
        <v>4659</v>
      </c>
      <c r="S4890" s="121" t="s">
        <v>4524</v>
      </c>
      <c r="T4890" s="222" t="s">
        <v>4308</v>
      </c>
      <c r="AA4890" s="8" t="s">
        <v>4662</v>
      </c>
      <c r="AB4890" s="8" t="s">
        <v>4663</v>
      </c>
      <c r="AC4890" s="17" t="str">
        <f t="shared" si="128"/>
        <v>Suspect</v>
      </c>
      <c r="AE4890" s="154" t="s">
        <v>4666</v>
      </c>
      <c r="AT4890" s="237" t="s">
        <v>5338</v>
      </c>
      <c r="AU4890" s="139" t="s">
        <v>4528</v>
      </c>
    </row>
    <row r="4892" spans="2:47" ht="93" x14ac:dyDescent="0.45">
      <c r="B4892" s="121" t="s">
        <v>4716</v>
      </c>
      <c r="C4892" s="8" t="s">
        <v>4175</v>
      </c>
      <c r="Q4892" s="8" t="s">
        <v>3607</v>
      </c>
      <c r="R4892" s="121" t="s">
        <v>4716</v>
      </c>
      <c r="S4892" s="222" t="s">
        <v>4712</v>
      </c>
      <c r="T4892" s="224"/>
      <c r="AA4892" s="8" t="s">
        <v>4717</v>
      </c>
      <c r="AB4892" s="8" t="s">
        <v>4702</v>
      </c>
      <c r="AC4892" s="17"/>
      <c r="AE4892" s="154" t="str">
        <f>S4892</f>
        <v>The O-PAS I/O Subsystem communication status.</v>
      </c>
      <c r="AT4892" s="237" t="s">
        <v>5339</v>
      </c>
      <c r="AU4892" s="139" t="s">
        <v>4528</v>
      </c>
    </row>
    <row r="4893" spans="2:47" ht="93" x14ac:dyDescent="0.45">
      <c r="B4893" s="121" t="s">
        <v>4716</v>
      </c>
      <c r="C4893" s="8" t="s">
        <v>4175</v>
      </c>
      <c r="R4893" s="121" t="s">
        <v>4716</v>
      </c>
      <c r="S4893" s="121" t="s">
        <v>4522</v>
      </c>
      <c r="T4893" s="222" t="s">
        <v>4307</v>
      </c>
      <c r="AA4893" s="8" t="s">
        <v>4717</v>
      </c>
      <c r="AB4893" s="8" t="s">
        <v>4702</v>
      </c>
      <c r="AC4893" s="17" t="str">
        <f>S4893</f>
        <v>Good</v>
      </c>
      <c r="AE4893" s="154" t="s">
        <v>4713</v>
      </c>
      <c r="AT4893" s="237" t="s">
        <v>5338</v>
      </c>
      <c r="AU4893" s="139" t="s">
        <v>4528</v>
      </c>
    </row>
    <row r="4894" spans="2:47" ht="93" x14ac:dyDescent="0.45">
      <c r="B4894" s="121" t="s">
        <v>4716</v>
      </c>
      <c r="C4894" s="8" t="s">
        <v>4175</v>
      </c>
      <c r="R4894" s="121" t="s">
        <v>4716</v>
      </c>
      <c r="S4894" s="121" t="s">
        <v>4523</v>
      </c>
      <c r="T4894" s="222" t="s">
        <v>4309</v>
      </c>
      <c r="AA4894" s="8" t="s">
        <v>4717</v>
      </c>
      <c r="AB4894" s="8" t="s">
        <v>4702</v>
      </c>
      <c r="AC4894" s="17" t="str">
        <f t="shared" ref="AC4894:AC4895" si="129">S4894</f>
        <v>Bad</v>
      </c>
      <c r="AE4894" s="154" t="s">
        <v>4714</v>
      </c>
      <c r="AT4894" s="237" t="s">
        <v>5338</v>
      </c>
      <c r="AU4894" s="139" t="s">
        <v>4528</v>
      </c>
    </row>
    <row r="4895" spans="2:47" ht="93" x14ac:dyDescent="0.45">
      <c r="B4895" s="121" t="s">
        <v>4716</v>
      </c>
      <c r="C4895" s="8" t="s">
        <v>4175</v>
      </c>
      <c r="R4895" s="121" t="s">
        <v>4716</v>
      </c>
      <c r="S4895" s="121" t="s">
        <v>4524</v>
      </c>
      <c r="T4895" s="222" t="s">
        <v>4308</v>
      </c>
      <c r="AA4895" s="8" t="s">
        <v>4717</v>
      </c>
      <c r="AB4895" s="8" t="s">
        <v>4702</v>
      </c>
      <c r="AC4895" s="17" t="str">
        <f t="shared" si="129"/>
        <v>Suspect</v>
      </c>
      <c r="AE4895" s="154" t="s">
        <v>4715</v>
      </c>
      <c r="AT4895" s="237" t="s">
        <v>5338</v>
      </c>
      <c r="AU4895" s="139" t="s">
        <v>4528</v>
      </c>
    </row>
    <row r="4897" spans="2:47" ht="93" x14ac:dyDescent="0.45">
      <c r="B4897" s="121" t="s">
        <v>4700</v>
      </c>
      <c r="C4897" s="8" t="s">
        <v>4175</v>
      </c>
      <c r="Q4897" s="8" t="s">
        <v>3607</v>
      </c>
      <c r="R4897" s="121" t="s">
        <v>4700</v>
      </c>
      <c r="S4897" s="222" t="s">
        <v>4707</v>
      </c>
      <c r="T4897" s="224"/>
      <c r="AA4897" s="8" t="s">
        <v>4701</v>
      </c>
      <c r="AB4897" s="8" t="s">
        <v>4702</v>
      </c>
      <c r="AC4897" s="17"/>
      <c r="AE4897" s="154" t="str">
        <f>S4897</f>
        <v>The O-PAS I/O Device Communication status.</v>
      </c>
      <c r="AT4897" s="237" t="s">
        <v>5339</v>
      </c>
      <c r="AU4897" s="139" t="s">
        <v>4528</v>
      </c>
    </row>
    <row r="4898" spans="2:47" ht="93" x14ac:dyDescent="0.45">
      <c r="B4898" s="121" t="s">
        <v>4700</v>
      </c>
      <c r="C4898" s="8" t="s">
        <v>4175</v>
      </c>
      <c r="R4898" s="121" t="s">
        <v>4700</v>
      </c>
      <c r="S4898" s="121" t="s">
        <v>4522</v>
      </c>
      <c r="T4898" s="222" t="s">
        <v>4307</v>
      </c>
      <c r="AA4898" s="8" t="s">
        <v>4701</v>
      </c>
      <c r="AB4898" s="8" t="s">
        <v>4702</v>
      </c>
      <c r="AC4898" s="17" t="str">
        <f>S4898</f>
        <v>Good</v>
      </c>
      <c r="AE4898" s="154" t="s">
        <v>4709</v>
      </c>
      <c r="AT4898" s="237" t="s">
        <v>5338</v>
      </c>
      <c r="AU4898" s="139" t="s">
        <v>4528</v>
      </c>
    </row>
    <row r="4899" spans="2:47" ht="93" x14ac:dyDescent="0.45">
      <c r="B4899" s="121" t="s">
        <v>4700</v>
      </c>
      <c r="C4899" s="8" t="s">
        <v>4175</v>
      </c>
      <c r="R4899" s="121" t="s">
        <v>4700</v>
      </c>
      <c r="S4899" s="121" t="s">
        <v>4523</v>
      </c>
      <c r="T4899" s="222" t="s">
        <v>4309</v>
      </c>
      <c r="AA4899" s="8" t="s">
        <v>4701</v>
      </c>
      <c r="AB4899" s="8" t="s">
        <v>4702</v>
      </c>
      <c r="AC4899" s="17" t="str">
        <f t="shared" ref="AC4899:AC4900" si="130">S4899</f>
        <v>Bad</v>
      </c>
      <c r="AE4899" s="154" t="s">
        <v>4711</v>
      </c>
      <c r="AT4899" s="237" t="s">
        <v>5338</v>
      </c>
      <c r="AU4899" s="139" t="s">
        <v>4528</v>
      </c>
    </row>
    <row r="4900" spans="2:47" ht="93" x14ac:dyDescent="0.45">
      <c r="B4900" s="121" t="s">
        <v>4700</v>
      </c>
      <c r="C4900" s="8" t="s">
        <v>4175</v>
      </c>
      <c r="R4900" s="121" t="s">
        <v>4700</v>
      </c>
      <c r="S4900" s="121" t="s">
        <v>4524</v>
      </c>
      <c r="T4900" s="222" t="s">
        <v>4308</v>
      </c>
      <c r="AA4900" s="8" t="s">
        <v>4701</v>
      </c>
      <c r="AB4900" s="8" t="s">
        <v>4702</v>
      </c>
      <c r="AC4900" s="17" t="str">
        <f t="shared" si="130"/>
        <v>Suspect</v>
      </c>
      <c r="AE4900" s="154" t="s">
        <v>4710</v>
      </c>
      <c r="AT4900" s="237" t="s">
        <v>5338</v>
      </c>
      <c r="AU4900" s="139" t="s">
        <v>4528</v>
      </c>
    </row>
    <row r="4901" spans="2:47" x14ac:dyDescent="0.45">
      <c r="AF4901" s="183"/>
    </row>
    <row r="4902" spans="2:47" ht="82.15" x14ac:dyDescent="0.45">
      <c r="B4902" s="121" t="s">
        <v>4952</v>
      </c>
      <c r="C4902" s="8" t="s">
        <v>4175</v>
      </c>
      <c r="Q4902" s="8" t="s">
        <v>3607</v>
      </c>
      <c r="R4902" s="121" t="s">
        <v>4952</v>
      </c>
      <c r="S4902" s="222" t="s">
        <v>4953</v>
      </c>
      <c r="T4902" s="224"/>
      <c r="AA4902" s="8" t="s">
        <v>4951</v>
      </c>
      <c r="AB4902" s="8" t="s">
        <v>4954</v>
      </c>
      <c r="AC4902" s="17"/>
      <c r="AE4902" s="154" t="str">
        <f>S4902</f>
        <v>The O-PAS Execution Engine communication status with I/O.</v>
      </c>
      <c r="AU4902" s="139" t="s">
        <v>5223</v>
      </c>
    </row>
    <row r="4903" spans="2:47" ht="82.15" x14ac:dyDescent="0.45">
      <c r="B4903" s="121" t="s">
        <v>4952</v>
      </c>
      <c r="C4903" s="8" t="s">
        <v>4175</v>
      </c>
      <c r="R4903" s="121" t="s">
        <v>4952</v>
      </c>
      <c r="S4903" s="121" t="s">
        <v>4522</v>
      </c>
      <c r="T4903" s="222" t="s">
        <v>4307</v>
      </c>
      <c r="AA4903" s="8" t="s">
        <v>4951</v>
      </c>
      <c r="AB4903" s="8" t="s">
        <v>4954</v>
      </c>
      <c r="AC4903" s="17" t="str">
        <f>S4903</f>
        <v>Good</v>
      </c>
      <c r="AE4903" s="154" t="s">
        <v>4955</v>
      </c>
      <c r="AU4903" s="139" t="s">
        <v>5223</v>
      </c>
    </row>
    <row r="4904" spans="2:47" ht="82.15" x14ac:dyDescent="0.45">
      <c r="B4904" s="121" t="s">
        <v>4952</v>
      </c>
      <c r="C4904" s="8" t="s">
        <v>4175</v>
      </c>
      <c r="R4904" s="121" t="s">
        <v>4952</v>
      </c>
      <c r="S4904" s="121" t="s">
        <v>4523</v>
      </c>
      <c r="T4904" s="222" t="s">
        <v>4309</v>
      </c>
      <c r="AA4904" s="8" t="s">
        <v>4951</v>
      </c>
      <c r="AB4904" s="8" t="s">
        <v>4954</v>
      </c>
      <c r="AC4904" s="17" t="str">
        <f t="shared" ref="AC4904:AC4905" si="131">S4904</f>
        <v>Bad</v>
      </c>
      <c r="AE4904" s="154" t="s">
        <v>4956</v>
      </c>
      <c r="AU4904" s="139" t="s">
        <v>5223</v>
      </c>
    </row>
    <row r="4905" spans="2:47" ht="82.15" x14ac:dyDescent="0.45">
      <c r="B4905" s="121" t="s">
        <v>4952</v>
      </c>
      <c r="C4905" s="8" t="s">
        <v>4175</v>
      </c>
      <c r="R4905" s="121" t="s">
        <v>4952</v>
      </c>
      <c r="S4905" s="121" t="s">
        <v>4524</v>
      </c>
      <c r="T4905" s="222" t="s">
        <v>4308</v>
      </c>
      <c r="AA4905" s="8" t="s">
        <v>4951</v>
      </c>
      <c r="AB4905" s="8" t="s">
        <v>4954</v>
      </c>
      <c r="AC4905" s="17" t="str">
        <f t="shared" si="131"/>
        <v>Suspect</v>
      </c>
      <c r="AD4905" s="183"/>
      <c r="AE4905" s="154" t="s">
        <v>4957</v>
      </c>
      <c r="AU4905" s="139" t="s">
        <v>5223</v>
      </c>
    </row>
    <row r="4907" spans="2:47" ht="93" x14ac:dyDescent="0.45">
      <c r="B4907" s="121" t="s">
        <v>5214</v>
      </c>
      <c r="C4907" s="8" t="s">
        <v>4175</v>
      </c>
      <c r="Q4907" s="8" t="s">
        <v>3607</v>
      </c>
      <c r="R4907" s="121" t="s">
        <v>5214</v>
      </c>
      <c r="S4907" s="222" t="s">
        <v>5114</v>
      </c>
      <c r="T4907" s="224"/>
      <c r="AA4907" s="8" t="s">
        <v>5215</v>
      </c>
      <c r="AB4907" s="8" t="s">
        <v>5118</v>
      </c>
      <c r="AC4907" s="17"/>
      <c r="AE4907" s="154" t="str">
        <f>S4907</f>
        <v>The DCN Function Block Execution Engine Type</v>
      </c>
      <c r="AT4907" s="237" t="s">
        <v>5339</v>
      </c>
      <c r="AU4907" s="139" t="s">
        <v>5119</v>
      </c>
    </row>
    <row r="4908" spans="2:47" ht="93" x14ac:dyDescent="0.45">
      <c r="B4908" s="121" t="s">
        <v>5214</v>
      </c>
      <c r="C4908" s="8" t="s">
        <v>4175</v>
      </c>
      <c r="R4908" s="121" t="s">
        <v>5214</v>
      </c>
      <c r="S4908" s="121" t="s">
        <v>5111</v>
      </c>
      <c r="T4908" s="222" t="s">
        <v>5116</v>
      </c>
      <c r="AA4908" s="8" t="s">
        <v>5215</v>
      </c>
      <c r="AB4908" s="8" t="s">
        <v>5118</v>
      </c>
      <c r="AC4908" s="17" t="str">
        <f>S4908</f>
        <v>IEC61131</v>
      </c>
      <c r="AE4908" s="154" t="str">
        <f>T4908</f>
        <v>Function Block Execution Engine supports IEC 61131.</v>
      </c>
      <c r="AT4908" s="237" t="s">
        <v>5338</v>
      </c>
      <c r="AU4908" s="139" t="s">
        <v>5119</v>
      </c>
    </row>
    <row r="4909" spans="2:47" ht="93" x14ac:dyDescent="0.45">
      <c r="B4909" s="121" t="s">
        <v>5214</v>
      </c>
      <c r="C4909" s="8" t="s">
        <v>4175</v>
      </c>
      <c r="R4909" s="121" t="s">
        <v>5214</v>
      </c>
      <c r="S4909" s="121" t="s">
        <v>5112</v>
      </c>
      <c r="T4909" s="222" t="s">
        <v>5115</v>
      </c>
      <c r="AA4909" s="8" t="s">
        <v>5215</v>
      </c>
      <c r="AB4909" s="8" t="s">
        <v>5118</v>
      </c>
      <c r="AC4909" s="17" t="str">
        <f t="shared" ref="AC4909:AC4910" si="132">S4909</f>
        <v>IEC61499</v>
      </c>
      <c r="AE4909" s="154" t="str">
        <f>T4909</f>
        <v>Function Block Execution Engine supports IEC 61449.</v>
      </c>
      <c r="AT4909" s="237" t="s">
        <v>5338</v>
      </c>
      <c r="AU4909" s="139" t="s">
        <v>5119</v>
      </c>
    </row>
    <row r="4910" spans="2:47" ht="93" x14ac:dyDescent="0.45">
      <c r="B4910" s="121" t="s">
        <v>5214</v>
      </c>
      <c r="C4910" s="8" t="s">
        <v>4175</v>
      </c>
      <c r="R4910" s="121" t="s">
        <v>5214</v>
      </c>
      <c r="S4910" s="121" t="s">
        <v>5113</v>
      </c>
      <c r="T4910" s="222" t="s">
        <v>5117</v>
      </c>
      <c r="AA4910" s="8" t="s">
        <v>5215</v>
      </c>
      <c r="AB4910" s="8" t="s">
        <v>5118</v>
      </c>
      <c r="AC4910" s="17" t="str">
        <f t="shared" si="132"/>
        <v>Other</v>
      </c>
      <c r="AE4910" s="154" t="str">
        <f>T4910</f>
        <v>Function Block Execution Engine does not support predefined Execution Engine types.</v>
      </c>
      <c r="AT4910" s="237" t="s">
        <v>5338</v>
      </c>
      <c r="AU4910" s="139" t="s">
        <v>5119</v>
      </c>
    </row>
    <row r="4912" spans="2:47" ht="47.25" x14ac:dyDescent="0.45">
      <c r="B4912" s="121" t="s">
        <v>5300</v>
      </c>
      <c r="C4912" s="8" t="s">
        <v>4175</v>
      </c>
      <c r="Q4912" s="8" t="s">
        <v>3607</v>
      </c>
      <c r="R4912" s="121" t="s">
        <v>5300</v>
      </c>
      <c r="S4912" s="222" t="s">
        <v>5304</v>
      </c>
      <c r="T4912" s="224"/>
      <c r="Z4912" s="8" t="s">
        <v>4366</v>
      </c>
      <c r="AA4912" s="8" t="s">
        <v>5303</v>
      </c>
      <c r="AB4912" s="8" t="s">
        <v>4183</v>
      </c>
      <c r="AC4912" s="17"/>
      <c r="AE4912" s="154" t="str">
        <f>S4912</f>
        <v>The type of O-PAS Node</v>
      </c>
      <c r="AT4912" s="240" t="s">
        <v>5306</v>
      </c>
      <c r="AU4912" s="139" t="s">
        <v>5119</v>
      </c>
    </row>
    <row r="4913" spans="2:47" ht="47.25" x14ac:dyDescent="0.45">
      <c r="B4913" s="121" t="s">
        <v>5300</v>
      </c>
      <c r="C4913" s="8" t="s">
        <v>4175</v>
      </c>
      <c r="R4913" s="121" t="s">
        <v>5300</v>
      </c>
      <c r="S4913" s="121" t="s">
        <v>5301</v>
      </c>
      <c r="T4913" s="222" t="s">
        <v>5302</v>
      </c>
      <c r="Z4913" s="8" t="s">
        <v>4360</v>
      </c>
      <c r="AA4913" s="8" t="s">
        <v>5303</v>
      </c>
      <c r="AB4913" s="8" t="s">
        <v>4183</v>
      </c>
      <c r="AC4913" s="17" t="str">
        <f t="shared" ref="AC4913:AC4914" si="133">S4913</f>
        <v>DCN</v>
      </c>
      <c r="AE4913" s="154" t="str">
        <f>T4913</f>
        <v>Distributed Control Node</v>
      </c>
      <c r="AT4913" s="240" t="s">
        <v>5306</v>
      </c>
      <c r="AU4913" s="139" t="s">
        <v>5119</v>
      </c>
    </row>
    <row r="4914" spans="2:47" ht="47.25" x14ac:dyDescent="0.45">
      <c r="B4914" s="121" t="s">
        <v>5300</v>
      </c>
      <c r="C4914" s="8" t="s">
        <v>4175</v>
      </c>
      <c r="R4914" s="121" t="s">
        <v>5300</v>
      </c>
      <c r="S4914" s="121" t="s">
        <v>5113</v>
      </c>
      <c r="T4914" s="222" t="s">
        <v>5305</v>
      </c>
      <c r="Z4914" s="8" t="s">
        <v>4360</v>
      </c>
      <c r="AA4914" s="8" t="s">
        <v>5303</v>
      </c>
      <c r="AB4914" s="8" t="s">
        <v>4183</v>
      </c>
      <c r="AC4914" s="17" t="str">
        <f t="shared" si="133"/>
        <v>Other</v>
      </c>
      <c r="AE4914" s="154" t="str">
        <f>T4914</f>
        <v>Other O-PAS Node Type</v>
      </c>
      <c r="AT4914" s="240" t="s">
        <v>5306</v>
      </c>
      <c r="AU4914" s="139" t="s">
        <v>5119</v>
      </c>
    </row>
    <row r="4915" spans="2:47" ht="58.9" x14ac:dyDescent="0.45">
      <c r="B4915" s="17" t="s">
        <v>5954</v>
      </c>
      <c r="Z4915" s="8" t="s">
        <v>4366</v>
      </c>
      <c r="AA4915" s="8" t="s">
        <v>5969</v>
      </c>
      <c r="AB4915" s="8" t="s">
        <v>4183</v>
      </c>
      <c r="AE4915" s="154" t="s">
        <v>5955</v>
      </c>
      <c r="AR4915" s="297" t="s">
        <v>5970</v>
      </c>
    </row>
    <row r="4916" spans="2:47" ht="82.15" x14ac:dyDescent="0.45">
      <c r="B4916" s="17" t="s">
        <v>5954</v>
      </c>
      <c r="Z4916" s="8" t="s">
        <v>4360</v>
      </c>
      <c r="AA4916" s="8" t="s">
        <v>5969</v>
      </c>
      <c r="AB4916" s="8" t="s">
        <v>4183</v>
      </c>
      <c r="AC4916" s="8" t="s">
        <v>5963</v>
      </c>
      <c r="AE4916" s="154" t="s">
        <v>5956</v>
      </c>
      <c r="AR4916" s="297" t="s">
        <v>5970</v>
      </c>
    </row>
    <row r="4917" spans="2:47" ht="105.4" x14ac:dyDescent="0.45">
      <c r="B4917" s="17" t="s">
        <v>5954</v>
      </c>
      <c r="Z4917" s="8" t="s">
        <v>4360</v>
      </c>
      <c r="AA4917" s="8" t="s">
        <v>5969</v>
      </c>
      <c r="AB4917" s="8" t="s">
        <v>4183</v>
      </c>
      <c r="AC4917" s="8" t="s">
        <v>5964</v>
      </c>
      <c r="AE4917" s="154" t="s">
        <v>5957</v>
      </c>
      <c r="AR4917" s="297" t="s">
        <v>5970</v>
      </c>
    </row>
    <row r="4918" spans="2:47" ht="140.25" x14ac:dyDescent="0.45">
      <c r="B4918" s="17" t="s">
        <v>5954</v>
      </c>
      <c r="Z4918" s="8" t="s">
        <v>4360</v>
      </c>
      <c r="AA4918" s="8" t="s">
        <v>5969</v>
      </c>
      <c r="AB4918" s="8" t="s">
        <v>4183</v>
      </c>
      <c r="AC4918" s="8" t="s">
        <v>1281</v>
      </c>
      <c r="AE4918" s="154" t="s">
        <v>5958</v>
      </c>
      <c r="AR4918" s="297" t="s">
        <v>5970</v>
      </c>
    </row>
    <row r="4919" spans="2:47" ht="244.9" x14ac:dyDescent="0.45">
      <c r="B4919" s="17" t="s">
        <v>5954</v>
      </c>
      <c r="Z4919" s="8" t="s">
        <v>4360</v>
      </c>
      <c r="AA4919" s="8" t="s">
        <v>5969</v>
      </c>
      <c r="AB4919" s="8" t="s">
        <v>4183</v>
      </c>
      <c r="AC4919" s="8" t="s">
        <v>5965</v>
      </c>
      <c r="AE4919" s="154" t="s">
        <v>5959</v>
      </c>
      <c r="AR4919" s="297" t="s">
        <v>5970</v>
      </c>
    </row>
    <row r="4920" spans="2:47" ht="58.9" x14ac:dyDescent="0.45">
      <c r="B4920" s="17" t="s">
        <v>5954</v>
      </c>
      <c r="Z4920" s="8" t="s">
        <v>4360</v>
      </c>
      <c r="AA4920" s="8" t="s">
        <v>5969</v>
      </c>
      <c r="AB4920" s="8" t="s">
        <v>4183</v>
      </c>
      <c r="AC4920" s="8" t="s">
        <v>5966</v>
      </c>
      <c r="AE4920" s="154" t="s">
        <v>5960</v>
      </c>
      <c r="AR4920" s="297" t="s">
        <v>5970</v>
      </c>
    </row>
    <row r="4921" spans="2:47" ht="58.9" x14ac:dyDescent="0.45">
      <c r="B4921" s="17" t="s">
        <v>5954</v>
      </c>
      <c r="Z4921" s="8" t="s">
        <v>4360</v>
      </c>
      <c r="AA4921" s="8" t="s">
        <v>5969</v>
      </c>
      <c r="AB4921" s="8" t="s">
        <v>4183</v>
      </c>
      <c r="AC4921" s="8" t="s">
        <v>5967</v>
      </c>
      <c r="AE4921" s="154" t="s">
        <v>5961</v>
      </c>
      <c r="AR4921" s="297" t="s">
        <v>5970</v>
      </c>
    </row>
    <row r="4922" spans="2:47" ht="58.9" x14ac:dyDescent="0.45">
      <c r="B4922" s="17" t="s">
        <v>5954</v>
      </c>
      <c r="Z4922" s="8" t="s">
        <v>4360</v>
      </c>
      <c r="AA4922" s="8" t="s">
        <v>5969</v>
      </c>
      <c r="AB4922" s="8" t="s">
        <v>4183</v>
      </c>
      <c r="AC4922" s="8" t="s">
        <v>5968</v>
      </c>
      <c r="AE4922" s="154" t="s">
        <v>5962</v>
      </c>
      <c r="AR4922" s="297" t="s">
        <v>5970</v>
      </c>
    </row>
    <row r="4923" spans="2:47" ht="58.9" x14ac:dyDescent="0.45">
      <c r="B4923" s="17" t="s">
        <v>5982</v>
      </c>
      <c r="Z4923" s="8" t="s">
        <v>4366</v>
      </c>
      <c r="AA4923" s="17" t="s">
        <v>5983</v>
      </c>
      <c r="AB4923" s="8" t="s">
        <v>5984</v>
      </c>
      <c r="AE4923" s="154" t="s">
        <v>5980</v>
      </c>
      <c r="AR4923" s="297" t="s">
        <v>5970</v>
      </c>
    </row>
    <row r="4924" spans="2:47" ht="58.9" x14ac:dyDescent="0.45">
      <c r="B4924" s="17" t="s">
        <v>5982</v>
      </c>
      <c r="Z4924" s="8" t="s">
        <v>4360</v>
      </c>
      <c r="AA4924" s="17" t="s">
        <v>5983</v>
      </c>
      <c r="AB4924" s="8" t="s">
        <v>5984</v>
      </c>
      <c r="AC4924" s="8" t="s">
        <v>5963</v>
      </c>
      <c r="AE4924" s="154" t="s">
        <v>5977</v>
      </c>
      <c r="AR4924" s="297" t="s">
        <v>5970</v>
      </c>
    </row>
    <row r="4925" spans="2:47" ht="163.5" x14ac:dyDescent="0.45">
      <c r="B4925" s="17" t="s">
        <v>5982</v>
      </c>
      <c r="Z4925" s="8" t="s">
        <v>4360</v>
      </c>
      <c r="AA4925" s="17" t="s">
        <v>5983</v>
      </c>
      <c r="AB4925" s="8" t="s">
        <v>5984</v>
      </c>
      <c r="AC4925" s="8" t="s">
        <v>5964</v>
      </c>
      <c r="AE4925" s="154" t="s">
        <v>5979</v>
      </c>
      <c r="AR4925" s="297" t="s">
        <v>5970</v>
      </c>
    </row>
    <row r="4926" spans="2:47" ht="151.9" x14ac:dyDescent="0.45">
      <c r="B4926" s="17" t="s">
        <v>5982</v>
      </c>
      <c r="Z4926" s="8" t="s">
        <v>4360</v>
      </c>
      <c r="AA4926" s="17" t="s">
        <v>5983</v>
      </c>
      <c r="AB4926" s="8" t="s">
        <v>5984</v>
      </c>
      <c r="AC4926" s="8" t="s">
        <v>1281</v>
      </c>
      <c r="AE4926" s="154" t="s">
        <v>5978</v>
      </c>
      <c r="AR4926" s="297" t="s">
        <v>5970</v>
      </c>
    </row>
  </sheetData>
  <autoFilter ref="A1:AW4640" xr:uid="{00000000-0009-0000-0000-000001000000}">
    <filterColumn colId="27">
      <iconFilter iconSet="3Arrows"/>
    </filterColumn>
  </autoFilter>
  <mergeCells count="1876">
    <mergeCell ref="C2618:D2618"/>
    <mergeCell ref="E2618:F2618"/>
    <mergeCell ref="G2618:H2618"/>
    <mergeCell ref="C2619:D2619"/>
    <mergeCell ref="E2619:F2619"/>
    <mergeCell ref="G2619:H2619"/>
    <mergeCell ref="A2649:F2649"/>
    <mergeCell ref="A2651:B2652"/>
    <mergeCell ref="C2651:F2651"/>
    <mergeCell ref="C2652:D2652"/>
    <mergeCell ref="E2652:F2652"/>
    <mergeCell ref="G2652:H2652"/>
    <mergeCell ref="C2653:D2653"/>
    <mergeCell ref="E2653:F2653"/>
    <mergeCell ref="G2653:H2653"/>
    <mergeCell ref="C2654:D2654"/>
    <mergeCell ref="E2654:F2654"/>
    <mergeCell ref="G2654:H2654"/>
    <mergeCell ref="A2573:F2573"/>
    <mergeCell ref="A2575:B2576"/>
    <mergeCell ref="C2575:F2575"/>
    <mergeCell ref="C2576:D2576"/>
    <mergeCell ref="E2576:F2576"/>
    <mergeCell ref="G2576:H2576"/>
    <mergeCell ref="C2577:D2577"/>
    <mergeCell ref="E2577:F2577"/>
    <mergeCell ref="G2577:H2577"/>
    <mergeCell ref="C2578:D2578"/>
    <mergeCell ref="E2578:F2578"/>
    <mergeCell ref="G2578:H2578"/>
    <mergeCell ref="A2614:F2614"/>
    <mergeCell ref="A2616:B2617"/>
    <mergeCell ref="C2616:F2616"/>
    <mergeCell ref="C2617:D2617"/>
    <mergeCell ref="E2617:F2617"/>
    <mergeCell ref="G2617:H2617"/>
    <mergeCell ref="C2460:D2460"/>
    <mergeCell ref="E2460:F2460"/>
    <mergeCell ref="G2460:H2460"/>
    <mergeCell ref="C2461:D2461"/>
    <mergeCell ref="E2461:F2461"/>
    <mergeCell ref="G2461:H2461"/>
    <mergeCell ref="A2516:F2516"/>
    <mergeCell ref="A2518:B2519"/>
    <mergeCell ref="C2518:F2518"/>
    <mergeCell ref="C2519:D2519"/>
    <mergeCell ref="E2519:F2519"/>
    <mergeCell ref="G2519:H2519"/>
    <mergeCell ref="C2520:D2520"/>
    <mergeCell ref="E2520:F2520"/>
    <mergeCell ref="G2520:H2520"/>
    <mergeCell ref="C2521:D2521"/>
    <mergeCell ref="E2521:F2521"/>
    <mergeCell ref="G2521:H2521"/>
    <mergeCell ref="A2363:F2363"/>
    <mergeCell ref="A2365:B2366"/>
    <mergeCell ref="C2365:F2365"/>
    <mergeCell ref="C2366:D2366"/>
    <mergeCell ref="E2366:F2366"/>
    <mergeCell ref="G2366:H2366"/>
    <mergeCell ref="C2367:D2367"/>
    <mergeCell ref="E2367:F2367"/>
    <mergeCell ref="G2367:H2367"/>
    <mergeCell ref="C2368:D2368"/>
    <mergeCell ref="E2368:F2368"/>
    <mergeCell ref="G2368:H2368"/>
    <mergeCell ref="A2456:F2456"/>
    <mergeCell ref="A2458:B2459"/>
    <mergeCell ref="C2458:F2458"/>
    <mergeCell ref="C2459:D2459"/>
    <mergeCell ref="E2459:F2459"/>
    <mergeCell ref="G2459:H2459"/>
    <mergeCell ref="C2257:D2257"/>
    <mergeCell ref="E2257:F2257"/>
    <mergeCell ref="G2257:H2257"/>
    <mergeCell ref="C2258:D2258"/>
    <mergeCell ref="E2258:F2258"/>
    <mergeCell ref="G2258:H2258"/>
    <mergeCell ref="A2294:F2294"/>
    <mergeCell ref="A2296:B2297"/>
    <mergeCell ref="C2296:F2296"/>
    <mergeCell ref="C2297:D2297"/>
    <mergeCell ref="E2297:F2297"/>
    <mergeCell ref="G2297:H2297"/>
    <mergeCell ref="C2298:D2298"/>
    <mergeCell ref="E2298:F2298"/>
    <mergeCell ref="G2298:H2298"/>
    <mergeCell ref="C2299:D2299"/>
    <mergeCell ref="E2299:F2299"/>
    <mergeCell ref="G2299:H2299"/>
    <mergeCell ref="A2253:F2253"/>
    <mergeCell ref="A2255:B2256"/>
    <mergeCell ref="C2255:F2255"/>
    <mergeCell ref="C2256:D2256"/>
    <mergeCell ref="E2256:F2256"/>
    <mergeCell ref="G2256:H2256"/>
    <mergeCell ref="A2201:F2201"/>
    <mergeCell ref="A2203:B2204"/>
    <mergeCell ref="C2203:F2203"/>
    <mergeCell ref="C2204:D2204"/>
    <mergeCell ref="E2204:F2204"/>
    <mergeCell ref="G2204:H2204"/>
    <mergeCell ref="C2205:D2205"/>
    <mergeCell ref="E2205:F2205"/>
    <mergeCell ref="G2205:H2205"/>
    <mergeCell ref="C2206:D2206"/>
    <mergeCell ref="E2206:F2206"/>
    <mergeCell ref="G2206:H2206"/>
    <mergeCell ref="G4486:H4486"/>
    <mergeCell ref="C4513:D4513"/>
    <mergeCell ref="E4513:F4513"/>
    <mergeCell ref="G4513:H4513"/>
    <mergeCell ref="C4512:D4512"/>
    <mergeCell ref="A4394:H4394"/>
    <mergeCell ref="A4398:B4399"/>
    <mergeCell ref="C4398:F4398"/>
    <mergeCell ref="C4399:D4399"/>
    <mergeCell ref="E4399:F4399"/>
    <mergeCell ref="G4399:H4399"/>
    <mergeCell ref="G4129:H4129"/>
    <mergeCell ref="C4130:D4130"/>
    <mergeCell ref="E4130:F4130"/>
    <mergeCell ref="G4130:H4130"/>
    <mergeCell ref="C4131:D4131"/>
    <mergeCell ref="E4131:F4131"/>
    <mergeCell ref="G4131:H4131"/>
    <mergeCell ref="C4409:F4409"/>
    <mergeCell ref="C4265:D4265"/>
    <mergeCell ref="E4265:F4265"/>
    <mergeCell ref="G4447:H4447"/>
    <mergeCell ref="E4310:F4310"/>
    <mergeCell ref="C4473:D4473"/>
    <mergeCell ref="E4473:F4473"/>
    <mergeCell ref="G4473:H4473"/>
    <mergeCell ref="G4436:H4436"/>
    <mergeCell ref="C4437:D4437"/>
    <mergeCell ref="E4437:F4437"/>
    <mergeCell ref="G4437:H4437"/>
    <mergeCell ref="C4446:F4446"/>
    <mergeCell ref="C4447:D4447"/>
    <mergeCell ref="R4132:X4132"/>
    <mergeCell ref="S4161:X4161"/>
    <mergeCell ref="S4162:X4162"/>
    <mergeCell ref="A4163:B4164"/>
    <mergeCell ref="G4248:H4248"/>
    <mergeCell ref="G4560:H4560"/>
    <mergeCell ref="E4512:F4512"/>
    <mergeCell ref="E4559:F4559"/>
    <mergeCell ref="C4560:D4560"/>
    <mergeCell ref="E4560:F4560"/>
    <mergeCell ref="A4471:F4471"/>
    <mergeCell ref="G4500:H4500"/>
    <mergeCell ref="C4501:D4501"/>
    <mergeCell ref="E4501:F4501"/>
    <mergeCell ref="G4501:H4501"/>
    <mergeCell ref="C4535:D4535"/>
    <mergeCell ref="G4449:H4449"/>
    <mergeCell ref="A4233:F4233"/>
    <mergeCell ref="A4234:B4235"/>
    <mergeCell ref="C4234:F4234"/>
    <mergeCell ref="C4235:D4235"/>
    <mergeCell ref="E4235:F4235"/>
    <mergeCell ref="G4235:H4235"/>
    <mergeCell ref="C4236:D4236"/>
    <mergeCell ref="E4236:F4236"/>
    <mergeCell ref="G4164:H4164"/>
    <mergeCell ref="C4165:D4165"/>
    <mergeCell ref="E4165:F4165"/>
    <mergeCell ref="G4165:H4165"/>
    <mergeCell ref="S4407:X4407"/>
    <mergeCell ref="S4408:X4408"/>
    <mergeCell ref="A4409:B4410"/>
    <mergeCell ref="S4090:X4090"/>
    <mergeCell ref="S4091:X4091"/>
    <mergeCell ref="A4092:B4093"/>
    <mergeCell ref="C4092:F4092"/>
    <mergeCell ref="S4092:X4092"/>
    <mergeCell ref="C4093:D4093"/>
    <mergeCell ref="E4093:F4093"/>
    <mergeCell ref="G4093:H4093"/>
    <mergeCell ref="C4094:D4094"/>
    <mergeCell ref="E4094:F4094"/>
    <mergeCell ref="G4094:H4094"/>
    <mergeCell ref="C4095:D4095"/>
    <mergeCell ref="E4095:F4095"/>
    <mergeCell ref="G4095:H4095"/>
    <mergeCell ref="R4096:X4096"/>
    <mergeCell ref="A4357:H4357"/>
    <mergeCell ref="C4166:D4166"/>
    <mergeCell ref="E4166:F4166"/>
    <mergeCell ref="G4166:H4166"/>
    <mergeCell ref="R4167:X4167"/>
    <mergeCell ref="S4128:X4128"/>
    <mergeCell ref="C4129:D4129"/>
    <mergeCell ref="E4129:F4129"/>
    <mergeCell ref="A4263:B4264"/>
    <mergeCell ref="C4263:F4263"/>
    <mergeCell ref="C4264:D4264"/>
    <mergeCell ref="E4264:F4264"/>
    <mergeCell ref="G4264:H4264"/>
    <mergeCell ref="A4116:F4116"/>
    <mergeCell ref="A4117:B4118"/>
    <mergeCell ref="C4117:F4117"/>
    <mergeCell ref="C4118:D4118"/>
    <mergeCell ref="S4245:X4245"/>
    <mergeCell ref="C4246:D4246"/>
    <mergeCell ref="E4246:F4246"/>
    <mergeCell ref="G4246:H4246"/>
    <mergeCell ref="C4247:D4247"/>
    <mergeCell ref="E4247:F4247"/>
    <mergeCell ref="G4247:H4247"/>
    <mergeCell ref="C4248:D4248"/>
    <mergeCell ref="C4411:D4411"/>
    <mergeCell ref="E4411:F4411"/>
    <mergeCell ref="G4411:H4411"/>
    <mergeCell ref="C4412:D4412"/>
    <mergeCell ref="E4412:F4412"/>
    <mergeCell ref="G4412:H4412"/>
    <mergeCell ref="R4413:X4413"/>
    <mergeCell ref="A4397:F4397"/>
    <mergeCell ref="C4163:F4163"/>
    <mergeCell ref="S4163:X4163"/>
    <mergeCell ref="C4164:D4164"/>
    <mergeCell ref="E4164:F4164"/>
    <mergeCell ref="S4409:X4409"/>
    <mergeCell ref="C4410:D4410"/>
    <mergeCell ref="E4410:F4410"/>
    <mergeCell ref="G4410:H4410"/>
    <mergeCell ref="A4187:B4188"/>
    <mergeCell ref="C4245:F4245"/>
    <mergeCell ref="C4362:D4362"/>
    <mergeCell ref="E4362:F4362"/>
    <mergeCell ref="G3869:H3869"/>
    <mergeCell ref="G4311:H4311"/>
    <mergeCell ref="G4119:H4119"/>
    <mergeCell ref="A4151:F4151"/>
    <mergeCell ref="A4152:B4153"/>
    <mergeCell ref="C4152:F4152"/>
    <mergeCell ref="C4153:D4153"/>
    <mergeCell ref="E4153:F4153"/>
    <mergeCell ref="G4153:H4153"/>
    <mergeCell ref="C4154:D4154"/>
    <mergeCell ref="E4154:F4154"/>
    <mergeCell ref="G4154:H4154"/>
    <mergeCell ref="R4249:X4249"/>
    <mergeCell ref="A4434:F4434"/>
    <mergeCell ref="S4444:X4444"/>
    <mergeCell ref="C3881:D3881"/>
    <mergeCell ref="G3880:H3880"/>
    <mergeCell ref="G3945:H3945"/>
    <mergeCell ref="G3946:H3946"/>
    <mergeCell ref="G4052:H4052"/>
    <mergeCell ref="C4190:D4190"/>
    <mergeCell ref="E4190:F4190"/>
    <mergeCell ref="G4190:H4190"/>
    <mergeCell ref="C4052:D4052"/>
    <mergeCell ref="A4037:F4037"/>
    <mergeCell ref="C3878:F3878"/>
    <mergeCell ref="C3879:D3879"/>
    <mergeCell ref="E3879:F3879"/>
    <mergeCell ref="C3880:D3880"/>
    <mergeCell ref="S4126:X4126"/>
    <mergeCell ref="S4127:X4127"/>
    <mergeCell ref="A4128:B4129"/>
    <mergeCell ref="S4445:X4445"/>
    <mergeCell ref="S4446:X4446"/>
    <mergeCell ref="C4364:D4364"/>
    <mergeCell ref="E4364:F4364"/>
    <mergeCell ref="G4364:H4364"/>
    <mergeCell ref="R4365:X4365"/>
    <mergeCell ref="A4350:B4351"/>
    <mergeCell ref="C4350:F4350"/>
    <mergeCell ref="C4351:D4351"/>
    <mergeCell ref="E4351:F4351"/>
    <mergeCell ref="G4351:H4351"/>
    <mergeCell ref="C4352:D4352"/>
    <mergeCell ref="E4352:F4352"/>
    <mergeCell ref="G4352:H4352"/>
    <mergeCell ref="S4359:X4359"/>
    <mergeCell ref="S4360:X4360"/>
    <mergeCell ref="A4262:F4262"/>
    <mergeCell ref="G4309:H4309"/>
    <mergeCell ref="G4310:H4310"/>
    <mergeCell ref="S4361:X4361"/>
    <mergeCell ref="R4278:X4278"/>
    <mergeCell ref="S4272:X4272"/>
    <mergeCell ref="S4273:X4273"/>
    <mergeCell ref="S4274:X4274"/>
    <mergeCell ref="E4275:F4275"/>
    <mergeCell ref="C4309:D4309"/>
    <mergeCell ref="E4309:F4309"/>
    <mergeCell ref="C4400:D4400"/>
    <mergeCell ref="E4400:F4400"/>
    <mergeCell ref="C4435:F4435"/>
    <mergeCell ref="C4436:D4436"/>
    <mergeCell ref="E4436:F4436"/>
    <mergeCell ref="G3868:H3868"/>
    <mergeCell ref="A3749:F3749"/>
    <mergeCell ref="A3750:B3751"/>
    <mergeCell ref="C3750:F3750"/>
    <mergeCell ref="C3751:D3751"/>
    <mergeCell ref="E3751:F3751"/>
    <mergeCell ref="G3751:H3751"/>
    <mergeCell ref="C3752:D3752"/>
    <mergeCell ref="E3752:F3752"/>
    <mergeCell ref="G3752:H3752"/>
    <mergeCell ref="A3783:F3783"/>
    <mergeCell ref="A3784:B3785"/>
    <mergeCell ref="C3784:F3784"/>
    <mergeCell ref="C3785:D3785"/>
    <mergeCell ref="E3785:F3785"/>
    <mergeCell ref="G3785:H3785"/>
    <mergeCell ref="G3764:H3764"/>
    <mergeCell ref="C3797:D3797"/>
    <mergeCell ref="A3866:F3866"/>
    <mergeCell ref="A3867:B3868"/>
    <mergeCell ref="C3867:F3867"/>
    <mergeCell ref="C3763:D3763"/>
    <mergeCell ref="E3763:F3763"/>
    <mergeCell ref="C3795:F3795"/>
    <mergeCell ref="C3796:D3796"/>
    <mergeCell ref="C3786:D3786"/>
    <mergeCell ref="C3762:D3762"/>
    <mergeCell ref="E3786:F3786"/>
    <mergeCell ref="G3723:H3723"/>
    <mergeCell ref="A4038:B4039"/>
    <mergeCell ref="C4038:F4038"/>
    <mergeCell ref="C4039:D4039"/>
    <mergeCell ref="E4039:F4039"/>
    <mergeCell ref="G4039:H4039"/>
    <mergeCell ref="A4296:F4296"/>
    <mergeCell ref="A4297:B4298"/>
    <mergeCell ref="C4297:F4297"/>
    <mergeCell ref="C4298:D4298"/>
    <mergeCell ref="E4298:F4298"/>
    <mergeCell ref="G4298:H4298"/>
    <mergeCell ref="C4299:D4299"/>
    <mergeCell ref="E4299:F4299"/>
    <mergeCell ref="G4299:H4299"/>
    <mergeCell ref="G3881:H3881"/>
    <mergeCell ref="C3947:D3947"/>
    <mergeCell ref="E3947:F3947"/>
    <mergeCell ref="G3947:H3947"/>
    <mergeCell ref="G4050:H4050"/>
    <mergeCell ref="G4051:H4051"/>
    <mergeCell ref="G4188:H4188"/>
    <mergeCell ref="G4189:H4189"/>
    <mergeCell ref="G3763:H3763"/>
    <mergeCell ref="G3796:H3796"/>
    <mergeCell ref="G3797:H3797"/>
    <mergeCell ref="E4052:F4052"/>
    <mergeCell ref="C4187:F4187"/>
    <mergeCell ref="C3868:D3868"/>
    <mergeCell ref="E3868:F3868"/>
    <mergeCell ref="G4236:H4236"/>
    <mergeCell ref="A4245:B4246"/>
    <mergeCell ref="C4665:D4665"/>
    <mergeCell ref="E4665:F4665"/>
    <mergeCell ref="G4665:H4665"/>
    <mergeCell ref="C4666:D4666"/>
    <mergeCell ref="E4666:F4666"/>
    <mergeCell ref="G4666:H4666"/>
    <mergeCell ref="R4667:X4667"/>
    <mergeCell ref="R4651:X4651"/>
    <mergeCell ref="S4661:X4661"/>
    <mergeCell ref="S4662:X4662"/>
    <mergeCell ref="A4663:B4664"/>
    <mergeCell ref="C4663:F4663"/>
    <mergeCell ref="S4663:X4663"/>
    <mergeCell ref="C4664:D4664"/>
    <mergeCell ref="E4664:F4664"/>
    <mergeCell ref="G4664:H4664"/>
    <mergeCell ref="C4641:F4641"/>
    <mergeCell ref="C4642:F4642"/>
    <mergeCell ref="C4643:F4643"/>
    <mergeCell ref="C4644:F4644"/>
    <mergeCell ref="C4645:F4645"/>
    <mergeCell ref="C4646:F4646"/>
    <mergeCell ref="C4647:F4647"/>
    <mergeCell ref="C4648:F4648"/>
    <mergeCell ref="R3799:W3799"/>
    <mergeCell ref="S3876:X3876"/>
    <mergeCell ref="S3877:X3877"/>
    <mergeCell ref="S3878:X3878"/>
    <mergeCell ref="S4510:X4510"/>
    <mergeCell ref="R4514:X4514"/>
    <mergeCell ref="S3942:X3942"/>
    <mergeCell ref="S3943:X3943"/>
    <mergeCell ref="S3944:X3944"/>
    <mergeCell ref="S4047:X4047"/>
    <mergeCell ref="S4048:X4048"/>
    <mergeCell ref="S4049:X4049"/>
    <mergeCell ref="S4185:X4185"/>
    <mergeCell ref="S4186:X4186"/>
    <mergeCell ref="S4187:X4187"/>
    <mergeCell ref="S4306:X4306"/>
    <mergeCell ref="S4307:X4307"/>
    <mergeCell ref="S4308:X4308"/>
    <mergeCell ref="S4481:X4481"/>
    <mergeCell ref="S4482:X4482"/>
    <mergeCell ref="S4483:X4483"/>
    <mergeCell ref="S4508:X4508"/>
    <mergeCell ref="S4509:X4509"/>
    <mergeCell ref="R3882:X3882"/>
    <mergeCell ref="R3948:X3948"/>
    <mergeCell ref="R4053:X4053"/>
    <mergeCell ref="R4191:X4191"/>
    <mergeCell ref="R4312:X4312"/>
    <mergeCell ref="R4487:X4487"/>
    <mergeCell ref="R4450:X4450"/>
    <mergeCell ref="S4243:X4243"/>
    <mergeCell ref="S4244:X4244"/>
    <mergeCell ref="W3763:W3764"/>
    <mergeCell ref="X3763:X3764"/>
    <mergeCell ref="R3765:W3765"/>
    <mergeCell ref="S3793:X3793"/>
    <mergeCell ref="S3794:X3794"/>
    <mergeCell ref="S3795:X3795"/>
    <mergeCell ref="S3796:X3796"/>
    <mergeCell ref="S3797:S3798"/>
    <mergeCell ref="T3797:T3798"/>
    <mergeCell ref="U3797:U3798"/>
    <mergeCell ref="V3797:V3798"/>
    <mergeCell ref="W3797:W3798"/>
    <mergeCell ref="X3797:X3798"/>
    <mergeCell ref="S3761:X3761"/>
    <mergeCell ref="S3762:X3762"/>
    <mergeCell ref="S3763:S3764"/>
    <mergeCell ref="T3763:T3764"/>
    <mergeCell ref="U3763:U3764"/>
    <mergeCell ref="V3763:V3764"/>
    <mergeCell ref="S3487:X3487"/>
    <mergeCell ref="S3157:X3157"/>
    <mergeCell ref="S3158:X3158"/>
    <mergeCell ref="S3159:X3159"/>
    <mergeCell ref="R3166:X3166"/>
    <mergeCell ref="S3053:X3053"/>
    <mergeCell ref="S3054:X3054"/>
    <mergeCell ref="S3055:X3055"/>
    <mergeCell ref="R3062:X3062"/>
    <mergeCell ref="S3488:X3488"/>
    <mergeCell ref="R49:X49"/>
    <mergeCell ref="R1166:X1166"/>
    <mergeCell ref="R2122:X2122"/>
    <mergeCell ref="R3493:X3493"/>
    <mergeCell ref="R3575:X3575"/>
    <mergeCell ref="R3660:X3660"/>
    <mergeCell ref="R3736:X3736"/>
    <mergeCell ref="G3734:H3734"/>
    <mergeCell ref="G3762:H3762"/>
    <mergeCell ref="E4535:F4535"/>
    <mergeCell ref="G4535:H4535"/>
    <mergeCell ref="G4484:H4484"/>
    <mergeCell ref="E4533:F4533"/>
    <mergeCell ref="C4533:D4533"/>
    <mergeCell ref="A4472:B4473"/>
    <mergeCell ref="C4474:D4474"/>
    <mergeCell ref="E4474:F4474"/>
    <mergeCell ref="G4474:H4474"/>
    <mergeCell ref="S43:X43"/>
    <mergeCell ref="S44:X44"/>
    <mergeCell ref="S45:X45"/>
    <mergeCell ref="S2113:X2113"/>
    <mergeCell ref="S2114:X2114"/>
    <mergeCell ref="S2115:X2115"/>
    <mergeCell ref="S3569:X3569"/>
    <mergeCell ref="S3570:X3570"/>
    <mergeCell ref="S3571:X3571"/>
    <mergeCell ref="S3654:X3654"/>
    <mergeCell ref="S3655:X3655"/>
    <mergeCell ref="S3656:X3656"/>
    <mergeCell ref="S3730:X3730"/>
    <mergeCell ref="S3731:X3731"/>
    <mergeCell ref="S3732:X3732"/>
    <mergeCell ref="S3759:X3759"/>
    <mergeCell ref="S3760:X3760"/>
    <mergeCell ref="S1160:X1160"/>
    <mergeCell ref="S1161:X1161"/>
    <mergeCell ref="S1162:X1162"/>
    <mergeCell ref="S3489:X3489"/>
    <mergeCell ref="G4040:H4040"/>
    <mergeCell ref="A4349:F4349"/>
    <mergeCell ref="C4448:D4448"/>
    <mergeCell ref="E4248:F4248"/>
    <mergeCell ref="G4362:H4362"/>
    <mergeCell ref="G4363:H4363"/>
    <mergeCell ref="C4276:D4276"/>
    <mergeCell ref="E4276:F4276"/>
    <mergeCell ref="G4276:H4276"/>
    <mergeCell ref="C4277:D4277"/>
    <mergeCell ref="E4277:F4277"/>
    <mergeCell ref="G4277:H4277"/>
    <mergeCell ref="A4274:B4275"/>
    <mergeCell ref="C4274:F4274"/>
    <mergeCell ref="C4275:D4275"/>
    <mergeCell ref="C4128:F4128"/>
    <mergeCell ref="C4310:D4310"/>
    <mergeCell ref="C4311:D4311"/>
    <mergeCell ref="E4311:F4311"/>
    <mergeCell ref="A4080:F4080"/>
    <mergeCell ref="A4081:B4082"/>
    <mergeCell ref="C4081:F4081"/>
    <mergeCell ref="C4082:D4082"/>
    <mergeCell ref="E4082:F4082"/>
    <mergeCell ref="G4082:H4082"/>
    <mergeCell ref="C4083:D4083"/>
    <mergeCell ref="E4083:F4083"/>
    <mergeCell ref="G4083:H4083"/>
    <mergeCell ref="E4118:F4118"/>
    <mergeCell ref="G4118:H4118"/>
    <mergeCell ref="C4119:D4119"/>
    <mergeCell ref="E4119:F4119"/>
    <mergeCell ref="G3647:H3647"/>
    <mergeCell ref="C3657:D3657"/>
    <mergeCell ref="C3646:D3646"/>
    <mergeCell ref="G3704:H3704"/>
    <mergeCell ref="C4308:F4308"/>
    <mergeCell ref="E3946:F3946"/>
    <mergeCell ref="C3733:D3733"/>
    <mergeCell ref="A3878:B3879"/>
    <mergeCell ref="C3732:F3732"/>
    <mergeCell ref="A4049:B4050"/>
    <mergeCell ref="C3946:D3946"/>
    <mergeCell ref="C3869:D3869"/>
    <mergeCell ref="C4049:F4049"/>
    <mergeCell ref="C3798:D3798"/>
    <mergeCell ref="E3798:F3798"/>
    <mergeCell ref="G3798:H3798"/>
    <mergeCell ref="A3720:F3720"/>
    <mergeCell ref="A3721:B3722"/>
    <mergeCell ref="C3721:F3721"/>
    <mergeCell ref="C3722:D3722"/>
    <mergeCell ref="E3722:F3722"/>
    <mergeCell ref="G3722:H3722"/>
    <mergeCell ref="C3723:D3723"/>
    <mergeCell ref="C3735:D3735"/>
    <mergeCell ref="E3735:F3735"/>
    <mergeCell ref="G3735:H3735"/>
    <mergeCell ref="C3734:D3734"/>
    <mergeCell ref="A4308:B4309"/>
    <mergeCell ref="G4265:H4265"/>
    <mergeCell ref="G3702:H3702"/>
    <mergeCell ref="G3703:H3703"/>
    <mergeCell ref="G3733:H3733"/>
    <mergeCell ref="G3572:H3572"/>
    <mergeCell ref="G3573:H3573"/>
    <mergeCell ref="C3458:D3458"/>
    <mergeCell ref="E3458:F3458"/>
    <mergeCell ref="E3704:F3704"/>
    <mergeCell ref="G3786:H3786"/>
    <mergeCell ref="G3659:H3659"/>
    <mergeCell ref="G3658:H3658"/>
    <mergeCell ref="G3676:H3676"/>
    <mergeCell ref="G3677:H3677"/>
    <mergeCell ref="G3688:H3688"/>
    <mergeCell ref="G3689:H3689"/>
    <mergeCell ref="G3657:H3657"/>
    <mergeCell ref="E3678:F3678"/>
    <mergeCell ref="G3678:H3678"/>
    <mergeCell ref="E3573:F3573"/>
    <mergeCell ref="E3646:F3646"/>
    <mergeCell ref="C3690:D3690"/>
    <mergeCell ref="E3690:F3690"/>
    <mergeCell ref="G3690:H3690"/>
    <mergeCell ref="G3476:H3476"/>
    <mergeCell ref="G3490:H3490"/>
    <mergeCell ref="G3491:H3491"/>
    <mergeCell ref="C3689:D3689"/>
    <mergeCell ref="C3676:D3676"/>
    <mergeCell ref="E3676:F3676"/>
    <mergeCell ref="C3675:F3675"/>
    <mergeCell ref="C3677:D3677"/>
    <mergeCell ref="E3677:F3677"/>
    <mergeCell ref="G3646:H3646"/>
    <mergeCell ref="C3647:D3647"/>
    <mergeCell ref="E3647:F3647"/>
    <mergeCell ref="G3384:H3384"/>
    <mergeCell ref="C3388:D3388"/>
    <mergeCell ref="E3388:F3388"/>
    <mergeCell ref="G3388:H3388"/>
    <mergeCell ref="C3477:D3477"/>
    <mergeCell ref="E3477:F3477"/>
    <mergeCell ref="G3477:H3477"/>
    <mergeCell ref="C3492:D3492"/>
    <mergeCell ref="E3492:F3492"/>
    <mergeCell ref="G3492:H3492"/>
    <mergeCell ref="C3574:D3574"/>
    <mergeCell ref="E3574:F3574"/>
    <mergeCell ref="G3574:H3574"/>
    <mergeCell ref="C3443:D3443"/>
    <mergeCell ref="E3443:F3443"/>
    <mergeCell ref="G3473:H3473"/>
    <mergeCell ref="G3475:H3475"/>
    <mergeCell ref="C3387:D3387"/>
    <mergeCell ref="E3387:F3387"/>
    <mergeCell ref="C3404:D3404"/>
    <mergeCell ref="E3404:F3404"/>
    <mergeCell ref="G3404:H3404"/>
    <mergeCell ref="G3459:H3459"/>
    <mergeCell ref="C3444:D3444"/>
    <mergeCell ref="E3444:F3444"/>
    <mergeCell ref="G3444:H3444"/>
    <mergeCell ref="C3459:D3459"/>
    <mergeCell ref="E3459:F3459"/>
    <mergeCell ref="E3442:F3442"/>
    <mergeCell ref="C3442:D3442"/>
    <mergeCell ref="G3386:H3386"/>
    <mergeCell ref="G3387:H3387"/>
    <mergeCell ref="G3356:H3356"/>
    <mergeCell ref="E2899:F2899"/>
    <mergeCell ref="A2959:F2959"/>
    <mergeCell ref="E3161:F3161"/>
    <mergeCell ref="G3005:H3005"/>
    <mergeCell ref="G3006:H3006"/>
    <mergeCell ref="G3057:H3057"/>
    <mergeCell ref="G3007:H3007"/>
    <mergeCell ref="C3061:D3061"/>
    <mergeCell ref="E3061:F3061"/>
    <mergeCell ref="G3061:H3061"/>
    <mergeCell ref="C3353:D3353"/>
    <mergeCell ref="E3353:F3353"/>
    <mergeCell ref="G3031:H3031"/>
    <mergeCell ref="A3004:B3005"/>
    <mergeCell ref="C2965:D2965"/>
    <mergeCell ref="E2965:F2965"/>
    <mergeCell ref="E3006:F3006"/>
    <mergeCell ref="A3056:B3057"/>
    <mergeCell ref="C3056:F3056"/>
    <mergeCell ref="C3057:D3057"/>
    <mergeCell ref="G3268:H3268"/>
    <mergeCell ref="G3264:H3264"/>
    <mergeCell ref="G3266:H3266"/>
    <mergeCell ref="G3353:H3353"/>
    <mergeCell ref="A3350:F3350"/>
    <mergeCell ref="A3240:F3240"/>
    <mergeCell ref="E3057:F3057"/>
    <mergeCell ref="C3268:D3268"/>
    <mergeCell ref="E3268:F3268"/>
    <mergeCell ref="C3354:F3354"/>
    <mergeCell ref="G2962:H2962"/>
    <mergeCell ref="G2964:H2964"/>
    <mergeCell ref="G2965:H2965"/>
    <mergeCell ref="G3003:H3003"/>
    <mergeCell ref="G3059:H3059"/>
    <mergeCell ref="G3060:H3060"/>
    <mergeCell ref="G3161:H3161"/>
    <mergeCell ref="G3163:H3163"/>
    <mergeCell ref="G3164:H3164"/>
    <mergeCell ref="G3243:H3243"/>
    <mergeCell ref="G3032:H3032"/>
    <mergeCell ref="G3033:H3033"/>
    <mergeCell ref="G3165:H3165"/>
    <mergeCell ref="G2901:H2901"/>
    <mergeCell ref="G2966:H2966"/>
    <mergeCell ref="E3355:F3355"/>
    <mergeCell ref="C3060:D3060"/>
    <mergeCell ref="E3060:F3060"/>
    <mergeCell ref="C3263:F3263"/>
    <mergeCell ref="C3264:D3264"/>
    <mergeCell ref="C3160:F3160"/>
    <mergeCell ref="C3162:F3162"/>
    <mergeCell ref="C3007:D3007"/>
    <mergeCell ref="E3007:F3007"/>
    <mergeCell ref="C3164:D3164"/>
    <mergeCell ref="G3355:H3355"/>
    <mergeCell ref="C3032:D3032"/>
    <mergeCell ref="E3032:F3032"/>
    <mergeCell ref="C3058:F3058"/>
    <mergeCell ref="C3059:D3059"/>
    <mergeCell ref="E3033:F3033"/>
    <mergeCell ref="E3059:F3059"/>
    <mergeCell ref="A3158:F3158"/>
    <mergeCell ref="G1989:H1989"/>
    <mergeCell ref="G1991:H1991"/>
    <mergeCell ref="G2069:H2069"/>
    <mergeCell ref="C1879:D1879"/>
    <mergeCell ref="A1957:B1958"/>
    <mergeCell ref="C1957:F1957"/>
    <mergeCell ref="C1958:D1958"/>
    <mergeCell ref="E1958:F1958"/>
    <mergeCell ref="A1902:B1903"/>
    <mergeCell ref="A1955:B1956"/>
    <mergeCell ref="C1911:F1911"/>
    <mergeCell ref="C1912:D1912"/>
    <mergeCell ref="E1912:F1912"/>
    <mergeCell ref="E2045:F2045"/>
    <mergeCell ref="C1990:F1990"/>
    <mergeCell ref="C1991:D1991"/>
    <mergeCell ref="C2045:D2045"/>
    <mergeCell ref="A2042:B2043"/>
    <mergeCell ref="C2042:F2042"/>
    <mergeCell ref="E2046:F2046"/>
    <mergeCell ref="C2043:D2043"/>
    <mergeCell ref="E2043:F2043"/>
    <mergeCell ref="C1902:F1902"/>
    <mergeCell ref="A1990:B1991"/>
    <mergeCell ref="A1971:F1971"/>
    <mergeCell ref="C2069:D2069"/>
    <mergeCell ref="E2069:F2069"/>
    <mergeCell ref="A2067:B2068"/>
    <mergeCell ref="C2067:F2067"/>
    <mergeCell ref="C2068:D2068"/>
    <mergeCell ref="E2068:F2068"/>
    <mergeCell ref="E1991:F1991"/>
    <mergeCell ref="G2120:H2120"/>
    <mergeCell ref="G2772:H2772"/>
    <mergeCell ref="G2774:H2774"/>
    <mergeCell ref="E1325:F1325"/>
    <mergeCell ref="C1327:D1327"/>
    <mergeCell ref="C1323:D1323"/>
    <mergeCell ref="C1424:D1424"/>
    <mergeCell ref="E1424:F1424"/>
    <mergeCell ref="A1489:F1489"/>
    <mergeCell ref="E1323:F1323"/>
    <mergeCell ref="E1717:F1717"/>
    <mergeCell ref="A1759:F1759"/>
    <mergeCell ref="A1762:F1762"/>
    <mergeCell ref="G1601:H1601"/>
    <mergeCell ref="G1602:H1602"/>
    <mergeCell ref="G1687:H1687"/>
    <mergeCell ref="E1785:F1785"/>
    <mergeCell ref="G1785:H1785"/>
    <mergeCell ref="G1689:H1689"/>
    <mergeCell ref="G1876:H1876"/>
    <mergeCell ref="G1810:H1810"/>
    <mergeCell ref="G1847:H1847"/>
    <mergeCell ref="G1880:H1880"/>
    <mergeCell ref="G2019:H2019"/>
    <mergeCell ref="G2043:H2043"/>
    <mergeCell ref="G2045:H2045"/>
    <mergeCell ref="C2020:D2020"/>
    <mergeCell ref="E2020:F2020"/>
    <mergeCell ref="A2063:F2063"/>
    <mergeCell ref="G1992:H1992"/>
    <mergeCell ref="G2016:H2016"/>
    <mergeCell ref="G2018:H2018"/>
    <mergeCell ref="G2070:H2070"/>
    <mergeCell ref="G2121:H2121"/>
    <mergeCell ref="G2709:H2709"/>
    <mergeCell ref="G1828:H1828"/>
    <mergeCell ref="G1014:H1014"/>
    <mergeCell ref="G1016:H1016"/>
    <mergeCell ref="G1017:H1017"/>
    <mergeCell ref="G1054:H1054"/>
    <mergeCell ref="G1055:H1055"/>
    <mergeCell ref="G1066:H1066"/>
    <mergeCell ref="G1068:H1068"/>
    <mergeCell ref="G1069:H1069"/>
    <mergeCell ref="G1138:H1138"/>
    <mergeCell ref="G1806:H1806"/>
    <mergeCell ref="G1534:H1534"/>
    <mergeCell ref="G1535:H1535"/>
    <mergeCell ref="G1599:H1599"/>
    <mergeCell ref="G1364:H1364"/>
    <mergeCell ref="G1603:H1603"/>
    <mergeCell ref="G1233:H1233"/>
    <mergeCell ref="G1235:H1235"/>
    <mergeCell ref="G1236:H1236"/>
    <mergeCell ref="G1304:H1304"/>
    <mergeCell ref="G1165:H1165"/>
    <mergeCell ref="G1237:H1237"/>
    <mergeCell ref="G1826:H1826"/>
    <mergeCell ref="G1827:H1827"/>
    <mergeCell ref="G1843:H1843"/>
    <mergeCell ref="G2105:H2105"/>
    <mergeCell ref="G2106:H2106"/>
    <mergeCell ref="G2117:H2117"/>
    <mergeCell ref="G2119:H2119"/>
    <mergeCell ref="G14:H14"/>
    <mergeCell ref="C48:D48"/>
    <mergeCell ref="E48:F48"/>
    <mergeCell ref="G48:H48"/>
    <mergeCell ref="C184:D184"/>
    <mergeCell ref="E184:F184"/>
    <mergeCell ref="G184:H184"/>
    <mergeCell ref="C289:D289"/>
    <mergeCell ref="E289:F289"/>
    <mergeCell ref="G289:H289"/>
    <mergeCell ref="C323:D323"/>
    <mergeCell ref="E323:F323"/>
    <mergeCell ref="G323:H323"/>
    <mergeCell ref="C362:D362"/>
    <mergeCell ref="E490:F490"/>
    <mergeCell ref="C489:F489"/>
    <mergeCell ref="G47:H47"/>
    <mergeCell ref="G180:H180"/>
    <mergeCell ref="G182:H182"/>
    <mergeCell ref="G183:H183"/>
    <mergeCell ref="G285:H285"/>
    <mergeCell ref="G287:H287"/>
    <mergeCell ref="G288:H288"/>
    <mergeCell ref="G319:H319"/>
    <mergeCell ref="G321:H321"/>
    <mergeCell ref="C490:D490"/>
    <mergeCell ref="E361:F361"/>
    <mergeCell ref="E360:F360"/>
    <mergeCell ref="C33:D33"/>
    <mergeCell ref="E33:F33"/>
    <mergeCell ref="G362:H362"/>
    <mergeCell ref="C361:D361"/>
    <mergeCell ref="G2707:H2707"/>
    <mergeCell ref="C2708:D2708"/>
    <mergeCell ref="E2708:F2708"/>
    <mergeCell ref="G2708:H2708"/>
    <mergeCell ref="A3028:F3028"/>
    <mergeCell ref="A3030:B3031"/>
    <mergeCell ref="C3030:F3030"/>
    <mergeCell ref="C3031:D3031"/>
    <mergeCell ref="G4485:H4485"/>
    <mergeCell ref="G4511:H4511"/>
    <mergeCell ref="G4512:H4512"/>
    <mergeCell ref="G3402:H3402"/>
    <mergeCell ref="G3403:H3403"/>
    <mergeCell ref="G3442:H3442"/>
    <mergeCell ref="G3443:H3443"/>
    <mergeCell ref="G3457:H3457"/>
    <mergeCell ref="G3458:H3458"/>
    <mergeCell ref="G3879:H3879"/>
    <mergeCell ref="C3004:F3004"/>
    <mergeCell ref="C3005:D3005"/>
    <mergeCell ref="C3357:D3357"/>
    <mergeCell ref="E3357:F3357"/>
    <mergeCell ref="G3357:H3357"/>
    <mergeCell ref="G2776:H2776"/>
    <mergeCell ref="G2775:H2775"/>
    <mergeCell ref="G3267:H3267"/>
    <mergeCell ref="G2834:H2834"/>
    <mergeCell ref="G2897:H2897"/>
    <mergeCell ref="A3383:B3384"/>
    <mergeCell ref="C3355:D3355"/>
    <mergeCell ref="G2899:H2899"/>
    <mergeCell ref="G2900:H2900"/>
    <mergeCell ref="G4533:H4533"/>
    <mergeCell ref="G4534:H4534"/>
    <mergeCell ref="G4559:H4559"/>
    <mergeCell ref="C447:D447"/>
    <mergeCell ref="G447:H447"/>
    <mergeCell ref="C494:D494"/>
    <mergeCell ref="E494:F494"/>
    <mergeCell ref="G494:H494"/>
    <mergeCell ref="C524:D524"/>
    <mergeCell ref="E524:F524"/>
    <mergeCell ref="G524:H524"/>
    <mergeCell ref="C596:D596"/>
    <mergeCell ref="E596:F596"/>
    <mergeCell ref="G596:H596"/>
    <mergeCell ref="C631:D631"/>
    <mergeCell ref="E631:F631"/>
    <mergeCell ref="G631:H631"/>
    <mergeCell ref="C660:D660"/>
    <mergeCell ref="G2046:H2046"/>
    <mergeCell ref="G2066:H2066"/>
    <mergeCell ref="G2068:H2068"/>
    <mergeCell ref="G1993:H1993"/>
    <mergeCell ref="G2020:H2020"/>
    <mergeCell ref="G2047:H2047"/>
    <mergeCell ref="G1956:H1956"/>
    <mergeCell ref="G1958:H1958"/>
    <mergeCell ref="G1974:H1974"/>
    <mergeCell ref="G1492:H1492"/>
    <mergeCell ref="G1502:H1502"/>
    <mergeCell ref="A2704:F2704"/>
    <mergeCell ref="G1781:H1781"/>
    <mergeCell ref="G1783:H1783"/>
    <mergeCell ref="G1784:H1784"/>
    <mergeCell ref="G1765:H1765"/>
    <mergeCell ref="G1767:H1767"/>
    <mergeCell ref="G1768:H1768"/>
    <mergeCell ref="G1690:H1690"/>
    <mergeCell ref="G1536:H1536"/>
    <mergeCell ref="G1878:H1878"/>
    <mergeCell ref="G1879:H1879"/>
    <mergeCell ref="G1691:H1691"/>
    <mergeCell ref="G1718:H1718"/>
    <mergeCell ref="G1769:H1769"/>
    <mergeCell ref="G1924:H1924"/>
    <mergeCell ref="G1934:H1934"/>
    <mergeCell ref="G1808:H1808"/>
    <mergeCell ref="G1809:H1809"/>
    <mergeCell ref="G1824:H1824"/>
    <mergeCell ref="G1845:H1845"/>
    <mergeCell ref="G1846:H1846"/>
    <mergeCell ref="G1365:H1365"/>
    <mergeCell ref="G1379:H1379"/>
    <mergeCell ref="G1716:H1716"/>
    <mergeCell ref="G1717:H1717"/>
    <mergeCell ref="G966:H966"/>
    <mergeCell ref="G1018:H1018"/>
    <mergeCell ref="G1070:H1070"/>
    <mergeCell ref="G1142:H1142"/>
    <mergeCell ref="G1423:H1423"/>
    <mergeCell ref="G1424:H1424"/>
    <mergeCell ref="G1323:H1323"/>
    <mergeCell ref="G1325:H1325"/>
    <mergeCell ref="G1163:H1163"/>
    <mergeCell ref="G1164:H1164"/>
    <mergeCell ref="G1714:H1714"/>
    <mergeCell ref="G1381:H1381"/>
    <mergeCell ref="G1382:H1382"/>
    <mergeCell ref="G1401:H1401"/>
    <mergeCell ref="G1402:H1402"/>
    <mergeCell ref="G1421:H1421"/>
    <mergeCell ref="G1326:H1326"/>
    <mergeCell ref="G1513:H1513"/>
    <mergeCell ref="G1522:H1522"/>
    <mergeCell ref="G1532:H1532"/>
    <mergeCell ref="G761:H761"/>
    <mergeCell ref="G785:H785"/>
    <mergeCell ref="G787:H787"/>
    <mergeCell ref="G788:H788"/>
    <mergeCell ref="G823:H823"/>
    <mergeCell ref="A3377:F3377"/>
    <mergeCell ref="A3378:F3378"/>
    <mergeCell ref="G852:H852"/>
    <mergeCell ref="G935:H935"/>
    <mergeCell ref="G1140:H1140"/>
    <mergeCell ref="G1141:H1141"/>
    <mergeCell ref="G1161:H1161"/>
    <mergeCell ref="G851:H851"/>
    <mergeCell ref="G886:H886"/>
    <mergeCell ref="G887:H887"/>
    <mergeCell ref="G931:H931"/>
    <mergeCell ref="G933:H933"/>
    <mergeCell ref="G934:H934"/>
    <mergeCell ref="G962:H962"/>
    <mergeCell ref="G964:H964"/>
    <mergeCell ref="G965:H965"/>
    <mergeCell ref="G1345:H1345"/>
    <mergeCell ref="G1347:H1347"/>
    <mergeCell ref="G1348:H1348"/>
    <mergeCell ref="G1362:H1362"/>
    <mergeCell ref="G1327:H1327"/>
    <mergeCell ref="G1366:H1366"/>
    <mergeCell ref="G1383:H1383"/>
    <mergeCell ref="G1403:H1403"/>
    <mergeCell ref="G1903:H1903"/>
    <mergeCell ref="G1912:H1912"/>
    <mergeCell ref="G1425:H1425"/>
    <mergeCell ref="G522:H522"/>
    <mergeCell ref="G687:H687"/>
    <mergeCell ref="G689:H689"/>
    <mergeCell ref="G690:H690"/>
    <mergeCell ref="G724:H724"/>
    <mergeCell ref="G726:H726"/>
    <mergeCell ref="G727:H727"/>
    <mergeCell ref="G758:H758"/>
    <mergeCell ref="G760:H760"/>
    <mergeCell ref="G523:H523"/>
    <mergeCell ref="G592:H592"/>
    <mergeCell ref="G594:H594"/>
    <mergeCell ref="G595:H595"/>
    <mergeCell ref="G627:H627"/>
    <mergeCell ref="G629:H629"/>
    <mergeCell ref="G630:H630"/>
    <mergeCell ref="G656:H656"/>
    <mergeCell ref="G658:H658"/>
    <mergeCell ref="G691:H691"/>
    <mergeCell ref="G728:H728"/>
    <mergeCell ref="G660:H660"/>
    <mergeCell ref="G659:H659"/>
    <mergeCell ref="G3:H3"/>
    <mergeCell ref="G4:H4"/>
    <mergeCell ref="G10:H10"/>
    <mergeCell ref="G12:H12"/>
    <mergeCell ref="G13:H13"/>
    <mergeCell ref="G32:H32"/>
    <mergeCell ref="G33:H33"/>
    <mergeCell ref="G44:H44"/>
    <mergeCell ref="G46:H46"/>
    <mergeCell ref="E3689:F3689"/>
    <mergeCell ref="E3457:F3457"/>
    <mergeCell ref="E3657:F3657"/>
    <mergeCell ref="C3656:F3656"/>
    <mergeCell ref="C3490:D3490"/>
    <mergeCell ref="G322:H322"/>
    <mergeCell ref="G358:H358"/>
    <mergeCell ref="G360:H360"/>
    <mergeCell ref="G361:H361"/>
    <mergeCell ref="G490:H490"/>
    <mergeCell ref="G492:H492"/>
    <mergeCell ref="C3658:D3658"/>
    <mergeCell ref="E3658:F3658"/>
    <mergeCell ref="G825:H825"/>
    <mergeCell ref="G826:H826"/>
    <mergeCell ref="G848:H848"/>
    <mergeCell ref="G850:H850"/>
    <mergeCell ref="G762:H762"/>
    <mergeCell ref="G789:H789"/>
    <mergeCell ref="G827:H827"/>
    <mergeCell ref="E3384:F3384"/>
    <mergeCell ref="G493:H493"/>
    <mergeCell ref="G520:H520"/>
    <mergeCell ref="E3688:F3688"/>
    <mergeCell ref="C3678:D3678"/>
    <mergeCell ref="C3571:F3571"/>
    <mergeCell ref="C3572:D3572"/>
    <mergeCell ref="E3734:F3734"/>
    <mergeCell ref="C3687:F3687"/>
    <mergeCell ref="C3688:D3688"/>
    <mergeCell ref="E3403:F3403"/>
    <mergeCell ref="C3474:F3474"/>
    <mergeCell ref="A3456:B3457"/>
    <mergeCell ref="C3456:F3456"/>
    <mergeCell ref="C3457:D3457"/>
    <mergeCell ref="E3386:F3386"/>
    <mergeCell ref="A3346:F3346"/>
    <mergeCell ref="A3347:F3347"/>
    <mergeCell ref="C3266:D3266"/>
    <mergeCell ref="E3266:F3266"/>
    <mergeCell ref="C3267:D3267"/>
    <mergeCell ref="E3267:F3267"/>
    <mergeCell ref="C3383:F3383"/>
    <mergeCell ref="C3384:D3384"/>
    <mergeCell ref="E3490:F3490"/>
    <mergeCell ref="E3491:F3491"/>
    <mergeCell ref="C3356:D3356"/>
    <mergeCell ref="E3356:F3356"/>
    <mergeCell ref="A3352:B3353"/>
    <mergeCell ref="A3472:B3473"/>
    <mergeCell ref="A3441:B3442"/>
    <mergeCell ref="C3441:F3441"/>
    <mergeCell ref="E3476:F3476"/>
    <mergeCell ref="C3401:F3401"/>
    <mergeCell ref="C3473:D3473"/>
    <mergeCell ref="A4483:B4484"/>
    <mergeCell ref="E4500:F4500"/>
    <mergeCell ref="E4449:F4449"/>
    <mergeCell ref="C4558:F4558"/>
    <mergeCell ref="C4559:D4559"/>
    <mergeCell ref="E3881:F3881"/>
    <mergeCell ref="C3945:D3945"/>
    <mergeCell ref="E3945:F3945"/>
    <mergeCell ref="C4188:D4188"/>
    <mergeCell ref="E4188:F4188"/>
    <mergeCell ref="C4189:D4189"/>
    <mergeCell ref="E4189:F4189"/>
    <mergeCell ref="C4050:D4050"/>
    <mergeCell ref="C4363:D4363"/>
    <mergeCell ref="E4363:F4363"/>
    <mergeCell ref="E3723:F3723"/>
    <mergeCell ref="C4639:F4639"/>
    <mergeCell ref="C4638:F4638"/>
    <mergeCell ref="C4637:F4637"/>
    <mergeCell ref="C4636:F4636"/>
    <mergeCell ref="C4635:F4635"/>
    <mergeCell ref="C4631:F4631"/>
    <mergeCell ref="C4630:F4630"/>
    <mergeCell ref="C4629:F4629"/>
    <mergeCell ref="C4628:F4628"/>
    <mergeCell ref="C4617:F4617"/>
    <mergeCell ref="C4625:F4625"/>
    <mergeCell ref="C4633:F4633"/>
    <mergeCell ref="C4626:F4626"/>
    <mergeCell ref="C4634:F4634"/>
    <mergeCell ref="C4627:F4627"/>
    <mergeCell ref="C4623:F4623"/>
    <mergeCell ref="C4622:F4622"/>
    <mergeCell ref="C4621:F4621"/>
    <mergeCell ref="C4620:F4620"/>
    <mergeCell ref="C4618:F4618"/>
    <mergeCell ref="C3165:D3165"/>
    <mergeCell ref="E3165:F3165"/>
    <mergeCell ref="E3264:F3264"/>
    <mergeCell ref="E3005:F3005"/>
    <mergeCell ref="A3002:B3003"/>
    <mergeCell ref="C3002:F3002"/>
    <mergeCell ref="A3054:F3054"/>
    <mergeCell ref="C3033:D3033"/>
    <mergeCell ref="A3263:B3264"/>
    <mergeCell ref="A3162:B3163"/>
    <mergeCell ref="A3474:B3475"/>
    <mergeCell ref="C3243:D3243"/>
    <mergeCell ref="A3265:B3266"/>
    <mergeCell ref="C3265:F3265"/>
    <mergeCell ref="A3242:B3243"/>
    <mergeCell ref="C3242:F3242"/>
    <mergeCell ref="A3385:B3386"/>
    <mergeCell ref="C3385:F3385"/>
    <mergeCell ref="C3386:D3386"/>
    <mergeCell ref="C3402:D3402"/>
    <mergeCell ref="E3402:F3402"/>
    <mergeCell ref="C3403:D3403"/>
    <mergeCell ref="A3354:B3355"/>
    <mergeCell ref="E3243:F3243"/>
    <mergeCell ref="A3249:F3249"/>
    <mergeCell ref="A3261:F3261"/>
    <mergeCell ref="C3352:F3352"/>
    <mergeCell ref="C3472:F3472"/>
    <mergeCell ref="A3401:B3402"/>
    <mergeCell ref="A3381:F3381"/>
    <mergeCell ref="A3470:F3470"/>
    <mergeCell ref="E3796:F3796"/>
    <mergeCell ref="A3656:B3657"/>
    <mergeCell ref="C4612:F4612"/>
    <mergeCell ref="C4619:F4619"/>
    <mergeCell ref="C4578:D4578"/>
    <mergeCell ref="E4578:F4578"/>
    <mergeCell ref="E4485:F4485"/>
    <mergeCell ref="C4576:F4576"/>
    <mergeCell ref="C4577:D4577"/>
    <mergeCell ref="C4532:F4532"/>
    <mergeCell ref="A4498:F4498"/>
    <mergeCell ref="A4499:B4500"/>
    <mergeCell ref="C4499:F4499"/>
    <mergeCell ref="C4500:D4500"/>
    <mergeCell ref="E4577:F4577"/>
    <mergeCell ref="C4510:F4510"/>
    <mergeCell ref="A4510:B4511"/>
    <mergeCell ref="C4483:F4483"/>
    <mergeCell ref="C4486:D4486"/>
    <mergeCell ref="E4486:F4486"/>
    <mergeCell ref="E4050:F4050"/>
    <mergeCell ref="C4051:D4051"/>
    <mergeCell ref="E4051:F4051"/>
    <mergeCell ref="A3944:B3945"/>
    <mergeCell ref="C3944:F3944"/>
    <mergeCell ref="E3869:F3869"/>
    <mergeCell ref="A4435:B4436"/>
    <mergeCell ref="C4472:F4472"/>
    <mergeCell ref="E4447:F4447"/>
    <mergeCell ref="C4040:D4040"/>
    <mergeCell ref="E4040:F4040"/>
    <mergeCell ref="E3572:F3572"/>
    <mergeCell ref="A3732:B3733"/>
    <mergeCell ref="A3761:B3762"/>
    <mergeCell ref="A3687:B3688"/>
    <mergeCell ref="E3473:F3473"/>
    <mergeCell ref="A3571:B3572"/>
    <mergeCell ref="A3645:B3646"/>
    <mergeCell ref="C3645:F3645"/>
    <mergeCell ref="C3704:D3704"/>
    <mergeCell ref="A3489:B3490"/>
    <mergeCell ref="E3659:F3659"/>
    <mergeCell ref="E3703:F3703"/>
    <mergeCell ref="C3764:D3764"/>
    <mergeCell ref="E3764:F3764"/>
    <mergeCell ref="A3644:F3644"/>
    <mergeCell ref="E3762:F3762"/>
    <mergeCell ref="E3733:F3733"/>
    <mergeCell ref="C3491:D3491"/>
    <mergeCell ref="A3675:B3676"/>
    <mergeCell ref="C3703:D3703"/>
    <mergeCell ref="A3760:F3760"/>
    <mergeCell ref="A3795:B3796"/>
    <mergeCell ref="C3761:F3761"/>
    <mergeCell ref="E3797:F3797"/>
    <mergeCell ref="C3659:D3659"/>
    <mergeCell ref="A3701:B3702"/>
    <mergeCell ref="C3701:F3701"/>
    <mergeCell ref="C3702:D3702"/>
    <mergeCell ref="E3702:F3702"/>
    <mergeCell ref="E3880:F3880"/>
    <mergeCell ref="E3164:F3164"/>
    <mergeCell ref="C3003:D3003"/>
    <mergeCell ref="E3003:F3003"/>
    <mergeCell ref="E2901:F2901"/>
    <mergeCell ref="C2966:D2966"/>
    <mergeCell ref="E2966:F2966"/>
    <mergeCell ref="C2897:D2897"/>
    <mergeCell ref="E2897:F2897"/>
    <mergeCell ref="E2964:F2964"/>
    <mergeCell ref="E3031:F3031"/>
    <mergeCell ref="C3006:D3006"/>
    <mergeCell ref="C3161:D3161"/>
    <mergeCell ref="A3160:B3161"/>
    <mergeCell ref="A3058:B3059"/>
    <mergeCell ref="C1828:D1828"/>
    <mergeCell ref="A1923:B1924"/>
    <mergeCell ref="E1781:F1781"/>
    <mergeCell ref="A2102:F2102"/>
    <mergeCell ref="E2117:F2117"/>
    <mergeCell ref="A2769:F2769"/>
    <mergeCell ref="E1934:F1934"/>
    <mergeCell ref="A1909:F1909"/>
    <mergeCell ref="E1924:F1924"/>
    <mergeCell ref="C1903:D1903"/>
    <mergeCell ref="E1903:F1903"/>
    <mergeCell ref="E1956:F1956"/>
    <mergeCell ref="C1923:F1923"/>
    <mergeCell ref="C2963:F2963"/>
    <mergeCell ref="E2900:F2900"/>
    <mergeCell ref="A3000:F3000"/>
    <mergeCell ref="C2899:D2899"/>
    <mergeCell ref="C2901:D2901"/>
    <mergeCell ref="C1070:D1070"/>
    <mergeCell ref="E1070:F1070"/>
    <mergeCell ref="C1142:D1142"/>
    <mergeCell ref="E1142:F1142"/>
    <mergeCell ref="C1067:F1067"/>
    <mergeCell ref="C2046:D2046"/>
    <mergeCell ref="A1512:B1513"/>
    <mergeCell ref="C1512:F1512"/>
    <mergeCell ref="E1522:F1522"/>
    <mergeCell ref="A1778:F1778"/>
    <mergeCell ref="E1425:F1425"/>
    <mergeCell ref="C1875:F1875"/>
    <mergeCell ref="A1344:B1345"/>
    <mergeCell ref="E1828:F1828"/>
    <mergeCell ref="A1519:F1519"/>
    <mergeCell ref="C1784:D1784"/>
    <mergeCell ref="C1535:D1535"/>
    <mergeCell ref="A1805:B1806"/>
    <mergeCell ref="A1782:B1783"/>
    <mergeCell ref="C1599:D1599"/>
    <mergeCell ref="E1599:F1599"/>
    <mergeCell ref="A1320:F1320"/>
    <mergeCell ref="A1342:F1342"/>
    <mergeCell ref="C1322:F1322"/>
    <mergeCell ref="C1522:D1522"/>
    <mergeCell ref="A1688:B1689"/>
    <mergeCell ref="C1688:F1688"/>
    <mergeCell ref="C1689:D1689"/>
    <mergeCell ref="C1603:D1603"/>
    <mergeCell ref="C1924:D1924"/>
    <mergeCell ref="A1921:F1921"/>
    <mergeCell ref="A1933:B1934"/>
    <mergeCell ref="A355:F355"/>
    <mergeCell ref="E319:F319"/>
    <mergeCell ref="C357:F357"/>
    <mergeCell ref="C358:D358"/>
    <mergeCell ref="A45:B46"/>
    <mergeCell ref="A179:B180"/>
    <mergeCell ref="E13:F13"/>
    <mergeCell ref="C32:D32"/>
    <mergeCell ref="E32:F32"/>
    <mergeCell ref="A177:F177"/>
    <mergeCell ref="A25:F25"/>
    <mergeCell ref="A26:F26"/>
    <mergeCell ref="A173:F173"/>
    <mergeCell ref="A174:F174"/>
    <mergeCell ref="A41:F41"/>
    <mergeCell ref="C784:F784"/>
    <mergeCell ref="C785:D785"/>
    <mergeCell ref="C183:D183"/>
    <mergeCell ref="C321:D321"/>
    <mergeCell ref="C14:D14"/>
    <mergeCell ref="E14:F14"/>
    <mergeCell ref="A784:B785"/>
    <mergeCell ref="E493:F493"/>
    <mergeCell ref="A721:F721"/>
    <mergeCell ref="A755:F755"/>
    <mergeCell ref="C492:D492"/>
    <mergeCell ref="E592:F592"/>
    <mergeCell ref="E785:F785"/>
    <mergeCell ref="A442:F442"/>
    <mergeCell ref="A593:B594"/>
    <mergeCell ref="A444:B445"/>
    <mergeCell ref="C444:F444"/>
    <mergeCell ref="C9:F9"/>
    <mergeCell ref="C13:D13"/>
    <mergeCell ref="C690:D690"/>
    <mergeCell ref="E690:F690"/>
    <mergeCell ref="A847:B848"/>
    <mergeCell ref="A896:F896"/>
    <mergeCell ref="A883:F883"/>
    <mergeCell ref="A893:F893"/>
    <mergeCell ref="C851:D851"/>
    <mergeCell ref="E826:F826"/>
    <mergeCell ref="A822:B823"/>
    <mergeCell ref="E787:F787"/>
    <mergeCell ref="C849:F849"/>
    <mergeCell ref="C824:F824"/>
    <mergeCell ref="C825:D825"/>
    <mergeCell ref="C786:F786"/>
    <mergeCell ref="C181:F181"/>
    <mergeCell ref="C182:D182"/>
    <mergeCell ref="A43:B44"/>
    <mergeCell ref="C43:F43"/>
    <mergeCell ref="C44:D44"/>
    <mergeCell ref="E44:F44"/>
    <mergeCell ref="A274:F274"/>
    <mergeCell ref="A275:F275"/>
    <mergeCell ref="A278:F278"/>
    <mergeCell ref="A725:B726"/>
    <mergeCell ref="A657:B658"/>
    <mergeCell ref="C657:F657"/>
    <mergeCell ref="C658:D658"/>
    <mergeCell ref="E658:F658"/>
    <mergeCell ref="E492:F492"/>
    <mergeCell ref="C848:D848"/>
    <mergeCell ref="C4:D4"/>
    <mergeCell ref="E4:F4"/>
    <mergeCell ref="C179:F179"/>
    <mergeCell ref="A961:B962"/>
    <mergeCell ref="C961:F961"/>
    <mergeCell ref="C962:D962"/>
    <mergeCell ref="E962:F962"/>
    <mergeCell ref="A1137:B1138"/>
    <mergeCell ref="E933:F933"/>
    <mergeCell ref="C1068:D1068"/>
    <mergeCell ref="E1068:F1068"/>
    <mergeCell ref="E848:F848"/>
    <mergeCell ref="C788:D788"/>
    <mergeCell ref="C1013:F1013"/>
    <mergeCell ref="C933:D933"/>
    <mergeCell ref="A1063:F1063"/>
    <mergeCell ref="C1014:D1014"/>
    <mergeCell ref="C1066:D1066"/>
    <mergeCell ref="A7:F7"/>
    <mergeCell ref="A29:F29"/>
    <mergeCell ref="E358:F358"/>
    <mergeCell ref="A9:B10"/>
    <mergeCell ref="C10:D10"/>
    <mergeCell ref="E10:F10"/>
    <mergeCell ref="C320:F320"/>
    <mergeCell ref="A357:B358"/>
    <mergeCell ref="A284:B285"/>
    <mergeCell ref="C284:F284"/>
    <mergeCell ref="C45:F45"/>
    <mergeCell ref="C46:D46"/>
    <mergeCell ref="C686:F686"/>
    <mergeCell ref="C687:D687"/>
    <mergeCell ref="C3:D3"/>
    <mergeCell ref="E3:F3"/>
    <mergeCell ref="C288:D288"/>
    <mergeCell ref="E288:F288"/>
    <mergeCell ref="C322:D322"/>
    <mergeCell ref="E322:F322"/>
    <mergeCell ref="A359:B360"/>
    <mergeCell ref="C286:F286"/>
    <mergeCell ref="C287:D287"/>
    <mergeCell ref="E287:F287"/>
    <mergeCell ref="A11:B12"/>
    <mergeCell ref="C11:F11"/>
    <mergeCell ref="C12:D12"/>
    <mergeCell ref="E12:F12"/>
    <mergeCell ref="A31:B32"/>
    <mergeCell ref="C31:F31"/>
    <mergeCell ref="A181:B182"/>
    <mergeCell ref="E182:F182"/>
    <mergeCell ref="A286:B287"/>
    <mergeCell ref="A279:F279"/>
    <mergeCell ref="A316:F316"/>
    <mergeCell ref="C180:D180"/>
    <mergeCell ref="E180:F180"/>
    <mergeCell ref="A320:B321"/>
    <mergeCell ref="E183:F183"/>
    <mergeCell ref="C359:F359"/>
    <mergeCell ref="A282:F282"/>
    <mergeCell ref="E46:F46"/>
    <mergeCell ref="C47:D47"/>
    <mergeCell ref="E47:F47"/>
    <mergeCell ref="C285:D285"/>
    <mergeCell ref="E285:F285"/>
    <mergeCell ref="C445:D445"/>
    <mergeCell ref="E445:F445"/>
    <mergeCell ref="C691:D691"/>
    <mergeCell ref="E691:F691"/>
    <mergeCell ref="E728:F728"/>
    <mergeCell ref="C762:D762"/>
    <mergeCell ref="E762:F762"/>
    <mergeCell ref="C822:F822"/>
    <mergeCell ref="C725:F725"/>
    <mergeCell ref="C726:D726"/>
    <mergeCell ref="C728:D728"/>
    <mergeCell ref="E760:F760"/>
    <mergeCell ref="A684:F684"/>
    <mergeCell ref="A686:B687"/>
    <mergeCell ref="C656:D656"/>
    <mergeCell ref="A489:B490"/>
    <mergeCell ref="C491:F491"/>
    <mergeCell ref="A521:B522"/>
    <mergeCell ref="A519:B520"/>
    <mergeCell ref="E726:F726"/>
    <mergeCell ref="C787:D787"/>
    <mergeCell ref="E788:F788"/>
    <mergeCell ref="C493:D493"/>
    <mergeCell ref="A786:B787"/>
    <mergeCell ref="A487:F487"/>
    <mergeCell ref="A517:F517"/>
    <mergeCell ref="C689:D689"/>
    <mergeCell ref="C521:F521"/>
    <mergeCell ref="E724:F724"/>
    <mergeCell ref="E660:F660"/>
    <mergeCell ref="A723:B724"/>
    <mergeCell ref="C723:F723"/>
    <mergeCell ref="E851:F851"/>
    <mergeCell ref="C932:F932"/>
    <mergeCell ref="E934:F934"/>
    <mergeCell ref="A928:F928"/>
    <mergeCell ref="A930:B931"/>
    <mergeCell ref="E887:F887"/>
    <mergeCell ref="E823:F823"/>
    <mergeCell ref="E1383:F1383"/>
    <mergeCell ref="E1161:F1161"/>
    <mergeCell ref="C1304:D1304"/>
    <mergeCell ref="E931:F931"/>
    <mergeCell ref="C852:D852"/>
    <mergeCell ref="E852:F852"/>
    <mergeCell ref="C886:D886"/>
    <mergeCell ref="C885:F885"/>
    <mergeCell ref="C1017:D1017"/>
    <mergeCell ref="E1017:F1017"/>
    <mergeCell ref="E850:F850"/>
    <mergeCell ref="A849:B850"/>
    <mergeCell ref="C847:F847"/>
    <mergeCell ref="A1158:F1158"/>
    <mergeCell ref="E1141:F1141"/>
    <mergeCell ref="C1140:D1140"/>
    <mergeCell ref="E1140:F1140"/>
    <mergeCell ref="E1237:F1237"/>
    <mergeCell ref="C966:D966"/>
    <mergeCell ref="A1234:B1235"/>
    <mergeCell ref="C1234:F1234"/>
    <mergeCell ref="C1235:D1235"/>
    <mergeCell ref="A1303:B1304"/>
    <mergeCell ref="C1018:D1018"/>
    <mergeCell ref="E1018:F1018"/>
    <mergeCell ref="E520:F520"/>
    <mergeCell ref="A1766:B1767"/>
    <mergeCell ref="C1766:F1766"/>
    <mergeCell ref="C1767:D1767"/>
    <mergeCell ref="E1767:F1767"/>
    <mergeCell ref="E1765:F1765"/>
    <mergeCell ref="A1780:B1781"/>
    <mergeCell ref="E1502:F1502"/>
    <mergeCell ref="C1513:D1513"/>
    <mergeCell ref="E1513:F1513"/>
    <mergeCell ref="A1521:B1522"/>
    <mergeCell ref="C1600:F1600"/>
    <mergeCell ref="C1348:D1348"/>
    <mergeCell ref="E1348:F1348"/>
    <mergeCell ref="A1361:B1362"/>
    <mergeCell ref="A1596:F1596"/>
    <mergeCell ref="A1684:F1684"/>
    <mergeCell ref="A1711:F1711"/>
    <mergeCell ref="A1600:B1601"/>
    <mergeCell ref="A1686:B1687"/>
    <mergeCell ref="C1420:F1420"/>
    <mergeCell ref="E1534:F1534"/>
    <mergeCell ref="C1533:F1533"/>
    <mergeCell ref="A1398:F1398"/>
    <mergeCell ref="E1379:F1379"/>
    <mergeCell ref="A1422:B1423"/>
    <mergeCell ref="C1687:D1687"/>
    <mergeCell ref="E1687:F1687"/>
    <mergeCell ref="C1602:D1602"/>
    <mergeCell ref="E1602:F1602"/>
    <mergeCell ref="C1521:F1521"/>
    <mergeCell ref="E1689:F1689"/>
    <mergeCell ref="C965:D965"/>
    <mergeCell ref="E965:F965"/>
    <mergeCell ref="C1161:D1161"/>
    <mergeCell ref="E886:F886"/>
    <mergeCell ref="A1230:F1230"/>
    <mergeCell ref="A1301:F1301"/>
    <mergeCell ref="C1325:D1325"/>
    <mergeCell ref="C1303:F1303"/>
    <mergeCell ref="A1322:B1323"/>
    <mergeCell ref="E1304:F1304"/>
    <mergeCell ref="A1324:B1325"/>
    <mergeCell ref="E1165:F1165"/>
    <mergeCell ref="A959:F959"/>
    <mergeCell ref="C1326:D1326"/>
    <mergeCell ref="C1364:D1364"/>
    <mergeCell ref="E1364:F1364"/>
    <mergeCell ref="C931:D931"/>
    <mergeCell ref="A904:F904"/>
    <mergeCell ref="E1138:F1138"/>
    <mergeCell ref="C1137:F1137"/>
    <mergeCell ref="C1345:D1345"/>
    <mergeCell ref="C1160:F1160"/>
    <mergeCell ref="C1361:F1361"/>
    <mergeCell ref="C1362:D1362"/>
    <mergeCell ref="A1232:B1233"/>
    <mergeCell ref="C964:D964"/>
    <mergeCell ref="E1066:F1066"/>
    <mergeCell ref="C935:D935"/>
    <mergeCell ref="E935:F935"/>
    <mergeCell ref="E1014:F1014"/>
    <mergeCell ref="A963:B964"/>
    <mergeCell ref="C963:F963"/>
    <mergeCell ref="A912:F912"/>
    <mergeCell ref="A885:B886"/>
    <mergeCell ref="C930:F930"/>
    <mergeCell ref="C1165:D1165"/>
    <mergeCell ref="C1138:D1138"/>
    <mergeCell ref="A2065:B2066"/>
    <mergeCell ref="C2065:F2065"/>
    <mergeCell ref="C2066:D2066"/>
    <mergeCell ref="E2066:F2066"/>
    <mergeCell ref="C2015:F2015"/>
    <mergeCell ref="C2016:D2016"/>
    <mergeCell ref="E2016:F2016"/>
    <mergeCell ref="C1846:D1846"/>
    <mergeCell ref="C1378:F1378"/>
    <mergeCell ref="C1379:D1379"/>
    <mergeCell ref="A1226:F1226"/>
    <mergeCell ref="E1233:F1233"/>
    <mergeCell ref="A1225:F1225"/>
    <mergeCell ref="E1236:F1236"/>
    <mergeCell ref="C1164:D1164"/>
    <mergeCell ref="A1346:B1347"/>
    <mergeCell ref="C1163:D1163"/>
    <mergeCell ref="E1164:F1164"/>
    <mergeCell ref="C1237:D1237"/>
    <mergeCell ref="C1233:D1233"/>
    <mergeCell ref="C1162:F1162"/>
    <mergeCell ref="C1955:F1955"/>
    <mergeCell ref="A2013:F2013"/>
    <mergeCell ref="A1986:F1986"/>
    <mergeCell ref="C1877:F1877"/>
    <mergeCell ref="E1879:F1879"/>
    <mergeCell ref="C1934:D1934"/>
    <mergeCell ref="C1933:F1933"/>
    <mergeCell ref="C1989:D1989"/>
    <mergeCell ref="A1973:B1974"/>
    <mergeCell ref="C1973:F1973"/>
    <mergeCell ref="C1974:D1974"/>
    <mergeCell ref="A1900:F1900"/>
    <mergeCell ref="E2019:F2019"/>
    <mergeCell ref="C2070:D2070"/>
    <mergeCell ref="A2118:B2119"/>
    <mergeCell ref="C2047:D2047"/>
    <mergeCell ref="E2047:F2047"/>
    <mergeCell ref="C1956:D1956"/>
    <mergeCell ref="C593:F593"/>
    <mergeCell ref="A491:B492"/>
    <mergeCell ref="C761:D761"/>
    <mergeCell ref="C519:F519"/>
    <mergeCell ref="C520:D520"/>
    <mergeCell ref="E758:F758"/>
    <mergeCell ref="E522:F522"/>
    <mergeCell ref="C626:F626"/>
    <mergeCell ref="C627:D627"/>
    <mergeCell ref="E627:F627"/>
    <mergeCell ref="C522:D522"/>
    <mergeCell ref="C523:D523"/>
    <mergeCell ref="A655:B656"/>
    <mergeCell ref="C655:F655"/>
    <mergeCell ref="E594:F594"/>
    <mergeCell ref="C887:D887"/>
    <mergeCell ref="A824:B825"/>
    <mergeCell ref="E656:F656"/>
    <mergeCell ref="C727:D727"/>
    <mergeCell ref="A688:B689"/>
    <mergeCell ref="C688:F688"/>
    <mergeCell ref="A628:B629"/>
    <mergeCell ref="C628:F628"/>
    <mergeCell ref="C629:D629"/>
    <mergeCell ref="E629:F629"/>
    <mergeCell ref="C594:D594"/>
    <mergeCell ref="A626:B627"/>
    <mergeCell ref="A845:F845"/>
    <mergeCell ref="A782:F782"/>
    <mergeCell ref="C826:D826"/>
    <mergeCell ref="E825:F825"/>
    <mergeCell ref="C850:D850"/>
    <mergeCell ref="C827:D827"/>
    <mergeCell ref="E827:F827"/>
    <mergeCell ref="A820:F820"/>
    <mergeCell ref="E761:F761"/>
    <mergeCell ref="E630:F630"/>
    <mergeCell ref="A653:F653"/>
    <mergeCell ref="C724:D724"/>
    <mergeCell ref="A757:B758"/>
    <mergeCell ref="C757:F757"/>
    <mergeCell ref="C758:D758"/>
    <mergeCell ref="E659:F659"/>
    <mergeCell ref="E727:F727"/>
    <mergeCell ref="C789:D789"/>
    <mergeCell ref="C1344:F1344"/>
    <mergeCell ref="A1418:F1418"/>
    <mergeCell ref="C1382:D1382"/>
    <mergeCell ref="A2015:B2016"/>
    <mergeCell ref="E2018:F2018"/>
    <mergeCell ref="C2018:D2018"/>
    <mergeCell ref="E1362:F1362"/>
    <mergeCell ref="A1378:B1379"/>
    <mergeCell ref="C1425:D1425"/>
    <mergeCell ref="E1326:F1326"/>
    <mergeCell ref="C823:D823"/>
    <mergeCell ref="C630:D630"/>
    <mergeCell ref="E789:F789"/>
    <mergeCell ref="A1067:B1068"/>
    <mergeCell ref="E1163:F1163"/>
    <mergeCell ref="A1160:B1161"/>
    <mergeCell ref="C1016:D1016"/>
    <mergeCell ref="C1069:D1069"/>
    <mergeCell ref="E1069:F1069"/>
    <mergeCell ref="C1141:D1141"/>
    <mergeCell ref="A1013:B1014"/>
    <mergeCell ref="A1139:B1140"/>
    <mergeCell ref="C1139:F1139"/>
    <mergeCell ref="A1135:F1135"/>
    <mergeCell ref="A1162:B1163"/>
    <mergeCell ref="C1236:D1236"/>
    <mergeCell ref="E1845:F1845"/>
    <mergeCell ref="A1531:B1532"/>
    <mergeCell ref="E1691:F1691"/>
    <mergeCell ref="C1805:F1805"/>
    <mergeCell ref="E1603:F1603"/>
    <mergeCell ref="E1690:F1690"/>
    <mergeCell ref="A318:B319"/>
    <mergeCell ref="C318:F318"/>
    <mergeCell ref="C319:D319"/>
    <mergeCell ref="A589:F589"/>
    <mergeCell ref="A624:F624"/>
    <mergeCell ref="C360:D360"/>
    <mergeCell ref="E321:F321"/>
    <mergeCell ref="E966:F966"/>
    <mergeCell ref="E362:F362"/>
    <mergeCell ref="E523:F523"/>
    <mergeCell ref="E689:F689"/>
    <mergeCell ref="A1065:B1066"/>
    <mergeCell ref="E1055:F1055"/>
    <mergeCell ref="E447:F447"/>
    <mergeCell ref="C595:D595"/>
    <mergeCell ref="A591:B592"/>
    <mergeCell ref="C591:F591"/>
    <mergeCell ref="C592:D592"/>
    <mergeCell ref="E595:F595"/>
    <mergeCell ref="C659:D659"/>
    <mergeCell ref="A759:B760"/>
    <mergeCell ref="E687:F687"/>
    <mergeCell ref="C759:F759"/>
    <mergeCell ref="C760:D760"/>
    <mergeCell ref="C1065:F1065"/>
    <mergeCell ref="E964:F964"/>
    <mergeCell ref="C934:D934"/>
    <mergeCell ref="A1011:F1011"/>
    <mergeCell ref="A932:B933"/>
    <mergeCell ref="E1016:F1016"/>
    <mergeCell ref="A1015:B1016"/>
    <mergeCell ref="C1015:F1015"/>
    <mergeCell ref="A1420:B1421"/>
    <mergeCell ref="C1402:D1402"/>
    <mergeCell ref="E1402:F1402"/>
    <mergeCell ref="C1686:F1686"/>
    <mergeCell ref="C1532:D1532"/>
    <mergeCell ref="E1532:F1532"/>
    <mergeCell ref="C1780:F1780"/>
    <mergeCell ref="C1781:D1781"/>
    <mergeCell ref="A1713:B1714"/>
    <mergeCell ref="C1713:F1713"/>
    <mergeCell ref="E1345:F1345"/>
    <mergeCell ref="E1381:F1381"/>
    <mergeCell ref="A1380:B1381"/>
    <mergeCell ref="C1380:F1380"/>
    <mergeCell ref="C1381:D1381"/>
    <mergeCell ref="C1422:F1422"/>
    <mergeCell ref="C1423:D1423"/>
    <mergeCell ref="E1423:F1423"/>
    <mergeCell ref="C1365:D1365"/>
    <mergeCell ref="A1376:F1376"/>
    <mergeCell ref="E1421:F1421"/>
    <mergeCell ref="A1363:B1364"/>
    <mergeCell ref="C1347:D1347"/>
    <mergeCell ref="E1347:F1347"/>
    <mergeCell ref="E1401:F1401"/>
    <mergeCell ref="E1366:F1366"/>
    <mergeCell ref="C1383:D1383"/>
    <mergeCell ref="C1401:D1401"/>
    <mergeCell ref="C1827:D1827"/>
    <mergeCell ref="E1827:F1827"/>
    <mergeCell ref="C1531:F1531"/>
    <mergeCell ref="A1529:F1529"/>
    <mergeCell ref="C1534:D1534"/>
    <mergeCell ref="A1491:B1492"/>
    <mergeCell ref="A1533:B1534"/>
    <mergeCell ref="C1769:D1769"/>
    <mergeCell ref="C1764:F1764"/>
    <mergeCell ref="C1765:D1765"/>
    <mergeCell ref="C1806:D1806"/>
    <mergeCell ref="E1806:F1806"/>
    <mergeCell ref="A1823:B1824"/>
    <mergeCell ref="C1823:F1823"/>
    <mergeCell ref="C1785:D1785"/>
    <mergeCell ref="A1758:F1758"/>
    <mergeCell ref="C1824:D1824"/>
    <mergeCell ref="E1824:F1824"/>
    <mergeCell ref="E1810:F1810"/>
    <mergeCell ref="C1716:D1716"/>
    <mergeCell ref="E1716:F1716"/>
    <mergeCell ref="C1690:D1690"/>
    <mergeCell ref="C1491:F1491"/>
    <mergeCell ref="C1492:D1492"/>
    <mergeCell ref="A1764:B1765"/>
    <mergeCell ref="C1501:F1501"/>
    <mergeCell ref="C1502:D1502"/>
    <mergeCell ref="C1691:D1691"/>
    <mergeCell ref="C1717:D1717"/>
    <mergeCell ref="A1715:B1716"/>
    <mergeCell ref="E1492:F1492"/>
    <mergeCell ref="E1235:F1235"/>
    <mergeCell ref="C1232:F1232"/>
    <mergeCell ref="C1324:F1324"/>
    <mergeCell ref="E1327:F1327"/>
    <mergeCell ref="C1536:D1536"/>
    <mergeCell ref="E1536:F1536"/>
    <mergeCell ref="A1598:B1599"/>
    <mergeCell ref="C1598:F1598"/>
    <mergeCell ref="A1501:B1502"/>
    <mergeCell ref="A1510:F1510"/>
    <mergeCell ref="C1601:D1601"/>
    <mergeCell ref="C1715:F1715"/>
    <mergeCell ref="E1784:F1784"/>
    <mergeCell ref="C1421:D1421"/>
    <mergeCell ref="A1400:B1401"/>
    <mergeCell ref="C1400:F1400"/>
    <mergeCell ref="E1382:F1382"/>
    <mergeCell ref="C1346:F1346"/>
    <mergeCell ref="C1363:F1363"/>
    <mergeCell ref="A1359:F1359"/>
    <mergeCell ref="C1403:D1403"/>
    <mergeCell ref="E1403:F1403"/>
    <mergeCell ref="E1535:F1535"/>
    <mergeCell ref="E1601:F1601"/>
    <mergeCell ref="E1365:F1365"/>
    <mergeCell ref="C1366:D1366"/>
    <mergeCell ref="C1768:D1768"/>
    <mergeCell ref="E1768:F1768"/>
    <mergeCell ref="C1714:D1714"/>
    <mergeCell ref="E1714:F1714"/>
    <mergeCell ref="C1718:D1718"/>
    <mergeCell ref="E1718:F1718"/>
    <mergeCell ref="C1847:D1847"/>
    <mergeCell ref="E1847:F1847"/>
    <mergeCell ref="C1880:D1880"/>
    <mergeCell ref="E1880:F1880"/>
    <mergeCell ref="E1878:F1878"/>
    <mergeCell ref="A1875:B1876"/>
    <mergeCell ref="A1842:B1843"/>
    <mergeCell ref="E1783:F1783"/>
    <mergeCell ref="C1845:D1845"/>
    <mergeCell ref="E1843:F1843"/>
    <mergeCell ref="E1846:F1846"/>
    <mergeCell ref="C1842:F1842"/>
    <mergeCell ref="C1826:D1826"/>
    <mergeCell ref="A1844:B1845"/>
    <mergeCell ref="E1769:F1769"/>
    <mergeCell ref="C1782:F1782"/>
    <mergeCell ref="E1974:F1974"/>
    <mergeCell ref="C1783:D1783"/>
    <mergeCell ref="E1826:F1826"/>
    <mergeCell ref="A1800:F1800"/>
    <mergeCell ref="A1807:B1808"/>
    <mergeCell ref="C1807:F1807"/>
    <mergeCell ref="C1808:D1808"/>
    <mergeCell ref="E1808:F1808"/>
    <mergeCell ref="A1825:B1826"/>
    <mergeCell ref="C1825:F1825"/>
    <mergeCell ref="C1878:D1878"/>
    <mergeCell ref="A1803:F1803"/>
    <mergeCell ref="A1821:F1821"/>
    <mergeCell ref="A1799:F1799"/>
    <mergeCell ref="E1809:F1809"/>
    <mergeCell ref="C1810:D1810"/>
    <mergeCell ref="C1844:F1844"/>
    <mergeCell ref="A1840:F1840"/>
    <mergeCell ref="C1809:D1809"/>
    <mergeCell ref="C1843:D1843"/>
    <mergeCell ref="A1873:F1873"/>
    <mergeCell ref="C1876:D1876"/>
    <mergeCell ref="E1989:F1989"/>
    <mergeCell ref="E1876:F1876"/>
    <mergeCell ref="A2017:B2018"/>
    <mergeCell ref="A1931:F1931"/>
    <mergeCell ref="C2117:D2117"/>
    <mergeCell ref="C2774:D2774"/>
    <mergeCell ref="E2774:F2774"/>
    <mergeCell ref="A2896:B2897"/>
    <mergeCell ref="A2116:B2117"/>
    <mergeCell ref="C1992:D1992"/>
    <mergeCell ref="E1992:F1992"/>
    <mergeCell ref="C1993:D1993"/>
    <mergeCell ref="E1993:F1993"/>
    <mergeCell ref="C2044:F2044"/>
    <mergeCell ref="A1988:B1989"/>
    <mergeCell ref="C1988:F1988"/>
    <mergeCell ref="A2706:B2707"/>
    <mergeCell ref="C2706:F2706"/>
    <mergeCell ref="C2707:D2707"/>
    <mergeCell ref="E2707:F2707"/>
    <mergeCell ref="C2776:D2776"/>
    <mergeCell ref="C2896:F2896"/>
    <mergeCell ref="E2070:F2070"/>
    <mergeCell ref="C2017:F2017"/>
    <mergeCell ref="A2040:F2040"/>
    <mergeCell ref="C2019:D2019"/>
    <mergeCell ref="A2833:B2834"/>
    <mergeCell ref="C2833:F2833"/>
    <mergeCell ref="A2098:F2098"/>
    <mergeCell ref="A2099:F2099"/>
    <mergeCell ref="A2114:F2114"/>
    <mergeCell ref="C2118:F2118"/>
    <mergeCell ref="C3163:D3163"/>
    <mergeCell ref="E3163:F3163"/>
    <mergeCell ref="E2106:F2106"/>
    <mergeCell ref="C3573:D3573"/>
    <mergeCell ref="C3489:F3489"/>
    <mergeCell ref="C3475:D3475"/>
    <mergeCell ref="E3475:F3475"/>
    <mergeCell ref="C3476:D3476"/>
    <mergeCell ref="C2121:D2121"/>
    <mergeCell ref="E2121:F2121"/>
    <mergeCell ref="A2831:F2831"/>
    <mergeCell ref="C2120:D2120"/>
    <mergeCell ref="E2120:F2120"/>
    <mergeCell ref="E2772:F2772"/>
    <mergeCell ref="E2834:F2834"/>
    <mergeCell ref="E2776:F2776"/>
    <mergeCell ref="A2894:F2894"/>
    <mergeCell ref="C2709:D2709"/>
    <mergeCell ref="E2709:F2709"/>
    <mergeCell ref="A2771:B2772"/>
    <mergeCell ref="C2771:F2771"/>
    <mergeCell ref="A2961:B2962"/>
    <mergeCell ref="C2961:F2961"/>
    <mergeCell ref="C2898:F2898"/>
    <mergeCell ref="A2773:B2774"/>
    <mergeCell ref="C2773:F2773"/>
    <mergeCell ref="C2775:D2775"/>
    <mergeCell ref="E2775:F2775"/>
    <mergeCell ref="C2962:D2962"/>
    <mergeCell ref="E2962:F2962"/>
    <mergeCell ref="C2772:D2772"/>
    <mergeCell ref="E2119:F2119"/>
    <mergeCell ref="C2119:D2119"/>
    <mergeCell ref="A2963:B2964"/>
    <mergeCell ref="C2900:D2900"/>
    <mergeCell ref="G445:H445"/>
    <mergeCell ref="C446:D446"/>
    <mergeCell ref="E446:F446"/>
    <mergeCell ref="G446:H446"/>
    <mergeCell ref="A2104:B2105"/>
    <mergeCell ref="C2104:F2104"/>
    <mergeCell ref="C2106:D2106"/>
    <mergeCell ref="E2105:F2105"/>
    <mergeCell ref="C2834:D2834"/>
    <mergeCell ref="A1051:F1051"/>
    <mergeCell ref="A1053:B1054"/>
    <mergeCell ref="C1053:F1053"/>
    <mergeCell ref="C1054:D1054"/>
    <mergeCell ref="E1054:F1054"/>
    <mergeCell ref="C1055:D1055"/>
    <mergeCell ref="C2116:F2116"/>
    <mergeCell ref="C2964:D2964"/>
    <mergeCell ref="A2898:B2899"/>
    <mergeCell ref="C2105:D2105"/>
    <mergeCell ref="A1953:F1953"/>
    <mergeCell ref="A1911:B1912"/>
    <mergeCell ref="A1877:B1878"/>
    <mergeCell ref="A2044:B2045"/>
    <mergeCell ref="C4615:F4615"/>
    <mergeCell ref="G4577:H4577"/>
    <mergeCell ref="G4578:H4578"/>
    <mergeCell ref="E4579:F4579"/>
    <mergeCell ref="G4579:H4579"/>
    <mergeCell ref="C4561:D4561"/>
    <mergeCell ref="E4561:F4561"/>
    <mergeCell ref="G4561:H4561"/>
    <mergeCell ref="A4558:B4559"/>
    <mergeCell ref="A4532:B4533"/>
    <mergeCell ref="A4576:B4577"/>
    <mergeCell ref="C4610:F4610"/>
    <mergeCell ref="C4611:F4611"/>
    <mergeCell ref="G4275:H4275"/>
    <mergeCell ref="A4361:B4362"/>
    <mergeCell ref="C4361:F4361"/>
    <mergeCell ref="C4609:F4609"/>
    <mergeCell ref="E4534:F4534"/>
    <mergeCell ref="C4534:D4534"/>
    <mergeCell ref="C4579:D4579"/>
    <mergeCell ref="E4511:F4511"/>
    <mergeCell ref="C4484:D4484"/>
    <mergeCell ref="E4484:F4484"/>
    <mergeCell ref="E4448:F4448"/>
    <mergeCell ref="G4448:H4448"/>
    <mergeCell ref="G4400:H4400"/>
    <mergeCell ref="C4614:F4614"/>
    <mergeCell ref="C4613:F4613"/>
    <mergeCell ref="C4485:D4485"/>
    <mergeCell ref="A4446:B4447"/>
    <mergeCell ref="C4449:D4449"/>
    <mergeCell ref="C4511:D4511"/>
  </mergeCells>
  <pageMargins left="0.45" right="0.45" top="0.5" bottom="0.5" header="0.3" footer="0.3"/>
  <pageSetup scale="64" fitToHeight="0" orientation="landscape" horizontalDpi="4294967293" verticalDpi="4294967293" r:id="rId1"/>
  <rowBreaks count="23" manualBreakCount="23">
    <brk id="27" max="16383" man="1"/>
    <brk id="175" max="16383" man="1"/>
    <brk id="280" max="16383" man="1"/>
    <brk id="314" max="16383" man="1"/>
    <brk id="353" max="16383" man="1"/>
    <brk id="485" max="16383" man="1"/>
    <brk id="515" max="16383" man="1"/>
    <brk id="587" max="16383" man="1"/>
    <brk id="621" max="16383" man="1"/>
    <brk id="651" max="16383" man="1"/>
    <brk id="682" max="16383" man="1"/>
    <brk id="719" max="16383" man="1"/>
    <brk id="753" max="16383" man="1"/>
    <brk id="780" max="16383" man="1"/>
    <brk id="818" max="16383" man="1"/>
    <brk id="843" max="16383" man="1"/>
    <brk id="881" max="16383" man="1"/>
    <brk id="926" max="16383" man="1"/>
    <brk id="957" max="16383" man="1"/>
    <brk id="1008" max="16383" man="1"/>
    <brk id="1061" max="16383" man="1"/>
    <brk id="1133" max="16383" man="1"/>
    <brk id="1156" max="16383" man="1"/>
  </row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election activeCell="A3" sqref="A3"/>
    </sheetView>
  </sheetViews>
  <sheetFormatPr defaultColWidth="8.796875" defaultRowHeight="14.25" x14ac:dyDescent="0.45"/>
  <sheetData>
    <row r="1" spans="1:1" x14ac:dyDescent="0.45">
      <c r="A1" t="s">
        <v>2</v>
      </c>
    </row>
    <row r="2" spans="1:1" x14ac:dyDescent="0.45">
      <c r="A2" t="s">
        <v>3</v>
      </c>
    </row>
    <row r="3" spans="1:1" x14ac:dyDescent="0.45">
      <c r="A3" t="s">
        <v>2896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95"/>
  <sheetViews>
    <sheetView workbookViewId="0">
      <selection sqref="A1:A195"/>
    </sheetView>
  </sheetViews>
  <sheetFormatPr defaultColWidth="8.796875" defaultRowHeight="14.25" x14ac:dyDescent="0.45"/>
  <sheetData>
    <row r="1" spans="1:1" x14ac:dyDescent="0.45">
      <c r="A1" s="106" t="s">
        <v>2987</v>
      </c>
    </row>
    <row r="2" spans="1:1" x14ac:dyDescent="0.45">
      <c r="A2" s="106" t="s">
        <v>2909</v>
      </c>
    </row>
    <row r="3" spans="1:1" x14ac:dyDescent="0.45">
      <c r="A3" s="106" t="s">
        <v>2910</v>
      </c>
    </row>
    <row r="4" spans="1:1" x14ac:dyDescent="0.45">
      <c r="A4" s="106" t="s">
        <v>2911</v>
      </c>
    </row>
    <row r="5" spans="1:1" x14ac:dyDescent="0.45">
      <c r="A5" s="106" t="s">
        <v>2912</v>
      </c>
    </row>
    <row r="6" spans="1:1" x14ac:dyDescent="0.45">
      <c r="A6" s="106" t="s">
        <v>2913</v>
      </c>
    </row>
    <row r="7" spans="1:1" x14ac:dyDescent="0.45">
      <c r="A7" s="106" t="s">
        <v>2914</v>
      </c>
    </row>
    <row r="8" spans="1:1" x14ac:dyDescent="0.45">
      <c r="A8" s="106" t="s">
        <v>2915</v>
      </c>
    </row>
    <row r="9" spans="1:1" x14ac:dyDescent="0.45">
      <c r="A9" s="106" t="s">
        <v>2916</v>
      </c>
    </row>
    <row r="10" spans="1:1" x14ac:dyDescent="0.45">
      <c r="A10" s="106" t="s">
        <v>2909</v>
      </c>
    </row>
    <row r="11" spans="1:1" x14ac:dyDescent="0.45">
      <c r="A11" s="106" t="s">
        <v>2917</v>
      </c>
    </row>
    <row r="12" spans="1:1" x14ac:dyDescent="0.45">
      <c r="A12" s="106" t="s">
        <v>2918</v>
      </c>
    </row>
    <row r="13" spans="1:1" x14ac:dyDescent="0.45">
      <c r="A13" s="106" t="s">
        <v>2919</v>
      </c>
    </row>
    <row r="14" spans="1:1" x14ac:dyDescent="0.45">
      <c r="A14" s="106" t="s">
        <v>2909</v>
      </c>
    </row>
    <row r="15" spans="1:1" x14ac:dyDescent="0.45">
      <c r="A15" s="106" t="s">
        <v>2920</v>
      </c>
    </row>
    <row r="16" spans="1:1" x14ac:dyDescent="0.45">
      <c r="A16" s="106" t="s">
        <v>2918</v>
      </c>
    </row>
    <row r="17" spans="1:1" x14ac:dyDescent="0.45">
      <c r="A17" s="106" t="s">
        <v>2921</v>
      </c>
    </row>
    <row r="18" spans="1:1" x14ac:dyDescent="0.45">
      <c r="A18" s="106" t="s">
        <v>2909</v>
      </c>
    </row>
    <row r="19" spans="1:1" x14ac:dyDescent="0.45">
      <c r="A19" s="106" t="s">
        <v>2922</v>
      </c>
    </row>
    <row r="20" spans="1:1" x14ac:dyDescent="0.45">
      <c r="A20" s="106" t="s">
        <v>2923</v>
      </c>
    </row>
    <row r="21" spans="1:1" x14ac:dyDescent="0.45">
      <c r="A21" s="106" t="s">
        <v>2924</v>
      </c>
    </row>
    <row r="22" spans="1:1" x14ac:dyDescent="0.45">
      <c r="A22" s="106" t="s">
        <v>2925</v>
      </c>
    </row>
    <row r="23" spans="1:1" x14ac:dyDescent="0.45">
      <c r="A23" s="106" t="s">
        <v>2909</v>
      </c>
    </row>
    <row r="24" spans="1:1" x14ac:dyDescent="0.45">
      <c r="A24" s="106" t="s">
        <v>2926</v>
      </c>
    </row>
    <row r="25" spans="1:1" x14ac:dyDescent="0.45">
      <c r="A25" s="106" t="s">
        <v>2927</v>
      </c>
    </row>
    <row r="26" spans="1:1" x14ac:dyDescent="0.45">
      <c r="A26" s="106" t="s">
        <v>2928</v>
      </c>
    </row>
    <row r="27" spans="1:1" x14ac:dyDescent="0.45">
      <c r="A27" s="106" t="s">
        <v>2909</v>
      </c>
    </row>
    <row r="28" spans="1:1" x14ac:dyDescent="0.45">
      <c r="A28" s="106" t="s">
        <v>2929</v>
      </c>
    </row>
    <row r="29" spans="1:1" x14ac:dyDescent="0.45">
      <c r="A29" s="106" t="s">
        <v>2930</v>
      </c>
    </row>
    <row r="30" spans="1:1" x14ac:dyDescent="0.45">
      <c r="A30" s="106" t="s">
        <v>2931</v>
      </c>
    </row>
    <row r="31" spans="1:1" x14ac:dyDescent="0.45">
      <c r="A31" s="106" t="s">
        <v>2909</v>
      </c>
    </row>
    <row r="32" spans="1:1" x14ac:dyDescent="0.45">
      <c r="A32" s="106" t="s">
        <v>2932</v>
      </c>
    </row>
    <row r="33" spans="1:1" x14ac:dyDescent="0.45">
      <c r="A33" s="106" t="s">
        <v>2933</v>
      </c>
    </row>
    <row r="34" spans="1:1" x14ac:dyDescent="0.45">
      <c r="A34" s="106" t="s">
        <v>2909</v>
      </c>
    </row>
    <row r="35" spans="1:1" x14ac:dyDescent="0.45">
      <c r="A35" s="106" t="s">
        <v>2934</v>
      </c>
    </row>
    <row r="36" spans="1:1" x14ac:dyDescent="0.45">
      <c r="A36" s="106" t="s">
        <v>2935</v>
      </c>
    </row>
    <row r="37" spans="1:1" x14ac:dyDescent="0.45">
      <c r="A37" s="106" t="s">
        <v>2909</v>
      </c>
    </row>
    <row r="38" spans="1:1" x14ac:dyDescent="0.45">
      <c r="A38" s="106" t="s">
        <v>2936</v>
      </c>
    </row>
    <row r="39" spans="1:1" x14ac:dyDescent="0.45">
      <c r="A39" s="106" t="s">
        <v>2937</v>
      </c>
    </row>
    <row r="40" spans="1:1" x14ac:dyDescent="0.45">
      <c r="A40" s="106" t="s">
        <v>2909</v>
      </c>
    </row>
    <row r="41" spans="1:1" x14ac:dyDescent="0.45">
      <c r="A41" s="106" t="s">
        <v>2938</v>
      </c>
    </row>
    <row r="42" spans="1:1" x14ac:dyDescent="0.45">
      <c r="A42" s="106" t="s">
        <v>2939</v>
      </c>
    </row>
    <row r="43" spans="1:1" x14ac:dyDescent="0.45">
      <c r="A43" s="106" t="s">
        <v>2924</v>
      </c>
    </row>
    <row r="44" spans="1:1" x14ac:dyDescent="0.45">
      <c r="A44" s="106" t="s">
        <v>2925</v>
      </c>
    </row>
    <row r="45" spans="1:1" x14ac:dyDescent="0.45">
      <c r="A45" s="106" t="s">
        <v>2909</v>
      </c>
    </row>
    <row r="46" spans="1:1" x14ac:dyDescent="0.45">
      <c r="A46" s="106" t="s">
        <v>2940</v>
      </c>
    </row>
    <row r="47" spans="1:1" x14ac:dyDescent="0.45">
      <c r="A47" s="106" t="s">
        <v>2941</v>
      </c>
    </row>
    <row r="48" spans="1:1" x14ac:dyDescent="0.45">
      <c r="A48" s="106" t="s">
        <v>2942</v>
      </c>
    </row>
    <row r="49" spans="1:1" x14ac:dyDescent="0.45">
      <c r="A49" s="106" t="s">
        <v>2924</v>
      </c>
    </row>
    <row r="50" spans="1:1" x14ac:dyDescent="0.45">
      <c r="A50" s="106" t="s">
        <v>2925</v>
      </c>
    </row>
    <row r="51" spans="1:1" x14ac:dyDescent="0.45">
      <c r="A51" s="106" t="s">
        <v>2909</v>
      </c>
    </row>
    <row r="52" spans="1:1" x14ac:dyDescent="0.45">
      <c r="A52" s="106" t="s">
        <v>2943</v>
      </c>
    </row>
    <row r="53" spans="1:1" x14ac:dyDescent="0.45">
      <c r="A53" s="106" t="s">
        <v>2944</v>
      </c>
    </row>
    <row r="54" spans="1:1" x14ac:dyDescent="0.45">
      <c r="A54" s="106" t="s">
        <v>2945</v>
      </c>
    </row>
    <row r="55" spans="1:1" x14ac:dyDescent="0.45">
      <c r="A55" s="106" t="s">
        <v>2909</v>
      </c>
    </row>
    <row r="56" spans="1:1" x14ac:dyDescent="0.45">
      <c r="A56" s="106" t="s">
        <v>2946</v>
      </c>
    </row>
    <row r="57" spans="1:1" x14ac:dyDescent="0.45">
      <c r="A57" s="106" t="s">
        <v>2947</v>
      </c>
    </row>
    <row r="58" spans="1:1" x14ac:dyDescent="0.45">
      <c r="A58" s="106" t="s">
        <v>2909</v>
      </c>
    </row>
    <row r="59" spans="1:1" x14ac:dyDescent="0.45">
      <c r="A59" s="106" t="s">
        <v>2948</v>
      </c>
    </row>
    <row r="60" spans="1:1" x14ac:dyDescent="0.45">
      <c r="A60" s="106" t="s">
        <v>2949</v>
      </c>
    </row>
    <row r="61" spans="1:1" x14ac:dyDescent="0.45">
      <c r="A61" s="106" t="s">
        <v>2909</v>
      </c>
    </row>
    <row r="62" spans="1:1" x14ac:dyDescent="0.45">
      <c r="A62" s="106" t="s">
        <v>2950</v>
      </c>
    </row>
    <row r="63" spans="1:1" x14ac:dyDescent="0.45">
      <c r="A63" s="106" t="s">
        <v>2951</v>
      </c>
    </row>
    <row r="64" spans="1:1" x14ac:dyDescent="0.45">
      <c r="A64" s="106" t="s">
        <v>2952</v>
      </c>
    </row>
    <row r="65" spans="1:1" x14ac:dyDescent="0.45">
      <c r="A65" s="106" t="s">
        <v>2909</v>
      </c>
    </row>
    <row r="66" spans="1:1" x14ac:dyDescent="0.45">
      <c r="A66" s="106" t="s">
        <v>2953</v>
      </c>
    </row>
    <row r="67" spans="1:1" x14ac:dyDescent="0.45">
      <c r="A67" s="106" t="s">
        <v>2954</v>
      </c>
    </row>
    <row r="68" spans="1:1" x14ac:dyDescent="0.45">
      <c r="A68" s="106" t="s">
        <v>2909</v>
      </c>
    </row>
    <row r="69" spans="1:1" x14ac:dyDescent="0.45">
      <c r="A69" s="106" t="s">
        <v>2955</v>
      </c>
    </row>
    <row r="70" spans="1:1" x14ac:dyDescent="0.45">
      <c r="A70" s="106" t="s">
        <v>2956</v>
      </c>
    </row>
    <row r="71" spans="1:1" x14ac:dyDescent="0.45">
      <c r="A71" s="106" t="s">
        <v>2909</v>
      </c>
    </row>
    <row r="72" spans="1:1" x14ac:dyDescent="0.45">
      <c r="A72" s="106" t="s">
        <v>2957</v>
      </c>
    </row>
    <row r="73" spans="1:1" x14ac:dyDescent="0.45">
      <c r="A73" s="106" t="s">
        <v>2958</v>
      </c>
    </row>
    <row r="74" spans="1:1" x14ac:dyDescent="0.45">
      <c r="A74" s="106" t="s">
        <v>2924</v>
      </c>
    </row>
    <row r="75" spans="1:1" x14ac:dyDescent="0.45">
      <c r="A75" s="106" t="s">
        <v>2925</v>
      </c>
    </row>
    <row r="76" spans="1:1" x14ac:dyDescent="0.45">
      <c r="A76" s="106" t="s">
        <v>2909</v>
      </c>
    </row>
    <row r="77" spans="1:1" x14ac:dyDescent="0.45">
      <c r="A77" s="106" t="s">
        <v>2959</v>
      </c>
    </row>
    <row r="78" spans="1:1" x14ac:dyDescent="0.45">
      <c r="A78" s="106" t="s">
        <v>2960</v>
      </c>
    </row>
    <row r="79" spans="1:1" x14ac:dyDescent="0.45">
      <c r="A79" s="106" t="s">
        <v>2961</v>
      </c>
    </row>
    <row r="80" spans="1:1" x14ac:dyDescent="0.45">
      <c r="A80" s="106" t="s">
        <v>2909</v>
      </c>
    </row>
    <row r="81" spans="1:1" x14ac:dyDescent="0.45">
      <c r="A81" s="106" t="s">
        <v>2168</v>
      </c>
    </row>
    <row r="82" spans="1:1" x14ac:dyDescent="0.45">
      <c r="A82" s="106" t="s">
        <v>2962</v>
      </c>
    </row>
    <row r="83" spans="1:1" x14ac:dyDescent="0.45">
      <c r="A83" s="106" t="s">
        <v>2909</v>
      </c>
    </row>
    <row r="84" spans="1:1" x14ac:dyDescent="0.45">
      <c r="A84" s="106" t="s">
        <v>2963</v>
      </c>
    </row>
    <row r="85" spans="1:1" x14ac:dyDescent="0.45">
      <c r="A85" s="106" t="s">
        <v>2964</v>
      </c>
    </row>
    <row r="86" spans="1:1" x14ac:dyDescent="0.45">
      <c r="A86" s="106" t="s">
        <v>2909</v>
      </c>
    </row>
    <row r="87" spans="1:1" x14ac:dyDescent="0.45">
      <c r="A87" s="106" t="s">
        <v>2965</v>
      </c>
    </row>
    <row r="88" spans="1:1" x14ac:dyDescent="0.45">
      <c r="A88" s="106" t="s">
        <v>2966</v>
      </c>
    </row>
    <row r="89" spans="1:1" x14ac:dyDescent="0.45">
      <c r="A89" s="106" t="s">
        <v>2967</v>
      </c>
    </row>
    <row r="90" spans="1:1" x14ac:dyDescent="0.45">
      <c r="A90" s="106" t="s">
        <v>2968</v>
      </c>
    </row>
    <row r="91" spans="1:1" x14ac:dyDescent="0.45">
      <c r="A91" s="106" t="s">
        <v>2969</v>
      </c>
    </row>
    <row r="92" spans="1:1" x14ac:dyDescent="0.45">
      <c r="A92" s="106" t="s">
        <v>2970</v>
      </c>
    </row>
    <row r="93" spans="1:1" x14ac:dyDescent="0.45">
      <c r="A93" s="106" t="s">
        <v>2924</v>
      </c>
    </row>
    <row r="94" spans="1:1" x14ac:dyDescent="0.45">
      <c r="A94" s="106" t="s">
        <v>2971</v>
      </c>
    </row>
    <row r="95" spans="1:1" x14ac:dyDescent="0.45">
      <c r="A95" s="106" t="s">
        <v>2909</v>
      </c>
    </row>
    <row r="96" spans="1:1" x14ac:dyDescent="0.45">
      <c r="A96" s="106" t="s">
        <v>828</v>
      </c>
    </row>
    <row r="97" spans="1:1" x14ac:dyDescent="0.45">
      <c r="A97" s="106" t="s">
        <v>2972</v>
      </c>
    </row>
    <row r="98" spans="1:1" x14ac:dyDescent="0.45">
      <c r="A98" s="106" t="s">
        <v>2973</v>
      </c>
    </row>
    <row r="99" spans="1:1" x14ac:dyDescent="0.45">
      <c r="A99" s="106" t="s">
        <v>2909</v>
      </c>
    </row>
    <row r="100" spans="1:1" x14ac:dyDescent="0.45">
      <c r="A100" s="106" t="s">
        <v>2974</v>
      </c>
    </row>
    <row r="101" spans="1:1" x14ac:dyDescent="0.45">
      <c r="A101" s="106" t="s">
        <v>2975</v>
      </c>
    </row>
    <row r="102" spans="1:1" x14ac:dyDescent="0.45">
      <c r="A102" s="106" t="s">
        <v>2976</v>
      </c>
    </row>
    <row r="103" spans="1:1" x14ac:dyDescent="0.45">
      <c r="A103" s="106" t="s">
        <v>2977</v>
      </c>
    </row>
    <row r="104" spans="1:1" x14ac:dyDescent="0.45">
      <c r="A104" s="106" t="s">
        <v>830</v>
      </c>
    </row>
    <row r="105" spans="1:1" x14ac:dyDescent="0.45">
      <c r="A105" s="106" t="s">
        <v>2913</v>
      </c>
    </row>
    <row r="106" spans="1:1" x14ac:dyDescent="0.45">
      <c r="A106" s="106" t="s">
        <v>2978</v>
      </c>
    </row>
    <row r="107" spans="1:1" x14ac:dyDescent="0.45">
      <c r="A107" s="106" t="s">
        <v>2909</v>
      </c>
    </row>
    <row r="108" spans="1:1" x14ac:dyDescent="0.45">
      <c r="A108" s="106" t="s">
        <v>831</v>
      </c>
    </row>
    <row r="109" spans="1:1" x14ac:dyDescent="0.45">
      <c r="A109" s="106" t="s">
        <v>2979</v>
      </c>
    </row>
    <row r="110" spans="1:1" x14ac:dyDescent="0.45">
      <c r="A110" s="106" t="s">
        <v>2970</v>
      </c>
    </row>
    <row r="111" spans="1:1" x14ac:dyDescent="0.45">
      <c r="A111" s="106" t="s">
        <v>2924</v>
      </c>
    </row>
    <row r="112" spans="1:1" x14ac:dyDescent="0.45">
      <c r="A112" s="106" t="s">
        <v>2971</v>
      </c>
    </row>
    <row r="113" spans="1:1" x14ac:dyDescent="0.45">
      <c r="A113" s="106" t="s">
        <v>2909</v>
      </c>
    </row>
    <row r="114" spans="1:1" x14ac:dyDescent="0.45">
      <c r="A114" s="106" t="s">
        <v>828</v>
      </c>
    </row>
    <row r="115" spans="1:1" x14ac:dyDescent="0.45">
      <c r="A115" s="106" t="s">
        <v>2972</v>
      </c>
    </row>
    <row r="116" spans="1:1" x14ac:dyDescent="0.45">
      <c r="A116" s="106" t="s">
        <v>2973</v>
      </c>
    </row>
    <row r="117" spans="1:1" x14ac:dyDescent="0.45">
      <c r="A117" s="106" t="s">
        <v>2909</v>
      </c>
    </row>
    <row r="118" spans="1:1" x14ac:dyDescent="0.45">
      <c r="A118" s="106" t="s">
        <v>2974</v>
      </c>
    </row>
    <row r="119" spans="1:1" x14ac:dyDescent="0.45">
      <c r="A119" s="106" t="s">
        <v>2975</v>
      </c>
    </row>
    <row r="120" spans="1:1" x14ac:dyDescent="0.45">
      <c r="A120" s="106" t="s">
        <v>830</v>
      </c>
    </row>
    <row r="121" spans="1:1" x14ac:dyDescent="0.45">
      <c r="A121" s="106" t="s">
        <v>2913</v>
      </c>
    </row>
    <row r="122" spans="1:1" x14ac:dyDescent="0.45">
      <c r="A122" s="106" t="s">
        <v>2978</v>
      </c>
    </row>
    <row r="123" spans="1:1" x14ac:dyDescent="0.45">
      <c r="A123" s="106" t="s">
        <v>2909</v>
      </c>
    </row>
    <row r="124" spans="1:1" x14ac:dyDescent="0.45">
      <c r="A124" s="106" t="s">
        <v>831</v>
      </c>
    </row>
    <row r="125" spans="1:1" x14ac:dyDescent="0.45">
      <c r="A125" s="106" t="s">
        <v>2980</v>
      </c>
    </row>
    <row r="126" spans="1:1" x14ac:dyDescent="0.45">
      <c r="A126" s="106" t="s">
        <v>2970</v>
      </c>
    </row>
    <row r="127" spans="1:1" x14ac:dyDescent="0.45">
      <c r="A127" s="106" t="s">
        <v>2924</v>
      </c>
    </row>
    <row r="128" spans="1:1" x14ac:dyDescent="0.45">
      <c r="A128" s="106" t="s">
        <v>2971</v>
      </c>
    </row>
    <row r="129" spans="1:1" x14ac:dyDescent="0.45">
      <c r="A129" s="106" t="s">
        <v>2909</v>
      </c>
    </row>
    <row r="130" spans="1:1" x14ac:dyDescent="0.45">
      <c r="A130" s="106" t="s">
        <v>828</v>
      </c>
    </row>
    <row r="131" spans="1:1" x14ac:dyDescent="0.45">
      <c r="A131" s="106" t="s">
        <v>2972</v>
      </c>
    </row>
    <row r="132" spans="1:1" x14ac:dyDescent="0.45">
      <c r="A132" s="106" t="s">
        <v>2973</v>
      </c>
    </row>
    <row r="133" spans="1:1" x14ac:dyDescent="0.45">
      <c r="A133" s="106" t="s">
        <v>2909</v>
      </c>
    </row>
    <row r="134" spans="1:1" x14ac:dyDescent="0.45">
      <c r="A134" s="106" t="s">
        <v>2974</v>
      </c>
    </row>
    <row r="135" spans="1:1" x14ac:dyDescent="0.45">
      <c r="A135" s="106" t="s">
        <v>2975</v>
      </c>
    </row>
    <row r="136" spans="1:1" x14ac:dyDescent="0.45">
      <c r="A136" s="106" t="s">
        <v>830</v>
      </c>
    </row>
    <row r="137" spans="1:1" x14ac:dyDescent="0.45">
      <c r="A137" s="106" t="s">
        <v>2913</v>
      </c>
    </row>
    <row r="138" spans="1:1" x14ac:dyDescent="0.45">
      <c r="A138" s="106" t="s">
        <v>2978</v>
      </c>
    </row>
    <row r="139" spans="1:1" x14ac:dyDescent="0.45">
      <c r="A139" s="106" t="s">
        <v>2909</v>
      </c>
    </row>
    <row r="140" spans="1:1" x14ac:dyDescent="0.45">
      <c r="A140" s="106" t="s">
        <v>831</v>
      </c>
    </row>
    <row r="141" spans="1:1" x14ac:dyDescent="0.45">
      <c r="A141" s="106" t="s">
        <v>2981</v>
      </c>
    </row>
    <row r="142" spans="1:1" x14ac:dyDescent="0.45">
      <c r="A142" s="106" t="s">
        <v>2970</v>
      </c>
    </row>
    <row r="143" spans="1:1" x14ac:dyDescent="0.45">
      <c r="A143" s="106" t="s">
        <v>2924</v>
      </c>
    </row>
    <row r="144" spans="1:1" x14ac:dyDescent="0.45">
      <c r="A144" s="106" t="s">
        <v>2971</v>
      </c>
    </row>
    <row r="145" spans="1:1" x14ac:dyDescent="0.45">
      <c r="A145" s="106" t="s">
        <v>2909</v>
      </c>
    </row>
    <row r="146" spans="1:1" x14ac:dyDescent="0.45">
      <c r="A146" s="106" t="s">
        <v>828</v>
      </c>
    </row>
    <row r="147" spans="1:1" x14ac:dyDescent="0.45">
      <c r="A147" s="106" t="s">
        <v>2972</v>
      </c>
    </row>
    <row r="148" spans="1:1" x14ac:dyDescent="0.45">
      <c r="A148" s="106" t="s">
        <v>2973</v>
      </c>
    </row>
    <row r="149" spans="1:1" x14ac:dyDescent="0.45">
      <c r="A149" s="106" t="s">
        <v>2909</v>
      </c>
    </row>
    <row r="150" spans="1:1" x14ac:dyDescent="0.45">
      <c r="A150" s="106" t="s">
        <v>2974</v>
      </c>
    </row>
    <row r="151" spans="1:1" x14ac:dyDescent="0.45">
      <c r="A151" s="106" t="s">
        <v>2975</v>
      </c>
    </row>
    <row r="152" spans="1:1" x14ac:dyDescent="0.45">
      <c r="A152" s="106" t="s">
        <v>830</v>
      </c>
    </row>
    <row r="153" spans="1:1" x14ac:dyDescent="0.45">
      <c r="A153" s="106" t="s">
        <v>2913</v>
      </c>
    </row>
    <row r="154" spans="1:1" x14ac:dyDescent="0.45">
      <c r="A154" s="106" t="s">
        <v>2978</v>
      </c>
    </row>
    <row r="155" spans="1:1" x14ac:dyDescent="0.45">
      <c r="A155" s="106" t="s">
        <v>2909</v>
      </c>
    </row>
    <row r="156" spans="1:1" x14ac:dyDescent="0.45">
      <c r="A156" s="106" t="s">
        <v>831</v>
      </c>
    </row>
    <row r="157" spans="1:1" x14ac:dyDescent="0.45">
      <c r="A157" s="106" t="s">
        <v>2982</v>
      </c>
    </row>
    <row r="158" spans="1:1" x14ac:dyDescent="0.45">
      <c r="A158" s="106" t="s">
        <v>2970</v>
      </c>
    </row>
    <row r="159" spans="1:1" x14ac:dyDescent="0.45">
      <c r="A159" s="106" t="s">
        <v>2924</v>
      </c>
    </row>
    <row r="160" spans="1:1" x14ac:dyDescent="0.45">
      <c r="A160" s="106" t="s">
        <v>2971</v>
      </c>
    </row>
    <row r="161" spans="1:1" x14ac:dyDescent="0.45">
      <c r="A161" s="106" t="s">
        <v>2909</v>
      </c>
    </row>
    <row r="162" spans="1:1" x14ac:dyDescent="0.45">
      <c r="A162" s="106" t="s">
        <v>828</v>
      </c>
    </row>
    <row r="163" spans="1:1" x14ac:dyDescent="0.45">
      <c r="A163" s="106" t="s">
        <v>2972</v>
      </c>
    </row>
    <row r="164" spans="1:1" x14ac:dyDescent="0.45">
      <c r="A164" s="106" t="s">
        <v>2973</v>
      </c>
    </row>
    <row r="165" spans="1:1" x14ac:dyDescent="0.45">
      <c r="A165" s="106" t="s">
        <v>2909</v>
      </c>
    </row>
    <row r="166" spans="1:1" x14ac:dyDescent="0.45">
      <c r="A166" s="106" t="s">
        <v>2974</v>
      </c>
    </row>
    <row r="167" spans="1:1" x14ac:dyDescent="0.45">
      <c r="A167" s="106" t="s">
        <v>2975</v>
      </c>
    </row>
    <row r="168" spans="1:1" x14ac:dyDescent="0.45">
      <c r="A168" s="106" t="s">
        <v>830</v>
      </c>
    </row>
    <row r="169" spans="1:1" x14ac:dyDescent="0.45">
      <c r="A169" s="106" t="s">
        <v>2913</v>
      </c>
    </row>
    <row r="170" spans="1:1" x14ac:dyDescent="0.45">
      <c r="A170" s="106" t="s">
        <v>2978</v>
      </c>
    </row>
    <row r="171" spans="1:1" x14ac:dyDescent="0.45">
      <c r="A171" s="106" t="s">
        <v>2909</v>
      </c>
    </row>
    <row r="172" spans="1:1" x14ac:dyDescent="0.45">
      <c r="A172" s="106" t="s">
        <v>831</v>
      </c>
    </row>
    <row r="173" spans="1:1" x14ac:dyDescent="0.45">
      <c r="A173" s="106" t="s">
        <v>2983</v>
      </c>
    </row>
    <row r="174" spans="1:1" x14ac:dyDescent="0.45">
      <c r="A174" s="106" t="s">
        <v>2970</v>
      </c>
    </row>
    <row r="175" spans="1:1" x14ac:dyDescent="0.45">
      <c r="A175" s="106" t="s">
        <v>2924</v>
      </c>
    </row>
    <row r="176" spans="1:1" x14ac:dyDescent="0.45">
      <c r="A176" s="106" t="s">
        <v>2971</v>
      </c>
    </row>
    <row r="177" spans="1:1" x14ac:dyDescent="0.45">
      <c r="A177" s="106" t="s">
        <v>2909</v>
      </c>
    </row>
    <row r="178" spans="1:1" x14ac:dyDescent="0.45">
      <c r="A178" s="106" t="s">
        <v>828</v>
      </c>
    </row>
    <row r="179" spans="1:1" x14ac:dyDescent="0.45">
      <c r="A179" s="106" t="s">
        <v>2972</v>
      </c>
    </row>
    <row r="180" spans="1:1" x14ac:dyDescent="0.45">
      <c r="A180" s="106" t="s">
        <v>2973</v>
      </c>
    </row>
    <row r="181" spans="1:1" x14ac:dyDescent="0.45">
      <c r="A181" s="106" t="s">
        <v>2909</v>
      </c>
    </row>
    <row r="182" spans="1:1" x14ac:dyDescent="0.45">
      <c r="A182" s="106" t="s">
        <v>2974</v>
      </c>
    </row>
    <row r="183" spans="1:1" x14ac:dyDescent="0.45">
      <c r="A183" s="106" t="s">
        <v>2975</v>
      </c>
    </row>
    <row r="184" spans="1:1" x14ac:dyDescent="0.45">
      <c r="A184" s="106" t="s">
        <v>830</v>
      </c>
    </row>
    <row r="185" spans="1:1" x14ac:dyDescent="0.45">
      <c r="A185" s="106" t="s">
        <v>2913</v>
      </c>
    </row>
    <row r="186" spans="1:1" x14ac:dyDescent="0.45">
      <c r="A186" s="106" t="s">
        <v>2913</v>
      </c>
    </row>
    <row r="187" spans="1:1" x14ac:dyDescent="0.45">
      <c r="A187" s="106" t="s">
        <v>2978</v>
      </c>
    </row>
    <row r="188" spans="1:1" x14ac:dyDescent="0.45">
      <c r="A188" s="106" t="s">
        <v>2909</v>
      </c>
    </row>
    <row r="189" spans="1:1" x14ac:dyDescent="0.45">
      <c r="A189" s="106" t="s">
        <v>831</v>
      </c>
    </row>
    <row r="190" spans="1:1" x14ac:dyDescent="0.45">
      <c r="A190" s="106" t="s">
        <v>2984</v>
      </c>
    </row>
    <row r="191" spans="1:1" x14ac:dyDescent="0.45">
      <c r="A191" s="106" t="s">
        <v>2924</v>
      </c>
    </row>
    <row r="192" spans="1:1" x14ac:dyDescent="0.45">
      <c r="A192" s="106" t="s">
        <v>2925</v>
      </c>
    </row>
    <row r="193" spans="1:1" x14ac:dyDescent="0.45">
      <c r="A193" s="106" t="s">
        <v>2909</v>
      </c>
    </row>
    <row r="194" spans="1:1" x14ac:dyDescent="0.45">
      <c r="A194" s="106" t="s">
        <v>2985</v>
      </c>
    </row>
    <row r="195" spans="1:1" x14ac:dyDescent="0.45">
      <c r="A195" s="106" t="s">
        <v>2986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EDCDB-21A2-494D-ADEB-30D52C616975}">
  <sheetPr>
    <pageSetUpPr fitToPage="1"/>
  </sheetPr>
  <dimension ref="A1:J5000"/>
  <sheetViews>
    <sheetView workbookViewId="0">
      <selection activeCell="G1" sqref="G1:J1048576"/>
    </sheetView>
  </sheetViews>
  <sheetFormatPr defaultColWidth="8.796875" defaultRowHeight="14.25" x14ac:dyDescent="0.45"/>
  <cols>
    <col min="8" max="8" width="23.33203125" customWidth="1"/>
    <col min="13" max="13" width="10.1328125" customWidth="1"/>
  </cols>
  <sheetData>
    <row r="1" spans="1:10" x14ac:dyDescent="0.45">
      <c r="A1">
        <f>ROW()</f>
        <v>1</v>
      </c>
      <c r="B1">
        <f>Profile!A1</f>
        <v>0</v>
      </c>
      <c r="C1">
        <f>Profile!AP3</f>
        <v>4</v>
      </c>
      <c r="D1" t="str">
        <f>IF(Profile!C1="Profile",IF(Profile!A3="ResourceRequirement","OK","XXX"),"XXX")</f>
        <v>XXX</v>
      </c>
      <c r="G1">
        <v>11</v>
      </c>
      <c r="H1" t="s">
        <v>3077</v>
      </c>
      <c r="I1">
        <v>4</v>
      </c>
      <c r="J1" t="s">
        <v>761</v>
      </c>
    </row>
    <row r="2" spans="1:10" x14ac:dyDescent="0.45">
      <c r="A2">
        <f>ROW()</f>
        <v>2</v>
      </c>
      <c r="B2" t="str">
        <f>Profile!A2</f>
        <v>PASTE red outlined box to opaf_sm_dump.txt for profile json generation</v>
      </c>
      <c r="C2">
        <f>Profile!AP4</f>
        <v>0</v>
      </c>
      <c r="D2" t="str">
        <f>IF(Profile!C2="Profile",IF(Profile!A4="ResourceRequirement","OK","XXX"),"XXX")</f>
        <v>XXX</v>
      </c>
      <c r="G2">
        <v>45</v>
      </c>
      <c r="H2" t="s">
        <v>3037</v>
      </c>
      <c r="I2">
        <v>9</v>
      </c>
      <c r="J2" t="s">
        <v>761</v>
      </c>
    </row>
    <row r="3" spans="1:10" x14ac:dyDescent="0.45">
      <c r="A3">
        <f>ROW()</f>
        <v>3</v>
      </c>
      <c r="B3" t="str">
        <f>Profile!A3</f>
        <v>ProfileName</v>
      </c>
      <c r="C3">
        <f>Profile!AP5</f>
        <v>0</v>
      </c>
      <c r="D3" t="str">
        <f>IF(Profile!C3="Profile",IF(Profile!A5="ResourceRequirement","OK","XXX"),"XXX")</f>
        <v>XXX</v>
      </c>
      <c r="G3">
        <v>168</v>
      </c>
      <c r="H3" t="s">
        <v>3119</v>
      </c>
      <c r="I3">
        <v>29</v>
      </c>
      <c r="J3" t="s">
        <v>761</v>
      </c>
    </row>
    <row r="4" spans="1:10" x14ac:dyDescent="0.45">
      <c r="A4">
        <f>ROW()</f>
        <v>4</v>
      </c>
      <c r="B4" t="str">
        <f>Profile!A4</f>
        <v>ProfilePurpose</v>
      </c>
      <c r="C4">
        <f>Profile!AP6</f>
        <v>0</v>
      </c>
      <c r="D4" t="str">
        <f>IF(Profile!C4="Profile",IF(Profile!A6="ResourceRequirement","OK","XXX"),"XXX")</f>
        <v>XXX</v>
      </c>
      <c r="G4">
        <v>271</v>
      </c>
      <c r="H4" t="s">
        <v>3120</v>
      </c>
      <c r="I4">
        <v>30</v>
      </c>
      <c r="J4" t="s">
        <v>761</v>
      </c>
    </row>
    <row r="5" spans="1:10" x14ac:dyDescent="0.45">
      <c r="A5">
        <f>ROW()</f>
        <v>5</v>
      </c>
      <c r="B5">
        <f>Profile!A5</f>
        <v>0</v>
      </c>
      <c r="C5">
        <f>Profile!AP7</f>
        <v>0</v>
      </c>
      <c r="D5" t="str">
        <f>IF(Profile!C5="Profile",IF(Profile!A7="ResourceRequirement","OK","XXX"),"XXX")</f>
        <v>XXX</v>
      </c>
      <c r="G5">
        <v>305</v>
      </c>
      <c r="H5" t="s">
        <v>3098</v>
      </c>
      <c r="I5">
        <v>44</v>
      </c>
      <c r="J5" t="s">
        <v>761</v>
      </c>
    </row>
    <row r="6" spans="1:10" x14ac:dyDescent="0.45">
      <c r="A6">
        <f>ROW()</f>
        <v>6</v>
      </c>
      <c r="B6" t="str">
        <f>Profile!A6</f>
        <v>1.1.1.1               Bios</v>
      </c>
      <c r="C6">
        <f>Profile!AP8</f>
        <v>0</v>
      </c>
      <c r="D6" t="str">
        <f>IF(Profile!C6="Profile",IF(Profile!A8="ResourceRequirement","OK","XXX"),"XXX")</f>
        <v>XXX</v>
      </c>
      <c r="G6">
        <v>342</v>
      </c>
      <c r="H6" t="s">
        <v>3121</v>
      </c>
      <c r="I6">
        <v>47</v>
      </c>
      <c r="J6" t="s">
        <v>761</v>
      </c>
    </row>
    <row r="7" spans="1:10" x14ac:dyDescent="0.45">
      <c r="A7">
        <f>ROW()</f>
        <v>7</v>
      </c>
      <c r="B7" t="str">
        <f>Profile!A7</f>
        <v>The BIOS AttributeRegistry describes the system-specific BIOS attributes and actions for changing the BIOS settings. Changes to the BIOS typically require a system reset before they take effect.</v>
      </c>
      <c r="C7">
        <f>Profile!AP9</f>
        <v>0</v>
      </c>
      <c r="D7" t="str">
        <f>IF(Profile!C7="Profile",IF(Profile!A9="ResourceRequirement","OK","XXX"),"XXX")</f>
        <v>XXX</v>
      </c>
      <c r="G7">
        <v>425</v>
      </c>
      <c r="H7" t="s">
        <v>3244</v>
      </c>
      <c r="I7">
        <v>48</v>
      </c>
      <c r="J7" t="s">
        <v>761</v>
      </c>
    </row>
    <row r="8" spans="1:10" x14ac:dyDescent="0.45">
      <c r="A8">
        <f>ROW()</f>
        <v>8</v>
      </c>
      <c r="B8" t="str">
        <f>Profile!A8</f>
        <v>Table 9: O-PAS Profile Map for the Redfish Bios Resource</v>
      </c>
      <c r="C8">
        <f>Profile!AP10</f>
        <v>0</v>
      </c>
      <c r="D8" t="str">
        <f>IF(Profile!C8="Profile",IF(Profile!A10="ResourceRequirement","OK","XXX"),"XXX")</f>
        <v>XXX</v>
      </c>
      <c r="G8">
        <v>472</v>
      </c>
      <c r="H8" t="s">
        <v>3184</v>
      </c>
      <c r="I8">
        <v>56</v>
      </c>
      <c r="J8" t="s">
        <v>761</v>
      </c>
    </row>
    <row r="9" spans="1:10" x14ac:dyDescent="0.45">
      <c r="A9">
        <f>ROW()</f>
        <v>9</v>
      </c>
      <c r="B9" t="str">
        <f>Profile!A9</f>
        <v>Bios (1.0.4)</v>
      </c>
      <c r="C9">
        <f>Profile!AP11</f>
        <v>0</v>
      </c>
      <c r="D9" t="str">
        <f>IF(Profile!C9="Profile",IF(Profile!A11="ResourceRequirement","OK","XXX"),"XXX")</f>
        <v>XXX</v>
      </c>
      <c r="G9">
        <v>500</v>
      </c>
      <c r="H9" t="s">
        <v>3185</v>
      </c>
      <c r="I9">
        <v>58</v>
      </c>
      <c r="J9" t="s">
        <v>761</v>
      </c>
    </row>
    <row r="10" spans="1:10" x14ac:dyDescent="0.45">
      <c r="A10">
        <f>ROW()</f>
        <v>10</v>
      </c>
      <c r="B10">
        <f>Profile!A10</f>
        <v>0</v>
      </c>
      <c r="C10">
        <f>Profile!AP12</f>
        <v>0</v>
      </c>
      <c r="D10" t="str">
        <f>IF(Profile!C10="Profile",IF(Profile!A12="ResourceRequirement","OK","XXX"),"XXX")</f>
        <v>XXX</v>
      </c>
      <c r="G10">
        <v>566</v>
      </c>
      <c r="H10" t="s">
        <v>486</v>
      </c>
      <c r="I10">
        <v>67</v>
      </c>
      <c r="J10" t="s">
        <v>761</v>
      </c>
    </row>
    <row r="11" spans="1:10" x14ac:dyDescent="0.45">
      <c r="A11">
        <f>ROW()</f>
        <v>11</v>
      </c>
      <c r="B11" t="str">
        <f>Profile!A11</f>
        <v>Bios (1.0.6)</v>
      </c>
      <c r="C11">
        <f>Profile!AP13</f>
        <v>4</v>
      </c>
      <c r="D11" t="str">
        <f>IF(Profile!C11="Profile",IF(Profile!A13="ResourceRequirement","OK","XXX"),"XXX")</f>
        <v>OK</v>
      </c>
      <c r="G11">
        <v>628</v>
      </c>
      <c r="H11" t="s">
        <v>3219</v>
      </c>
      <c r="I11">
        <v>18</v>
      </c>
      <c r="J11" t="s">
        <v>761</v>
      </c>
    </row>
    <row r="12" spans="1:10" x14ac:dyDescent="0.45">
      <c r="A12">
        <f>ROW()</f>
        <v>12</v>
      </c>
      <c r="B12">
        <f>Profile!A12</f>
        <v>0</v>
      </c>
      <c r="C12">
        <f>Profile!AP14</f>
        <v>0</v>
      </c>
      <c r="D12" t="str">
        <f>IF(Profile!C12="Profile",IF(Profile!A14="ResourceRequirement","OK","XXX"),"XXX")</f>
        <v>XXX</v>
      </c>
      <c r="G12">
        <v>657</v>
      </c>
      <c r="H12" t="s">
        <v>3220</v>
      </c>
      <c r="I12">
        <v>19</v>
      </c>
      <c r="J12" t="s">
        <v>761</v>
      </c>
    </row>
    <row r="13" spans="1:10" x14ac:dyDescent="0.45">
      <c r="A13">
        <f>ROW()</f>
        <v>13</v>
      </c>
      <c r="B13" t="str">
        <f>Profile!A13</f>
        <v>ResourceRequirement</v>
      </c>
      <c r="C13">
        <f>Profile!AP15</f>
        <v>0</v>
      </c>
      <c r="D13" t="str">
        <f>IF(Profile!C13="Profile",IF(Profile!A15="ResourceRequirement","OK","XXX"),"XXX")</f>
        <v>XXX</v>
      </c>
      <c r="G13">
        <v>692</v>
      </c>
      <c r="H13" t="s">
        <v>600</v>
      </c>
      <c r="I13">
        <v>24</v>
      </c>
      <c r="J13" t="s">
        <v>761</v>
      </c>
    </row>
    <row r="14" spans="1:10" x14ac:dyDescent="0.45">
      <c r="A14">
        <f>ROW()</f>
        <v>14</v>
      </c>
      <c r="B14" t="str">
        <f>Profile!A14</f>
        <v>Resource MinVersion</v>
      </c>
      <c r="C14">
        <f>Profile!AP16</f>
        <v>0</v>
      </c>
      <c r="D14" t="str">
        <f>IF(Profile!C14="Profile",IF(Profile!A16="ResourceRequirement","OK","XXX"),"XXX")</f>
        <v>XXX</v>
      </c>
      <c r="G14">
        <v>726</v>
      </c>
      <c r="H14" t="s">
        <v>3221</v>
      </c>
      <c r="I14">
        <v>25</v>
      </c>
      <c r="J14" t="s">
        <v>761</v>
      </c>
    </row>
    <row r="15" spans="1:10" x14ac:dyDescent="0.45">
      <c r="A15">
        <f>ROW()</f>
        <v>15</v>
      </c>
      <c r="B15" t="str">
        <f>Profile!A15</f>
        <v>Property</v>
      </c>
      <c r="C15">
        <f>Profile!AP17</f>
        <v>0</v>
      </c>
      <c r="D15" t="str">
        <f>IF(Profile!C15="Profile",IF(Profile!A17="ResourceRequirement","OK","XXX"),"XXX")</f>
        <v>XXX</v>
      </c>
      <c r="G15">
        <v>751</v>
      </c>
      <c r="H15" t="s">
        <v>3229</v>
      </c>
      <c r="I15">
        <v>33</v>
      </c>
      <c r="J15" t="s">
        <v>761</v>
      </c>
    </row>
    <row r="16" spans="1:10" x14ac:dyDescent="0.45">
      <c r="A16">
        <f>ROW()</f>
        <v>16</v>
      </c>
      <c r="B16" t="str">
        <f>Profile!A16</f>
        <v>Actions</v>
      </c>
      <c r="C16">
        <f>Profile!AP18</f>
        <v>0</v>
      </c>
      <c r="D16" t="str">
        <f>IF(Profile!C16="Profile",IF(Profile!A18="ResourceRequirement","OK","XXX"),"XXX")</f>
        <v>XXX</v>
      </c>
      <c r="G16">
        <v>789</v>
      </c>
      <c r="H16" t="s">
        <v>3230</v>
      </c>
      <c r="I16">
        <v>34</v>
      </c>
      <c r="J16" t="s">
        <v>761</v>
      </c>
    </row>
    <row r="17" spans="1:10" x14ac:dyDescent="0.45">
      <c r="A17">
        <f>ROW()</f>
        <v>17</v>
      </c>
      <c r="B17" t="str">
        <f>Profile!A17</f>
        <v xml:space="preserve">   #Bios.ChangePassword</v>
      </c>
      <c r="C17">
        <f>Profile!AP19</f>
        <v>0</v>
      </c>
      <c r="D17" t="str">
        <f>IF(Profile!C17="Profile",IF(Profile!A19="ResourceRequirement","OK","XXX"),"XXX")</f>
        <v>XXX</v>
      </c>
      <c r="G17">
        <v>814</v>
      </c>
      <c r="H17" t="s">
        <v>3237</v>
      </c>
      <c r="I17">
        <v>35</v>
      </c>
      <c r="J17" t="s">
        <v>761</v>
      </c>
    </row>
    <row r="18" spans="1:10" x14ac:dyDescent="0.45">
      <c r="A18">
        <f>ROW()</f>
        <v>18</v>
      </c>
      <c r="B18" t="str">
        <f>Profile!A18</f>
        <v xml:space="preserve">   #Bios.ResetBios</v>
      </c>
      <c r="C18">
        <f>Profile!AP20</f>
        <v>0</v>
      </c>
      <c r="D18" t="str">
        <f>IF(Profile!C18="Profile",IF(Profile!A20="ResourceRequirement","OK","XXX"),"XXX")</f>
        <v>XXX</v>
      </c>
      <c r="G18">
        <v>895</v>
      </c>
      <c r="H18" t="s">
        <v>3304</v>
      </c>
      <c r="I18">
        <v>61</v>
      </c>
      <c r="J18" t="s">
        <v>761</v>
      </c>
    </row>
    <row r="19" spans="1:10" x14ac:dyDescent="0.45">
      <c r="A19">
        <f>ROW()</f>
        <v>19</v>
      </c>
      <c r="B19" t="str">
        <f>Profile!A19</f>
        <v>AttributeRegistry</v>
      </c>
      <c r="C19">
        <f>Profile!AP21</f>
        <v>0</v>
      </c>
      <c r="D19" t="str">
        <f>IF(Profile!C19="Profile",IF(Profile!A21="ResourceRequirement","OK","XXX"),"XXX")</f>
        <v>XXX</v>
      </c>
      <c r="G19">
        <v>924</v>
      </c>
      <c r="H19" t="s">
        <v>3305</v>
      </c>
      <c r="I19">
        <v>63</v>
      </c>
      <c r="J19" t="s">
        <v>761</v>
      </c>
    </row>
    <row r="20" spans="1:10" x14ac:dyDescent="0.45">
      <c r="A20">
        <f>ROW()</f>
        <v>20</v>
      </c>
      <c r="B20" t="str">
        <f>Profile!A20</f>
        <v>Attributes</v>
      </c>
      <c r="C20">
        <f>Profile!AP22</f>
        <v>0</v>
      </c>
      <c r="D20" t="str">
        <f>IF(Profile!C20="Profile",IF(Profile!A22="ResourceRequirement","OK","XXX"),"XXX")</f>
        <v>XXX</v>
      </c>
      <c r="G20">
        <v>974</v>
      </c>
      <c r="H20" t="s">
        <v>3204</v>
      </c>
      <c r="I20">
        <v>20</v>
      </c>
      <c r="J20" t="s">
        <v>761</v>
      </c>
    </row>
    <row r="21" spans="1:10" x14ac:dyDescent="0.45">
      <c r="A21">
        <f>ROW()</f>
        <v>21</v>
      </c>
      <c r="B21" t="str">
        <f>Profile!A21</f>
        <v>Bios URIs</v>
      </c>
      <c r="C21">
        <f>Profile!AP23</f>
        <v>0</v>
      </c>
      <c r="D21" t="str">
        <f>IF(Profile!C21="Profile",IF(Profile!A23="ResourceRequirement","OK","XXX"),"XXX")</f>
        <v>XXX</v>
      </c>
      <c r="G21">
        <v>1024</v>
      </c>
      <c r="H21" t="s">
        <v>3205</v>
      </c>
      <c r="I21">
        <v>26</v>
      </c>
      <c r="J21" t="s">
        <v>761</v>
      </c>
    </row>
    <row r="22" spans="1:10" x14ac:dyDescent="0.45">
      <c r="A22">
        <f>ROW()</f>
        <v>22</v>
      </c>
      <c r="B22" t="str">
        <f>Profile!A22</f>
        <v>/redfish/v1/Systems/{ComputerSystemId}/Bios</v>
      </c>
      <c r="C22">
        <f>Profile!AP24</f>
        <v>0</v>
      </c>
      <c r="D22" t="str">
        <f>IF(Profile!C22="Profile",IF(Profile!A24="ResourceRequirement","OK","XXX"),"XXX")</f>
        <v>XXX</v>
      </c>
      <c r="G22">
        <v>1094</v>
      </c>
      <c r="H22" t="s">
        <v>3210</v>
      </c>
      <c r="I22">
        <v>52</v>
      </c>
      <c r="J22" t="s">
        <v>761</v>
      </c>
    </row>
    <row r="23" spans="1:10" x14ac:dyDescent="0.45">
      <c r="A23">
        <f>ROW()</f>
        <v>23</v>
      </c>
      <c r="B23">
        <f>Profile!A23</f>
        <v>0</v>
      </c>
      <c r="C23">
        <f>Profile!AP25</f>
        <v>0</v>
      </c>
      <c r="D23" t="str">
        <f>IF(Profile!C23="Profile",IF(Profile!A25="ResourceRequirement","OK","XXX"),"XXX")</f>
        <v>XXX</v>
      </c>
      <c r="G23">
        <v>1117</v>
      </c>
      <c r="H23" t="s">
        <v>3030</v>
      </c>
      <c r="I23">
        <v>53</v>
      </c>
      <c r="J23" t="s">
        <v>761</v>
      </c>
    </row>
    <row r="24" spans="1:10" x14ac:dyDescent="0.45">
      <c r="A24">
        <f>ROW()</f>
        <v>24</v>
      </c>
      <c r="B24" t="str">
        <f>Profile!A24</f>
        <v>1.1.1.2               BootOption</v>
      </c>
      <c r="C24">
        <f>Profile!AP26</f>
        <v>0</v>
      </c>
      <c r="D24" t="str">
        <f>IF(Profile!C24="Profile",IF(Profile!A26="ResourceRequirement","OK","XXX"),"XXX")</f>
        <v>XXX</v>
      </c>
      <c r="G24">
        <v>1279</v>
      </c>
      <c r="H24" t="s">
        <v>3334</v>
      </c>
      <c r="I24">
        <v>23</v>
      </c>
      <c r="J24" t="s">
        <v>761</v>
      </c>
    </row>
    <row r="25" spans="1:10" x14ac:dyDescent="0.45">
      <c r="A25">
        <f>ROW()</f>
        <v>25</v>
      </c>
      <c r="B25" t="str">
        <f>Profile!A25</f>
        <v>The BootOption resource represents the properties of a bootable device available in the system.</v>
      </c>
      <c r="C25">
        <f>Profile!AP27</f>
        <v>0</v>
      </c>
      <c r="D25" t="str">
        <f>IF(Profile!C25="Profile",IF(Profile!A27="ResourceRequirement","OK","XXX"),"XXX")</f>
        <v>XXX</v>
      </c>
      <c r="G25">
        <v>1318</v>
      </c>
      <c r="H25" t="s">
        <v>3224</v>
      </c>
      <c r="I25">
        <v>31</v>
      </c>
      <c r="J25" t="s">
        <v>761</v>
      </c>
    </row>
    <row r="26" spans="1:10" x14ac:dyDescent="0.45">
      <c r="A26">
        <f>ROW()</f>
        <v>26</v>
      </c>
      <c r="B26" t="str">
        <f>Profile!A26</f>
        <v>BootOption is not used in O-PAS system management profiles.</v>
      </c>
      <c r="C26">
        <f>Profile!AP28</f>
        <v>0</v>
      </c>
      <c r="D26" t="str">
        <f>IF(Profile!C26="Profile",IF(Profile!A28="ResourceRequirement","OK","XXX"),"XXX")</f>
        <v>XXX</v>
      </c>
      <c r="G26">
        <v>1335</v>
      </c>
      <c r="H26" t="s">
        <v>3225</v>
      </c>
      <c r="I26">
        <v>32</v>
      </c>
      <c r="J26" t="s">
        <v>761</v>
      </c>
    </row>
    <row r="27" spans="1:10" x14ac:dyDescent="0.45">
      <c r="A27">
        <f>ROW()</f>
        <v>27</v>
      </c>
      <c r="B27">
        <f>Profile!A27</f>
        <v>0</v>
      </c>
      <c r="C27">
        <f>Profile!AP29</f>
        <v>0</v>
      </c>
      <c r="D27" t="str">
        <f>IF(Profile!C27="Profile",IF(Profile!A29="ResourceRequirement","OK","XXX"),"XXX")</f>
        <v>XXX</v>
      </c>
      <c r="G27">
        <v>1377</v>
      </c>
      <c r="H27" t="s">
        <v>3105</v>
      </c>
      <c r="I27">
        <v>17</v>
      </c>
      <c r="J27" t="s">
        <v>761</v>
      </c>
    </row>
    <row r="28" spans="1:10" x14ac:dyDescent="0.45">
      <c r="A28">
        <f>ROW()</f>
        <v>28</v>
      </c>
      <c r="B28" t="str">
        <f>Profile!A28</f>
        <v>1.1.1.3               ComputerSystemCollection</v>
      </c>
      <c r="C28">
        <f>Profile!AP30</f>
        <v>0</v>
      </c>
      <c r="D28" t="str">
        <f>IF(Profile!C28="Profile",IF(Profile!A30="ResourceRequirement","OK","XXX"),"XXX")</f>
        <v>XXX</v>
      </c>
      <c r="G28">
        <v>1486</v>
      </c>
      <c r="H28" t="s">
        <v>3209</v>
      </c>
      <c r="I28">
        <v>28</v>
      </c>
      <c r="J28" t="s">
        <v>761</v>
      </c>
    </row>
    <row r="29" spans="1:10" x14ac:dyDescent="0.45">
      <c r="A29">
        <f>ROW()</f>
        <v>29</v>
      </c>
      <c r="B29" t="str">
        <f>Profile!A29</f>
        <v>A ComputerSystemCollection is a collection of ComputerSystem Resources</v>
      </c>
      <c r="C29">
        <f>Profile!AP31</f>
        <v>0</v>
      </c>
      <c r="D29" t="str">
        <f>IF(Profile!C29="Profile",IF(Profile!A31="ResourceRequirement","OK","XXX"),"XXX")</f>
        <v>XXX</v>
      </c>
      <c r="G29">
        <v>1551</v>
      </c>
      <c r="H29" t="s">
        <v>3106</v>
      </c>
      <c r="I29">
        <v>38</v>
      </c>
      <c r="J29" t="s">
        <v>761</v>
      </c>
    </row>
    <row r="30" spans="1:10" x14ac:dyDescent="0.45">
      <c r="A30">
        <f>ROW()</f>
        <v>30</v>
      </c>
      <c r="B30" t="str">
        <f>Profile!A30</f>
        <v>Table 10: O-PAS Profile Map for the Redfish ComputerSystemCollection Resource</v>
      </c>
      <c r="C30">
        <f>Profile!AP32</f>
        <v>0</v>
      </c>
      <c r="D30" t="str">
        <f>IF(Profile!C30="Profile",IF(Profile!A32="ResourceRequirement","OK","XXX"),"XXX")</f>
        <v>XXX</v>
      </c>
      <c r="G30">
        <v>1633</v>
      </c>
      <c r="H30" t="s">
        <v>3108</v>
      </c>
      <c r="I30">
        <v>39</v>
      </c>
      <c r="J30" t="s">
        <v>761</v>
      </c>
    </row>
    <row r="31" spans="1:10" x14ac:dyDescent="0.45">
      <c r="A31">
        <f>ROW()</f>
        <v>31</v>
      </c>
      <c r="B31" t="str">
        <f>Profile!A31</f>
        <v>ComputerSystemCollection ()</v>
      </c>
      <c r="C31">
        <f>Profile!AP33</f>
        <v>0</v>
      </c>
      <c r="D31" t="str">
        <f>IF(Profile!C31="Profile",IF(Profile!A33="ResourceRequirement","OK","XXX"),"XXX")</f>
        <v>OK</v>
      </c>
      <c r="G31">
        <v>1656</v>
      </c>
      <c r="H31" t="s">
        <v>3109</v>
      </c>
      <c r="I31">
        <v>40</v>
      </c>
      <c r="J31" t="s">
        <v>761</v>
      </c>
    </row>
    <row r="32" spans="1:10" x14ac:dyDescent="0.45">
      <c r="A32">
        <f>ROW()</f>
        <v>32</v>
      </c>
      <c r="B32">
        <f>Profile!A32</f>
        <v>0</v>
      </c>
      <c r="C32">
        <f>Profile!AP34</f>
        <v>0</v>
      </c>
      <c r="D32" t="str">
        <f>IF(Profile!C32="Profile",IF(Profile!A34="ResourceRequirement","OK","XXX"),"XXX")</f>
        <v>XXX</v>
      </c>
      <c r="G32">
        <v>1705</v>
      </c>
      <c r="H32" t="s">
        <v>3216</v>
      </c>
      <c r="I32">
        <v>54</v>
      </c>
      <c r="J32" t="s">
        <v>761</v>
      </c>
    </row>
    <row r="33" spans="1:10" x14ac:dyDescent="0.45">
      <c r="A33">
        <f>ROW()</f>
        <v>33</v>
      </c>
      <c r="B33" t="str">
        <f>Profile!A33</f>
        <v>ResourceRequirement</v>
      </c>
      <c r="C33">
        <f>Profile!AP35</f>
        <v>0</v>
      </c>
      <c r="D33" t="str">
        <f>IF(Profile!C33="Profile",IF(Profile!A35="ResourceRequirement","OK","XXX"),"XXX")</f>
        <v>XXX</v>
      </c>
      <c r="G33">
        <v>1721</v>
      </c>
      <c r="H33" t="s">
        <v>3215</v>
      </c>
      <c r="I33">
        <v>55</v>
      </c>
      <c r="J33" t="s">
        <v>761</v>
      </c>
    </row>
    <row r="34" spans="1:10" x14ac:dyDescent="0.45">
      <c r="A34">
        <f>ROW()</f>
        <v>34</v>
      </c>
      <c r="B34" t="str">
        <f>Profile!A34</f>
        <v>Property</v>
      </c>
      <c r="C34">
        <f>Profile!AP36</f>
        <v>0</v>
      </c>
      <c r="D34" t="str">
        <f>IF(Profile!C34="Profile",IF(Profile!A36="ResourceRequirement","OK","XXX"),"XXX")</f>
        <v>XXX</v>
      </c>
      <c r="G34">
        <v>1744</v>
      </c>
      <c r="H34" t="s">
        <v>3110</v>
      </c>
      <c r="I34">
        <v>66</v>
      </c>
      <c r="J34" t="s">
        <v>761</v>
      </c>
    </row>
    <row r="35" spans="1:10" x14ac:dyDescent="0.45">
      <c r="A35">
        <f>ROW()</f>
        <v>35</v>
      </c>
      <c r="B35" t="str">
        <f>Profile!A35</f>
        <v>Members</v>
      </c>
      <c r="C35">
        <f>Profile!AP37</f>
        <v>0</v>
      </c>
      <c r="D35" t="str">
        <f>IF(Profile!C35="Profile",IF(Profile!A37="ResourceRequirement","OK","XXX"),"XXX")</f>
        <v>XXX</v>
      </c>
      <c r="G35">
        <v>1781</v>
      </c>
      <c r="H35" t="s">
        <v>3222</v>
      </c>
      <c r="I35">
        <v>21</v>
      </c>
      <c r="J35" t="s">
        <v>761</v>
      </c>
    </row>
    <row r="36" spans="1:10" x14ac:dyDescent="0.45">
      <c r="A36">
        <f>ROW()</f>
        <v>36</v>
      </c>
      <c r="B36" t="str">
        <f>Profile!A36</f>
        <v xml:space="preserve">   @odata.id</v>
      </c>
      <c r="C36">
        <f>Profile!AP38</f>
        <v>0</v>
      </c>
      <c r="D36" t="str">
        <f>IF(Profile!C36="Profile",IF(Profile!A38="ResourceRequirement","OK","XXX"),"XXX")</f>
        <v>XXX</v>
      </c>
      <c r="G36">
        <v>1814</v>
      </c>
      <c r="H36" t="s">
        <v>3223</v>
      </c>
      <c r="I36">
        <v>22</v>
      </c>
      <c r="J36" t="s">
        <v>761</v>
      </c>
    </row>
    <row r="37" spans="1:10" x14ac:dyDescent="0.45">
      <c r="A37">
        <f>ROW()</f>
        <v>37</v>
      </c>
      <c r="B37" t="str">
        <f>Profile!A37</f>
        <v>ComputerSystemCollection URIs</v>
      </c>
      <c r="C37">
        <f>Profile!AP39</f>
        <v>0</v>
      </c>
      <c r="D37" t="str">
        <f>IF(Profile!C37="Profile",IF(Profile!A39="ResourceRequirement","OK","XXX"),"XXX")</f>
        <v>XXX</v>
      </c>
      <c r="G37">
        <v>1923</v>
      </c>
      <c r="H37" t="s">
        <v>3318</v>
      </c>
      <c r="I37">
        <v>57</v>
      </c>
      <c r="J37" t="s">
        <v>761</v>
      </c>
    </row>
    <row r="38" spans="1:10" x14ac:dyDescent="0.45">
      <c r="A38">
        <f>ROW()</f>
        <v>38</v>
      </c>
      <c r="B38" t="str">
        <f>Profile!A38</f>
        <v>/redfish/v1/Systems</v>
      </c>
      <c r="C38">
        <f>Profile!AP40</f>
        <v>0</v>
      </c>
      <c r="D38" t="str">
        <f>IF(Profile!C38="Profile",IF(Profile!A40="ResourceRequirement","OK","XXX"),"XXX")</f>
        <v>XXX</v>
      </c>
      <c r="G38">
        <v>1948</v>
      </c>
      <c r="H38" t="s">
        <v>3227</v>
      </c>
      <c r="I38">
        <v>59</v>
      </c>
      <c r="J38" t="s">
        <v>761</v>
      </c>
    </row>
    <row r="39" spans="1:10" x14ac:dyDescent="0.45">
      <c r="A39">
        <f>ROW()</f>
        <v>39</v>
      </c>
      <c r="B39">
        <f>Profile!A39</f>
        <v>0</v>
      </c>
      <c r="C39">
        <f>Profile!AP41</f>
        <v>0</v>
      </c>
      <c r="D39" t="str">
        <f>IF(Profile!C39="Profile",IF(Profile!A41="ResourceRequirement","OK","XXX"),"XXX")</f>
        <v>XXX</v>
      </c>
      <c r="G39">
        <v>1975</v>
      </c>
      <c r="H39" t="s">
        <v>3228</v>
      </c>
      <c r="I39">
        <v>60</v>
      </c>
      <c r="J39" t="s">
        <v>761</v>
      </c>
    </row>
    <row r="40" spans="1:10" x14ac:dyDescent="0.45">
      <c r="A40">
        <f>ROW()</f>
        <v>40</v>
      </c>
      <c r="B40" t="str">
        <f>Profile!A40</f>
        <v>1.1.1.3               ComputerSystem</v>
      </c>
      <c r="C40">
        <f>Profile!AP42</f>
        <v>0</v>
      </c>
      <c r="D40" t="str">
        <f>IF(Profile!C40="Profile",IF(Profile!A42="ResourceRequirement","OK","XXX"),"XXX")</f>
        <v>XXX</v>
      </c>
      <c r="G40">
        <v>1996</v>
      </c>
      <c r="H40" t="s">
        <v>3319</v>
      </c>
      <c r="I40">
        <v>64</v>
      </c>
      <c r="J40" t="s">
        <v>761</v>
      </c>
    </row>
    <row r="41" spans="1:10" x14ac:dyDescent="0.45">
      <c r="A41">
        <f>ROW()</f>
        <v>41</v>
      </c>
      <c r="B41" t="str">
        <f>Profile!A41</f>
        <v>A ComputerSystem represents a machine (physical or virtual) and the local resources such as memory, CPU, and other devices that can be accessed from that machine.</v>
      </c>
      <c r="C41">
        <f>Profile!AP43</f>
        <v>0</v>
      </c>
      <c r="D41" t="str">
        <f>IF(Profile!C41="Profile",IF(Profile!A43="ResourceRequirement","OK","XXX"),"XXX")</f>
        <v>XXX</v>
      </c>
      <c r="G41">
        <v>2045</v>
      </c>
      <c r="H41" t="s">
        <v>3019</v>
      </c>
      <c r="I41">
        <v>8</v>
      </c>
      <c r="J41" t="s">
        <v>761</v>
      </c>
    </row>
    <row r="42" spans="1:10" x14ac:dyDescent="0.45">
      <c r="A42">
        <f>ROW()</f>
        <v>42</v>
      </c>
      <c r="B42" t="str">
        <f>Profile!A42</f>
        <v>Table 10: O-PAS Profile Map for the Redfish ComputerSystem Resource</v>
      </c>
      <c r="C42">
        <f>Profile!AP44</f>
        <v>0</v>
      </c>
      <c r="D42" t="str">
        <f>IF(Profile!C42="Profile",IF(Profile!A44="ResourceRequirement","OK","XXX"),"XXX")</f>
        <v>XXX</v>
      </c>
      <c r="G42">
        <v>2186</v>
      </c>
      <c r="H42" t="s">
        <v>3183</v>
      </c>
      <c r="I42">
        <v>16</v>
      </c>
      <c r="J42" t="s">
        <v>761</v>
      </c>
    </row>
    <row r="43" spans="1:10" x14ac:dyDescent="0.45">
      <c r="A43">
        <f>ROW()</f>
        <v>43</v>
      </c>
      <c r="B43" t="str">
        <f>Profile!A43</f>
        <v>ComputerSystem (1.5.1)</v>
      </c>
      <c r="C43">
        <f>Profile!AP45</f>
        <v>0</v>
      </c>
      <c r="D43" t="str">
        <f>IF(Profile!C43="Profile",IF(Profile!A45="ResourceRequirement","OK","XXX"),"XXX")</f>
        <v>XXX</v>
      </c>
      <c r="G43">
        <v>2307</v>
      </c>
      <c r="H43" t="s">
        <v>1948</v>
      </c>
      <c r="I43">
        <v>37</v>
      </c>
      <c r="J43" t="s">
        <v>761</v>
      </c>
    </row>
    <row r="44" spans="1:10" x14ac:dyDescent="0.45">
      <c r="A44">
        <f>ROW()</f>
        <v>44</v>
      </c>
      <c r="B44">
        <f>Profile!A44</f>
        <v>0</v>
      </c>
      <c r="C44">
        <f>Profile!AP46</f>
        <v>0</v>
      </c>
      <c r="D44" t="str">
        <f>IF(Profile!C44="Profile",IF(Profile!A46="ResourceRequirement","OK","XXX"),"XXX")</f>
        <v>XXX</v>
      </c>
      <c r="G44">
        <v>2366</v>
      </c>
      <c r="H44" t="s">
        <v>3097</v>
      </c>
      <c r="I44">
        <v>43</v>
      </c>
      <c r="J44" t="s">
        <v>761</v>
      </c>
    </row>
    <row r="45" spans="1:10" x14ac:dyDescent="0.45">
      <c r="A45">
        <f>ROW()</f>
        <v>45</v>
      </c>
      <c r="B45" t="str">
        <f>Profile!A45</f>
        <v>ComputerSystem (1.7.0)</v>
      </c>
      <c r="C45">
        <f>Profile!AP47</f>
        <v>9</v>
      </c>
      <c r="D45" t="str">
        <f>IF(Profile!C45="Profile",IF(Profile!A47="ResourceRequirement","OK","XXX"),"XXX")</f>
        <v>OK</v>
      </c>
      <c r="G45">
        <v>2405</v>
      </c>
      <c r="H45" t="s">
        <v>3100</v>
      </c>
      <c r="I45">
        <v>45</v>
      </c>
      <c r="J45" t="s">
        <v>761</v>
      </c>
    </row>
    <row r="46" spans="1:10" x14ac:dyDescent="0.45">
      <c r="A46">
        <f>ROW()</f>
        <v>46</v>
      </c>
      <c r="B46">
        <f>Profile!A46</f>
        <v>0</v>
      </c>
      <c r="C46">
        <f>Profile!AP48</f>
        <v>0</v>
      </c>
      <c r="D46" t="str">
        <f>IF(Profile!C46="Profile",IF(Profile!A48="ResourceRequirement","OK","XXX"),"XXX")</f>
        <v>XXX</v>
      </c>
      <c r="G46">
        <v>2429</v>
      </c>
      <c r="H46" t="s">
        <v>3082</v>
      </c>
      <c r="I46">
        <v>1</v>
      </c>
      <c r="J46" t="s">
        <v>761</v>
      </c>
    </row>
    <row r="47" spans="1:10" x14ac:dyDescent="0.45">
      <c r="A47">
        <f>ROW()</f>
        <v>47</v>
      </c>
      <c r="B47" t="str">
        <f>Profile!A47</f>
        <v>ResourceRequirement</v>
      </c>
      <c r="C47">
        <f>Profile!AP49</f>
        <v>0</v>
      </c>
      <c r="D47" t="str">
        <f>IF(Profile!C47="Profile",IF(Profile!A49="ResourceRequirement","OK","XXX"),"XXX")</f>
        <v>XXX</v>
      </c>
      <c r="G47">
        <v>2455</v>
      </c>
      <c r="H47" t="s">
        <v>3033</v>
      </c>
      <c r="I47">
        <v>46</v>
      </c>
      <c r="J47" t="s">
        <v>761</v>
      </c>
    </row>
    <row r="48" spans="1:10" x14ac:dyDescent="0.45">
      <c r="A48">
        <f>ROW()</f>
        <v>48</v>
      </c>
      <c r="B48" t="str">
        <f>Profile!A48</f>
        <v>Resource MinVersion</v>
      </c>
      <c r="C48">
        <f>Profile!AP50</f>
        <v>0</v>
      </c>
      <c r="D48" t="str">
        <f>IF(Profile!C48="Profile",IF(Profile!A50="ResourceRequirement","OK","XXX"),"XXX")</f>
        <v>XXX</v>
      </c>
      <c r="G48">
        <v>2553</v>
      </c>
      <c r="H48" t="s">
        <v>3035</v>
      </c>
      <c r="I48">
        <v>62</v>
      </c>
      <c r="J48" t="s">
        <v>761</v>
      </c>
    </row>
    <row r="49" spans="1:10" x14ac:dyDescent="0.45">
      <c r="A49">
        <f>ROW()</f>
        <v>49</v>
      </c>
      <c r="B49" t="str">
        <f>Profile!A49</f>
        <v>Property</v>
      </c>
      <c r="C49">
        <f>Profile!AP51</f>
        <v>0</v>
      </c>
      <c r="D49" t="str">
        <f>IF(Profile!C49="Profile",IF(Profile!A51="ResourceRequirement","OK","XXX"),"XXX")</f>
        <v>XXX</v>
      </c>
      <c r="G49">
        <v>2652</v>
      </c>
      <c r="H49" t="s">
        <v>3211</v>
      </c>
      <c r="I49">
        <v>2</v>
      </c>
      <c r="J49" t="s">
        <v>761</v>
      </c>
    </row>
    <row r="50" spans="1:10" x14ac:dyDescent="0.45">
      <c r="A50">
        <f>ROW()</f>
        <v>50</v>
      </c>
      <c r="B50" t="str">
        <f>Profile!A50</f>
        <v>Actions</v>
      </c>
      <c r="C50">
        <f>Profile!AP52</f>
        <v>0</v>
      </c>
      <c r="D50" t="str">
        <f>IF(Profile!C50="Profile",IF(Profile!A52="ResourceRequirement","OK","XXX"),"XXX")</f>
        <v>XXX</v>
      </c>
      <c r="G50">
        <v>2739</v>
      </c>
      <c r="H50" t="s">
        <v>3206</v>
      </c>
      <c r="I50">
        <v>27</v>
      </c>
      <c r="J50" t="s">
        <v>761</v>
      </c>
    </row>
    <row r="51" spans="1:10" x14ac:dyDescent="0.45">
      <c r="A51">
        <f>ROW()</f>
        <v>51</v>
      </c>
      <c r="B51" t="str">
        <f>Profile!A51</f>
        <v xml:space="preserve">   #ComputerSystem.Reset</v>
      </c>
      <c r="C51">
        <f>Profile!AP53</f>
        <v>0</v>
      </c>
      <c r="D51" t="str">
        <f>IF(Profile!C51="Profile",IF(Profile!A53="ResourceRequirement","OK","XXX"),"XXX")</f>
        <v>XXX</v>
      </c>
      <c r="G51">
        <v>2770</v>
      </c>
      <c r="H51" t="s">
        <v>3214</v>
      </c>
      <c r="I51">
        <v>50</v>
      </c>
      <c r="J51" t="s">
        <v>761</v>
      </c>
    </row>
    <row r="52" spans="1:10" x14ac:dyDescent="0.45">
      <c r="A52">
        <f>ROW()</f>
        <v>52</v>
      </c>
      <c r="B52" t="str">
        <f>Profile!A52</f>
        <v xml:space="preserve">   #ComputerSystem.SetDefaultBootOrder</v>
      </c>
      <c r="C52">
        <f>Profile!AP54</f>
        <v>0</v>
      </c>
      <c r="D52" t="str">
        <f>IF(Profile!C52="Profile",IF(Profile!A54="ResourceRequirement","OK","XXX"),"XXX")</f>
        <v>XXX</v>
      </c>
      <c r="G52">
        <v>2786</v>
      </c>
      <c r="H52" t="s">
        <v>3217</v>
      </c>
      <c r="I52">
        <v>5</v>
      </c>
      <c r="J52" t="s">
        <v>761</v>
      </c>
    </row>
    <row r="53" spans="1:10" x14ac:dyDescent="0.45">
      <c r="A53">
        <f>ROW()</f>
        <v>53</v>
      </c>
      <c r="B53" t="str">
        <f>Profile!A53</f>
        <v>AssetTag</v>
      </c>
      <c r="C53">
        <f>Profile!AP55</f>
        <v>0</v>
      </c>
      <c r="D53" t="str">
        <f>IF(Profile!C53="Profile",IF(Profile!A55="ResourceRequirement","OK","XXX"),"XXX")</f>
        <v>XXX</v>
      </c>
      <c r="G53">
        <v>2826</v>
      </c>
      <c r="H53" t="s">
        <v>2625</v>
      </c>
      <c r="I53">
        <v>6</v>
      </c>
      <c r="J53" t="s">
        <v>761</v>
      </c>
    </row>
    <row r="54" spans="1:10" x14ac:dyDescent="0.45">
      <c r="A54">
        <f>ROW()</f>
        <v>54</v>
      </c>
      <c r="B54" t="str">
        <f>Profile!A54</f>
        <v>Bios</v>
      </c>
      <c r="C54">
        <f>Profile!AP56</f>
        <v>0</v>
      </c>
      <c r="D54" t="str">
        <f>IF(Profile!C54="Profile",IF(Profile!A56="ResourceRequirement","OK","XXX"),"XXX")</f>
        <v>XXX</v>
      </c>
      <c r="G54">
        <v>2841</v>
      </c>
      <c r="H54" t="s">
        <v>2758</v>
      </c>
      <c r="I54">
        <v>7</v>
      </c>
      <c r="J54" t="s">
        <v>761</v>
      </c>
    </row>
    <row r="55" spans="1:10" x14ac:dyDescent="0.45">
      <c r="A55">
        <f>ROW()</f>
        <v>55</v>
      </c>
      <c r="B55" t="str">
        <f>Profile!A55</f>
        <v xml:space="preserve">   @odata.id</v>
      </c>
      <c r="C55">
        <f>Profile!AP57</f>
        <v>0</v>
      </c>
      <c r="D55" t="str">
        <f>IF(Profile!C55="Profile",IF(Profile!A57="ResourceRequirement","OK","XXX"),"XXX")</f>
        <v>XXX</v>
      </c>
      <c r="G55">
        <v>2859</v>
      </c>
      <c r="H55" t="s">
        <v>2312</v>
      </c>
      <c r="I55">
        <v>51</v>
      </c>
      <c r="J55" t="s">
        <v>761</v>
      </c>
    </row>
    <row r="56" spans="1:10" x14ac:dyDescent="0.45">
      <c r="A56">
        <f>ROW()</f>
        <v>56</v>
      </c>
      <c r="B56" t="str">
        <f>Profile!A56</f>
        <v>BiosVersion</v>
      </c>
      <c r="C56">
        <f>Profile!AP58</f>
        <v>0</v>
      </c>
      <c r="D56" t="str">
        <f>IF(Profile!C56="Profile",IF(Profile!A58="ResourceRequirement","OK","XXX"),"XXX")</f>
        <v>XXX</v>
      </c>
      <c r="G56">
        <v>2874</v>
      </c>
      <c r="H56" t="s">
        <v>4374</v>
      </c>
      <c r="I56">
        <v>41</v>
      </c>
      <c r="J56" t="s">
        <v>761</v>
      </c>
    </row>
    <row r="57" spans="1:10" x14ac:dyDescent="0.45">
      <c r="A57">
        <f>ROW()</f>
        <v>57</v>
      </c>
      <c r="B57" t="str">
        <f>Profile!A57</f>
        <v>Boot</v>
      </c>
      <c r="C57">
        <f>Profile!AP59</f>
        <v>0</v>
      </c>
      <c r="D57" t="str">
        <f>IF(Profile!C57="Profile",IF(Profile!A59="ResourceRequirement","OK","XXX"),"XXX")</f>
        <v>XXX</v>
      </c>
      <c r="G57">
        <v>2953</v>
      </c>
      <c r="H57" t="s">
        <v>4375</v>
      </c>
      <c r="I57">
        <v>42</v>
      </c>
      <c r="J57" t="s">
        <v>761</v>
      </c>
    </row>
    <row r="58" spans="1:10" x14ac:dyDescent="0.45">
      <c r="A58">
        <f>ROW()</f>
        <v>58</v>
      </c>
      <c r="B58" t="str">
        <f>Profile!A58</f>
        <v xml:space="preserve">   BootNext</v>
      </c>
      <c r="C58">
        <f>Profile!AP60</f>
        <v>0</v>
      </c>
      <c r="D58" t="str">
        <f>IF(Profile!C58="Profile",IF(Profile!A60="ResourceRequirement","OK","XXX"),"XXX")</f>
        <v>XXX</v>
      </c>
      <c r="G58">
        <v>3036</v>
      </c>
      <c r="H58" t="s">
        <v>4376</v>
      </c>
      <c r="I58">
        <v>36</v>
      </c>
      <c r="J58" t="s">
        <v>761</v>
      </c>
    </row>
    <row r="59" spans="1:10" x14ac:dyDescent="0.45">
      <c r="A59">
        <f>ROW()</f>
        <v>59</v>
      </c>
      <c r="B59" t="str">
        <f>Profile!A59</f>
        <v xml:space="preserve">   BootOptions</v>
      </c>
      <c r="C59">
        <f>Profile!AP61</f>
        <v>0</v>
      </c>
      <c r="D59" t="str">
        <f>IF(Profile!C59="Profile",IF(Profile!A61="ResourceRequirement","OK","XXX"),"XXX")</f>
        <v>XXX</v>
      </c>
      <c r="G59">
        <v>3108</v>
      </c>
      <c r="H59" t="s">
        <v>4380</v>
      </c>
      <c r="I59">
        <v>49</v>
      </c>
      <c r="J59" t="s">
        <v>761</v>
      </c>
    </row>
    <row r="60" spans="1:10" x14ac:dyDescent="0.45">
      <c r="A60">
        <f>ROW()</f>
        <v>60</v>
      </c>
      <c r="B60" t="str">
        <f>Profile!A60</f>
        <v xml:space="preserve">      @odata.id</v>
      </c>
      <c r="C60">
        <f>Profile!AP62</f>
        <v>0</v>
      </c>
      <c r="D60" t="str">
        <f>IF(Profile!C60="Profile",IF(Profile!A62="ResourceRequirement","OK","XXX"),"XXX")</f>
        <v>XXX</v>
      </c>
      <c r="G60">
        <v>3135</v>
      </c>
      <c r="H60" t="s">
        <v>4381</v>
      </c>
      <c r="I60">
        <v>3</v>
      </c>
      <c r="J60" t="s">
        <v>761</v>
      </c>
    </row>
    <row r="61" spans="1:10" x14ac:dyDescent="0.45">
      <c r="A61">
        <f>ROW()</f>
        <v>61</v>
      </c>
      <c r="B61" t="str">
        <f>Profile!A61</f>
        <v xml:space="preserve">   BootOrder</v>
      </c>
      <c r="C61">
        <f>Profile!AP63</f>
        <v>0</v>
      </c>
      <c r="D61" t="str">
        <f>IF(Profile!C61="Profile",IF(Profile!A63="ResourceRequirement","OK","XXX"),"XXX")</f>
        <v>XXX</v>
      </c>
      <c r="G61">
        <v>3167</v>
      </c>
      <c r="H61" t="s">
        <v>4382</v>
      </c>
      <c r="I61">
        <v>65</v>
      </c>
      <c r="J61" t="s">
        <v>761</v>
      </c>
    </row>
    <row r="62" spans="1:10" x14ac:dyDescent="0.45">
      <c r="A62">
        <f>ROW()</f>
        <v>62</v>
      </c>
      <c r="B62" t="str">
        <f>Profile!A62</f>
        <v xml:space="preserve">   BootOrderPropertySelection</v>
      </c>
      <c r="C62">
        <f>Profile!AP64</f>
        <v>0</v>
      </c>
      <c r="D62" t="str">
        <f>IF(Profile!C62="Profile",IF(Profile!A64="ResourceRequirement","OK","XXX"),"XXX")</f>
        <v>XXX</v>
      </c>
      <c r="G62">
        <v>3248</v>
      </c>
      <c r="H62" t="s">
        <v>4368</v>
      </c>
      <c r="I62">
        <v>10</v>
      </c>
      <c r="J62" t="s">
        <v>761</v>
      </c>
    </row>
    <row r="63" spans="1:10" x14ac:dyDescent="0.45">
      <c r="A63">
        <f>ROW()</f>
        <v>63</v>
      </c>
      <c r="B63" t="str">
        <f>Profile!A63</f>
        <v xml:space="preserve">   BootSourceOverrideEnabled</v>
      </c>
      <c r="C63">
        <f>Profile!AP65</f>
        <v>0</v>
      </c>
      <c r="D63" t="str">
        <f>IF(Profile!C63="Profile",IF(Profile!A65="ResourceRequirement","OK","XXX"),"XXX")</f>
        <v>XXX</v>
      </c>
      <c r="G63">
        <v>3312</v>
      </c>
      <c r="H63" t="s">
        <v>4369</v>
      </c>
      <c r="I63">
        <v>15</v>
      </c>
      <c r="J63" t="s">
        <v>761</v>
      </c>
    </row>
    <row r="64" spans="1:10" x14ac:dyDescent="0.45">
      <c r="A64">
        <f>ROW()</f>
        <v>64</v>
      </c>
      <c r="B64" t="str">
        <f>Profile!A64</f>
        <v xml:space="preserve">   BootSourceOverrideMode</v>
      </c>
      <c r="C64">
        <f>Profile!AP66</f>
        <v>0</v>
      </c>
      <c r="D64" t="str">
        <f>IF(Profile!C64="Profile",IF(Profile!A66="ResourceRequirement","OK","XXX"),"XXX")</f>
        <v>XXX</v>
      </c>
      <c r="G64">
        <v>3394</v>
      </c>
      <c r="H64" t="s">
        <v>4370</v>
      </c>
      <c r="I64">
        <v>11</v>
      </c>
      <c r="J64" t="s">
        <v>761</v>
      </c>
    </row>
    <row r="65" spans="1:10" x14ac:dyDescent="0.45">
      <c r="A65">
        <f>ROW()</f>
        <v>65</v>
      </c>
      <c r="B65" t="str">
        <f>Profile!A65</f>
        <v xml:space="preserve">   BootSourceOverrideTarget</v>
      </c>
      <c r="C65">
        <f>Profile!AP67</f>
        <v>0</v>
      </c>
      <c r="D65" t="str">
        <f>IF(Profile!C65="Profile",IF(Profile!A67="ResourceRequirement","OK","XXX"),"XXX")</f>
        <v>XXX</v>
      </c>
      <c r="G65">
        <v>3424</v>
      </c>
      <c r="H65" t="s">
        <v>4371</v>
      </c>
      <c r="I65">
        <v>12</v>
      </c>
      <c r="J65" t="s">
        <v>761</v>
      </c>
    </row>
    <row r="66" spans="1:10" x14ac:dyDescent="0.45">
      <c r="A66">
        <f>ROW()</f>
        <v>66</v>
      </c>
      <c r="B66" t="str">
        <f>Profile!A66</f>
        <v xml:space="preserve">   UefiTargetBootSourceOverride</v>
      </c>
      <c r="C66">
        <f>Profile!AP68</f>
        <v>0</v>
      </c>
      <c r="D66" t="str">
        <f>IF(Profile!C66="Profile",IF(Profile!A68="ResourceRequirement","OK","XXX"),"XXX")</f>
        <v>XXX</v>
      </c>
      <c r="G66">
        <v>3646</v>
      </c>
      <c r="H66" t="s">
        <v>4688</v>
      </c>
      <c r="I66">
        <v>14</v>
      </c>
      <c r="J66" t="s">
        <v>761</v>
      </c>
    </row>
    <row r="67" spans="1:10" x14ac:dyDescent="0.45">
      <c r="A67">
        <f>ROW()</f>
        <v>67</v>
      </c>
      <c r="B67" t="str">
        <f>Profile!A67</f>
        <v>Certificates</v>
      </c>
      <c r="C67">
        <f>Profile!AP69</f>
        <v>0</v>
      </c>
      <c r="D67" t="str">
        <f>IF(Profile!C67="Profile",IF(Profile!A69="ResourceRequirement","OK","XXX"),"XXX")</f>
        <v>XXX</v>
      </c>
      <c r="G67">
        <v>3683</v>
      </c>
      <c r="H67" t="s">
        <v>4649</v>
      </c>
      <c r="I67">
        <v>13</v>
      </c>
      <c r="J67" t="s">
        <v>761</v>
      </c>
    </row>
    <row r="68" spans="1:10" x14ac:dyDescent="0.45">
      <c r="A68">
        <f>ROW()</f>
        <v>68</v>
      </c>
      <c r="B68" t="str">
        <f>Profile!A68</f>
        <v xml:space="preserve">   @odata.id</v>
      </c>
      <c r="C68">
        <f>Profile!AP70</f>
        <v>0</v>
      </c>
      <c r="D68" t="str">
        <f>IF(Profile!C68="Profile",IF(Profile!A70="ResourceRequirement","OK","XXX"),"XXX")</f>
        <v>XXX</v>
      </c>
    </row>
    <row r="69" spans="1:10" x14ac:dyDescent="0.45">
      <c r="A69">
        <f>ROW()</f>
        <v>69</v>
      </c>
      <c r="B69" t="str">
        <f>Profile!A69</f>
        <v>EthernetInterfaces</v>
      </c>
      <c r="C69">
        <f>Profile!AP71</f>
        <v>0</v>
      </c>
      <c r="D69" t="str">
        <f>IF(Profile!C69="Profile",IF(Profile!A71="ResourceRequirement","OK","XXX"),"XXX")</f>
        <v>XXX</v>
      </c>
    </row>
    <row r="70" spans="1:10" x14ac:dyDescent="0.45">
      <c r="A70">
        <f>ROW()</f>
        <v>70</v>
      </c>
      <c r="B70" t="str">
        <f>Profile!A70</f>
        <v xml:space="preserve">   @odata.id</v>
      </c>
      <c r="C70">
        <f>Profile!AP72</f>
        <v>0</v>
      </c>
      <c r="D70" t="str">
        <f>IF(Profile!C70="Profile",IF(Profile!A72="ResourceRequirement","OK","XXX"),"XXX")</f>
        <v>XXX</v>
      </c>
    </row>
    <row r="71" spans="1:10" x14ac:dyDescent="0.45">
      <c r="A71">
        <f>ROW()</f>
        <v>71</v>
      </c>
      <c r="B71" t="str">
        <f>Profile!A71</f>
        <v>HostedServices</v>
      </c>
      <c r="C71">
        <f>Profile!AP73</f>
        <v>0</v>
      </c>
      <c r="D71" t="str">
        <f>IF(Profile!C71="Profile",IF(Profile!A73="ResourceRequirement","OK","XXX"),"XXX")</f>
        <v>XXX</v>
      </c>
    </row>
    <row r="72" spans="1:10" x14ac:dyDescent="0.45">
      <c r="A72">
        <f>ROW()</f>
        <v>72</v>
      </c>
      <c r="B72" t="str">
        <f>Profile!A72</f>
        <v xml:space="preserve">   Oem</v>
      </c>
      <c r="C72">
        <f>Profile!AP74</f>
        <v>0</v>
      </c>
      <c r="D72" t="str">
        <f>IF(Profile!C72="Profile",IF(Profile!A74="ResourceRequirement","OK","XXX"),"XXX")</f>
        <v>XXX</v>
      </c>
    </row>
    <row r="73" spans="1:10" x14ac:dyDescent="0.45">
      <c r="A73">
        <f>ROW()</f>
        <v>73</v>
      </c>
      <c r="B73" t="str">
        <f>Profile!A73</f>
        <v xml:space="preserve">   StorageServices</v>
      </c>
      <c r="C73">
        <f>Profile!AP75</f>
        <v>0</v>
      </c>
      <c r="D73" t="str">
        <f>IF(Profile!C73="Profile",IF(Profile!A75="ResourceRequirement","OK","XXX"),"XXX")</f>
        <v>XXX</v>
      </c>
    </row>
    <row r="74" spans="1:10" x14ac:dyDescent="0.45">
      <c r="A74">
        <f>ROW()</f>
        <v>74</v>
      </c>
      <c r="B74" t="str">
        <f>Profile!A74</f>
        <v xml:space="preserve">   DistributedControlNodeServices</v>
      </c>
      <c r="C74">
        <f>Profile!AP76</f>
        <v>0</v>
      </c>
      <c r="D74" t="str">
        <f>IF(Profile!C74="Profile",IF(Profile!A76="ResourceRequirement","OK","XXX"),"XXX")</f>
        <v>XXX</v>
      </c>
    </row>
    <row r="75" spans="1:10" x14ac:dyDescent="0.45">
      <c r="A75">
        <f>ROW()</f>
        <v>75</v>
      </c>
      <c r="B75" t="str">
        <f>Profile!A75</f>
        <v xml:space="preserve">      @odata.id</v>
      </c>
      <c r="C75">
        <f>Profile!AP77</f>
        <v>0</v>
      </c>
      <c r="D75" t="str">
        <f>IF(Profile!C75="Profile",IF(Profile!A77="ResourceRequirement","OK","XXX"),"XXX")</f>
        <v>XXX</v>
      </c>
    </row>
    <row r="76" spans="1:10" x14ac:dyDescent="0.45">
      <c r="A76">
        <f>ROW()</f>
        <v>76</v>
      </c>
      <c r="B76" t="str">
        <f>Profile!A76</f>
        <v>HostingRoles</v>
      </c>
      <c r="C76">
        <f>Profile!AP78</f>
        <v>0</v>
      </c>
      <c r="D76" t="str">
        <f>IF(Profile!C76="Profile",IF(Profile!A78="ResourceRequirement","OK","XXX"),"XXX")</f>
        <v>XXX</v>
      </c>
    </row>
    <row r="77" spans="1:10" x14ac:dyDescent="0.45">
      <c r="A77">
        <f>ROW()</f>
        <v>77</v>
      </c>
      <c r="B77" t="str">
        <f>Profile!A77</f>
        <v>HostName</v>
      </c>
      <c r="C77">
        <f>Profile!AP79</f>
        <v>0</v>
      </c>
      <c r="D77" t="str">
        <f>IF(Profile!C77="Profile",IF(Profile!A79="ResourceRequirement","OK","XXX"),"XXX")</f>
        <v>XXX</v>
      </c>
    </row>
    <row r="78" spans="1:10" x14ac:dyDescent="0.45">
      <c r="A78">
        <f>ROW()</f>
        <v>78</v>
      </c>
      <c r="B78" t="str">
        <f>Profile!A78</f>
        <v>HostWatchdogTimer</v>
      </c>
      <c r="C78">
        <f>Profile!AP80</f>
        <v>0</v>
      </c>
      <c r="D78" t="str">
        <f>IF(Profile!C78="Profile",IF(Profile!A80="ResourceRequirement","OK","XXX"),"XXX")</f>
        <v>XXX</v>
      </c>
    </row>
    <row r="79" spans="1:10" x14ac:dyDescent="0.45">
      <c r="A79">
        <f>ROW()</f>
        <v>79</v>
      </c>
      <c r="B79" t="str">
        <f>Profile!A79</f>
        <v xml:space="preserve">   FunctionEnabled</v>
      </c>
      <c r="C79">
        <f>Profile!AP81</f>
        <v>0</v>
      </c>
      <c r="D79" t="str">
        <f>IF(Profile!C79="Profile",IF(Profile!A81="ResourceRequirement","OK","XXX"),"XXX")</f>
        <v>XXX</v>
      </c>
    </row>
    <row r="80" spans="1:10" x14ac:dyDescent="0.45">
      <c r="A80">
        <f>ROW()</f>
        <v>80</v>
      </c>
      <c r="B80" t="str">
        <f>Profile!A80</f>
        <v xml:space="preserve">   Oem</v>
      </c>
      <c r="C80">
        <f>Profile!AP84</f>
        <v>0</v>
      </c>
      <c r="D80" t="str">
        <f>IF(Profile!C80="Profile",IF(Profile!A84="ResourceRequirement","OK","XXX"),"XXX")</f>
        <v>XXX</v>
      </c>
    </row>
    <row r="81" spans="1:4" x14ac:dyDescent="0.45">
      <c r="A81">
        <f>ROW()</f>
        <v>81</v>
      </c>
      <c r="B81" t="str">
        <f>Profile!A81</f>
        <v xml:space="preserve">   Status</v>
      </c>
      <c r="C81">
        <f>Profile!AP85</f>
        <v>0</v>
      </c>
      <c r="D81" t="str">
        <f>IF(Profile!C81="Profile",IF(Profile!A85="ResourceRequirement","OK","XXX"),"XXX")</f>
        <v>XXX</v>
      </c>
    </row>
    <row r="82" spans="1:4" x14ac:dyDescent="0.45">
      <c r="A82">
        <f>ROW()</f>
        <v>82</v>
      </c>
      <c r="B82" t="str">
        <f>Profile!A84</f>
        <v xml:space="preserve">   TimeoutAction</v>
      </c>
      <c r="C82">
        <f>Profile!AP87</f>
        <v>0</v>
      </c>
      <c r="D82" t="str">
        <f>IF(Profile!C84="Profile",IF(Profile!A87="ResourceRequirement","OK","XXX"),"XXX")</f>
        <v>XXX</v>
      </c>
    </row>
    <row r="83" spans="1:4" x14ac:dyDescent="0.45">
      <c r="A83">
        <f>ROW()</f>
        <v>83</v>
      </c>
      <c r="B83" t="str">
        <f>Profile!A85</f>
        <v xml:space="preserve">   WarningAction</v>
      </c>
      <c r="C83">
        <f>Profile!AP88</f>
        <v>0</v>
      </c>
      <c r="D83" t="str">
        <f>IF(Profile!C85="Profile",IF(Profile!A88="ResourceRequirement","OK","XXX"),"XXX")</f>
        <v>XXX</v>
      </c>
    </row>
    <row r="84" spans="1:4" x14ac:dyDescent="0.45">
      <c r="A84">
        <f>ROW()</f>
        <v>84</v>
      </c>
      <c r="B84" t="str">
        <f>Profile!A87</f>
        <v>LocationIndicatorActive</v>
      </c>
      <c r="C84">
        <f>Profile!AP89</f>
        <v>0</v>
      </c>
      <c r="D84" t="str">
        <f>IF(Profile!C87="Profile",IF(Profile!A89="ResourceRequirement","OK","XXX"),"XXX")</f>
        <v>XXX</v>
      </c>
    </row>
    <row r="85" spans="1:4" x14ac:dyDescent="0.45">
      <c r="A85">
        <f>ROW()</f>
        <v>85</v>
      </c>
      <c r="B85" t="str">
        <f>Profile!A88</f>
        <v>Links</v>
      </c>
      <c r="C85">
        <f>Profile!AP90</f>
        <v>0</v>
      </c>
      <c r="D85" t="str">
        <f>IF(Profile!C88="Profile",IF(Profile!A90="ResourceRequirement","OK","XXX"),"XXX")</f>
        <v>XXX</v>
      </c>
    </row>
    <row r="86" spans="1:4" x14ac:dyDescent="0.45">
      <c r="A86">
        <f>ROW()</f>
        <v>86</v>
      </c>
      <c r="B86" t="str">
        <f>Profile!A89</f>
        <v xml:space="preserve">   Chassis</v>
      </c>
      <c r="C86">
        <f>Profile!AP91</f>
        <v>0</v>
      </c>
      <c r="D86" t="str">
        <f>IF(Profile!C89="Profile",IF(Profile!A91="ResourceRequirement","OK","XXX"),"XXX")</f>
        <v>XXX</v>
      </c>
    </row>
    <row r="87" spans="1:4" x14ac:dyDescent="0.45">
      <c r="A87">
        <f>ROW()</f>
        <v>87</v>
      </c>
      <c r="B87" t="str">
        <f>Profile!A90</f>
        <v xml:space="preserve">      @odata.id</v>
      </c>
      <c r="C87">
        <f>Profile!AP92</f>
        <v>0</v>
      </c>
      <c r="D87" t="str">
        <f>IF(Profile!C90="Profile",IF(Profile!A92="ResourceRequirement","OK","XXX"),"XXX")</f>
        <v>XXX</v>
      </c>
    </row>
    <row r="88" spans="1:4" x14ac:dyDescent="0.45">
      <c r="A88">
        <f>ROW()</f>
        <v>88</v>
      </c>
      <c r="B88" t="str">
        <f>Profile!A91</f>
        <v xml:space="preserve">   ConsumingComputerSystems</v>
      </c>
      <c r="C88">
        <f>Profile!AP93</f>
        <v>0</v>
      </c>
      <c r="D88" t="str">
        <f>IF(Profile!C91="Profile",IF(Profile!A93="ResourceRequirement","OK","XXX"),"XXX")</f>
        <v>XXX</v>
      </c>
    </row>
    <row r="89" spans="1:4" x14ac:dyDescent="0.45">
      <c r="A89">
        <f>ROW()</f>
        <v>89</v>
      </c>
      <c r="B89" t="str">
        <f>Profile!A92</f>
        <v xml:space="preserve">      @odata.id</v>
      </c>
      <c r="C89">
        <f>Profile!AP94</f>
        <v>0</v>
      </c>
      <c r="D89" t="str">
        <f>IF(Profile!C92="Profile",IF(Profile!A94="ResourceRequirement","OK","XXX"),"XXX")</f>
        <v>XXX</v>
      </c>
    </row>
    <row r="90" spans="1:4" x14ac:dyDescent="0.45">
      <c r="A90">
        <f>ROW()</f>
        <v>90</v>
      </c>
      <c r="B90" t="str">
        <f>Profile!A93</f>
        <v xml:space="preserve">   CooledBy</v>
      </c>
      <c r="C90">
        <f>Profile!AP95</f>
        <v>0</v>
      </c>
      <c r="D90" t="str">
        <f>IF(Profile!C93="Profile",IF(Profile!A95="ResourceRequirement","OK","XXX"),"XXX")</f>
        <v>XXX</v>
      </c>
    </row>
    <row r="91" spans="1:4" x14ac:dyDescent="0.45">
      <c r="A91">
        <f>ROW()</f>
        <v>91</v>
      </c>
      <c r="B91" t="str">
        <f>Profile!A94</f>
        <v xml:space="preserve">      @odata.id</v>
      </c>
      <c r="C91">
        <f>Profile!AP96</f>
        <v>0</v>
      </c>
      <c r="D91" t="str">
        <f>IF(Profile!C94="Profile",IF(Profile!A96="ResourceRequirement","OK","XXX"),"XXX")</f>
        <v>XXX</v>
      </c>
    </row>
    <row r="92" spans="1:4" x14ac:dyDescent="0.45">
      <c r="A92">
        <f>ROW()</f>
        <v>92</v>
      </c>
      <c r="B92" t="str">
        <f>Profile!A95</f>
        <v xml:space="preserve">   Endpoints</v>
      </c>
      <c r="C92">
        <f>Profile!AP97</f>
        <v>0</v>
      </c>
      <c r="D92" t="str">
        <f>IF(Profile!C95="Profile",IF(Profile!A97="ResourceRequirement","OK","XXX"),"XXX")</f>
        <v>XXX</v>
      </c>
    </row>
    <row r="93" spans="1:4" x14ac:dyDescent="0.45">
      <c r="A93">
        <f>ROW()</f>
        <v>93</v>
      </c>
      <c r="B93" t="str">
        <f>Profile!A96</f>
        <v xml:space="preserve">      @odata.id</v>
      </c>
      <c r="C93">
        <f>Profile!AP98</f>
        <v>0</v>
      </c>
      <c r="D93" t="str">
        <f>IF(Profile!C96="Profile",IF(Profile!A98="ResourceRequirement","OK","XXX"),"XXX")</f>
        <v>XXX</v>
      </c>
    </row>
    <row r="94" spans="1:4" x14ac:dyDescent="0.45">
      <c r="A94">
        <f>ROW()</f>
        <v>94</v>
      </c>
      <c r="B94" t="str">
        <f>Profile!A97</f>
        <v xml:space="preserve">   ManagedBy</v>
      </c>
      <c r="C94">
        <f>Profile!AP99</f>
        <v>0</v>
      </c>
      <c r="D94" t="str">
        <f>IF(Profile!C97="Profile",IF(Profile!A99="ResourceRequirement","OK","XXX"),"XXX")</f>
        <v>XXX</v>
      </c>
    </row>
    <row r="95" spans="1:4" x14ac:dyDescent="0.45">
      <c r="A95">
        <f>ROW()</f>
        <v>95</v>
      </c>
      <c r="B95" t="str">
        <f>Profile!A98</f>
        <v xml:space="preserve">      @odata.id</v>
      </c>
      <c r="C95">
        <f>Profile!AP100</f>
        <v>0</v>
      </c>
      <c r="D95" t="str">
        <f>IF(Profile!C98="Profile",IF(Profile!A100="ResourceRequirement","OK","XXX"),"XXX")</f>
        <v>XXX</v>
      </c>
    </row>
    <row r="96" spans="1:4" x14ac:dyDescent="0.45">
      <c r="A96">
        <f>ROW()</f>
        <v>96</v>
      </c>
      <c r="B96" t="str">
        <f>Profile!A99</f>
        <v xml:space="preserve">   Oem</v>
      </c>
      <c r="C96">
        <f>Profile!AP101</f>
        <v>0</v>
      </c>
      <c r="D96" t="str">
        <f>IF(Profile!C99="Profile",IF(Profile!A101="ResourceRequirement","OK","XXX"),"XXX")</f>
        <v>XXX</v>
      </c>
    </row>
    <row r="97" spans="1:4" x14ac:dyDescent="0.45">
      <c r="A97">
        <f>ROW()</f>
        <v>97</v>
      </c>
      <c r="B97" t="str">
        <f>Profile!A100</f>
        <v xml:space="preserve">   PoweredBy</v>
      </c>
      <c r="C97">
        <f>Profile!AP102</f>
        <v>0</v>
      </c>
      <c r="D97" t="str">
        <f>IF(Profile!C100="Profile",IF(Profile!A102="ResourceRequirement","OK","XXX"),"XXX")</f>
        <v>XXX</v>
      </c>
    </row>
    <row r="98" spans="1:4" x14ac:dyDescent="0.45">
      <c r="A98">
        <f>ROW()</f>
        <v>98</v>
      </c>
      <c r="B98" t="str">
        <f>Profile!A101</f>
        <v xml:space="preserve">      @odata.id</v>
      </c>
      <c r="C98">
        <f>Profile!AP103</f>
        <v>0</v>
      </c>
      <c r="D98" t="str">
        <f>IF(Profile!C101="Profile",IF(Profile!A103="ResourceRequirement","OK","XXX"),"XXX")</f>
        <v>XXX</v>
      </c>
    </row>
    <row r="99" spans="1:4" x14ac:dyDescent="0.45">
      <c r="A99">
        <f>ROW()</f>
        <v>99</v>
      </c>
      <c r="B99" t="str">
        <f>Profile!A102</f>
        <v xml:space="preserve">   ResourceBlocks</v>
      </c>
      <c r="C99">
        <f>Profile!AP106</f>
        <v>0</v>
      </c>
      <c r="D99" t="str">
        <f>IF(Profile!C102="Profile",IF(Profile!A106="ResourceRequirement","OK","XXX"),"XXX")</f>
        <v>XXX</v>
      </c>
    </row>
    <row r="100" spans="1:4" x14ac:dyDescent="0.45">
      <c r="A100">
        <f>ROW()</f>
        <v>100</v>
      </c>
      <c r="B100" t="str">
        <f>Profile!A103</f>
        <v xml:space="preserve">      @odata.id</v>
      </c>
      <c r="C100">
        <f>Profile!AP107</f>
        <v>0</v>
      </c>
      <c r="D100" t="str">
        <f>IF(Profile!C103="Profile",IF(Profile!A107="ResourceRequirement","OK","XXX"),"XXX")</f>
        <v>XXX</v>
      </c>
    </row>
    <row r="101" spans="1:4" x14ac:dyDescent="0.45">
      <c r="A101">
        <f>ROW()</f>
        <v>101</v>
      </c>
      <c r="B101" t="str">
        <f>Profile!A106</f>
        <v xml:space="preserve">   TrustedComponents</v>
      </c>
      <c r="C101">
        <f>Profile!AP108</f>
        <v>0</v>
      </c>
      <c r="D101" t="str">
        <f>IF(Profile!C106="Profile",IF(Profile!A108="ResourceRequirement","OK","XXX"),"XXX")</f>
        <v>XXX</v>
      </c>
    </row>
    <row r="102" spans="1:4" x14ac:dyDescent="0.45">
      <c r="A102">
        <f>ROW()</f>
        <v>102</v>
      </c>
      <c r="B102" t="str">
        <f>Profile!A107</f>
        <v xml:space="preserve">      @odata.id</v>
      </c>
      <c r="C102">
        <f>Profile!AP109</f>
        <v>0</v>
      </c>
      <c r="D102" t="str">
        <f>IF(Profile!C107="Profile",IF(Profile!A109="ResourceRequirement","OK","XXX"),"XXX")</f>
        <v>XXX</v>
      </c>
    </row>
    <row r="103" spans="1:4" x14ac:dyDescent="0.45">
      <c r="A103">
        <f>ROW()</f>
        <v>103</v>
      </c>
      <c r="B103" t="str">
        <f>Profile!A108</f>
        <v>LogServices</v>
      </c>
      <c r="C103">
        <f>Profile!AP110</f>
        <v>0</v>
      </c>
      <c r="D103" t="str">
        <f>IF(Profile!C108="Profile",IF(Profile!A110="ResourceRequirement","OK","XXX"),"XXX")</f>
        <v>XXX</v>
      </c>
    </row>
    <row r="104" spans="1:4" x14ac:dyDescent="0.45">
      <c r="A104">
        <f>ROW()</f>
        <v>104</v>
      </c>
      <c r="B104" t="str">
        <f>Profile!A109</f>
        <v xml:space="preserve">   @odata.id</v>
      </c>
      <c r="C104">
        <f>Profile!AP111</f>
        <v>0</v>
      </c>
      <c r="D104" t="str">
        <f>IF(Profile!C109="Profile",IF(Profile!A111="ResourceRequirement","OK","XXX"),"XXX")</f>
        <v>XXX</v>
      </c>
    </row>
    <row r="105" spans="1:4" x14ac:dyDescent="0.45">
      <c r="A105">
        <f>ROW()</f>
        <v>105</v>
      </c>
      <c r="B105" t="str">
        <f>Profile!A110</f>
        <v>Manufacturer</v>
      </c>
      <c r="C105">
        <f>Profile!AP112</f>
        <v>0</v>
      </c>
      <c r="D105" t="str">
        <f>IF(Profile!C110="Profile",IF(Profile!A112="ResourceRequirement","OK","XXX"),"XXX")</f>
        <v>XXX</v>
      </c>
    </row>
    <row r="106" spans="1:4" x14ac:dyDescent="0.45">
      <c r="A106">
        <f>ROW()</f>
        <v>106</v>
      </c>
      <c r="B106" t="str">
        <f>Profile!A111</f>
        <v>Memory</v>
      </c>
      <c r="C106">
        <f>Profile!AP113</f>
        <v>0</v>
      </c>
      <c r="D106" t="str">
        <f>IF(Profile!C111="Profile",IF(Profile!A113="ResourceRequirement","OK","XXX"),"XXX")</f>
        <v>XXX</v>
      </c>
    </row>
    <row r="107" spans="1:4" x14ac:dyDescent="0.45">
      <c r="A107">
        <f>ROW()</f>
        <v>107</v>
      </c>
      <c r="B107" t="str">
        <f>Profile!A112</f>
        <v xml:space="preserve">   @odata.id</v>
      </c>
      <c r="C107">
        <f>Profile!AP114</f>
        <v>0</v>
      </c>
      <c r="D107" t="str">
        <f>IF(Profile!C112="Profile",IF(Profile!A114="ResourceRequirement","OK","XXX"),"XXX")</f>
        <v>XXX</v>
      </c>
    </row>
    <row r="108" spans="1:4" x14ac:dyDescent="0.45">
      <c r="A108">
        <f>ROW()</f>
        <v>108</v>
      </c>
      <c r="B108" t="str">
        <f>Profile!A113</f>
        <v>MemoryDomains</v>
      </c>
      <c r="C108">
        <f>Profile!AP115</f>
        <v>0</v>
      </c>
      <c r="D108" t="str">
        <f>IF(Profile!C113="Profile",IF(Profile!A115="ResourceRequirement","OK","XXX"),"XXX")</f>
        <v>XXX</v>
      </c>
    </row>
    <row r="109" spans="1:4" x14ac:dyDescent="0.45">
      <c r="A109">
        <f>ROW()</f>
        <v>109</v>
      </c>
      <c r="B109" t="str">
        <f>Profile!A114</f>
        <v xml:space="preserve">   @odata.id</v>
      </c>
      <c r="C109">
        <f>Profile!AP116</f>
        <v>0</v>
      </c>
      <c r="D109" t="str">
        <f>IF(Profile!C114="Profile",IF(Profile!A116="ResourceRequirement","OK","XXX"),"XXX")</f>
        <v>XXX</v>
      </c>
    </row>
    <row r="110" spans="1:4" x14ac:dyDescent="0.45">
      <c r="A110">
        <f>ROW()</f>
        <v>110</v>
      </c>
      <c r="B110" t="str">
        <f>Profile!A115</f>
        <v>MemorySummary</v>
      </c>
      <c r="C110">
        <f>Profile!AP117</f>
        <v>0</v>
      </c>
      <c r="D110" t="str">
        <f>IF(Profile!C115="Profile",IF(Profile!A117="ResourceRequirement","OK","XXX"),"XXX")</f>
        <v>XXX</v>
      </c>
    </row>
    <row r="111" spans="1:4" x14ac:dyDescent="0.45">
      <c r="A111">
        <f>ROW()</f>
        <v>111</v>
      </c>
      <c r="B111" t="str">
        <f>Profile!A116</f>
        <v xml:space="preserve">   MemoryMirroring</v>
      </c>
      <c r="C111">
        <f>Profile!AP120</f>
        <v>0</v>
      </c>
      <c r="D111" t="str">
        <f>IF(Profile!C116="Profile",IF(Profile!A120="ResourceRequirement","OK","XXX"),"XXX")</f>
        <v>XXX</v>
      </c>
    </row>
    <row r="112" spans="1:4" x14ac:dyDescent="0.45">
      <c r="A112">
        <f>ROW()</f>
        <v>112</v>
      </c>
      <c r="B112" t="str">
        <f>Profile!A117</f>
        <v xml:space="preserve">   Status</v>
      </c>
      <c r="C112">
        <f>Profile!AP121</f>
        <v>0</v>
      </c>
      <c r="D112" t="str">
        <f>IF(Profile!C117="Profile",IF(Profile!A121="ResourceRequirement","OK","XXX"),"XXX")</f>
        <v>XXX</v>
      </c>
    </row>
    <row r="113" spans="1:4" x14ac:dyDescent="0.45">
      <c r="A113">
        <f>ROW()</f>
        <v>113</v>
      </c>
      <c r="B113" t="str">
        <f>Profile!A120</f>
        <v xml:space="preserve">   TotalSystemMemoryGiB</v>
      </c>
      <c r="C113">
        <f>Profile!AP122</f>
        <v>0</v>
      </c>
      <c r="D113" t="str">
        <f>IF(Profile!C120="Profile",IF(Profile!A122="ResourceRequirement","OK","XXX"),"XXX")</f>
        <v>XXX</v>
      </c>
    </row>
    <row r="114" spans="1:4" x14ac:dyDescent="0.45">
      <c r="A114">
        <f>ROW()</f>
        <v>114</v>
      </c>
      <c r="B114" t="str">
        <f>Profile!A121</f>
        <v xml:space="preserve">   TotalSystemPersistentMemoryGiB</v>
      </c>
      <c r="C114">
        <f>Profile!AP123</f>
        <v>0</v>
      </c>
      <c r="D114" t="str">
        <f>IF(Profile!C121="Profile",IF(Profile!A123="ResourceRequirement","OK","XXX"),"XXX")</f>
        <v>XXX</v>
      </c>
    </row>
    <row r="115" spans="1:4" x14ac:dyDescent="0.45">
      <c r="A115">
        <f>ROW()</f>
        <v>115</v>
      </c>
      <c r="B115" t="str">
        <f>Profile!A122</f>
        <v>Model</v>
      </c>
      <c r="C115">
        <f>Profile!AP124</f>
        <v>0</v>
      </c>
      <c r="D115" t="str">
        <f>IF(Profile!C122="Profile",IF(Profile!A124="ResourceRequirement","OK","XXX"),"XXX")</f>
        <v>XXX</v>
      </c>
    </row>
    <row r="116" spans="1:4" x14ac:dyDescent="0.45">
      <c r="A116">
        <f>ROW()</f>
        <v>116</v>
      </c>
      <c r="B116" t="str">
        <f>Profile!A123</f>
        <v>NetworkInterfaces</v>
      </c>
      <c r="C116">
        <f>Profile!AP125</f>
        <v>0</v>
      </c>
      <c r="D116" t="str">
        <f>IF(Profile!C123="Profile",IF(Profile!A125="ResourceRequirement","OK","XXX"),"XXX")</f>
        <v>XXX</v>
      </c>
    </row>
    <row r="117" spans="1:4" x14ac:dyDescent="0.45">
      <c r="A117">
        <f>ROW()</f>
        <v>117</v>
      </c>
      <c r="B117" t="str">
        <f>Profile!A124</f>
        <v xml:space="preserve">   @odata.id</v>
      </c>
      <c r="C117">
        <f>Profile!AP126</f>
        <v>0</v>
      </c>
      <c r="D117" t="str">
        <f>IF(Profile!C124="Profile",IF(Profile!A126="ResourceRequirement","OK","XXX"),"XXX")</f>
        <v>XXX</v>
      </c>
    </row>
    <row r="118" spans="1:4" x14ac:dyDescent="0.45">
      <c r="A118">
        <f>ROW()</f>
        <v>118</v>
      </c>
      <c r="B118" t="str">
        <f>Profile!A125</f>
        <v>PCIeDevices</v>
      </c>
      <c r="C118">
        <f>Profile!AP127</f>
        <v>0</v>
      </c>
      <c r="D118" t="str">
        <f>IF(Profile!C125="Profile",IF(Profile!A127="ResourceRequirement","OK","XXX"),"XXX")</f>
        <v>XXX</v>
      </c>
    </row>
    <row r="119" spans="1:4" x14ac:dyDescent="0.45">
      <c r="A119">
        <f>ROW()</f>
        <v>119</v>
      </c>
      <c r="B119" t="str">
        <f>Profile!A126</f>
        <v xml:space="preserve">   @odata.id</v>
      </c>
      <c r="C119">
        <f>Profile!AP128</f>
        <v>0</v>
      </c>
      <c r="D119" t="str">
        <f>IF(Profile!C126="Profile",IF(Profile!A128="ResourceRequirement","OK","XXX"),"XXX")</f>
        <v>XXX</v>
      </c>
    </row>
    <row r="120" spans="1:4" x14ac:dyDescent="0.45">
      <c r="A120">
        <f>ROW()</f>
        <v>120</v>
      </c>
      <c r="B120" t="str">
        <f>Profile!A127</f>
        <v>PCIeFunctions</v>
      </c>
      <c r="C120">
        <f>Profile!AP129</f>
        <v>0</v>
      </c>
      <c r="D120" t="str">
        <f>IF(Profile!C127="Profile",IF(Profile!A129="ResourceRequirement","OK","XXX"),"XXX")</f>
        <v>XXX</v>
      </c>
    </row>
    <row r="121" spans="1:4" x14ac:dyDescent="0.45">
      <c r="A121">
        <f>ROW()</f>
        <v>121</v>
      </c>
      <c r="B121" t="str">
        <f>Profile!A128</f>
        <v xml:space="preserve">   @odata.id</v>
      </c>
      <c r="C121">
        <f>Profile!AP130</f>
        <v>0</v>
      </c>
      <c r="D121" t="str">
        <f>IF(Profile!C128="Profile",IF(Profile!A130="ResourceRequirement","OK","XXX"),"XXX")</f>
        <v>XXX</v>
      </c>
    </row>
    <row r="122" spans="1:4" x14ac:dyDescent="0.45">
      <c r="A122">
        <f>ROW()</f>
        <v>122</v>
      </c>
      <c r="B122" t="str">
        <f>Profile!A129</f>
        <v>PowerRestorePolicy</v>
      </c>
      <c r="C122">
        <f>Profile!AP131</f>
        <v>0</v>
      </c>
      <c r="D122" t="str">
        <f>IF(Profile!C129="Profile",IF(Profile!A131="ResourceRequirement","OK","XXX"),"XXX")</f>
        <v>XXX</v>
      </c>
    </row>
    <row r="123" spans="1:4" x14ac:dyDescent="0.45">
      <c r="A123">
        <f>ROW()</f>
        <v>123</v>
      </c>
      <c r="B123" t="str">
        <f>Profile!A130</f>
        <v>PowerState</v>
      </c>
      <c r="C123">
        <f>Profile!AP132</f>
        <v>0</v>
      </c>
      <c r="D123" t="str">
        <f>IF(Profile!C130="Profile",IF(Profile!A132="ResourceRequirement","OK","XXX"),"XXX")</f>
        <v>XXX</v>
      </c>
    </row>
    <row r="124" spans="1:4" x14ac:dyDescent="0.45">
      <c r="A124">
        <f>ROW()</f>
        <v>124</v>
      </c>
      <c r="B124" t="str">
        <f>Profile!A131</f>
        <v>ProcessorSummary</v>
      </c>
      <c r="C124">
        <f>Profile!AP133</f>
        <v>0</v>
      </c>
      <c r="D124" t="str">
        <f>IF(Profile!C131="Profile",IF(Profile!A133="ResourceRequirement","OK","XXX"),"XXX")</f>
        <v>XXX</v>
      </c>
    </row>
    <row r="125" spans="1:4" x14ac:dyDescent="0.45">
      <c r="A125">
        <f>ROW()</f>
        <v>125</v>
      </c>
      <c r="B125" t="str">
        <f>Profile!A132</f>
        <v xml:space="preserve">   Count</v>
      </c>
      <c r="C125">
        <f>Profile!AP134</f>
        <v>0</v>
      </c>
      <c r="D125" t="str">
        <f>IF(Profile!C132="Profile",IF(Profile!A134="ResourceRequirement","OK","XXX"),"XXX")</f>
        <v>XXX</v>
      </c>
    </row>
    <row r="126" spans="1:4" x14ac:dyDescent="0.45">
      <c r="A126">
        <f>ROW()</f>
        <v>126</v>
      </c>
      <c r="B126" t="str">
        <f>Profile!A133</f>
        <v xml:space="preserve">   LogicalProcessorCount</v>
      </c>
      <c r="C126">
        <f>Profile!AP135</f>
        <v>0</v>
      </c>
      <c r="D126" t="str">
        <f>IF(Profile!C133="Profile",IF(Profile!A135="ResourceRequirement","OK","XXX"),"XXX")</f>
        <v>XXX</v>
      </c>
    </row>
    <row r="127" spans="1:4" x14ac:dyDescent="0.45">
      <c r="A127">
        <f>ROW()</f>
        <v>127</v>
      </c>
      <c r="B127" t="str">
        <f>Profile!A134</f>
        <v xml:space="preserve">   Model</v>
      </c>
      <c r="C127">
        <f>Profile!AP136</f>
        <v>0</v>
      </c>
      <c r="D127" t="str">
        <f>IF(Profile!C134="Profile",IF(Profile!A136="ResourceRequirement","OK","XXX"),"XXX")</f>
        <v>XXX</v>
      </c>
    </row>
    <row r="128" spans="1:4" x14ac:dyDescent="0.45">
      <c r="A128">
        <f>ROW()</f>
        <v>128</v>
      </c>
      <c r="B128" t="str">
        <f>Profile!A135</f>
        <v xml:space="preserve">   Metrics</v>
      </c>
      <c r="C128">
        <f>Profile!AP137</f>
        <v>0</v>
      </c>
      <c r="D128" t="str">
        <f>IF(Profile!C135="Profile",IF(Profile!A137="ResourceRequirement","OK","XXX"),"XXX")</f>
        <v>XXX</v>
      </c>
    </row>
    <row r="129" spans="1:4" x14ac:dyDescent="0.45">
      <c r="A129">
        <f>ROW()</f>
        <v>129</v>
      </c>
      <c r="B129" t="str">
        <f>Profile!A136</f>
        <v xml:space="preserve">      @odata.id</v>
      </c>
      <c r="C129">
        <f>Profile!AP140</f>
        <v>0</v>
      </c>
      <c r="D129" t="str">
        <f>IF(Profile!C136="Profile",IF(Profile!A140="ResourceRequirement","OK","XXX"),"XXX")</f>
        <v>XXX</v>
      </c>
    </row>
    <row r="130" spans="1:4" x14ac:dyDescent="0.45">
      <c r="A130">
        <f>ROW()</f>
        <v>130</v>
      </c>
      <c r="B130" t="str">
        <f>Profile!A137</f>
        <v xml:space="preserve">   Status</v>
      </c>
      <c r="C130">
        <f>Profile!AP141</f>
        <v>0</v>
      </c>
      <c r="D130" t="str">
        <f>IF(Profile!C137="Profile",IF(Profile!A141="ResourceRequirement","OK","XXX"),"XXX")</f>
        <v>XXX</v>
      </c>
    </row>
    <row r="131" spans="1:4" x14ac:dyDescent="0.45">
      <c r="A131">
        <f>ROW()</f>
        <v>131</v>
      </c>
      <c r="B131" t="str">
        <f>Profile!A140</f>
        <v>Processors</v>
      </c>
      <c r="C131">
        <f>Profile!AP142</f>
        <v>0</v>
      </c>
      <c r="D131" t="str">
        <f>IF(Profile!C140="Profile",IF(Profile!A142="ResourceRequirement","OK","XXX"),"XXX")</f>
        <v>XXX</v>
      </c>
    </row>
    <row r="132" spans="1:4" x14ac:dyDescent="0.45">
      <c r="A132">
        <f>ROW()</f>
        <v>132</v>
      </c>
      <c r="B132" t="str">
        <f>Profile!A141</f>
        <v xml:space="preserve">   @odata.id</v>
      </c>
      <c r="C132">
        <f>Profile!AP143</f>
        <v>0</v>
      </c>
      <c r="D132" t="str">
        <f>IF(Profile!C141="Profile",IF(Profile!A143="ResourceRequirement","OK","XXX"),"XXX")</f>
        <v>XXX</v>
      </c>
    </row>
    <row r="133" spans="1:4" x14ac:dyDescent="0.45">
      <c r="A133">
        <f>ROW()</f>
        <v>133</v>
      </c>
      <c r="B133" t="str">
        <f>Profile!A142</f>
        <v>Redundancy</v>
      </c>
      <c r="C133">
        <f>Profile!AP144</f>
        <v>0</v>
      </c>
      <c r="D133" t="str">
        <f>IF(Profile!C142="Profile",IF(Profile!A144="ResourceRequirement","OK","XXX"),"XXX")</f>
        <v>XXX</v>
      </c>
    </row>
    <row r="134" spans="1:4" x14ac:dyDescent="0.45">
      <c r="A134">
        <f>ROW()</f>
        <v>134</v>
      </c>
      <c r="B134" t="str">
        <f>Profile!A143</f>
        <v xml:space="preserve">   @odata.id</v>
      </c>
      <c r="C134">
        <f>Profile!AP145</f>
        <v>0</v>
      </c>
      <c r="D134" t="str">
        <f>IF(Profile!C143="Profile",IF(Profile!A145="ResourceRequirement","OK","XXX"),"XXX")</f>
        <v>XXX</v>
      </c>
    </row>
    <row r="135" spans="1:4" x14ac:dyDescent="0.45">
      <c r="A135">
        <f>ROW()</f>
        <v>135</v>
      </c>
      <c r="B135" t="str">
        <f>Profile!A144</f>
        <v>SKU</v>
      </c>
      <c r="C135">
        <f>Profile!AP146</f>
        <v>0</v>
      </c>
      <c r="D135" t="str">
        <f>IF(Profile!C144="Profile",IF(Profile!A146="ResourceRequirement","OK","XXX"),"XXX")</f>
        <v>XXX</v>
      </c>
    </row>
    <row r="136" spans="1:4" x14ac:dyDescent="0.45">
      <c r="A136">
        <f>ROW()</f>
        <v>136</v>
      </c>
      <c r="B136" t="str">
        <f>Profile!A145</f>
        <v>SecureBoot</v>
      </c>
      <c r="C136">
        <f>Profile!AP147</f>
        <v>0</v>
      </c>
      <c r="D136" t="str">
        <f>IF(Profile!C145="Profile",IF(Profile!A147="ResourceRequirement","OK","XXX"),"XXX")</f>
        <v>XXX</v>
      </c>
    </row>
    <row r="137" spans="1:4" x14ac:dyDescent="0.45">
      <c r="A137">
        <f>ROW()</f>
        <v>137</v>
      </c>
      <c r="B137" t="str">
        <f>Profile!A146</f>
        <v xml:space="preserve">   @odata.id</v>
      </c>
      <c r="C137">
        <f>Profile!AP148</f>
        <v>0</v>
      </c>
      <c r="D137" t="str">
        <f>IF(Profile!C146="Profile",IF(Profile!A148="ResourceRequirement","OK","XXX"),"XXX")</f>
        <v>XXX</v>
      </c>
    </row>
    <row r="138" spans="1:4" x14ac:dyDescent="0.45">
      <c r="A138">
        <f>ROW()</f>
        <v>138</v>
      </c>
      <c r="B138" t="str">
        <f>Profile!A147</f>
        <v>SerialNumber</v>
      </c>
      <c r="C138">
        <f>Profile!AP149</f>
        <v>0</v>
      </c>
      <c r="D138" t="str">
        <f>IF(Profile!C147="Profile",IF(Profile!A149="ResourceRequirement","OK","XXX"),"XXX")</f>
        <v>XXX</v>
      </c>
    </row>
    <row r="139" spans="1:4" x14ac:dyDescent="0.45">
      <c r="A139">
        <f>ROW()</f>
        <v>139</v>
      </c>
      <c r="B139" t="str">
        <f>Profile!A148</f>
        <v>SimpleStorage</v>
      </c>
      <c r="C139">
        <f>Profile!AP150</f>
        <v>0</v>
      </c>
      <c r="D139" t="str">
        <f>IF(Profile!C148="Profile",IF(Profile!A150="ResourceRequirement","OK","XXX"),"XXX")</f>
        <v>XXX</v>
      </c>
    </row>
    <row r="140" spans="1:4" x14ac:dyDescent="0.45">
      <c r="A140">
        <f>ROW()</f>
        <v>140</v>
      </c>
      <c r="B140" t="str">
        <f>Profile!A149</f>
        <v xml:space="preserve">   @odata.id</v>
      </c>
      <c r="C140">
        <f>Profile!AP153</f>
        <v>0</v>
      </c>
      <c r="D140" t="str">
        <f>IF(Profile!C149="Profile",IF(Profile!A153="ResourceRequirement","OK","XXX"),"XXX")</f>
        <v>XXX</v>
      </c>
    </row>
    <row r="141" spans="1:4" x14ac:dyDescent="0.45">
      <c r="A141">
        <f>ROW()</f>
        <v>141</v>
      </c>
      <c r="B141" t="str">
        <f>Profile!A150</f>
        <v>Status</v>
      </c>
      <c r="C141">
        <f>Profile!AP154</f>
        <v>0</v>
      </c>
      <c r="D141" t="str">
        <f>IF(Profile!C150="Profile",IF(Profile!A154="ResourceRequirement","OK","XXX"),"XXX")</f>
        <v>XXX</v>
      </c>
    </row>
    <row r="142" spans="1:4" x14ac:dyDescent="0.45">
      <c r="A142">
        <f>ROW()</f>
        <v>142</v>
      </c>
      <c r="B142" t="str">
        <f>Profile!A153</f>
        <v>Storage</v>
      </c>
      <c r="C142">
        <f>Profile!AP155</f>
        <v>0</v>
      </c>
      <c r="D142" t="str">
        <f>IF(Profile!C153="Profile",IF(Profile!A155="ResourceRequirement","OK","XXX"),"XXX")</f>
        <v>XXX</v>
      </c>
    </row>
    <row r="143" spans="1:4" x14ac:dyDescent="0.45">
      <c r="A143">
        <f>ROW()</f>
        <v>143</v>
      </c>
      <c r="B143" t="str">
        <f>Profile!A154</f>
        <v xml:space="preserve">   @odata.id</v>
      </c>
      <c r="C143">
        <f>Profile!AP156</f>
        <v>0</v>
      </c>
      <c r="D143" t="str">
        <f>IF(Profile!C154="Profile",IF(Profile!A156="ResourceRequirement","OK","XXX"),"XXX")</f>
        <v>XXX</v>
      </c>
    </row>
    <row r="144" spans="1:4" x14ac:dyDescent="0.45">
      <c r="A144">
        <f>ROW()</f>
        <v>144</v>
      </c>
      <c r="B144" t="str">
        <f>Profile!A155</f>
        <v>SubModel</v>
      </c>
      <c r="C144">
        <f>Profile!AP157</f>
        <v>0</v>
      </c>
      <c r="D144" t="str">
        <f>IF(Profile!C155="Profile",IF(Profile!A157="ResourceRequirement","OK","XXX"),"XXX")</f>
        <v>XXX</v>
      </c>
    </row>
    <row r="145" spans="1:4" x14ac:dyDescent="0.45">
      <c r="A145">
        <f>ROW()</f>
        <v>145</v>
      </c>
      <c r="B145" t="str">
        <f>Profile!A156</f>
        <v>SystemType</v>
      </c>
      <c r="C145">
        <f>Profile!AP158</f>
        <v>0</v>
      </c>
      <c r="D145" t="str">
        <f>IF(Profile!C156="Profile",IF(Profile!A158="ResourceRequirement","OK","XXX"),"XXX")</f>
        <v>XXX</v>
      </c>
    </row>
    <row r="146" spans="1:4" x14ac:dyDescent="0.45">
      <c r="A146">
        <f>ROW()</f>
        <v>146</v>
      </c>
      <c r="B146" t="str">
        <f>Profile!A157</f>
        <v>TrustedModules</v>
      </c>
      <c r="C146">
        <f>Profile!AP159</f>
        <v>0</v>
      </c>
      <c r="D146" t="str">
        <f>IF(Profile!C157="Profile",IF(Profile!A159="ResourceRequirement","OK","XXX"),"XXX")</f>
        <v>XXX</v>
      </c>
    </row>
    <row r="147" spans="1:4" x14ac:dyDescent="0.45">
      <c r="A147">
        <f>ROW()</f>
        <v>147</v>
      </c>
      <c r="B147" t="str">
        <f>Profile!A158</f>
        <v xml:space="preserve">   FirmwareVersion</v>
      </c>
      <c r="C147">
        <f>Profile!AP160</f>
        <v>0</v>
      </c>
      <c r="D147" t="str">
        <f>IF(Profile!C158="Profile",IF(Profile!A160="ResourceRequirement","OK","XXX"),"XXX")</f>
        <v>XXX</v>
      </c>
    </row>
    <row r="148" spans="1:4" x14ac:dyDescent="0.45">
      <c r="A148">
        <f>ROW()</f>
        <v>148</v>
      </c>
      <c r="B148" t="str">
        <f>Profile!A159</f>
        <v xml:space="preserve">   FirmwareVersion2</v>
      </c>
      <c r="C148">
        <f>Profile!AP161</f>
        <v>0</v>
      </c>
      <c r="D148" t="str">
        <f>IF(Profile!C159="Profile",IF(Profile!A161="ResourceRequirement","OK","XXX"),"XXX")</f>
        <v>XXX</v>
      </c>
    </row>
    <row r="149" spans="1:4" x14ac:dyDescent="0.45">
      <c r="A149">
        <f>ROW()</f>
        <v>149</v>
      </c>
      <c r="B149" t="str">
        <f>Profile!A160</f>
        <v xml:space="preserve">   InterfaceType</v>
      </c>
      <c r="C149">
        <f>Profile!AP162</f>
        <v>0</v>
      </c>
      <c r="D149" t="str">
        <f>IF(Profile!C160="Profile",IF(Profile!A162="ResourceRequirement","OK","XXX"),"XXX")</f>
        <v>XXX</v>
      </c>
    </row>
    <row r="150" spans="1:4" x14ac:dyDescent="0.45">
      <c r="A150">
        <f>ROW()</f>
        <v>150</v>
      </c>
      <c r="B150" t="str">
        <f>Profile!A161</f>
        <v xml:space="preserve">   InterfaceTypeSelection</v>
      </c>
      <c r="C150">
        <f>Profile!AP163</f>
        <v>0</v>
      </c>
      <c r="D150" t="str">
        <f>IF(Profile!C161="Profile",IF(Profile!A163="ResourceRequirement","OK","XXX"),"XXX")</f>
        <v>XXX</v>
      </c>
    </row>
    <row r="151" spans="1:4" x14ac:dyDescent="0.45">
      <c r="A151">
        <f>ROW()</f>
        <v>151</v>
      </c>
      <c r="B151" t="str">
        <f>Profile!A162</f>
        <v xml:space="preserve">   Oem</v>
      </c>
      <c r="C151">
        <f>Profile!AP166</f>
        <v>0</v>
      </c>
      <c r="D151" t="str">
        <f>IF(Profile!C162="Profile",IF(Profile!A166="ResourceRequirement","OK","XXX"),"XXX")</f>
        <v>XXX</v>
      </c>
    </row>
    <row r="152" spans="1:4" x14ac:dyDescent="0.45">
      <c r="A152">
        <f>ROW()</f>
        <v>152</v>
      </c>
      <c r="B152" t="str">
        <f>Profile!A163</f>
        <v xml:space="preserve">   Status</v>
      </c>
      <c r="C152">
        <f>Profile!AP167</f>
        <v>0</v>
      </c>
      <c r="D152" t="str">
        <f>IF(Profile!C163="Profile",IF(Profile!A167="ResourceRequirement","OK","XXX"),"XXX")</f>
        <v>XXX</v>
      </c>
    </row>
    <row r="153" spans="1:4" x14ac:dyDescent="0.45">
      <c r="A153">
        <f>ROW()</f>
        <v>153</v>
      </c>
      <c r="B153" t="str">
        <f>Profile!A166</f>
        <v>UUID</v>
      </c>
      <c r="C153">
        <f>Profile!AP168</f>
        <v>0</v>
      </c>
      <c r="D153" t="str">
        <f>IF(Profile!C166="Profile",IF(Profile!A168="ResourceRequirement","OK","XXX"),"XXX")</f>
        <v>XXX</v>
      </c>
    </row>
    <row r="154" spans="1:4" x14ac:dyDescent="0.45">
      <c r="A154">
        <f>ROW()</f>
        <v>154</v>
      </c>
      <c r="B154" t="str">
        <f>Profile!A167</f>
        <v>OperatingSystem</v>
      </c>
      <c r="C154">
        <f>Profile!AP169</f>
        <v>0</v>
      </c>
      <c r="D154" t="str">
        <f>IF(Profile!C167="Profile",IF(Profile!A169="ResourceRequirement","OK","XXX"),"XXX")</f>
        <v>XXX</v>
      </c>
    </row>
    <row r="155" spans="1:4" x14ac:dyDescent="0.45">
      <c r="A155">
        <f>ROW()</f>
        <v>155</v>
      </c>
      <c r="B155" t="str">
        <f>Profile!A168</f>
        <v xml:space="preserve">   @odata.id</v>
      </c>
      <c r="C155">
        <f>Profile!AP170</f>
        <v>0</v>
      </c>
      <c r="D155" t="str">
        <f>IF(Profile!C168="Profile",IF(Profile!A170="ResourceRequirement","OK","XXX"),"XXX")</f>
        <v>XXX</v>
      </c>
    </row>
    <row r="156" spans="1:4" x14ac:dyDescent="0.45">
      <c r="A156">
        <f>ROW()</f>
        <v>156</v>
      </c>
      <c r="B156" t="str">
        <f>Profile!A169</f>
        <v>ComputerSystem URIs</v>
      </c>
      <c r="C156">
        <f>Profile!AP171</f>
        <v>0</v>
      </c>
      <c r="D156" t="str">
        <f>IF(Profile!C169="Profile",IF(Profile!A171="ResourceRequirement","OK","XXX"),"XXX")</f>
        <v>XXX</v>
      </c>
    </row>
    <row r="157" spans="1:4" x14ac:dyDescent="0.45">
      <c r="A157">
        <f>ROW()</f>
        <v>157</v>
      </c>
      <c r="B157" t="str">
        <f>Profile!A170</f>
        <v>/redfish/v1/Systems/{ComputerSystemId}</v>
      </c>
      <c r="C157">
        <f>Profile!AP172</f>
        <v>0</v>
      </c>
      <c r="D157" t="str">
        <f>IF(Profile!C170="Profile",IF(Profile!A172="ResourceRequirement","OK","XXX"),"XXX")</f>
        <v>XXX</v>
      </c>
    </row>
    <row r="158" spans="1:4" x14ac:dyDescent="0.45">
      <c r="A158">
        <f>ROW()</f>
        <v>158</v>
      </c>
      <c r="B158">
        <f>Profile!A171</f>
        <v>0</v>
      </c>
      <c r="C158">
        <f>Profile!AP173</f>
        <v>0</v>
      </c>
      <c r="D158" t="str">
        <f>IF(Profile!C171="Profile",IF(Profile!A173="ResourceRequirement","OK","XXX"),"XXX")</f>
        <v>XXX</v>
      </c>
    </row>
    <row r="159" spans="1:4" x14ac:dyDescent="0.45">
      <c r="A159">
        <f>ROW()</f>
        <v>159</v>
      </c>
      <c r="B159" t="str">
        <f>Profile!A172</f>
        <v>1.1.1.4               Endpoint</v>
      </c>
      <c r="C159">
        <f>Profile!AP174</f>
        <v>0</v>
      </c>
      <c r="D159" t="str">
        <f>IF(Profile!C172="Profile",IF(Profile!A174="ResourceRequirement","OK","XXX"),"XXX")</f>
        <v>XXX</v>
      </c>
    </row>
    <row r="160" spans="1:4" x14ac:dyDescent="0.45">
      <c r="A160">
        <f>ROW()</f>
        <v>160</v>
      </c>
      <c r="B160" t="str">
        <f>Profile!A173</f>
        <v>The Endpoint resource represents the properties of an entity that sends or receives protocol defined messages over a transport.</v>
      </c>
      <c r="C160">
        <f>Profile!AP175</f>
        <v>0</v>
      </c>
      <c r="D160" t="str">
        <f>IF(Profile!C173="Profile",IF(Profile!A175="ResourceRequirement","OK","XXX"),"XXX")</f>
        <v>XXX</v>
      </c>
    </row>
    <row r="161" spans="1:4" x14ac:dyDescent="0.45">
      <c r="A161">
        <f>ROW()</f>
        <v>161</v>
      </c>
      <c r="B161" t="str">
        <f>Profile!A174</f>
        <v>Endpoint is not used in the O-PAS system management profiles.</v>
      </c>
      <c r="C161">
        <f>Profile!AP176</f>
        <v>0</v>
      </c>
      <c r="D161" t="str">
        <f>IF(Profile!C174="Profile",IF(Profile!A176="ResourceRequirement","OK","XXX"),"XXX")</f>
        <v>XXX</v>
      </c>
    </row>
    <row r="162" spans="1:4" x14ac:dyDescent="0.45">
      <c r="A162">
        <f>ROW()</f>
        <v>162</v>
      </c>
      <c r="B162">
        <f>Profile!A175</f>
        <v>0</v>
      </c>
      <c r="C162">
        <f>Profile!AP177</f>
        <v>0</v>
      </c>
      <c r="D162" t="str">
        <f>IF(Profile!C175="Profile",IF(Profile!A177="ResourceRequirement","OK","XXX"),"XXX")</f>
        <v>XXX</v>
      </c>
    </row>
    <row r="163" spans="1:4" x14ac:dyDescent="0.45">
      <c r="A163">
        <f>ROW()</f>
        <v>163</v>
      </c>
      <c r="B163" t="str">
        <f>Profile!A176</f>
        <v>1.1.1.5               Memory</v>
      </c>
      <c r="C163">
        <f>Profile!AP178</f>
        <v>0</v>
      </c>
      <c r="D163" t="str">
        <f>IF(Profile!C176="Profile",IF(Profile!A178="ResourceRequirement","OK","XXX"),"XXX")</f>
        <v>XXX</v>
      </c>
    </row>
    <row r="164" spans="1:4" x14ac:dyDescent="0.45">
      <c r="A164">
        <f>ROW()</f>
        <v>164</v>
      </c>
      <c r="B164" t="str">
        <f>Profile!A177</f>
        <v>Definition for Memory and its configuration.</v>
      </c>
      <c r="C164">
        <f>Profile!AP179</f>
        <v>0</v>
      </c>
      <c r="D164" t="str">
        <f>IF(Profile!C177="Profile",IF(Profile!A179="ResourceRequirement","OK","XXX"),"XXX")</f>
        <v>XXX</v>
      </c>
    </row>
    <row r="165" spans="1:4" x14ac:dyDescent="0.45">
      <c r="A165">
        <f>ROW()</f>
        <v>165</v>
      </c>
      <c r="B165" t="str">
        <f>Profile!A178</f>
        <v>Table 11: O-PAS Profile Map for the Redfish Memory Resource</v>
      </c>
      <c r="C165">
        <f>Profile!AP180</f>
        <v>0</v>
      </c>
      <c r="D165" t="str">
        <f>IF(Profile!C178="Profile",IF(Profile!A180="ResourceRequirement","OK","XXX"),"XXX")</f>
        <v>XXX</v>
      </c>
    </row>
    <row r="166" spans="1:4" x14ac:dyDescent="0.45">
      <c r="A166">
        <f>ROW()</f>
        <v>166</v>
      </c>
      <c r="B166" t="str">
        <f>Profile!A179</f>
        <v>Memory (1.6.0)</v>
      </c>
      <c r="C166">
        <f>Profile!AP181</f>
        <v>0</v>
      </c>
      <c r="D166" t="str">
        <f>IF(Profile!C179="Profile",IF(Profile!A181="ResourceRequirement","OK","XXX"),"XXX")</f>
        <v>XXX</v>
      </c>
    </row>
    <row r="167" spans="1:4" x14ac:dyDescent="0.45">
      <c r="A167">
        <f>ROW()</f>
        <v>167</v>
      </c>
      <c r="B167">
        <f>Profile!A180</f>
        <v>0</v>
      </c>
      <c r="C167">
        <f>Profile!AP182</f>
        <v>0</v>
      </c>
      <c r="D167" t="str">
        <f>IF(Profile!C180="Profile",IF(Profile!A182="ResourceRequirement","OK","XXX"),"XXX")</f>
        <v>XXX</v>
      </c>
    </row>
    <row r="168" spans="1:4" x14ac:dyDescent="0.45">
      <c r="A168">
        <f>ROW()</f>
        <v>168</v>
      </c>
      <c r="B168" t="str">
        <f>Profile!A181</f>
        <v>Memory (1.7.1)</v>
      </c>
      <c r="C168">
        <f>Profile!AP183</f>
        <v>29</v>
      </c>
      <c r="D168" t="str">
        <f>IF(Profile!C181="Profile",IF(Profile!A183="ResourceRequirement","OK","XXX"),"XXX")</f>
        <v>OK</v>
      </c>
    </row>
    <row r="169" spans="1:4" x14ac:dyDescent="0.45">
      <c r="A169">
        <f>ROW()</f>
        <v>169</v>
      </c>
      <c r="B169">
        <f>Profile!A182</f>
        <v>0</v>
      </c>
      <c r="C169">
        <f>Profile!AP184</f>
        <v>0</v>
      </c>
      <c r="D169" t="str">
        <f>IF(Profile!C182="Profile",IF(Profile!A184="ResourceRequirement","OK","XXX"),"XXX")</f>
        <v>XXX</v>
      </c>
    </row>
    <row r="170" spans="1:4" x14ac:dyDescent="0.45">
      <c r="A170">
        <f>ROW()</f>
        <v>170</v>
      </c>
      <c r="B170" t="str">
        <f>Profile!A183</f>
        <v>ResourceRequirement</v>
      </c>
      <c r="C170">
        <f>Profile!AP185</f>
        <v>0</v>
      </c>
      <c r="D170" t="str">
        <f>IF(Profile!C183="Profile",IF(Profile!A185="ResourceRequirement","OK","XXX"),"XXX")</f>
        <v>XXX</v>
      </c>
    </row>
    <row r="171" spans="1:4" x14ac:dyDescent="0.45">
      <c r="A171">
        <f>ROW()</f>
        <v>171</v>
      </c>
      <c r="B171" t="str">
        <f>Profile!A184</f>
        <v>Resource MinVersion</v>
      </c>
      <c r="C171">
        <f>Profile!AP186</f>
        <v>0</v>
      </c>
      <c r="D171" t="str">
        <f>IF(Profile!C184="Profile",IF(Profile!A186="ResourceRequirement","OK","XXX"),"XXX")</f>
        <v>XXX</v>
      </c>
    </row>
    <row r="172" spans="1:4" x14ac:dyDescent="0.45">
      <c r="A172">
        <f>ROW()</f>
        <v>172</v>
      </c>
      <c r="B172" t="str">
        <f>Profile!A185</f>
        <v>Property</v>
      </c>
      <c r="C172">
        <f>Profile!AP187</f>
        <v>0</v>
      </c>
      <c r="D172" t="str">
        <f>IF(Profile!C185="Profile",IF(Profile!A187="ResourceRequirement","OK","XXX"),"XXX")</f>
        <v>XXX</v>
      </c>
    </row>
    <row r="173" spans="1:4" x14ac:dyDescent="0.45">
      <c r="A173">
        <f>ROW()</f>
        <v>173</v>
      </c>
      <c r="B173" t="str">
        <f>Profile!A186</f>
        <v>Actions</v>
      </c>
      <c r="C173">
        <f>Profile!AP188</f>
        <v>0</v>
      </c>
      <c r="D173" t="str">
        <f>IF(Profile!C186="Profile",IF(Profile!A188="ResourceRequirement","OK","XXX"),"XXX")</f>
        <v>XXX</v>
      </c>
    </row>
    <row r="174" spans="1:4" x14ac:dyDescent="0.45">
      <c r="A174">
        <f>ROW()</f>
        <v>174</v>
      </c>
      <c r="B174" t="str">
        <f>Profile!A187</f>
        <v xml:space="preserve">   #Memory.DisablePassphrase</v>
      </c>
      <c r="C174">
        <f>Profile!AP189</f>
        <v>0</v>
      </c>
      <c r="D174" t="str">
        <f>IF(Profile!C187="Profile",IF(Profile!A189="ResourceRequirement","OK","XXX"),"XXX")</f>
        <v>XXX</v>
      </c>
    </row>
    <row r="175" spans="1:4" x14ac:dyDescent="0.45">
      <c r="A175">
        <f>ROW()</f>
        <v>175</v>
      </c>
      <c r="B175" t="str">
        <f>Profile!A188</f>
        <v xml:space="preserve">   #Memory.SecureEraseUnit</v>
      </c>
      <c r="C175">
        <f>Profile!AP190</f>
        <v>0</v>
      </c>
      <c r="D175" t="str">
        <f>IF(Profile!C188="Profile",IF(Profile!A190="ResourceRequirement","OK","XXX"),"XXX")</f>
        <v>XXX</v>
      </c>
    </row>
    <row r="176" spans="1:4" x14ac:dyDescent="0.45">
      <c r="A176">
        <f>ROW()</f>
        <v>176</v>
      </c>
      <c r="B176" t="str">
        <f>Profile!A189</f>
        <v xml:space="preserve">   #Memory.SetPassphrase</v>
      </c>
      <c r="C176">
        <f>Profile!AP191</f>
        <v>0</v>
      </c>
      <c r="D176" t="str">
        <f>IF(Profile!C189="Profile",IF(Profile!A191="ResourceRequirement","OK","XXX"),"XXX")</f>
        <v>XXX</v>
      </c>
    </row>
    <row r="177" spans="1:4" x14ac:dyDescent="0.45">
      <c r="A177">
        <f>ROW()</f>
        <v>177</v>
      </c>
      <c r="B177" t="str">
        <f>Profile!A190</f>
        <v xml:space="preserve">   #Memory.UnlockUnit</v>
      </c>
      <c r="C177">
        <f>Profile!AP192</f>
        <v>0</v>
      </c>
      <c r="D177" t="str">
        <f>IF(Profile!C190="Profile",IF(Profile!A192="ResourceRequirement","OK","XXX"),"XXX")</f>
        <v>XXX</v>
      </c>
    </row>
    <row r="178" spans="1:4" x14ac:dyDescent="0.45">
      <c r="A178">
        <f>ROW()</f>
        <v>178</v>
      </c>
      <c r="B178" t="str">
        <f>Profile!A191</f>
        <v>AllocationAlignmentMiB</v>
      </c>
      <c r="C178">
        <f>Profile!AP193</f>
        <v>0</v>
      </c>
      <c r="D178" t="str">
        <f>IF(Profile!C191="Profile",IF(Profile!A193="ResourceRequirement","OK","XXX"),"XXX")</f>
        <v>XXX</v>
      </c>
    </row>
    <row r="179" spans="1:4" x14ac:dyDescent="0.45">
      <c r="A179">
        <f>ROW()</f>
        <v>179</v>
      </c>
      <c r="B179" t="str">
        <f>Profile!A192</f>
        <v>AllocationIncrementMiB</v>
      </c>
      <c r="C179">
        <f>Profile!AP194</f>
        <v>0</v>
      </c>
      <c r="D179" t="str">
        <f>IF(Profile!C192="Profile",IF(Profile!A194="ResourceRequirement","OK","XXX"),"XXX")</f>
        <v>XXX</v>
      </c>
    </row>
    <row r="180" spans="1:4" x14ac:dyDescent="0.45">
      <c r="A180">
        <f>ROW()</f>
        <v>180</v>
      </c>
      <c r="B180" t="str">
        <f>Profile!A193</f>
        <v>AllowedSpeedsMHz</v>
      </c>
      <c r="C180">
        <f>Profile!AP195</f>
        <v>0</v>
      </c>
      <c r="D180" t="str">
        <f>IF(Profile!C193="Profile",IF(Profile!A195="ResourceRequirement","OK","XXX"),"XXX")</f>
        <v>XXX</v>
      </c>
    </row>
    <row r="181" spans="1:4" x14ac:dyDescent="0.45">
      <c r="A181">
        <f>ROW()</f>
        <v>181</v>
      </c>
      <c r="B181" t="str">
        <f>Profile!A194</f>
        <v>Assembly</v>
      </c>
      <c r="C181">
        <f>Profile!AP196</f>
        <v>0</v>
      </c>
      <c r="D181" t="str">
        <f>IF(Profile!C194="Profile",IF(Profile!A196="ResourceRequirement","OK","XXX"),"XXX")</f>
        <v>XXX</v>
      </c>
    </row>
    <row r="182" spans="1:4" x14ac:dyDescent="0.45">
      <c r="A182">
        <f>ROW()</f>
        <v>182</v>
      </c>
      <c r="B182" t="str">
        <f>Profile!A195</f>
        <v xml:space="preserve">   @odata.id</v>
      </c>
      <c r="C182">
        <f>Profile!AP197</f>
        <v>0</v>
      </c>
      <c r="D182" t="str">
        <f>IF(Profile!C195="Profile",IF(Profile!A197="ResourceRequirement","OK","XXX"),"XXX")</f>
        <v>XXX</v>
      </c>
    </row>
    <row r="183" spans="1:4" x14ac:dyDescent="0.45">
      <c r="A183">
        <f>ROW()</f>
        <v>183</v>
      </c>
      <c r="B183" t="str">
        <f>Profile!A196</f>
        <v>BaseModuleType</v>
      </c>
      <c r="C183">
        <f>Profile!AP198</f>
        <v>0</v>
      </c>
      <c r="D183" t="str">
        <f>IF(Profile!C196="Profile",IF(Profile!A198="ResourceRequirement","OK","XXX"),"XXX")</f>
        <v>XXX</v>
      </c>
    </row>
    <row r="184" spans="1:4" x14ac:dyDescent="0.45">
      <c r="A184">
        <f>ROW()</f>
        <v>184</v>
      </c>
      <c r="B184" t="str">
        <f>Profile!A197</f>
        <v>BusWidthBits</v>
      </c>
      <c r="C184">
        <f>Profile!AP199</f>
        <v>0</v>
      </c>
      <c r="D184" t="str">
        <f>IF(Profile!C197="Profile",IF(Profile!A199="ResourceRequirement","OK","XXX"),"XXX")</f>
        <v>XXX</v>
      </c>
    </row>
    <row r="185" spans="1:4" x14ac:dyDescent="0.45">
      <c r="A185">
        <f>ROW()</f>
        <v>185</v>
      </c>
      <c r="B185" t="str">
        <f>Profile!A198</f>
        <v>CacheSizeMiB</v>
      </c>
      <c r="C185">
        <f>Profile!AP200</f>
        <v>0</v>
      </c>
      <c r="D185" t="str">
        <f>IF(Profile!C198="Profile",IF(Profile!A200="ResourceRequirement","OK","XXX"),"XXX")</f>
        <v>XXX</v>
      </c>
    </row>
    <row r="186" spans="1:4" x14ac:dyDescent="0.45">
      <c r="A186">
        <f>ROW()</f>
        <v>186</v>
      </c>
      <c r="B186" t="str">
        <f>Profile!A199</f>
        <v>CapacityMiB</v>
      </c>
      <c r="C186">
        <f>Profile!AP201</f>
        <v>0</v>
      </c>
      <c r="D186" t="str">
        <f>IF(Profile!C199="Profile",IF(Profile!A201="ResourceRequirement","OK","XXX"),"XXX")</f>
        <v>XXX</v>
      </c>
    </row>
    <row r="187" spans="1:4" x14ac:dyDescent="0.45">
      <c r="A187">
        <f>ROW()</f>
        <v>187</v>
      </c>
      <c r="B187" t="str">
        <f>Profile!A200</f>
        <v>ConfigurationLocked</v>
      </c>
      <c r="C187">
        <f>Profile!AP202</f>
        <v>0</v>
      </c>
      <c r="D187" t="str">
        <f>IF(Profile!C200="Profile",IF(Profile!A202="ResourceRequirement","OK","XXX"),"XXX")</f>
        <v>XXX</v>
      </c>
    </row>
    <row r="188" spans="1:4" x14ac:dyDescent="0.45">
      <c r="A188">
        <f>ROW()</f>
        <v>188</v>
      </c>
      <c r="B188" t="str">
        <f>Profile!A201</f>
        <v>DataWidthBits</v>
      </c>
      <c r="C188">
        <f>Profile!AP203</f>
        <v>0</v>
      </c>
      <c r="D188" t="str">
        <f>IF(Profile!C201="Profile",IF(Profile!A203="ResourceRequirement","OK","XXX"),"XXX")</f>
        <v>XXX</v>
      </c>
    </row>
    <row r="189" spans="1:4" x14ac:dyDescent="0.45">
      <c r="A189">
        <f>ROW()</f>
        <v>189</v>
      </c>
      <c r="B189" t="str">
        <f>Profile!A202</f>
        <v>DeviceLocator</v>
      </c>
      <c r="C189">
        <f>Profile!AP204</f>
        <v>0</v>
      </c>
      <c r="D189" t="str">
        <f>IF(Profile!C202="Profile",IF(Profile!A204="ResourceRequirement","OK","XXX"),"XXX")</f>
        <v>XXX</v>
      </c>
    </row>
    <row r="190" spans="1:4" x14ac:dyDescent="0.45">
      <c r="A190">
        <f>ROW()</f>
        <v>190</v>
      </c>
      <c r="B190" t="str">
        <f>Profile!A203</f>
        <v>ErrorCorrection</v>
      </c>
      <c r="C190">
        <f>Profile!AP205</f>
        <v>0</v>
      </c>
      <c r="D190" t="str">
        <f>IF(Profile!C203="Profile",IF(Profile!A205="ResourceRequirement","OK","XXX"),"XXX")</f>
        <v>XXX</v>
      </c>
    </row>
    <row r="191" spans="1:4" x14ac:dyDescent="0.45">
      <c r="A191">
        <f>ROW()</f>
        <v>191</v>
      </c>
      <c r="B191" t="str">
        <f>Profile!A204</f>
        <v>FirmwareApiVersion</v>
      </c>
      <c r="C191">
        <f>Profile!AP206</f>
        <v>0</v>
      </c>
      <c r="D191" t="str">
        <f>IF(Profile!C204="Profile",IF(Profile!A206="ResourceRequirement","OK","XXX"),"XXX")</f>
        <v>XXX</v>
      </c>
    </row>
    <row r="192" spans="1:4" x14ac:dyDescent="0.45">
      <c r="A192">
        <f>ROW()</f>
        <v>192</v>
      </c>
      <c r="B192" t="str">
        <f>Profile!A205</f>
        <v>FirmwareRevision</v>
      </c>
      <c r="C192">
        <f>Profile!AP207</f>
        <v>0</v>
      </c>
      <c r="D192" t="str">
        <f>IF(Profile!C205="Profile",IF(Profile!A207="ResourceRequirement","OK","XXX"),"XXX")</f>
        <v>XXX</v>
      </c>
    </row>
    <row r="193" spans="1:4" x14ac:dyDescent="0.45">
      <c r="A193">
        <f>ROW()</f>
        <v>193</v>
      </c>
      <c r="B193" t="str">
        <f>Profile!A206</f>
        <v>FunctionClasses</v>
      </c>
      <c r="C193">
        <f>Profile!AP208</f>
        <v>0</v>
      </c>
      <c r="D193" t="str">
        <f>IF(Profile!C206="Profile",IF(Profile!A208="ResourceRequirement","OK","XXX"),"XXX")</f>
        <v>XXX</v>
      </c>
    </row>
    <row r="194" spans="1:4" x14ac:dyDescent="0.45">
      <c r="A194">
        <f>ROW()</f>
        <v>194</v>
      </c>
      <c r="B194" t="str">
        <f>Profile!A207</f>
        <v>IsRankSpareEnabled</v>
      </c>
      <c r="C194">
        <f>Profile!AP209</f>
        <v>0</v>
      </c>
      <c r="D194" t="str">
        <f>IF(Profile!C207="Profile",IF(Profile!A209="ResourceRequirement","OK","XXX"),"XXX")</f>
        <v>XXX</v>
      </c>
    </row>
    <row r="195" spans="1:4" x14ac:dyDescent="0.45">
      <c r="A195">
        <f>ROW()</f>
        <v>195</v>
      </c>
      <c r="B195" t="str">
        <f>Profile!A208</f>
        <v>IsSpareDeviceEnabled</v>
      </c>
      <c r="C195">
        <f>Profile!AP210</f>
        <v>0</v>
      </c>
      <c r="D195" t="str">
        <f>IF(Profile!C208="Profile",IF(Profile!A210="ResourceRequirement","OK","XXX"),"XXX")</f>
        <v>XXX</v>
      </c>
    </row>
    <row r="196" spans="1:4" x14ac:dyDescent="0.45">
      <c r="A196">
        <f>ROW()</f>
        <v>196</v>
      </c>
      <c r="B196" t="str">
        <f>Profile!A209</f>
        <v>Links</v>
      </c>
      <c r="C196">
        <f>Profile!AP211</f>
        <v>0</v>
      </c>
      <c r="D196" t="str">
        <f>IF(Profile!C209="Profile",IF(Profile!A211="ResourceRequirement","OK","XXX"),"XXX")</f>
        <v>XXX</v>
      </c>
    </row>
    <row r="197" spans="1:4" x14ac:dyDescent="0.45">
      <c r="A197">
        <f>ROW()</f>
        <v>197</v>
      </c>
      <c r="B197" t="str">
        <f>Profile!A210</f>
        <v xml:space="preserve">   Chassis</v>
      </c>
      <c r="C197">
        <f>Profile!AP212</f>
        <v>0</v>
      </c>
      <c r="D197" t="str">
        <f>IF(Profile!C210="Profile",IF(Profile!A212="ResourceRequirement","OK","XXX"),"XXX")</f>
        <v>XXX</v>
      </c>
    </row>
    <row r="198" spans="1:4" x14ac:dyDescent="0.45">
      <c r="A198">
        <f>ROW()</f>
        <v>198</v>
      </c>
      <c r="B198" t="str">
        <f>Profile!A211</f>
        <v xml:space="preserve">      @odata.id</v>
      </c>
      <c r="C198">
        <f>Profile!AP213</f>
        <v>0</v>
      </c>
      <c r="D198" t="str">
        <f>IF(Profile!C211="Profile",IF(Profile!A213="ResourceRequirement","OK","XXX"),"XXX")</f>
        <v>XXX</v>
      </c>
    </row>
    <row r="199" spans="1:4" x14ac:dyDescent="0.45">
      <c r="A199">
        <f>ROW()</f>
        <v>199</v>
      </c>
      <c r="B199" t="str">
        <f>Profile!A212</f>
        <v xml:space="preserve">   Oem</v>
      </c>
      <c r="C199">
        <f>Profile!AP214</f>
        <v>0</v>
      </c>
      <c r="D199" t="str">
        <f>IF(Profile!C212="Profile",IF(Profile!A214="ResourceRequirement","OK","XXX"),"XXX")</f>
        <v>XXX</v>
      </c>
    </row>
    <row r="200" spans="1:4" x14ac:dyDescent="0.45">
      <c r="A200">
        <f>ROW()</f>
        <v>200</v>
      </c>
      <c r="B200" t="str">
        <f>Profile!A213</f>
        <v>Location</v>
      </c>
      <c r="C200">
        <f>Profile!AP215</f>
        <v>0</v>
      </c>
      <c r="D200" t="str">
        <f>IF(Profile!C213="Profile",IF(Profile!A215="ResourceRequirement","OK","XXX"),"XXX")</f>
        <v>XXX</v>
      </c>
    </row>
    <row r="201" spans="1:4" x14ac:dyDescent="0.45">
      <c r="A201">
        <f>ROW()</f>
        <v>201</v>
      </c>
      <c r="B201" t="str">
        <f>Profile!A214</f>
        <v>LogicalSizeMiB</v>
      </c>
      <c r="C201">
        <f>Profile!AP216</f>
        <v>0</v>
      </c>
      <c r="D201" t="str">
        <f>IF(Profile!C214="Profile",IF(Profile!A216="ResourceRequirement","OK","XXX"),"XXX")</f>
        <v>XXX</v>
      </c>
    </row>
    <row r="202" spans="1:4" x14ac:dyDescent="0.45">
      <c r="A202">
        <f>ROW()</f>
        <v>202</v>
      </c>
      <c r="B202" t="str">
        <f>Profile!A215</f>
        <v>Manufacturer</v>
      </c>
      <c r="C202">
        <f>Profile!AP217</f>
        <v>0</v>
      </c>
      <c r="D202" t="str">
        <f>IF(Profile!C215="Profile",IF(Profile!A217="ResourceRequirement","OK","XXX"),"XXX")</f>
        <v>XXX</v>
      </c>
    </row>
    <row r="203" spans="1:4" x14ac:dyDescent="0.45">
      <c r="A203">
        <f>ROW()</f>
        <v>203</v>
      </c>
      <c r="B203" t="str">
        <f>Profile!A216</f>
        <v>MaxTDPMilliWatts</v>
      </c>
      <c r="C203">
        <f>Profile!AP218</f>
        <v>0</v>
      </c>
      <c r="D203" t="str">
        <f>IF(Profile!C216="Profile",IF(Profile!A218="ResourceRequirement","OK","XXX"),"XXX")</f>
        <v>XXX</v>
      </c>
    </row>
    <row r="204" spans="1:4" x14ac:dyDescent="0.45">
      <c r="A204">
        <f>ROW()</f>
        <v>204</v>
      </c>
      <c r="B204" t="str">
        <f>Profile!A217</f>
        <v>MemoryDeviceType</v>
      </c>
      <c r="C204">
        <f>Profile!AP219</f>
        <v>0</v>
      </c>
      <c r="D204" t="str">
        <f>IF(Profile!C217="Profile",IF(Profile!A219="ResourceRequirement","OK","XXX"),"XXX")</f>
        <v>XXX</v>
      </c>
    </row>
    <row r="205" spans="1:4" x14ac:dyDescent="0.45">
      <c r="A205">
        <f>ROW()</f>
        <v>205</v>
      </c>
      <c r="B205" t="str">
        <f>Profile!A218</f>
        <v>MemoryLocation</v>
      </c>
      <c r="C205">
        <f>Profile!AP220</f>
        <v>0</v>
      </c>
      <c r="D205" t="str">
        <f>IF(Profile!C218="Profile",IF(Profile!A220="ResourceRequirement","OK","XXX"),"XXX")</f>
        <v>XXX</v>
      </c>
    </row>
    <row r="206" spans="1:4" x14ac:dyDescent="0.45">
      <c r="A206">
        <f>ROW()</f>
        <v>206</v>
      </c>
      <c r="B206" t="str">
        <f>Profile!A219</f>
        <v xml:space="preserve">   Channel</v>
      </c>
      <c r="C206">
        <f>Profile!AP221</f>
        <v>0</v>
      </c>
      <c r="D206" t="str">
        <f>IF(Profile!C219="Profile",IF(Profile!A221="ResourceRequirement","OK","XXX"),"XXX")</f>
        <v>XXX</v>
      </c>
    </row>
    <row r="207" spans="1:4" x14ac:dyDescent="0.45">
      <c r="A207">
        <f>ROW()</f>
        <v>207</v>
      </c>
      <c r="B207" t="str">
        <f>Profile!A220</f>
        <v xml:space="preserve">   MemoryController</v>
      </c>
      <c r="C207">
        <f>Profile!AP222</f>
        <v>0</v>
      </c>
      <c r="D207" t="str">
        <f>IF(Profile!C220="Profile",IF(Profile!A222="ResourceRequirement","OK","XXX"),"XXX")</f>
        <v>XXX</v>
      </c>
    </row>
    <row r="208" spans="1:4" x14ac:dyDescent="0.45">
      <c r="A208">
        <f>ROW()</f>
        <v>208</v>
      </c>
      <c r="B208" t="str">
        <f>Profile!A221</f>
        <v xml:space="preserve">   Slot</v>
      </c>
      <c r="C208">
        <f>Profile!AP223</f>
        <v>0</v>
      </c>
      <c r="D208" t="str">
        <f>IF(Profile!C221="Profile",IF(Profile!A223="ResourceRequirement","OK","XXX"),"XXX")</f>
        <v>XXX</v>
      </c>
    </row>
    <row r="209" spans="1:4" x14ac:dyDescent="0.45">
      <c r="A209">
        <f>ROW()</f>
        <v>209</v>
      </c>
      <c r="B209" t="str">
        <f>Profile!A222</f>
        <v xml:space="preserve">   Socket</v>
      </c>
      <c r="C209">
        <f>Profile!AP224</f>
        <v>0</v>
      </c>
      <c r="D209" t="str">
        <f>IF(Profile!C222="Profile",IF(Profile!A224="ResourceRequirement","OK","XXX"),"XXX")</f>
        <v>XXX</v>
      </c>
    </row>
    <row r="210" spans="1:4" x14ac:dyDescent="0.45">
      <c r="A210">
        <f>ROW()</f>
        <v>210</v>
      </c>
      <c r="B210" t="str">
        <f>Profile!A223</f>
        <v>MemoryMedia</v>
      </c>
      <c r="C210">
        <f>Profile!AP225</f>
        <v>0</v>
      </c>
      <c r="D210" t="str">
        <f>IF(Profile!C223="Profile",IF(Profile!A225="ResourceRequirement","OK","XXX"),"XXX")</f>
        <v>XXX</v>
      </c>
    </row>
    <row r="211" spans="1:4" x14ac:dyDescent="0.45">
      <c r="A211">
        <f>ROW()</f>
        <v>211</v>
      </c>
      <c r="B211" t="str">
        <f>Profile!A224</f>
        <v>MemorySubsystemControllerManufacturerID</v>
      </c>
      <c r="C211">
        <f>Profile!AP226</f>
        <v>0</v>
      </c>
      <c r="D211" t="str">
        <f>IF(Profile!C224="Profile",IF(Profile!A226="ResourceRequirement","OK","XXX"),"XXX")</f>
        <v>XXX</v>
      </c>
    </row>
    <row r="212" spans="1:4" x14ac:dyDescent="0.45">
      <c r="A212">
        <f>ROW()</f>
        <v>212</v>
      </c>
      <c r="B212" t="str">
        <f>Profile!A225</f>
        <v>MemorySubsystemControllerProductID</v>
      </c>
      <c r="C212">
        <f>Profile!AP227</f>
        <v>0</v>
      </c>
      <c r="D212" t="str">
        <f>IF(Profile!C225="Profile",IF(Profile!A227="ResourceRequirement","OK","XXX"),"XXX")</f>
        <v>XXX</v>
      </c>
    </row>
    <row r="213" spans="1:4" x14ac:dyDescent="0.45">
      <c r="A213">
        <f>ROW()</f>
        <v>213</v>
      </c>
      <c r="B213" t="str">
        <f>Profile!A226</f>
        <v>MemoryType</v>
      </c>
      <c r="C213">
        <f>Profile!AP228</f>
        <v>0</v>
      </c>
      <c r="D213" t="str">
        <f>IF(Profile!C226="Profile",IF(Profile!A228="ResourceRequirement","OK","XXX"),"XXX")</f>
        <v>XXX</v>
      </c>
    </row>
    <row r="214" spans="1:4" x14ac:dyDescent="0.45">
      <c r="A214">
        <f>ROW()</f>
        <v>214</v>
      </c>
      <c r="B214" t="str">
        <f>Profile!A227</f>
        <v>Metrics</v>
      </c>
      <c r="C214">
        <f>Profile!AP229</f>
        <v>0</v>
      </c>
      <c r="D214" t="str">
        <f>IF(Profile!C227="Profile",IF(Profile!A229="ResourceRequirement","OK","XXX"),"XXX")</f>
        <v>XXX</v>
      </c>
    </row>
    <row r="215" spans="1:4" x14ac:dyDescent="0.45">
      <c r="A215">
        <f>ROW()</f>
        <v>215</v>
      </c>
      <c r="B215" t="str">
        <f>Profile!A228</f>
        <v xml:space="preserve">   @odata.id</v>
      </c>
      <c r="C215">
        <f>Profile!AP230</f>
        <v>0</v>
      </c>
      <c r="D215" t="str">
        <f>IF(Profile!C228="Profile",IF(Profile!A230="ResourceRequirement","OK","XXX"),"XXX")</f>
        <v>XXX</v>
      </c>
    </row>
    <row r="216" spans="1:4" x14ac:dyDescent="0.45">
      <c r="A216">
        <f>ROW()</f>
        <v>216</v>
      </c>
      <c r="B216" t="str">
        <f>Profile!A229</f>
        <v>ModuleManufacturerID</v>
      </c>
      <c r="C216">
        <f>Profile!AP231</f>
        <v>0</v>
      </c>
      <c r="D216" t="str">
        <f>IF(Profile!C229="Profile",IF(Profile!A231="ResourceRequirement","OK","XXX"),"XXX")</f>
        <v>XXX</v>
      </c>
    </row>
    <row r="217" spans="1:4" x14ac:dyDescent="0.45">
      <c r="A217">
        <f>ROW()</f>
        <v>217</v>
      </c>
      <c r="B217" t="str">
        <f>Profile!A230</f>
        <v>ModuleProductID</v>
      </c>
      <c r="C217">
        <f>Profile!AP232</f>
        <v>0</v>
      </c>
      <c r="D217" t="str">
        <f>IF(Profile!C230="Profile",IF(Profile!A232="ResourceRequirement","OK","XXX"),"XXX")</f>
        <v>XXX</v>
      </c>
    </row>
    <row r="218" spans="1:4" x14ac:dyDescent="0.45">
      <c r="A218">
        <f>ROW()</f>
        <v>218</v>
      </c>
      <c r="B218" t="str">
        <f>Profile!A231</f>
        <v>NonVolatileSizeMiB</v>
      </c>
      <c r="C218">
        <f>Profile!AP233</f>
        <v>0</v>
      </c>
      <c r="D218" t="str">
        <f>IF(Profile!C231="Profile",IF(Profile!A233="ResourceRequirement","OK","XXX"),"XXX")</f>
        <v>XXX</v>
      </c>
    </row>
    <row r="219" spans="1:4" x14ac:dyDescent="0.45">
      <c r="A219">
        <f>ROW()</f>
        <v>219</v>
      </c>
      <c r="B219" t="str">
        <f>Profile!A232</f>
        <v>OperatingMemoryModes</v>
      </c>
      <c r="C219">
        <f>Profile!AP234</f>
        <v>0</v>
      </c>
      <c r="D219" t="str">
        <f>IF(Profile!C232="Profile",IF(Profile!A234="ResourceRequirement","OK","XXX"),"XXX")</f>
        <v>XXX</v>
      </c>
    </row>
    <row r="220" spans="1:4" x14ac:dyDescent="0.45">
      <c r="A220">
        <f>ROW()</f>
        <v>220</v>
      </c>
      <c r="B220" t="str">
        <f>Profile!A233</f>
        <v>OperatingSpeedMhz</v>
      </c>
      <c r="C220">
        <f>Profile!AP235</f>
        <v>0</v>
      </c>
      <c r="D220" t="str">
        <f>IF(Profile!C233="Profile",IF(Profile!A235="ResourceRequirement","OK","XXX"),"XXX")</f>
        <v>XXX</v>
      </c>
    </row>
    <row r="221" spans="1:4" x14ac:dyDescent="0.45">
      <c r="A221">
        <f>ROW()</f>
        <v>221</v>
      </c>
      <c r="B221" t="str">
        <f>Profile!A234</f>
        <v>PartNumber</v>
      </c>
      <c r="C221">
        <f>Profile!AP236</f>
        <v>0</v>
      </c>
      <c r="D221" t="str">
        <f>IF(Profile!C234="Profile",IF(Profile!A236="ResourceRequirement","OK","XXX"),"XXX")</f>
        <v>XXX</v>
      </c>
    </row>
    <row r="222" spans="1:4" x14ac:dyDescent="0.45">
      <c r="A222">
        <f>ROW()</f>
        <v>222</v>
      </c>
      <c r="B222" t="str">
        <f>Profile!A235</f>
        <v>PersistentRegionNumberLimit</v>
      </c>
      <c r="C222">
        <f>Profile!AP237</f>
        <v>0</v>
      </c>
      <c r="D222" t="str">
        <f>IF(Profile!C235="Profile",IF(Profile!A237="ResourceRequirement","OK","XXX"),"XXX")</f>
        <v>XXX</v>
      </c>
    </row>
    <row r="223" spans="1:4" x14ac:dyDescent="0.45">
      <c r="A223">
        <f>ROW()</f>
        <v>223</v>
      </c>
      <c r="B223" t="str">
        <f>Profile!A236</f>
        <v>PersistentRegionSizeLimitMiB</v>
      </c>
      <c r="C223">
        <f>Profile!AP238</f>
        <v>0</v>
      </c>
      <c r="D223" t="str">
        <f>IF(Profile!C236="Profile",IF(Profile!A238="ResourceRequirement","OK","XXX"),"XXX")</f>
        <v>XXX</v>
      </c>
    </row>
    <row r="224" spans="1:4" x14ac:dyDescent="0.45">
      <c r="A224">
        <f>ROW()</f>
        <v>224</v>
      </c>
      <c r="B224" t="str">
        <f>Profile!A237</f>
        <v>PersistentRegionSizeMaxMiB</v>
      </c>
      <c r="C224">
        <f>Profile!AP239</f>
        <v>0</v>
      </c>
      <c r="D224" t="str">
        <f>IF(Profile!C237="Profile",IF(Profile!A239="ResourceRequirement","OK","XXX"),"XXX")</f>
        <v>XXX</v>
      </c>
    </row>
    <row r="225" spans="1:4" x14ac:dyDescent="0.45">
      <c r="A225">
        <f>ROW()</f>
        <v>225</v>
      </c>
      <c r="B225" t="str">
        <f>Profile!A238</f>
        <v>PowerManagementPolicy</v>
      </c>
      <c r="C225">
        <f>Profile!AP240</f>
        <v>0</v>
      </c>
      <c r="D225" t="str">
        <f>IF(Profile!C238="Profile",IF(Profile!A240="ResourceRequirement","OK","XXX"),"XXX")</f>
        <v>XXX</v>
      </c>
    </row>
    <row r="226" spans="1:4" x14ac:dyDescent="0.45">
      <c r="A226">
        <f>ROW()</f>
        <v>226</v>
      </c>
      <c r="B226" t="str">
        <f>Profile!A239</f>
        <v xml:space="preserve">   AveragePowerBudgetMilliWatts</v>
      </c>
      <c r="C226">
        <f>Profile!AP241</f>
        <v>0</v>
      </c>
      <c r="D226" t="str">
        <f>IF(Profile!C239="Profile",IF(Profile!A241="ResourceRequirement","OK","XXX"),"XXX")</f>
        <v>XXX</v>
      </c>
    </row>
    <row r="227" spans="1:4" x14ac:dyDescent="0.45">
      <c r="A227">
        <f>ROW()</f>
        <v>227</v>
      </c>
      <c r="B227" t="str">
        <f>Profile!A240</f>
        <v xml:space="preserve">   MaxTDPMilliWatts</v>
      </c>
      <c r="C227">
        <f>Profile!AP242</f>
        <v>0</v>
      </c>
      <c r="D227" t="str">
        <f>IF(Profile!C240="Profile",IF(Profile!A242="ResourceRequirement","OK","XXX"),"XXX")</f>
        <v>XXX</v>
      </c>
    </row>
    <row r="228" spans="1:4" x14ac:dyDescent="0.45">
      <c r="A228">
        <f>ROW()</f>
        <v>228</v>
      </c>
      <c r="B228" t="str">
        <f>Profile!A241</f>
        <v xml:space="preserve">   PeakPowerBudgetMilliWatts</v>
      </c>
      <c r="C228">
        <f>Profile!AP243</f>
        <v>0</v>
      </c>
      <c r="D228" t="str">
        <f>IF(Profile!C241="Profile",IF(Profile!A243="ResourceRequirement","OK","XXX"),"XXX")</f>
        <v>XXX</v>
      </c>
    </row>
    <row r="229" spans="1:4" x14ac:dyDescent="0.45">
      <c r="A229">
        <f>ROW()</f>
        <v>229</v>
      </c>
      <c r="B229" t="str">
        <f>Profile!A242</f>
        <v xml:space="preserve">   PolicyEnabled</v>
      </c>
      <c r="C229">
        <f>Profile!AP244</f>
        <v>0</v>
      </c>
      <c r="D229" t="str">
        <f>IF(Profile!C242="Profile",IF(Profile!A244="ResourceRequirement","OK","XXX"),"XXX")</f>
        <v>XXX</v>
      </c>
    </row>
    <row r="230" spans="1:4" x14ac:dyDescent="0.45">
      <c r="A230">
        <f>ROW()</f>
        <v>230</v>
      </c>
      <c r="B230" t="str">
        <f>Profile!A243</f>
        <v>RankCount</v>
      </c>
      <c r="C230">
        <f>Profile!AP245</f>
        <v>0</v>
      </c>
      <c r="D230" t="str">
        <f>IF(Profile!C243="Profile",IF(Profile!A245="ResourceRequirement","OK","XXX"),"XXX")</f>
        <v>XXX</v>
      </c>
    </row>
    <row r="231" spans="1:4" x14ac:dyDescent="0.45">
      <c r="A231">
        <f>ROW()</f>
        <v>231</v>
      </c>
      <c r="B231" t="str">
        <f>Profile!A244</f>
        <v>Regions</v>
      </c>
      <c r="C231">
        <f>Profile!AP246</f>
        <v>0</v>
      </c>
      <c r="D231" t="str">
        <f>IF(Profile!C244="Profile",IF(Profile!A246="ResourceRequirement","OK","XXX"),"XXX")</f>
        <v>XXX</v>
      </c>
    </row>
    <row r="232" spans="1:4" x14ac:dyDescent="0.45">
      <c r="A232">
        <f>ROW()</f>
        <v>232</v>
      </c>
      <c r="B232" t="str">
        <f>Profile!A245</f>
        <v xml:space="preserve">   MemoryClassification</v>
      </c>
      <c r="C232">
        <f>Profile!AP247</f>
        <v>0</v>
      </c>
      <c r="D232" t="str">
        <f>IF(Profile!C245="Profile",IF(Profile!A247="ResourceRequirement","OK","XXX"),"XXX")</f>
        <v>XXX</v>
      </c>
    </row>
    <row r="233" spans="1:4" x14ac:dyDescent="0.45">
      <c r="A233">
        <f>ROW()</f>
        <v>233</v>
      </c>
      <c r="B233" t="str">
        <f>Profile!A246</f>
        <v xml:space="preserve">   OffsetMiB</v>
      </c>
      <c r="C233">
        <f>Profile!AP248</f>
        <v>0</v>
      </c>
      <c r="D233" t="str">
        <f>IF(Profile!C246="Profile",IF(Profile!A248="ResourceRequirement","OK","XXX"),"XXX")</f>
        <v>XXX</v>
      </c>
    </row>
    <row r="234" spans="1:4" x14ac:dyDescent="0.45">
      <c r="A234">
        <f>ROW()</f>
        <v>234</v>
      </c>
      <c r="B234" t="str">
        <f>Profile!A247</f>
        <v xml:space="preserve">   PassphraseEnabled</v>
      </c>
      <c r="C234">
        <f>Profile!AP249</f>
        <v>0</v>
      </c>
      <c r="D234" t="str">
        <f>IF(Profile!C247="Profile",IF(Profile!A249="ResourceRequirement","OK","XXX"),"XXX")</f>
        <v>XXX</v>
      </c>
    </row>
    <row r="235" spans="1:4" x14ac:dyDescent="0.45">
      <c r="A235">
        <f>ROW()</f>
        <v>235</v>
      </c>
      <c r="B235" t="str">
        <f>Profile!A248</f>
        <v xml:space="preserve">   PassphraseState</v>
      </c>
      <c r="C235">
        <f>Profile!AP250</f>
        <v>0</v>
      </c>
      <c r="D235" t="str">
        <f>IF(Profile!C248="Profile",IF(Profile!A250="ResourceRequirement","OK","XXX"),"XXX")</f>
        <v>XXX</v>
      </c>
    </row>
    <row r="236" spans="1:4" x14ac:dyDescent="0.45">
      <c r="A236">
        <f>ROW()</f>
        <v>236</v>
      </c>
      <c r="B236" t="str">
        <f>Profile!A249</f>
        <v xml:space="preserve">   RegionId</v>
      </c>
      <c r="C236">
        <f>Profile!AP251</f>
        <v>0</v>
      </c>
      <c r="D236" t="str">
        <f>IF(Profile!C249="Profile",IF(Profile!A251="ResourceRequirement","OK","XXX"),"XXX")</f>
        <v>XXX</v>
      </c>
    </row>
    <row r="237" spans="1:4" x14ac:dyDescent="0.45">
      <c r="A237">
        <f>ROW()</f>
        <v>237</v>
      </c>
      <c r="B237" t="str">
        <f>Profile!A250</f>
        <v xml:space="preserve">   SizeMiB</v>
      </c>
      <c r="C237">
        <f>Profile!AP252</f>
        <v>0</v>
      </c>
      <c r="D237" t="str">
        <f>IF(Profile!C250="Profile",IF(Profile!A252="ResourceRequirement","OK","XXX"),"XXX")</f>
        <v>XXX</v>
      </c>
    </row>
    <row r="238" spans="1:4" x14ac:dyDescent="0.45">
      <c r="A238">
        <f>ROW()</f>
        <v>238</v>
      </c>
      <c r="B238" t="str">
        <f>Profile!A251</f>
        <v>SecurityCapabilities</v>
      </c>
      <c r="C238">
        <f>Profile!AP253</f>
        <v>0</v>
      </c>
      <c r="D238" t="str">
        <f>IF(Profile!C251="Profile",IF(Profile!A253="ResourceRequirement","OK","XXX"),"XXX")</f>
        <v>XXX</v>
      </c>
    </row>
    <row r="239" spans="1:4" x14ac:dyDescent="0.45">
      <c r="A239">
        <f>ROW()</f>
        <v>239</v>
      </c>
      <c r="B239" t="str">
        <f>Profile!A252</f>
        <v xml:space="preserve">   ConfigurationLockCapable</v>
      </c>
      <c r="C239">
        <f>Profile!AP254</f>
        <v>0</v>
      </c>
      <c r="D239" t="str">
        <f>IF(Profile!C252="Profile",IF(Profile!A254="ResourceRequirement","OK","XXX"),"XXX")</f>
        <v>XXX</v>
      </c>
    </row>
    <row r="240" spans="1:4" x14ac:dyDescent="0.45">
      <c r="A240">
        <f>ROW()</f>
        <v>240</v>
      </c>
      <c r="B240" t="str">
        <f>Profile!A253</f>
        <v xml:space="preserve">   DataLockCapable</v>
      </c>
      <c r="C240">
        <f>Profile!AP255</f>
        <v>0</v>
      </c>
      <c r="D240" t="str">
        <f>IF(Profile!C253="Profile",IF(Profile!A255="ResourceRequirement","OK","XXX"),"XXX")</f>
        <v>XXX</v>
      </c>
    </row>
    <row r="241" spans="1:4" x14ac:dyDescent="0.45">
      <c r="A241">
        <f>ROW()</f>
        <v>241</v>
      </c>
      <c r="B241" t="str">
        <f>Profile!A254</f>
        <v xml:space="preserve">   MaxPassphraseCount</v>
      </c>
      <c r="C241">
        <f>Profile!AP256</f>
        <v>0</v>
      </c>
      <c r="D241" t="str">
        <f>IF(Profile!C254="Profile",IF(Profile!A256="ResourceRequirement","OK","XXX"),"XXX")</f>
        <v>XXX</v>
      </c>
    </row>
    <row r="242" spans="1:4" x14ac:dyDescent="0.45">
      <c r="A242">
        <f>ROW()</f>
        <v>242</v>
      </c>
      <c r="B242" t="str">
        <f>Profile!A255</f>
        <v xml:space="preserve">   PassphraseCapable</v>
      </c>
      <c r="C242">
        <f>Profile!AP257</f>
        <v>0</v>
      </c>
      <c r="D242" t="str">
        <f>IF(Profile!C255="Profile",IF(Profile!A257="ResourceRequirement","OK","XXX"),"XXX")</f>
        <v>XXX</v>
      </c>
    </row>
    <row r="243" spans="1:4" x14ac:dyDescent="0.45">
      <c r="A243">
        <f>ROW()</f>
        <v>243</v>
      </c>
      <c r="B243" t="str">
        <f>Profile!A256</f>
        <v xml:space="preserve">   PassphraseLockLimit</v>
      </c>
      <c r="C243">
        <f>Profile!AP258</f>
        <v>0</v>
      </c>
      <c r="D243" t="str">
        <f>IF(Profile!C256="Profile",IF(Profile!A258="ResourceRequirement","OK","XXX"),"XXX")</f>
        <v>XXX</v>
      </c>
    </row>
    <row r="244" spans="1:4" x14ac:dyDescent="0.45">
      <c r="A244">
        <f>ROW()</f>
        <v>244</v>
      </c>
      <c r="B244" t="str">
        <f>Profile!A257</f>
        <v xml:space="preserve">   SecurityStates</v>
      </c>
      <c r="C244">
        <f>Profile!AP259</f>
        <v>0</v>
      </c>
      <c r="D244" t="str">
        <f>IF(Profile!C257="Profile",IF(Profile!A259="ResourceRequirement","OK","XXX"),"XXX")</f>
        <v>XXX</v>
      </c>
    </row>
    <row r="245" spans="1:4" x14ac:dyDescent="0.45">
      <c r="A245">
        <f>ROW()</f>
        <v>245</v>
      </c>
      <c r="B245" t="str">
        <f>Profile!A258</f>
        <v>SerialNumber</v>
      </c>
      <c r="C245">
        <f>Profile!AP260</f>
        <v>0</v>
      </c>
      <c r="D245" t="str">
        <f>IF(Profile!C258="Profile",IF(Profile!A260="ResourceRequirement","OK","XXX"),"XXX")</f>
        <v>XXX</v>
      </c>
    </row>
    <row r="246" spans="1:4" x14ac:dyDescent="0.45">
      <c r="A246">
        <f>ROW()</f>
        <v>246</v>
      </c>
      <c r="B246" t="str">
        <f>Profile!A259</f>
        <v>SpareDeviceCount</v>
      </c>
      <c r="C246">
        <f>Profile!AP263</f>
        <v>0</v>
      </c>
      <c r="D246" t="str">
        <f>IF(Profile!C259="Profile",IF(Profile!A263="ResourceRequirement","OK","XXX"),"XXX")</f>
        <v>XXX</v>
      </c>
    </row>
    <row r="247" spans="1:4" x14ac:dyDescent="0.45">
      <c r="A247">
        <f>ROW()</f>
        <v>247</v>
      </c>
      <c r="B247" t="str">
        <f>Profile!A260</f>
        <v>Status</v>
      </c>
      <c r="C247">
        <f>Profile!AP264</f>
        <v>0</v>
      </c>
      <c r="D247" t="str">
        <f>IF(Profile!C260="Profile",IF(Profile!A264="ResourceRequirement","OK","XXX"),"XXX")</f>
        <v>XXX</v>
      </c>
    </row>
    <row r="248" spans="1:4" x14ac:dyDescent="0.45">
      <c r="A248">
        <f>ROW()</f>
        <v>248</v>
      </c>
      <c r="B248" t="str">
        <f>Profile!A263</f>
        <v>SubsystemDeviceID</v>
      </c>
      <c r="C248">
        <f>Profile!AP265</f>
        <v>0</v>
      </c>
      <c r="D248" t="str">
        <f>IF(Profile!C263="Profile",IF(Profile!A265="ResourceRequirement","OK","XXX"),"XXX")</f>
        <v>XXX</v>
      </c>
    </row>
    <row r="249" spans="1:4" x14ac:dyDescent="0.45">
      <c r="A249">
        <f>ROW()</f>
        <v>249</v>
      </c>
      <c r="B249" t="str">
        <f>Profile!A264</f>
        <v>SubsystemVendorID</v>
      </c>
      <c r="C249">
        <f>Profile!AP266</f>
        <v>0</v>
      </c>
      <c r="D249" t="str">
        <f>IF(Profile!C264="Profile",IF(Profile!A266="ResourceRequirement","OK","XXX"),"XXX")</f>
        <v>XXX</v>
      </c>
    </row>
    <row r="250" spans="1:4" x14ac:dyDescent="0.45">
      <c r="A250">
        <f>ROW()</f>
        <v>250</v>
      </c>
      <c r="B250" t="str">
        <f>Profile!A265</f>
        <v>VendorID</v>
      </c>
      <c r="C250">
        <f>Profile!AP267</f>
        <v>0</v>
      </c>
      <c r="D250" t="str">
        <f>IF(Profile!C265="Profile",IF(Profile!A267="ResourceRequirement","OK","XXX"),"XXX")</f>
        <v>XXX</v>
      </c>
    </row>
    <row r="251" spans="1:4" x14ac:dyDescent="0.45">
      <c r="A251">
        <f>ROW()</f>
        <v>251</v>
      </c>
      <c r="B251" t="str">
        <f>Profile!A266</f>
        <v>VolatileRegionNumberLimit</v>
      </c>
      <c r="C251">
        <f>Profile!AP268</f>
        <v>0</v>
      </c>
      <c r="D251" t="str">
        <f>IF(Profile!C266="Profile",IF(Profile!A268="ResourceRequirement","OK","XXX"),"XXX")</f>
        <v>XXX</v>
      </c>
    </row>
    <row r="252" spans="1:4" x14ac:dyDescent="0.45">
      <c r="A252">
        <f>ROW()</f>
        <v>252</v>
      </c>
      <c r="B252" t="str">
        <f>Profile!A267</f>
        <v>VolatileRegionSizeLimitMiB</v>
      </c>
      <c r="C252">
        <f>Profile!AP269</f>
        <v>0</v>
      </c>
      <c r="D252" t="str">
        <f>IF(Profile!C267="Profile",IF(Profile!A269="ResourceRequirement","OK","XXX"),"XXX")</f>
        <v>XXX</v>
      </c>
    </row>
    <row r="253" spans="1:4" x14ac:dyDescent="0.45">
      <c r="A253">
        <f>ROW()</f>
        <v>253</v>
      </c>
      <c r="B253" t="str">
        <f>Profile!A268</f>
        <v>VolatileRegionSizeMaxMiB</v>
      </c>
      <c r="C253">
        <f>Profile!AP270</f>
        <v>0</v>
      </c>
      <c r="D253" t="str">
        <f>IF(Profile!C268="Profile",IF(Profile!A270="ResourceRequirement","OK","XXX"),"XXX")</f>
        <v>XXX</v>
      </c>
    </row>
    <row r="254" spans="1:4" x14ac:dyDescent="0.45">
      <c r="A254">
        <f>ROW()</f>
        <v>254</v>
      </c>
      <c r="B254" t="str">
        <f>Profile!A269</f>
        <v>VolatileSizeMiB</v>
      </c>
      <c r="C254">
        <f>Profile!AP271</f>
        <v>0</v>
      </c>
      <c r="D254" t="str">
        <f>IF(Profile!C269="Profile",IF(Profile!A271="ResourceRequirement","OK","XXX"),"XXX")</f>
        <v>XXX</v>
      </c>
    </row>
    <row r="255" spans="1:4" x14ac:dyDescent="0.45">
      <c r="A255">
        <f>ROW()</f>
        <v>255</v>
      </c>
      <c r="B255" t="str">
        <f>Profile!A270</f>
        <v>Memory URIs</v>
      </c>
      <c r="C255">
        <f>Profile!AP272</f>
        <v>0</v>
      </c>
      <c r="D255" t="str">
        <f>IF(Profile!C270="Profile",IF(Profile!A272="ResourceRequirement","OK","XXX"),"XXX")</f>
        <v>XXX</v>
      </c>
    </row>
    <row r="256" spans="1:4" x14ac:dyDescent="0.45">
      <c r="A256">
        <f>ROW()</f>
        <v>256</v>
      </c>
      <c r="B256" t="str">
        <f>Profile!A271</f>
        <v>/redfish/v1/Systems/{ComputerSystemId}/Memory/{MemoryId}</v>
      </c>
      <c r="C256">
        <f>Profile!AP273</f>
        <v>0</v>
      </c>
      <c r="D256" t="str">
        <f>IF(Profile!C271="Profile",IF(Profile!A273="ResourceRequirement","OK","XXX"),"XXX")</f>
        <v>XXX</v>
      </c>
    </row>
    <row r="257" spans="1:4" x14ac:dyDescent="0.45">
      <c r="A257">
        <f>ROW()</f>
        <v>257</v>
      </c>
      <c r="B257">
        <f>Profile!A272</f>
        <v>0</v>
      </c>
      <c r="C257">
        <f>Profile!AP274</f>
        <v>0</v>
      </c>
      <c r="D257" t="str">
        <f>IF(Profile!C272="Profile",IF(Profile!A274="ResourceRequirement","OK","XXX"),"XXX")</f>
        <v>XXX</v>
      </c>
    </row>
    <row r="258" spans="1:4" x14ac:dyDescent="0.45">
      <c r="A258">
        <f>ROW()</f>
        <v>258</v>
      </c>
      <c r="B258" t="str">
        <f>Profile!A273</f>
        <v>1.1.1.6               MemoryChunks</v>
      </c>
      <c r="C258">
        <f>Profile!AP275</f>
        <v>0</v>
      </c>
      <c r="D258" t="str">
        <f>IF(Profile!C273="Profile",IF(Profile!A275="ResourceRequirement","OK","XXX"),"XXX")</f>
        <v>XXX</v>
      </c>
    </row>
    <row r="259" spans="1:4" x14ac:dyDescent="0.45">
      <c r="A259">
        <f>ROW()</f>
        <v>259</v>
      </c>
      <c r="B259" t="str">
        <f>Profile!A274</f>
        <v>The MemoryChunks resource defines how memory is organized.</v>
      </c>
      <c r="C259">
        <f>Profile!AP276</f>
        <v>0</v>
      </c>
      <c r="D259" t="str">
        <f>IF(Profile!C274="Profile",IF(Profile!A276="ResourceRequirement","OK","XXX"),"XXX")</f>
        <v>XXX</v>
      </c>
    </row>
    <row r="260" spans="1:4" x14ac:dyDescent="0.45">
      <c r="A260">
        <f>ROW()</f>
        <v>260</v>
      </c>
      <c r="B260" t="str">
        <f>Profile!A275</f>
        <v>MemoryChunks is not used in the O-PAS system management profiles.</v>
      </c>
      <c r="C260">
        <f>Profile!AP277</f>
        <v>0</v>
      </c>
      <c r="D260" t="str">
        <f>IF(Profile!C275="Profile",IF(Profile!A277="ResourceRequirement","OK","XXX"),"XXX")</f>
        <v>XXX</v>
      </c>
    </row>
    <row r="261" spans="1:4" x14ac:dyDescent="0.45">
      <c r="A261">
        <f>ROW()</f>
        <v>261</v>
      </c>
      <c r="B261">
        <f>Profile!A276</f>
        <v>0</v>
      </c>
      <c r="C261">
        <f>Profile!AP278</f>
        <v>0</v>
      </c>
      <c r="D261" t="str">
        <f>IF(Profile!C276="Profile",IF(Profile!A278="ResourceRequirement","OK","XXX"),"XXX")</f>
        <v>XXX</v>
      </c>
    </row>
    <row r="262" spans="1:4" x14ac:dyDescent="0.45">
      <c r="A262">
        <f>ROW()</f>
        <v>262</v>
      </c>
      <c r="B262" t="str">
        <f>Profile!A277</f>
        <v>1.1.1.7               MemoryDomain</v>
      </c>
      <c r="C262">
        <f>Profile!AP279</f>
        <v>0</v>
      </c>
      <c r="D262" t="str">
        <f>IF(Profile!C277="Profile",IF(Profile!A279="ResourceRequirement","OK","XXX"),"XXX")</f>
        <v>XXX</v>
      </c>
    </row>
    <row r="263" spans="1:4" x14ac:dyDescent="0.45">
      <c r="A263">
        <f>ROW()</f>
        <v>263</v>
      </c>
      <c r="B263" t="str">
        <f>Profile!A278</f>
        <v>MemoryDomains are used to indicate to the client which Memory (DIMMs) can be grouped together in MemoryChunks to form interleave sets or otherwise grouped together.</v>
      </c>
      <c r="C263">
        <f>Profile!AP280</f>
        <v>0</v>
      </c>
      <c r="D263" t="str">
        <f>IF(Profile!C278="Profile",IF(Profile!A280="ResourceRequirement","OK","XXX"),"XXX")</f>
        <v>XXX</v>
      </c>
    </row>
    <row r="264" spans="1:4" x14ac:dyDescent="0.45">
      <c r="A264">
        <f>ROW()</f>
        <v>264</v>
      </c>
      <c r="B264" t="str">
        <f>Profile!A279</f>
        <v>MemoryDomain is not used in the O-PAS system management profiles.</v>
      </c>
      <c r="C264">
        <f>Profile!AP281</f>
        <v>0</v>
      </c>
      <c r="D264" t="str">
        <f>IF(Profile!C279="Profile",IF(Profile!A281="ResourceRequirement","OK","XXX"),"XXX")</f>
        <v>XXX</v>
      </c>
    </row>
    <row r="265" spans="1:4" x14ac:dyDescent="0.45">
      <c r="A265">
        <f>ROW()</f>
        <v>265</v>
      </c>
      <c r="B265">
        <f>Profile!A280</f>
        <v>0</v>
      </c>
      <c r="C265">
        <f>Profile!AP282</f>
        <v>0</v>
      </c>
      <c r="D265" t="str">
        <f>IF(Profile!C280="Profile",IF(Profile!A282="ResourceRequirement","OK","XXX"),"XXX")</f>
        <v>XXX</v>
      </c>
    </row>
    <row r="266" spans="1:4" x14ac:dyDescent="0.45">
      <c r="A266">
        <f>ROW()</f>
        <v>266</v>
      </c>
      <c r="B266" t="str">
        <f>Profile!A281</f>
        <v>1.1.1.8               MemoryMetrics</v>
      </c>
      <c r="C266">
        <f>Profile!AP283</f>
        <v>0</v>
      </c>
      <c r="D266" t="str">
        <f>IF(Profile!C281="Profile",IF(Profile!A283="ResourceRequirement","OK","XXX"),"XXX")</f>
        <v>XXX</v>
      </c>
    </row>
    <row r="267" spans="1:4" x14ac:dyDescent="0.45">
      <c r="A267">
        <f>ROW()</f>
        <v>267</v>
      </c>
      <c r="B267" t="str">
        <f>Profile!A282</f>
        <v>The MemoryMetrics resource contains usage and health statistics for a single Memory module or device instance.</v>
      </c>
      <c r="C267">
        <f>Profile!AP284</f>
        <v>0</v>
      </c>
      <c r="D267" t="str">
        <f>IF(Profile!C282="Profile",IF(Profile!A284="ResourceRequirement","OK","XXX"),"XXX")</f>
        <v>XXX</v>
      </c>
    </row>
    <row r="268" spans="1:4" x14ac:dyDescent="0.45">
      <c r="A268">
        <f>ROW()</f>
        <v>268</v>
      </c>
      <c r="B268" t="str">
        <f>Profile!A283</f>
        <v>Table 12: O-PAS Profile Map for the Redfish MemoryMetrics Resource</v>
      </c>
      <c r="C268">
        <f>Profile!AP285</f>
        <v>0</v>
      </c>
      <c r="D268" t="str">
        <f>IF(Profile!C283="Profile",IF(Profile!A285="ResourceRequirement","OK","XXX"),"XXX")</f>
        <v>XXX</v>
      </c>
    </row>
    <row r="269" spans="1:4" x14ac:dyDescent="0.45">
      <c r="A269">
        <f>ROW()</f>
        <v>269</v>
      </c>
      <c r="B269" t="str">
        <f>Profile!A284</f>
        <v>MemoryMetrics (1.1.4)</v>
      </c>
      <c r="C269">
        <f>Profile!AP286</f>
        <v>0</v>
      </c>
      <c r="D269" t="str">
        <f>IF(Profile!C284="Profile",IF(Profile!A286="ResourceRequirement","OK","XXX"),"XXX")</f>
        <v>XXX</v>
      </c>
    </row>
    <row r="270" spans="1:4" x14ac:dyDescent="0.45">
      <c r="A270">
        <f>ROW()</f>
        <v>270</v>
      </c>
      <c r="B270">
        <f>Profile!A285</f>
        <v>0</v>
      </c>
      <c r="C270">
        <f>Profile!AP287</f>
        <v>0</v>
      </c>
      <c r="D270" t="str">
        <f>IF(Profile!C285="Profile",IF(Profile!A287="ResourceRequirement","OK","XXX"),"XXX")</f>
        <v>XXX</v>
      </c>
    </row>
    <row r="271" spans="1:4" x14ac:dyDescent="0.45">
      <c r="A271">
        <f>ROW()</f>
        <v>271</v>
      </c>
      <c r="B271" t="str">
        <f>Profile!A286</f>
        <v>MemoryMetrics (1.1.5)</v>
      </c>
      <c r="C271">
        <f>Profile!AP288</f>
        <v>30</v>
      </c>
      <c r="D271" t="str">
        <f>IF(Profile!C286="Profile",IF(Profile!A288="ResourceRequirement","OK","XXX"),"XXX")</f>
        <v>OK</v>
      </c>
    </row>
    <row r="272" spans="1:4" x14ac:dyDescent="0.45">
      <c r="A272">
        <f>ROW()</f>
        <v>272</v>
      </c>
      <c r="B272">
        <f>Profile!A287</f>
        <v>0</v>
      </c>
      <c r="C272">
        <f>Profile!AP289</f>
        <v>0</v>
      </c>
      <c r="D272" t="str">
        <f>IF(Profile!C287="Profile",IF(Profile!A289="ResourceRequirement","OK","XXX"),"XXX")</f>
        <v>XXX</v>
      </c>
    </row>
    <row r="273" spans="1:4" x14ac:dyDescent="0.45">
      <c r="A273">
        <f>ROW()</f>
        <v>273</v>
      </c>
      <c r="B273" t="str">
        <f>Profile!A288</f>
        <v>ResourceRequirement</v>
      </c>
      <c r="C273">
        <f>Profile!AP290</f>
        <v>0</v>
      </c>
      <c r="D273" t="str">
        <f>IF(Profile!C288="Profile",IF(Profile!A290="ResourceRequirement","OK","XXX"),"XXX")</f>
        <v>XXX</v>
      </c>
    </row>
    <row r="274" spans="1:4" x14ac:dyDescent="0.45">
      <c r="A274">
        <f>ROW()</f>
        <v>274</v>
      </c>
      <c r="B274" t="str">
        <f>Profile!A289</f>
        <v>Resource MinVersion</v>
      </c>
      <c r="C274">
        <f>Profile!AP291</f>
        <v>0</v>
      </c>
      <c r="D274" t="str">
        <f>IF(Profile!C289="Profile",IF(Profile!A291="ResourceRequirement","OK","XXX"),"XXX")</f>
        <v>XXX</v>
      </c>
    </row>
    <row r="275" spans="1:4" x14ac:dyDescent="0.45">
      <c r="A275">
        <f>ROW()</f>
        <v>275</v>
      </c>
      <c r="B275" t="str">
        <f>Profile!A290</f>
        <v>Property</v>
      </c>
      <c r="C275">
        <f>Profile!AP292</f>
        <v>0</v>
      </c>
      <c r="D275" t="str">
        <f>IF(Profile!C290="Profile",IF(Profile!A292="ResourceRequirement","OK","XXX"),"XXX")</f>
        <v>XXX</v>
      </c>
    </row>
    <row r="276" spans="1:4" x14ac:dyDescent="0.45">
      <c r="A276">
        <f>ROW()</f>
        <v>276</v>
      </c>
      <c r="B276" t="str">
        <f>Profile!A291</f>
        <v>Actions</v>
      </c>
      <c r="C276">
        <f>Profile!AP293</f>
        <v>0</v>
      </c>
      <c r="D276" t="str">
        <f>IF(Profile!C291="Profile",IF(Profile!A293="ResourceRequirement","OK","XXX"),"XXX")</f>
        <v>XXX</v>
      </c>
    </row>
    <row r="277" spans="1:4" x14ac:dyDescent="0.45">
      <c r="A277">
        <f>ROW()</f>
        <v>277</v>
      </c>
      <c r="B277" t="str">
        <f>Profile!A292</f>
        <v xml:space="preserve">   #MemoryMetrics.ClearCurrentPeriod</v>
      </c>
      <c r="C277">
        <f>Profile!AP294</f>
        <v>0</v>
      </c>
      <c r="D277" t="str">
        <f>IF(Profile!C292="Profile",IF(Profile!A294="ResourceRequirement","OK","XXX"),"XXX")</f>
        <v>XXX</v>
      </c>
    </row>
    <row r="278" spans="1:4" x14ac:dyDescent="0.45">
      <c r="A278">
        <f>ROW()</f>
        <v>278</v>
      </c>
      <c r="B278" t="str">
        <f>Profile!A293</f>
        <v>BlockSizeBytes</v>
      </c>
      <c r="C278">
        <f>Profile!AP295</f>
        <v>0</v>
      </c>
      <c r="D278" t="str">
        <f>IF(Profile!C293="Profile",IF(Profile!A295="ResourceRequirement","OK","XXX"),"XXX")</f>
        <v>XXX</v>
      </c>
    </row>
    <row r="279" spans="1:4" x14ac:dyDescent="0.45">
      <c r="A279">
        <f>ROW()</f>
        <v>279</v>
      </c>
      <c r="B279" t="str">
        <f>Profile!A294</f>
        <v>CurrentPeriod</v>
      </c>
      <c r="C279">
        <f>Profile!AP296</f>
        <v>0</v>
      </c>
      <c r="D279" t="str">
        <f>IF(Profile!C294="Profile",IF(Profile!A296="ResourceRequirement","OK","XXX"),"XXX")</f>
        <v>XXX</v>
      </c>
    </row>
    <row r="280" spans="1:4" x14ac:dyDescent="0.45">
      <c r="A280">
        <f>ROW()</f>
        <v>280</v>
      </c>
      <c r="B280" t="str">
        <f>Profile!A295</f>
        <v xml:space="preserve">   BlocksRead</v>
      </c>
      <c r="C280">
        <f>Profile!AP297</f>
        <v>0</v>
      </c>
      <c r="D280" t="str">
        <f>IF(Profile!C295="Profile",IF(Profile!A297="ResourceRequirement","OK","XXX"),"XXX")</f>
        <v>XXX</v>
      </c>
    </row>
    <row r="281" spans="1:4" x14ac:dyDescent="0.45">
      <c r="A281">
        <f>ROW()</f>
        <v>281</v>
      </c>
      <c r="B281" t="str">
        <f>Profile!A296</f>
        <v xml:space="preserve">   BlocksWritten</v>
      </c>
      <c r="C281">
        <f>Profile!AP298</f>
        <v>0</v>
      </c>
      <c r="D281" t="str">
        <f>IF(Profile!C296="Profile",IF(Profile!A298="ResourceRequirement","OK","XXX"),"XXX")</f>
        <v>XXX</v>
      </c>
    </row>
    <row r="282" spans="1:4" x14ac:dyDescent="0.45">
      <c r="A282">
        <f>ROW()</f>
        <v>282</v>
      </c>
      <c r="B282" t="str">
        <f>Profile!A297</f>
        <v>HealthData</v>
      </c>
      <c r="C282">
        <f>Profile!AP299</f>
        <v>0</v>
      </c>
      <c r="D282" t="str">
        <f>IF(Profile!C297="Profile",IF(Profile!A299="ResourceRequirement","OK","XXX"),"XXX")</f>
        <v>XXX</v>
      </c>
    </row>
    <row r="283" spans="1:4" x14ac:dyDescent="0.45">
      <c r="A283">
        <f>ROW()</f>
        <v>283</v>
      </c>
      <c r="B283" t="str">
        <f>Profile!A298</f>
        <v xml:space="preserve">   AlarmTrips</v>
      </c>
      <c r="C283">
        <f>Profile!AP300</f>
        <v>0</v>
      </c>
      <c r="D283" t="str">
        <f>IF(Profile!C298="Profile",IF(Profile!A300="ResourceRequirement","OK","XXX"),"XXX")</f>
        <v>XXX</v>
      </c>
    </row>
    <row r="284" spans="1:4" x14ac:dyDescent="0.45">
      <c r="A284">
        <f>ROW()</f>
        <v>284</v>
      </c>
      <c r="B284" t="str">
        <f>Profile!A299</f>
        <v xml:space="preserve">      AddressParityError</v>
      </c>
      <c r="C284">
        <f>Profile!AP301</f>
        <v>0</v>
      </c>
      <c r="D284" t="str">
        <f>IF(Profile!C299="Profile",IF(Profile!A301="ResourceRequirement","OK","XXX"),"XXX")</f>
        <v>XXX</v>
      </c>
    </row>
    <row r="285" spans="1:4" x14ac:dyDescent="0.45">
      <c r="A285">
        <f>ROW()</f>
        <v>285</v>
      </c>
      <c r="B285" t="str">
        <f>Profile!A300</f>
        <v xml:space="preserve">      CorrectableECCError</v>
      </c>
      <c r="C285">
        <f>Profile!AP302</f>
        <v>0</v>
      </c>
      <c r="D285" t="str">
        <f>IF(Profile!C300="Profile",IF(Profile!A302="ResourceRequirement","OK","XXX"),"XXX")</f>
        <v>XXX</v>
      </c>
    </row>
    <row r="286" spans="1:4" x14ac:dyDescent="0.45">
      <c r="A286">
        <f>ROW()</f>
        <v>286</v>
      </c>
      <c r="B286" t="str">
        <f>Profile!A301</f>
        <v xml:space="preserve">      SpareBlock</v>
      </c>
      <c r="C286">
        <f>Profile!AP303</f>
        <v>0</v>
      </c>
      <c r="D286" t="str">
        <f>IF(Profile!C301="Profile",IF(Profile!A303="ResourceRequirement","OK","XXX"),"XXX")</f>
        <v>XXX</v>
      </c>
    </row>
    <row r="287" spans="1:4" x14ac:dyDescent="0.45">
      <c r="A287">
        <f>ROW()</f>
        <v>287</v>
      </c>
      <c r="B287" t="str">
        <f>Profile!A302</f>
        <v xml:space="preserve">      Temperature</v>
      </c>
      <c r="C287">
        <f>Profile!AP304</f>
        <v>0</v>
      </c>
      <c r="D287" t="str">
        <f>IF(Profile!C302="Profile",IF(Profile!A304="ResourceRequirement","OK","XXX"),"XXX")</f>
        <v>XXX</v>
      </c>
    </row>
    <row r="288" spans="1:4" x14ac:dyDescent="0.45">
      <c r="A288">
        <f>ROW()</f>
        <v>288</v>
      </c>
      <c r="B288" t="str">
        <f>Profile!A303</f>
        <v xml:space="preserve">      UncorrectableECCError</v>
      </c>
      <c r="C288">
        <f>Profile!AP305</f>
        <v>0</v>
      </c>
      <c r="D288" t="str">
        <f>IF(Profile!C303="Profile",IF(Profile!A305="ResourceRequirement","OK","XXX"),"XXX")</f>
        <v>XXX</v>
      </c>
    </row>
    <row r="289" spans="1:4" x14ac:dyDescent="0.45">
      <c r="A289">
        <f>ROW()</f>
        <v>289</v>
      </c>
      <c r="B289" t="str">
        <f>Profile!A304</f>
        <v xml:space="preserve">   DataLossDetected</v>
      </c>
      <c r="C289">
        <f>Profile!AP306</f>
        <v>0</v>
      </c>
      <c r="D289" t="str">
        <f>IF(Profile!C304="Profile",IF(Profile!A306="ResourceRequirement","OK","XXX"),"XXX")</f>
        <v>XXX</v>
      </c>
    </row>
    <row r="290" spans="1:4" x14ac:dyDescent="0.45">
      <c r="A290">
        <f>ROW()</f>
        <v>290</v>
      </c>
      <c r="B290" t="str">
        <f>Profile!A305</f>
        <v xml:space="preserve">   LastShutdownSuccess</v>
      </c>
      <c r="C290">
        <f>Profile!AP307</f>
        <v>0</v>
      </c>
      <c r="D290" t="str">
        <f>IF(Profile!C305="Profile",IF(Profile!A307="ResourceRequirement","OK","XXX"),"XXX")</f>
        <v>XXX</v>
      </c>
    </row>
    <row r="291" spans="1:4" x14ac:dyDescent="0.45">
      <c r="A291">
        <f>ROW()</f>
        <v>291</v>
      </c>
      <c r="B291" t="str">
        <f>Profile!A306</f>
        <v xml:space="preserve">   PerformanceDegraded</v>
      </c>
      <c r="C291">
        <f>Profile!AP308</f>
        <v>0</v>
      </c>
      <c r="D291" t="str">
        <f>IF(Profile!C306="Profile",IF(Profile!A308="ResourceRequirement","OK","XXX"),"XXX")</f>
        <v>XXX</v>
      </c>
    </row>
    <row r="292" spans="1:4" x14ac:dyDescent="0.45">
      <c r="A292">
        <f>ROW()</f>
        <v>292</v>
      </c>
      <c r="B292" t="str">
        <f>Profile!A307</f>
        <v xml:space="preserve">   PredictedMediaLifeLeftPercent</v>
      </c>
      <c r="C292">
        <f>Profile!AP309</f>
        <v>0</v>
      </c>
      <c r="D292" t="str">
        <f>IF(Profile!C307="Profile",IF(Profile!A309="ResourceRequirement","OK","XXX"),"XXX")</f>
        <v>XXX</v>
      </c>
    </row>
    <row r="293" spans="1:4" x14ac:dyDescent="0.45">
      <c r="A293">
        <f>ROW()</f>
        <v>293</v>
      </c>
      <c r="B293" t="str">
        <f>Profile!A308</f>
        <v xml:space="preserve">   RemainingSpareBlockPercentage</v>
      </c>
      <c r="C293">
        <f>Profile!AP310</f>
        <v>0</v>
      </c>
      <c r="D293" t="str">
        <f>IF(Profile!C308="Profile",IF(Profile!A310="ResourceRequirement","OK","XXX"),"XXX")</f>
        <v>XXX</v>
      </c>
    </row>
    <row r="294" spans="1:4" x14ac:dyDescent="0.45">
      <c r="A294">
        <f>ROW()</f>
        <v>294</v>
      </c>
      <c r="B294" t="str">
        <f>Profile!A309</f>
        <v>LifeTime</v>
      </c>
      <c r="C294">
        <f>Profile!AP311</f>
        <v>0</v>
      </c>
      <c r="D294" t="str">
        <f>IF(Profile!C309="Profile",IF(Profile!A311="ResourceRequirement","OK","XXX"),"XXX")</f>
        <v>XXX</v>
      </c>
    </row>
    <row r="295" spans="1:4" x14ac:dyDescent="0.45">
      <c r="A295">
        <f>ROW()</f>
        <v>295</v>
      </c>
      <c r="B295" t="str">
        <f>Profile!A310</f>
        <v xml:space="preserve">   BlocksRead</v>
      </c>
      <c r="C295">
        <f>Profile!AP312</f>
        <v>0</v>
      </c>
      <c r="D295" t="str">
        <f>IF(Profile!C310="Profile",IF(Profile!A312="ResourceRequirement","OK","XXX"),"XXX")</f>
        <v>XXX</v>
      </c>
    </row>
    <row r="296" spans="1:4" x14ac:dyDescent="0.45">
      <c r="A296">
        <f>ROW()</f>
        <v>296</v>
      </c>
      <c r="B296" t="str">
        <f>Profile!A311</f>
        <v xml:space="preserve">   BlocksWritten</v>
      </c>
      <c r="C296">
        <f>Profile!AP313</f>
        <v>0</v>
      </c>
      <c r="D296" t="str">
        <f>IF(Profile!C311="Profile",IF(Profile!A313="ResourceRequirement","OK","XXX"),"XXX")</f>
        <v>XXX</v>
      </c>
    </row>
    <row r="297" spans="1:4" x14ac:dyDescent="0.45">
      <c r="A297">
        <f>ROW()</f>
        <v>297</v>
      </c>
      <c r="B297" t="str">
        <f>Profile!A312</f>
        <v>MemoryMetrics URIs</v>
      </c>
      <c r="C297">
        <f>Profile!AP314</f>
        <v>0</v>
      </c>
      <c r="D297" t="str">
        <f>IF(Profile!C312="Profile",IF(Profile!A314="ResourceRequirement","OK","XXX"),"XXX")</f>
        <v>XXX</v>
      </c>
    </row>
    <row r="298" spans="1:4" x14ac:dyDescent="0.45">
      <c r="A298">
        <f>ROW()</f>
        <v>298</v>
      </c>
      <c r="B298" t="str">
        <f>Profile!A313</f>
        <v>/redfish/v1/Systems/{ComputerSystemId}/Memory/{MemoryId}/MemoryMetrics</v>
      </c>
      <c r="C298">
        <f>Profile!AP315</f>
        <v>0</v>
      </c>
      <c r="D298" t="str">
        <f>IF(Profile!C313="Profile",IF(Profile!A315="ResourceRequirement","OK","XXX"),"XXX")</f>
        <v>XXX</v>
      </c>
    </row>
    <row r="299" spans="1:4" x14ac:dyDescent="0.45">
      <c r="A299">
        <f>ROW()</f>
        <v>299</v>
      </c>
      <c r="B299">
        <f>Profile!A314</f>
        <v>0</v>
      </c>
      <c r="C299">
        <f>Profile!AP316</f>
        <v>0</v>
      </c>
      <c r="D299" t="str">
        <f>IF(Profile!C314="Profile",IF(Profile!A316="ResourceRequirement","OK","XXX"),"XXX")</f>
        <v>XXX</v>
      </c>
    </row>
    <row r="300" spans="1:4" x14ac:dyDescent="0.45">
      <c r="A300">
        <f>ROW()</f>
        <v>300</v>
      </c>
      <c r="B300" t="str">
        <f>Profile!A315</f>
        <v>1.1.1.9               PCIeFunction</v>
      </c>
      <c r="C300">
        <f>Profile!AP317</f>
        <v>0</v>
      </c>
      <c r="D300" t="str">
        <f>IF(Profile!C315="Profile",IF(Profile!A317="ResourceRequirement","OK","XXX"),"XXX")</f>
        <v>XXX</v>
      </c>
    </row>
    <row r="301" spans="1:4" x14ac:dyDescent="0.45">
      <c r="A301">
        <f>ROW()</f>
        <v>301</v>
      </c>
      <c r="B301" t="str">
        <f>Profile!A316</f>
        <v>The PCIeFunction represents the properties of a PCIeFunction attached to a system.</v>
      </c>
      <c r="C301">
        <f>Profile!AP318</f>
        <v>0</v>
      </c>
      <c r="D301" t="str">
        <f>IF(Profile!C316="Profile",IF(Profile!A318="ResourceRequirement","OK","XXX"),"XXX")</f>
        <v>XXX</v>
      </c>
    </row>
    <row r="302" spans="1:4" x14ac:dyDescent="0.45">
      <c r="A302">
        <f>ROW()</f>
        <v>302</v>
      </c>
      <c r="B302" t="str">
        <f>Profile!A317</f>
        <v>Table 13: O-PAS Profile Map for the Redfish PCIeFunction Resource</v>
      </c>
      <c r="C302">
        <f>Profile!AP319</f>
        <v>0</v>
      </c>
      <c r="D302" t="str">
        <f>IF(Profile!C317="Profile",IF(Profile!A319="ResourceRequirement","OK","XXX"),"XXX")</f>
        <v>XXX</v>
      </c>
    </row>
    <row r="303" spans="1:4" x14ac:dyDescent="0.45">
      <c r="A303">
        <f>ROW()</f>
        <v>303</v>
      </c>
      <c r="B303" t="str">
        <f>Profile!A318</f>
        <v>PCIeFunction (1.2.1)</v>
      </c>
      <c r="C303">
        <f>Profile!AP320</f>
        <v>0</v>
      </c>
      <c r="D303" t="str">
        <f>IF(Profile!C318="Profile",IF(Profile!A320="ResourceRequirement","OK","XXX"),"XXX")</f>
        <v>XXX</v>
      </c>
    </row>
    <row r="304" spans="1:4" x14ac:dyDescent="0.45">
      <c r="A304">
        <f>ROW()</f>
        <v>304</v>
      </c>
      <c r="B304">
        <f>Profile!A319</f>
        <v>0</v>
      </c>
      <c r="C304">
        <f>Profile!AP321</f>
        <v>0</v>
      </c>
      <c r="D304" t="str">
        <f>IF(Profile!C319="Profile",IF(Profile!A321="ResourceRequirement","OK","XXX"),"XXX")</f>
        <v>XXX</v>
      </c>
    </row>
    <row r="305" spans="1:4" x14ac:dyDescent="0.45">
      <c r="A305">
        <f>ROW()</f>
        <v>305</v>
      </c>
      <c r="B305" t="str">
        <f>Profile!A320</f>
        <v>PCIeFunction (1.2.2)</v>
      </c>
      <c r="C305">
        <f>Profile!AP322</f>
        <v>44</v>
      </c>
      <c r="D305" t="str">
        <f>IF(Profile!C320="Profile",IF(Profile!A322="ResourceRequirement","OK","XXX"),"XXX")</f>
        <v>OK</v>
      </c>
    </row>
    <row r="306" spans="1:4" x14ac:dyDescent="0.45">
      <c r="A306">
        <f>ROW()</f>
        <v>306</v>
      </c>
      <c r="B306">
        <f>Profile!A321</f>
        <v>0</v>
      </c>
      <c r="C306">
        <f>Profile!AP323</f>
        <v>0</v>
      </c>
      <c r="D306" t="str">
        <f>IF(Profile!C321="Profile",IF(Profile!A323="ResourceRequirement","OK","XXX"),"XXX")</f>
        <v>XXX</v>
      </c>
    </row>
    <row r="307" spans="1:4" x14ac:dyDescent="0.45">
      <c r="A307">
        <f>ROW()</f>
        <v>307</v>
      </c>
      <c r="B307" t="str">
        <f>Profile!A322</f>
        <v>ResourceRequirement</v>
      </c>
      <c r="C307">
        <f>Profile!AP324</f>
        <v>0</v>
      </c>
      <c r="D307" t="str">
        <f>IF(Profile!C322="Profile",IF(Profile!A324="ResourceRequirement","OK","XXX"),"XXX")</f>
        <v>XXX</v>
      </c>
    </row>
    <row r="308" spans="1:4" x14ac:dyDescent="0.45">
      <c r="A308">
        <f>ROW()</f>
        <v>308</v>
      </c>
      <c r="B308" t="str">
        <f>Profile!A323</f>
        <v>Resource MinVersion</v>
      </c>
      <c r="C308">
        <f>Profile!AP325</f>
        <v>0</v>
      </c>
      <c r="D308" t="str">
        <f>IF(Profile!C323="Profile",IF(Profile!A325="ResourceRequirement","OK","XXX"),"XXX")</f>
        <v>XXX</v>
      </c>
    </row>
    <row r="309" spans="1:4" x14ac:dyDescent="0.45">
      <c r="A309">
        <f>ROW()</f>
        <v>309</v>
      </c>
      <c r="B309" t="str">
        <f>Profile!A324</f>
        <v>Property</v>
      </c>
      <c r="C309">
        <f>Profile!AP326</f>
        <v>0</v>
      </c>
      <c r="D309" t="str">
        <f>IF(Profile!C324="Profile",IF(Profile!A326="ResourceRequirement","OK","XXX"),"XXX")</f>
        <v>XXX</v>
      </c>
    </row>
    <row r="310" spans="1:4" x14ac:dyDescent="0.45">
      <c r="A310">
        <f>ROW()</f>
        <v>310</v>
      </c>
      <c r="B310" t="str">
        <f>Profile!A325</f>
        <v>Actions</v>
      </c>
      <c r="C310">
        <f>Profile!AP327</f>
        <v>0</v>
      </c>
      <c r="D310" t="str">
        <f>IF(Profile!C325="Profile",IF(Profile!A327="ResourceRequirement","OK","XXX"),"XXX")</f>
        <v>XXX</v>
      </c>
    </row>
    <row r="311" spans="1:4" x14ac:dyDescent="0.45">
      <c r="A311">
        <f>ROW()</f>
        <v>311</v>
      </c>
      <c r="B311" t="str">
        <f>Profile!A326</f>
        <v>ClassCode</v>
      </c>
      <c r="C311">
        <f>Profile!AP328</f>
        <v>0</v>
      </c>
      <c r="D311" t="str">
        <f>IF(Profile!C326="Profile",IF(Profile!A328="ResourceRequirement","OK","XXX"),"XXX")</f>
        <v>XXX</v>
      </c>
    </row>
    <row r="312" spans="1:4" x14ac:dyDescent="0.45">
      <c r="A312">
        <f>ROW()</f>
        <v>312</v>
      </c>
      <c r="B312" t="str">
        <f>Profile!A327</f>
        <v>DeviceClass</v>
      </c>
      <c r="C312">
        <f>Profile!AP329</f>
        <v>0</v>
      </c>
      <c r="D312" t="str">
        <f>IF(Profile!C327="Profile",IF(Profile!A329="ResourceRequirement","OK","XXX"),"XXX")</f>
        <v>XXX</v>
      </c>
    </row>
    <row r="313" spans="1:4" x14ac:dyDescent="0.45">
      <c r="A313">
        <f>ROW()</f>
        <v>313</v>
      </c>
      <c r="B313" t="str">
        <f>Profile!A328</f>
        <v>DeviceId</v>
      </c>
      <c r="C313">
        <f>Profile!AP330</f>
        <v>0</v>
      </c>
      <c r="D313" t="str">
        <f>IF(Profile!C328="Profile",IF(Profile!A330="ResourceRequirement","OK","XXX"),"XXX")</f>
        <v>XXX</v>
      </c>
    </row>
    <row r="314" spans="1:4" x14ac:dyDescent="0.45">
      <c r="A314">
        <f>ROW()</f>
        <v>314</v>
      </c>
      <c r="B314" t="str">
        <f>Profile!A329</f>
        <v>FunctionId</v>
      </c>
      <c r="C314">
        <f>Profile!AP331</f>
        <v>0</v>
      </c>
      <c r="D314" t="str">
        <f>IF(Profile!C329="Profile",IF(Profile!A331="ResourceRequirement","OK","XXX"),"XXX")</f>
        <v>XXX</v>
      </c>
    </row>
    <row r="315" spans="1:4" x14ac:dyDescent="0.45">
      <c r="A315">
        <f>ROW()</f>
        <v>315</v>
      </c>
      <c r="B315" t="str">
        <f>Profile!A330</f>
        <v>FunctionType</v>
      </c>
      <c r="C315">
        <f>Profile!AP332</f>
        <v>0</v>
      </c>
      <c r="D315" t="str">
        <f>IF(Profile!C330="Profile",IF(Profile!A332="ResourceRequirement","OK","XXX"),"XXX")</f>
        <v>XXX</v>
      </c>
    </row>
    <row r="316" spans="1:4" x14ac:dyDescent="0.45">
      <c r="A316">
        <f>ROW()</f>
        <v>316</v>
      </c>
      <c r="B316" t="str">
        <f>Profile!A331</f>
        <v>Links</v>
      </c>
      <c r="C316">
        <f>Profile!AP333</f>
        <v>0</v>
      </c>
      <c r="D316" t="str">
        <f>IF(Profile!C331="Profile",IF(Profile!A333="ResourceRequirement","OK","XXX"),"XXX")</f>
        <v>XXX</v>
      </c>
    </row>
    <row r="317" spans="1:4" x14ac:dyDescent="0.45">
      <c r="A317">
        <f>ROW()</f>
        <v>317</v>
      </c>
      <c r="B317" t="str">
        <f>Profile!A332</f>
        <v xml:space="preserve">   Drives</v>
      </c>
      <c r="C317">
        <f>Profile!AP334</f>
        <v>0</v>
      </c>
      <c r="D317" t="str">
        <f>IF(Profile!C332="Profile",IF(Profile!A334="ResourceRequirement","OK","XXX"),"XXX")</f>
        <v>XXX</v>
      </c>
    </row>
    <row r="318" spans="1:4" x14ac:dyDescent="0.45">
      <c r="A318">
        <f>ROW()</f>
        <v>318</v>
      </c>
      <c r="B318" t="str">
        <f>Profile!A333</f>
        <v xml:space="preserve">      @odata.id</v>
      </c>
      <c r="C318">
        <f>Profile!AP335</f>
        <v>0</v>
      </c>
      <c r="D318" t="str">
        <f>IF(Profile!C333="Profile",IF(Profile!A335="ResourceRequirement","OK","XXX"),"XXX")</f>
        <v>XXX</v>
      </c>
    </row>
    <row r="319" spans="1:4" x14ac:dyDescent="0.45">
      <c r="A319">
        <f>ROW()</f>
        <v>319</v>
      </c>
      <c r="B319" t="str">
        <f>Profile!A334</f>
        <v xml:space="preserve">   EthernetInterfaces</v>
      </c>
      <c r="C319">
        <f>Profile!AP336</f>
        <v>0</v>
      </c>
      <c r="D319" t="str">
        <f>IF(Profile!C334="Profile",IF(Profile!A336="ResourceRequirement","OK","XXX"),"XXX")</f>
        <v>XXX</v>
      </c>
    </row>
    <row r="320" spans="1:4" x14ac:dyDescent="0.45">
      <c r="A320">
        <f>ROW()</f>
        <v>320</v>
      </c>
      <c r="B320" t="str">
        <f>Profile!A335</f>
        <v xml:space="preserve">      @odata.id</v>
      </c>
      <c r="C320">
        <f>Profile!AP337</f>
        <v>0</v>
      </c>
      <c r="D320" t="str">
        <f>IF(Profile!C335="Profile",IF(Profile!A337="ResourceRequirement","OK","XXX"),"XXX")</f>
        <v>XXX</v>
      </c>
    </row>
    <row r="321" spans="1:4" x14ac:dyDescent="0.45">
      <c r="A321">
        <f>ROW()</f>
        <v>321</v>
      </c>
      <c r="B321" t="str">
        <f>Profile!A336</f>
        <v xml:space="preserve">   NetworkDeviceFunctions</v>
      </c>
      <c r="C321">
        <f>Profile!AP338</f>
        <v>0</v>
      </c>
      <c r="D321" t="str">
        <f>IF(Profile!C336="Profile",IF(Profile!A338="ResourceRequirement","OK","XXX"),"XXX")</f>
        <v>XXX</v>
      </c>
    </row>
    <row r="322" spans="1:4" x14ac:dyDescent="0.45">
      <c r="A322">
        <f>ROW()</f>
        <v>322</v>
      </c>
      <c r="B322" t="str">
        <f>Profile!A337</f>
        <v xml:space="preserve">      @odata.id</v>
      </c>
      <c r="C322">
        <f>Profile!AP339</f>
        <v>0</v>
      </c>
      <c r="D322" t="str">
        <f>IF(Profile!C337="Profile",IF(Profile!A339="ResourceRequirement","OK","XXX"),"XXX")</f>
        <v>XXX</v>
      </c>
    </row>
    <row r="323" spans="1:4" x14ac:dyDescent="0.45">
      <c r="A323">
        <f>ROW()</f>
        <v>323</v>
      </c>
      <c r="B323" t="str">
        <f>Profile!A338</f>
        <v xml:space="preserve">   Oem</v>
      </c>
      <c r="C323">
        <f>Profile!AP340</f>
        <v>0</v>
      </c>
      <c r="D323" t="str">
        <f>IF(Profile!C338="Profile",IF(Profile!A340="ResourceRequirement","OK","XXX"),"XXX")</f>
        <v>XXX</v>
      </c>
    </row>
    <row r="324" spans="1:4" x14ac:dyDescent="0.45">
      <c r="A324">
        <f>ROW()</f>
        <v>324</v>
      </c>
      <c r="B324" t="str">
        <f>Profile!A339</f>
        <v xml:space="preserve">   PCIeDevice</v>
      </c>
      <c r="C324">
        <f>Profile!AP341</f>
        <v>0</v>
      </c>
      <c r="D324" t="str">
        <f>IF(Profile!C339="Profile",IF(Profile!A341="ResourceRequirement","OK","XXX"),"XXX")</f>
        <v>XXX</v>
      </c>
    </row>
    <row r="325" spans="1:4" x14ac:dyDescent="0.45">
      <c r="A325">
        <f>ROW()</f>
        <v>325</v>
      </c>
      <c r="B325" t="str">
        <f>Profile!A340</f>
        <v xml:space="preserve">      @odata.id</v>
      </c>
      <c r="C325">
        <f>Profile!AP342</f>
        <v>0</v>
      </c>
      <c r="D325" t="str">
        <f>IF(Profile!C340="Profile",IF(Profile!A342="ResourceRequirement","OK","XXX"),"XXX")</f>
        <v>XXX</v>
      </c>
    </row>
    <row r="326" spans="1:4" x14ac:dyDescent="0.45">
      <c r="A326">
        <f>ROW()</f>
        <v>326</v>
      </c>
      <c r="B326" t="str">
        <f>Profile!A341</f>
        <v xml:space="preserve">   StorageControllers</v>
      </c>
      <c r="C326">
        <f>Profile!AP343</f>
        <v>0</v>
      </c>
      <c r="D326" t="str">
        <f>IF(Profile!C341="Profile",IF(Profile!A343="ResourceRequirement","OK","XXX"),"XXX")</f>
        <v>XXX</v>
      </c>
    </row>
    <row r="327" spans="1:4" x14ac:dyDescent="0.45">
      <c r="A327">
        <f>ROW()</f>
        <v>327</v>
      </c>
      <c r="B327" t="str">
        <f>Profile!A342</f>
        <v xml:space="preserve">      @odata.id</v>
      </c>
      <c r="C327">
        <f>Profile!AP344</f>
        <v>0</v>
      </c>
      <c r="D327" t="str">
        <f>IF(Profile!C342="Profile",IF(Profile!A344="ResourceRequirement","OK","XXX"),"XXX")</f>
        <v>XXX</v>
      </c>
    </row>
    <row r="328" spans="1:4" x14ac:dyDescent="0.45">
      <c r="A328">
        <f>ROW()</f>
        <v>328</v>
      </c>
      <c r="B328" t="str">
        <f>Profile!A343</f>
        <v>RevisionId</v>
      </c>
      <c r="C328">
        <f>Profile!AP347</f>
        <v>0</v>
      </c>
      <c r="D328" t="str">
        <f>IF(Profile!C343="Profile",IF(Profile!A347="ResourceRequirement","OK","XXX"),"XXX")</f>
        <v>XXX</v>
      </c>
    </row>
    <row r="329" spans="1:4" x14ac:dyDescent="0.45">
      <c r="A329">
        <f>ROW()</f>
        <v>329</v>
      </c>
      <c r="B329" t="str">
        <f>Profile!A344</f>
        <v>Status</v>
      </c>
      <c r="C329">
        <f>Profile!AP348</f>
        <v>0</v>
      </c>
      <c r="D329" t="str">
        <f>IF(Profile!C344="Profile",IF(Profile!A348="ResourceRequirement","OK","XXX"),"XXX")</f>
        <v>XXX</v>
      </c>
    </row>
    <row r="330" spans="1:4" x14ac:dyDescent="0.45">
      <c r="A330">
        <f>ROW()</f>
        <v>330</v>
      </c>
      <c r="B330" t="str">
        <f>Profile!A347</f>
        <v>SubsystemId</v>
      </c>
      <c r="C330">
        <f>Profile!AP349</f>
        <v>0</v>
      </c>
      <c r="D330" t="str">
        <f>IF(Profile!C347="Profile",IF(Profile!A349="ResourceRequirement","OK","XXX"),"XXX")</f>
        <v>XXX</v>
      </c>
    </row>
    <row r="331" spans="1:4" x14ac:dyDescent="0.45">
      <c r="A331">
        <f>ROW()</f>
        <v>331</v>
      </c>
      <c r="B331" t="str">
        <f>Profile!A348</f>
        <v>SubsystemVendorId</v>
      </c>
      <c r="C331">
        <f>Profile!AP350</f>
        <v>0</v>
      </c>
      <c r="D331" t="str">
        <f>IF(Profile!C348="Profile",IF(Profile!A350="ResourceRequirement","OK","XXX"),"XXX")</f>
        <v>XXX</v>
      </c>
    </row>
    <row r="332" spans="1:4" x14ac:dyDescent="0.45">
      <c r="A332">
        <f>ROW()</f>
        <v>332</v>
      </c>
      <c r="B332" t="str">
        <f>Profile!A349</f>
        <v>VendorId</v>
      </c>
      <c r="C332">
        <f>Profile!AP351</f>
        <v>0</v>
      </c>
      <c r="D332" t="str">
        <f>IF(Profile!C349="Profile",IF(Profile!A351="ResourceRequirement","OK","XXX"),"XXX")</f>
        <v>XXX</v>
      </c>
    </row>
    <row r="333" spans="1:4" x14ac:dyDescent="0.45">
      <c r="A333">
        <f>ROW()</f>
        <v>333</v>
      </c>
      <c r="B333" t="str">
        <f>Profile!A350</f>
        <v>PCIeFunction URIs</v>
      </c>
      <c r="C333">
        <f>Profile!AP352</f>
        <v>0</v>
      </c>
      <c r="D333" t="str">
        <f>IF(Profile!C350="Profile",IF(Profile!A352="ResourceRequirement","OK","XXX"),"XXX")</f>
        <v>XXX</v>
      </c>
    </row>
    <row r="334" spans="1:4" x14ac:dyDescent="0.45">
      <c r="A334">
        <f>ROW()</f>
        <v>334</v>
      </c>
      <c r="B334" t="str">
        <f>Profile!A351</f>
        <v>/redfish/v1/Chassis/{ChassisId}/PCIeDevices/{PCIeDeviceId}/PCIeFunctions/{PCIeFunctionId}</v>
      </c>
      <c r="C334">
        <f>Profile!AP353</f>
        <v>0</v>
      </c>
      <c r="D334" t="str">
        <f>IF(Profile!C351="Profile",IF(Profile!A353="ResourceRequirement","OK","XXX"),"XXX")</f>
        <v>XXX</v>
      </c>
    </row>
    <row r="335" spans="1:4" x14ac:dyDescent="0.45">
      <c r="A335">
        <f>ROW()</f>
        <v>335</v>
      </c>
      <c r="B335" t="str">
        <f>Profile!A352</f>
        <v>/redfish/v1/Systems/{ComputerSystemId}/PCIeDevices/{PCIeDeviceId}/PCIeFunctions/{PCIeFunctionId}</v>
      </c>
      <c r="C335">
        <f>Profile!AP354</f>
        <v>0</v>
      </c>
      <c r="D335" t="str">
        <f>IF(Profile!C352="Profile",IF(Profile!A354="ResourceRequirement","OK","XXX"),"XXX")</f>
        <v>XXX</v>
      </c>
    </row>
    <row r="336" spans="1:4" x14ac:dyDescent="0.45">
      <c r="A336">
        <f>ROW()</f>
        <v>336</v>
      </c>
      <c r="B336">
        <f>Profile!A353</f>
        <v>0</v>
      </c>
      <c r="C336">
        <f>Profile!AP355</f>
        <v>0</v>
      </c>
      <c r="D336" t="str">
        <f>IF(Profile!C353="Profile",IF(Profile!A355="ResourceRequirement","OK","XXX"),"XXX")</f>
        <v>XXX</v>
      </c>
    </row>
    <row r="337" spans="1:4" x14ac:dyDescent="0.45">
      <c r="A337">
        <f>ROW()</f>
        <v>337</v>
      </c>
      <c r="B337" t="str">
        <f>Profile!A354</f>
        <v>1.1.1.10            Processor</v>
      </c>
      <c r="C337">
        <f>Profile!AP356</f>
        <v>0</v>
      </c>
      <c r="D337" t="str">
        <f>IF(Profile!C354="Profile",IF(Profile!A356="ResourceRequirement","OK","XXX"),"XXX")</f>
        <v>XXX</v>
      </c>
    </row>
    <row r="338" spans="1:4" x14ac:dyDescent="0.45">
      <c r="A338">
        <f>ROW()</f>
        <v>338</v>
      </c>
      <c r="B338" t="str">
        <f>Profile!A355</f>
        <v>A Processor resource represents the properties of a Processor attached to a system.</v>
      </c>
      <c r="C338">
        <f>Profile!AP357</f>
        <v>0</v>
      </c>
      <c r="D338" t="str">
        <f>IF(Profile!C355="Profile",IF(Profile!A357="ResourceRequirement","OK","XXX"),"XXX")</f>
        <v>XXX</v>
      </c>
    </row>
    <row r="339" spans="1:4" x14ac:dyDescent="0.45">
      <c r="A339">
        <f>ROW()</f>
        <v>339</v>
      </c>
      <c r="B339" t="str">
        <f>Profile!A356</f>
        <v>Table 14: O-PAS Profile Map for the Redfish Processor Resource</v>
      </c>
      <c r="C339">
        <f>Profile!AP358</f>
        <v>0</v>
      </c>
      <c r="D339" t="str">
        <f>IF(Profile!C356="Profile",IF(Profile!A358="ResourceRequirement","OK","XXX"),"XXX")</f>
        <v>XXX</v>
      </c>
    </row>
    <row r="340" spans="1:4" x14ac:dyDescent="0.45">
      <c r="A340">
        <f>ROW()</f>
        <v>340</v>
      </c>
      <c r="B340" t="str">
        <f>Profile!A357</f>
        <v>Processor (1.3.1)</v>
      </c>
      <c r="C340">
        <f>Profile!AP359</f>
        <v>0</v>
      </c>
      <c r="D340" t="str">
        <f>IF(Profile!C357="Profile",IF(Profile!A359="ResourceRequirement","OK","XXX"),"XXX")</f>
        <v>XXX</v>
      </c>
    </row>
    <row r="341" spans="1:4" x14ac:dyDescent="0.45">
      <c r="A341">
        <f>ROW()</f>
        <v>341</v>
      </c>
      <c r="B341">
        <f>Profile!A358</f>
        <v>0</v>
      </c>
      <c r="C341">
        <f>Profile!AP360</f>
        <v>0</v>
      </c>
      <c r="D341" t="str">
        <f>IF(Profile!C358="Profile",IF(Profile!A360="ResourceRequirement","OK","XXX"),"XXX")</f>
        <v>XXX</v>
      </c>
    </row>
    <row r="342" spans="1:4" x14ac:dyDescent="0.45">
      <c r="A342">
        <f>ROW()</f>
        <v>342</v>
      </c>
      <c r="B342" t="str">
        <f>Profile!A359</f>
        <v>Processor (1.5.0)</v>
      </c>
      <c r="C342">
        <f>Profile!AP361</f>
        <v>47</v>
      </c>
      <c r="D342" t="str">
        <f>IF(Profile!C359="Profile",IF(Profile!A361="ResourceRequirement","OK","XXX"),"XXX")</f>
        <v>OK</v>
      </c>
    </row>
    <row r="343" spans="1:4" x14ac:dyDescent="0.45">
      <c r="A343">
        <f>ROW()</f>
        <v>343</v>
      </c>
      <c r="B343">
        <f>Profile!A360</f>
        <v>0</v>
      </c>
      <c r="C343">
        <f>Profile!AP362</f>
        <v>0</v>
      </c>
      <c r="D343" t="str">
        <f>IF(Profile!C360="Profile",IF(Profile!A362="ResourceRequirement","OK","XXX"),"XXX")</f>
        <v>XXX</v>
      </c>
    </row>
    <row r="344" spans="1:4" x14ac:dyDescent="0.45">
      <c r="A344">
        <f>ROW()</f>
        <v>344</v>
      </c>
      <c r="B344" t="str">
        <f>Profile!A361</f>
        <v>ResourceRequirement</v>
      </c>
      <c r="C344">
        <f>Profile!AP363</f>
        <v>0</v>
      </c>
      <c r="D344" t="str">
        <f>IF(Profile!C361="Profile",IF(Profile!A363="ResourceRequirement","OK","XXX"),"XXX")</f>
        <v>XXX</v>
      </c>
    </row>
    <row r="345" spans="1:4" x14ac:dyDescent="0.45">
      <c r="A345">
        <f>ROW()</f>
        <v>345</v>
      </c>
      <c r="B345" t="str">
        <f>Profile!A362</f>
        <v>Resource MinVersion</v>
      </c>
      <c r="C345">
        <f>Profile!AP364</f>
        <v>0</v>
      </c>
      <c r="D345" t="str">
        <f>IF(Profile!C362="Profile",IF(Profile!A364="ResourceRequirement","OK","XXX"),"XXX")</f>
        <v>XXX</v>
      </c>
    </row>
    <row r="346" spans="1:4" x14ac:dyDescent="0.45">
      <c r="A346">
        <f>ROW()</f>
        <v>346</v>
      </c>
      <c r="B346" t="str">
        <f>Profile!A363</f>
        <v>Property</v>
      </c>
      <c r="C346">
        <f>Profile!AP365</f>
        <v>0</v>
      </c>
      <c r="D346" t="str">
        <f>IF(Profile!C363="Profile",IF(Profile!A365="ResourceRequirement","OK","XXX"),"XXX")</f>
        <v>XXX</v>
      </c>
    </row>
    <row r="347" spans="1:4" x14ac:dyDescent="0.45">
      <c r="A347">
        <f>ROW()</f>
        <v>347</v>
      </c>
      <c r="B347" t="str">
        <f>Profile!A364</f>
        <v>Actions</v>
      </c>
      <c r="C347">
        <f>Profile!AP366</f>
        <v>0</v>
      </c>
      <c r="D347" t="str">
        <f>IF(Profile!C364="Profile",IF(Profile!A366="ResourceRequirement","OK","XXX"),"XXX")</f>
        <v>XXX</v>
      </c>
    </row>
    <row r="348" spans="1:4" x14ac:dyDescent="0.45">
      <c r="A348">
        <f>ROW()</f>
        <v>348</v>
      </c>
      <c r="B348" t="str">
        <f>Profile!A365</f>
        <v>AccelerationFunctions</v>
      </c>
      <c r="C348">
        <f>Profile!AP367</f>
        <v>0</v>
      </c>
      <c r="D348" t="str">
        <f>IF(Profile!C365="Profile",IF(Profile!A367="ResourceRequirement","OK","XXX"),"XXX")</f>
        <v>XXX</v>
      </c>
    </row>
    <row r="349" spans="1:4" x14ac:dyDescent="0.45">
      <c r="A349">
        <f>ROW()</f>
        <v>349</v>
      </c>
      <c r="B349" t="str">
        <f>Profile!A366</f>
        <v xml:space="preserve">   @odata.id</v>
      </c>
      <c r="C349">
        <f>Profile!AP368</f>
        <v>0</v>
      </c>
      <c r="D349" t="str">
        <f>IF(Profile!C366="Profile",IF(Profile!A368="ResourceRequirement","OK","XXX"),"XXX")</f>
        <v>XXX</v>
      </c>
    </row>
    <row r="350" spans="1:4" x14ac:dyDescent="0.45">
      <c r="A350">
        <f>ROW()</f>
        <v>350</v>
      </c>
      <c r="B350" t="str">
        <f>Profile!A367</f>
        <v>Assembly</v>
      </c>
      <c r="C350">
        <f>Profile!AP369</f>
        <v>0</v>
      </c>
      <c r="D350" t="str">
        <f>IF(Profile!C367="Profile",IF(Profile!A369="ResourceRequirement","OK","XXX"),"XXX")</f>
        <v>XXX</v>
      </c>
    </row>
    <row r="351" spans="1:4" x14ac:dyDescent="0.45">
      <c r="A351">
        <f>ROW()</f>
        <v>351</v>
      </c>
      <c r="B351" t="str">
        <f>Profile!A368</f>
        <v xml:space="preserve">   @odata.id</v>
      </c>
      <c r="C351">
        <f>Profile!AP370</f>
        <v>0</v>
      </c>
      <c r="D351" t="str">
        <f>IF(Profile!C368="Profile",IF(Profile!A370="ResourceRequirement","OK","XXX"),"XXX")</f>
        <v>XXX</v>
      </c>
    </row>
    <row r="352" spans="1:4" x14ac:dyDescent="0.45">
      <c r="A352">
        <f>ROW()</f>
        <v>352</v>
      </c>
      <c r="B352" t="str">
        <f>Profile!A369</f>
        <v>FPGA</v>
      </c>
      <c r="C352">
        <f>Profile!AP371</f>
        <v>0</v>
      </c>
      <c r="D352" t="str">
        <f>IF(Profile!C369="Profile",IF(Profile!A371="ResourceRequirement","OK","XXX"),"XXX")</f>
        <v>XXX</v>
      </c>
    </row>
    <row r="353" spans="1:4" x14ac:dyDescent="0.45">
      <c r="A353">
        <f>ROW()</f>
        <v>353</v>
      </c>
      <c r="B353" t="str">
        <f>Profile!A370</f>
        <v xml:space="preserve">   ExternalInterfaces</v>
      </c>
      <c r="C353">
        <f>Profile!AP372</f>
        <v>0</v>
      </c>
      <c r="D353" t="str">
        <f>IF(Profile!C370="Profile",IF(Profile!A372="ResourceRequirement","OK","XXX"),"XXX")</f>
        <v>XXX</v>
      </c>
    </row>
    <row r="354" spans="1:4" x14ac:dyDescent="0.45">
      <c r="A354">
        <f>ROW()</f>
        <v>354</v>
      </c>
      <c r="B354" t="str">
        <f>Profile!A371</f>
        <v xml:space="preserve">      Ethernet</v>
      </c>
      <c r="C354">
        <f>Profile!AP373</f>
        <v>0</v>
      </c>
      <c r="D354" t="str">
        <f>IF(Profile!C371="Profile",IF(Profile!A373="ResourceRequirement","OK","XXX"),"XXX")</f>
        <v>XXX</v>
      </c>
    </row>
    <row r="355" spans="1:4" x14ac:dyDescent="0.45">
      <c r="A355">
        <f>ROW()</f>
        <v>355</v>
      </c>
      <c r="B355" t="str">
        <f>Profile!A372</f>
        <v xml:space="preserve">         MaxLanes</v>
      </c>
      <c r="C355">
        <f>Profile!AP374</f>
        <v>0</v>
      </c>
      <c r="D355" t="str">
        <f>IF(Profile!C372="Profile",IF(Profile!A374="ResourceRequirement","OK","XXX"),"XXX")</f>
        <v>XXX</v>
      </c>
    </row>
    <row r="356" spans="1:4" x14ac:dyDescent="0.45">
      <c r="A356">
        <f>ROW()</f>
        <v>356</v>
      </c>
      <c r="B356" t="str">
        <f>Profile!A373</f>
        <v xml:space="preserve">         MaxSpeedMbps</v>
      </c>
      <c r="C356">
        <f>Profile!AP375</f>
        <v>0</v>
      </c>
      <c r="D356" t="str">
        <f>IF(Profile!C373="Profile",IF(Profile!A375="ResourceRequirement","OK","XXX"),"XXX")</f>
        <v>XXX</v>
      </c>
    </row>
    <row r="357" spans="1:4" x14ac:dyDescent="0.45">
      <c r="A357">
        <f>ROW()</f>
        <v>357</v>
      </c>
      <c r="B357" t="str">
        <f>Profile!A374</f>
        <v xml:space="preserve">         Oem</v>
      </c>
      <c r="C357">
        <f>Profile!AP376</f>
        <v>0</v>
      </c>
      <c r="D357" t="str">
        <f>IF(Profile!C374="Profile",IF(Profile!A376="ResourceRequirement","OK","XXX"),"XXX")</f>
        <v>XXX</v>
      </c>
    </row>
    <row r="358" spans="1:4" x14ac:dyDescent="0.45">
      <c r="A358">
        <f>ROW()</f>
        <v>358</v>
      </c>
      <c r="B358" t="str">
        <f>Profile!A375</f>
        <v xml:space="preserve">      InterfaceType</v>
      </c>
      <c r="C358">
        <f>Profile!AP377</f>
        <v>0</v>
      </c>
      <c r="D358" t="str">
        <f>IF(Profile!C375="Profile",IF(Profile!A377="ResourceRequirement","OK","XXX"),"XXX")</f>
        <v>XXX</v>
      </c>
    </row>
    <row r="359" spans="1:4" x14ac:dyDescent="0.45">
      <c r="A359">
        <f>ROW()</f>
        <v>359</v>
      </c>
      <c r="B359" t="str">
        <f>Profile!A376</f>
        <v xml:space="preserve">      PCIe</v>
      </c>
      <c r="C359">
        <f>Profile!AP378</f>
        <v>0</v>
      </c>
      <c r="D359" t="str">
        <f>IF(Profile!C376="Profile",IF(Profile!A378="ResourceRequirement","OK","XXX"),"XXX")</f>
        <v>XXX</v>
      </c>
    </row>
    <row r="360" spans="1:4" x14ac:dyDescent="0.45">
      <c r="A360">
        <f>ROW()</f>
        <v>360</v>
      </c>
      <c r="B360" t="str">
        <f>Profile!A377</f>
        <v xml:space="preserve">   FirmwareId</v>
      </c>
      <c r="C360">
        <f>Profile!AP379</f>
        <v>0</v>
      </c>
      <c r="D360" t="str">
        <f>IF(Profile!C377="Profile",IF(Profile!A379="ResourceRequirement","OK","XXX"),"XXX")</f>
        <v>XXX</v>
      </c>
    </row>
    <row r="361" spans="1:4" x14ac:dyDescent="0.45">
      <c r="A361">
        <f>ROW()</f>
        <v>361</v>
      </c>
      <c r="B361" t="str">
        <f>Profile!A378</f>
        <v xml:space="preserve">   FirmwareManufacturer</v>
      </c>
      <c r="C361">
        <f>Profile!AP380</f>
        <v>0</v>
      </c>
      <c r="D361" t="str">
        <f>IF(Profile!C378="Profile",IF(Profile!A380="ResourceRequirement","OK","XXX"),"XXX")</f>
        <v>XXX</v>
      </c>
    </row>
    <row r="362" spans="1:4" x14ac:dyDescent="0.45">
      <c r="A362">
        <f>ROW()</f>
        <v>362</v>
      </c>
      <c r="B362" t="str">
        <f>Profile!A379</f>
        <v xml:space="preserve">   FirmwareVersion</v>
      </c>
      <c r="C362">
        <f>Profile!AP381</f>
        <v>0</v>
      </c>
      <c r="D362" t="str">
        <f>IF(Profile!C379="Profile",IF(Profile!A381="ResourceRequirement","OK","XXX"),"XXX")</f>
        <v>XXX</v>
      </c>
    </row>
    <row r="363" spans="1:4" x14ac:dyDescent="0.45">
      <c r="A363">
        <f>ROW()</f>
        <v>363</v>
      </c>
      <c r="B363" t="str">
        <f>Profile!A380</f>
        <v xml:space="preserve">   FpgaType</v>
      </c>
      <c r="C363">
        <f>Profile!AP382</f>
        <v>0</v>
      </c>
      <c r="D363" t="str">
        <f>IF(Profile!C380="Profile",IF(Profile!A382="ResourceRequirement","OK","XXX"),"XXX")</f>
        <v>XXX</v>
      </c>
    </row>
    <row r="364" spans="1:4" x14ac:dyDescent="0.45">
      <c r="A364">
        <f>ROW()</f>
        <v>364</v>
      </c>
      <c r="B364" t="str">
        <f>Profile!A381</f>
        <v xml:space="preserve">   HostInterface</v>
      </c>
      <c r="C364">
        <f>Profile!AP383</f>
        <v>0</v>
      </c>
      <c r="D364" t="str">
        <f>IF(Profile!C381="Profile",IF(Profile!A383="ResourceRequirement","OK","XXX"),"XXX")</f>
        <v>XXX</v>
      </c>
    </row>
    <row r="365" spans="1:4" x14ac:dyDescent="0.45">
      <c r="A365">
        <f>ROW()</f>
        <v>365</v>
      </c>
      <c r="B365" t="str">
        <f>Profile!A382</f>
        <v xml:space="preserve">      Ethernet</v>
      </c>
      <c r="C365">
        <f>Profile!AP384</f>
        <v>0</v>
      </c>
      <c r="D365" t="str">
        <f>IF(Profile!C382="Profile",IF(Profile!A384="ResourceRequirement","OK","XXX"),"XXX")</f>
        <v>XXX</v>
      </c>
    </row>
    <row r="366" spans="1:4" x14ac:dyDescent="0.45">
      <c r="A366">
        <f>ROW()</f>
        <v>366</v>
      </c>
      <c r="B366" t="str">
        <f>Profile!A383</f>
        <v xml:space="preserve">         MaxLanes</v>
      </c>
      <c r="C366">
        <f>Profile!AP385</f>
        <v>0</v>
      </c>
      <c r="D366" t="str">
        <f>IF(Profile!C383="Profile",IF(Profile!A385="ResourceRequirement","OK","XXX"),"XXX")</f>
        <v>XXX</v>
      </c>
    </row>
    <row r="367" spans="1:4" x14ac:dyDescent="0.45">
      <c r="A367">
        <f>ROW()</f>
        <v>367</v>
      </c>
      <c r="B367" t="str">
        <f>Profile!A384</f>
        <v xml:space="preserve">         MaxSpeedMbps</v>
      </c>
      <c r="C367">
        <f>Profile!AP386</f>
        <v>0</v>
      </c>
      <c r="D367" t="str">
        <f>IF(Profile!C384="Profile",IF(Profile!A386="ResourceRequirement","OK","XXX"),"XXX")</f>
        <v>XXX</v>
      </c>
    </row>
    <row r="368" spans="1:4" x14ac:dyDescent="0.45">
      <c r="A368">
        <f>ROW()</f>
        <v>368</v>
      </c>
      <c r="B368" t="str">
        <f>Profile!A385</f>
        <v xml:space="preserve">         Oem</v>
      </c>
      <c r="C368">
        <f>Profile!AP387</f>
        <v>0</v>
      </c>
      <c r="D368" t="str">
        <f>IF(Profile!C385="Profile",IF(Profile!A387="ResourceRequirement","OK","XXX"),"XXX")</f>
        <v>XXX</v>
      </c>
    </row>
    <row r="369" spans="1:4" x14ac:dyDescent="0.45">
      <c r="A369">
        <f>ROW()</f>
        <v>369</v>
      </c>
      <c r="B369" t="str">
        <f>Profile!A386</f>
        <v xml:space="preserve">      InterfaceType</v>
      </c>
      <c r="C369">
        <f>Profile!AP388</f>
        <v>0</v>
      </c>
      <c r="D369" t="str">
        <f>IF(Profile!C386="Profile",IF(Profile!A388="ResourceRequirement","OK","XXX"),"XXX")</f>
        <v>XXX</v>
      </c>
    </row>
    <row r="370" spans="1:4" x14ac:dyDescent="0.45">
      <c r="A370">
        <f>ROW()</f>
        <v>370</v>
      </c>
      <c r="B370" t="str">
        <f>Profile!A387</f>
        <v xml:space="preserve">      PCIe</v>
      </c>
      <c r="C370">
        <f>Profile!AP389</f>
        <v>0</v>
      </c>
      <c r="D370" t="str">
        <f>IF(Profile!C387="Profile",IF(Profile!A389="ResourceRequirement","OK","XXX"),"XXX")</f>
        <v>XXX</v>
      </c>
    </row>
    <row r="371" spans="1:4" x14ac:dyDescent="0.45">
      <c r="A371">
        <f>ROW()</f>
        <v>371</v>
      </c>
      <c r="B371" t="str">
        <f>Profile!A388</f>
        <v xml:space="preserve">   Model</v>
      </c>
      <c r="C371">
        <f>Profile!AP390</f>
        <v>0</v>
      </c>
      <c r="D371" t="str">
        <f>IF(Profile!C388="Profile",IF(Profile!A390="ResourceRequirement","OK","XXX"),"XXX")</f>
        <v>XXX</v>
      </c>
    </row>
    <row r="372" spans="1:4" x14ac:dyDescent="0.45">
      <c r="A372">
        <f>ROW()</f>
        <v>372</v>
      </c>
      <c r="B372" t="str">
        <f>Profile!A389</f>
        <v xml:space="preserve">   Oem</v>
      </c>
      <c r="C372">
        <f>Profile!AP391</f>
        <v>0</v>
      </c>
      <c r="D372" t="str">
        <f>IF(Profile!C389="Profile",IF(Profile!A391="ResourceRequirement","OK","XXX"),"XXX")</f>
        <v>XXX</v>
      </c>
    </row>
    <row r="373" spans="1:4" x14ac:dyDescent="0.45">
      <c r="A373">
        <f>ROW()</f>
        <v>373</v>
      </c>
      <c r="B373" t="str">
        <f>Profile!A390</f>
        <v xml:space="preserve">   PCIeVirtualFunctions</v>
      </c>
      <c r="C373">
        <f>Profile!AP392</f>
        <v>0</v>
      </c>
      <c r="D373" t="str">
        <f>IF(Profile!C390="Profile",IF(Profile!A392="ResourceRequirement","OK","XXX"),"XXX")</f>
        <v>XXX</v>
      </c>
    </row>
    <row r="374" spans="1:4" x14ac:dyDescent="0.45">
      <c r="A374">
        <f>ROW()</f>
        <v>374</v>
      </c>
      <c r="B374" t="str">
        <f>Profile!A391</f>
        <v xml:space="preserve">   ProgrammableFromHost</v>
      </c>
      <c r="C374">
        <f>Profile!AP393</f>
        <v>0</v>
      </c>
      <c r="D374" t="str">
        <f>IF(Profile!C391="Profile",IF(Profile!A393="ResourceRequirement","OK","XXX"),"XXX")</f>
        <v>XXX</v>
      </c>
    </row>
    <row r="375" spans="1:4" x14ac:dyDescent="0.45">
      <c r="A375">
        <f>ROW()</f>
        <v>375</v>
      </c>
      <c r="B375" t="str">
        <f>Profile!A392</f>
        <v xml:space="preserve">   ReconfigurationSlots</v>
      </c>
      <c r="C375">
        <f>Profile!AP394</f>
        <v>0</v>
      </c>
      <c r="D375" t="str">
        <f>IF(Profile!C392="Profile",IF(Profile!A394="ResourceRequirement","OK","XXX"),"XXX")</f>
        <v>XXX</v>
      </c>
    </row>
    <row r="376" spans="1:4" x14ac:dyDescent="0.45">
      <c r="A376">
        <f>ROW()</f>
        <v>376</v>
      </c>
      <c r="B376" t="str">
        <f>Profile!A393</f>
        <v xml:space="preserve">      AccelerationFunction</v>
      </c>
      <c r="C376">
        <f>Profile!AP395</f>
        <v>0</v>
      </c>
      <c r="D376" t="str">
        <f>IF(Profile!C393="Profile",IF(Profile!A395="ResourceRequirement","OK","XXX"),"XXX")</f>
        <v>XXX</v>
      </c>
    </row>
    <row r="377" spans="1:4" x14ac:dyDescent="0.45">
      <c r="A377">
        <f>ROW()</f>
        <v>377</v>
      </c>
      <c r="B377" t="str">
        <f>Profile!A394</f>
        <v xml:space="preserve">         @odata.id</v>
      </c>
      <c r="C377">
        <f>Profile!AP396</f>
        <v>0</v>
      </c>
      <c r="D377" t="str">
        <f>IF(Profile!C394="Profile",IF(Profile!A396="ResourceRequirement","OK","XXX"),"XXX")</f>
        <v>XXX</v>
      </c>
    </row>
    <row r="378" spans="1:4" x14ac:dyDescent="0.45">
      <c r="A378">
        <f>ROW()</f>
        <v>378</v>
      </c>
      <c r="B378" t="str">
        <f>Profile!A395</f>
        <v xml:space="preserve">      ProgrammableFromHost</v>
      </c>
      <c r="C378">
        <f>Profile!AP397</f>
        <v>0</v>
      </c>
      <c r="D378" t="str">
        <f>IF(Profile!C395="Profile",IF(Profile!A397="ResourceRequirement","OK","XXX"),"XXX")</f>
        <v>XXX</v>
      </c>
    </row>
    <row r="379" spans="1:4" x14ac:dyDescent="0.45">
      <c r="A379">
        <f>ROW()</f>
        <v>379</v>
      </c>
      <c r="B379" t="str">
        <f>Profile!A396</f>
        <v xml:space="preserve">      SlotId</v>
      </c>
      <c r="C379">
        <f>Profile!AP398</f>
        <v>0</v>
      </c>
      <c r="D379" t="str">
        <f>IF(Profile!C396="Profile",IF(Profile!A398="ResourceRequirement","OK","XXX"),"XXX")</f>
        <v>XXX</v>
      </c>
    </row>
    <row r="380" spans="1:4" x14ac:dyDescent="0.45">
      <c r="A380">
        <f>ROW()</f>
        <v>380</v>
      </c>
      <c r="B380" t="str">
        <f>Profile!A397</f>
        <v xml:space="preserve">      UUID</v>
      </c>
      <c r="C380">
        <f>Profile!AP399</f>
        <v>0</v>
      </c>
      <c r="D380" t="str">
        <f>IF(Profile!C397="Profile",IF(Profile!A399="ResourceRequirement","OK","XXX"),"XXX")</f>
        <v>XXX</v>
      </c>
    </row>
    <row r="381" spans="1:4" x14ac:dyDescent="0.45">
      <c r="A381">
        <f>ROW()</f>
        <v>381</v>
      </c>
      <c r="B381" t="str">
        <f>Profile!A398</f>
        <v>InstructionSet</v>
      </c>
      <c r="C381">
        <f>Profile!AP400</f>
        <v>0</v>
      </c>
      <c r="D381" t="str">
        <f>IF(Profile!C398="Profile",IF(Profile!A400="ResourceRequirement","OK","XXX"),"XXX")</f>
        <v>XXX</v>
      </c>
    </row>
    <row r="382" spans="1:4" x14ac:dyDescent="0.45">
      <c r="A382">
        <f>ROW()</f>
        <v>382</v>
      </c>
      <c r="B382" t="str">
        <f>Profile!A399</f>
        <v>Links</v>
      </c>
      <c r="C382">
        <f>Profile!AP401</f>
        <v>0</v>
      </c>
      <c r="D382" t="str">
        <f>IF(Profile!C399="Profile",IF(Profile!A401="ResourceRequirement","OK","XXX"),"XXX")</f>
        <v>XXX</v>
      </c>
    </row>
    <row r="383" spans="1:4" x14ac:dyDescent="0.45">
      <c r="A383">
        <f>ROW()</f>
        <v>383</v>
      </c>
      <c r="B383" t="str">
        <f>Profile!A400</f>
        <v xml:space="preserve">   Chassis</v>
      </c>
      <c r="C383">
        <f>Profile!AP402</f>
        <v>0</v>
      </c>
      <c r="D383" t="str">
        <f>IF(Profile!C400="Profile",IF(Profile!A402="ResourceRequirement","OK","XXX"),"XXX")</f>
        <v>XXX</v>
      </c>
    </row>
    <row r="384" spans="1:4" x14ac:dyDescent="0.45">
      <c r="A384">
        <f>ROW()</f>
        <v>384</v>
      </c>
      <c r="B384" t="str">
        <f>Profile!A401</f>
        <v xml:space="preserve">      @odata.id</v>
      </c>
      <c r="C384">
        <f>Profile!AP403</f>
        <v>0</v>
      </c>
      <c r="D384" t="str">
        <f>IF(Profile!C401="Profile",IF(Profile!A403="ResourceRequirement","OK","XXX"),"XXX")</f>
        <v>XXX</v>
      </c>
    </row>
    <row r="385" spans="1:4" x14ac:dyDescent="0.45">
      <c r="A385">
        <f>ROW()</f>
        <v>385</v>
      </c>
      <c r="B385" t="str">
        <f>Profile!A402</f>
        <v>ConnectedProcessors</v>
      </c>
      <c r="C385">
        <f>Profile!AP404</f>
        <v>0</v>
      </c>
      <c r="D385" t="str">
        <f>IF(Profile!C402="Profile",IF(Profile!A404="ResourceRequirement","OK","XXX"),"XXX")</f>
        <v>XXX</v>
      </c>
    </row>
    <row r="386" spans="1:4" x14ac:dyDescent="0.45">
      <c r="A386">
        <f>ROW()</f>
        <v>386</v>
      </c>
      <c r="B386" t="str">
        <f>Profile!A403</f>
        <v xml:space="preserve">   @odata.id</v>
      </c>
      <c r="C386">
        <f>Profile!AP405</f>
        <v>0</v>
      </c>
      <c r="D386" t="str">
        <f>IF(Profile!C403="Profile",IF(Profile!A405="ResourceRequirement","OK","XXX"),"XXX")</f>
        <v>XXX</v>
      </c>
    </row>
    <row r="387" spans="1:4" x14ac:dyDescent="0.45">
      <c r="A387">
        <f>ROW()</f>
        <v>387</v>
      </c>
      <c r="B387" t="str">
        <f>Profile!A404</f>
        <v xml:space="preserve">   Endpoints</v>
      </c>
      <c r="C387">
        <f>Profile!AP406</f>
        <v>0</v>
      </c>
      <c r="D387" t="str">
        <f>IF(Profile!C404="Profile",IF(Profile!A406="ResourceRequirement","OK","XXX"),"XXX")</f>
        <v>XXX</v>
      </c>
    </row>
    <row r="388" spans="1:4" x14ac:dyDescent="0.45">
      <c r="A388">
        <f>ROW()</f>
        <v>388</v>
      </c>
      <c r="B388" t="str">
        <f>Profile!A405</f>
        <v>@odata.id</v>
      </c>
      <c r="C388">
        <f>Profile!AP407</f>
        <v>0</v>
      </c>
      <c r="D388" t="str">
        <f>IF(Profile!C405="Profile",IF(Profile!A407="ResourceRequirement","OK","XXX"),"XXX")</f>
        <v>XXX</v>
      </c>
    </row>
    <row r="389" spans="1:4" x14ac:dyDescent="0.45">
      <c r="A389">
        <f>ROW()</f>
        <v>389</v>
      </c>
      <c r="B389" t="str">
        <f>Profile!A406</f>
        <v xml:space="preserve">   Oem</v>
      </c>
      <c r="C389">
        <f>Profile!AP408</f>
        <v>0</v>
      </c>
      <c r="D389" t="str">
        <f>IF(Profile!C406="Profile",IF(Profile!A408="ResourceRequirement","OK","XXX"),"XXX")</f>
        <v>XXX</v>
      </c>
    </row>
    <row r="390" spans="1:4" x14ac:dyDescent="0.45">
      <c r="A390">
        <f>ROW()</f>
        <v>390</v>
      </c>
      <c r="B390" t="str">
        <f>Profile!A407</f>
        <v>Location</v>
      </c>
      <c r="C390">
        <f>Profile!AP409</f>
        <v>0</v>
      </c>
      <c r="D390" t="str">
        <f>IF(Profile!C407="Profile",IF(Profile!A409="ResourceRequirement","OK","XXX"),"XXX")</f>
        <v>XXX</v>
      </c>
    </row>
    <row r="391" spans="1:4" x14ac:dyDescent="0.45">
      <c r="A391">
        <f>ROW()</f>
        <v>391</v>
      </c>
      <c r="B391" t="str">
        <f>Profile!A408</f>
        <v>Manufacturer</v>
      </c>
      <c r="C391">
        <f>Profile!AP410</f>
        <v>0</v>
      </c>
      <c r="D391" t="str">
        <f>IF(Profile!C408="Profile",IF(Profile!A410="ResourceRequirement","OK","XXX"),"XXX")</f>
        <v>XXX</v>
      </c>
    </row>
    <row r="392" spans="1:4" x14ac:dyDescent="0.45">
      <c r="A392">
        <f>ROW()</f>
        <v>392</v>
      </c>
      <c r="B392" t="str">
        <f>Profile!A409</f>
        <v>MaxSpeedMHz</v>
      </c>
      <c r="C392">
        <f>Profile!AP411</f>
        <v>0</v>
      </c>
      <c r="D392" t="str">
        <f>IF(Profile!C409="Profile",IF(Profile!A411="ResourceRequirement","OK","XXX"),"XXX")</f>
        <v>XXX</v>
      </c>
    </row>
    <row r="393" spans="1:4" x14ac:dyDescent="0.45">
      <c r="A393">
        <f>ROW()</f>
        <v>393</v>
      </c>
      <c r="B393" t="str">
        <f>Profile!A410</f>
        <v>MaxTDPWatts</v>
      </c>
      <c r="C393">
        <f>Profile!AP412</f>
        <v>0</v>
      </c>
      <c r="D393" t="str">
        <f>IF(Profile!C410="Profile",IF(Profile!A412="ResourceRequirement","OK","XXX"),"XXX")</f>
        <v>XXX</v>
      </c>
    </row>
    <row r="394" spans="1:4" x14ac:dyDescent="0.45">
      <c r="A394">
        <f>ROW()</f>
        <v>394</v>
      </c>
      <c r="B394" t="str">
        <f>Profile!A411</f>
        <v>Metrics</v>
      </c>
      <c r="C394">
        <f>Profile!AP413</f>
        <v>0</v>
      </c>
      <c r="D394" t="str">
        <f>IF(Profile!C411="Profile",IF(Profile!A413="ResourceRequirement","OK","XXX"),"XXX")</f>
        <v>XXX</v>
      </c>
    </row>
    <row r="395" spans="1:4" x14ac:dyDescent="0.45">
      <c r="A395">
        <f>ROW()</f>
        <v>395</v>
      </c>
      <c r="B395" t="str">
        <f>Profile!A412</f>
        <v xml:space="preserve">   @odata.id</v>
      </c>
      <c r="C395">
        <f>Profile!AP414</f>
        <v>0</v>
      </c>
      <c r="D395" t="str">
        <f>IF(Profile!C412="Profile",IF(Profile!A414="ResourceRequirement","OK","XXX"),"XXX")</f>
        <v>XXX</v>
      </c>
    </row>
    <row r="396" spans="1:4" x14ac:dyDescent="0.45">
      <c r="A396">
        <f>ROW()</f>
        <v>396</v>
      </c>
      <c r="B396" t="str">
        <f>Profile!A413</f>
        <v>Model</v>
      </c>
      <c r="C396">
        <f>Profile!AP415</f>
        <v>0</v>
      </c>
      <c r="D396" t="str">
        <f>IF(Profile!C413="Profile",IF(Profile!A415="ResourceRequirement","OK","XXX"),"XXX")</f>
        <v>XXX</v>
      </c>
    </row>
    <row r="397" spans="1:4" x14ac:dyDescent="0.45">
      <c r="A397">
        <f>ROW()</f>
        <v>397</v>
      </c>
      <c r="B397" t="str">
        <f>Profile!A414</f>
        <v>ProcessorArchitecture</v>
      </c>
      <c r="C397">
        <f>Profile!AP416</f>
        <v>0</v>
      </c>
      <c r="D397" t="str">
        <f>IF(Profile!C414="Profile",IF(Profile!A416="ResourceRequirement","OK","XXX"),"XXX")</f>
        <v>XXX</v>
      </c>
    </row>
    <row r="398" spans="1:4" x14ac:dyDescent="0.45">
      <c r="A398">
        <f>ROW()</f>
        <v>398</v>
      </c>
      <c r="B398" t="str">
        <f>Profile!A415</f>
        <v>ProcessorId</v>
      </c>
      <c r="C398">
        <f>Profile!AP417</f>
        <v>0</v>
      </c>
      <c r="D398" t="str">
        <f>IF(Profile!C415="Profile",IF(Profile!A417="ResourceRequirement","OK","XXX"),"XXX")</f>
        <v>XXX</v>
      </c>
    </row>
    <row r="399" spans="1:4" x14ac:dyDescent="0.45">
      <c r="A399">
        <f>ROW()</f>
        <v>399</v>
      </c>
      <c r="B399" t="str">
        <f>Profile!A416</f>
        <v xml:space="preserve">   EffectiveFamily</v>
      </c>
      <c r="C399">
        <f>Profile!AP418</f>
        <v>0</v>
      </c>
      <c r="D399" t="str">
        <f>IF(Profile!C416="Profile",IF(Profile!A418="ResourceRequirement","OK","XXX"),"XXX")</f>
        <v>XXX</v>
      </c>
    </row>
    <row r="400" spans="1:4" x14ac:dyDescent="0.45">
      <c r="A400">
        <f>ROW()</f>
        <v>400</v>
      </c>
      <c r="B400" t="str">
        <f>Profile!A417</f>
        <v xml:space="preserve">   EffectiveModel</v>
      </c>
      <c r="C400">
        <f>Profile!AP419</f>
        <v>0</v>
      </c>
      <c r="D400" t="str">
        <f>IF(Profile!C417="Profile",IF(Profile!A419="ResourceRequirement","OK","XXX"),"XXX")</f>
        <v>XXX</v>
      </c>
    </row>
    <row r="401" spans="1:4" x14ac:dyDescent="0.45">
      <c r="A401">
        <f>ROW()</f>
        <v>401</v>
      </c>
      <c r="B401" t="str">
        <f>Profile!A418</f>
        <v xml:space="preserve">   IdentificationRegisters</v>
      </c>
      <c r="C401">
        <f>Profile!AP420</f>
        <v>0</v>
      </c>
      <c r="D401" t="str">
        <f>IF(Profile!C418="Profile",IF(Profile!A420="ResourceRequirement","OK","XXX"),"XXX")</f>
        <v>XXX</v>
      </c>
    </row>
    <row r="402" spans="1:4" x14ac:dyDescent="0.45">
      <c r="A402">
        <f>ROW()</f>
        <v>402</v>
      </c>
      <c r="B402" t="str">
        <f>Profile!A419</f>
        <v xml:space="preserve">   MicrocodeInfo</v>
      </c>
      <c r="C402">
        <f>Profile!AP421</f>
        <v>0</v>
      </c>
      <c r="D402" t="str">
        <f>IF(Profile!C419="Profile",IF(Profile!A421="ResourceRequirement","OK","XXX"),"XXX")</f>
        <v>XXX</v>
      </c>
    </row>
    <row r="403" spans="1:4" x14ac:dyDescent="0.45">
      <c r="A403">
        <f>ROW()</f>
        <v>403</v>
      </c>
      <c r="B403" t="str">
        <f>Profile!A420</f>
        <v xml:space="preserve">   Step</v>
      </c>
      <c r="C403">
        <f>Profile!AP422</f>
        <v>0</v>
      </c>
      <c r="D403" t="str">
        <f>IF(Profile!C420="Profile",IF(Profile!A422="ResourceRequirement","OK","XXX"),"XXX")</f>
        <v>XXX</v>
      </c>
    </row>
    <row r="404" spans="1:4" x14ac:dyDescent="0.45">
      <c r="A404">
        <f>ROW()</f>
        <v>404</v>
      </c>
      <c r="B404" t="str">
        <f>Profile!A421</f>
        <v xml:space="preserve">   VendorId</v>
      </c>
      <c r="C404">
        <f>Profile!AP423</f>
        <v>0</v>
      </c>
      <c r="D404" t="str">
        <f>IF(Profile!C421="Profile",IF(Profile!A423="ResourceRequirement","OK","XXX"),"XXX")</f>
        <v>XXX</v>
      </c>
    </row>
    <row r="405" spans="1:4" x14ac:dyDescent="0.45">
      <c r="A405">
        <f>ROW()</f>
        <v>405</v>
      </c>
      <c r="B405" t="str">
        <f>Profile!A422</f>
        <v>ProcessorMemory</v>
      </c>
      <c r="C405">
        <f>Profile!AP424</f>
        <v>0</v>
      </c>
      <c r="D405" t="str">
        <f>IF(Profile!C422="Profile",IF(Profile!A424="ResourceRequirement","OK","XXX"),"XXX")</f>
        <v>XXX</v>
      </c>
    </row>
    <row r="406" spans="1:4" x14ac:dyDescent="0.45">
      <c r="A406">
        <f>ROW()</f>
        <v>406</v>
      </c>
      <c r="B406" t="str">
        <f>Profile!A423</f>
        <v xml:space="preserve">   CapacityMiB</v>
      </c>
      <c r="C406">
        <f>Profile!AP425</f>
        <v>0</v>
      </c>
      <c r="D406" t="str">
        <f>IF(Profile!C423="Profile",IF(Profile!A425="ResourceRequirement","OK","XXX"),"XXX")</f>
        <v>XXX</v>
      </c>
    </row>
    <row r="407" spans="1:4" x14ac:dyDescent="0.45">
      <c r="A407">
        <f>ROW()</f>
        <v>407</v>
      </c>
      <c r="B407" t="str">
        <f>Profile!A424</f>
        <v xml:space="preserve">   IntegratedMemory</v>
      </c>
      <c r="C407">
        <f>Profile!AP426</f>
        <v>0</v>
      </c>
      <c r="D407" t="str">
        <f>IF(Profile!C424="Profile",IF(Profile!A426="ResourceRequirement","OK","XXX"),"XXX")</f>
        <v>XXX</v>
      </c>
    </row>
    <row r="408" spans="1:4" x14ac:dyDescent="0.45">
      <c r="A408">
        <f>ROW()</f>
        <v>408</v>
      </c>
      <c r="B408" t="str">
        <f>Profile!A425</f>
        <v xml:space="preserve">   MemoryType</v>
      </c>
      <c r="C408">
        <f>Profile!AP427</f>
        <v>0</v>
      </c>
      <c r="D408" t="str">
        <f>IF(Profile!C425="Profile",IF(Profile!A427="ResourceRequirement","OK","XXX"),"XXX")</f>
        <v>XXX</v>
      </c>
    </row>
    <row r="409" spans="1:4" x14ac:dyDescent="0.45">
      <c r="A409">
        <f>ROW()</f>
        <v>409</v>
      </c>
      <c r="B409" t="str">
        <f>Profile!A426</f>
        <v xml:space="preserve">   SpeedMHz</v>
      </c>
      <c r="C409">
        <f>Profile!AP428</f>
        <v>0</v>
      </c>
      <c r="D409" t="str">
        <f>IF(Profile!C426="Profile",IF(Profile!A428="ResourceRequirement","OK","XXX"),"XXX")</f>
        <v>XXX</v>
      </c>
    </row>
    <row r="410" spans="1:4" x14ac:dyDescent="0.45">
      <c r="A410">
        <f>ROW()</f>
        <v>410</v>
      </c>
      <c r="B410" t="str">
        <f>Profile!A427</f>
        <v>ProcessorType</v>
      </c>
      <c r="C410">
        <f>Profile!AP429</f>
        <v>0</v>
      </c>
      <c r="D410" t="str">
        <f>IF(Profile!C427="Profile",IF(Profile!A429="ResourceRequirement","OK","XXX"),"XXX")</f>
        <v>XXX</v>
      </c>
    </row>
    <row r="411" spans="1:4" x14ac:dyDescent="0.45">
      <c r="A411">
        <f>ROW()</f>
        <v>411</v>
      </c>
      <c r="B411" t="str">
        <f>Profile!A428</f>
        <v>Socket</v>
      </c>
      <c r="C411">
        <f>Profile!AP432</f>
        <v>0</v>
      </c>
      <c r="D411" t="str">
        <f>IF(Profile!C428="Profile",IF(Profile!A432="ResourceRequirement","OK","XXX"),"XXX")</f>
        <v>XXX</v>
      </c>
    </row>
    <row r="412" spans="1:4" x14ac:dyDescent="0.45">
      <c r="A412">
        <f>ROW()</f>
        <v>412</v>
      </c>
      <c r="B412" t="str">
        <f>Profile!A429</f>
        <v>Status</v>
      </c>
      <c r="C412">
        <f>Profile!AP433</f>
        <v>0</v>
      </c>
      <c r="D412" t="str">
        <f>IF(Profile!C429="Profile",IF(Profile!A433="ResourceRequirement","OK","XXX"),"XXX")</f>
        <v>XXX</v>
      </c>
    </row>
    <row r="413" spans="1:4" x14ac:dyDescent="0.45">
      <c r="A413">
        <f>ROW()</f>
        <v>413</v>
      </c>
      <c r="B413" t="str">
        <f>Profile!A432</f>
        <v>SubProcessors</v>
      </c>
      <c r="C413">
        <f>Profile!AP434</f>
        <v>0</v>
      </c>
      <c r="D413" t="str">
        <f>IF(Profile!C432="Profile",IF(Profile!A434="ResourceRequirement","OK","XXX"),"XXX")</f>
        <v>XXX</v>
      </c>
    </row>
    <row r="414" spans="1:4" x14ac:dyDescent="0.45">
      <c r="A414">
        <f>ROW()</f>
        <v>414</v>
      </c>
      <c r="B414" t="str">
        <f>Profile!A433</f>
        <v xml:space="preserve">   @odata.id</v>
      </c>
      <c r="C414">
        <f>Profile!AP435</f>
        <v>0</v>
      </c>
      <c r="D414" t="str">
        <f>IF(Profile!C433="Profile",IF(Profile!A435="ResourceRequirement","OK","XXX"),"XXX")</f>
        <v>XXX</v>
      </c>
    </row>
    <row r="415" spans="1:4" x14ac:dyDescent="0.45">
      <c r="A415">
        <f>ROW()</f>
        <v>415</v>
      </c>
      <c r="B415" t="str">
        <f>Profile!A434</f>
        <v>TotalCores</v>
      </c>
      <c r="C415">
        <f>Profile!AP436</f>
        <v>0</v>
      </c>
      <c r="D415" t="str">
        <f>IF(Profile!C434="Profile",IF(Profile!A436="ResourceRequirement","OK","XXX"),"XXX")</f>
        <v>XXX</v>
      </c>
    </row>
    <row r="416" spans="1:4" x14ac:dyDescent="0.45">
      <c r="A416">
        <f>ROW()</f>
        <v>416</v>
      </c>
      <c r="B416" t="str">
        <f>Profile!A435</f>
        <v>TotalEnabledCores</v>
      </c>
      <c r="C416">
        <f>Profile!AP437</f>
        <v>0</v>
      </c>
      <c r="D416" t="str">
        <f>IF(Profile!C435="Profile",IF(Profile!A437="ResourceRequirement","OK","XXX"),"XXX")</f>
        <v>XXX</v>
      </c>
    </row>
    <row r="417" spans="1:4" x14ac:dyDescent="0.45">
      <c r="A417">
        <f>ROW()</f>
        <v>417</v>
      </c>
      <c r="B417" t="str">
        <f>Profile!A436</f>
        <v>TotalThreads</v>
      </c>
      <c r="C417">
        <f>Profile!AP438</f>
        <v>0</v>
      </c>
      <c r="D417" t="str">
        <f>IF(Profile!C436="Profile",IF(Profile!A438="ResourceRequirement","OK","XXX"),"XXX")</f>
        <v>XXX</v>
      </c>
    </row>
    <row r="418" spans="1:4" x14ac:dyDescent="0.45">
      <c r="A418">
        <f>ROW()</f>
        <v>418</v>
      </c>
      <c r="B418" t="str">
        <f>Profile!A437</f>
        <v>Processor URIs</v>
      </c>
      <c r="C418">
        <f>Profile!AP439</f>
        <v>0</v>
      </c>
      <c r="D418" t="str">
        <f>IF(Profile!C437="Profile",IF(Profile!A439="ResourceRequirement","OK","XXX"),"XXX")</f>
        <v>XXX</v>
      </c>
    </row>
    <row r="419" spans="1:4" x14ac:dyDescent="0.45">
      <c r="A419">
        <f>ROW()</f>
        <v>419</v>
      </c>
      <c r="B419" t="str">
        <f>Profile!A438</f>
        <v>/redfish/v1/Systems/{ComputerSystemId}/Processors/{ProcessorId}</v>
      </c>
      <c r="C419">
        <f>Profile!AP440</f>
        <v>0</v>
      </c>
      <c r="D419" t="str">
        <f>IF(Profile!C438="Profile",IF(Profile!A440="ResourceRequirement","OK","XXX"),"XXX")</f>
        <v>XXX</v>
      </c>
    </row>
    <row r="420" spans="1:4" x14ac:dyDescent="0.45">
      <c r="A420">
        <f>ROW()</f>
        <v>420</v>
      </c>
      <c r="B420" t="str">
        <f>Profile!A439</f>
        <v>/redfish/v1/Systems/{ComputerSystemId}/Processors/{ProcessorId}/SubProcessors/{ProcessorId2}</v>
      </c>
      <c r="C420">
        <f>Profile!AP441</f>
        <v>0</v>
      </c>
      <c r="D420" t="str">
        <f>IF(Profile!C439="Profile",IF(Profile!A441="ResourceRequirement","OK","XXX"),"XXX")</f>
        <v>XXX</v>
      </c>
    </row>
    <row r="421" spans="1:4" x14ac:dyDescent="0.45">
      <c r="A421">
        <f>ROW()</f>
        <v>421</v>
      </c>
      <c r="B421">
        <f>Profile!A440</f>
        <v>0</v>
      </c>
      <c r="C421">
        <f>Profile!AP442</f>
        <v>0</v>
      </c>
      <c r="D421" t="str">
        <f>IF(Profile!C440="Profile",IF(Profile!A442="ResourceRequirement","OK","XXX"),"XXX")</f>
        <v>XXX</v>
      </c>
    </row>
    <row r="422" spans="1:4" x14ac:dyDescent="0.45">
      <c r="A422">
        <f>ROW()</f>
        <v>422</v>
      </c>
      <c r="B422" t="str">
        <f>Profile!A441</f>
        <v>1.1.1.10            ProcessorMetrics</v>
      </c>
      <c r="C422">
        <f>Profile!AP443</f>
        <v>0</v>
      </c>
      <c r="D422" t="str">
        <f>IF(Profile!C441="Profile",IF(Profile!A443="ResourceRequirement","OK","XXX"),"XXX")</f>
        <v>XXX</v>
      </c>
    </row>
    <row r="423" spans="1:4" x14ac:dyDescent="0.45">
      <c r="A423">
        <f>ROW()</f>
        <v>423</v>
      </c>
      <c r="B423" t="str">
        <f>Profile!A442</f>
        <v>A ProcessorMetrics resource represents the properties of a ProcessorMetrics attached to a system.</v>
      </c>
      <c r="C423">
        <f>Profile!AP444</f>
        <v>0</v>
      </c>
      <c r="D423" t="str">
        <f>IF(Profile!C442="Profile",IF(Profile!A444="ResourceRequirement","OK","XXX"),"XXX")</f>
        <v>XXX</v>
      </c>
    </row>
    <row r="424" spans="1:4" x14ac:dyDescent="0.45">
      <c r="A424">
        <f>ROW()</f>
        <v>424</v>
      </c>
      <c r="B424" t="str">
        <f>Profile!A443</f>
        <v>Table 14: O-PAS Profile Map for the Redfish ProcessorMetrics Resource</v>
      </c>
      <c r="C424">
        <f>Profile!AP445</f>
        <v>0</v>
      </c>
      <c r="D424" t="str">
        <f>IF(Profile!C443="Profile",IF(Profile!A445="ResourceRequirement","OK","XXX"),"XXX")</f>
        <v>XXX</v>
      </c>
    </row>
    <row r="425" spans="1:4" x14ac:dyDescent="0.45">
      <c r="A425">
        <f>ROW()</f>
        <v>425</v>
      </c>
      <c r="B425" t="str">
        <f>Profile!A444</f>
        <v>ProcessorMetrics (1.0.0)</v>
      </c>
      <c r="C425">
        <f>Profile!AP446</f>
        <v>48</v>
      </c>
      <c r="D425" t="str">
        <f>IF(Profile!C444="Profile",IF(Profile!A446="ResourceRequirement","OK","XXX"),"XXX")</f>
        <v>OK</v>
      </c>
    </row>
    <row r="426" spans="1:4" x14ac:dyDescent="0.45">
      <c r="A426">
        <f>ROW()</f>
        <v>426</v>
      </c>
      <c r="B426">
        <f>Profile!A445</f>
        <v>0</v>
      </c>
      <c r="C426">
        <f>Profile!AP447</f>
        <v>0</v>
      </c>
      <c r="D426" t="str">
        <f>IF(Profile!C445="Profile",IF(Profile!A447="ResourceRequirement","OK","XXX"),"XXX")</f>
        <v>XXX</v>
      </c>
    </row>
    <row r="427" spans="1:4" x14ac:dyDescent="0.45">
      <c r="A427">
        <f>ROW()</f>
        <v>427</v>
      </c>
      <c r="B427" t="str">
        <f>Profile!A446</f>
        <v>ResourceRequirement</v>
      </c>
      <c r="C427">
        <f>Profile!AP448</f>
        <v>0</v>
      </c>
      <c r="D427" t="str">
        <f>IF(Profile!C446="Profile",IF(Profile!A448="ResourceRequirement","OK","XXX"),"XXX")</f>
        <v>XXX</v>
      </c>
    </row>
    <row r="428" spans="1:4" x14ac:dyDescent="0.45">
      <c r="A428">
        <f>ROW()</f>
        <v>428</v>
      </c>
      <c r="B428" t="str">
        <f>Profile!A447</f>
        <v>Resource MinVersion</v>
      </c>
      <c r="C428">
        <f>Profile!AP449</f>
        <v>0</v>
      </c>
      <c r="D428" t="str">
        <f>IF(Profile!C447="Profile",IF(Profile!A449="ResourceRequirement","OK","XXX"),"XXX")</f>
        <v>XXX</v>
      </c>
    </row>
    <row r="429" spans="1:4" x14ac:dyDescent="0.45">
      <c r="A429">
        <f>ROW()</f>
        <v>429</v>
      </c>
      <c r="B429" t="str">
        <f>Profile!A448</f>
        <v>Property</v>
      </c>
      <c r="C429">
        <f>Profile!AP450</f>
        <v>0</v>
      </c>
      <c r="D429" t="str">
        <f>IF(Profile!C448="Profile",IF(Profile!A450="ResourceRequirement","OK","XXX"),"XXX")</f>
        <v>XXX</v>
      </c>
    </row>
    <row r="430" spans="1:4" x14ac:dyDescent="0.45">
      <c r="A430">
        <f>ROW()</f>
        <v>430</v>
      </c>
      <c r="B430" t="str">
        <f>Profile!A449</f>
        <v>AverageFrequencyMHz</v>
      </c>
      <c r="C430">
        <f>Profile!AP451</f>
        <v>0</v>
      </c>
      <c r="D430" t="str">
        <f>IF(Profile!C449="Profile",IF(Profile!A451="ResourceRequirement","OK","XXX"),"XXX")</f>
        <v>XXX</v>
      </c>
    </row>
    <row r="431" spans="1:4" x14ac:dyDescent="0.45">
      <c r="A431">
        <f>ROW()</f>
        <v>431</v>
      </c>
      <c r="B431" t="str">
        <f>Profile!A450</f>
        <v>BandwidthPercent</v>
      </c>
      <c r="C431">
        <f>Profile!AP452</f>
        <v>0</v>
      </c>
      <c r="D431" t="str">
        <f>IF(Profile!C450="Profile",IF(Profile!A452="ResourceRequirement","OK","XXX"),"XXX")</f>
        <v>XXX</v>
      </c>
    </row>
    <row r="432" spans="1:4" x14ac:dyDescent="0.45">
      <c r="A432">
        <f>ROW()</f>
        <v>432</v>
      </c>
      <c r="B432" t="str">
        <f>Profile!A451</f>
        <v>Cache</v>
      </c>
      <c r="C432">
        <f>Profile!AP453</f>
        <v>0</v>
      </c>
      <c r="D432" t="str">
        <f>IF(Profile!C451="Profile",IF(Profile!A453="ResourceRequirement","OK","XXX"),"XXX")</f>
        <v>XXX</v>
      </c>
    </row>
    <row r="433" spans="1:4" x14ac:dyDescent="0.45">
      <c r="A433">
        <f>ROW()</f>
        <v>433</v>
      </c>
      <c r="B433" t="str">
        <f>Profile!A452</f>
        <v xml:space="preserve">   CacheMiss</v>
      </c>
      <c r="C433">
        <f>Profile!AP454</f>
        <v>0</v>
      </c>
      <c r="D433" t="str">
        <f>IF(Profile!C452="Profile",IF(Profile!A454="ResourceRequirement","OK","XXX"),"XXX")</f>
        <v>XXX</v>
      </c>
    </row>
    <row r="434" spans="1:4" x14ac:dyDescent="0.45">
      <c r="A434">
        <f>ROW()</f>
        <v>434</v>
      </c>
      <c r="B434" t="str">
        <f>Profile!A453</f>
        <v xml:space="preserve">   CacheMissesPerInstruction</v>
      </c>
      <c r="C434">
        <f>Profile!AP455</f>
        <v>0</v>
      </c>
      <c r="D434" t="str">
        <f>IF(Profile!C453="Profile",IF(Profile!A455="ResourceRequirement","OK","XXX"),"XXX")</f>
        <v>XXX</v>
      </c>
    </row>
    <row r="435" spans="1:4" x14ac:dyDescent="0.45">
      <c r="A435">
        <f>ROW()</f>
        <v>435</v>
      </c>
      <c r="B435" t="str">
        <f>Profile!A454</f>
        <v xml:space="preserve">   HitRatio</v>
      </c>
      <c r="C435">
        <f>Profile!AP456</f>
        <v>0</v>
      </c>
      <c r="D435" t="str">
        <f>IF(Profile!C454="Profile",IF(Profile!A456="ResourceRequirement","OK","XXX"),"XXX")</f>
        <v>XXX</v>
      </c>
    </row>
    <row r="436" spans="1:4" x14ac:dyDescent="0.45">
      <c r="A436">
        <f>ROW()</f>
        <v>436</v>
      </c>
      <c r="B436" t="str">
        <f>Profile!A455</f>
        <v xml:space="preserve">   Level</v>
      </c>
      <c r="C436">
        <f>Profile!AP457</f>
        <v>0</v>
      </c>
      <c r="D436" t="str">
        <f>IF(Profile!C455="Profile",IF(Profile!A457="ResourceRequirement","OK","XXX"),"XXX")</f>
        <v>XXX</v>
      </c>
    </row>
    <row r="437" spans="1:4" x14ac:dyDescent="0.45">
      <c r="A437">
        <f>ROW()</f>
        <v>437</v>
      </c>
      <c r="B437" t="str">
        <f>Profile!A456</f>
        <v xml:space="preserve">   OccupancyBytes</v>
      </c>
      <c r="C437">
        <f>Profile!AP458</f>
        <v>0</v>
      </c>
      <c r="D437" t="str">
        <f>IF(Profile!C456="Profile",IF(Profile!A458="ResourceRequirement","OK","XXX"),"XXX")</f>
        <v>XXX</v>
      </c>
    </row>
    <row r="438" spans="1:4" x14ac:dyDescent="0.45">
      <c r="A438">
        <f>ROW()</f>
        <v>438</v>
      </c>
      <c r="B438" t="str">
        <f>Profile!A457</f>
        <v xml:space="preserve">   OccupancyPercent</v>
      </c>
      <c r="C438">
        <f>Profile!AP459</f>
        <v>0</v>
      </c>
      <c r="D438" t="str">
        <f>IF(Profile!C457="Profile",IF(Profile!A459="ResourceRequirement","OK","XXX"),"XXX")</f>
        <v>XXX</v>
      </c>
    </row>
    <row r="439" spans="1:4" x14ac:dyDescent="0.45">
      <c r="A439">
        <f>ROW()</f>
        <v>439</v>
      </c>
      <c r="B439" t="str">
        <f>Profile!A458</f>
        <v>ConsumedPowerWatt</v>
      </c>
      <c r="C439">
        <f>Profile!AP460</f>
        <v>0</v>
      </c>
      <c r="D439" t="str">
        <f>IF(Profile!C458="Profile",IF(Profile!A460="ResourceRequirement","OK","XXX"),"XXX")</f>
        <v>XXX</v>
      </c>
    </row>
    <row r="440" spans="1:4" x14ac:dyDescent="0.45">
      <c r="A440">
        <f>ROW()</f>
        <v>440</v>
      </c>
      <c r="B440" t="str">
        <f>Profile!A459</f>
        <v>CoreMetrics</v>
      </c>
      <c r="C440">
        <f>Profile!AP461</f>
        <v>0</v>
      </c>
      <c r="D440" t="str">
        <f>IF(Profile!C459="Profile",IF(Profile!A461="ResourceRequirement","OK","XXX"),"XXX")</f>
        <v>XXX</v>
      </c>
    </row>
    <row r="441" spans="1:4" x14ac:dyDescent="0.45">
      <c r="A441">
        <f>ROW()</f>
        <v>441</v>
      </c>
      <c r="B441" t="str">
        <f>Profile!A460</f>
        <v xml:space="preserve">   CoreCache</v>
      </c>
      <c r="C441">
        <f>Profile!AP462</f>
        <v>0</v>
      </c>
      <c r="D441" t="str">
        <f>IF(Profile!C460="Profile",IF(Profile!A462="ResourceRequirement","OK","XXX"),"XXX")</f>
        <v>XXX</v>
      </c>
    </row>
    <row r="442" spans="1:4" x14ac:dyDescent="0.45">
      <c r="A442">
        <f>ROW()</f>
        <v>442</v>
      </c>
      <c r="B442" t="str">
        <f>Profile!A461</f>
        <v xml:space="preserve">      CacheMiss</v>
      </c>
      <c r="C442">
        <f>Profile!AP463</f>
        <v>0</v>
      </c>
      <c r="D442" t="str">
        <f>IF(Profile!C461="Profile",IF(Profile!A463="ResourceRequirement","OK","XXX"),"XXX")</f>
        <v>XXX</v>
      </c>
    </row>
    <row r="443" spans="1:4" x14ac:dyDescent="0.45">
      <c r="A443">
        <f>ROW()</f>
        <v>443</v>
      </c>
      <c r="B443" t="str">
        <f>Profile!A462</f>
        <v xml:space="preserve">      CacheMissesPerInstruction</v>
      </c>
      <c r="C443">
        <f>Profile!AP464</f>
        <v>0</v>
      </c>
      <c r="D443" t="str">
        <f>IF(Profile!C462="Profile",IF(Profile!A464="ResourceRequirement","OK","XXX"),"XXX")</f>
        <v>XXX</v>
      </c>
    </row>
    <row r="444" spans="1:4" x14ac:dyDescent="0.45">
      <c r="A444">
        <f>ROW()</f>
        <v>444</v>
      </c>
      <c r="B444" t="str">
        <f>Profile!A463</f>
        <v xml:space="preserve">      HitRatio</v>
      </c>
      <c r="C444">
        <f>Profile!AP465</f>
        <v>0</v>
      </c>
      <c r="D444" t="str">
        <f>IF(Profile!C463="Profile",IF(Profile!A465="ResourceRequirement","OK","XXX"),"XXX")</f>
        <v>XXX</v>
      </c>
    </row>
    <row r="445" spans="1:4" x14ac:dyDescent="0.45">
      <c r="A445">
        <f>ROW()</f>
        <v>445</v>
      </c>
      <c r="B445" t="str">
        <f>Profile!A464</f>
        <v xml:space="preserve">      Level</v>
      </c>
      <c r="C445">
        <f>Profile!AP466</f>
        <v>0</v>
      </c>
      <c r="D445" t="str">
        <f>IF(Profile!C464="Profile",IF(Profile!A466="ResourceRequirement","OK","XXX"),"XXX")</f>
        <v>XXX</v>
      </c>
    </row>
    <row r="446" spans="1:4" x14ac:dyDescent="0.45">
      <c r="A446">
        <f>ROW()</f>
        <v>446</v>
      </c>
      <c r="B446" t="str">
        <f>Profile!A465</f>
        <v xml:space="preserve">      OccupancyBytes</v>
      </c>
      <c r="C446">
        <f>Profile!AP467</f>
        <v>0</v>
      </c>
      <c r="D446" t="str">
        <f>IF(Profile!C465="Profile",IF(Profile!A467="ResourceRequirement","OK","XXX"),"XXX")</f>
        <v>XXX</v>
      </c>
    </row>
    <row r="447" spans="1:4" x14ac:dyDescent="0.45">
      <c r="A447">
        <f>ROW()</f>
        <v>447</v>
      </c>
      <c r="B447" t="str">
        <f>Profile!A466</f>
        <v xml:space="preserve">      OccupancyPercent</v>
      </c>
      <c r="C447">
        <f>Profile!AP468</f>
        <v>0</v>
      </c>
      <c r="D447" t="str">
        <f>IF(Profile!C466="Profile",IF(Profile!A468="ResourceRequirement","OK","XXX"),"XXX")</f>
        <v>XXX</v>
      </c>
    </row>
    <row r="448" spans="1:4" x14ac:dyDescent="0.45">
      <c r="A448">
        <f>ROW()</f>
        <v>448</v>
      </c>
      <c r="B448" t="str">
        <f>Profile!A467</f>
        <v xml:space="preserve">   CoreId</v>
      </c>
      <c r="C448">
        <f>Profile!AP469</f>
        <v>0</v>
      </c>
      <c r="D448" t="str">
        <f>IF(Profile!C467="Profile",IF(Profile!A469="ResourceRequirement","OK","XXX"),"XXX")</f>
        <v>XXX</v>
      </c>
    </row>
    <row r="449" spans="1:4" x14ac:dyDescent="0.45">
      <c r="A449">
        <f>ROW()</f>
        <v>449</v>
      </c>
      <c r="B449" t="str">
        <f>Profile!A468</f>
        <v xml:space="preserve">   CStateResidency</v>
      </c>
      <c r="C449">
        <f>Profile!AP470</f>
        <v>0</v>
      </c>
      <c r="D449" t="str">
        <f>IF(Profile!C468="Profile",IF(Profile!A470="ResourceRequirement","OK","XXX"),"XXX")</f>
        <v>XXX</v>
      </c>
    </row>
    <row r="450" spans="1:4" x14ac:dyDescent="0.45">
      <c r="A450">
        <f>ROW()</f>
        <v>450</v>
      </c>
      <c r="B450" t="str">
        <f>Profile!A469</f>
        <v xml:space="preserve">      Level</v>
      </c>
      <c r="C450">
        <f>Profile!AP471</f>
        <v>0</v>
      </c>
      <c r="D450" t="str">
        <f>IF(Profile!C469="Profile",IF(Profile!A471="ResourceRequirement","OK","XXX"),"XXX")</f>
        <v>XXX</v>
      </c>
    </row>
    <row r="451" spans="1:4" x14ac:dyDescent="0.45">
      <c r="A451">
        <f>ROW()</f>
        <v>451</v>
      </c>
      <c r="B451" t="str">
        <f>Profile!A470</f>
        <v xml:space="preserve">      ResidencyPercent</v>
      </c>
      <c r="C451">
        <f>Profile!AP472</f>
        <v>0</v>
      </c>
      <c r="D451" t="str">
        <f>IF(Profile!C470="Profile",IF(Profile!A472="ResourceRequirement","OK","XXX"),"XXX")</f>
        <v>XXX</v>
      </c>
    </row>
    <row r="452" spans="1:4" x14ac:dyDescent="0.45">
      <c r="A452">
        <f>ROW()</f>
        <v>452</v>
      </c>
      <c r="B452" t="str">
        <f>Profile!A471</f>
        <v xml:space="preserve">   InstructionsPerCycle</v>
      </c>
      <c r="C452">
        <f>Profile!AP473</f>
        <v>0</v>
      </c>
      <c r="D452" t="str">
        <f>IF(Profile!C471="Profile",IF(Profile!A473="ResourceRequirement","OK","XXX"),"XXX")</f>
        <v>XXX</v>
      </c>
    </row>
    <row r="453" spans="1:4" x14ac:dyDescent="0.45">
      <c r="A453">
        <f>ROW()</f>
        <v>453</v>
      </c>
      <c r="B453" t="str">
        <f>Profile!A472</f>
        <v xml:space="preserve">   IOStallCount</v>
      </c>
      <c r="C453">
        <f>Profile!AP474</f>
        <v>0</v>
      </c>
      <c r="D453" t="str">
        <f>IF(Profile!C472="Profile",IF(Profile!A474="ResourceRequirement","OK","XXX"),"XXX")</f>
        <v>XXX</v>
      </c>
    </row>
    <row r="454" spans="1:4" x14ac:dyDescent="0.45">
      <c r="A454">
        <f>ROW()</f>
        <v>454</v>
      </c>
      <c r="B454" t="str">
        <f>Profile!A473</f>
        <v xml:space="preserve">   MemoryStallCount</v>
      </c>
      <c r="C454">
        <f>Profile!AP475</f>
        <v>0</v>
      </c>
      <c r="D454" t="str">
        <f>IF(Profile!C473="Profile",IF(Profile!A475="ResourceRequirement","OK","XXX"),"XXX")</f>
        <v>XXX</v>
      </c>
    </row>
    <row r="455" spans="1:4" x14ac:dyDescent="0.45">
      <c r="A455">
        <f>ROW()</f>
        <v>455</v>
      </c>
      <c r="B455" t="str">
        <f>Profile!A474</f>
        <v xml:space="preserve">   UnhaltedCycles</v>
      </c>
      <c r="C455">
        <f>Profile!AP476</f>
        <v>0</v>
      </c>
      <c r="D455" t="str">
        <f>IF(Profile!C474="Profile",IF(Profile!A476="ResourceRequirement","OK","XXX"),"XXX")</f>
        <v>XXX</v>
      </c>
    </row>
    <row r="456" spans="1:4" x14ac:dyDescent="0.45">
      <c r="A456">
        <f>ROW()</f>
        <v>456</v>
      </c>
      <c r="B456" t="str">
        <f>Profile!A475</f>
        <v>FrequencyRatio</v>
      </c>
      <c r="C456">
        <f>Profile!AP477</f>
        <v>0</v>
      </c>
      <c r="D456" t="str">
        <f>IF(Profile!C475="Profile",IF(Profile!A477="ResourceRequirement","OK","XXX"),"XXX")</f>
        <v>XXX</v>
      </c>
    </row>
    <row r="457" spans="1:4" x14ac:dyDescent="0.45">
      <c r="A457">
        <f>ROW()</f>
        <v>457</v>
      </c>
      <c r="B457" t="str">
        <f>Profile!A476</f>
        <v>KernelPercent</v>
      </c>
      <c r="C457">
        <f>Profile!AP478</f>
        <v>0</v>
      </c>
      <c r="D457" t="str">
        <f>IF(Profile!C476="Profile",IF(Profile!A478="ResourceRequirement","OK","XXX"),"XXX")</f>
        <v>XXX</v>
      </c>
    </row>
    <row r="458" spans="1:4" x14ac:dyDescent="0.45">
      <c r="A458">
        <f>ROW()</f>
        <v>458</v>
      </c>
      <c r="B458" t="str">
        <f>Profile!A477</f>
        <v>LocalMemoryBandwidthBytes</v>
      </c>
      <c r="C458">
        <f>Profile!AP479</f>
        <v>0</v>
      </c>
      <c r="D458" t="str">
        <f>IF(Profile!C477="Profile",IF(Profile!A479="ResourceRequirement","OK","XXX"),"XXX")</f>
        <v>XXX</v>
      </c>
    </row>
    <row r="459" spans="1:4" x14ac:dyDescent="0.45">
      <c r="A459">
        <f>ROW()</f>
        <v>459</v>
      </c>
      <c r="B459" t="str">
        <f>Profile!A478</f>
        <v>RemoteMemoryBandwidthBytes</v>
      </c>
      <c r="C459">
        <f>Profile!AP480</f>
        <v>0</v>
      </c>
      <c r="D459" t="str">
        <f>IF(Profile!C478="Profile",IF(Profile!A480="ResourceRequirement","OK","XXX"),"XXX")</f>
        <v>XXX</v>
      </c>
    </row>
    <row r="460" spans="1:4" x14ac:dyDescent="0.45">
      <c r="A460">
        <f>ROW()</f>
        <v>460</v>
      </c>
      <c r="B460" t="str">
        <f>Profile!A479</f>
        <v>TemperatureCelsius</v>
      </c>
      <c r="C460">
        <f>Profile!AP481</f>
        <v>0</v>
      </c>
      <c r="D460" t="str">
        <f>IF(Profile!C479="Profile",IF(Profile!A481="ResourceRequirement","OK","XXX"),"XXX")</f>
        <v>XXX</v>
      </c>
    </row>
    <row r="461" spans="1:4" x14ac:dyDescent="0.45">
      <c r="A461">
        <f>ROW()</f>
        <v>461</v>
      </c>
      <c r="B461" t="str">
        <f>Profile!A480</f>
        <v>ThrottlingCelsius</v>
      </c>
      <c r="C461">
        <f>Profile!AP482</f>
        <v>0</v>
      </c>
      <c r="D461" t="str">
        <f>IF(Profile!C480="Profile",IF(Profile!A482="ResourceRequirement","OK","XXX"),"XXX")</f>
        <v>XXX</v>
      </c>
    </row>
    <row r="462" spans="1:4" x14ac:dyDescent="0.45">
      <c r="A462">
        <f>ROW()</f>
        <v>462</v>
      </c>
      <c r="B462" t="str">
        <f>Profile!A481</f>
        <v>UserPercent</v>
      </c>
      <c r="C462">
        <f>Profile!AP483</f>
        <v>0</v>
      </c>
      <c r="D462" t="str">
        <f>IF(Profile!C481="Profile",IF(Profile!A483="ResourceRequirement","OK","XXX"),"XXX")</f>
        <v>XXX</v>
      </c>
    </row>
    <row r="463" spans="1:4" x14ac:dyDescent="0.45">
      <c r="A463">
        <f>ROW()</f>
        <v>463</v>
      </c>
      <c r="B463" t="str">
        <f>Profile!A482</f>
        <v>ProcessorMetrics URIs</v>
      </c>
      <c r="C463">
        <f>Profile!AP484</f>
        <v>0</v>
      </c>
      <c r="D463" t="str">
        <f>IF(Profile!C482="Profile",IF(Profile!A484="ResourceRequirement","OK","XXX"),"XXX")</f>
        <v>XXX</v>
      </c>
    </row>
    <row r="464" spans="1:4" x14ac:dyDescent="0.45">
      <c r="A464">
        <f>ROW()</f>
        <v>464</v>
      </c>
      <c r="B464" t="str">
        <f>Profile!A483</f>
        <v>/redfish/v1/Systems/{ComputerSystemId}/Processors/{ProcessorId}/ProcessorMetrics</v>
      </c>
      <c r="C464">
        <f>Profile!AP485</f>
        <v>0</v>
      </c>
      <c r="D464" t="str">
        <f>IF(Profile!C483="Profile",IF(Profile!A485="ResourceRequirement","OK","XXX"),"XXX")</f>
        <v>XXX</v>
      </c>
    </row>
    <row r="465" spans="1:4" x14ac:dyDescent="0.45">
      <c r="A465">
        <f>ROW()</f>
        <v>465</v>
      </c>
      <c r="B465" t="str">
        <f>Profile!A484</f>
        <v>/redfish/v1/Systems/{ComputerSystemId}/ProcessorSummary/ProcessorMetrics</v>
      </c>
      <c r="C465">
        <f>Profile!AP486</f>
        <v>0</v>
      </c>
      <c r="D465" t="str">
        <f>IF(Profile!C484="Profile",IF(Profile!A486="ResourceRequirement","OK","XXX"),"XXX")</f>
        <v>XXX</v>
      </c>
    </row>
    <row r="466" spans="1:4" x14ac:dyDescent="0.45">
      <c r="A466">
        <f>ROW()</f>
        <v>466</v>
      </c>
      <c r="B466">
        <f>Profile!A485</f>
        <v>0</v>
      </c>
      <c r="C466">
        <f>Profile!AP487</f>
        <v>0</v>
      </c>
      <c r="D466" t="str">
        <f>IF(Profile!C485="Profile",IF(Profile!A487="ResourceRequirement","OK","XXX"),"XXX")</f>
        <v>XXX</v>
      </c>
    </row>
    <row r="467" spans="1:4" x14ac:dyDescent="0.45">
      <c r="A467">
        <f>ROW()</f>
        <v>467</v>
      </c>
      <c r="B467" t="str">
        <f>Profile!A486</f>
        <v>1.1.1.11            SimpleStorage</v>
      </c>
      <c r="C467">
        <f>Profile!AP488</f>
        <v>0</v>
      </c>
      <c r="D467" t="str">
        <f>IF(Profile!C486="Profile",IF(Profile!A488="ResourceRequirement","OK","XXX"),"XXX")</f>
        <v>XXX</v>
      </c>
    </row>
    <row r="468" spans="1:4" x14ac:dyDescent="0.45">
      <c r="A468">
        <f>ROW()</f>
        <v>468</v>
      </c>
      <c r="B468" t="str">
        <f>Profile!A487</f>
        <v>A SimpleStorage resource represents the properties of a StorageController and its directly-attached devices.</v>
      </c>
      <c r="C468">
        <f>Profile!AP489</f>
        <v>0</v>
      </c>
      <c r="D468" t="str">
        <f>IF(Profile!C487="Profile",IF(Profile!A489="ResourceRequirement","OK","XXX"),"XXX")</f>
        <v>XXX</v>
      </c>
    </row>
    <row r="469" spans="1:4" x14ac:dyDescent="0.45">
      <c r="A469">
        <f>ROW()</f>
        <v>469</v>
      </c>
      <c r="B469" t="str">
        <f>Profile!A488</f>
        <v>Table 15: O-PAS Profile Map for the Redfish SimpleStorage Resource</v>
      </c>
      <c r="C469">
        <f>Profile!AP490</f>
        <v>0</v>
      </c>
      <c r="D469" t="str">
        <f>IF(Profile!C488="Profile",IF(Profile!A490="ResourceRequirement","OK","XXX"),"XXX")</f>
        <v>XXX</v>
      </c>
    </row>
    <row r="470" spans="1:4" x14ac:dyDescent="0.45">
      <c r="A470">
        <f>ROW()</f>
        <v>470</v>
      </c>
      <c r="B470" t="str">
        <f>Profile!A489</f>
        <v>SimpleStorage (1.2.1)</v>
      </c>
      <c r="C470">
        <f>Profile!AP491</f>
        <v>0</v>
      </c>
      <c r="D470" t="str">
        <f>IF(Profile!C489="Profile",IF(Profile!A491="ResourceRequirement","OK","XXX"),"XXX")</f>
        <v>XXX</v>
      </c>
    </row>
    <row r="471" spans="1:4" x14ac:dyDescent="0.45">
      <c r="A471">
        <f>ROW()</f>
        <v>471</v>
      </c>
      <c r="B471">
        <f>Profile!A490</f>
        <v>0</v>
      </c>
      <c r="C471">
        <f>Profile!AP492</f>
        <v>0</v>
      </c>
      <c r="D471" t="str">
        <f>IF(Profile!C490="Profile",IF(Profile!A492="ResourceRequirement","OK","XXX"),"XXX")</f>
        <v>XXX</v>
      </c>
    </row>
    <row r="472" spans="1:4" x14ac:dyDescent="0.45">
      <c r="A472">
        <f>ROW()</f>
        <v>472</v>
      </c>
      <c r="B472" t="str">
        <f>Profile!A491</f>
        <v>SimpleStorage (1.2.2)</v>
      </c>
      <c r="C472">
        <f>Profile!AP493</f>
        <v>56</v>
      </c>
      <c r="D472" t="str">
        <f>IF(Profile!C491="Profile",IF(Profile!A493="ResourceRequirement","OK","XXX"),"XXX")</f>
        <v>OK</v>
      </c>
    </row>
    <row r="473" spans="1:4" x14ac:dyDescent="0.45">
      <c r="A473">
        <f>ROW()</f>
        <v>473</v>
      </c>
      <c r="B473">
        <f>Profile!A492</f>
        <v>0</v>
      </c>
      <c r="C473">
        <f>Profile!AP494</f>
        <v>0</v>
      </c>
      <c r="D473" t="str">
        <f>IF(Profile!C492="Profile",IF(Profile!A494="ResourceRequirement","OK","XXX"),"XXX")</f>
        <v>XXX</v>
      </c>
    </row>
    <row r="474" spans="1:4" x14ac:dyDescent="0.45">
      <c r="A474">
        <f>ROW()</f>
        <v>474</v>
      </c>
      <c r="B474" t="str">
        <f>Profile!A493</f>
        <v>ResourceRequirement</v>
      </c>
      <c r="C474">
        <f>Profile!AP495</f>
        <v>0</v>
      </c>
      <c r="D474" t="str">
        <f>IF(Profile!C493="Profile",IF(Profile!A495="ResourceRequirement","OK","XXX"),"XXX")</f>
        <v>XXX</v>
      </c>
    </row>
    <row r="475" spans="1:4" x14ac:dyDescent="0.45">
      <c r="A475">
        <f>ROW()</f>
        <v>475</v>
      </c>
      <c r="B475" t="str">
        <f>Profile!A494</f>
        <v>Resource MinVersion</v>
      </c>
      <c r="C475">
        <f>Profile!AP496</f>
        <v>0</v>
      </c>
      <c r="D475" t="str">
        <f>IF(Profile!C494="Profile",IF(Profile!A496="ResourceRequirement","OK","XXX"),"XXX")</f>
        <v>XXX</v>
      </c>
    </row>
    <row r="476" spans="1:4" x14ac:dyDescent="0.45">
      <c r="A476">
        <f>ROW()</f>
        <v>476</v>
      </c>
      <c r="B476" t="str">
        <f>Profile!A495</f>
        <v>Property</v>
      </c>
      <c r="C476">
        <f>Profile!AP497</f>
        <v>0</v>
      </c>
      <c r="D476" t="str">
        <f>IF(Profile!C495="Profile",IF(Profile!A497="ResourceRequirement","OK","XXX"),"XXX")</f>
        <v>XXX</v>
      </c>
    </row>
    <row r="477" spans="1:4" x14ac:dyDescent="0.45">
      <c r="A477">
        <f>ROW()</f>
        <v>477</v>
      </c>
      <c r="B477" t="str">
        <f>Profile!A496</f>
        <v>Actions</v>
      </c>
      <c r="C477">
        <f>Profile!AP498</f>
        <v>0</v>
      </c>
      <c r="D477" t="str">
        <f>IF(Profile!C496="Profile",IF(Profile!A498="ResourceRequirement","OK","XXX"),"XXX")</f>
        <v>XXX</v>
      </c>
    </row>
    <row r="478" spans="1:4" x14ac:dyDescent="0.45">
      <c r="A478">
        <f>ROW()</f>
        <v>478</v>
      </c>
      <c r="B478" t="str">
        <f>Profile!A497</f>
        <v>Description</v>
      </c>
      <c r="C478">
        <f>Profile!AP499</f>
        <v>0</v>
      </c>
      <c r="D478" t="str">
        <f>IF(Profile!C497="Profile",IF(Profile!A499="ResourceRequirement","OK","XXX"),"XXX")</f>
        <v>XXX</v>
      </c>
    </row>
    <row r="479" spans="1:4" x14ac:dyDescent="0.45">
      <c r="A479">
        <f>ROW()</f>
        <v>479</v>
      </c>
      <c r="B479" t="str">
        <f>Profile!A498</f>
        <v>Devices</v>
      </c>
      <c r="C479">
        <f>Profile!AP500</f>
        <v>0</v>
      </c>
      <c r="D479" t="str">
        <f>IF(Profile!C498="Profile",IF(Profile!A500="ResourceRequirement","OK","XXX"),"XXX")</f>
        <v>XXX</v>
      </c>
    </row>
    <row r="480" spans="1:4" x14ac:dyDescent="0.45">
      <c r="A480">
        <f>ROW()</f>
        <v>480</v>
      </c>
      <c r="B480" t="str">
        <f>Profile!A499</f>
        <v xml:space="preserve">   CapacityBytes</v>
      </c>
      <c r="C480">
        <f>Profile!AP501</f>
        <v>0</v>
      </c>
      <c r="D480" t="str">
        <f>IF(Profile!C499="Profile",IF(Profile!A501="ResourceRequirement","OK","XXX"),"XXX")</f>
        <v>XXX</v>
      </c>
    </row>
    <row r="481" spans="1:4" x14ac:dyDescent="0.45">
      <c r="A481">
        <f>ROW()</f>
        <v>481</v>
      </c>
      <c r="B481" t="str">
        <f>Profile!A500</f>
        <v xml:space="preserve">   Manufacturer</v>
      </c>
      <c r="C481">
        <f>Profile!AP502</f>
        <v>0</v>
      </c>
      <c r="D481" t="str">
        <f>IF(Profile!C500="Profile",IF(Profile!A502="ResourceRequirement","OK","XXX"),"XXX")</f>
        <v>XXX</v>
      </c>
    </row>
    <row r="482" spans="1:4" x14ac:dyDescent="0.45">
      <c r="A482">
        <f>ROW()</f>
        <v>482</v>
      </c>
      <c r="B482" t="str">
        <f>Profile!A501</f>
        <v xml:space="preserve">   Model</v>
      </c>
      <c r="C482">
        <f>Profile!AP503</f>
        <v>0</v>
      </c>
      <c r="D482" t="str">
        <f>IF(Profile!C501="Profile",IF(Profile!A503="ResourceRequirement","OK","XXX"),"XXX")</f>
        <v>XXX</v>
      </c>
    </row>
    <row r="483" spans="1:4" x14ac:dyDescent="0.45">
      <c r="A483">
        <f>ROW()</f>
        <v>483</v>
      </c>
      <c r="B483" t="str">
        <f>Profile!A502</f>
        <v xml:space="preserve">   Name</v>
      </c>
      <c r="C483">
        <f>Profile!AP504</f>
        <v>0</v>
      </c>
      <c r="D483" t="str">
        <f>IF(Profile!C502="Profile",IF(Profile!A504="ResourceRequirement","OK","XXX"),"XXX")</f>
        <v>XXX</v>
      </c>
    </row>
    <row r="484" spans="1:4" x14ac:dyDescent="0.45">
      <c r="A484">
        <f>ROW()</f>
        <v>484</v>
      </c>
      <c r="B484" t="str">
        <f>Profile!A503</f>
        <v xml:space="preserve">   Oem</v>
      </c>
      <c r="C484">
        <f>Profile!AP505</f>
        <v>0</v>
      </c>
      <c r="D484" t="str">
        <f>IF(Profile!C503="Profile",IF(Profile!A505="ResourceRequirement","OK","XXX"),"XXX")</f>
        <v>XXX</v>
      </c>
    </row>
    <row r="485" spans="1:4" x14ac:dyDescent="0.45">
      <c r="A485">
        <f>ROW()</f>
        <v>485</v>
      </c>
      <c r="B485" t="str">
        <f>Profile!A504</f>
        <v xml:space="preserve">   Status</v>
      </c>
      <c r="C485">
        <f>Profile!AP506</f>
        <v>0</v>
      </c>
      <c r="D485" t="str">
        <f>IF(Profile!C504="Profile",IF(Profile!A506="ResourceRequirement","OK","XXX"),"XXX")</f>
        <v>XXX</v>
      </c>
    </row>
    <row r="486" spans="1:4" x14ac:dyDescent="0.45">
      <c r="A486">
        <f>ROW()</f>
        <v>486</v>
      </c>
      <c r="B486" t="str">
        <f>Profile!A505</f>
        <v>Links</v>
      </c>
      <c r="C486">
        <f>Profile!AP507</f>
        <v>0</v>
      </c>
      <c r="D486" t="str">
        <f>IF(Profile!C505="Profile",IF(Profile!A507="ResourceRequirement","OK","XXX"),"XXX")</f>
        <v>XXX</v>
      </c>
    </row>
    <row r="487" spans="1:4" x14ac:dyDescent="0.45">
      <c r="A487">
        <f>ROW()</f>
        <v>487</v>
      </c>
      <c r="B487" t="str">
        <f>Profile!A506</f>
        <v xml:space="preserve">   Chassis</v>
      </c>
      <c r="C487">
        <f>Profile!AP508</f>
        <v>0</v>
      </c>
      <c r="D487" t="str">
        <f>IF(Profile!C506="Profile",IF(Profile!A508="ResourceRequirement","OK","XXX"),"XXX")</f>
        <v>XXX</v>
      </c>
    </row>
    <row r="488" spans="1:4" x14ac:dyDescent="0.45">
      <c r="A488">
        <f>ROW()</f>
        <v>488</v>
      </c>
      <c r="B488" t="str">
        <f>Profile!A507</f>
        <v xml:space="preserve">      @odata.id</v>
      </c>
      <c r="C488">
        <f>Profile!AP509</f>
        <v>0</v>
      </c>
      <c r="D488" t="str">
        <f>IF(Profile!C507="Profile",IF(Profile!A509="ResourceRequirement","OK","XXX"),"XXX")</f>
        <v>XXX</v>
      </c>
    </row>
    <row r="489" spans="1:4" x14ac:dyDescent="0.45">
      <c r="A489">
        <f>ROW()</f>
        <v>489</v>
      </c>
      <c r="B489" t="str">
        <f>Profile!A508</f>
        <v xml:space="preserve">   Oem</v>
      </c>
      <c r="C489">
        <f>Profile!AP512</f>
        <v>0</v>
      </c>
      <c r="D489" t="str">
        <f>IF(Profile!C508="Profile",IF(Profile!A512="ResourceRequirement","OK","XXX"),"XXX")</f>
        <v>XXX</v>
      </c>
    </row>
    <row r="490" spans="1:4" x14ac:dyDescent="0.45">
      <c r="A490">
        <f>ROW()</f>
        <v>490</v>
      </c>
      <c r="B490" t="str">
        <f>Profile!A509</f>
        <v>Status</v>
      </c>
      <c r="C490">
        <f>Profile!AP513</f>
        <v>0</v>
      </c>
      <c r="D490" t="str">
        <f>IF(Profile!C509="Profile",IF(Profile!A513="ResourceRequirement","OK","XXX"),"XXX")</f>
        <v>XXX</v>
      </c>
    </row>
    <row r="491" spans="1:4" x14ac:dyDescent="0.45">
      <c r="A491">
        <f>ROW()</f>
        <v>491</v>
      </c>
      <c r="B491" t="str">
        <f>Profile!A512</f>
        <v>UefiDevicePath</v>
      </c>
      <c r="C491">
        <f>Profile!AP514</f>
        <v>0</v>
      </c>
      <c r="D491" t="str">
        <f>IF(Profile!C512="Profile",IF(Profile!A514="ResourceRequirement","OK","XXX"),"XXX")</f>
        <v>XXX</v>
      </c>
    </row>
    <row r="492" spans="1:4" x14ac:dyDescent="0.45">
      <c r="A492">
        <f>ROW()</f>
        <v>492</v>
      </c>
      <c r="B492" t="str">
        <f>Profile!A513</f>
        <v>SimpleStorage URIs</v>
      </c>
      <c r="C492">
        <f>Profile!AP515</f>
        <v>0</v>
      </c>
      <c r="D492" t="str">
        <f>IF(Profile!C513="Profile",IF(Profile!A515="ResourceRequirement","OK","XXX"),"XXX")</f>
        <v>XXX</v>
      </c>
    </row>
    <row r="493" spans="1:4" x14ac:dyDescent="0.45">
      <c r="A493">
        <f>ROW()</f>
        <v>493</v>
      </c>
      <c r="B493" t="str">
        <f>Profile!A514</f>
        <v>/redfish/v1/Systems/{ComputerSystemId}/SimpleStorage/{SimpleStorageId}</v>
      </c>
      <c r="C493">
        <f>Profile!AP516</f>
        <v>0</v>
      </c>
      <c r="D493" t="str">
        <f>IF(Profile!C514="Profile",IF(Profile!A516="ResourceRequirement","OK","XXX"),"XXX")</f>
        <v>XXX</v>
      </c>
    </row>
    <row r="494" spans="1:4" x14ac:dyDescent="0.45">
      <c r="A494">
        <f>ROW()</f>
        <v>494</v>
      </c>
      <c r="B494">
        <f>Profile!A515</f>
        <v>0</v>
      </c>
      <c r="C494">
        <f>Profile!AP517</f>
        <v>0</v>
      </c>
      <c r="D494" t="str">
        <f>IF(Profile!C515="Profile",IF(Profile!A517="ResourceRequirement","OK","XXX"),"XXX")</f>
        <v>XXX</v>
      </c>
    </row>
    <row r="495" spans="1:4" x14ac:dyDescent="0.45">
      <c r="A495">
        <f>ROW()</f>
        <v>495</v>
      </c>
      <c r="B495" t="str">
        <f>Profile!A516</f>
        <v>1.1.1.12            Storage</v>
      </c>
      <c r="C495">
        <f>Profile!AP518</f>
        <v>0</v>
      </c>
      <c r="D495" t="str">
        <f>IF(Profile!C516="Profile",IF(Profile!A518="ResourceRequirement","OK","XXX"),"XXX")</f>
        <v>XXX</v>
      </c>
    </row>
    <row r="496" spans="1:4" x14ac:dyDescent="0.45">
      <c r="A496">
        <f>ROW()</f>
        <v>496</v>
      </c>
      <c r="B496" t="str">
        <f>Profile!A517</f>
        <v>A Storage resource represents a set of StorageControllers (physical or virtual) and the resources such as volumes that can be accessed from that subsystem.</v>
      </c>
      <c r="C496">
        <f>Profile!AP519</f>
        <v>0</v>
      </c>
      <c r="D496" t="str">
        <f>IF(Profile!C517="Profile",IF(Profile!A519="ResourceRequirement","OK","XXX"),"XXX")</f>
        <v>XXX</v>
      </c>
    </row>
    <row r="497" spans="1:4" x14ac:dyDescent="0.45">
      <c r="A497">
        <f>ROW()</f>
        <v>497</v>
      </c>
      <c r="B497" t="str">
        <f>Profile!A518</f>
        <v>Table 16: O-PAS Profile Map for the Redfish Storage Resource</v>
      </c>
      <c r="C497">
        <f>Profile!AP520</f>
        <v>0</v>
      </c>
      <c r="D497" t="str">
        <f>IF(Profile!C518="Profile",IF(Profile!A520="ResourceRequirement","OK","XXX"),"XXX")</f>
        <v>XXX</v>
      </c>
    </row>
    <row r="498" spans="1:4" x14ac:dyDescent="0.45">
      <c r="A498">
        <f>ROW()</f>
        <v>498</v>
      </c>
      <c r="B498" t="str">
        <f>Profile!A519</f>
        <v>Storage (1.5.0)</v>
      </c>
      <c r="C498">
        <f>Profile!AP521</f>
        <v>0</v>
      </c>
      <c r="D498" t="str">
        <f>IF(Profile!C519="Profile",IF(Profile!A521="ResourceRequirement","OK","XXX"),"XXX")</f>
        <v>XXX</v>
      </c>
    </row>
    <row r="499" spans="1:4" x14ac:dyDescent="0.45">
      <c r="A499">
        <f>ROW()</f>
        <v>499</v>
      </c>
      <c r="B499">
        <f>Profile!A520</f>
        <v>0</v>
      </c>
      <c r="C499">
        <f>Profile!AP522</f>
        <v>0</v>
      </c>
      <c r="D499" t="str">
        <f>IF(Profile!C520="Profile",IF(Profile!A522="ResourceRequirement","OK","XXX"),"XXX")</f>
        <v>XXX</v>
      </c>
    </row>
    <row r="500" spans="1:4" x14ac:dyDescent="0.45">
      <c r="A500">
        <f>ROW()</f>
        <v>500</v>
      </c>
      <c r="B500" t="str">
        <f>Profile!A521</f>
        <v>Storage (1.7.0)</v>
      </c>
      <c r="C500">
        <f>Profile!AP523</f>
        <v>58</v>
      </c>
      <c r="D500" t="str">
        <f>IF(Profile!C521="Profile",IF(Profile!A523="ResourceRequirement","OK","XXX"),"XXX")</f>
        <v>OK</v>
      </c>
    </row>
    <row r="501" spans="1:4" x14ac:dyDescent="0.45">
      <c r="A501">
        <f>ROW()</f>
        <v>501</v>
      </c>
      <c r="B501">
        <f>Profile!A522</f>
        <v>0</v>
      </c>
      <c r="C501">
        <f>Profile!AP524</f>
        <v>0</v>
      </c>
      <c r="D501" t="str">
        <f>IF(Profile!C522="Profile",IF(Profile!A524="ResourceRequirement","OK","XXX"),"XXX")</f>
        <v>XXX</v>
      </c>
    </row>
    <row r="502" spans="1:4" x14ac:dyDescent="0.45">
      <c r="A502">
        <f>ROW()</f>
        <v>502</v>
      </c>
      <c r="B502" t="str">
        <f>Profile!A523</f>
        <v>ResourceRequirement</v>
      </c>
      <c r="C502">
        <f>Profile!AP525</f>
        <v>0</v>
      </c>
      <c r="D502" t="str">
        <f>IF(Profile!C523="Profile",IF(Profile!A525="ResourceRequirement","OK","XXX"),"XXX")</f>
        <v>XXX</v>
      </c>
    </row>
    <row r="503" spans="1:4" x14ac:dyDescent="0.45">
      <c r="A503">
        <f>ROW()</f>
        <v>503</v>
      </c>
      <c r="B503" t="str">
        <f>Profile!A524</f>
        <v>Resource MinVersion</v>
      </c>
      <c r="C503">
        <f>Profile!AP526</f>
        <v>0</v>
      </c>
      <c r="D503" t="str">
        <f>IF(Profile!C524="Profile",IF(Profile!A526="ResourceRequirement","OK","XXX"),"XXX")</f>
        <v>XXX</v>
      </c>
    </row>
    <row r="504" spans="1:4" x14ac:dyDescent="0.45">
      <c r="A504">
        <f>ROW()</f>
        <v>504</v>
      </c>
      <c r="B504" t="str">
        <f>Profile!A525</f>
        <v>Property</v>
      </c>
      <c r="C504">
        <f>Profile!AP527</f>
        <v>0</v>
      </c>
      <c r="D504" t="str">
        <f>IF(Profile!C525="Profile",IF(Profile!A527="ResourceRequirement","OK","XXX"),"XXX")</f>
        <v>XXX</v>
      </c>
    </row>
    <row r="505" spans="1:4" x14ac:dyDescent="0.45">
      <c r="A505">
        <f>ROW()</f>
        <v>505</v>
      </c>
      <c r="B505" t="str">
        <f>Profile!A526</f>
        <v>Actions</v>
      </c>
      <c r="C505">
        <f>Profile!AP528</f>
        <v>0</v>
      </c>
      <c r="D505" t="str">
        <f>IF(Profile!C526="Profile",IF(Profile!A528="ResourceRequirement","OK","XXX"),"XXX")</f>
        <v>XXX</v>
      </c>
    </row>
    <row r="506" spans="1:4" x14ac:dyDescent="0.45">
      <c r="A506">
        <f>ROW()</f>
        <v>506</v>
      </c>
      <c r="B506" t="str">
        <f>Profile!A527</f>
        <v xml:space="preserve">   #Storage.SetEncryptionKey</v>
      </c>
      <c r="C506">
        <f>Profile!AP529</f>
        <v>0</v>
      </c>
      <c r="D506" t="str">
        <f>IF(Profile!C527="Profile",IF(Profile!A529="ResourceRequirement","OK","XXX"),"XXX")</f>
        <v>XXX</v>
      </c>
    </row>
    <row r="507" spans="1:4" x14ac:dyDescent="0.45">
      <c r="A507">
        <f>ROW()</f>
        <v>507</v>
      </c>
      <c r="B507" t="str">
        <f>Profile!A528</f>
        <v>Drives</v>
      </c>
      <c r="C507">
        <f>Profile!AP530</f>
        <v>0</v>
      </c>
      <c r="D507" t="str">
        <f>IF(Profile!C528="Profile",IF(Profile!A530="ResourceRequirement","OK","XXX"),"XXX")</f>
        <v>XXX</v>
      </c>
    </row>
    <row r="508" spans="1:4" x14ac:dyDescent="0.45">
      <c r="A508">
        <f>ROW()</f>
        <v>508</v>
      </c>
      <c r="B508" t="str">
        <f>Profile!A529</f>
        <v xml:space="preserve">   @odata.id</v>
      </c>
      <c r="C508">
        <f>Profile!AP531</f>
        <v>0</v>
      </c>
      <c r="D508" t="str">
        <f>IF(Profile!C529="Profile",IF(Profile!A531="ResourceRequirement","OK","XXX"),"XXX")</f>
        <v>XXX</v>
      </c>
    </row>
    <row r="509" spans="1:4" x14ac:dyDescent="0.45">
      <c r="A509">
        <f>ROW()</f>
        <v>509</v>
      </c>
      <c r="B509" t="str">
        <f>Profile!A530</f>
        <v>Links</v>
      </c>
      <c r="C509">
        <f>Profile!AP532</f>
        <v>0</v>
      </c>
      <c r="D509" t="str">
        <f>IF(Profile!C530="Profile",IF(Profile!A532="ResourceRequirement","OK","XXX"),"XXX")</f>
        <v>XXX</v>
      </c>
    </row>
    <row r="510" spans="1:4" x14ac:dyDescent="0.45">
      <c r="A510">
        <f>ROW()</f>
        <v>510</v>
      </c>
      <c r="B510" t="str">
        <f>Profile!A531</f>
        <v xml:space="preserve">   Enclosures</v>
      </c>
      <c r="C510">
        <f>Profile!AP533</f>
        <v>0</v>
      </c>
      <c r="D510" t="str">
        <f>IF(Profile!C531="Profile",IF(Profile!A533="ResourceRequirement","OK","XXX"),"XXX")</f>
        <v>XXX</v>
      </c>
    </row>
    <row r="511" spans="1:4" x14ac:dyDescent="0.45">
      <c r="A511">
        <f>ROW()</f>
        <v>511</v>
      </c>
      <c r="B511" t="str">
        <f>Profile!A532</f>
        <v xml:space="preserve">      @odata.id</v>
      </c>
      <c r="C511">
        <f>Profile!AP534</f>
        <v>0</v>
      </c>
      <c r="D511" t="str">
        <f>IF(Profile!C532="Profile",IF(Profile!A534="ResourceRequirement","OK","XXX"),"XXX")</f>
        <v>XXX</v>
      </c>
    </row>
    <row r="512" spans="1:4" x14ac:dyDescent="0.45">
      <c r="A512">
        <f>ROW()</f>
        <v>512</v>
      </c>
      <c r="B512" t="str">
        <f>Profile!A533</f>
        <v xml:space="preserve">   Oem</v>
      </c>
      <c r="C512">
        <f>Profile!AP535</f>
        <v>0</v>
      </c>
      <c r="D512" t="str">
        <f>IF(Profile!C533="Profile",IF(Profile!A535="ResourceRequirement","OK","XXX"),"XXX")</f>
        <v>XXX</v>
      </c>
    </row>
    <row r="513" spans="1:4" x14ac:dyDescent="0.45">
      <c r="A513">
        <f>ROW()</f>
        <v>513</v>
      </c>
      <c r="B513" t="str">
        <f>Profile!A534</f>
        <v>Redundancy</v>
      </c>
      <c r="C513">
        <f>Profile!AP536</f>
        <v>0</v>
      </c>
      <c r="D513" t="str">
        <f>IF(Profile!C534="Profile",IF(Profile!A536="ResourceRequirement","OK","XXX"),"XXX")</f>
        <v>XXX</v>
      </c>
    </row>
    <row r="514" spans="1:4" x14ac:dyDescent="0.45">
      <c r="A514">
        <f>ROW()</f>
        <v>514</v>
      </c>
      <c r="B514" t="str">
        <f>Profile!A535</f>
        <v xml:space="preserve">   @odata.id</v>
      </c>
      <c r="C514">
        <f>Profile!AP539</f>
        <v>0</v>
      </c>
      <c r="D514" t="str">
        <f>IF(Profile!C535="Profile",IF(Profile!A539="ResourceRequirement","OK","XXX"),"XXX")</f>
        <v>XXX</v>
      </c>
    </row>
    <row r="515" spans="1:4" x14ac:dyDescent="0.45">
      <c r="A515">
        <f>ROW()</f>
        <v>515</v>
      </c>
      <c r="B515" t="str">
        <f>Profile!A536</f>
        <v>Status</v>
      </c>
      <c r="C515">
        <f>Profile!AP540</f>
        <v>0</v>
      </c>
      <c r="D515" t="str">
        <f>IF(Profile!C536="Profile",IF(Profile!A540="ResourceRequirement","OK","XXX"),"XXX")</f>
        <v>XXX</v>
      </c>
    </row>
    <row r="516" spans="1:4" x14ac:dyDescent="0.45">
      <c r="A516">
        <f>ROW()</f>
        <v>516</v>
      </c>
      <c r="B516" t="str">
        <f>Profile!A539</f>
        <v>StorageControllers</v>
      </c>
      <c r="C516">
        <f>Profile!AP541</f>
        <v>0</v>
      </c>
      <c r="D516" t="str">
        <f>IF(Profile!C539="Profile",IF(Profile!A541="ResourceRequirement","OK","XXX"),"XXX")</f>
        <v>XXX</v>
      </c>
    </row>
    <row r="517" spans="1:4" x14ac:dyDescent="0.45">
      <c r="A517">
        <f>ROW()</f>
        <v>517</v>
      </c>
      <c r="B517" t="str">
        <f>Profile!A540</f>
        <v xml:space="preserve">   Actions</v>
      </c>
      <c r="C517">
        <f>Profile!AP542</f>
        <v>0</v>
      </c>
      <c r="D517" t="str">
        <f>IF(Profile!C540="Profile",IF(Profile!A542="ResourceRequirement","OK","XXX"),"XXX")</f>
        <v>XXX</v>
      </c>
    </row>
    <row r="518" spans="1:4" x14ac:dyDescent="0.45">
      <c r="A518">
        <f>ROW()</f>
        <v>518</v>
      </c>
      <c r="B518" t="str">
        <f>Profile!A541</f>
        <v xml:space="preserve">   Assembly</v>
      </c>
      <c r="C518">
        <f>Profile!AP543</f>
        <v>0</v>
      </c>
      <c r="D518" t="str">
        <f>IF(Profile!C541="Profile",IF(Profile!A543="ResourceRequirement","OK","XXX"),"XXX")</f>
        <v>XXX</v>
      </c>
    </row>
    <row r="519" spans="1:4" x14ac:dyDescent="0.45">
      <c r="A519">
        <f>ROW()</f>
        <v>519</v>
      </c>
      <c r="B519" t="str">
        <f>Profile!A542</f>
        <v xml:space="preserve">      @odata.id</v>
      </c>
      <c r="C519">
        <f>Profile!AP544</f>
        <v>0</v>
      </c>
      <c r="D519" t="str">
        <f>IF(Profile!C542="Profile",IF(Profile!A544="ResourceRequirement","OK","XXX"),"XXX")</f>
        <v>XXX</v>
      </c>
    </row>
    <row r="520" spans="1:4" x14ac:dyDescent="0.45">
      <c r="A520">
        <f>ROW()</f>
        <v>520</v>
      </c>
      <c r="B520" t="str">
        <f>Profile!A543</f>
        <v xml:space="preserve">   AssetTag</v>
      </c>
      <c r="C520">
        <f>Profile!AP545</f>
        <v>0</v>
      </c>
      <c r="D520" t="str">
        <f>IF(Profile!C543="Profile",IF(Profile!A545="ResourceRequirement","OK","XXX"),"XXX")</f>
        <v>XXX</v>
      </c>
    </row>
    <row r="521" spans="1:4" x14ac:dyDescent="0.45">
      <c r="A521">
        <f>ROW()</f>
        <v>521</v>
      </c>
      <c r="B521" t="str">
        <f>Profile!A544</f>
        <v xml:space="preserve">   CacheSummary</v>
      </c>
      <c r="C521">
        <f>Profile!AP546</f>
        <v>0</v>
      </c>
      <c r="D521" t="str">
        <f>IF(Profile!C544="Profile",IF(Profile!A546="ResourceRequirement","OK","XXX"),"XXX")</f>
        <v>XXX</v>
      </c>
    </row>
    <row r="522" spans="1:4" x14ac:dyDescent="0.45">
      <c r="A522">
        <f>ROW()</f>
        <v>522</v>
      </c>
      <c r="B522" t="str">
        <f>Profile!A545</f>
        <v xml:space="preserve">      PersistentCacheSizeMiB</v>
      </c>
      <c r="C522">
        <f>Profile!AP549</f>
        <v>0</v>
      </c>
      <c r="D522" t="str">
        <f>IF(Profile!C545="Profile",IF(Profile!A549="ResourceRequirement","OK","XXX"),"XXX")</f>
        <v>XXX</v>
      </c>
    </row>
    <row r="523" spans="1:4" x14ac:dyDescent="0.45">
      <c r="A523">
        <f>ROW()</f>
        <v>523</v>
      </c>
      <c r="B523" t="str">
        <f>Profile!A546</f>
        <v xml:space="preserve">      Status</v>
      </c>
      <c r="C523">
        <f>Profile!AP550</f>
        <v>0</v>
      </c>
      <c r="D523" t="str">
        <f>IF(Profile!C546="Profile",IF(Profile!A550="ResourceRequirement","OK","XXX"),"XXX")</f>
        <v>XXX</v>
      </c>
    </row>
    <row r="524" spans="1:4" x14ac:dyDescent="0.45">
      <c r="A524">
        <f>ROW()</f>
        <v>524</v>
      </c>
      <c r="B524" t="str">
        <f>Profile!A549</f>
        <v xml:space="preserve">      TotalCacheSizeMiB</v>
      </c>
      <c r="C524">
        <f>Profile!AP551</f>
        <v>0</v>
      </c>
      <c r="D524" t="str">
        <f>IF(Profile!C549="Profile",IF(Profile!A551="ResourceRequirement","OK","XXX"),"XXX")</f>
        <v>XXX</v>
      </c>
    </row>
    <row r="525" spans="1:4" x14ac:dyDescent="0.45">
      <c r="A525">
        <f>ROW()</f>
        <v>525</v>
      </c>
      <c r="B525" t="str">
        <f>Profile!A550</f>
        <v xml:space="preserve">   ControllerRates</v>
      </c>
      <c r="C525">
        <f>Profile!AP552</f>
        <v>0</v>
      </c>
      <c r="D525" t="str">
        <f>IF(Profile!C550="Profile",IF(Profile!A552="ResourceRequirement","OK","XXX"),"XXX")</f>
        <v>XXX</v>
      </c>
    </row>
    <row r="526" spans="1:4" x14ac:dyDescent="0.45">
      <c r="A526">
        <f>ROW()</f>
        <v>526</v>
      </c>
      <c r="B526" t="str">
        <f>Profile!A551</f>
        <v xml:space="preserve">      ConsistencyCheckRatePercent</v>
      </c>
      <c r="C526">
        <f>Profile!AP553</f>
        <v>0</v>
      </c>
      <c r="D526" t="str">
        <f>IF(Profile!C551="Profile",IF(Profile!A553="ResourceRequirement","OK","XXX"),"XXX")</f>
        <v>XXX</v>
      </c>
    </row>
    <row r="527" spans="1:4" x14ac:dyDescent="0.45">
      <c r="A527">
        <f>ROW()</f>
        <v>527</v>
      </c>
      <c r="B527" t="str">
        <f>Profile!A552</f>
        <v xml:space="preserve">      RebuildRatePercent</v>
      </c>
      <c r="C527">
        <f>Profile!AP554</f>
        <v>0</v>
      </c>
      <c r="D527" t="str">
        <f>IF(Profile!C552="Profile",IF(Profile!A554="ResourceRequirement","OK","XXX"),"XXX")</f>
        <v>XXX</v>
      </c>
    </row>
    <row r="528" spans="1:4" x14ac:dyDescent="0.45">
      <c r="A528">
        <f>ROW()</f>
        <v>528</v>
      </c>
      <c r="B528" t="str">
        <f>Profile!A553</f>
        <v xml:space="preserve">      TransformationRatePercent</v>
      </c>
      <c r="C528">
        <f>Profile!AP555</f>
        <v>0</v>
      </c>
      <c r="D528" t="str">
        <f>IF(Profile!C553="Profile",IF(Profile!A555="ResourceRequirement","OK","XXX"),"XXX")</f>
        <v>XXX</v>
      </c>
    </row>
    <row r="529" spans="1:4" x14ac:dyDescent="0.45">
      <c r="A529">
        <f>ROW()</f>
        <v>529</v>
      </c>
      <c r="B529" t="str">
        <f>Profile!A554</f>
        <v xml:space="preserve">   FirmwareVersion</v>
      </c>
      <c r="C529">
        <f>Profile!AP556</f>
        <v>0</v>
      </c>
      <c r="D529" t="str">
        <f>IF(Profile!C554="Profile",IF(Profile!A556="ResourceRequirement","OK","XXX"),"XXX")</f>
        <v>XXX</v>
      </c>
    </row>
    <row r="530" spans="1:4" x14ac:dyDescent="0.45">
      <c r="A530">
        <f>ROW()</f>
        <v>530</v>
      </c>
      <c r="B530" t="str">
        <f>Profile!A555</f>
        <v xml:space="preserve">   Identifiers</v>
      </c>
      <c r="C530">
        <f>Profile!AP557</f>
        <v>0</v>
      </c>
      <c r="D530" t="str">
        <f>IF(Profile!C555="Profile",IF(Profile!A557="ResourceRequirement","OK","XXX"),"XXX")</f>
        <v>XXX</v>
      </c>
    </row>
    <row r="531" spans="1:4" x14ac:dyDescent="0.45">
      <c r="A531">
        <f>ROW()</f>
        <v>531</v>
      </c>
      <c r="B531" t="str">
        <f>Profile!A556</f>
        <v xml:space="preserve">   Links</v>
      </c>
      <c r="C531">
        <f>Profile!AP558</f>
        <v>0</v>
      </c>
      <c r="D531" t="str">
        <f>IF(Profile!C556="Profile",IF(Profile!A558="ResourceRequirement","OK","XXX"),"XXX")</f>
        <v>XXX</v>
      </c>
    </row>
    <row r="532" spans="1:4" x14ac:dyDescent="0.45">
      <c r="A532">
        <f>ROW()</f>
        <v>532</v>
      </c>
      <c r="B532" t="str">
        <f>Profile!A557</f>
        <v xml:space="preserve">      Endpoints</v>
      </c>
      <c r="C532">
        <f>Profile!AP559</f>
        <v>0</v>
      </c>
      <c r="D532" t="str">
        <f>IF(Profile!C557="Profile",IF(Profile!A559="ResourceRequirement","OK","XXX"),"XXX")</f>
        <v>XXX</v>
      </c>
    </row>
    <row r="533" spans="1:4" x14ac:dyDescent="0.45">
      <c r="A533">
        <f>ROW()</f>
        <v>533</v>
      </c>
      <c r="B533" t="str">
        <f>Profile!A558</f>
        <v xml:space="preserve">         @odata.id</v>
      </c>
      <c r="C533">
        <f>Profile!AP560</f>
        <v>0</v>
      </c>
      <c r="D533" t="str">
        <f>IF(Profile!C558="Profile",IF(Profile!A560="ResourceRequirement","OK","XXX"),"XXX")</f>
        <v>XXX</v>
      </c>
    </row>
    <row r="534" spans="1:4" x14ac:dyDescent="0.45">
      <c r="A534">
        <f>ROW()</f>
        <v>534</v>
      </c>
      <c r="B534" t="str">
        <f>Profile!A559</f>
        <v xml:space="preserve">      Oem</v>
      </c>
      <c r="C534">
        <f>Profile!AP561</f>
        <v>0</v>
      </c>
      <c r="D534" t="str">
        <f>IF(Profile!C559="Profile",IF(Profile!A561="ResourceRequirement","OK","XXX"),"XXX")</f>
        <v>XXX</v>
      </c>
    </row>
    <row r="535" spans="1:4" x14ac:dyDescent="0.45">
      <c r="A535">
        <f>ROW()</f>
        <v>535</v>
      </c>
      <c r="B535" t="str">
        <f>Profile!A560</f>
        <v xml:space="preserve">      PCIeFunctions</v>
      </c>
      <c r="C535">
        <f>Profile!AP562</f>
        <v>0</v>
      </c>
      <c r="D535" t="str">
        <f>IF(Profile!C560="Profile",IF(Profile!A562="ResourceRequirement","OK","XXX"),"XXX")</f>
        <v>XXX</v>
      </c>
    </row>
    <row r="536" spans="1:4" x14ac:dyDescent="0.45">
      <c r="A536">
        <f>ROW()</f>
        <v>536</v>
      </c>
      <c r="B536" t="str">
        <f>Profile!A561</f>
        <v xml:space="preserve">         @odata.id</v>
      </c>
      <c r="C536">
        <f>Profile!AP563</f>
        <v>0</v>
      </c>
      <c r="D536" t="str">
        <f>IF(Profile!C561="Profile",IF(Profile!A563="ResourceRequirement","OK","XXX"),"XXX")</f>
        <v>XXX</v>
      </c>
    </row>
    <row r="537" spans="1:4" x14ac:dyDescent="0.45">
      <c r="A537">
        <f>ROW()</f>
        <v>537</v>
      </c>
      <c r="B537" t="str">
        <f>Profile!A562</f>
        <v xml:space="preserve">      StorageServices</v>
      </c>
      <c r="C537">
        <f>Profile!AP564</f>
        <v>0</v>
      </c>
      <c r="D537" t="str">
        <f>IF(Profile!C562="Profile",IF(Profile!A564="ResourceRequirement","OK","XXX"),"XXX")</f>
        <v>XXX</v>
      </c>
    </row>
    <row r="538" spans="1:4" x14ac:dyDescent="0.45">
      <c r="A538">
        <f>ROW()</f>
        <v>538</v>
      </c>
      <c r="B538" t="str">
        <f>Profile!A563</f>
        <v xml:space="preserve">         @odata.id</v>
      </c>
      <c r="C538">
        <f>Profile!AP565</f>
        <v>0</v>
      </c>
      <c r="D538" t="str">
        <f>IF(Profile!C563="Profile",IF(Profile!A565="ResourceRequirement","OK","XXX"),"XXX")</f>
        <v>XXX</v>
      </c>
    </row>
    <row r="539" spans="1:4" x14ac:dyDescent="0.45">
      <c r="A539">
        <f>ROW()</f>
        <v>539</v>
      </c>
      <c r="B539" t="str">
        <f>Profile!A564</f>
        <v xml:space="preserve">   Location</v>
      </c>
      <c r="C539">
        <f>Profile!AP566</f>
        <v>0</v>
      </c>
      <c r="D539" t="str">
        <f>IF(Profile!C564="Profile",IF(Profile!A566="ResourceRequirement","OK","XXX"),"XXX")</f>
        <v>XXX</v>
      </c>
    </row>
    <row r="540" spans="1:4" x14ac:dyDescent="0.45">
      <c r="A540">
        <f>ROW()</f>
        <v>540</v>
      </c>
      <c r="B540" t="str">
        <f>Profile!A565</f>
        <v xml:space="preserve">   Manufacturer</v>
      </c>
      <c r="C540">
        <f>Profile!AP567</f>
        <v>0</v>
      </c>
      <c r="D540" t="str">
        <f>IF(Profile!C565="Profile",IF(Profile!A567="ResourceRequirement","OK","XXX"),"XXX")</f>
        <v>XXX</v>
      </c>
    </row>
    <row r="541" spans="1:4" x14ac:dyDescent="0.45">
      <c r="A541">
        <f>ROW()</f>
        <v>541</v>
      </c>
      <c r="B541" t="str">
        <f>Profile!A566</f>
        <v xml:space="preserve">   MemberId</v>
      </c>
      <c r="C541">
        <f>Profile!AP568</f>
        <v>0</v>
      </c>
      <c r="D541" t="str">
        <f>IF(Profile!C566="Profile",IF(Profile!A568="ResourceRequirement","OK","XXX"),"XXX")</f>
        <v>XXX</v>
      </c>
    </row>
    <row r="542" spans="1:4" x14ac:dyDescent="0.45">
      <c r="A542">
        <f>ROW()</f>
        <v>542</v>
      </c>
      <c r="B542" t="str">
        <f>Profile!A567</f>
        <v xml:space="preserve">   Model</v>
      </c>
      <c r="C542">
        <f>Profile!AP569</f>
        <v>0</v>
      </c>
      <c r="D542" t="str">
        <f>IF(Profile!C567="Profile",IF(Profile!A569="ResourceRequirement","OK","XXX"),"XXX")</f>
        <v>XXX</v>
      </c>
    </row>
    <row r="543" spans="1:4" x14ac:dyDescent="0.45">
      <c r="A543">
        <f>ROW()</f>
        <v>543</v>
      </c>
      <c r="B543" t="str">
        <f>Profile!A568</f>
        <v xml:space="preserve">   Name</v>
      </c>
      <c r="C543">
        <f>Profile!AP570</f>
        <v>0</v>
      </c>
      <c r="D543" t="str">
        <f>IF(Profile!C568="Profile",IF(Profile!A570="ResourceRequirement","OK","XXX"),"XXX")</f>
        <v>XXX</v>
      </c>
    </row>
    <row r="544" spans="1:4" x14ac:dyDescent="0.45">
      <c r="A544">
        <f>ROW()</f>
        <v>544</v>
      </c>
      <c r="B544" t="str">
        <f>Profile!A569</f>
        <v xml:space="preserve">   Oem</v>
      </c>
      <c r="C544">
        <f>Profile!AP571</f>
        <v>0</v>
      </c>
      <c r="D544" t="str">
        <f>IF(Profile!C569="Profile",IF(Profile!A571="ResourceRequirement","OK","XXX"),"XXX")</f>
        <v>XXX</v>
      </c>
    </row>
    <row r="545" spans="1:4" x14ac:dyDescent="0.45">
      <c r="A545">
        <f>ROW()</f>
        <v>545</v>
      </c>
      <c r="B545" t="str">
        <f>Profile!A570</f>
        <v xml:space="preserve">   PartNumber</v>
      </c>
      <c r="C545">
        <f>Profile!AP572</f>
        <v>0</v>
      </c>
      <c r="D545" t="str">
        <f>IF(Profile!C570="Profile",IF(Profile!A572="ResourceRequirement","OK","XXX"),"XXX")</f>
        <v>XXX</v>
      </c>
    </row>
    <row r="546" spans="1:4" x14ac:dyDescent="0.45">
      <c r="A546">
        <f>ROW()</f>
        <v>546</v>
      </c>
      <c r="B546" t="str">
        <f>Profile!A571</f>
        <v xml:space="preserve">   PCIeInterface</v>
      </c>
      <c r="C546">
        <f>Profile!AP573</f>
        <v>0</v>
      </c>
      <c r="D546" t="str">
        <f>IF(Profile!C571="Profile",IF(Profile!A573="ResourceRequirement","OK","XXX"),"XXX")</f>
        <v>XXX</v>
      </c>
    </row>
    <row r="547" spans="1:4" x14ac:dyDescent="0.45">
      <c r="A547">
        <f>ROW()</f>
        <v>547</v>
      </c>
      <c r="B547" t="str">
        <f>Profile!A572</f>
        <v xml:space="preserve">      @odata.id</v>
      </c>
      <c r="C547">
        <f>Profile!AP574</f>
        <v>0</v>
      </c>
      <c r="D547" t="str">
        <f>IF(Profile!C572="Profile",IF(Profile!A574="ResourceRequirement","OK","XXX"),"XXX")</f>
        <v>XXX</v>
      </c>
    </row>
    <row r="548" spans="1:4" x14ac:dyDescent="0.45">
      <c r="A548">
        <f>ROW()</f>
        <v>548</v>
      </c>
      <c r="B548" t="str">
        <f>Profile!A573</f>
        <v xml:space="preserve">   Ports</v>
      </c>
      <c r="C548">
        <f>Profile!AP575</f>
        <v>0</v>
      </c>
      <c r="D548" t="str">
        <f>IF(Profile!C573="Profile",IF(Profile!A575="ResourceRequirement","OK","XXX"),"XXX")</f>
        <v>XXX</v>
      </c>
    </row>
    <row r="549" spans="1:4" x14ac:dyDescent="0.45">
      <c r="A549">
        <f>ROW()</f>
        <v>549</v>
      </c>
      <c r="B549" t="str">
        <f>Profile!A574</f>
        <v xml:space="preserve">      @odata.id</v>
      </c>
      <c r="C549">
        <f>Profile!AP576</f>
        <v>0</v>
      </c>
      <c r="D549" t="str">
        <f>IF(Profile!C574="Profile",IF(Profile!A576="ResourceRequirement","OK","XXX"),"XXX")</f>
        <v>XXX</v>
      </c>
    </row>
    <row r="550" spans="1:4" x14ac:dyDescent="0.45">
      <c r="A550">
        <f>ROW()</f>
        <v>550</v>
      </c>
      <c r="B550" t="str">
        <f>Profile!A575</f>
        <v xml:space="preserve">   SKU</v>
      </c>
      <c r="C550">
        <f>Profile!AP577</f>
        <v>0</v>
      </c>
      <c r="D550" t="str">
        <f>IF(Profile!C575="Profile",IF(Profile!A577="ResourceRequirement","OK","XXX"),"XXX")</f>
        <v>XXX</v>
      </c>
    </row>
    <row r="551" spans="1:4" x14ac:dyDescent="0.45">
      <c r="A551">
        <f>ROW()</f>
        <v>551</v>
      </c>
      <c r="B551" t="str">
        <f>Profile!A576</f>
        <v xml:space="preserve">   SerialNumber</v>
      </c>
      <c r="C551">
        <f>Profile!AP578</f>
        <v>0</v>
      </c>
      <c r="D551" t="str">
        <f>IF(Profile!C576="Profile",IF(Profile!A578="ResourceRequirement","OK","XXX"),"XXX")</f>
        <v>XXX</v>
      </c>
    </row>
    <row r="552" spans="1:4" x14ac:dyDescent="0.45">
      <c r="A552">
        <f>ROW()</f>
        <v>552</v>
      </c>
      <c r="B552" t="str">
        <f>Profile!A577</f>
        <v xml:space="preserve">   SpeedGbps</v>
      </c>
      <c r="C552">
        <f>Profile!AP581</f>
        <v>0</v>
      </c>
      <c r="D552" t="str">
        <f>IF(Profile!C577="Profile",IF(Profile!A581="ResourceRequirement","OK","XXX"),"XXX")</f>
        <v>XXX</v>
      </c>
    </row>
    <row r="553" spans="1:4" x14ac:dyDescent="0.45">
      <c r="A553">
        <f>ROW()</f>
        <v>553</v>
      </c>
      <c r="B553" t="str">
        <f>Profile!A578</f>
        <v xml:space="preserve">   Status</v>
      </c>
      <c r="C553">
        <f>Profile!AP582</f>
        <v>0</v>
      </c>
      <c r="D553" t="str">
        <f>IF(Profile!C578="Profile",IF(Profile!A582="ResourceRequirement","OK","XXX"),"XXX")</f>
        <v>XXX</v>
      </c>
    </row>
    <row r="554" spans="1:4" x14ac:dyDescent="0.45">
      <c r="A554">
        <f>ROW()</f>
        <v>554</v>
      </c>
      <c r="B554" t="str">
        <f>Profile!A581</f>
        <v xml:space="preserve">   SupportedControllerProtocols</v>
      </c>
      <c r="C554">
        <f>Profile!AP583</f>
        <v>0</v>
      </c>
      <c r="D554" t="str">
        <f>IF(Profile!C581="Profile",IF(Profile!A583="ResourceRequirement","OK","XXX"),"XXX")</f>
        <v>XXX</v>
      </c>
    </row>
    <row r="555" spans="1:4" x14ac:dyDescent="0.45">
      <c r="A555">
        <f>ROW()</f>
        <v>555</v>
      </c>
      <c r="B555" t="str">
        <f>Profile!A582</f>
        <v xml:space="preserve">   SupportedDeviceProtocols</v>
      </c>
      <c r="C555">
        <f>Profile!AP584</f>
        <v>0</v>
      </c>
      <c r="D555" t="str">
        <f>IF(Profile!C582="Profile",IF(Profile!A584="ResourceRequirement","OK","XXX"),"XXX")</f>
        <v>XXX</v>
      </c>
    </row>
    <row r="556" spans="1:4" x14ac:dyDescent="0.45">
      <c r="A556">
        <f>ROW()</f>
        <v>556</v>
      </c>
      <c r="B556" t="str">
        <f>Profile!A583</f>
        <v>Volumes</v>
      </c>
      <c r="C556">
        <f>Profile!AP585</f>
        <v>0</v>
      </c>
      <c r="D556" t="str">
        <f>IF(Profile!C583="Profile",IF(Profile!A585="ResourceRequirement","OK","XXX"),"XXX")</f>
        <v>XXX</v>
      </c>
    </row>
    <row r="557" spans="1:4" x14ac:dyDescent="0.45">
      <c r="A557">
        <f>ROW()</f>
        <v>557</v>
      </c>
      <c r="B557" t="str">
        <f>Profile!A584</f>
        <v xml:space="preserve">   @odata.id</v>
      </c>
      <c r="C557">
        <f>Profile!AP586</f>
        <v>0</v>
      </c>
      <c r="D557" t="str">
        <f>IF(Profile!C584="Profile",IF(Profile!A586="ResourceRequirement","OK","XXX"),"XXX")</f>
        <v>XXX</v>
      </c>
    </row>
    <row r="558" spans="1:4" x14ac:dyDescent="0.45">
      <c r="A558">
        <f>ROW()</f>
        <v>558</v>
      </c>
      <c r="B558" t="str">
        <f>Profile!A585</f>
        <v>Storage URIs</v>
      </c>
      <c r="C558">
        <f>Profile!AP587</f>
        <v>0</v>
      </c>
      <c r="D558" t="str">
        <f>IF(Profile!C585="Profile",IF(Profile!A587="ResourceRequirement","OK","XXX"),"XXX")</f>
        <v>XXX</v>
      </c>
    </row>
    <row r="559" spans="1:4" x14ac:dyDescent="0.45">
      <c r="A559">
        <f>ROW()</f>
        <v>559</v>
      </c>
      <c r="B559" t="str">
        <f>Profile!A586</f>
        <v>/redfish/v1/Systems/{ComputerSystemId}/Storage/{StorageId}</v>
      </c>
      <c r="C559">
        <f>Profile!AP588</f>
        <v>0</v>
      </c>
      <c r="D559" t="str">
        <f>IF(Profile!C586="Profile",IF(Profile!A588="ResourceRequirement","OK","XXX"),"XXX")</f>
        <v>XXX</v>
      </c>
    </row>
    <row r="560" spans="1:4" x14ac:dyDescent="0.45">
      <c r="A560">
        <f>ROW()</f>
        <v>560</v>
      </c>
      <c r="B560">
        <f>Profile!A587</f>
        <v>0</v>
      </c>
      <c r="C560">
        <f>Profile!AP589</f>
        <v>0</v>
      </c>
      <c r="D560" t="str">
        <f>IF(Profile!C587="Profile",IF(Profile!A589="ResourceRequirement","OK","XXX"),"XXX")</f>
        <v>XXX</v>
      </c>
    </row>
    <row r="561" spans="1:4" x14ac:dyDescent="0.45">
      <c r="A561">
        <f>ROW()</f>
        <v>561</v>
      </c>
      <c r="B561" t="str">
        <f>Profile!A588</f>
        <v>1.1.1.13            Volume</v>
      </c>
      <c r="C561">
        <f>Profile!AP590</f>
        <v>0</v>
      </c>
      <c r="D561" t="str">
        <f>IF(Profile!C588="Profile",IF(Profile!A590="ResourceRequirement","OK","XXX"),"XXX")</f>
        <v>XXX</v>
      </c>
    </row>
    <row r="562" spans="1:4" x14ac:dyDescent="0.45">
      <c r="A562">
        <f>ROW()</f>
        <v>562</v>
      </c>
      <c r="B562" t="str">
        <f>Profile!A589</f>
        <v>A Volume resource represents a file system storage system and its respective properties.</v>
      </c>
      <c r="C562">
        <f>Profile!AP591</f>
        <v>0</v>
      </c>
      <c r="D562" t="str">
        <f>IF(Profile!C589="Profile",IF(Profile!A591="ResourceRequirement","OK","XXX"),"XXX")</f>
        <v>XXX</v>
      </c>
    </row>
    <row r="563" spans="1:4" x14ac:dyDescent="0.45">
      <c r="A563">
        <f>ROW()</f>
        <v>563</v>
      </c>
      <c r="B563" t="str">
        <f>Profile!A590</f>
        <v>Table 17: O-PAS Profile Map for the Redfish Volume Resource</v>
      </c>
      <c r="C563">
        <f>Profile!AP592</f>
        <v>0</v>
      </c>
      <c r="D563" t="str">
        <f>IF(Profile!C590="Profile",IF(Profile!A592="ResourceRequirement","OK","XXX"),"XXX")</f>
        <v>XXX</v>
      </c>
    </row>
    <row r="564" spans="1:4" x14ac:dyDescent="0.45">
      <c r="A564">
        <f>ROW()</f>
        <v>564</v>
      </c>
      <c r="B564" t="str">
        <f>Profile!A591</f>
        <v>Volume (1.0.3)</v>
      </c>
      <c r="C564">
        <f>Profile!AP593</f>
        <v>0</v>
      </c>
      <c r="D564" t="str">
        <f>IF(Profile!C591="Profile",IF(Profile!A593="ResourceRequirement","OK","XXX"),"XXX")</f>
        <v>XXX</v>
      </c>
    </row>
    <row r="565" spans="1:4" x14ac:dyDescent="0.45">
      <c r="A565">
        <f>ROW()</f>
        <v>565</v>
      </c>
      <c r="B565">
        <f>Profile!A592</f>
        <v>0</v>
      </c>
      <c r="C565">
        <f>Profile!AP594</f>
        <v>0</v>
      </c>
      <c r="D565" t="str">
        <f>IF(Profile!C592="Profile",IF(Profile!A594="ResourceRequirement","OK","XXX"),"XXX")</f>
        <v>XXX</v>
      </c>
    </row>
    <row r="566" spans="1:4" x14ac:dyDescent="0.45">
      <c r="A566">
        <f>ROW()</f>
        <v>566</v>
      </c>
      <c r="B566" t="str">
        <f>Profile!A593</f>
        <v>Volume (1.0.3)</v>
      </c>
      <c r="C566">
        <f>Profile!AP595</f>
        <v>67</v>
      </c>
      <c r="D566" t="str">
        <f>IF(Profile!C593="Profile",IF(Profile!A595="ResourceRequirement","OK","XXX"),"XXX")</f>
        <v>OK</v>
      </c>
    </row>
    <row r="567" spans="1:4" x14ac:dyDescent="0.45">
      <c r="A567">
        <f>ROW()</f>
        <v>567</v>
      </c>
      <c r="B567">
        <f>Profile!A594</f>
        <v>0</v>
      </c>
      <c r="C567">
        <f>Profile!AP596</f>
        <v>0</v>
      </c>
      <c r="D567" t="str">
        <f>IF(Profile!C594="Profile",IF(Profile!A596="ResourceRequirement","OK","XXX"),"XXX")</f>
        <v>XXX</v>
      </c>
    </row>
    <row r="568" spans="1:4" x14ac:dyDescent="0.45">
      <c r="A568">
        <f>ROW()</f>
        <v>568</v>
      </c>
      <c r="B568" t="str">
        <f>Profile!A595</f>
        <v>ResourceRequirement</v>
      </c>
      <c r="C568">
        <f>Profile!AP597</f>
        <v>0</v>
      </c>
      <c r="D568" t="str">
        <f>IF(Profile!C595="Profile",IF(Profile!A597="ResourceRequirement","OK","XXX"),"XXX")</f>
        <v>XXX</v>
      </c>
    </row>
    <row r="569" spans="1:4" x14ac:dyDescent="0.45">
      <c r="A569">
        <f>ROW()</f>
        <v>569</v>
      </c>
      <c r="B569" t="str">
        <f>Profile!A596</f>
        <v>Resource MinVersion</v>
      </c>
      <c r="C569">
        <f>Profile!AP598</f>
        <v>0</v>
      </c>
      <c r="D569" t="str">
        <f>IF(Profile!C596="Profile",IF(Profile!A598="ResourceRequirement","OK","XXX"),"XXX")</f>
        <v>XXX</v>
      </c>
    </row>
    <row r="570" spans="1:4" x14ac:dyDescent="0.45">
      <c r="A570">
        <f>ROW()</f>
        <v>570</v>
      </c>
      <c r="B570" t="str">
        <f>Profile!A597</f>
        <v>Property</v>
      </c>
      <c r="C570">
        <f>Profile!AP599</f>
        <v>0</v>
      </c>
      <c r="D570" t="str">
        <f>IF(Profile!C597="Profile",IF(Profile!A599="ResourceRequirement","OK","XXX"),"XXX")</f>
        <v>XXX</v>
      </c>
    </row>
    <row r="571" spans="1:4" x14ac:dyDescent="0.45">
      <c r="A571">
        <f>ROW()</f>
        <v>571</v>
      </c>
      <c r="B571" t="str">
        <f>Profile!A598</f>
        <v>Actions</v>
      </c>
      <c r="C571">
        <f>Profile!AP600</f>
        <v>0</v>
      </c>
      <c r="D571" t="str">
        <f>IF(Profile!C598="Profile",IF(Profile!A600="ResourceRequirement","OK","XXX"),"XXX")</f>
        <v>XXX</v>
      </c>
    </row>
    <row r="572" spans="1:4" x14ac:dyDescent="0.45">
      <c r="A572">
        <f>ROW()</f>
        <v>572</v>
      </c>
      <c r="B572" t="str">
        <f>Profile!A599</f>
        <v xml:space="preserve">   #Volume.Initialize</v>
      </c>
      <c r="C572">
        <f>Profile!AP601</f>
        <v>0</v>
      </c>
      <c r="D572" t="str">
        <f>IF(Profile!C599="Profile",IF(Profile!A601="ResourceRequirement","OK","XXX"),"XXX")</f>
        <v>XXX</v>
      </c>
    </row>
    <row r="573" spans="1:4" x14ac:dyDescent="0.45">
      <c r="A573">
        <f>ROW()</f>
        <v>573</v>
      </c>
      <c r="B573" t="str">
        <f>Profile!A600</f>
        <v>BlockSizeBytes</v>
      </c>
      <c r="C573">
        <f>Profile!AP602</f>
        <v>0</v>
      </c>
      <c r="D573" t="str">
        <f>IF(Profile!C600="Profile",IF(Profile!A602="ResourceRequirement","OK","XXX"),"XXX")</f>
        <v>XXX</v>
      </c>
    </row>
    <row r="574" spans="1:4" x14ac:dyDescent="0.45">
      <c r="A574">
        <f>ROW()</f>
        <v>574</v>
      </c>
      <c r="B574" t="str">
        <f>Profile!A601</f>
        <v>CapacityBytes</v>
      </c>
      <c r="C574">
        <f>Profile!AP603</f>
        <v>0</v>
      </c>
      <c r="D574" t="str">
        <f>IF(Profile!C601="Profile",IF(Profile!A603="ResourceRequirement","OK","XXX"),"XXX")</f>
        <v>XXX</v>
      </c>
    </row>
    <row r="575" spans="1:4" x14ac:dyDescent="0.45">
      <c r="A575">
        <f>ROW()</f>
        <v>575</v>
      </c>
      <c r="B575" t="str">
        <f>Profile!A602</f>
        <v>Encrypted</v>
      </c>
      <c r="C575">
        <f>Profile!AP604</f>
        <v>0</v>
      </c>
      <c r="D575" t="str">
        <f>IF(Profile!C602="Profile",IF(Profile!A604="ResourceRequirement","OK","XXX"),"XXX")</f>
        <v>XXX</v>
      </c>
    </row>
    <row r="576" spans="1:4" x14ac:dyDescent="0.45">
      <c r="A576">
        <f>ROW()</f>
        <v>576</v>
      </c>
      <c r="B576" t="str">
        <f>Profile!A603</f>
        <v>EncryptionTypes</v>
      </c>
      <c r="C576">
        <f>Profile!AP605</f>
        <v>0</v>
      </c>
      <c r="D576" t="str">
        <f>IF(Profile!C603="Profile",IF(Profile!A605="ResourceRequirement","OK","XXX"),"XXX")</f>
        <v>XXX</v>
      </c>
    </row>
    <row r="577" spans="1:4" x14ac:dyDescent="0.45">
      <c r="A577">
        <f>ROW()</f>
        <v>577</v>
      </c>
      <c r="B577" t="str">
        <f>Profile!A604</f>
        <v>Identifiers</v>
      </c>
      <c r="C577">
        <f>Profile!AP606</f>
        <v>0</v>
      </c>
      <c r="D577" t="str">
        <f>IF(Profile!C604="Profile",IF(Profile!A606="ResourceRequirement","OK","XXX"),"XXX")</f>
        <v>XXX</v>
      </c>
    </row>
    <row r="578" spans="1:4" x14ac:dyDescent="0.45">
      <c r="A578">
        <f>ROW()</f>
        <v>578</v>
      </c>
      <c r="B578" t="str">
        <f>Profile!A605</f>
        <v>Links</v>
      </c>
      <c r="C578">
        <f>Profile!AP607</f>
        <v>0</v>
      </c>
      <c r="D578" t="str">
        <f>IF(Profile!C605="Profile",IF(Profile!A607="ResourceRequirement","OK","XXX"),"XXX")</f>
        <v>XXX</v>
      </c>
    </row>
    <row r="579" spans="1:4" x14ac:dyDescent="0.45">
      <c r="A579">
        <f>ROW()</f>
        <v>579</v>
      </c>
      <c r="B579" t="str">
        <f>Profile!A606</f>
        <v xml:space="preserve">   Drives</v>
      </c>
      <c r="C579">
        <f>Profile!AP608</f>
        <v>0</v>
      </c>
      <c r="D579" t="str">
        <f>IF(Profile!C606="Profile",IF(Profile!A608="ResourceRequirement","OK","XXX"),"XXX")</f>
        <v>XXX</v>
      </c>
    </row>
    <row r="580" spans="1:4" x14ac:dyDescent="0.45">
      <c r="A580">
        <f>ROW()</f>
        <v>580</v>
      </c>
      <c r="B580" t="str">
        <f>Profile!A607</f>
        <v xml:space="preserve">      @odata.id</v>
      </c>
      <c r="C580">
        <f>Profile!AP609</f>
        <v>0</v>
      </c>
      <c r="D580" t="str">
        <f>IF(Profile!C607="Profile",IF(Profile!A609="ResourceRequirement","OK","XXX"),"XXX")</f>
        <v>XXX</v>
      </c>
    </row>
    <row r="581" spans="1:4" x14ac:dyDescent="0.45">
      <c r="A581">
        <f>ROW()</f>
        <v>581</v>
      </c>
      <c r="B581" t="str">
        <f>Profile!A608</f>
        <v xml:space="preserve">   Oem</v>
      </c>
      <c r="C581">
        <f>Profile!AP610</f>
        <v>0</v>
      </c>
      <c r="D581" t="str">
        <f>IF(Profile!C608="Profile",IF(Profile!A610="ResourceRequirement","OK","XXX"),"XXX")</f>
        <v>XXX</v>
      </c>
    </row>
    <row r="582" spans="1:4" x14ac:dyDescent="0.45">
      <c r="A582">
        <f>ROW()</f>
        <v>582</v>
      </c>
      <c r="B582" t="str">
        <f>Profile!A609</f>
        <v>Operations</v>
      </c>
      <c r="C582">
        <f>Profile!AP611</f>
        <v>0</v>
      </c>
      <c r="D582" t="str">
        <f>IF(Profile!C609="Profile",IF(Profile!A611="ResourceRequirement","OK","XXX"),"XXX")</f>
        <v>XXX</v>
      </c>
    </row>
    <row r="583" spans="1:4" x14ac:dyDescent="0.45">
      <c r="A583">
        <f>ROW()</f>
        <v>583</v>
      </c>
      <c r="B583" t="str">
        <f>Profile!A610</f>
        <v xml:space="preserve">   AssociatedTask</v>
      </c>
      <c r="C583">
        <f>Profile!AP612</f>
        <v>0</v>
      </c>
      <c r="D583" t="str">
        <f>IF(Profile!C610="Profile",IF(Profile!A612="ResourceRequirement","OK","XXX"),"XXX")</f>
        <v>XXX</v>
      </c>
    </row>
    <row r="584" spans="1:4" x14ac:dyDescent="0.45">
      <c r="A584">
        <f>ROW()</f>
        <v>584</v>
      </c>
      <c r="B584" t="str">
        <f>Profile!A611</f>
        <v xml:space="preserve">      @odata.id</v>
      </c>
      <c r="C584">
        <f>Profile!AP613</f>
        <v>0</v>
      </c>
      <c r="D584" t="str">
        <f>IF(Profile!C611="Profile",IF(Profile!A613="ResourceRequirement","OK","XXX"),"XXX")</f>
        <v>XXX</v>
      </c>
    </row>
    <row r="585" spans="1:4" x14ac:dyDescent="0.45">
      <c r="A585">
        <f>ROW()</f>
        <v>585</v>
      </c>
      <c r="B585" t="str">
        <f>Profile!A612</f>
        <v xml:space="preserve">   OperationName</v>
      </c>
      <c r="C585">
        <f>Profile!AP614</f>
        <v>0</v>
      </c>
      <c r="D585" t="str">
        <f>IF(Profile!C612="Profile",IF(Profile!A614="ResourceRequirement","OK","XXX"),"XXX")</f>
        <v>XXX</v>
      </c>
    </row>
    <row r="586" spans="1:4" x14ac:dyDescent="0.45">
      <c r="A586">
        <f>ROW()</f>
        <v>586</v>
      </c>
      <c r="B586" t="str">
        <f>Profile!A613</f>
        <v xml:space="preserve">   PercentageComplete</v>
      </c>
      <c r="C586">
        <f>Profile!AP615</f>
        <v>0</v>
      </c>
      <c r="D586" t="str">
        <f>IF(Profile!C613="Profile",IF(Profile!A615="ResourceRequirement","OK","XXX"),"XXX")</f>
        <v>XXX</v>
      </c>
    </row>
    <row r="587" spans="1:4" x14ac:dyDescent="0.45">
      <c r="A587">
        <f>ROW()</f>
        <v>587</v>
      </c>
      <c r="B587" t="str">
        <f>Profile!A614</f>
        <v>OptimumIOSizeBytes</v>
      </c>
      <c r="C587">
        <f>Profile!AP618</f>
        <v>0</v>
      </c>
      <c r="D587" t="str">
        <f>IF(Profile!C614="Profile",IF(Profile!A618="ResourceRequirement","OK","XXX"),"XXX")</f>
        <v>XXX</v>
      </c>
    </row>
    <row r="588" spans="1:4" x14ac:dyDescent="0.45">
      <c r="A588">
        <f>ROW()</f>
        <v>588</v>
      </c>
      <c r="B588" t="str">
        <f>Profile!A615</f>
        <v>Status</v>
      </c>
      <c r="C588">
        <f>Profile!AP619</f>
        <v>0</v>
      </c>
      <c r="D588" t="str">
        <f>IF(Profile!C615="Profile",IF(Profile!A619="ResourceRequirement","OK","XXX"),"XXX")</f>
        <v>XXX</v>
      </c>
    </row>
    <row r="589" spans="1:4" x14ac:dyDescent="0.45">
      <c r="A589">
        <f>ROW()</f>
        <v>589</v>
      </c>
      <c r="B589" t="str">
        <f>Profile!A618</f>
        <v>VolumeType</v>
      </c>
      <c r="C589">
        <f>Profile!AP620</f>
        <v>0</v>
      </c>
      <c r="D589" t="str">
        <f>IF(Profile!C618="Profile",IF(Profile!A620="ResourceRequirement","OK","XXX"),"XXX")</f>
        <v>XXX</v>
      </c>
    </row>
    <row r="590" spans="1:4" x14ac:dyDescent="0.45">
      <c r="A590">
        <f>ROW()</f>
        <v>590</v>
      </c>
      <c r="B590" t="str">
        <f>Profile!A619</f>
        <v>Volume URIs</v>
      </c>
      <c r="C590">
        <f>Profile!AP621</f>
        <v>0</v>
      </c>
      <c r="D590" t="str">
        <f>IF(Profile!C619="Profile",IF(Profile!A621="ResourceRequirement","OK","XXX"),"XXX")</f>
        <v>XXX</v>
      </c>
    </row>
    <row r="591" spans="1:4" x14ac:dyDescent="0.45">
      <c r="A591">
        <f>ROW()</f>
        <v>591</v>
      </c>
      <c r="B591" t="str">
        <f>Profile!A620</f>
        <v>/redfish/v1/Systems/{ComputerSystemId}/Storage/{StorageId}/Volumes/{VolumeId}</v>
      </c>
      <c r="C591">
        <f>Profile!AP622</f>
        <v>0</v>
      </c>
      <c r="D591" t="str">
        <f>IF(Profile!C620="Profile",IF(Profile!A622="ResourceRequirement","OK","XXX"),"XXX")</f>
        <v>XXX</v>
      </c>
    </row>
    <row r="592" spans="1:4" x14ac:dyDescent="0.45">
      <c r="A592">
        <f>ROW()</f>
        <v>592</v>
      </c>
      <c r="B592">
        <f>Profile!A621</f>
        <v>0</v>
      </c>
      <c r="C592">
        <f>Profile!AP623</f>
        <v>0</v>
      </c>
      <c r="D592" t="str">
        <f>IF(Profile!C621="Profile",IF(Profile!A623="ResourceRequirement","OK","XXX"),"XXX")</f>
        <v>XXX</v>
      </c>
    </row>
    <row r="593" spans="1:4" x14ac:dyDescent="0.45">
      <c r="A593">
        <f>ROW()</f>
        <v>593</v>
      </c>
      <c r="B593" t="str">
        <f>Profile!A622</f>
        <v>1.1.2                 Event</v>
      </c>
      <c r="C593">
        <f>Profile!AP624</f>
        <v>0</v>
      </c>
      <c r="D593" t="str">
        <f>IF(Profile!C622="Profile",IF(Profile!A624="ResourceRequirement","OK","XXX"),"XXX")</f>
        <v>XXX</v>
      </c>
    </row>
    <row r="594" spans="1:4" x14ac:dyDescent="0.45">
      <c r="A594">
        <f>ROW()</f>
        <v>594</v>
      </c>
      <c r="B594" t="str">
        <f>Profile!A623</f>
        <v>1.1.2.1               Event</v>
      </c>
      <c r="C594">
        <f>Profile!AP625</f>
        <v>0</v>
      </c>
      <c r="D594" t="str">
        <f>IF(Profile!C623="Profile",IF(Profile!A625="ResourceRequirement","OK","XXX"),"XXX")</f>
        <v>XXX</v>
      </c>
    </row>
    <row r="595" spans="1:4" x14ac:dyDescent="0.45">
      <c r="A595">
        <f>ROW()</f>
        <v>595</v>
      </c>
      <c r="B595" t="str">
        <f>Profile!A624</f>
        <v>The Event object is a JSON payload received by an EventDestination (which has subscribed to event notification) when Events occur. This resource contains data about Event(s), including descriptions, severity, and a MessageId reference to a MessageRegistry that can be accessed for further information.</v>
      </c>
      <c r="C595">
        <f>Profile!AP626</f>
        <v>0</v>
      </c>
      <c r="D595" t="str">
        <f>IF(Profile!C624="Profile",IF(Profile!A626="ResourceRequirement","OK","XXX"),"XXX")</f>
        <v>XXX</v>
      </c>
    </row>
    <row r="596" spans="1:4" x14ac:dyDescent="0.45">
      <c r="A596">
        <f>ROW()</f>
        <v>596</v>
      </c>
      <c r="B596" t="str">
        <f>Profile!A625</f>
        <v>Table 18: O-PAS Profile Map for the Redfish Event Object</v>
      </c>
      <c r="C596">
        <f>Profile!AP627</f>
        <v>0</v>
      </c>
      <c r="D596" t="str">
        <f>IF(Profile!C625="Profile",IF(Profile!A627="ResourceRequirement","OK","XXX"),"XXX")</f>
        <v>XXX</v>
      </c>
    </row>
    <row r="597" spans="1:4" x14ac:dyDescent="0.45">
      <c r="A597">
        <f>ROW()</f>
        <v>597</v>
      </c>
      <c r="B597" t="str">
        <f>Profile!A626</f>
        <v>Event (1.3.0)</v>
      </c>
      <c r="C597">
        <f>Profile!AP628</f>
        <v>0</v>
      </c>
      <c r="D597" t="str">
        <f>IF(Profile!C626="Profile",IF(Profile!A628="ResourceRequirement","OK","XXX"),"XXX")</f>
        <v>XXX</v>
      </c>
    </row>
    <row r="598" spans="1:4" x14ac:dyDescent="0.45">
      <c r="A598">
        <f>ROW()</f>
        <v>598</v>
      </c>
      <c r="B598">
        <f>Profile!A627</f>
        <v>0</v>
      </c>
      <c r="C598">
        <f>Profile!AP629</f>
        <v>0</v>
      </c>
      <c r="D598" t="str">
        <f>IF(Profile!C627="Profile",IF(Profile!A629="ResourceRequirement","OK","XXX"),"XXX")</f>
        <v>XXX</v>
      </c>
    </row>
    <row r="599" spans="1:4" x14ac:dyDescent="0.45">
      <c r="A599">
        <f>ROW()</f>
        <v>599</v>
      </c>
      <c r="B599" t="str">
        <f>Profile!A628</f>
        <v>Event (1.4.0)</v>
      </c>
      <c r="C599">
        <f>Profile!AP630</f>
        <v>0</v>
      </c>
      <c r="D599" t="str">
        <f>IF(Profile!C628="Profile",IF(Profile!A630="ResourceRequirement","OK","XXX"),"XXX")</f>
        <v>OK</v>
      </c>
    </row>
    <row r="600" spans="1:4" x14ac:dyDescent="0.45">
      <c r="A600">
        <f>ROW()</f>
        <v>600</v>
      </c>
      <c r="B600">
        <f>Profile!A629</f>
        <v>0</v>
      </c>
      <c r="C600">
        <f>Profile!AP631</f>
        <v>0</v>
      </c>
      <c r="D600" t="str">
        <f>IF(Profile!C629="Profile",IF(Profile!A631="ResourceRequirement","OK","XXX"),"XXX")</f>
        <v>XXX</v>
      </c>
    </row>
    <row r="601" spans="1:4" x14ac:dyDescent="0.45">
      <c r="A601">
        <f>ROW()</f>
        <v>601</v>
      </c>
      <c r="B601" t="str">
        <f>Profile!A630</f>
        <v>ResourceRequirement</v>
      </c>
      <c r="C601">
        <f>Profile!AP632</f>
        <v>0</v>
      </c>
      <c r="D601" t="str">
        <f>IF(Profile!C630="Profile",IF(Profile!A632="ResourceRequirement","OK","XXX"),"XXX")</f>
        <v>XXX</v>
      </c>
    </row>
    <row r="602" spans="1:4" x14ac:dyDescent="0.45">
      <c r="A602">
        <f>ROW()</f>
        <v>602</v>
      </c>
      <c r="B602" t="str">
        <f>Profile!A631</f>
        <v>Resource MinVersion</v>
      </c>
      <c r="C602">
        <f>Profile!AP633</f>
        <v>0</v>
      </c>
      <c r="D602" t="str">
        <f>IF(Profile!C631="Profile",IF(Profile!A633="ResourceRequirement","OK","XXX"),"XXX")</f>
        <v>XXX</v>
      </c>
    </row>
    <row r="603" spans="1:4" x14ac:dyDescent="0.45">
      <c r="A603">
        <f>ROW()</f>
        <v>603</v>
      </c>
      <c r="B603" t="str">
        <f>Profile!A632</f>
        <v>Property</v>
      </c>
      <c r="C603">
        <f>Profile!AP634</f>
        <v>0</v>
      </c>
      <c r="D603" t="str">
        <f>IF(Profile!C632="Profile",IF(Profile!A634="ResourceRequirement","OK","XXX"),"XXX")</f>
        <v>XXX</v>
      </c>
    </row>
    <row r="604" spans="1:4" x14ac:dyDescent="0.45">
      <c r="A604">
        <f>ROW()</f>
        <v>604</v>
      </c>
      <c r="B604" t="str">
        <f>Profile!A633</f>
        <v>Actions</v>
      </c>
      <c r="C604">
        <f>Profile!AP635</f>
        <v>0</v>
      </c>
      <c r="D604" t="str">
        <f>IF(Profile!C633="Profile",IF(Profile!A635="ResourceRequirement","OK","XXX"),"XXX")</f>
        <v>XXX</v>
      </c>
    </row>
    <row r="605" spans="1:4" x14ac:dyDescent="0.45">
      <c r="A605">
        <f>ROW()</f>
        <v>605</v>
      </c>
      <c r="B605" t="str">
        <f>Profile!A634</f>
        <v>Context</v>
      </c>
      <c r="C605">
        <f>Profile!AP636</f>
        <v>0</v>
      </c>
      <c r="D605" t="str">
        <f>IF(Profile!C634="Profile",IF(Profile!A636="ResourceRequirement","OK","XXX"),"XXX")</f>
        <v>XXX</v>
      </c>
    </row>
    <row r="606" spans="1:4" x14ac:dyDescent="0.45">
      <c r="A606">
        <f>ROW()</f>
        <v>606</v>
      </c>
      <c r="B606" t="str">
        <f>Profile!A635</f>
        <v>Events</v>
      </c>
      <c r="C606">
        <f>Profile!AP637</f>
        <v>0</v>
      </c>
      <c r="D606" t="str">
        <f>IF(Profile!C635="Profile",IF(Profile!A637="ResourceRequirement","OK","XXX"),"XXX")</f>
        <v>XXX</v>
      </c>
    </row>
    <row r="607" spans="1:4" x14ac:dyDescent="0.45">
      <c r="A607">
        <f>ROW()</f>
        <v>607</v>
      </c>
      <c r="B607" t="str">
        <f>Profile!A636</f>
        <v xml:space="preserve">   @odata.id</v>
      </c>
      <c r="C607">
        <f>Profile!AP638</f>
        <v>0</v>
      </c>
      <c r="D607" t="str">
        <f>IF(Profile!C636="Profile",IF(Profile!A638="ResourceRequirement","OK","XXX"),"XXX")</f>
        <v>XXX</v>
      </c>
    </row>
    <row r="608" spans="1:4" x14ac:dyDescent="0.45">
      <c r="A608">
        <f>ROW()</f>
        <v>608</v>
      </c>
      <c r="B608" t="str">
        <f>Profile!A637</f>
        <v xml:space="preserve">   Actions</v>
      </c>
      <c r="C608">
        <f>Profile!AP639</f>
        <v>0</v>
      </c>
      <c r="D608" t="str">
        <f>IF(Profile!C637="Profile",IF(Profile!A639="ResourceRequirement","OK","XXX"),"XXX")</f>
        <v>XXX</v>
      </c>
    </row>
    <row r="609" spans="1:4" x14ac:dyDescent="0.45">
      <c r="A609">
        <f>ROW()</f>
        <v>609</v>
      </c>
      <c r="B609" t="str">
        <f>Profile!A638</f>
        <v xml:space="preserve">   Context</v>
      </c>
      <c r="C609">
        <f>Profile!AP640</f>
        <v>0</v>
      </c>
      <c r="D609" t="str">
        <f>IF(Profile!C638="Profile",IF(Profile!A640="ResourceRequirement","OK","XXX"),"XXX")</f>
        <v>XXX</v>
      </c>
    </row>
    <row r="610" spans="1:4" x14ac:dyDescent="0.45">
      <c r="A610">
        <f>ROW()</f>
        <v>610</v>
      </c>
      <c r="B610" t="str">
        <f>Profile!A639</f>
        <v xml:space="preserve">   EventGroupId</v>
      </c>
      <c r="C610">
        <f>Profile!AP641</f>
        <v>0</v>
      </c>
      <c r="D610" t="str">
        <f>IF(Profile!C639="Profile",IF(Profile!A641="ResourceRequirement","OK","XXX"),"XXX")</f>
        <v>XXX</v>
      </c>
    </row>
    <row r="611" spans="1:4" x14ac:dyDescent="0.45">
      <c r="A611">
        <f>ROW()</f>
        <v>611</v>
      </c>
      <c r="B611" t="str">
        <f>Profile!A640</f>
        <v xml:space="preserve">   EventId</v>
      </c>
      <c r="C611">
        <f>Profile!AP642</f>
        <v>0</v>
      </c>
      <c r="D611" t="str">
        <f>IF(Profile!C640="Profile",IF(Profile!A642="ResourceRequirement","OK","XXX"),"XXX")</f>
        <v>XXX</v>
      </c>
    </row>
    <row r="612" spans="1:4" x14ac:dyDescent="0.45">
      <c r="A612">
        <f>ROW()</f>
        <v>612</v>
      </c>
      <c r="B612" t="str">
        <f>Profile!A641</f>
        <v xml:space="preserve">   EventTimestamp</v>
      </c>
      <c r="C612">
        <f>Profile!AP643</f>
        <v>0</v>
      </c>
      <c r="D612" t="str">
        <f>IF(Profile!C641="Profile",IF(Profile!A643="ResourceRequirement","OK","XXX"),"XXX")</f>
        <v>XXX</v>
      </c>
    </row>
    <row r="613" spans="1:4" x14ac:dyDescent="0.45">
      <c r="A613">
        <f>ROW()</f>
        <v>613</v>
      </c>
      <c r="B613" t="str">
        <f>Profile!A642</f>
        <v xml:space="preserve">   EventType</v>
      </c>
      <c r="C613">
        <f>Profile!AP644</f>
        <v>0</v>
      </c>
      <c r="D613" t="str">
        <f>IF(Profile!C642="Profile",IF(Profile!A644="ResourceRequirement","OK","XXX"),"XXX")</f>
        <v>XXX</v>
      </c>
    </row>
    <row r="614" spans="1:4" x14ac:dyDescent="0.45">
      <c r="A614">
        <f>ROW()</f>
        <v>614</v>
      </c>
      <c r="B614" t="str">
        <f>Profile!A643</f>
        <v xml:space="preserve">   MemberId</v>
      </c>
      <c r="C614">
        <f>Profile!AP645</f>
        <v>0</v>
      </c>
      <c r="D614" t="str">
        <f>IF(Profile!C643="Profile",IF(Profile!A645="ResourceRequirement","OK","XXX"),"XXX")</f>
        <v>XXX</v>
      </c>
    </row>
    <row r="615" spans="1:4" x14ac:dyDescent="0.45">
      <c r="A615">
        <f>ROW()</f>
        <v>615</v>
      </c>
      <c r="B615" t="str">
        <f>Profile!A644</f>
        <v xml:space="preserve">   Message</v>
      </c>
      <c r="C615">
        <f>Profile!AP646</f>
        <v>0</v>
      </c>
      <c r="D615" t="str">
        <f>IF(Profile!C644="Profile",IF(Profile!A646="ResourceRequirement","OK","XXX"),"XXX")</f>
        <v>XXX</v>
      </c>
    </row>
    <row r="616" spans="1:4" x14ac:dyDescent="0.45">
      <c r="A616">
        <f>ROW()</f>
        <v>616</v>
      </c>
      <c r="B616" t="str">
        <f>Profile!A645</f>
        <v xml:space="preserve">   MessageArgs</v>
      </c>
      <c r="C616">
        <f>Profile!AP647</f>
        <v>0</v>
      </c>
      <c r="D616" t="str">
        <f>IF(Profile!C645="Profile",IF(Profile!A647="ResourceRequirement","OK","XXX"),"XXX")</f>
        <v>XXX</v>
      </c>
    </row>
    <row r="617" spans="1:4" x14ac:dyDescent="0.45">
      <c r="A617">
        <f>ROW()</f>
        <v>617</v>
      </c>
      <c r="B617" t="str">
        <f>Profile!A646</f>
        <v xml:space="preserve">   MessageId</v>
      </c>
      <c r="C617">
        <f>Profile!AP648</f>
        <v>0</v>
      </c>
      <c r="D617" t="str">
        <f>IF(Profile!C646="Profile",IF(Profile!A648="ResourceRequirement","OK","XXX"),"XXX")</f>
        <v>XXX</v>
      </c>
    </row>
    <row r="618" spans="1:4" x14ac:dyDescent="0.45">
      <c r="A618">
        <f>ROW()</f>
        <v>618</v>
      </c>
      <c r="B618" t="str">
        <f>Profile!A647</f>
        <v xml:space="preserve">   Oem</v>
      </c>
      <c r="C618">
        <f>Profile!AP649</f>
        <v>0</v>
      </c>
      <c r="D618" t="str">
        <f>IF(Profile!C647="Profile",IF(Profile!A649="ResourceRequirement","OK","XXX"),"XXX")</f>
        <v>XXX</v>
      </c>
    </row>
    <row r="619" spans="1:4" x14ac:dyDescent="0.45">
      <c r="A619">
        <f>ROW()</f>
        <v>619</v>
      </c>
      <c r="B619" t="str">
        <f>Profile!A648</f>
        <v xml:space="preserve">   OriginOfCondition</v>
      </c>
      <c r="C619">
        <f>Profile!AP650</f>
        <v>0</v>
      </c>
      <c r="D619" t="str">
        <f>IF(Profile!C648="Profile",IF(Profile!A650="ResourceRequirement","OK","XXX"),"XXX")</f>
        <v>XXX</v>
      </c>
    </row>
    <row r="620" spans="1:4" x14ac:dyDescent="0.45">
      <c r="A620">
        <f>ROW()</f>
        <v>620</v>
      </c>
      <c r="B620" t="str">
        <f>Profile!A649</f>
        <v xml:space="preserve">      @odata.id</v>
      </c>
      <c r="C620">
        <f>Profile!AP651</f>
        <v>0</v>
      </c>
      <c r="D620" t="str">
        <f>IF(Profile!C649="Profile",IF(Profile!A651="ResourceRequirement","OK","XXX"),"XXX")</f>
        <v>XXX</v>
      </c>
    </row>
    <row r="621" spans="1:4" x14ac:dyDescent="0.45">
      <c r="A621">
        <f>ROW()</f>
        <v>621</v>
      </c>
      <c r="B621" t="str">
        <f>Profile!A650</f>
        <v>Severity</v>
      </c>
      <c r="C621">
        <f>Profile!AP652</f>
        <v>0</v>
      </c>
      <c r="D621" t="str">
        <f>IF(Profile!C650="Profile",IF(Profile!A652="ResourceRequirement","OK","XXX"),"XXX")</f>
        <v>XXX</v>
      </c>
    </row>
    <row r="622" spans="1:4" x14ac:dyDescent="0.45">
      <c r="A622">
        <f>ROW()</f>
        <v>622</v>
      </c>
      <c r="B622">
        <f>Profile!A651</f>
        <v>0</v>
      </c>
      <c r="C622">
        <f>Profile!AP653</f>
        <v>0</v>
      </c>
      <c r="D622" t="str">
        <f>IF(Profile!C651="Profile",IF(Profile!A653="ResourceRequirement","OK","XXX"),"XXX")</f>
        <v>XXX</v>
      </c>
    </row>
    <row r="623" spans="1:4" x14ac:dyDescent="0.45">
      <c r="A623">
        <f>ROW()</f>
        <v>623</v>
      </c>
      <c r="B623" t="str">
        <f>Profile!A652</f>
        <v>1.1.2.2               EventDestination</v>
      </c>
      <c r="C623">
        <f>Profile!AP654</f>
        <v>0</v>
      </c>
      <c r="D623" t="str">
        <f>IF(Profile!C652="Profile",IF(Profile!A654="ResourceRequirement","OK","XXX"),"XXX")</f>
        <v>XXX</v>
      </c>
    </row>
    <row r="624" spans="1:4" x14ac:dyDescent="0.45">
      <c r="A624">
        <f>ROW()</f>
        <v>624</v>
      </c>
      <c r="B624" t="str">
        <f>Profile!A653</f>
        <v>The EventDestination resource describes the target of an Event subscription, including the types of Events subscribed and context to provide to the target in the Event payload.</v>
      </c>
      <c r="C624">
        <f>Profile!AP655</f>
        <v>0</v>
      </c>
      <c r="D624" t="str">
        <f>IF(Profile!C653="Profile",IF(Profile!A655="ResourceRequirement","OK","XXX"),"XXX")</f>
        <v>XXX</v>
      </c>
    </row>
    <row r="625" spans="1:4" x14ac:dyDescent="0.45">
      <c r="A625">
        <f>ROW()</f>
        <v>625</v>
      </c>
      <c r="B625" t="str">
        <f>Profile!A654</f>
        <v>Table 19: O-PAS Profile Map for the Redfish EventDestination Resource</v>
      </c>
      <c r="C625">
        <f>Profile!AP656</f>
        <v>0</v>
      </c>
      <c r="D625" t="str">
        <f>IF(Profile!C654="Profile",IF(Profile!A656="ResourceRequirement","OK","XXX"),"XXX")</f>
        <v>XXX</v>
      </c>
    </row>
    <row r="626" spans="1:4" x14ac:dyDescent="0.45">
      <c r="A626">
        <f>ROW()</f>
        <v>626</v>
      </c>
      <c r="B626" t="str">
        <f>Profile!A655</f>
        <v>EventDestination (1.4.0)</v>
      </c>
      <c r="C626">
        <f>Profile!AP657</f>
        <v>0</v>
      </c>
      <c r="D626" t="str">
        <f>IF(Profile!C655="Profile",IF(Profile!A657="ResourceRequirement","OK","XXX"),"XXX")</f>
        <v>XXX</v>
      </c>
    </row>
    <row r="627" spans="1:4" x14ac:dyDescent="0.45">
      <c r="A627">
        <f>ROW()</f>
        <v>627</v>
      </c>
      <c r="B627">
        <f>Profile!A656</f>
        <v>0</v>
      </c>
      <c r="C627">
        <f>Profile!AP658</f>
        <v>0</v>
      </c>
      <c r="D627" t="str">
        <f>IF(Profile!C656="Profile",IF(Profile!A658="ResourceRequirement","OK","XXX"),"XXX")</f>
        <v>XXX</v>
      </c>
    </row>
    <row r="628" spans="1:4" x14ac:dyDescent="0.45">
      <c r="A628">
        <f>ROW()</f>
        <v>628</v>
      </c>
      <c r="B628" t="str">
        <f>Profile!A657</f>
        <v>EventDestination (1.5.0)</v>
      </c>
      <c r="C628">
        <f>Profile!AP659</f>
        <v>18</v>
      </c>
      <c r="D628" t="str">
        <f>IF(Profile!C657="Profile",IF(Profile!A659="ResourceRequirement","OK","XXX"),"XXX")</f>
        <v>OK</v>
      </c>
    </row>
    <row r="629" spans="1:4" x14ac:dyDescent="0.45">
      <c r="A629">
        <f>ROW()</f>
        <v>629</v>
      </c>
      <c r="B629">
        <f>Profile!A658</f>
        <v>0</v>
      </c>
      <c r="C629">
        <f>Profile!AP660</f>
        <v>0</v>
      </c>
      <c r="D629" t="str">
        <f>IF(Profile!C658="Profile",IF(Profile!A660="ResourceRequirement","OK","XXX"),"XXX")</f>
        <v>XXX</v>
      </c>
    </row>
    <row r="630" spans="1:4" x14ac:dyDescent="0.45">
      <c r="A630">
        <f>ROW()</f>
        <v>630</v>
      </c>
      <c r="B630" t="str">
        <f>Profile!A659</f>
        <v>ResourceRequirement</v>
      </c>
      <c r="C630">
        <f>Profile!AP661</f>
        <v>0</v>
      </c>
      <c r="D630" t="str">
        <f>IF(Profile!C659="Profile",IF(Profile!A661="ResourceRequirement","OK","XXX"),"XXX")</f>
        <v>XXX</v>
      </c>
    </row>
    <row r="631" spans="1:4" x14ac:dyDescent="0.45">
      <c r="A631">
        <f>ROW()</f>
        <v>631</v>
      </c>
      <c r="B631" t="str">
        <f>Profile!A660</f>
        <v>Resource MinVersion</v>
      </c>
      <c r="C631">
        <f>Profile!AP662</f>
        <v>0</v>
      </c>
      <c r="D631" t="str">
        <f>IF(Profile!C660="Profile",IF(Profile!A662="ResourceRequirement","OK","XXX"),"XXX")</f>
        <v>XXX</v>
      </c>
    </row>
    <row r="632" spans="1:4" x14ac:dyDescent="0.45">
      <c r="A632">
        <f>ROW()</f>
        <v>632</v>
      </c>
      <c r="B632" t="str">
        <f>Profile!A661</f>
        <v>Property</v>
      </c>
      <c r="C632">
        <f>Profile!AP663</f>
        <v>0</v>
      </c>
      <c r="D632" t="str">
        <f>IF(Profile!C661="Profile",IF(Profile!A663="ResourceRequirement","OK","XXX"),"XXX")</f>
        <v>XXX</v>
      </c>
    </row>
    <row r="633" spans="1:4" x14ac:dyDescent="0.45">
      <c r="A633">
        <f>ROW()</f>
        <v>633</v>
      </c>
      <c r="B633" t="str">
        <f>Profile!A662</f>
        <v>Actions</v>
      </c>
      <c r="C633">
        <f>Profile!AP664</f>
        <v>0</v>
      </c>
      <c r="D633" t="str">
        <f>IF(Profile!C662="Profile",IF(Profile!A664="ResourceRequirement","OK","XXX"),"XXX")</f>
        <v>XXX</v>
      </c>
    </row>
    <row r="634" spans="1:4" x14ac:dyDescent="0.45">
      <c r="A634">
        <f>ROW()</f>
        <v>634</v>
      </c>
      <c r="B634" t="str">
        <f>Profile!A663</f>
        <v>Context</v>
      </c>
      <c r="C634">
        <f>Profile!AP665</f>
        <v>0</v>
      </c>
      <c r="D634" t="str">
        <f>IF(Profile!C663="Profile",IF(Profile!A665="ResourceRequirement","OK","XXX"),"XXX")</f>
        <v>XXX</v>
      </c>
    </row>
    <row r="635" spans="1:4" x14ac:dyDescent="0.45">
      <c r="A635">
        <f>ROW()</f>
        <v>635</v>
      </c>
      <c r="B635" t="str">
        <f>Profile!A664</f>
        <v>DeliveryRetryPolicy</v>
      </c>
      <c r="C635">
        <f>Profile!AP666</f>
        <v>0</v>
      </c>
      <c r="D635" t="str">
        <f>IF(Profile!C664="Profile",IF(Profile!A666="ResourceRequirement","OK","XXX"),"XXX")</f>
        <v>XXX</v>
      </c>
    </row>
    <row r="636" spans="1:4" x14ac:dyDescent="0.45">
      <c r="A636">
        <f>ROW()</f>
        <v>636</v>
      </c>
      <c r="B636" t="str">
        <f>Profile!A665</f>
        <v>Destination</v>
      </c>
      <c r="C636">
        <f>Profile!AP667</f>
        <v>0</v>
      </c>
      <c r="D636" t="str">
        <f>IF(Profile!C665="Profile",IF(Profile!A667="ResourceRequirement","OK","XXX"),"XXX")</f>
        <v>XXX</v>
      </c>
    </row>
    <row r="637" spans="1:4" x14ac:dyDescent="0.45">
      <c r="A637">
        <f>ROW()</f>
        <v>637</v>
      </c>
      <c r="B637" t="str">
        <f>Profile!A666</f>
        <v>EventFormatType</v>
      </c>
      <c r="C637">
        <f>Profile!AP668</f>
        <v>0</v>
      </c>
      <c r="D637" t="str">
        <f>IF(Profile!C666="Profile",IF(Profile!A668="ResourceRequirement","OK","XXX"),"XXX")</f>
        <v>XXX</v>
      </c>
    </row>
    <row r="638" spans="1:4" x14ac:dyDescent="0.45">
      <c r="A638">
        <f>ROW()</f>
        <v>638</v>
      </c>
      <c r="B638" t="str">
        <f>Profile!A667</f>
        <v>EventTypes</v>
      </c>
      <c r="C638">
        <f>Profile!AP669</f>
        <v>0</v>
      </c>
      <c r="D638" t="str">
        <f>IF(Profile!C667="Profile",IF(Profile!A669="ResourceRequirement","OK","XXX"),"XXX")</f>
        <v>XXX</v>
      </c>
    </row>
    <row r="639" spans="1:4" x14ac:dyDescent="0.45">
      <c r="A639">
        <f>ROW()</f>
        <v>639</v>
      </c>
      <c r="B639" t="str">
        <f>Profile!A668</f>
        <v>HttpHeaders</v>
      </c>
      <c r="C639">
        <f>Profile!AP670</f>
        <v>0</v>
      </c>
      <c r="D639" t="str">
        <f>IF(Profile!C668="Profile",IF(Profile!A670="ResourceRequirement","OK","XXX"),"XXX")</f>
        <v>XXX</v>
      </c>
    </row>
    <row r="640" spans="1:4" x14ac:dyDescent="0.45">
      <c r="A640">
        <f>ROW()</f>
        <v>640</v>
      </c>
      <c r="B640" t="str">
        <f>Profile!A669</f>
        <v>MessageIds</v>
      </c>
      <c r="C640">
        <f>Profile!AP671</f>
        <v>0</v>
      </c>
      <c r="D640" t="str">
        <f>IF(Profile!C669="Profile",IF(Profile!A671="ResourceRequirement","OK","XXX"),"XXX")</f>
        <v>XXX</v>
      </c>
    </row>
    <row r="641" spans="1:4" x14ac:dyDescent="0.45">
      <c r="A641">
        <f>ROW()</f>
        <v>641</v>
      </c>
      <c r="B641" t="str">
        <f>Profile!A670</f>
        <v>OriginResources</v>
      </c>
      <c r="C641">
        <f>Profile!AP672</f>
        <v>0</v>
      </c>
      <c r="D641" t="str">
        <f>IF(Profile!C670="Profile",IF(Profile!A672="ResourceRequirement","OK","XXX"),"XXX")</f>
        <v>XXX</v>
      </c>
    </row>
    <row r="642" spans="1:4" x14ac:dyDescent="0.45">
      <c r="A642">
        <f>ROW()</f>
        <v>642</v>
      </c>
      <c r="B642" t="str">
        <f>Profile!A671</f>
        <v xml:space="preserve">   @odata.id</v>
      </c>
      <c r="C642">
        <f>Profile!AP673</f>
        <v>0</v>
      </c>
      <c r="D642" t="str">
        <f>IF(Profile!C671="Profile",IF(Profile!A673="ResourceRequirement","OK","XXX"),"XXX")</f>
        <v>XXX</v>
      </c>
    </row>
    <row r="643" spans="1:4" x14ac:dyDescent="0.45">
      <c r="A643">
        <f>ROW()</f>
        <v>643</v>
      </c>
      <c r="B643" t="str">
        <f>Profile!A672</f>
        <v>Protocol</v>
      </c>
      <c r="C643">
        <f>Profile!AP674</f>
        <v>0</v>
      </c>
      <c r="D643" t="str">
        <f>IF(Profile!C672="Profile",IF(Profile!A674="ResourceRequirement","OK","XXX"),"XXX")</f>
        <v>XXX</v>
      </c>
    </row>
    <row r="644" spans="1:4" x14ac:dyDescent="0.45">
      <c r="A644">
        <f>ROW()</f>
        <v>644</v>
      </c>
      <c r="B644" t="str">
        <f>Profile!A673</f>
        <v>RegistryPrefixes</v>
      </c>
      <c r="C644">
        <f>Profile!AP675</f>
        <v>0</v>
      </c>
      <c r="D644" t="str">
        <f>IF(Profile!C673="Profile",IF(Profile!A675="ResourceRequirement","OK","XXX"),"XXX")</f>
        <v>XXX</v>
      </c>
    </row>
    <row r="645" spans="1:4" x14ac:dyDescent="0.45">
      <c r="A645">
        <f>ROW()</f>
        <v>645</v>
      </c>
      <c r="B645" t="str">
        <f>Profile!A674</f>
        <v>ResourceTypes</v>
      </c>
      <c r="C645">
        <f>Profile!AP678</f>
        <v>0</v>
      </c>
      <c r="D645" t="str">
        <f>IF(Profile!C674="Profile",IF(Profile!A678="ResourceRequirement","OK","XXX"),"XXX")</f>
        <v>XXX</v>
      </c>
    </row>
    <row r="646" spans="1:4" x14ac:dyDescent="0.45">
      <c r="A646">
        <f>ROW()</f>
        <v>646</v>
      </c>
      <c r="B646" t="str">
        <f>Profile!A675</f>
        <v>Status</v>
      </c>
      <c r="C646">
        <f>Profile!AP679</f>
        <v>0</v>
      </c>
      <c r="D646" t="str">
        <f>IF(Profile!C675="Profile",IF(Profile!A679="ResourceRequirement","OK","XXX"),"XXX")</f>
        <v>XXX</v>
      </c>
    </row>
    <row r="647" spans="1:4" x14ac:dyDescent="0.45">
      <c r="A647">
        <f>ROW()</f>
        <v>647</v>
      </c>
      <c r="B647" t="str">
        <f>Profile!A678</f>
        <v>SubordinateResources</v>
      </c>
      <c r="C647">
        <f>Profile!AP680</f>
        <v>0</v>
      </c>
      <c r="D647" t="str">
        <f>IF(Profile!C678="Profile",IF(Profile!A680="ResourceRequirement","OK","XXX"),"XXX")</f>
        <v>XXX</v>
      </c>
    </row>
    <row r="648" spans="1:4" x14ac:dyDescent="0.45">
      <c r="A648">
        <f>ROW()</f>
        <v>648</v>
      </c>
      <c r="B648" t="str">
        <f>Profile!A679</f>
        <v>SubscriptionType</v>
      </c>
      <c r="C648">
        <f>Profile!AP681</f>
        <v>0</v>
      </c>
      <c r="D648" t="str">
        <f>IF(Profile!C679="Profile",IF(Profile!A681="ResourceRequirement","OK","XXX"),"XXX")</f>
        <v>XXX</v>
      </c>
    </row>
    <row r="649" spans="1:4" x14ac:dyDescent="0.45">
      <c r="A649">
        <f>ROW()</f>
        <v>649</v>
      </c>
      <c r="B649" t="str">
        <f>Profile!A680</f>
        <v>EventDestination URIs</v>
      </c>
      <c r="C649">
        <f>Profile!AP682</f>
        <v>0</v>
      </c>
      <c r="D649" t="str">
        <f>IF(Profile!C680="Profile",IF(Profile!A682="ResourceRequirement","OK","XXX"),"XXX")</f>
        <v>XXX</v>
      </c>
    </row>
    <row r="650" spans="1:4" x14ac:dyDescent="0.45">
      <c r="A650">
        <f>ROW()</f>
        <v>650</v>
      </c>
      <c r="B650" t="str">
        <f>Profile!A681</f>
        <v>/redfish/v1/EventService/Subscriptions/{EventDestinationId}</v>
      </c>
      <c r="C650">
        <f>Profile!AP683</f>
        <v>0</v>
      </c>
      <c r="D650" t="str">
        <f>IF(Profile!C681="Profile",IF(Profile!A683="ResourceRequirement","OK","XXX"),"XXX")</f>
        <v>XXX</v>
      </c>
    </row>
    <row r="651" spans="1:4" x14ac:dyDescent="0.45">
      <c r="A651">
        <f>ROW()</f>
        <v>651</v>
      </c>
      <c r="B651">
        <f>Profile!A682</f>
        <v>0</v>
      </c>
      <c r="C651">
        <f>Profile!AP684</f>
        <v>0</v>
      </c>
      <c r="D651" t="str">
        <f>IF(Profile!C682="Profile",IF(Profile!A684="ResourceRequirement","OK","XXX"),"XXX")</f>
        <v>XXX</v>
      </c>
    </row>
    <row r="652" spans="1:4" x14ac:dyDescent="0.45">
      <c r="A652">
        <f>ROW()</f>
        <v>652</v>
      </c>
      <c r="B652" t="str">
        <f>Profile!A683</f>
        <v>1.1.2.3               EventService</v>
      </c>
      <c r="C652">
        <f>Profile!AP685</f>
        <v>0</v>
      </c>
      <c r="D652" t="str">
        <f>IF(Profile!C683="Profile",IF(Profile!A685="ResourceRequirement","OK","XXX"),"XXX")</f>
        <v>XXX</v>
      </c>
    </row>
    <row r="653" spans="1:4" x14ac:dyDescent="0.45">
      <c r="A653">
        <f>ROW()</f>
        <v>653</v>
      </c>
      <c r="B653" t="str">
        <f>Profile!A684</f>
        <v>The EventService resource contains properties for managing Event subscriptions and generates the Events sent to subscribers. The resource has links to the actual collection of subscriptions (called EventDestinations).</v>
      </c>
      <c r="C653">
        <f>Profile!AP686</f>
        <v>0</v>
      </c>
      <c r="D653" t="str">
        <f>IF(Profile!C684="Profile",IF(Profile!A686="ResourceRequirement","OK","XXX"),"XXX")</f>
        <v>XXX</v>
      </c>
    </row>
    <row r="654" spans="1:4" x14ac:dyDescent="0.45">
      <c r="A654">
        <f>ROW()</f>
        <v>654</v>
      </c>
      <c r="B654" t="str">
        <f>Profile!A685</f>
        <v>Table 20: O-PAS Profile Map for the Redfish EventService</v>
      </c>
      <c r="C654">
        <f>Profile!AP687</f>
        <v>0</v>
      </c>
      <c r="D654" t="str">
        <f>IF(Profile!C685="Profile",IF(Profile!A687="ResourceRequirement","OK","XXX"),"XXX")</f>
        <v>XXX</v>
      </c>
    </row>
    <row r="655" spans="1:4" x14ac:dyDescent="0.45">
      <c r="A655">
        <f>ROW()</f>
        <v>655</v>
      </c>
      <c r="B655" t="str">
        <f>Profile!A686</f>
        <v>EventService (1.2.0)</v>
      </c>
      <c r="C655">
        <f>Profile!AP688</f>
        <v>0</v>
      </c>
      <c r="D655" t="str">
        <f>IF(Profile!C686="Profile",IF(Profile!A688="ResourceRequirement","OK","XXX"),"XXX")</f>
        <v>XXX</v>
      </c>
    </row>
    <row r="656" spans="1:4" x14ac:dyDescent="0.45">
      <c r="A656">
        <f>ROW()</f>
        <v>656</v>
      </c>
      <c r="B656">
        <f>Profile!A687</f>
        <v>0</v>
      </c>
      <c r="C656">
        <f>Profile!AP689</f>
        <v>0</v>
      </c>
      <c r="D656" t="str">
        <f>IF(Profile!C687="Profile",IF(Profile!A689="ResourceRequirement","OK","XXX"),"XXX")</f>
        <v>XXX</v>
      </c>
    </row>
    <row r="657" spans="1:4" x14ac:dyDescent="0.45">
      <c r="A657">
        <f>ROW()</f>
        <v>657</v>
      </c>
      <c r="B657" t="str">
        <f>Profile!A688</f>
        <v>EventService (1.3.0)</v>
      </c>
      <c r="C657">
        <f>Profile!AP690</f>
        <v>19</v>
      </c>
      <c r="D657" t="str">
        <f>IF(Profile!C688="Profile",IF(Profile!A690="ResourceRequirement","OK","XXX"),"XXX")</f>
        <v>OK</v>
      </c>
    </row>
    <row r="658" spans="1:4" x14ac:dyDescent="0.45">
      <c r="A658">
        <f>ROW()</f>
        <v>658</v>
      </c>
      <c r="B658">
        <f>Profile!A689</f>
        <v>0</v>
      </c>
      <c r="C658">
        <f>Profile!AP691</f>
        <v>0</v>
      </c>
      <c r="D658" t="str">
        <f>IF(Profile!C689="Profile",IF(Profile!A691="ResourceRequirement","OK","XXX"),"XXX")</f>
        <v>XXX</v>
      </c>
    </row>
    <row r="659" spans="1:4" x14ac:dyDescent="0.45">
      <c r="A659">
        <f>ROW()</f>
        <v>659</v>
      </c>
      <c r="B659" t="str">
        <f>Profile!A690</f>
        <v>ResourceRequirement</v>
      </c>
      <c r="C659">
        <f>Profile!AP692</f>
        <v>0</v>
      </c>
      <c r="D659" t="str">
        <f>IF(Profile!C690="Profile",IF(Profile!A692="ResourceRequirement","OK","XXX"),"XXX")</f>
        <v>XXX</v>
      </c>
    </row>
    <row r="660" spans="1:4" x14ac:dyDescent="0.45">
      <c r="A660">
        <f>ROW()</f>
        <v>660</v>
      </c>
      <c r="B660" t="str">
        <f>Profile!A691</f>
        <v>Resource MinVersion</v>
      </c>
      <c r="C660">
        <f>Profile!AP693</f>
        <v>0</v>
      </c>
      <c r="D660" t="str">
        <f>IF(Profile!C691="Profile",IF(Profile!A693="ResourceRequirement","OK","XXX"),"XXX")</f>
        <v>XXX</v>
      </c>
    </row>
    <row r="661" spans="1:4" x14ac:dyDescent="0.45">
      <c r="A661">
        <f>ROW()</f>
        <v>661</v>
      </c>
      <c r="B661" t="str">
        <f>Profile!A692</f>
        <v>Property</v>
      </c>
      <c r="C661">
        <f>Profile!AP694</f>
        <v>0</v>
      </c>
      <c r="D661" t="str">
        <f>IF(Profile!C692="Profile",IF(Profile!A694="ResourceRequirement","OK","XXX"),"XXX")</f>
        <v>XXX</v>
      </c>
    </row>
    <row r="662" spans="1:4" x14ac:dyDescent="0.45">
      <c r="A662">
        <f>ROW()</f>
        <v>662</v>
      </c>
      <c r="B662" t="str">
        <f>Profile!A693</f>
        <v>Actions</v>
      </c>
      <c r="C662">
        <f>Profile!AP695</f>
        <v>0</v>
      </c>
      <c r="D662" t="str">
        <f>IF(Profile!C693="Profile",IF(Profile!A695="ResourceRequirement","OK","XXX"),"XXX")</f>
        <v>XXX</v>
      </c>
    </row>
    <row r="663" spans="1:4" x14ac:dyDescent="0.45">
      <c r="A663">
        <f>ROW()</f>
        <v>663</v>
      </c>
      <c r="B663" t="str">
        <f>Profile!A694</f>
        <v xml:space="preserve">   #EventService.SubmitTestEvent</v>
      </c>
      <c r="C663">
        <f>Profile!AP696</f>
        <v>0</v>
      </c>
      <c r="D663" t="str">
        <f>IF(Profile!C694="Profile",IF(Profile!A696="ResourceRequirement","OK","XXX"),"XXX")</f>
        <v>XXX</v>
      </c>
    </row>
    <row r="664" spans="1:4" x14ac:dyDescent="0.45">
      <c r="A664">
        <f>ROW()</f>
        <v>664</v>
      </c>
      <c r="B664" t="str">
        <f>Profile!A695</f>
        <v>DeliveryRetryAttempts</v>
      </c>
      <c r="C664">
        <f>Profile!AP697</f>
        <v>0</v>
      </c>
      <c r="D664" t="str">
        <f>IF(Profile!C695="Profile",IF(Profile!A697="ResourceRequirement","OK","XXX"),"XXX")</f>
        <v>XXX</v>
      </c>
    </row>
    <row r="665" spans="1:4" x14ac:dyDescent="0.45">
      <c r="A665">
        <f>ROW()</f>
        <v>665</v>
      </c>
      <c r="B665" t="str">
        <f>Profile!A696</f>
        <v>DeliveryRetryIntervalSeconds</v>
      </c>
      <c r="C665">
        <f>Profile!AP698</f>
        <v>0</v>
      </c>
      <c r="D665" t="str">
        <f>IF(Profile!C696="Profile",IF(Profile!A698="ResourceRequirement","OK","XXX"),"XXX")</f>
        <v>XXX</v>
      </c>
    </row>
    <row r="666" spans="1:4" x14ac:dyDescent="0.45">
      <c r="A666">
        <f>ROW()</f>
        <v>666</v>
      </c>
      <c r="B666" t="str">
        <f>Profile!A697</f>
        <v>EventFormatTypes</v>
      </c>
      <c r="C666">
        <f>Profile!AP699</f>
        <v>0</v>
      </c>
      <c r="D666" t="str">
        <f>IF(Profile!C697="Profile",IF(Profile!A699="ResourceRequirement","OK","XXX"),"XXX")</f>
        <v>XXX</v>
      </c>
    </row>
    <row r="667" spans="1:4" x14ac:dyDescent="0.45">
      <c r="A667">
        <f>ROW()</f>
        <v>667</v>
      </c>
      <c r="B667" t="str">
        <f>Profile!A698</f>
        <v>EventTypesForSubscription</v>
      </c>
      <c r="C667">
        <f>Profile!AP700</f>
        <v>0</v>
      </c>
      <c r="D667" t="str">
        <f>IF(Profile!C698="Profile",IF(Profile!A700="ResourceRequirement","OK","XXX"),"XXX")</f>
        <v>XXX</v>
      </c>
    </row>
    <row r="668" spans="1:4" x14ac:dyDescent="0.45">
      <c r="A668">
        <f>ROW()</f>
        <v>668</v>
      </c>
      <c r="B668" t="str">
        <f>Profile!A699</f>
        <v>RegistryPrefixes</v>
      </c>
      <c r="C668">
        <f>Profile!AP701</f>
        <v>0</v>
      </c>
      <c r="D668" t="str">
        <f>IF(Profile!C699="Profile",IF(Profile!A701="ResourceRequirement","OK","XXX"),"XXX")</f>
        <v>XXX</v>
      </c>
    </row>
    <row r="669" spans="1:4" x14ac:dyDescent="0.45">
      <c r="A669">
        <f>ROW()</f>
        <v>669</v>
      </c>
      <c r="B669" t="str">
        <f>Profile!A700</f>
        <v>ResourceTypes</v>
      </c>
      <c r="C669">
        <f>Profile!AP702</f>
        <v>0</v>
      </c>
      <c r="D669" t="str">
        <f>IF(Profile!C700="Profile",IF(Profile!A702="ResourceRequirement","OK","XXX"),"XXX")</f>
        <v>XXX</v>
      </c>
    </row>
    <row r="670" spans="1:4" x14ac:dyDescent="0.45">
      <c r="A670">
        <f>ROW()</f>
        <v>670</v>
      </c>
      <c r="B670" t="str">
        <f>Profile!A701</f>
        <v>ServerSentEventUri</v>
      </c>
      <c r="C670">
        <f>Profile!AP703</f>
        <v>0</v>
      </c>
      <c r="D670" t="str">
        <f>IF(Profile!C701="Profile",IF(Profile!A703="ResourceRequirement","OK","XXX"),"XXX")</f>
        <v>XXX</v>
      </c>
    </row>
    <row r="671" spans="1:4" x14ac:dyDescent="0.45">
      <c r="A671">
        <f>ROW()</f>
        <v>671</v>
      </c>
      <c r="B671" t="str">
        <f>Profile!A702</f>
        <v>ServiceEnabled</v>
      </c>
      <c r="C671">
        <f>Profile!AP704</f>
        <v>0</v>
      </c>
      <c r="D671" t="str">
        <f>IF(Profile!C702="Profile",IF(Profile!A704="ResourceRequirement","OK","XXX"),"XXX")</f>
        <v>XXX</v>
      </c>
    </row>
    <row r="672" spans="1:4" x14ac:dyDescent="0.45">
      <c r="A672">
        <f>ROW()</f>
        <v>672</v>
      </c>
      <c r="B672" t="str">
        <f>Profile!A703</f>
        <v>SSEFilterPropertiesSupported</v>
      </c>
      <c r="C672">
        <f>Profile!AP705</f>
        <v>0</v>
      </c>
      <c r="D672" t="str">
        <f>IF(Profile!C703="Profile",IF(Profile!A705="ResourceRequirement","OK","XXX"),"XXX")</f>
        <v>XXX</v>
      </c>
    </row>
    <row r="673" spans="1:4" x14ac:dyDescent="0.45">
      <c r="A673">
        <f>ROW()</f>
        <v>673</v>
      </c>
      <c r="B673" t="str">
        <f>Profile!A704</f>
        <v xml:space="preserve">   EventFormatType</v>
      </c>
      <c r="C673">
        <f>Profile!AP706</f>
        <v>0</v>
      </c>
      <c r="D673" t="str">
        <f>IF(Profile!C704="Profile",IF(Profile!A706="ResourceRequirement","OK","XXX"),"XXX")</f>
        <v>XXX</v>
      </c>
    </row>
    <row r="674" spans="1:4" x14ac:dyDescent="0.45">
      <c r="A674">
        <f>ROW()</f>
        <v>674</v>
      </c>
      <c r="B674" t="str">
        <f>Profile!A705</f>
        <v xml:space="preserve">   EventType</v>
      </c>
      <c r="C674">
        <f>Profile!AP707</f>
        <v>0</v>
      </c>
      <c r="D674" t="str">
        <f>IF(Profile!C705="Profile",IF(Profile!A707="ResourceRequirement","OK","XXX"),"XXX")</f>
        <v>XXX</v>
      </c>
    </row>
    <row r="675" spans="1:4" x14ac:dyDescent="0.45">
      <c r="A675">
        <f>ROW()</f>
        <v>675</v>
      </c>
      <c r="B675" t="str">
        <f>Profile!A706</f>
        <v xml:space="preserve">   MessageId</v>
      </c>
      <c r="C675">
        <f>Profile!AP708</f>
        <v>0</v>
      </c>
      <c r="D675" t="str">
        <f>IF(Profile!C706="Profile",IF(Profile!A708="ResourceRequirement","OK","XXX"),"XXX")</f>
        <v>XXX</v>
      </c>
    </row>
    <row r="676" spans="1:4" x14ac:dyDescent="0.45">
      <c r="A676">
        <f>ROW()</f>
        <v>676</v>
      </c>
      <c r="B676" t="str">
        <f>Profile!A707</f>
        <v xml:space="preserve">   MetricReportDefinition</v>
      </c>
      <c r="C676">
        <f>Profile!AP709</f>
        <v>0</v>
      </c>
      <c r="D676" t="str">
        <f>IF(Profile!C707="Profile",IF(Profile!A709="ResourceRequirement","OK","XXX"),"XXX")</f>
        <v>XXX</v>
      </c>
    </row>
    <row r="677" spans="1:4" x14ac:dyDescent="0.45">
      <c r="A677">
        <f>ROW()</f>
        <v>677</v>
      </c>
      <c r="B677" t="str">
        <f>Profile!A708</f>
        <v xml:space="preserve">   OriginResource</v>
      </c>
      <c r="C677">
        <f>Profile!AP710</f>
        <v>0</v>
      </c>
      <c r="D677" t="str">
        <f>IF(Profile!C708="Profile",IF(Profile!A710="ResourceRequirement","OK","XXX"),"XXX")</f>
        <v>XXX</v>
      </c>
    </row>
    <row r="678" spans="1:4" x14ac:dyDescent="0.45">
      <c r="A678">
        <f>ROW()</f>
        <v>678</v>
      </c>
      <c r="B678" t="str">
        <f>Profile!A709</f>
        <v xml:space="preserve">   RegistryPrefix</v>
      </c>
      <c r="C678">
        <f>Profile!AP711</f>
        <v>0</v>
      </c>
      <c r="D678" t="str">
        <f>IF(Profile!C709="Profile",IF(Profile!A711="ResourceRequirement","OK","XXX"),"XXX")</f>
        <v>XXX</v>
      </c>
    </row>
    <row r="679" spans="1:4" x14ac:dyDescent="0.45">
      <c r="A679">
        <f>ROW()</f>
        <v>679</v>
      </c>
      <c r="B679" t="str">
        <f>Profile!A710</f>
        <v xml:space="preserve">   ResourceType</v>
      </c>
      <c r="C679">
        <f>Profile!AP714</f>
        <v>0</v>
      </c>
      <c r="D679" t="str">
        <f>IF(Profile!C710="Profile",IF(Profile!A714="ResourceRequirement","OK","XXX"),"XXX")</f>
        <v>XXX</v>
      </c>
    </row>
    <row r="680" spans="1:4" x14ac:dyDescent="0.45">
      <c r="A680">
        <f>ROW()</f>
        <v>680</v>
      </c>
      <c r="B680" t="str">
        <f>Profile!A711</f>
        <v>Status</v>
      </c>
      <c r="C680">
        <f>Profile!AP715</f>
        <v>0</v>
      </c>
      <c r="D680" t="str">
        <f>IF(Profile!C711="Profile",IF(Profile!A715="ResourceRequirement","OK","XXX"),"XXX")</f>
        <v>XXX</v>
      </c>
    </row>
    <row r="681" spans="1:4" x14ac:dyDescent="0.45">
      <c r="A681">
        <f>ROW()</f>
        <v>681</v>
      </c>
      <c r="B681" t="str">
        <f>Profile!A714</f>
        <v>SubordinateResourcesSupported</v>
      </c>
      <c r="C681">
        <f>Profile!AP716</f>
        <v>0</v>
      </c>
      <c r="D681" t="str">
        <f>IF(Profile!C714="Profile",IF(Profile!A716="ResourceRequirement","OK","XXX"),"XXX")</f>
        <v>XXX</v>
      </c>
    </row>
    <row r="682" spans="1:4" x14ac:dyDescent="0.45">
      <c r="A682">
        <f>ROW()</f>
        <v>682</v>
      </c>
      <c r="B682" t="str">
        <f>Profile!A715</f>
        <v>Subscriptions</v>
      </c>
      <c r="C682">
        <f>Profile!AP717</f>
        <v>0</v>
      </c>
      <c r="D682" t="str">
        <f>IF(Profile!C715="Profile",IF(Profile!A717="ResourceRequirement","OK","XXX"),"XXX")</f>
        <v>XXX</v>
      </c>
    </row>
    <row r="683" spans="1:4" x14ac:dyDescent="0.45">
      <c r="A683">
        <f>ROW()</f>
        <v>683</v>
      </c>
      <c r="B683" t="str">
        <f>Profile!A716</f>
        <v xml:space="preserve">   @odata.id</v>
      </c>
      <c r="C683">
        <f>Profile!AP718</f>
        <v>0</v>
      </c>
      <c r="D683" t="str">
        <f>IF(Profile!C716="Profile",IF(Profile!A718="ResourceRequirement","OK","XXX"),"XXX")</f>
        <v>XXX</v>
      </c>
    </row>
    <row r="684" spans="1:4" x14ac:dyDescent="0.45">
      <c r="A684">
        <f>ROW()</f>
        <v>684</v>
      </c>
      <c r="B684" t="str">
        <f>Profile!A717</f>
        <v>EventService URIs</v>
      </c>
      <c r="C684">
        <f>Profile!AP719</f>
        <v>0</v>
      </c>
      <c r="D684" t="str">
        <f>IF(Profile!C717="Profile",IF(Profile!A719="ResourceRequirement","OK","XXX"),"XXX")</f>
        <v>XXX</v>
      </c>
    </row>
    <row r="685" spans="1:4" x14ac:dyDescent="0.45">
      <c r="A685">
        <f>ROW()</f>
        <v>685</v>
      </c>
      <c r="B685" t="str">
        <f>Profile!A718</f>
        <v>/redfish/v1/EventService</v>
      </c>
      <c r="C685">
        <f>Profile!AP720</f>
        <v>0</v>
      </c>
      <c r="D685" t="str">
        <f>IF(Profile!C718="Profile",IF(Profile!A720="ResourceRequirement","OK","XXX"),"XXX")</f>
        <v>XXX</v>
      </c>
    </row>
    <row r="686" spans="1:4" x14ac:dyDescent="0.45">
      <c r="A686">
        <f>ROW()</f>
        <v>686</v>
      </c>
      <c r="B686">
        <f>Profile!A719</f>
        <v>0</v>
      </c>
      <c r="C686">
        <f>Profile!AP721</f>
        <v>0</v>
      </c>
      <c r="D686" t="str">
        <f>IF(Profile!C719="Profile",IF(Profile!A721="ResourceRequirement","OK","XXX"),"XXX")</f>
        <v>XXX</v>
      </c>
    </row>
    <row r="687" spans="1:4" x14ac:dyDescent="0.45">
      <c r="A687">
        <f>ROW()</f>
        <v>687</v>
      </c>
      <c r="B687" t="str">
        <f>Profile!A720</f>
        <v>1.1.2.4               LogEntry</v>
      </c>
      <c r="C687">
        <f>Profile!AP722</f>
        <v>0</v>
      </c>
      <c r="D687" t="str">
        <f>IF(Profile!C720="Profile",IF(Profile!A722="ResourceRequirement","OK","XXX"),"XXX")</f>
        <v>XXX</v>
      </c>
    </row>
    <row r="688" spans="1:4" x14ac:dyDescent="0.45">
      <c r="A688">
        <f>ROW()</f>
        <v>688</v>
      </c>
      <c r="B688" t="str">
        <f>Profile!A721</f>
        <v>The LogEntry resource defines the record format for a log. It is designed to be used for SEL logs (from IPMI) as well as event logs and OEM-specific log formats. The EntryType field indicates the type of log and the resource includes several additional properties dependent on the EntryType.</v>
      </c>
      <c r="C688">
        <f>Profile!AP723</f>
        <v>0</v>
      </c>
      <c r="D688" t="str">
        <f>IF(Profile!C721="Profile",IF(Profile!A723="ResourceRequirement","OK","XXX"),"XXX")</f>
        <v>XXX</v>
      </c>
    </row>
    <row r="689" spans="1:4" x14ac:dyDescent="0.45">
      <c r="A689">
        <f>ROW()</f>
        <v>689</v>
      </c>
      <c r="B689" t="str">
        <f>Profile!A722</f>
        <v>Table 21: O-PAS Profile Map for the Redfish LogEntry Resource</v>
      </c>
      <c r="C689">
        <f>Profile!AP724</f>
        <v>0</v>
      </c>
      <c r="D689" t="str">
        <f>IF(Profile!C722="Profile",IF(Profile!A724="ResourceRequirement","OK","XXX"),"XXX")</f>
        <v>XXX</v>
      </c>
    </row>
    <row r="690" spans="1:4" x14ac:dyDescent="0.45">
      <c r="A690">
        <f>ROW()</f>
        <v>690</v>
      </c>
      <c r="B690" t="str">
        <f>Profile!A723</f>
        <v>LogEntry (1.4.0)</v>
      </c>
      <c r="C690">
        <f>Profile!AP725</f>
        <v>0</v>
      </c>
      <c r="D690" t="str">
        <f>IF(Profile!C723="Profile",IF(Profile!A725="ResourceRequirement","OK","XXX"),"XXX")</f>
        <v>XXX</v>
      </c>
    </row>
    <row r="691" spans="1:4" x14ac:dyDescent="0.45">
      <c r="A691">
        <f>ROW()</f>
        <v>691</v>
      </c>
      <c r="B691">
        <f>Profile!A724</f>
        <v>0</v>
      </c>
      <c r="C691">
        <f>Profile!AP726</f>
        <v>0</v>
      </c>
      <c r="D691" t="str">
        <f>IF(Profile!C724="Profile",IF(Profile!A726="ResourceRequirement","OK","XXX"),"XXX")</f>
        <v>XXX</v>
      </c>
    </row>
    <row r="692" spans="1:4" x14ac:dyDescent="0.45">
      <c r="A692">
        <f>ROW()</f>
        <v>692</v>
      </c>
      <c r="B692" t="str">
        <f>Profile!A725</f>
        <v>LogEntry (1.4.0)</v>
      </c>
      <c r="C692">
        <f>Profile!AP727</f>
        <v>24</v>
      </c>
      <c r="D692" t="str">
        <f>IF(Profile!C725="Profile",IF(Profile!A727="ResourceRequirement","OK","XXX"),"XXX")</f>
        <v>OK</v>
      </c>
    </row>
    <row r="693" spans="1:4" x14ac:dyDescent="0.45">
      <c r="A693">
        <f>ROW()</f>
        <v>693</v>
      </c>
      <c r="B693">
        <f>Profile!A726</f>
        <v>0</v>
      </c>
      <c r="C693">
        <f>Profile!AP728</f>
        <v>0</v>
      </c>
      <c r="D693" t="str">
        <f>IF(Profile!C726="Profile",IF(Profile!A728="ResourceRequirement","OK","XXX"),"XXX")</f>
        <v>XXX</v>
      </c>
    </row>
    <row r="694" spans="1:4" x14ac:dyDescent="0.45">
      <c r="A694">
        <f>ROW()</f>
        <v>694</v>
      </c>
      <c r="B694" t="str">
        <f>Profile!A727</f>
        <v>ResourceRequirement</v>
      </c>
      <c r="C694">
        <f>Profile!AP729</f>
        <v>0</v>
      </c>
      <c r="D694" t="str">
        <f>IF(Profile!C727="Profile",IF(Profile!A729="ResourceRequirement","OK","XXX"),"XXX")</f>
        <v>XXX</v>
      </c>
    </row>
    <row r="695" spans="1:4" x14ac:dyDescent="0.45">
      <c r="A695">
        <f>ROW()</f>
        <v>695</v>
      </c>
      <c r="B695" t="str">
        <f>Profile!A728</f>
        <v>Resource MinVersion</v>
      </c>
      <c r="C695">
        <f>Profile!AP730</f>
        <v>0</v>
      </c>
      <c r="D695" t="str">
        <f>IF(Profile!C728="Profile",IF(Profile!A730="ResourceRequirement","OK","XXX"),"XXX")</f>
        <v>XXX</v>
      </c>
    </row>
    <row r="696" spans="1:4" x14ac:dyDescent="0.45">
      <c r="A696">
        <f>ROW()</f>
        <v>696</v>
      </c>
      <c r="B696" t="str">
        <f>Profile!A729</f>
        <v>Property</v>
      </c>
      <c r="C696">
        <f>Profile!AP731</f>
        <v>0</v>
      </c>
      <c r="D696" t="str">
        <f>IF(Profile!C729="Profile",IF(Profile!A731="ResourceRequirement","OK","XXX"),"XXX")</f>
        <v>XXX</v>
      </c>
    </row>
    <row r="697" spans="1:4" x14ac:dyDescent="0.45">
      <c r="A697">
        <f>ROW()</f>
        <v>697</v>
      </c>
      <c r="B697" t="str">
        <f>Profile!A730</f>
        <v>Actions</v>
      </c>
      <c r="C697">
        <f>Profile!AP732</f>
        <v>0</v>
      </c>
      <c r="D697" t="str">
        <f>IF(Profile!C730="Profile",IF(Profile!A732="ResourceRequirement","OK","XXX"),"XXX")</f>
        <v>XXX</v>
      </c>
    </row>
    <row r="698" spans="1:4" x14ac:dyDescent="0.45">
      <c r="A698">
        <f>ROW()</f>
        <v>698</v>
      </c>
      <c r="B698" t="str">
        <f>Profile!A731</f>
        <v>Created</v>
      </c>
      <c r="C698">
        <f>Profile!AP733</f>
        <v>0</v>
      </c>
      <c r="D698" t="str">
        <f>IF(Profile!C731="Profile",IF(Profile!A733="ResourceRequirement","OK","XXX"),"XXX")</f>
        <v>XXX</v>
      </c>
    </row>
    <row r="699" spans="1:4" x14ac:dyDescent="0.45">
      <c r="A699">
        <f>ROW()</f>
        <v>699</v>
      </c>
      <c r="B699" t="str">
        <f>Profile!A732</f>
        <v>EntryCode</v>
      </c>
      <c r="C699">
        <f>Profile!AP734</f>
        <v>0</v>
      </c>
      <c r="D699" t="str">
        <f>IF(Profile!C732="Profile",IF(Profile!A734="ResourceRequirement","OK","XXX"),"XXX")</f>
        <v>XXX</v>
      </c>
    </row>
    <row r="700" spans="1:4" x14ac:dyDescent="0.45">
      <c r="A700">
        <f>ROW()</f>
        <v>700</v>
      </c>
      <c r="B700" t="str">
        <f>Profile!A733</f>
        <v>EntryType</v>
      </c>
      <c r="C700">
        <f>Profile!AP735</f>
        <v>0</v>
      </c>
      <c r="D700" t="str">
        <f>IF(Profile!C733="Profile",IF(Profile!A735="ResourceRequirement","OK","XXX"),"XXX")</f>
        <v>XXX</v>
      </c>
    </row>
    <row r="701" spans="1:4" x14ac:dyDescent="0.45">
      <c r="A701">
        <f>ROW()</f>
        <v>701</v>
      </c>
      <c r="B701" t="str">
        <f>Profile!A734</f>
        <v>EventId</v>
      </c>
      <c r="C701">
        <f>Profile!AP736</f>
        <v>0</v>
      </c>
      <c r="D701" t="str">
        <f>IF(Profile!C734="Profile",IF(Profile!A736="ResourceRequirement","OK","XXX"),"XXX")</f>
        <v>XXX</v>
      </c>
    </row>
    <row r="702" spans="1:4" x14ac:dyDescent="0.45">
      <c r="A702">
        <f>ROW()</f>
        <v>702</v>
      </c>
      <c r="B702" t="str">
        <f>Profile!A735</f>
        <v>EventTimestamp</v>
      </c>
      <c r="C702">
        <f>Profile!AP737</f>
        <v>0</v>
      </c>
      <c r="D702" t="str">
        <f>IF(Profile!C735="Profile",IF(Profile!A737="ResourceRequirement","OK","XXX"),"XXX")</f>
        <v>XXX</v>
      </c>
    </row>
    <row r="703" spans="1:4" x14ac:dyDescent="0.45">
      <c r="A703">
        <f>ROW()</f>
        <v>703</v>
      </c>
      <c r="B703" t="str">
        <f>Profile!A736</f>
        <v>EventType</v>
      </c>
      <c r="C703">
        <f>Profile!AP738</f>
        <v>0</v>
      </c>
      <c r="D703" t="str">
        <f>IF(Profile!C736="Profile",IF(Profile!A738="ResourceRequirement","OK","XXX"),"XXX")</f>
        <v>XXX</v>
      </c>
    </row>
    <row r="704" spans="1:4" x14ac:dyDescent="0.45">
      <c r="A704">
        <f>ROW()</f>
        <v>704</v>
      </c>
      <c r="B704" t="str">
        <f>Profile!A737</f>
        <v>Links</v>
      </c>
      <c r="C704">
        <f>Profile!AP739</f>
        <v>0</v>
      </c>
      <c r="D704" t="str">
        <f>IF(Profile!C737="Profile",IF(Profile!A739="ResourceRequirement","OK","XXX"),"XXX")</f>
        <v>XXX</v>
      </c>
    </row>
    <row r="705" spans="1:4" x14ac:dyDescent="0.45">
      <c r="A705">
        <f>ROW()</f>
        <v>705</v>
      </c>
      <c r="B705" t="str">
        <f>Profile!A738</f>
        <v xml:space="preserve">   Oem</v>
      </c>
      <c r="C705">
        <f>Profile!AP740</f>
        <v>0</v>
      </c>
      <c r="D705" t="str">
        <f>IF(Profile!C738="Profile",IF(Profile!A740="ResourceRequirement","OK","XXX"),"XXX")</f>
        <v>XXX</v>
      </c>
    </row>
    <row r="706" spans="1:4" x14ac:dyDescent="0.45">
      <c r="A706">
        <f>ROW()</f>
        <v>706</v>
      </c>
      <c r="B706" t="str">
        <f>Profile!A739</f>
        <v xml:space="preserve">   OriginOfCondition</v>
      </c>
      <c r="C706">
        <f>Profile!AP741</f>
        <v>0</v>
      </c>
      <c r="D706" t="str">
        <f>IF(Profile!C739="Profile",IF(Profile!A741="ResourceRequirement","OK","XXX"),"XXX")</f>
        <v>XXX</v>
      </c>
    </row>
    <row r="707" spans="1:4" x14ac:dyDescent="0.45">
      <c r="A707">
        <f>ROW()</f>
        <v>707</v>
      </c>
      <c r="B707" t="str">
        <f>Profile!A740</f>
        <v xml:space="preserve">      @odata.id</v>
      </c>
      <c r="C707">
        <f>Profile!AP742</f>
        <v>0</v>
      </c>
      <c r="D707" t="str">
        <f>IF(Profile!C740="Profile",IF(Profile!A742="ResourceRequirement","OK","XXX"),"XXX")</f>
        <v>XXX</v>
      </c>
    </row>
    <row r="708" spans="1:4" x14ac:dyDescent="0.45">
      <c r="A708">
        <f>ROW()</f>
        <v>708</v>
      </c>
      <c r="B708" t="str">
        <f>Profile!A741</f>
        <v>Message</v>
      </c>
      <c r="C708">
        <f>Profile!AP743</f>
        <v>0</v>
      </c>
      <c r="D708" t="str">
        <f>IF(Profile!C741="Profile",IF(Profile!A743="ResourceRequirement","OK","XXX"),"XXX")</f>
        <v>XXX</v>
      </c>
    </row>
    <row r="709" spans="1:4" x14ac:dyDescent="0.45">
      <c r="A709">
        <f>ROW()</f>
        <v>709</v>
      </c>
      <c r="B709" t="str">
        <f>Profile!A742</f>
        <v>MessageArgs</v>
      </c>
      <c r="C709">
        <f>Profile!AP744</f>
        <v>0</v>
      </c>
      <c r="D709" t="str">
        <f>IF(Profile!C742="Profile",IF(Profile!A744="ResourceRequirement","OK","XXX"),"XXX")</f>
        <v>XXX</v>
      </c>
    </row>
    <row r="710" spans="1:4" x14ac:dyDescent="0.45">
      <c r="A710">
        <f>ROW()</f>
        <v>710</v>
      </c>
      <c r="B710" t="str">
        <f>Profile!A743</f>
        <v>MessageId</v>
      </c>
      <c r="C710">
        <f>Profile!AP745</f>
        <v>0</v>
      </c>
      <c r="D710" t="str">
        <f>IF(Profile!C743="Profile",IF(Profile!A745="ResourceRequirement","OK","XXX"),"XXX")</f>
        <v>XXX</v>
      </c>
    </row>
    <row r="711" spans="1:4" x14ac:dyDescent="0.45">
      <c r="A711">
        <f>ROW()</f>
        <v>711</v>
      </c>
      <c r="B711" t="str">
        <f>Profile!A744</f>
        <v>OemLogEntryCode</v>
      </c>
      <c r="C711">
        <f>Profile!AP746</f>
        <v>0</v>
      </c>
      <c r="D711" t="str">
        <f>IF(Profile!C744="Profile",IF(Profile!A746="ResourceRequirement","OK","XXX"),"XXX")</f>
        <v>XXX</v>
      </c>
    </row>
    <row r="712" spans="1:4" x14ac:dyDescent="0.45">
      <c r="A712">
        <f>ROW()</f>
        <v>712</v>
      </c>
      <c r="B712" t="str">
        <f>Profile!A745</f>
        <v>OemRecordFormat</v>
      </c>
      <c r="C712">
        <f>Profile!AP747</f>
        <v>0</v>
      </c>
      <c r="D712" t="str">
        <f>IF(Profile!C745="Profile",IF(Profile!A747="ResourceRequirement","OK","XXX"),"XXX")</f>
        <v>XXX</v>
      </c>
    </row>
    <row r="713" spans="1:4" x14ac:dyDescent="0.45">
      <c r="A713">
        <f>ROW()</f>
        <v>713</v>
      </c>
      <c r="B713" t="str">
        <f>Profile!A746</f>
        <v>OemSensorType</v>
      </c>
      <c r="C713">
        <f>Profile!AP748</f>
        <v>0</v>
      </c>
      <c r="D713" t="str">
        <f>IF(Profile!C746="Profile",IF(Profile!A748="ResourceRequirement","OK","XXX"),"XXX")</f>
        <v>XXX</v>
      </c>
    </row>
    <row r="714" spans="1:4" x14ac:dyDescent="0.45">
      <c r="A714">
        <f>ROW()</f>
        <v>714</v>
      </c>
      <c r="B714" t="str">
        <f>Profile!A747</f>
        <v>SensorNumber</v>
      </c>
      <c r="C714">
        <f>Profile!AP749</f>
        <v>0</v>
      </c>
      <c r="D714" t="str">
        <f>IF(Profile!C747="Profile",IF(Profile!A749="ResourceRequirement","OK","XXX"),"XXX")</f>
        <v>XXX</v>
      </c>
    </row>
    <row r="715" spans="1:4" x14ac:dyDescent="0.45">
      <c r="A715">
        <f>ROW()</f>
        <v>715</v>
      </c>
      <c r="B715" t="str">
        <f>Profile!A748</f>
        <v>SensorType</v>
      </c>
      <c r="C715">
        <f>Profile!AP750</f>
        <v>0</v>
      </c>
      <c r="D715" t="str">
        <f>IF(Profile!C748="Profile",IF(Profile!A750="ResourceRequirement","OK","XXX"),"XXX")</f>
        <v>XXX</v>
      </c>
    </row>
    <row r="716" spans="1:4" x14ac:dyDescent="0.45">
      <c r="A716">
        <f>ROW()</f>
        <v>716</v>
      </c>
      <c r="B716" t="str">
        <f>Profile!A749</f>
        <v>Severity</v>
      </c>
      <c r="C716">
        <f>Profile!AP751</f>
        <v>0</v>
      </c>
      <c r="D716" t="str">
        <f>IF(Profile!C749="Profile",IF(Profile!A751="ResourceRequirement","OK","XXX"),"XXX")</f>
        <v>XXX</v>
      </c>
    </row>
    <row r="717" spans="1:4" x14ac:dyDescent="0.45">
      <c r="A717">
        <f>ROW()</f>
        <v>717</v>
      </c>
      <c r="B717" t="str">
        <f>Profile!A750</f>
        <v>LogEntry URIs</v>
      </c>
      <c r="C717">
        <f>Profile!AP752</f>
        <v>0</v>
      </c>
      <c r="D717" t="str">
        <f>IF(Profile!C750="Profile",IF(Profile!A752="ResourceRequirement","OK","XXX"),"XXX")</f>
        <v>XXX</v>
      </c>
    </row>
    <row r="718" spans="1:4" x14ac:dyDescent="0.45">
      <c r="A718">
        <f>ROW()</f>
        <v>718</v>
      </c>
      <c r="B718" t="str">
        <f>Profile!A751</f>
        <v>/redfish/v1/Managers/{ManagerId}/LogServices/{LogServiceId}/Entries/{LogEntryId}</v>
      </c>
      <c r="C718">
        <f>Profile!AP753</f>
        <v>0</v>
      </c>
      <c r="D718" t="str">
        <f>IF(Profile!C751="Profile",IF(Profile!A753="ResourceRequirement","OK","XXX"),"XXX")</f>
        <v>XXX</v>
      </c>
    </row>
    <row r="719" spans="1:4" x14ac:dyDescent="0.45">
      <c r="A719">
        <f>ROW()</f>
        <v>719</v>
      </c>
      <c r="B719" t="str">
        <f>Profile!A752</f>
        <v>/redfish/v1/Systems/{ComputerSystemId}/LogServices/{LogServiceId}/Entries/{LogEntryId}</v>
      </c>
      <c r="C719">
        <f>Profile!AP754</f>
        <v>0</v>
      </c>
      <c r="D719" t="str">
        <f>IF(Profile!C752="Profile",IF(Profile!A754="ResourceRequirement","OK","XXX"),"XXX")</f>
        <v>XXX</v>
      </c>
    </row>
    <row r="720" spans="1:4" x14ac:dyDescent="0.45">
      <c r="A720">
        <f>ROW()</f>
        <v>720</v>
      </c>
      <c r="B720">
        <f>Profile!A753</f>
        <v>0</v>
      </c>
      <c r="C720">
        <f>Profile!AP755</f>
        <v>0</v>
      </c>
      <c r="D720" t="str">
        <f>IF(Profile!C753="Profile",IF(Profile!A755="ResourceRequirement","OK","XXX"),"XXX")</f>
        <v>XXX</v>
      </c>
    </row>
    <row r="721" spans="1:4" x14ac:dyDescent="0.45">
      <c r="A721">
        <f>ROW()</f>
        <v>721</v>
      </c>
      <c r="B721" t="str">
        <f>Profile!A754</f>
        <v>1.1.2.5               LogService</v>
      </c>
      <c r="C721">
        <f>Profile!AP756</f>
        <v>0</v>
      </c>
      <c r="D721" t="str">
        <f>IF(Profile!C754="Profile",IF(Profile!A756="ResourceRequirement","OK","XXX"),"XXX")</f>
        <v>XXX</v>
      </c>
    </row>
    <row r="722" spans="1:4" x14ac:dyDescent="0.45">
      <c r="A722">
        <f>ROW()</f>
        <v>722</v>
      </c>
      <c r="B722" t="str">
        <f>Profile!A755</f>
        <v>This resource represents the log service for the resource or service to which it is associated.</v>
      </c>
      <c r="C722">
        <f>Profile!AP757</f>
        <v>0</v>
      </c>
      <c r="D722" t="str">
        <f>IF(Profile!C755="Profile",IF(Profile!A757="ResourceRequirement","OK","XXX"),"XXX")</f>
        <v>XXX</v>
      </c>
    </row>
    <row r="723" spans="1:4" x14ac:dyDescent="0.45">
      <c r="A723">
        <f>ROW()</f>
        <v>723</v>
      </c>
      <c r="B723" t="str">
        <f>Profile!A756</f>
        <v>Table 22: O-PAS Profile Map for the Redfish LogService</v>
      </c>
      <c r="C723">
        <f>Profile!AP758</f>
        <v>0</v>
      </c>
      <c r="D723" t="str">
        <f>IF(Profile!C756="Profile",IF(Profile!A758="ResourceRequirement","OK","XXX"),"XXX")</f>
        <v>XXX</v>
      </c>
    </row>
    <row r="724" spans="1:4" x14ac:dyDescent="0.45">
      <c r="A724">
        <f>ROW()</f>
        <v>724</v>
      </c>
      <c r="B724" t="str">
        <f>Profile!A757</f>
        <v>LogService (1.1.1)</v>
      </c>
      <c r="C724">
        <f>Profile!AP759</f>
        <v>0</v>
      </c>
      <c r="D724" t="str">
        <f>IF(Profile!C757="Profile",IF(Profile!A759="ResourceRequirement","OK","XXX"),"XXX")</f>
        <v>XXX</v>
      </c>
    </row>
    <row r="725" spans="1:4" x14ac:dyDescent="0.45">
      <c r="A725">
        <f>ROW()</f>
        <v>725</v>
      </c>
      <c r="B725">
        <f>Profile!A758</f>
        <v>0</v>
      </c>
      <c r="C725">
        <f>Profile!AP760</f>
        <v>0</v>
      </c>
      <c r="D725" t="str">
        <f>IF(Profile!C758="Profile",IF(Profile!A760="ResourceRequirement","OK","XXX"),"XXX")</f>
        <v>XXX</v>
      </c>
    </row>
    <row r="726" spans="1:4" x14ac:dyDescent="0.45">
      <c r="A726">
        <f>ROW()</f>
        <v>726</v>
      </c>
      <c r="B726" t="str">
        <f>Profile!A759</f>
        <v>LogService (1.1.2)</v>
      </c>
      <c r="C726">
        <f>Profile!AP761</f>
        <v>25</v>
      </c>
      <c r="D726" t="str">
        <f>IF(Profile!C759="Profile",IF(Profile!A761="ResourceRequirement","OK","XXX"),"XXX")</f>
        <v>OK</v>
      </c>
    </row>
    <row r="727" spans="1:4" x14ac:dyDescent="0.45">
      <c r="A727">
        <f>ROW()</f>
        <v>727</v>
      </c>
      <c r="B727">
        <f>Profile!A760</f>
        <v>0</v>
      </c>
      <c r="C727">
        <f>Profile!AP762</f>
        <v>0</v>
      </c>
      <c r="D727" t="str">
        <f>IF(Profile!C760="Profile",IF(Profile!A762="ResourceRequirement","OK","XXX"),"XXX")</f>
        <v>XXX</v>
      </c>
    </row>
    <row r="728" spans="1:4" x14ac:dyDescent="0.45">
      <c r="A728">
        <f>ROW()</f>
        <v>728</v>
      </c>
      <c r="B728" t="str">
        <f>Profile!A761</f>
        <v>ResourceRequirement</v>
      </c>
      <c r="C728">
        <f>Profile!AP763</f>
        <v>0</v>
      </c>
      <c r="D728" t="str">
        <f>IF(Profile!C761="Profile",IF(Profile!A763="ResourceRequirement","OK","XXX"),"XXX")</f>
        <v>XXX</v>
      </c>
    </row>
    <row r="729" spans="1:4" x14ac:dyDescent="0.45">
      <c r="A729">
        <f>ROW()</f>
        <v>729</v>
      </c>
      <c r="B729" t="str">
        <f>Profile!A762</f>
        <v>Resource MinVersion</v>
      </c>
      <c r="C729">
        <f>Profile!AP764</f>
        <v>0</v>
      </c>
      <c r="D729" t="str">
        <f>IF(Profile!C762="Profile",IF(Profile!A764="ResourceRequirement","OK","XXX"),"XXX")</f>
        <v>XXX</v>
      </c>
    </row>
    <row r="730" spans="1:4" x14ac:dyDescent="0.45">
      <c r="A730">
        <f>ROW()</f>
        <v>730</v>
      </c>
      <c r="B730" t="str">
        <f>Profile!A763</f>
        <v>Property</v>
      </c>
      <c r="C730">
        <f>Profile!AP765</f>
        <v>0</v>
      </c>
      <c r="D730" t="str">
        <f>IF(Profile!C763="Profile",IF(Profile!A765="ResourceRequirement","OK","XXX"),"XXX")</f>
        <v>XXX</v>
      </c>
    </row>
    <row r="731" spans="1:4" x14ac:dyDescent="0.45">
      <c r="A731">
        <f>ROW()</f>
        <v>731</v>
      </c>
      <c r="B731" t="str">
        <f>Profile!A764</f>
        <v>Actions</v>
      </c>
      <c r="C731">
        <f>Profile!AP766</f>
        <v>0</v>
      </c>
      <c r="D731" t="str">
        <f>IF(Profile!C764="Profile",IF(Profile!A766="ResourceRequirement","OK","XXX"),"XXX")</f>
        <v>XXX</v>
      </c>
    </row>
    <row r="732" spans="1:4" x14ac:dyDescent="0.45">
      <c r="A732">
        <f>ROW()</f>
        <v>732</v>
      </c>
      <c r="B732" t="str">
        <f>Profile!A765</f>
        <v xml:space="preserve">   #LogService.ClearLog</v>
      </c>
      <c r="C732">
        <f>Profile!AP767</f>
        <v>0</v>
      </c>
      <c r="D732" t="str">
        <f>IF(Profile!C765="Profile",IF(Profile!A767="ResourceRequirement","OK","XXX"),"XXX")</f>
        <v>XXX</v>
      </c>
    </row>
    <row r="733" spans="1:4" x14ac:dyDescent="0.45">
      <c r="A733">
        <f>ROW()</f>
        <v>733</v>
      </c>
      <c r="B733" t="str">
        <f>Profile!A766</f>
        <v>DateTime</v>
      </c>
      <c r="C733">
        <f>Profile!AP768</f>
        <v>0</v>
      </c>
      <c r="D733" t="str">
        <f>IF(Profile!C766="Profile",IF(Profile!A768="ResourceRequirement","OK","XXX"),"XXX")</f>
        <v>XXX</v>
      </c>
    </row>
    <row r="734" spans="1:4" x14ac:dyDescent="0.45">
      <c r="A734">
        <f>ROW()</f>
        <v>734</v>
      </c>
      <c r="B734" t="str">
        <f>Profile!A767</f>
        <v>DateTimeLocalOffset</v>
      </c>
      <c r="C734">
        <f>Profile!AP769</f>
        <v>0</v>
      </c>
      <c r="D734" t="str">
        <f>IF(Profile!C767="Profile",IF(Profile!A769="ResourceRequirement","OK","XXX"),"XXX")</f>
        <v>XXX</v>
      </c>
    </row>
    <row r="735" spans="1:4" x14ac:dyDescent="0.45">
      <c r="A735">
        <f>ROW()</f>
        <v>735</v>
      </c>
      <c r="B735" t="str">
        <f>Profile!A768</f>
        <v>Entries</v>
      </c>
      <c r="C735">
        <f>Profile!AP770</f>
        <v>0</v>
      </c>
      <c r="D735" t="str">
        <f>IF(Profile!C768="Profile",IF(Profile!A770="ResourceRequirement","OK","XXX"),"XXX")</f>
        <v>XXX</v>
      </c>
    </row>
    <row r="736" spans="1:4" x14ac:dyDescent="0.45">
      <c r="A736">
        <f>ROW()</f>
        <v>736</v>
      </c>
      <c r="B736" t="str">
        <f>Profile!A769</f>
        <v xml:space="preserve">   @odata.id</v>
      </c>
      <c r="C736">
        <f>Profile!AP771</f>
        <v>0</v>
      </c>
      <c r="D736" t="str">
        <f>IF(Profile!C769="Profile",IF(Profile!A771="ResourceRequirement","OK","XXX"),"XXX")</f>
        <v>XXX</v>
      </c>
    </row>
    <row r="737" spans="1:4" x14ac:dyDescent="0.45">
      <c r="A737">
        <f>ROW()</f>
        <v>737</v>
      </c>
      <c r="B737" t="str">
        <f>Profile!A770</f>
        <v>LogEntryType</v>
      </c>
      <c r="C737">
        <f>Profile!AP772</f>
        <v>0</v>
      </c>
      <c r="D737" t="str">
        <f>IF(Profile!C770="Profile",IF(Profile!A772="ResourceRequirement","OK","XXX"),"XXX")</f>
        <v>XXX</v>
      </c>
    </row>
    <row r="738" spans="1:4" x14ac:dyDescent="0.45">
      <c r="A738">
        <f>ROW()</f>
        <v>738</v>
      </c>
      <c r="B738" t="str">
        <f>Profile!A771</f>
        <v>MaxNumberOfRecords</v>
      </c>
      <c r="C738">
        <f>Profile!AP773</f>
        <v>0</v>
      </c>
      <c r="D738" t="str">
        <f>IF(Profile!C771="Profile",IF(Profile!A773="ResourceRequirement","OK","XXX"),"XXX")</f>
        <v>XXX</v>
      </c>
    </row>
    <row r="739" spans="1:4" x14ac:dyDescent="0.45">
      <c r="A739">
        <f>ROW()</f>
        <v>739</v>
      </c>
      <c r="B739" t="str">
        <f>Profile!A772</f>
        <v>OverWritePolicy</v>
      </c>
      <c r="C739">
        <f>Profile!AP774</f>
        <v>0</v>
      </c>
      <c r="D739" t="str">
        <f>IF(Profile!C772="Profile",IF(Profile!A774="ResourceRequirement","OK","XXX"),"XXX")</f>
        <v>XXX</v>
      </c>
    </row>
    <row r="740" spans="1:4" x14ac:dyDescent="0.45">
      <c r="A740">
        <f>ROW()</f>
        <v>740</v>
      </c>
      <c r="B740" t="str">
        <f>Profile!A773</f>
        <v>ServiceEnabled</v>
      </c>
      <c r="C740">
        <f>Profile!AP777</f>
        <v>0</v>
      </c>
      <c r="D740" t="str">
        <f>IF(Profile!C773="Profile",IF(Profile!A777="ResourceRequirement","OK","XXX"),"XXX")</f>
        <v>XXX</v>
      </c>
    </row>
    <row r="741" spans="1:4" x14ac:dyDescent="0.45">
      <c r="A741">
        <f>ROW()</f>
        <v>741</v>
      </c>
      <c r="B741" t="str">
        <f>Profile!A774</f>
        <v>Status</v>
      </c>
      <c r="C741">
        <f>Profile!AP778</f>
        <v>0</v>
      </c>
      <c r="D741" t="str">
        <f>IF(Profile!C774="Profile",IF(Profile!A778="ResourceRequirement","OK","XXX"),"XXX")</f>
        <v>XXX</v>
      </c>
    </row>
    <row r="742" spans="1:4" x14ac:dyDescent="0.45">
      <c r="A742">
        <f>ROW()</f>
        <v>742</v>
      </c>
      <c r="B742" t="str">
        <f>Profile!A777</f>
        <v>LogService URIs</v>
      </c>
      <c r="C742">
        <f>Profile!AP779</f>
        <v>0</v>
      </c>
      <c r="D742" t="str">
        <f>IF(Profile!C777="Profile",IF(Profile!A779="ResourceRequirement","OK","XXX"),"XXX")</f>
        <v>XXX</v>
      </c>
    </row>
    <row r="743" spans="1:4" x14ac:dyDescent="0.45">
      <c r="A743">
        <f>ROW()</f>
        <v>743</v>
      </c>
      <c r="B743" t="str">
        <f>Profile!A778</f>
        <v>/redfish/v1/Managers/{ManagerId}/LogServices/{LogServiceId}</v>
      </c>
      <c r="C743">
        <f>Profile!AP780</f>
        <v>0</v>
      </c>
      <c r="D743" t="str">
        <f>IF(Profile!C778="Profile",IF(Profile!A780="ResourceRequirement","OK","XXX"),"XXX")</f>
        <v>XXX</v>
      </c>
    </row>
    <row r="744" spans="1:4" x14ac:dyDescent="0.45">
      <c r="A744">
        <f>ROW()</f>
        <v>744</v>
      </c>
      <c r="B744" t="str">
        <f>Profile!A779</f>
        <v>/redfish/v1/Systems/{ComputerSystemId}/LogServices/{LogServiceId}</v>
      </c>
      <c r="C744">
        <f>Profile!AP781</f>
        <v>0</v>
      </c>
      <c r="D744" t="str">
        <f>IF(Profile!C779="Profile",IF(Profile!A781="ResourceRequirement","OK","XXX"),"XXX")</f>
        <v>XXX</v>
      </c>
    </row>
    <row r="745" spans="1:4" x14ac:dyDescent="0.45">
      <c r="A745">
        <f>ROW()</f>
        <v>745</v>
      </c>
      <c r="B745">
        <f>Profile!A780</f>
        <v>0</v>
      </c>
      <c r="C745">
        <f>Profile!AP782</f>
        <v>0</v>
      </c>
      <c r="D745" t="str">
        <f>IF(Profile!C780="Profile",IF(Profile!A782="ResourceRequirement","OK","XXX"),"XXX")</f>
        <v>XXX</v>
      </c>
    </row>
    <row r="746" spans="1:4" x14ac:dyDescent="0.45">
      <c r="A746">
        <f>ROW()</f>
        <v>746</v>
      </c>
      <c r="B746" t="str">
        <f>Profile!A781</f>
        <v>1.1.2.6               MetricDefinition</v>
      </c>
      <c r="C746">
        <f>Profile!AP783</f>
        <v>0</v>
      </c>
      <c r="D746" t="str">
        <f>IF(Profile!C781="Profile",IF(Profile!A783="ResourceRequirement","OK","XXX"),"XXX")</f>
        <v>XXX</v>
      </c>
    </row>
    <row r="747" spans="1:4" x14ac:dyDescent="0.45">
      <c r="A747">
        <f>ROW()</f>
        <v>747</v>
      </c>
      <c r="B747" t="str">
        <f>Profile!A782</f>
        <v>The MetricDefinition resource contains metadata information about a metric.</v>
      </c>
      <c r="C747">
        <f>Profile!AP784</f>
        <v>0</v>
      </c>
      <c r="D747" t="str">
        <f>IF(Profile!C782="Profile",IF(Profile!A784="ResourceRequirement","OK","XXX"),"XXX")</f>
        <v>XXX</v>
      </c>
    </row>
    <row r="748" spans="1:4" x14ac:dyDescent="0.45">
      <c r="A748">
        <f>ROW()</f>
        <v>748</v>
      </c>
      <c r="B748" t="str">
        <f>Profile!A783</f>
        <v>Table 23: O-PAS Profile Map for the Redfish MetricDefinition Resource</v>
      </c>
      <c r="C748">
        <f>Profile!AP785</f>
        <v>0</v>
      </c>
      <c r="D748" t="str">
        <f>IF(Profile!C783="Profile",IF(Profile!A785="ResourceRequirement","OK","XXX"),"XXX")</f>
        <v>XXX</v>
      </c>
    </row>
    <row r="749" spans="1:4" x14ac:dyDescent="0.45">
      <c r="A749">
        <f>ROW()</f>
        <v>749</v>
      </c>
      <c r="B749" t="str">
        <f>Profile!A784</f>
        <v>MetricDefinition (1.0.0)</v>
      </c>
      <c r="C749">
        <f>Profile!AP786</f>
        <v>0</v>
      </c>
      <c r="D749" t="str">
        <f>IF(Profile!C784="Profile",IF(Profile!A786="ResourceRequirement","OK","XXX"),"XXX")</f>
        <v>XXX</v>
      </c>
    </row>
    <row r="750" spans="1:4" x14ac:dyDescent="0.45">
      <c r="A750">
        <f>ROW()</f>
        <v>750</v>
      </c>
      <c r="B750">
        <f>Profile!A785</f>
        <v>0</v>
      </c>
      <c r="C750">
        <f>Profile!AP787</f>
        <v>0</v>
      </c>
      <c r="D750" t="str">
        <f>IF(Profile!C785="Profile",IF(Profile!A787="ResourceRequirement","OK","XXX"),"XXX")</f>
        <v>XXX</v>
      </c>
    </row>
    <row r="751" spans="1:4" x14ac:dyDescent="0.45">
      <c r="A751">
        <f>ROW()</f>
        <v>751</v>
      </c>
      <c r="B751" t="str">
        <f>Profile!A786</f>
        <v>MetricDefinition (1.0.2)</v>
      </c>
      <c r="C751">
        <f>Profile!AP788</f>
        <v>33</v>
      </c>
      <c r="D751" t="str">
        <f>IF(Profile!C786="Profile",IF(Profile!A788="ResourceRequirement","OK","XXX"),"XXX")</f>
        <v>OK</v>
      </c>
    </row>
    <row r="752" spans="1:4" x14ac:dyDescent="0.45">
      <c r="A752">
        <f>ROW()</f>
        <v>752</v>
      </c>
      <c r="B752">
        <f>Profile!A787</f>
        <v>0</v>
      </c>
      <c r="C752">
        <f>Profile!AP789</f>
        <v>0</v>
      </c>
      <c r="D752" t="str">
        <f>IF(Profile!C787="Profile",IF(Profile!A789="ResourceRequirement","OK","XXX"),"XXX")</f>
        <v>XXX</v>
      </c>
    </row>
    <row r="753" spans="1:4" x14ac:dyDescent="0.45">
      <c r="A753">
        <f>ROW()</f>
        <v>753</v>
      </c>
      <c r="B753" t="str">
        <f>Profile!A788</f>
        <v>ResourceRequirement</v>
      </c>
      <c r="C753">
        <f>Profile!AP790</f>
        <v>0</v>
      </c>
      <c r="D753" t="str">
        <f>IF(Profile!C788="Profile",IF(Profile!A790="ResourceRequirement","OK","XXX"),"XXX")</f>
        <v>XXX</v>
      </c>
    </row>
    <row r="754" spans="1:4" x14ac:dyDescent="0.45">
      <c r="A754">
        <f>ROW()</f>
        <v>754</v>
      </c>
      <c r="B754" t="str">
        <f>Profile!A789</f>
        <v>Resource MinVersion</v>
      </c>
      <c r="C754">
        <f>Profile!AP791</f>
        <v>0</v>
      </c>
      <c r="D754" t="str">
        <f>IF(Profile!C789="Profile",IF(Profile!A791="ResourceRequirement","OK","XXX"),"XXX")</f>
        <v>XXX</v>
      </c>
    </row>
    <row r="755" spans="1:4" x14ac:dyDescent="0.45">
      <c r="A755">
        <f>ROW()</f>
        <v>755</v>
      </c>
      <c r="B755" t="str">
        <f>Profile!A790</f>
        <v>Property</v>
      </c>
      <c r="C755">
        <f>Profile!AP792</f>
        <v>0</v>
      </c>
      <c r="D755" t="str">
        <f>IF(Profile!C790="Profile",IF(Profile!A792="ResourceRequirement","OK","XXX"),"XXX")</f>
        <v>XXX</v>
      </c>
    </row>
    <row r="756" spans="1:4" x14ac:dyDescent="0.45">
      <c r="A756">
        <f>ROW()</f>
        <v>756</v>
      </c>
      <c r="B756" t="str">
        <f>Profile!A791</f>
        <v>Accuracy</v>
      </c>
      <c r="C756">
        <f>Profile!AP793</f>
        <v>0</v>
      </c>
      <c r="D756" t="str">
        <f>IF(Profile!C791="Profile",IF(Profile!A793="ResourceRequirement","OK","XXX"),"XXX")</f>
        <v>XXX</v>
      </c>
    </row>
    <row r="757" spans="1:4" x14ac:dyDescent="0.45">
      <c r="A757">
        <f>ROW()</f>
        <v>757</v>
      </c>
      <c r="B757" t="str">
        <f>Profile!A792</f>
        <v>Actions</v>
      </c>
      <c r="C757">
        <f>Profile!AP794</f>
        <v>0</v>
      </c>
      <c r="D757" t="str">
        <f>IF(Profile!C792="Profile",IF(Profile!A794="ResourceRequirement","OK","XXX"),"XXX")</f>
        <v>XXX</v>
      </c>
    </row>
    <row r="758" spans="1:4" x14ac:dyDescent="0.45">
      <c r="A758">
        <f>ROW()</f>
        <v>758</v>
      </c>
      <c r="B758" t="str">
        <f>Profile!A793</f>
        <v>Calculable</v>
      </c>
      <c r="C758">
        <f>Profile!AP795</f>
        <v>0</v>
      </c>
      <c r="D758" t="str">
        <f>IF(Profile!C793="Profile",IF(Profile!A795="ResourceRequirement","OK","XXX"),"XXX")</f>
        <v>XXX</v>
      </c>
    </row>
    <row r="759" spans="1:4" x14ac:dyDescent="0.45">
      <c r="A759">
        <f>ROW()</f>
        <v>759</v>
      </c>
      <c r="B759" t="str">
        <f>Profile!A794</f>
        <v>CalculationAlgorithm</v>
      </c>
      <c r="C759">
        <f>Profile!AP796</f>
        <v>0</v>
      </c>
      <c r="D759" t="str">
        <f>IF(Profile!C794="Profile",IF(Profile!A796="ResourceRequirement","OK","XXX"),"XXX")</f>
        <v>XXX</v>
      </c>
    </row>
    <row r="760" spans="1:4" x14ac:dyDescent="0.45">
      <c r="A760">
        <f>ROW()</f>
        <v>760</v>
      </c>
      <c r="B760" t="str">
        <f>Profile!A795</f>
        <v>CalculationParameters</v>
      </c>
      <c r="C760">
        <f>Profile!AP797</f>
        <v>0</v>
      </c>
      <c r="D760" t="str">
        <f>IF(Profile!C795="Profile",IF(Profile!A797="ResourceRequirement","OK","XXX"),"XXX")</f>
        <v>XXX</v>
      </c>
    </row>
    <row r="761" spans="1:4" x14ac:dyDescent="0.45">
      <c r="A761">
        <f>ROW()</f>
        <v>761</v>
      </c>
      <c r="B761" t="str">
        <f>Profile!A796</f>
        <v xml:space="preserve">   ResultMetric</v>
      </c>
      <c r="C761">
        <f>Profile!AP798</f>
        <v>0</v>
      </c>
      <c r="D761" t="str">
        <f>IF(Profile!C796="Profile",IF(Profile!A798="ResourceRequirement","OK","XXX"),"XXX")</f>
        <v>XXX</v>
      </c>
    </row>
    <row r="762" spans="1:4" x14ac:dyDescent="0.45">
      <c r="A762">
        <f>ROW()</f>
        <v>762</v>
      </c>
      <c r="B762" t="str">
        <f>Profile!A797</f>
        <v xml:space="preserve">   SourceMetric</v>
      </c>
      <c r="C762">
        <f>Profile!AP799</f>
        <v>0</v>
      </c>
      <c r="D762" t="str">
        <f>IF(Profile!C797="Profile",IF(Profile!A799="ResourceRequirement","OK","XXX"),"XXX")</f>
        <v>XXX</v>
      </c>
    </row>
    <row r="763" spans="1:4" x14ac:dyDescent="0.45">
      <c r="A763">
        <f>ROW()</f>
        <v>763</v>
      </c>
      <c r="B763" t="str">
        <f>Profile!A798</f>
        <v>CalculationTimeInterval</v>
      </c>
      <c r="C763">
        <f>Profile!AP800</f>
        <v>0</v>
      </c>
      <c r="D763" t="str">
        <f>IF(Profile!C798="Profile",IF(Profile!A800="ResourceRequirement","OK","XXX"),"XXX")</f>
        <v>XXX</v>
      </c>
    </row>
    <row r="764" spans="1:4" x14ac:dyDescent="0.45">
      <c r="A764">
        <f>ROW()</f>
        <v>764</v>
      </c>
      <c r="B764" t="str">
        <f>Profile!A799</f>
        <v>Calibration</v>
      </c>
      <c r="C764">
        <f>Profile!AP801</f>
        <v>0</v>
      </c>
      <c r="D764" t="str">
        <f>IF(Profile!C799="Profile",IF(Profile!A801="ResourceRequirement","OK","XXX"),"XXX")</f>
        <v>XXX</v>
      </c>
    </row>
    <row r="765" spans="1:4" x14ac:dyDescent="0.45">
      <c r="A765">
        <f>ROW()</f>
        <v>765</v>
      </c>
      <c r="B765" t="str">
        <f>Profile!A800</f>
        <v>DiscreteValues</v>
      </c>
      <c r="C765">
        <f>Profile!AP802</f>
        <v>0</v>
      </c>
      <c r="D765" t="str">
        <f>IF(Profile!C800="Profile",IF(Profile!A802="ResourceRequirement","OK","XXX"),"XXX")</f>
        <v>XXX</v>
      </c>
    </row>
    <row r="766" spans="1:4" x14ac:dyDescent="0.45">
      <c r="A766">
        <f>ROW()</f>
        <v>766</v>
      </c>
      <c r="B766" t="str">
        <f>Profile!A801</f>
        <v>Implementation</v>
      </c>
      <c r="C766">
        <f>Profile!AP803</f>
        <v>0</v>
      </c>
      <c r="D766" t="str">
        <f>IF(Profile!C801="Profile",IF(Profile!A803="ResourceRequirement","OK","XXX"),"XXX")</f>
        <v>XXX</v>
      </c>
    </row>
    <row r="767" spans="1:4" x14ac:dyDescent="0.45">
      <c r="A767">
        <f>ROW()</f>
        <v>767</v>
      </c>
      <c r="B767" t="str">
        <f>Profile!A802</f>
        <v>IsLinear</v>
      </c>
      <c r="C767">
        <f>Profile!AP804</f>
        <v>0</v>
      </c>
      <c r="D767" t="str">
        <f>IF(Profile!C802="Profile",IF(Profile!A804="ResourceRequirement","OK","XXX"),"XXX")</f>
        <v>XXX</v>
      </c>
    </row>
    <row r="768" spans="1:4" x14ac:dyDescent="0.45">
      <c r="A768">
        <f>ROW()</f>
        <v>768</v>
      </c>
      <c r="B768" t="str">
        <f>Profile!A803</f>
        <v>MaxReadingRange</v>
      </c>
      <c r="C768">
        <f>Profile!AP805</f>
        <v>0</v>
      </c>
      <c r="D768" t="str">
        <f>IF(Profile!C803="Profile",IF(Profile!A805="ResourceRequirement","OK","XXX"),"XXX")</f>
        <v>XXX</v>
      </c>
    </row>
    <row r="769" spans="1:4" x14ac:dyDescent="0.45">
      <c r="A769">
        <f>ROW()</f>
        <v>769</v>
      </c>
      <c r="B769" t="str">
        <f>Profile!A804</f>
        <v>MetricDataType</v>
      </c>
      <c r="C769">
        <f>Profile!AP806</f>
        <v>0</v>
      </c>
      <c r="D769" t="str">
        <f>IF(Profile!C804="Profile",IF(Profile!A806="ResourceRequirement","OK","XXX"),"XXX")</f>
        <v>XXX</v>
      </c>
    </row>
    <row r="770" spans="1:4" x14ac:dyDescent="0.45">
      <c r="A770">
        <f>ROW()</f>
        <v>770</v>
      </c>
      <c r="B770" t="str">
        <f>Profile!A805</f>
        <v>MetricProperties</v>
      </c>
      <c r="C770">
        <f>Profile!AP807</f>
        <v>0</v>
      </c>
      <c r="D770" t="str">
        <f>IF(Profile!C805="Profile",IF(Profile!A807="ResourceRequirement","OK","XXX"),"XXX")</f>
        <v>XXX</v>
      </c>
    </row>
    <row r="771" spans="1:4" x14ac:dyDescent="0.45">
      <c r="A771">
        <f>ROW()</f>
        <v>771</v>
      </c>
      <c r="B771" t="str">
        <f>Profile!A806</f>
        <v>MetricType</v>
      </c>
      <c r="C771">
        <f>Profile!AP808</f>
        <v>0</v>
      </c>
      <c r="D771" t="str">
        <f>IF(Profile!C806="Profile",IF(Profile!A808="ResourceRequirement","OK","XXX"),"XXX")</f>
        <v>XXX</v>
      </c>
    </row>
    <row r="772" spans="1:4" x14ac:dyDescent="0.45">
      <c r="A772">
        <f>ROW()</f>
        <v>772</v>
      </c>
      <c r="B772" t="str">
        <f>Profile!A807</f>
        <v>MinReadingRange</v>
      </c>
      <c r="C772">
        <f>Profile!AP809</f>
        <v>0</v>
      </c>
      <c r="D772" t="str">
        <f>IF(Profile!C807="Profile",IF(Profile!A809="ResourceRequirement","OK","XXX"),"XXX")</f>
        <v>XXX</v>
      </c>
    </row>
    <row r="773" spans="1:4" x14ac:dyDescent="0.45">
      <c r="A773">
        <f>ROW()</f>
        <v>773</v>
      </c>
      <c r="B773" t="str">
        <f>Profile!A808</f>
        <v>PhysicalContext</v>
      </c>
      <c r="C773">
        <f>Profile!AP810</f>
        <v>0</v>
      </c>
      <c r="D773" t="str">
        <f>IF(Profile!C808="Profile",IF(Profile!A810="ResourceRequirement","OK","XXX"),"XXX")</f>
        <v>XXX</v>
      </c>
    </row>
    <row r="774" spans="1:4" x14ac:dyDescent="0.45">
      <c r="A774">
        <f>ROW()</f>
        <v>774</v>
      </c>
      <c r="B774" t="str">
        <f>Profile!A809</f>
        <v>Precision</v>
      </c>
      <c r="C774">
        <f>Profile!AP811</f>
        <v>0</v>
      </c>
      <c r="D774" t="str">
        <f>IF(Profile!C809="Profile",IF(Profile!A811="ResourceRequirement","OK","XXX"),"XXX")</f>
        <v>XXX</v>
      </c>
    </row>
    <row r="775" spans="1:4" x14ac:dyDescent="0.45">
      <c r="A775">
        <f>ROW()</f>
        <v>775</v>
      </c>
      <c r="B775" t="str">
        <f>Profile!A810</f>
        <v>SensingInterval</v>
      </c>
      <c r="C775">
        <f>Profile!AP812</f>
        <v>0</v>
      </c>
      <c r="D775" t="str">
        <f>IF(Profile!C810="Profile",IF(Profile!A812="ResourceRequirement","OK","XXX"),"XXX")</f>
        <v>XXX</v>
      </c>
    </row>
    <row r="776" spans="1:4" x14ac:dyDescent="0.45">
      <c r="A776">
        <f>ROW()</f>
        <v>776</v>
      </c>
      <c r="B776" t="str">
        <f>Profile!A811</f>
        <v>TimestampAccuracy</v>
      </c>
      <c r="C776">
        <f>Profile!AP813</f>
        <v>0</v>
      </c>
      <c r="D776" t="str">
        <f>IF(Profile!C811="Profile",IF(Profile!A813="ResourceRequirement","OK","XXX"),"XXX")</f>
        <v>XXX</v>
      </c>
    </row>
    <row r="777" spans="1:4" x14ac:dyDescent="0.45">
      <c r="A777">
        <f>ROW()</f>
        <v>777</v>
      </c>
      <c r="B777" t="str">
        <f>Profile!A812</f>
        <v>Units</v>
      </c>
      <c r="C777">
        <f>Profile!AP814</f>
        <v>0</v>
      </c>
      <c r="D777" t="str">
        <f>IF(Profile!C812="Profile",IF(Profile!A814="ResourceRequirement","OK","XXX"),"XXX")</f>
        <v>XXX</v>
      </c>
    </row>
    <row r="778" spans="1:4" x14ac:dyDescent="0.45">
      <c r="A778">
        <f>ROW()</f>
        <v>778</v>
      </c>
      <c r="B778" t="str">
        <f>Profile!A813</f>
        <v>Wildcards</v>
      </c>
      <c r="C778">
        <f>Profile!AP815</f>
        <v>0</v>
      </c>
      <c r="D778" t="str">
        <f>IF(Profile!C813="Profile",IF(Profile!A815="ResourceRequirement","OK","XXX"),"XXX")</f>
        <v>XXX</v>
      </c>
    </row>
    <row r="779" spans="1:4" x14ac:dyDescent="0.45">
      <c r="A779">
        <f>ROW()</f>
        <v>779</v>
      </c>
      <c r="B779" t="str">
        <f>Profile!A814</f>
        <v xml:space="preserve">   Name</v>
      </c>
      <c r="C779">
        <f>Profile!AP816</f>
        <v>0</v>
      </c>
      <c r="D779" t="str">
        <f>IF(Profile!C814="Profile",IF(Profile!A816="ResourceRequirement","OK","XXX"),"XXX")</f>
        <v>XXX</v>
      </c>
    </row>
    <row r="780" spans="1:4" x14ac:dyDescent="0.45">
      <c r="A780">
        <f>ROW()</f>
        <v>780</v>
      </c>
      <c r="B780" t="str">
        <f>Profile!A815</f>
        <v xml:space="preserve">   Values</v>
      </c>
      <c r="C780">
        <f>Profile!AP817</f>
        <v>0</v>
      </c>
      <c r="D780" t="str">
        <f>IF(Profile!C815="Profile",IF(Profile!A817="ResourceRequirement","OK","XXX"),"XXX")</f>
        <v>XXX</v>
      </c>
    </row>
    <row r="781" spans="1:4" x14ac:dyDescent="0.45">
      <c r="A781">
        <f>ROW()</f>
        <v>781</v>
      </c>
      <c r="B781" t="str">
        <f>Profile!A816</f>
        <v>MetricDefinition URIs</v>
      </c>
      <c r="C781">
        <f>Profile!AP818</f>
        <v>0</v>
      </c>
      <c r="D781" t="str">
        <f>IF(Profile!C816="Profile",IF(Profile!A818="ResourceRequirement","OK","XXX"),"XXX")</f>
        <v>XXX</v>
      </c>
    </row>
    <row r="782" spans="1:4" x14ac:dyDescent="0.45">
      <c r="A782">
        <f>ROW()</f>
        <v>782</v>
      </c>
      <c r="B782" t="str">
        <f>Profile!A817</f>
        <v>/redfish/v1/TelemetryService/MetricDefinitions/{MetricDefinitionId}</v>
      </c>
      <c r="C782">
        <f>Profile!AP819</f>
        <v>0</v>
      </c>
      <c r="D782" t="str">
        <f>IF(Profile!C817="Profile",IF(Profile!A819="ResourceRequirement","OK","XXX"),"XXX")</f>
        <v>XXX</v>
      </c>
    </row>
    <row r="783" spans="1:4" x14ac:dyDescent="0.45">
      <c r="A783">
        <f>ROW()</f>
        <v>783</v>
      </c>
      <c r="B783">
        <f>Profile!A818</f>
        <v>0</v>
      </c>
      <c r="C783">
        <f>Profile!AP820</f>
        <v>0</v>
      </c>
      <c r="D783" t="str">
        <f>IF(Profile!C818="Profile",IF(Profile!A820="ResourceRequirement","OK","XXX"),"XXX")</f>
        <v>XXX</v>
      </c>
    </row>
    <row r="784" spans="1:4" x14ac:dyDescent="0.45">
      <c r="A784">
        <f>ROW()</f>
        <v>784</v>
      </c>
      <c r="B784" t="str">
        <f>Profile!A819</f>
        <v>1.1.2.7               MetricReport</v>
      </c>
      <c r="C784">
        <f>Profile!AP821</f>
        <v>0</v>
      </c>
      <c r="D784" t="str">
        <f>IF(Profile!C819="Profile",IF(Profile!A821="ResourceRequirement","OK","XXX"),"XXX")</f>
        <v>XXX</v>
      </c>
    </row>
    <row r="785" spans="1:4" x14ac:dyDescent="0.45">
      <c r="A785">
        <f>ROW()</f>
        <v>785</v>
      </c>
      <c r="B785" t="str">
        <f>Profile!A820</f>
        <v>The metric definitions used to create a metric report.</v>
      </c>
      <c r="C785">
        <f>Profile!AP822</f>
        <v>0</v>
      </c>
      <c r="D785" t="str">
        <f>IF(Profile!C820="Profile",IF(Profile!A822="ResourceRequirement","OK","XXX"),"XXX")</f>
        <v>XXX</v>
      </c>
    </row>
    <row r="786" spans="1:4" x14ac:dyDescent="0.45">
      <c r="A786">
        <f>ROW()</f>
        <v>786</v>
      </c>
      <c r="B786" t="str">
        <f>Profile!A821</f>
        <v>Table 24: O-PAS Profile Map for the Redfish MetricReport Resource</v>
      </c>
      <c r="C786">
        <f>Profile!AP823</f>
        <v>0</v>
      </c>
      <c r="D786" t="str">
        <f>IF(Profile!C821="Profile",IF(Profile!A823="ResourceRequirement","OK","XXX"),"XXX")</f>
        <v>XXX</v>
      </c>
    </row>
    <row r="787" spans="1:4" x14ac:dyDescent="0.45">
      <c r="A787">
        <f>ROW()</f>
        <v>787</v>
      </c>
      <c r="B787" t="str">
        <f>Profile!A822</f>
        <v>MetricReport (1.0.0)</v>
      </c>
      <c r="C787">
        <f>Profile!AP824</f>
        <v>0</v>
      </c>
      <c r="D787" t="str">
        <f>IF(Profile!C822="Profile",IF(Profile!A824="ResourceRequirement","OK","XXX"),"XXX")</f>
        <v>XXX</v>
      </c>
    </row>
    <row r="788" spans="1:4" x14ac:dyDescent="0.45">
      <c r="A788">
        <f>ROW()</f>
        <v>788</v>
      </c>
      <c r="B788">
        <f>Profile!A823</f>
        <v>0</v>
      </c>
      <c r="C788">
        <f>Profile!AP825</f>
        <v>0</v>
      </c>
      <c r="D788" t="str">
        <f>IF(Profile!C823="Profile",IF(Profile!A825="ResourceRequirement","OK","XXX"),"XXX")</f>
        <v>XXX</v>
      </c>
    </row>
    <row r="789" spans="1:4" x14ac:dyDescent="0.45">
      <c r="A789">
        <f>ROW()</f>
        <v>789</v>
      </c>
      <c r="B789" t="str">
        <f>Profile!A824</f>
        <v>MetricReport (1.1.1)</v>
      </c>
      <c r="C789">
        <f>Profile!AP826</f>
        <v>34</v>
      </c>
      <c r="D789" t="str">
        <f>IF(Profile!C824="Profile",IF(Profile!A826="ResourceRequirement","OK","XXX"),"XXX")</f>
        <v>OK</v>
      </c>
    </row>
    <row r="790" spans="1:4" x14ac:dyDescent="0.45">
      <c r="A790">
        <f>ROW()</f>
        <v>790</v>
      </c>
      <c r="B790">
        <f>Profile!A825</f>
        <v>0</v>
      </c>
      <c r="C790">
        <f>Profile!AP827</f>
        <v>0</v>
      </c>
      <c r="D790" t="str">
        <f>IF(Profile!C825="Profile",IF(Profile!A827="ResourceRequirement","OK","XXX"),"XXX")</f>
        <v>XXX</v>
      </c>
    </row>
    <row r="791" spans="1:4" x14ac:dyDescent="0.45">
      <c r="A791">
        <f>ROW()</f>
        <v>791</v>
      </c>
      <c r="B791" t="str">
        <f>Profile!A826</f>
        <v>ResourceRequirement</v>
      </c>
      <c r="C791">
        <f>Profile!AP828</f>
        <v>0</v>
      </c>
      <c r="D791" t="str">
        <f>IF(Profile!C826="Profile",IF(Profile!A828="ResourceRequirement","OK","XXX"),"XXX")</f>
        <v>XXX</v>
      </c>
    </row>
    <row r="792" spans="1:4" x14ac:dyDescent="0.45">
      <c r="A792">
        <f>ROW()</f>
        <v>792</v>
      </c>
      <c r="B792" t="str">
        <f>Profile!A827</f>
        <v>Resource MinVersion</v>
      </c>
      <c r="C792">
        <f>Profile!AP829</f>
        <v>0</v>
      </c>
      <c r="D792" t="str">
        <f>IF(Profile!C827="Profile",IF(Profile!A829="ResourceRequirement","OK","XXX"),"XXX")</f>
        <v>XXX</v>
      </c>
    </row>
    <row r="793" spans="1:4" x14ac:dyDescent="0.45">
      <c r="A793">
        <f>ROW()</f>
        <v>793</v>
      </c>
      <c r="B793" t="str">
        <f>Profile!A828</f>
        <v>Property</v>
      </c>
      <c r="C793">
        <f>Profile!AP830</f>
        <v>0</v>
      </c>
      <c r="D793" t="str">
        <f>IF(Profile!C828="Profile",IF(Profile!A830="ResourceRequirement","OK","XXX"),"XXX")</f>
        <v>XXX</v>
      </c>
    </row>
    <row r="794" spans="1:4" x14ac:dyDescent="0.45">
      <c r="A794">
        <f>ROW()</f>
        <v>794</v>
      </c>
      <c r="B794" t="str">
        <f>Profile!A829</f>
        <v>Actions</v>
      </c>
      <c r="C794">
        <f>Profile!AP831</f>
        <v>0</v>
      </c>
      <c r="D794" t="str">
        <f>IF(Profile!C829="Profile",IF(Profile!A831="ResourceRequirement","OK","XXX"),"XXX")</f>
        <v>XXX</v>
      </c>
    </row>
    <row r="795" spans="1:4" x14ac:dyDescent="0.45">
      <c r="A795">
        <f>ROW()</f>
        <v>795</v>
      </c>
      <c r="B795" t="str">
        <f>Profile!A830</f>
        <v>MetricReportDefinition</v>
      </c>
      <c r="C795">
        <f>Profile!AP832</f>
        <v>0</v>
      </c>
      <c r="D795" t="str">
        <f>IF(Profile!C830="Profile",IF(Profile!A832="ResourceRequirement","OK","XXX"),"XXX")</f>
        <v>XXX</v>
      </c>
    </row>
    <row r="796" spans="1:4" x14ac:dyDescent="0.45">
      <c r="A796">
        <f>ROW()</f>
        <v>796</v>
      </c>
      <c r="B796" t="str">
        <f>Profile!A831</f>
        <v xml:space="preserve">   @odata.id</v>
      </c>
      <c r="C796">
        <f>Profile!AP833</f>
        <v>0</v>
      </c>
      <c r="D796" t="str">
        <f>IF(Profile!C831="Profile",IF(Profile!A833="ResourceRequirement","OK","XXX"),"XXX")</f>
        <v>XXX</v>
      </c>
    </row>
    <row r="797" spans="1:4" x14ac:dyDescent="0.45">
      <c r="A797">
        <f>ROW()</f>
        <v>797</v>
      </c>
      <c r="B797" t="str">
        <f>Profile!A832</f>
        <v>MetricValues</v>
      </c>
      <c r="C797">
        <f>Profile!AP834</f>
        <v>0</v>
      </c>
      <c r="D797" t="str">
        <f>IF(Profile!C832="Profile",IF(Profile!A834="ResourceRequirement","OK","XXX"),"XXX")</f>
        <v>XXX</v>
      </c>
    </row>
    <row r="798" spans="1:4" x14ac:dyDescent="0.45">
      <c r="A798">
        <f>ROW()</f>
        <v>798</v>
      </c>
      <c r="B798" t="str">
        <f>Profile!A833</f>
        <v xml:space="preserve">   MetricDefinition</v>
      </c>
      <c r="C798">
        <f>Profile!AP835</f>
        <v>0</v>
      </c>
      <c r="D798" t="str">
        <f>IF(Profile!C833="Profile",IF(Profile!A835="ResourceRequirement","OK","XXX"),"XXX")</f>
        <v>XXX</v>
      </c>
    </row>
    <row r="799" spans="1:4" x14ac:dyDescent="0.45">
      <c r="A799">
        <f>ROW()</f>
        <v>799</v>
      </c>
      <c r="B799" t="str">
        <f>Profile!A834</f>
        <v xml:space="preserve">      @odata.id</v>
      </c>
      <c r="C799">
        <f>Profile!AP836</f>
        <v>0</v>
      </c>
      <c r="D799" t="str">
        <f>IF(Profile!C834="Profile",IF(Profile!A836="ResourceRequirement","OK","XXX"),"XXX")</f>
        <v>XXX</v>
      </c>
    </row>
    <row r="800" spans="1:4" x14ac:dyDescent="0.45">
      <c r="A800">
        <f>ROW()</f>
        <v>800</v>
      </c>
      <c r="B800" t="str">
        <f>Profile!A835</f>
        <v xml:space="preserve">   MetricId</v>
      </c>
      <c r="C800">
        <f>Profile!AP837</f>
        <v>0</v>
      </c>
      <c r="D800" t="str">
        <f>IF(Profile!C835="Profile",IF(Profile!A837="ResourceRequirement","OK","XXX"),"XXX")</f>
        <v>XXX</v>
      </c>
    </row>
    <row r="801" spans="1:4" x14ac:dyDescent="0.45">
      <c r="A801">
        <f>ROW()</f>
        <v>801</v>
      </c>
      <c r="B801" t="str">
        <f>Profile!A836</f>
        <v xml:space="preserve">   MetricProperty</v>
      </c>
      <c r="C801">
        <f>Profile!AP838</f>
        <v>0</v>
      </c>
      <c r="D801" t="str">
        <f>IF(Profile!C836="Profile",IF(Profile!A838="ResourceRequirement","OK","XXX"),"XXX")</f>
        <v>XXX</v>
      </c>
    </row>
    <row r="802" spans="1:4" x14ac:dyDescent="0.45">
      <c r="A802">
        <f>ROW()</f>
        <v>802</v>
      </c>
      <c r="B802" t="str">
        <f>Profile!A837</f>
        <v xml:space="preserve">   MetricValue</v>
      </c>
      <c r="C802">
        <f>Profile!AP839</f>
        <v>0</v>
      </c>
      <c r="D802" t="str">
        <f>IF(Profile!C837="Profile",IF(Profile!A839="ResourceRequirement","OK","XXX"),"XXX")</f>
        <v>XXX</v>
      </c>
    </row>
    <row r="803" spans="1:4" x14ac:dyDescent="0.45">
      <c r="A803">
        <f>ROW()</f>
        <v>803</v>
      </c>
      <c r="B803" t="str">
        <f>Profile!A838</f>
        <v xml:space="preserve">   Timestamp</v>
      </c>
      <c r="C803">
        <f>Profile!AP840</f>
        <v>0</v>
      </c>
      <c r="D803" t="str">
        <f>IF(Profile!C838="Profile",IF(Profile!A840="ResourceRequirement","OK","XXX"),"XXX")</f>
        <v>XXX</v>
      </c>
    </row>
    <row r="804" spans="1:4" x14ac:dyDescent="0.45">
      <c r="A804">
        <f>ROW()</f>
        <v>804</v>
      </c>
      <c r="B804" t="str">
        <f>Profile!A839</f>
        <v>ReportSequence</v>
      </c>
      <c r="C804">
        <f>Profile!AP841</f>
        <v>0</v>
      </c>
      <c r="D804" t="str">
        <f>IF(Profile!C839="Profile",IF(Profile!A841="ResourceRequirement","OK","XXX"),"XXX")</f>
        <v>XXX</v>
      </c>
    </row>
    <row r="805" spans="1:4" x14ac:dyDescent="0.45">
      <c r="A805">
        <f>ROW()</f>
        <v>805</v>
      </c>
      <c r="B805" t="str">
        <f>Profile!A840</f>
        <v>Timestamp</v>
      </c>
      <c r="C805">
        <f>Profile!AP842</f>
        <v>0</v>
      </c>
      <c r="D805" t="str">
        <f>IF(Profile!C840="Profile",IF(Profile!A842="ResourceRequirement","OK","XXX"),"XXX")</f>
        <v>XXX</v>
      </c>
    </row>
    <row r="806" spans="1:4" x14ac:dyDescent="0.45">
      <c r="A806">
        <f>ROW()</f>
        <v>806</v>
      </c>
      <c r="B806" t="str">
        <f>Profile!A841</f>
        <v>MetricReport URIs</v>
      </c>
      <c r="C806">
        <f>Profile!AP843</f>
        <v>0</v>
      </c>
      <c r="D806" t="str">
        <f>IF(Profile!C841="Profile",IF(Profile!A843="ResourceRequirement","OK","XXX"),"XXX")</f>
        <v>XXX</v>
      </c>
    </row>
    <row r="807" spans="1:4" x14ac:dyDescent="0.45">
      <c r="A807">
        <f>ROW()</f>
        <v>807</v>
      </c>
      <c r="B807" t="str">
        <f>Profile!A842</f>
        <v>/redfish/v1/TelemetryService/MetricReports/{MetricReportId}</v>
      </c>
      <c r="C807">
        <f>Profile!AP844</f>
        <v>0</v>
      </c>
      <c r="D807" t="str">
        <f>IF(Profile!C842="Profile",IF(Profile!A844="ResourceRequirement","OK","XXX"),"XXX")</f>
        <v>XXX</v>
      </c>
    </row>
    <row r="808" spans="1:4" x14ac:dyDescent="0.45">
      <c r="A808">
        <f>ROW()</f>
        <v>808</v>
      </c>
      <c r="B808">
        <f>Profile!A843</f>
        <v>0</v>
      </c>
      <c r="C808">
        <f>Profile!AP845</f>
        <v>0</v>
      </c>
      <c r="D808" t="str">
        <f>IF(Profile!C843="Profile",IF(Profile!A845="ResourceRequirement","OK","XXX"),"XXX")</f>
        <v>XXX</v>
      </c>
    </row>
    <row r="809" spans="1:4" x14ac:dyDescent="0.45">
      <c r="A809">
        <f>ROW()</f>
        <v>809</v>
      </c>
      <c r="B809" t="str">
        <f>Profile!A844</f>
        <v>1.1.2.8               MetricReportDefinition</v>
      </c>
      <c r="C809">
        <f>Profile!AP846</f>
        <v>0</v>
      </c>
      <c r="D809" t="str">
        <f>IF(Profile!C844="Profile",IF(Profile!A846="ResourceRequirement","OK","XXX"),"XXX")</f>
        <v>XXX</v>
      </c>
    </row>
    <row r="810" spans="1:4" x14ac:dyDescent="0.45">
      <c r="A810">
        <f>ROW()</f>
        <v>810</v>
      </c>
      <c r="B810" t="str">
        <f>Profile!A845</f>
        <v>MetricReportDefinitions are a set of metrics that are collected into a MetricReport.</v>
      </c>
      <c r="C810">
        <f>Profile!AP847</f>
        <v>0</v>
      </c>
      <c r="D810" t="str">
        <f>IF(Profile!C845="Profile",IF(Profile!A847="ResourceRequirement","OK","XXX"),"XXX")</f>
        <v>XXX</v>
      </c>
    </row>
    <row r="811" spans="1:4" x14ac:dyDescent="0.45">
      <c r="A811">
        <f>ROW()</f>
        <v>811</v>
      </c>
      <c r="B811" t="str">
        <f>Profile!A846</f>
        <v>Table 25: O-PAS Profile Map for the Redfish MetricReportDefinition Resource</v>
      </c>
      <c r="C811">
        <f>Profile!AP848</f>
        <v>0</v>
      </c>
      <c r="D811" t="str">
        <f>IF(Profile!C846="Profile",IF(Profile!A848="ResourceRequirement","OK","XXX"),"XXX")</f>
        <v>XXX</v>
      </c>
    </row>
    <row r="812" spans="1:4" x14ac:dyDescent="0.45">
      <c r="A812">
        <f>ROW()</f>
        <v>812</v>
      </c>
      <c r="B812" t="str">
        <f>Profile!A847</f>
        <v>MetricReportDefinition (1.0.0)</v>
      </c>
      <c r="C812">
        <f>Profile!AP849</f>
        <v>0</v>
      </c>
      <c r="D812" t="str">
        <f>IF(Profile!C847="Profile",IF(Profile!A849="ResourceRequirement","OK","XXX"),"XXX")</f>
        <v>XXX</v>
      </c>
    </row>
    <row r="813" spans="1:4" x14ac:dyDescent="0.45">
      <c r="A813">
        <f>ROW()</f>
        <v>813</v>
      </c>
      <c r="B813">
        <f>Profile!A848</f>
        <v>0</v>
      </c>
      <c r="C813">
        <f>Profile!AP850</f>
        <v>0</v>
      </c>
      <c r="D813" t="str">
        <f>IF(Profile!C848="Profile",IF(Profile!A850="ResourceRequirement","OK","XXX"),"XXX")</f>
        <v>XXX</v>
      </c>
    </row>
    <row r="814" spans="1:4" x14ac:dyDescent="0.45">
      <c r="A814">
        <f>ROW()</f>
        <v>814</v>
      </c>
      <c r="B814" t="str">
        <f>Profile!A849</f>
        <v>MetricReportDefinition (1.2.0)</v>
      </c>
      <c r="C814">
        <f>Profile!AP851</f>
        <v>35</v>
      </c>
      <c r="D814" t="str">
        <f>IF(Profile!C849="Profile",IF(Profile!A851="ResourceRequirement","OK","XXX"),"XXX")</f>
        <v>OK</v>
      </c>
    </row>
    <row r="815" spans="1:4" x14ac:dyDescent="0.45">
      <c r="A815">
        <f>ROW()</f>
        <v>815</v>
      </c>
      <c r="B815">
        <f>Profile!A850</f>
        <v>0</v>
      </c>
      <c r="C815">
        <f>Profile!AP852</f>
        <v>0</v>
      </c>
      <c r="D815" t="str">
        <f>IF(Profile!C850="Profile",IF(Profile!A852="ResourceRequirement","OK","XXX"),"XXX")</f>
        <v>XXX</v>
      </c>
    </row>
    <row r="816" spans="1:4" x14ac:dyDescent="0.45">
      <c r="A816">
        <f>ROW()</f>
        <v>816</v>
      </c>
      <c r="B816" t="str">
        <f>Profile!A851</f>
        <v>ResourceRequirement</v>
      </c>
      <c r="C816">
        <f>Profile!AP853</f>
        <v>0</v>
      </c>
      <c r="D816" t="str">
        <f>IF(Profile!C851="Profile",IF(Profile!A853="ResourceRequirement","OK","XXX"),"XXX")</f>
        <v>XXX</v>
      </c>
    </row>
    <row r="817" spans="1:4" x14ac:dyDescent="0.45">
      <c r="A817">
        <f>ROW()</f>
        <v>817</v>
      </c>
      <c r="B817" t="str">
        <f>Profile!A852</f>
        <v>Resource MinVersion</v>
      </c>
      <c r="C817">
        <f>Profile!AP854</f>
        <v>0</v>
      </c>
      <c r="D817" t="str">
        <f>IF(Profile!C852="Profile",IF(Profile!A854="ResourceRequirement","OK","XXX"),"XXX")</f>
        <v>XXX</v>
      </c>
    </row>
    <row r="818" spans="1:4" x14ac:dyDescent="0.45">
      <c r="A818">
        <f>ROW()</f>
        <v>818</v>
      </c>
      <c r="B818" t="str">
        <f>Profile!A853</f>
        <v>Property</v>
      </c>
      <c r="C818">
        <f>Profile!AP855</f>
        <v>0</v>
      </c>
      <c r="D818" t="str">
        <f>IF(Profile!C853="Profile",IF(Profile!A855="ResourceRequirement","OK","XXX"),"XXX")</f>
        <v>XXX</v>
      </c>
    </row>
    <row r="819" spans="1:4" x14ac:dyDescent="0.45">
      <c r="A819">
        <f>ROW()</f>
        <v>819</v>
      </c>
      <c r="B819" t="str">
        <f>Profile!A854</f>
        <v>Actions</v>
      </c>
      <c r="C819">
        <f>Profile!AP856</f>
        <v>0</v>
      </c>
      <c r="D819" t="str">
        <f>IF(Profile!C854="Profile",IF(Profile!A856="ResourceRequirement","OK","XXX"),"XXX")</f>
        <v>XXX</v>
      </c>
    </row>
    <row r="820" spans="1:4" x14ac:dyDescent="0.45">
      <c r="A820">
        <f>ROW()</f>
        <v>820</v>
      </c>
      <c r="B820" t="str">
        <f>Profile!A855</f>
        <v>AppendLimit</v>
      </c>
      <c r="C820">
        <f>Profile!AP857</f>
        <v>0</v>
      </c>
      <c r="D820" t="str">
        <f>IF(Profile!C855="Profile",IF(Profile!A857="ResourceRequirement","OK","XXX"),"XXX")</f>
        <v>XXX</v>
      </c>
    </row>
    <row r="821" spans="1:4" x14ac:dyDescent="0.45">
      <c r="A821">
        <f>ROW()</f>
        <v>821</v>
      </c>
      <c r="B821" t="str">
        <f>Profile!A856</f>
        <v>MetricProperties</v>
      </c>
      <c r="C821">
        <f>Profile!AP858</f>
        <v>0</v>
      </c>
      <c r="D821" t="str">
        <f>IF(Profile!C856="Profile",IF(Profile!A858="ResourceRequirement","OK","XXX"),"XXX")</f>
        <v>XXX</v>
      </c>
    </row>
    <row r="822" spans="1:4" x14ac:dyDescent="0.45">
      <c r="A822">
        <f>ROW()</f>
        <v>822</v>
      </c>
      <c r="B822" t="str">
        <f>Profile!A857</f>
        <v>MetricReport</v>
      </c>
      <c r="C822">
        <f>Profile!AP859</f>
        <v>0</v>
      </c>
      <c r="D822" t="str">
        <f>IF(Profile!C857="Profile",IF(Profile!A859="ResourceRequirement","OK","XXX"),"XXX")</f>
        <v>XXX</v>
      </c>
    </row>
    <row r="823" spans="1:4" x14ac:dyDescent="0.45">
      <c r="A823">
        <f>ROW()</f>
        <v>823</v>
      </c>
      <c r="B823" t="str">
        <f>Profile!A858</f>
        <v xml:space="preserve">   @odata.id</v>
      </c>
      <c r="C823">
        <f>Profile!AP860</f>
        <v>0</v>
      </c>
      <c r="D823" t="str">
        <f>IF(Profile!C858="Profile",IF(Profile!A860="ResourceRequirement","OK","XXX"),"XXX")</f>
        <v>XXX</v>
      </c>
    </row>
    <row r="824" spans="1:4" x14ac:dyDescent="0.45">
      <c r="A824">
        <f>ROW()</f>
        <v>824</v>
      </c>
      <c r="B824" t="str">
        <f>Profile!A859</f>
        <v>MetricReportDefinitionEnabled</v>
      </c>
      <c r="C824">
        <f>Profile!AP861</f>
        <v>0</v>
      </c>
      <c r="D824" t="str">
        <f>IF(Profile!C859="Profile",IF(Profile!A861="ResourceRequirement","OK","XXX"),"XXX")</f>
        <v>XXX</v>
      </c>
    </row>
    <row r="825" spans="1:4" x14ac:dyDescent="0.45">
      <c r="A825">
        <f>ROW()</f>
        <v>825</v>
      </c>
      <c r="B825" t="str">
        <f>Profile!A860</f>
        <v>MetricReportDefinitionType</v>
      </c>
      <c r="C825">
        <f>Profile!AP862</f>
        <v>0</v>
      </c>
      <c r="D825" t="str">
        <f>IF(Profile!C860="Profile",IF(Profile!A862="ResourceRequirement","OK","XXX"),"XXX")</f>
        <v>XXX</v>
      </c>
    </row>
    <row r="826" spans="1:4" x14ac:dyDescent="0.45">
      <c r="A826">
        <f>ROW()</f>
        <v>826</v>
      </c>
      <c r="B826" t="str">
        <f>Profile!A861</f>
        <v>MetricReportHeartbeatInterval</v>
      </c>
      <c r="C826">
        <f>Profile!AP863</f>
        <v>0</v>
      </c>
      <c r="D826" t="str">
        <f>IF(Profile!C861="Profile",IF(Profile!A863="ResourceRequirement","OK","XXX"),"XXX")</f>
        <v>XXX</v>
      </c>
    </row>
    <row r="827" spans="1:4" x14ac:dyDescent="0.45">
      <c r="A827">
        <f>ROW()</f>
        <v>827</v>
      </c>
      <c r="B827" t="str">
        <f>Profile!A862</f>
        <v>Metrics</v>
      </c>
      <c r="C827">
        <f>Profile!AP864</f>
        <v>0</v>
      </c>
      <c r="D827" t="str">
        <f>IF(Profile!C862="Profile",IF(Profile!A864="ResourceRequirement","OK","XXX"),"XXX")</f>
        <v>XXX</v>
      </c>
    </row>
    <row r="828" spans="1:4" x14ac:dyDescent="0.45">
      <c r="A828">
        <f>ROW()</f>
        <v>828</v>
      </c>
      <c r="B828" t="str">
        <f>Profile!A863</f>
        <v xml:space="preserve">   CollectionFunction</v>
      </c>
      <c r="C828">
        <f>Profile!AP865</f>
        <v>0</v>
      </c>
      <c r="D828" t="str">
        <f>IF(Profile!C863="Profile",IF(Profile!A865="ResourceRequirement","OK","XXX"),"XXX")</f>
        <v>XXX</v>
      </c>
    </row>
    <row r="829" spans="1:4" x14ac:dyDescent="0.45">
      <c r="A829">
        <f>ROW()</f>
        <v>829</v>
      </c>
      <c r="B829" t="str">
        <f>Profile!A864</f>
        <v xml:space="preserve">   CollectionTimeScope</v>
      </c>
      <c r="C829">
        <f>Profile!AP866</f>
        <v>0</v>
      </c>
      <c r="D829" t="str">
        <f>IF(Profile!C864="Profile",IF(Profile!A866="ResourceRequirement","OK","XXX"),"XXX")</f>
        <v>XXX</v>
      </c>
    </row>
    <row r="830" spans="1:4" x14ac:dyDescent="0.45">
      <c r="A830">
        <f>ROW()</f>
        <v>830</v>
      </c>
      <c r="B830" t="str">
        <f>Profile!A865</f>
        <v xml:space="preserve">   MetricId</v>
      </c>
      <c r="C830">
        <f>Profile!AP867</f>
        <v>0</v>
      </c>
      <c r="D830" t="str">
        <f>IF(Profile!C865="Profile",IF(Profile!A867="ResourceRequirement","OK","XXX"),"XXX")</f>
        <v>XXX</v>
      </c>
    </row>
    <row r="831" spans="1:4" x14ac:dyDescent="0.45">
      <c r="A831">
        <f>ROW()</f>
        <v>831</v>
      </c>
      <c r="B831" t="str">
        <f>Profile!A866</f>
        <v xml:space="preserve">   MetricProperties</v>
      </c>
      <c r="C831">
        <f>Profile!AP868</f>
        <v>0</v>
      </c>
      <c r="D831" t="str">
        <f>IF(Profile!C866="Profile",IF(Profile!A868="ResourceRequirement","OK","XXX"),"XXX")</f>
        <v>XXX</v>
      </c>
    </row>
    <row r="832" spans="1:4" x14ac:dyDescent="0.45">
      <c r="A832">
        <f>ROW()</f>
        <v>832</v>
      </c>
      <c r="B832" t="str">
        <f>Profile!A867</f>
        <v>ReportActions</v>
      </c>
      <c r="C832">
        <f>Profile!AP869</f>
        <v>0</v>
      </c>
      <c r="D832" t="str">
        <f>IF(Profile!C867="Profile",IF(Profile!A869="ResourceRequirement","OK","XXX"),"XXX")</f>
        <v>XXX</v>
      </c>
    </row>
    <row r="833" spans="1:4" x14ac:dyDescent="0.45">
      <c r="A833">
        <f>ROW()</f>
        <v>833</v>
      </c>
      <c r="B833" t="str">
        <f>Profile!A868</f>
        <v>ReportTimespan</v>
      </c>
      <c r="C833">
        <f>Profile!AP870</f>
        <v>0</v>
      </c>
      <c r="D833" t="str">
        <f>IF(Profile!C868="Profile",IF(Profile!A870="ResourceRequirement","OK","XXX"),"XXX")</f>
        <v>XXX</v>
      </c>
    </row>
    <row r="834" spans="1:4" x14ac:dyDescent="0.45">
      <c r="A834">
        <f>ROW()</f>
        <v>834</v>
      </c>
      <c r="B834" t="str">
        <f>Profile!A869</f>
        <v>ReportUpdates</v>
      </c>
      <c r="C834">
        <f>Profile!AP871</f>
        <v>0</v>
      </c>
      <c r="D834" t="str">
        <f>IF(Profile!C869="Profile",IF(Profile!A871="ResourceRequirement","OK","XXX"),"XXX")</f>
        <v>XXX</v>
      </c>
    </row>
    <row r="835" spans="1:4" x14ac:dyDescent="0.45">
      <c r="A835">
        <f>ROW()</f>
        <v>835</v>
      </c>
      <c r="B835" t="str">
        <f>Profile!A870</f>
        <v>Schedule</v>
      </c>
      <c r="C835">
        <f>Profile!AP874</f>
        <v>0</v>
      </c>
      <c r="D835" t="str">
        <f>IF(Profile!C870="Profile",IF(Profile!A874="ResourceRequirement","OK","XXX"),"XXX")</f>
        <v>XXX</v>
      </c>
    </row>
    <row r="836" spans="1:4" x14ac:dyDescent="0.45">
      <c r="A836">
        <f>ROW()</f>
        <v>836</v>
      </c>
      <c r="B836" t="str">
        <f>Profile!A871</f>
        <v>Status</v>
      </c>
      <c r="C836">
        <f>Profile!AP875</f>
        <v>0</v>
      </c>
      <c r="D836" t="str">
        <f>IF(Profile!C871="Profile",IF(Profile!A875="ResourceRequirement","OK","XXX"),"XXX")</f>
        <v>XXX</v>
      </c>
    </row>
    <row r="837" spans="1:4" x14ac:dyDescent="0.45">
      <c r="A837">
        <f>ROW()</f>
        <v>837</v>
      </c>
      <c r="B837" t="str">
        <f>Profile!A874</f>
        <v>SuppressRepeatedMetricValue</v>
      </c>
      <c r="C837">
        <f>Profile!AP876</f>
        <v>0</v>
      </c>
      <c r="D837" t="str">
        <f>IF(Profile!C874="Profile",IF(Profile!A876="ResourceRequirement","OK","XXX"),"XXX")</f>
        <v>XXX</v>
      </c>
    </row>
    <row r="838" spans="1:4" x14ac:dyDescent="0.45">
      <c r="A838">
        <f>ROW()</f>
        <v>838</v>
      </c>
      <c r="B838" t="str">
        <f>Profile!A875</f>
        <v>Wildcards</v>
      </c>
      <c r="C838">
        <f>Profile!AP877</f>
        <v>0</v>
      </c>
      <c r="D838" t="str">
        <f>IF(Profile!C875="Profile",IF(Profile!A877="ResourceRequirement","OK","XXX"),"XXX")</f>
        <v>XXX</v>
      </c>
    </row>
    <row r="839" spans="1:4" x14ac:dyDescent="0.45">
      <c r="A839">
        <f>ROW()</f>
        <v>839</v>
      </c>
      <c r="B839" t="str">
        <f>Profile!A876</f>
        <v xml:space="preserve">   Keys</v>
      </c>
      <c r="C839">
        <f>Profile!AP878</f>
        <v>0</v>
      </c>
      <c r="D839" t="str">
        <f>IF(Profile!C876="Profile",IF(Profile!A878="ResourceRequirement","OK","XXX"),"XXX")</f>
        <v>XXX</v>
      </c>
    </row>
    <row r="840" spans="1:4" x14ac:dyDescent="0.45">
      <c r="A840">
        <f>ROW()</f>
        <v>840</v>
      </c>
      <c r="B840" t="str">
        <f>Profile!A877</f>
        <v xml:space="preserve">   Name</v>
      </c>
      <c r="C840">
        <f>Profile!AP879</f>
        <v>0</v>
      </c>
      <c r="D840" t="str">
        <f>IF(Profile!C877="Profile",IF(Profile!A879="ResourceRequirement","OK","XXX"),"XXX")</f>
        <v>XXX</v>
      </c>
    </row>
    <row r="841" spans="1:4" x14ac:dyDescent="0.45">
      <c r="A841">
        <f>ROW()</f>
        <v>841</v>
      </c>
      <c r="B841" t="str">
        <f>Profile!A878</f>
        <v xml:space="preserve">   Values</v>
      </c>
      <c r="C841">
        <f>Profile!AP880</f>
        <v>0</v>
      </c>
      <c r="D841" t="str">
        <f>IF(Profile!C878="Profile",IF(Profile!A880="ResourceRequirement","OK","XXX"),"XXX")</f>
        <v>XXX</v>
      </c>
    </row>
    <row r="842" spans="1:4" x14ac:dyDescent="0.45">
      <c r="A842">
        <f>ROW()</f>
        <v>842</v>
      </c>
      <c r="B842" t="str">
        <f>Profile!A879</f>
        <v>MetricReportDefinition URIs</v>
      </c>
      <c r="C842">
        <f>Profile!AP881</f>
        <v>0</v>
      </c>
      <c r="D842" t="str">
        <f>IF(Profile!C879="Profile",IF(Profile!A881="ResourceRequirement","OK","XXX"),"XXX")</f>
        <v>XXX</v>
      </c>
    </row>
    <row r="843" spans="1:4" x14ac:dyDescent="0.45">
      <c r="A843">
        <f>ROW()</f>
        <v>843</v>
      </c>
      <c r="B843" t="str">
        <f>Profile!A880</f>
        <v>/redfish/v1/TelemetryService/MetricReportDefinitions/{MetricReportDefinitionId}</v>
      </c>
      <c r="C843">
        <f>Profile!AP882</f>
        <v>0</v>
      </c>
      <c r="D843" t="str">
        <f>IF(Profile!C880="Profile",IF(Profile!A882="ResourceRequirement","OK","XXX"),"XXX")</f>
        <v>XXX</v>
      </c>
    </row>
    <row r="844" spans="1:4" x14ac:dyDescent="0.45">
      <c r="A844">
        <f>ROW()</f>
        <v>844</v>
      </c>
      <c r="B844">
        <f>Profile!A881</f>
        <v>0</v>
      </c>
      <c r="C844">
        <f>Profile!AP883</f>
        <v>0</v>
      </c>
      <c r="D844" t="str">
        <f>IF(Profile!C881="Profile",IF(Profile!A883="ResourceRequirement","OK","XXX"),"XXX")</f>
        <v>XXX</v>
      </c>
    </row>
    <row r="845" spans="1:4" x14ac:dyDescent="0.45">
      <c r="A845">
        <f>ROW()</f>
        <v>845</v>
      </c>
      <c r="B845" t="str">
        <f>Profile!A882</f>
        <v>1.1.2.9               Status</v>
      </c>
      <c r="C845">
        <f>Profile!AP884</f>
        <v>0</v>
      </c>
      <c r="D845" t="str">
        <f>IF(Profile!C882="Profile",IF(Profile!A884="ResourceRequirement","OK","XXX"),"XXX")</f>
        <v>XXX</v>
      </c>
    </row>
    <row r="846" spans="1:4" x14ac:dyDescent="0.45">
      <c r="A846">
        <f>ROW()</f>
        <v>846</v>
      </c>
      <c r="B846" t="str">
        <f>Profile!A883</f>
        <v>The Status object and its properties are common to Redfish schema to report Health, HealthRollup, and State data.</v>
      </c>
      <c r="C846">
        <f>Profile!AP885</f>
        <v>0</v>
      </c>
      <c r="D846" t="str">
        <f>IF(Profile!C883="Profile",IF(Profile!A885="ResourceRequirement","OK","XXX"),"XXX")</f>
        <v>XXX</v>
      </c>
    </row>
    <row r="847" spans="1:4" x14ac:dyDescent="0.45">
      <c r="A847">
        <f>ROW()</f>
        <v>847</v>
      </c>
      <c r="B847" t="str">
        <f>Profile!A884</f>
        <v>Table 26: O-PAS Profile Map for the Redfish Status Object</v>
      </c>
      <c r="C847">
        <f>Profile!AP886</f>
        <v>0</v>
      </c>
      <c r="D847" t="str">
        <f>IF(Profile!C884="Profile",IF(Profile!A886="ResourceRequirement","OK","XXX"),"XXX")</f>
        <v>XXX</v>
      </c>
    </row>
    <row r="848" spans="1:4" x14ac:dyDescent="0.45">
      <c r="A848">
        <f>ROW()</f>
        <v>848</v>
      </c>
      <c r="B848" t="str">
        <f>Profile!A885</f>
        <v>Status</v>
      </c>
      <c r="C848">
        <f>Profile!AP887</f>
        <v>0</v>
      </c>
      <c r="D848" t="str">
        <f>IF(Profile!C885="Profile",IF(Profile!A887="ResourceRequirement","OK","XXX"),"XXX")</f>
        <v>OK</v>
      </c>
    </row>
    <row r="849" spans="1:4" x14ac:dyDescent="0.45">
      <c r="A849">
        <f>ROW()</f>
        <v>849</v>
      </c>
      <c r="B849">
        <f>Profile!A886</f>
        <v>0</v>
      </c>
      <c r="C849">
        <f>Profile!AP888</f>
        <v>0</v>
      </c>
      <c r="D849" t="str">
        <f>IF(Profile!C886="Profile",IF(Profile!A888="ResourceRequirement","OK","XXX"),"XXX")</f>
        <v>XXX</v>
      </c>
    </row>
    <row r="850" spans="1:4" x14ac:dyDescent="0.45">
      <c r="A850">
        <f>ROW()</f>
        <v>850</v>
      </c>
      <c r="B850" t="str">
        <f>Profile!A887</f>
        <v>ResourceRequirement</v>
      </c>
      <c r="C850">
        <f>Profile!AP889</f>
        <v>0</v>
      </c>
      <c r="D850" t="str">
        <f>IF(Profile!C887="Profile",IF(Profile!A889="ResourceRequirement","OK","XXX"),"XXX")</f>
        <v>XXX</v>
      </c>
    </row>
    <row r="851" spans="1:4" x14ac:dyDescent="0.45">
      <c r="A851">
        <f>ROW()</f>
        <v>851</v>
      </c>
      <c r="B851" t="str">
        <f>Profile!A888</f>
        <v>Property</v>
      </c>
      <c r="C851">
        <f>Profile!AP890</f>
        <v>0</v>
      </c>
      <c r="D851" t="str">
        <f>IF(Profile!C888="Profile",IF(Profile!A890="ResourceRequirement","OK","XXX"),"XXX")</f>
        <v>XXX</v>
      </c>
    </row>
    <row r="852" spans="1:4" x14ac:dyDescent="0.45">
      <c r="A852">
        <f>ROW()</f>
        <v>852</v>
      </c>
      <c r="B852" t="str">
        <f>Profile!A889</f>
        <v>Health</v>
      </c>
      <c r="C852">
        <f>Profile!AP891</f>
        <v>0</v>
      </c>
      <c r="D852" t="str">
        <f>IF(Profile!C889="Profile",IF(Profile!A891="ResourceRequirement","OK","XXX"),"XXX")</f>
        <v>XXX</v>
      </c>
    </row>
    <row r="853" spans="1:4" x14ac:dyDescent="0.45">
      <c r="A853">
        <f>ROW()</f>
        <v>853</v>
      </c>
      <c r="B853" t="str">
        <f>Profile!A890</f>
        <v>HealthRollup</v>
      </c>
      <c r="C853">
        <f>Profile!AP892</f>
        <v>0</v>
      </c>
      <c r="D853" t="str">
        <f>IF(Profile!C890="Profile",IF(Profile!A892="ResourceRequirement","OK","XXX"),"XXX")</f>
        <v>XXX</v>
      </c>
    </row>
    <row r="854" spans="1:4" x14ac:dyDescent="0.45">
      <c r="A854">
        <f>ROW()</f>
        <v>854</v>
      </c>
      <c r="B854" t="str">
        <f>Profile!A891</f>
        <v>Oem</v>
      </c>
      <c r="C854">
        <f>Profile!AP893</f>
        <v>0</v>
      </c>
      <c r="D854" t="str">
        <f>IF(Profile!C891="Profile",IF(Profile!A893="ResourceRequirement","OK","XXX"),"XXX")</f>
        <v>XXX</v>
      </c>
    </row>
    <row r="855" spans="1:4" x14ac:dyDescent="0.45">
      <c r="A855">
        <f>ROW()</f>
        <v>855</v>
      </c>
      <c r="B855" t="str">
        <f>Profile!A892</f>
        <v>State</v>
      </c>
      <c r="C855">
        <f>Profile!AP894</f>
        <v>0</v>
      </c>
      <c r="D855" t="str">
        <f>IF(Profile!C892="Profile",IF(Profile!A894="ResourceRequirement","OK","XXX"),"XXX")</f>
        <v>XXX</v>
      </c>
    </row>
    <row r="856" spans="1:4" x14ac:dyDescent="0.45">
      <c r="A856">
        <f>ROW()</f>
        <v>856</v>
      </c>
      <c r="B856" t="str">
        <f>Profile!A893</f>
        <v>The Status property status payload strings are described in Table 27 through Table 29.</v>
      </c>
      <c r="C856">
        <f>Profile!AP895</f>
        <v>0</v>
      </c>
      <c r="D856" t="str">
        <f>IF(Profile!C893="Profile",IF(Profile!A895="ResourceRequirement","OK","XXX"),"XXX")</f>
        <v>XXX</v>
      </c>
    </row>
    <row r="857" spans="1:4" x14ac:dyDescent="0.45">
      <c r="A857">
        <f>ROW()</f>
        <v>857</v>
      </c>
      <c r="B857">
        <f>Profile!A894</f>
        <v>0</v>
      </c>
      <c r="C857">
        <f>Profile!AP896</f>
        <v>0</v>
      </c>
      <c r="D857" t="str">
        <f>IF(Profile!C894="Profile",IF(Profile!A896="ResourceRequirement","OK","XXX"),"XXX")</f>
        <v>XXX</v>
      </c>
    </row>
    <row r="858" spans="1:4" x14ac:dyDescent="0.45">
      <c r="A858">
        <f>ROW()</f>
        <v>858</v>
      </c>
      <c r="B858" t="str">
        <f>Profile!A895</f>
        <v>Health</v>
      </c>
      <c r="C858">
        <f>Profile!AP897</f>
        <v>0</v>
      </c>
      <c r="D858" t="str">
        <f>IF(Profile!C895="Profile",IF(Profile!A897="ResourceRequirement","OK","XXX"),"XXX")</f>
        <v>XXX</v>
      </c>
    </row>
    <row r="859" spans="1:4" x14ac:dyDescent="0.45">
      <c r="A859">
        <f>ROW()</f>
        <v>859</v>
      </c>
      <c r="B859" t="str">
        <f>Profile!A896</f>
        <v>Health status of a resource in the absence of its dependent resources.</v>
      </c>
      <c r="C859">
        <f>Profile!AP898</f>
        <v>0</v>
      </c>
      <c r="D859" t="str">
        <f>IF(Profile!C896="Profile",IF(Profile!A898="ResourceRequirement","OK","XXX"),"XXX")</f>
        <v>XXX</v>
      </c>
    </row>
    <row r="860" spans="1:4" x14ac:dyDescent="0.45">
      <c r="A860">
        <f>ROW()</f>
        <v>860</v>
      </c>
      <c r="B860" t="str">
        <f>Profile!A897</f>
        <v>Table 27: Redfish Status Values for Health</v>
      </c>
      <c r="C860">
        <f>Profile!AP899</f>
        <v>0</v>
      </c>
      <c r="D860" t="str">
        <f>IF(Profile!C897="Profile",IF(Profile!A899="ResourceRequirement","OK","XXX"),"XXX")</f>
        <v>XXX</v>
      </c>
    </row>
    <row r="861" spans="1:4" x14ac:dyDescent="0.45">
      <c r="A861">
        <f>ROW()</f>
        <v>861</v>
      </c>
      <c r="B861" t="str">
        <f>Profile!A898</f>
        <v>String</v>
      </c>
      <c r="C861">
        <f>Profile!AP900</f>
        <v>0</v>
      </c>
      <c r="D861" t="str">
        <f>IF(Profile!C898="Profile",IF(Profile!A900="ResourceRequirement","OK","XXX"),"XXX")</f>
        <v>XXX</v>
      </c>
    </row>
    <row r="862" spans="1:4" x14ac:dyDescent="0.45">
      <c r="A862">
        <f>ROW()</f>
        <v>862</v>
      </c>
      <c r="B862" t="str">
        <f>Profile!A899</f>
        <v>Critical</v>
      </c>
      <c r="C862">
        <f>Profile!AP901</f>
        <v>0</v>
      </c>
      <c r="D862" t="str">
        <f>IF(Profile!C899="Profile",IF(Profile!A901="ResourceRequirement","OK","XXX"),"XXX")</f>
        <v>XXX</v>
      </c>
    </row>
    <row r="863" spans="1:4" x14ac:dyDescent="0.45">
      <c r="A863">
        <f>ROW()</f>
        <v>863</v>
      </c>
      <c r="B863" t="str">
        <f>Profile!A900</f>
        <v>OK</v>
      </c>
      <c r="C863">
        <f>Profile!AP902</f>
        <v>0</v>
      </c>
      <c r="D863" t="str">
        <f>IF(Profile!C900="Profile",IF(Profile!A902="ResourceRequirement","OK","XXX"),"XXX")</f>
        <v>XXX</v>
      </c>
    </row>
    <row r="864" spans="1:4" x14ac:dyDescent="0.45">
      <c r="A864">
        <f>ROW()</f>
        <v>864</v>
      </c>
      <c r="B864" t="str">
        <f>Profile!A901</f>
        <v>Warning</v>
      </c>
      <c r="C864">
        <f>Profile!AP903</f>
        <v>0</v>
      </c>
      <c r="D864" t="str">
        <f>IF(Profile!C901="Profile",IF(Profile!A903="ResourceRequirement","OK","XXX"),"XXX")</f>
        <v>XXX</v>
      </c>
    </row>
    <row r="865" spans="1:4" x14ac:dyDescent="0.45">
      <c r="A865">
        <f>ROW()</f>
        <v>865</v>
      </c>
      <c r="B865">
        <f>Profile!A902</f>
        <v>0</v>
      </c>
      <c r="C865">
        <f>Profile!AP904</f>
        <v>0</v>
      </c>
      <c r="D865" t="str">
        <f>IF(Profile!C902="Profile",IF(Profile!A904="ResourceRequirement","OK","XXX"),"XXX")</f>
        <v>XXX</v>
      </c>
    </row>
    <row r="866" spans="1:4" x14ac:dyDescent="0.45">
      <c r="A866">
        <f>ROW()</f>
        <v>866</v>
      </c>
      <c r="B866" t="str">
        <f>Profile!A903</f>
        <v>HealthRollup</v>
      </c>
      <c r="C866">
        <f>Profile!AP905</f>
        <v>0</v>
      </c>
      <c r="D866" t="str">
        <f>IF(Profile!C903="Profile",IF(Profile!A905="ResourceRequirement","OK","XXX"),"XXX")</f>
        <v>XXX</v>
      </c>
    </row>
    <row r="867" spans="1:4" x14ac:dyDescent="0.45">
      <c r="A867">
        <f>ROW()</f>
        <v>867</v>
      </c>
      <c r="B867" t="str">
        <f>Profile!A904</f>
        <v>Overall health rollup status from the view of a resource.</v>
      </c>
      <c r="C867">
        <f>Profile!AP906</f>
        <v>0</v>
      </c>
      <c r="D867" t="str">
        <f>IF(Profile!C904="Profile",IF(Profile!A906="ResourceRequirement","OK","XXX"),"XXX")</f>
        <v>XXX</v>
      </c>
    </row>
    <row r="868" spans="1:4" x14ac:dyDescent="0.45">
      <c r="A868">
        <f>ROW()</f>
        <v>868</v>
      </c>
      <c r="B868" t="str">
        <f>Profile!A905</f>
        <v>Table 28: Redfish Status Values for HealthRollup</v>
      </c>
      <c r="C868">
        <f>Profile!AP907</f>
        <v>0</v>
      </c>
      <c r="D868" t="str">
        <f>IF(Profile!C905="Profile",IF(Profile!A907="ResourceRequirement","OK","XXX"),"XXX")</f>
        <v>XXX</v>
      </c>
    </row>
    <row r="869" spans="1:4" x14ac:dyDescent="0.45">
      <c r="A869">
        <f>ROW()</f>
        <v>869</v>
      </c>
      <c r="B869" t="str">
        <f>Profile!A906</f>
        <v>String</v>
      </c>
      <c r="C869">
        <f>Profile!AP908</f>
        <v>0</v>
      </c>
      <c r="D869" t="str">
        <f>IF(Profile!C906="Profile",IF(Profile!A908="ResourceRequirement","OK","XXX"),"XXX")</f>
        <v>XXX</v>
      </c>
    </row>
    <row r="870" spans="1:4" x14ac:dyDescent="0.45">
      <c r="A870">
        <f>ROW()</f>
        <v>870</v>
      </c>
      <c r="B870" t="str">
        <f>Profile!A907</f>
        <v>Critical</v>
      </c>
      <c r="C870">
        <f>Profile!AP909</f>
        <v>0</v>
      </c>
      <c r="D870" t="str">
        <f>IF(Profile!C907="Profile",IF(Profile!A909="ResourceRequirement","OK","XXX"),"XXX")</f>
        <v>XXX</v>
      </c>
    </row>
    <row r="871" spans="1:4" x14ac:dyDescent="0.45">
      <c r="A871">
        <f>ROW()</f>
        <v>871</v>
      </c>
      <c r="B871" t="str">
        <f>Profile!A908</f>
        <v>OK</v>
      </c>
      <c r="C871">
        <f>Profile!AP910</f>
        <v>0</v>
      </c>
      <c r="D871" t="str">
        <f>IF(Profile!C908="Profile",IF(Profile!A910="ResourceRequirement","OK","XXX"),"XXX")</f>
        <v>XXX</v>
      </c>
    </row>
    <row r="872" spans="1:4" x14ac:dyDescent="0.45">
      <c r="A872">
        <f>ROW()</f>
        <v>872</v>
      </c>
      <c r="B872" t="str">
        <f>Profile!A909</f>
        <v>Warning</v>
      </c>
      <c r="C872">
        <f>Profile!AP911</f>
        <v>0</v>
      </c>
      <c r="D872" t="str">
        <f>IF(Profile!C909="Profile",IF(Profile!A911="ResourceRequirement","OK","XXX"),"XXX")</f>
        <v>XXX</v>
      </c>
    </row>
    <row r="873" spans="1:4" x14ac:dyDescent="0.45">
      <c r="A873">
        <f>ROW()</f>
        <v>873</v>
      </c>
      <c r="B873">
        <f>Profile!A910</f>
        <v>0</v>
      </c>
      <c r="C873">
        <f>Profile!AP912</f>
        <v>0</v>
      </c>
      <c r="D873" t="str">
        <f>IF(Profile!C910="Profile",IF(Profile!A912="ResourceRequirement","OK","XXX"),"XXX")</f>
        <v>XXX</v>
      </c>
    </row>
    <row r="874" spans="1:4" x14ac:dyDescent="0.45">
      <c r="A874">
        <f>ROW()</f>
        <v>874</v>
      </c>
      <c r="B874" t="str">
        <f>Profile!A911</f>
        <v>State</v>
      </c>
      <c r="C874">
        <f>Profile!AP913</f>
        <v>0</v>
      </c>
      <c r="D874" t="str">
        <f>IF(Profile!C911="Profile",IF(Profile!A913="ResourceRequirement","OK","XXX"),"XXX")</f>
        <v>XXX</v>
      </c>
    </row>
    <row r="875" spans="1:4" x14ac:dyDescent="0.45">
      <c r="A875">
        <f>ROW()</f>
        <v>875</v>
      </c>
      <c r="B875" t="str">
        <f>Profile!A912</f>
        <v>Known state of a resource, such as if it is enabled.</v>
      </c>
      <c r="C875">
        <f>Profile!AP914</f>
        <v>0</v>
      </c>
      <c r="D875" t="str">
        <f>IF(Profile!C912="Profile",IF(Profile!A914="ResourceRequirement","OK","XXX"),"XXX")</f>
        <v>XXX</v>
      </c>
    </row>
    <row r="876" spans="1:4" x14ac:dyDescent="0.45">
      <c r="A876">
        <f>ROW()</f>
        <v>876</v>
      </c>
      <c r="B876" t="str">
        <f>Profile!A913</f>
        <v>Table 29: Redfish Status Values for State</v>
      </c>
      <c r="C876">
        <f>Profile!AP915</f>
        <v>0</v>
      </c>
      <c r="D876" t="str">
        <f>IF(Profile!C913="Profile",IF(Profile!A915="ResourceRequirement","OK","XXX"),"XXX")</f>
        <v>XXX</v>
      </c>
    </row>
    <row r="877" spans="1:4" x14ac:dyDescent="0.45">
      <c r="A877">
        <f>ROW()</f>
        <v>877</v>
      </c>
      <c r="B877" t="str">
        <f>Profile!A914</f>
        <v>String</v>
      </c>
      <c r="C877">
        <f>Profile!AP916</f>
        <v>0</v>
      </c>
      <c r="D877" t="str">
        <f>IF(Profile!C914="Profile",IF(Profile!A916="ResourceRequirement","OK","XXX"),"XXX")</f>
        <v>XXX</v>
      </c>
    </row>
    <row r="878" spans="1:4" x14ac:dyDescent="0.45">
      <c r="A878">
        <f>ROW()</f>
        <v>878</v>
      </c>
      <c r="B878" t="str">
        <f>Profile!A915</f>
        <v>Absent</v>
      </c>
      <c r="C878">
        <f>Profile!AP917</f>
        <v>0</v>
      </c>
      <c r="D878" t="str">
        <f>IF(Profile!C915="Profile",IF(Profile!A917="ResourceRequirement","OK","XXX"),"XXX")</f>
        <v>XXX</v>
      </c>
    </row>
    <row r="879" spans="1:4" x14ac:dyDescent="0.45">
      <c r="A879">
        <f>ROW()</f>
        <v>879</v>
      </c>
      <c r="B879" t="str">
        <f>Profile!A916</f>
        <v>Deferring</v>
      </c>
      <c r="C879">
        <f>Profile!AP918</f>
        <v>0</v>
      </c>
      <c r="D879" t="str">
        <f>IF(Profile!C916="Profile",IF(Profile!A918="ResourceRequirement","OK","XXX"),"XXX")</f>
        <v>XXX</v>
      </c>
    </row>
    <row r="880" spans="1:4" x14ac:dyDescent="0.45">
      <c r="A880">
        <f>ROW()</f>
        <v>880</v>
      </c>
      <c r="B880" t="str">
        <f>Profile!A917</f>
        <v>Disabled</v>
      </c>
      <c r="C880">
        <f>Profile!AP919</f>
        <v>0</v>
      </c>
      <c r="D880" t="str">
        <f>IF(Profile!C917="Profile",IF(Profile!A919="ResourceRequirement","OK","XXX"),"XXX")</f>
        <v>XXX</v>
      </c>
    </row>
    <row r="881" spans="1:4" x14ac:dyDescent="0.45">
      <c r="A881">
        <f>ROW()</f>
        <v>881</v>
      </c>
      <c r="B881" t="str">
        <f>Profile!A918</f>
        <v>Enabled</v>
      </c>
      <c r="C881">
        <f>Profile!AP920</f>
        <v>0</v>
      </c>
      <c r="D881" t="str">
        <f>IF(Profile!C918="Profile",IF(Profile!A920="ResourceRequirement","OK","XXX"),"XXX")</f>
        <v>XXX</v>
      </c>
    </row>
    <row r="882" spans="1:4" x14ac:dyDescent="0.45">
      <c r="A882">
        <f>ROW()</f>
        <v>882</v>
      </c>
      <c r="B882" t="str">
        <f>Profile!A919</f>
        <v>InTest</v>
      </c>
      <c r="C882">
        <f>Profile!AP921</f>
        <v>0</v>
      </c>
      <c r="D882" t="str">
        <f>IF(Profile!C919="Profile",IF(Profile!A921="ResourceRequirement","OK","XXX"),"XXX")</f>
        <v>XXX</v>
      </c>
    </row>
    <row r="883" spans="1:4" x14ac:dyDescent="0.45">
      <c r="A883">
        <f>ROW()</f>
        <v>883</v>
      </c>
      <c r="B883" t="str">
        <f>Profile!A920</f>
        <v>Quiesced</v>
      </c>
      <c r="C883">
        <f>Profile!AP922</f>
        <v>0</v>
      </c>
      <c r="D883" t="str">
        <f>IF(Profile!C920="Profile",IF(Profile!A922="ResourceRequirement","OK","XXX"),"XXX")</f>
        <v>XXX</v>
      </c>
    </row>
    <row r="884" spans="1:4" x14ac:dyDescent="0.45">
      <c r="A884">
        <f>ROW()</f>
        <v>884</v>
      </c>
      <c r="B884" t="str">
        <f>Profile!A921</f>
        <v>StandbyOffline</v>
      </c>
      <c r="C884">
        <f>Profile!AP923</f>
        <v>0</v>
      </c>
      <c r="D884" t="str">
        <f>IF(Profile!C921="Profile",IF(Profile!A923="ResourceRequirement","OK","XXX"),"XXX")</f>
        <v>XXX</v>
      </c>
    </row>
    <row r="885" spans="1:4" x14ac:dyDescent="0.45">
      <c r="A885">
        <f>ROW()</f>
        <v>885</v>
      </c>
      <c r="B885" t="str">
        <f>Profile!A922</f>
        <v>StandbySpare</v>
      </c>
      <c r="C885">
        <f>Profile!AP924</f>
        <v>0</v>
      </c>
      <c r="D885" t="str">
        <f>IF(Profile!C922="Profile",IF(Profile!A924="ResourceRequirement","OK","XXX"),"XXX")</f>
        <v>XXX</v>
      </c>
    </row>
    <row r="886" spans="1:4" x14ac:dyDescent="0.45">
      <c r="A886">
        <f>ROW()</f>
        <v>886</v>
      </c>
      <c r="B886" t="str">
        <f>Profile!A923</f>
        <v>Starting</v>
      </c>
      <c r="C886">
        <f>Profile!AP925</f>
        <v>0</v>
      </c>
      <c r="D886" t="str">
        <f>IF(Profile!C923="Profile",IF(Profile!A925="ResourceRequirement","OK","XXX"),"XXX")</f>
        <v>XXX</v>
      </c>
    </row>
    <row r="887" spans="1:4" x14ac:dyDescent="0.45">
      <c r="A887">
        <f>ROW()</f>
        <v>887</v>
      </c>
      <c r="B887" t="str">
        <f>Profile!A924</f>
        <v>UnavailableOffline</v>
      </c>
      <c r="C887">
        <f>Profile!AP926</f>
        <v>0</v>
      </c>
      <c r="D887" t="str">
        <f>IF(Profile!C924="Profile",IF(Profile!A926="ResourceRequirement","OK","XXX"),"XXX")</f>
        <v>XXX</v>
      </c>
    </row>
    <row r="888" spans="1:4" x14ac:dyDescent="0.45">
      <c r="A888">
        <f>ROW()</f>
        <v>888</v>
      </c>
      <c r="B888" t="str">
        <f>Profile!A925</f>
        <v>Updating</v>
      </c>
      <c r="C888">
        <f>Profile!AP927</f>
        <v>0</v>
      </c>
      <c r="D888" t="str">
        <f>IF(Profile!C925="Profile",IF(Profile!A927="ResourceRequirement","OK","XXX"),"XXX")</f>
        <v>XXX</v>
      </c>
    </row>
    <row r="889" spans="1:4" x14ac:dyDescent="0.45">
      <c r="A889">
        <f>ROW()</f>
        <v>889</v>
      </c>
      <c r="B889">
        <f>Profile!A926</f>
        <v>0</v>
      </c>
      <c r="C889">
        <f>Profile!AP928</f>
        <v>0</v>
      </c>
      <c r="D889" t="str">
        <f>IF(Profile!C926="Profile",IF(Profile!A928="ResourceRequirement","OK","XXX"),"XXX")</f>
        <v>XXX</v>
      </c>
    </row>
    <row r="890" spans="1:4" x14ac:dyDescent="0.45">
      <c r="A890">
        <f>ROW()</f>
        <v>890</v>
      </c>
      <c r="B890" t="str">
        <f>Profile!A927</f>
        <v>1.1.2.10            TelemetryService</v>
      </c>
      <c r="C890">
        <f>Profile!AP929</f>
        <v>0</v>
      </c>
      <c r="D890" t="str">
        <f>IF(Profile!C927="Profile",IF(Profile!A929="ResourceRequirement","OK","XXX"),"XXX")</f>
        <v>XXX</v>
      </c>
    </row>
    <row r="891" spans="1:4" x14ac:dyDescent="0.45">
      <c r="A891">
        <f>ROW()</f>
        <v>891</v>
      </c>
      <c r="B891" t="str">
        <f>Profile!A928</f>
        <v>The TelemetryService resource is the definition for the metrics service. It represents the properties for the service itself and has links to collections of MetricDefinitions and MetricReportDefinitions.</v>
      </c>
      <c r="C891">
        <f>Profile!AP930</f>
        <v>0</v>
      </c>
      <c r="D891" t="str">
        <f>IF(Profile!C928="Profile",IF(Profile!A930="ResourceRequirement","OK","XXX"),"XXX")</f>
        <v>XXX</v>
      </c>
    </row>
    <row r="892" spans="1:4" x14ac:dyDescent="0.45">
      <c r="A892">
        <f>ROW()</f>
        <v>892</v>
      </c>
      <c r="B892" t="str">
        <f>Profile!A929</f>
        <v>Table 30: O-PAS Profile Map for the Redfish TelemetryService Resource</v>
      </c>
      <c r="C892">
        <f>Profile!AP931</f>
        <v>0</v>
      </c>
      <c r="D892" t="str">
        <f>IF(Profile!C929="Profile",IF(Profile!A931="ResourceRequirement","OK","XXX"),"XXX")</f>
        <v>XXX</v>
      </c>
    </row>
    <row r="893" spans="1:4" x14ac:dyDescent="0.45">
      <c r="A893">
        <f>ROW()</f>
        <v>893</v>
      </c>
      <c r="B893" t="str">
        <f>Profile!A930</f>
        <v>TelemetryService (1.0.0)</v>
      </c>
      <c r="C893">
        <f>Profile!AP932</f>
        <v>0</v>
      </c>
      <c r="D893" t="str">
        <f>IF(Profile!C930="Profile",IF(Profile!A932="ResourceRequirement","OK","XXX"),"XXX")</f>
        <v>XXX</v>
      </c>
    </row>
    <row r="894" spans="1:4" x14ac:dyDescent="0.45">
      <c r="A894">
        <f>ROW()</f>
        <v>894</v>
      </c>
      <c r="B894">
        <f>Profile!A931</f>
        <v>0</v>
      </c>
      <c r="C894">
        <f>Profile!AP933</f>
        <v>0</v>
      </c>
      <c r="D894" t="str">
        <f>IF(Profile!C931="Profile",IF(Profile!A933="ResourceRequirement","OK","XXX"),"XXX")</f>
        <v>XXX</v>
      </c>
    </row>
    <row r="895" spans="1:4" x14ac:dyDescent="0.45">
      <c r="A895">
        <f>ROW()</f>
        <v>895</v>
      </c>
      <c r="B895" t="str">
        <f>Profile!A932</f>
        <v>TelemetryService (1.1.1)</v>
      </c>
      <c r="C895">
        <f>Profile!AP934</f>
        <v>61</v>
      </c>
      <c r="D895" t="str">
        <f>IF(Profile!C932="Profile",IF(Profile!A934="ResourceRequirement","OK","XXX"),"XXX")</f>
        <v>OK</v>
      </c>
    </row>
    <row r="896" spans="1:4" x14ac:dyDescent="0.45">
      <c r="A896">
        <f>ROW()</f>
        <v>896</v>
      </c>
      <c r="B896">
        <f>Profile!A933</f>
        <v>0</v>
      </c>
      <c r="C896">
        <f>Profile!AP935</f>
        <v>0</v>
      </c>
      <c r="D896" t="str">
        <f>IF(Profile!C933="Profile",IF(Profile!A935="ResourceRequirement","OK","XXX"),"XXX")</f>
        <v>XXX</v>
      </c>
    </row>
    <row r="897" spans="1:4" x14ac:dyDescent="0.45">
      <c r="A897">
        <f>ROW()</f>
        <v>897</v>
      </c>
      <c r="B897" t="str">
        <f>Profile!A934</f>
        <v>ResourceRequirement</v>
      </c>
      <c r="C897">
        <f>Profile!AP936</f>
        <v>0</v>
      </c>
      <c r="D897" t="str">
        <f>IF(Profile!C934="Profile",IF(Profile!A936="ResourceRequirement","OK","XXX"),"XXX")</f>
        <v>XXX</v>
      </c>
    </row>
    <row r="898" spans="1:4" x14ac:dyDescent="0.45">
      <c r="A898">
        <f>ROW()</f>
        <v>898</v>
      </c>
      <c r="B898" t="str">
        <f>Profile!A935</f>
        <v>Resource MinVersion</v>
      </c>
      <c r="C898">
        <f>Profile!AP937</f>
        <v>0</v>
      </c>
      <c r="D898" t="str">
        <f>IF(Profile!C935="Profile",IF(Profile!A937="ResourceRequirement","OK","XXX"),"XXX")</f>
        <v>XXX</v>
      </c>
    </row>
    <row r="899" spans="1:4" x14ac:dyDescent="0.45">
      <c r="A899">
        <f>ROW()</f>
        <v>899</v>
      </c>
      <c r="B899" t="str">
        <f>Profile!A936</f>
        <v>Property</v>
      </c>
      <c r="C899">
        <f>Profile!AP938</f>
        <v>0</v>
      </c>
      <c r="D899" t="str">
        <f>IF(Profile!C936="Profile",IF(Profile!A938="ResourceRequirement","OK","XXX"),"XXX")</f>
        <v>XXX</v>
      </c>
    </row>
    <row r="900" spans="1:4" x14ac:dyDescent="0.45">
      <c r="A900">
        <f>ROW()</f>
        <v>900</v>
      </c>
      <c r="B900" t="str">
        <f>Profile!A937</f>
        <v>Actions</v>
      </c>
      <c r="C900">
        <f>Profile!AP939</f>
        <v>0</v>
      </c>
      <c r="D900" t="str">
        <f>IF(Profile!C937="Profile",IF(Profile!A939="ResourceRequirement","OK","XXX"),"XXX")</f>
        <v>XXX</v>
      </c>
    </row>
    <row r="901" spans="1:4" x14ac:dyDescent="0.45">
      <c r="A901">
        <f>ROW()</f>
        <v>901</v>
      </c>
      <c r="B901" t="str">
        <f>Profile!A938</f>
        <v xml:space="preserve">   #TelemetryService.SubmitTestMetricReport</v>
      </c>
      <c r="C901">
        <f>Profile!AP940</f>
        <v>0</v>
      </c>
      <c r="D901" t="str">
        <f>IF(Profile!C938="Profile",IF(Profile!A940="ResourceRequirement","OK","XXX"),"XXX")</f>
        <v>XXX</v>
      </c>
    </row>
    <row r="902" spans="1:4" x14ac:dyDescent="0.45">
      <c r="A902">
        <f>ROW()</f>
        <v>902</v>
      </c>
      <c r="B902" t="str">
        <f>Profile!A939</f>
        <v>LogService</v>
      </c>
      <c r="C902">
        <f>Profile!AP941</f>
        <v>0</v>
      </c>
      <c r="D902" t="str">
        <f>IF(Profile!C939="Profile",IF(Profile!A941="ResourceRequirement","OK","XXX"),"XXX")</f>
        <v>XXX</v>
      </c>
    </row>
    <row r="903" spans="1:4" x14ac:dyDescent="0.45">
      <c r="A903">
        <f>ROW()</f>
        <v>903</v>
      </c>
      <c r="B903" t="str">
        <f>Profile!A940</f>
        <v xml:space="preserve">   @odata.id</v>
      </c>
      <c r="C903">
        <f>Profile!AP942</f>
        <v>0</v>
      </c>
      <c r="D903" t="str">
        <f>IF(Profile!C940="Profile",IF(Profile!A942="ResourceRequirement","OK","XXX"),"XXX")</f>
        <v>XXX</v>
      </c>
    </row>
    <row r="904" spans="1:4" x14ac:dyDescent="0.45">
      <c r="A904">
        <f>ROW()</f>
        <v>904</v>
      </c>
      <c r="B904" t="str">
        <f>Profile!A941</f>
        <v>MaxReports</v>
      </c>
      <c r="C904">
        <f>Profile!AP943</f>
        <v>0</v>
      </c>
      <c r="D904" t="str">
        <f>IF(Profile!C941="Profile",IF(Profile!A943="ResourceRequirement","OK","XXX"),"XXX")</f>
        <v>XXX</v>
      </c>
    </row>
    <row r="905" spans="1:4" x14ac:dyDescent="0.45">
      <c r="A905">
        <f>ROW()</f>
        <v>905</v>
      </c>
      <c r="B905" t="str">
        <f>Profile!A942</f>
        <v>MetricDefinitions</v>
      </c>
      <c r="C905">
        <f>Profile!AP944</f>
        <v>0</v>
      </c>
      <c r="D905" t="str">
        <f>IF(Profile!C942="Profile",IF(Profile!A944="ResourceRequirement","OK","XXX"),"XXX")</f>
        <v>XXX</v>
      </c>
    </row>
    <row r="906" spans="1:4" x14ac:dyDescent="0.45">
      <c r="A906">
        <f>ROW()</f>
        <v>906</v>
      </c>
      <c r="B906" t="str">
        <f>Profile!A943</f>
        <v xml:space="preserve">   @odata.id</v>
      </c>
      <c r="C906">
        <f>Profile!AP945</f>
        <v>0</v>
      </c>
      <c r="D906" t="str">
        <f>IF(Profile!C943="Profile",IF(Profile!A945="ResourceRequirement","OK","XXX"),"XXX")</f>
        <v>XXX</v>
      </c>
    </row>
    <row r="907" spans="1:4" x14ac:dyDescent="0.45">
      <c r="A907">
        <f>ROW()</f>
        <v>907</v>
      </c>
      <c r="B907" t="str">
        <f>Profile!A944</f>
        <v>MetricReportDefinitions</v>
      </c>
      <c r="C907">
        <f>Profile!AP946</f>
        <v>0</v>
      </c>
      <c r="D907" t="str">
        <f>IF(Profile!C944="Profile",IF(Profile!A946="ResourceRequirement","OK","XXX"),"XXX")</f>
        <v>XXX</v>
      </c>
    </row>
    <row r="908" spans="1:4" x14ac:dyDescent="0.45">
      <c r="A908">
        <f>ROW()</f>
        <v>908</v>
      </c>
      <c r="B908" t="str">
        <f>Profile!A945</f>
        <v xml:space="preserve">   @odata.id</v>
      </c>
      <c r="C908">
        <f>Profile!AP947</f>
        <v>0</v>
      </c>
      <c r="D908" t="str">
        <f>IF(Profile!C945="Profile",IF(Profile!A947="ResourceRequirement","OK","XXX"),"XXX")</f>
        <v>XXX</v>
      </c>
    </row>
    <row r="909" spans="1:4" x14ac:dyDescent="0.45">
      <c r="A909">
        <f>ROW()</f>
        <v>909</v>
      </c>
      <c r="B909" t="str">
        <f>Profile!A946</f>
        <v>MetricReports</v>
      </c>
      <c r="C909">
        <f>Profile!AP948</f>
        <v>0</v>
      </c>
      <c r="D909" t="str">
        <f>IF(Profile!C946="Profile",IF(Profile!A948="ResourceRequirement","OK","XXX"),"XXX")</f>
        <v>XXX</v>
      </c>
    </row>
    <row r="910" spans="1:4" x14ac:dyDescent="0.45">
      <c r="A910">
        <f>ROW()</f>
        <v>910</v>
      </c>
      <c r="B910" t="str">
        <f>Profile!A947</f>
        <v xml:space="preserve">   @odata.id</v>
      </c>
      <c r="C910">
        <f>Profile!AP949</f>
        <v>0</v>
      </c>
      <c r="D910" t="str">
        <f>IF(Profile!C947="Profile",IF(Profile!A949="ResourceRequirement","OK","XXX"),"XXX")</f>
        <v>XXX</v>
      </c>
    </row>
    <row r="911" spans="1:4" x14ac:dyDescent="0.45">
      <c r="A911">
        <f>ROW()</f>
        <v>911</v>
      </c>
      <c r="B911" t="str">
        <f>Profile!A948</f>
        <v>MinCollectionInterval</v>
      </c>
      <c r="C911">
        <f>Profile!AP952</f>
        <v>0</v>
      </c>
      <c r="D911" t="str">
        <f>IF(Profile!C948="Profile",IF(Profile!A952="ResourceRequirement","OK","XXX"),"XXX")</f>
        <v>XXX</v>
      </c>
    </row>
    <row r="912" spans="1:4" x14ac:dyDescent="0.45">
      <c r="A912">
        <f>ROW()</f>
        <v>912</v>
      </c>
      <c r="B912" t="str">
        <f>Profile!A949</f>
        <v>Status</v>
      </c>
      <c r="C912">
        <f>Profile!AP953</f>
        <v>0</v>
      </c>
      <c r="D912" t="str">
        <f>IF(Profile!C949="Profile",IF(Profile!A953="ResourceRequirement","OK","XXX"),"XXX")</f>
        <v>XXX</v>
      </c>
    </row>
    <row r="913" spans="1:4" x14ac:dyDescent="0.45">
      <c r="A913">
        <f>ROW()</f>
        <v>913</v>
      </c>
      <c r="B913" t="str">
        <f>Profile!A952</f>
        <v>SupportedCollectionFunctions</v>
      </c>
      <c r="C913">
        <f>Profile!AP954</f>
        <v>0</v>
      </c>
      <c r="D913" t="str">
        <f>IF(Profile!C952="Profile",IF(Profile!A954="ResourceRequirement","OK","XXX"),"XXX")</f>
        <v>XXX</v>
      </c>
    </row>
    <row r="914" spans="1:4" x14ac:dyDescent="0.45">
      <c r="A914">
        <f>ROW()</f>
        <v>914</v>
      </c>
      <c r="B914" t="str">
        <f>Profile!A953</f>
        <v>Triggers</v>
      </c>
      <c r="C914">
        <f>Profile!AP955</f>
        <v>0</v>
      </c>
      <c r="D914" t="str">
        <f>IF(Profile!C953="Profile",IF(Profile!A955="ResourceRequirement","OK","XXX"),"XXX")</f>
        <v>XXX</v>
      </c>
    </row>
    <row r="915" spans="1:4" x14ac:dyDescent="0.45">
      <c r="A915">
        <f>ROW()</f>
        <v>915</v>
      </c>
      <c r="B915" t="str">
        <f>Profile!A954</f>
        <v xml:space="preserve">   @odata.id</v>
      </c>
      <c r="C915">
        <f>Profile!AP956</f>
        <v>0</v>
      </c>
      <c r="D915" t="str">
        <f>IF(Profile!C954="Profile",IF(Profile!A956="ResourceRequirement","OK","XXX"),"XXX")</f>
        <v>XXX</v>
      </c>
    </row>
    <row r="916" spans="1:4" x14ac:dyDescent="0.45">
      <c r="A916">
        <f>ROW()</f>
        <v>916</v>
      </c>
      <c r="B916" t="str">
        <f>Profile!A955</f>
        <v>TelemetryService URIs</v>
      </c>
      <c r="C916">
        <f>Profile!AP957</f>
        <v>0</v>
      </c>
      <c r="D916" t="str">
        <f>IF(Profile!C955="Profile",IF(Profile!A957="ResourceRequirement","OK","XXX"),"XXX")</f>
        <v>XXX</v>
      </c>
    </row>
    <row r="917" spans="1:4" x14ac:dyDescent="0.45">
      <c r="A917">
        <f>ROW()</f>
        <v>917</v>
      </c>
      <c r="B917" t="str">
        <f>Profile!A956</f>
        <v>/redfish/v1/TelemetryService</v>
      </c>
      <c r="C917">
        <f>Profile!AP958</f>
        <v>0</v>
      </c>
      <c r="D917" t="str">
        <f>IF(Profile!C956="Profile",IF(Profile!A958="ResourceRequirement","OK","XXX"),"XXX")</f>
        <v>XXX</v>
      </c>
    </row>
    <row r="918" spans="1:4" x14ac:dyDescent="0.45">
      <c r="A918">
        <f>ROW()</f>
        <v>918</v>
      </c>
      <c r="B918">
        <f>Profile!A957</f>
        <v>0</v>
      </c>
      <c r="C918">
        <f>Profile!AP959</f>
        <v>0</v>
      </c>
      <c r="D918" t="str">
        <f>IF(Profile!C957="Profile",IF(Profile!A959="ResourceRequirement","OK","XXX"),"XXX")</f>
        <v>XXX</v>
      </c>
    </row>
    <row r="919" spans="1:4" x14ac:dyDescent="0.45">
      <c r="A919">
        <f>ROW()</f>
        <v>919</v>
      </c>
      <c r="B919" t="str">
        <f>Profile!A958</f>
        <v>1.1.2.11            Triggers</v>
      </c>
      <c r="C919">
        <f>Profile!AP960</f>
        <v>0</v>
      </c>
      <c r="D919" t="str">
        <f>IF(Profile!C958="Profile",IF(Profile!A960="ResourceRequirement","OK","XXX"),"XXX")</f>
        <v>XXX</v>
      </c>
    </row>
    <row r="920" spans="1:4" x14ac:dyDescent="0.45">
      <c r="A920">
        <f>ROW()</f>
        <v>920</v>
      </c>
      <c r="B920" t="str">
        <f>Profile!A959</f>
        <v>The Triggers resource specifies triggers and conditions.</v>
      </c>
      <c r="C920">
        <f>Profile!AP961</f>
        <v>0</v>
      </c>
      <c r="D920" t="str">
        <f>IF(Profile!C959="Profile",IF(Profile!A961="ResourceRequirement","OK","XXX"),"XXX")</f>
        <v>XXX</v>
      </c>
    </row>
    <row r="921" spans="1:4" x14ac:dyDescent="0.45">
      <c r="A921">
        <f>ROW()</f>
        <v>921</v>
      </c>
      <c r="B921" t="str">
        <f>Profile!A960</f>
        <v>Table 31: O-PAS Profile Map for the Redfish Triggers Resource</v>
      </c>
      <c r="C921">
        <f>Profile!AP962</f>
        <v>0</v>
      </c>
      <c r="D921" t="str">
        <f>IF(Profile!C960="Profile",IF(Profile!A962="ResourceRequirement","OK","XXX"),"XXX")</f>
        <v>XXX</v>
      </c>
    </row>
    <row r="922" spans="1:4" x14ac:dyDescent="0.45">
      <c r="A922">
        <f>ROW()</f>
        <v>922</v>
      </c>
      <c r="B922" t="str">
        <f>Profile!A961</f>
        <v>Triggers (1.0.0)</v>
      </c>
      <c r="C922">
        <f>Profile!AP963</f>
        <v>0</v>
      </c>
      <c r="D922" t="str">
        <f>IF(Profile!C961="Profile",IF(Profile!A963="ResourceRequirement","OK","XXX"),"XXX")</f>
        <v>XXX</v>
      </c>
    </row>
    <row r="923" spans="1:4" x14ac:dyDescent="0.45">
      <c r="A923">
        <f>ROW()</f>
        <v>923</v>
      </c>
      <c r="B923">
        <f>Profile!A962</f>
        <v>0</v>
      </c>
      <c r="C923">
        <f>Profile!AP964</f>
        <v>0</v>
      </c>
      <c r="D923" t="str">
        <f>IF(Profile!C962="Profile",IF(Profile!A964="ResourceRequirement","OK","XXX"),"XXX")</f>
        <v>XXX</v>
      </c>
    </row>
    <row r="924" spans="1:4" x14ac:dyDescent="0.45">
      <c r="A924">
        <f>ROW()</f>
        <v>924</v>
      </c>
      <c r="B924" t="str">
        <f>Profile!A963</f>
        <v>Triggers (1.1.0)</v>
      </c>
      <c r="C924">
        <f>Profile!AP965</f>
        <v>63</v>
      </c>
      <c r="D924" t="str">
        <f>IF(Profile!C963="Profile",IF(Profile!A965="ResourceRequirement","OK","XXX"),"XXX")</f>
        <v>OK</v>
      </c>
    </row>
    <row r="925" spans="1:4" x14ac:dyDescent="0.45">
      <c r="A925">
        <f>ROW()</f>
        <v>925</v>
      </c>
      <c r="B925">
        <f>Profile!A964</f>
        <v>0</v>
      </c>
      <c r="C925">
        <f>Profile!AP966</f>
        <v>0</v>
      </c>
      <c r="D925" t="str">
        <f>IF(Profile!C964="Profile",IF(Profile!A966="ResourceRequirement","OK","XXX"),"XXX")</f>
        <v>XXX</v>
      </c>
    </row>
    <row r="926" spans="1:4" x14ac:dyDescent="0.45">
      <c r="A926">
        <f>ROW()</f>
        <v>926</v>
      </c>
      <c r="B926" t="str">
        <f>Profile!A965</f>
        <v>ResourceRequirement</v>
      </c>
      <c r="C926">
        <f>Profile!AP967</f>
        <v>0</v>
      </c>
      <c r="D926" t="str">
        <f>IF(Profile!C965="Profile",IF(Profile!A967="ResourceRequirement","OK","XXX"),"XXX")</f>
        <v>XXX</v>
      </c>
    </row>
    <row r="927" spans="1:4" x14ac:dyDescent="0.45">
      <c r="A927">
        <f>ROW()</f>
        <v>927</v>
      </c>
      <c r="B927" t="str">
        <f>Profile!A966</f>
        <v>Resource MinVersion</v>
      </c>
      <c r="C927">
        <f>Profile!AP968</f>
        <v>0</v>
      </c>
      <c r="D927" t="str">
        <f>IF(Profile!C966="Profile",IF(Profile!A968="ResourceRequirement","OK","XXX"),"XXX")</f>
        <v>XXX</v>
      </c>
    </row>
    <row r="928" spans="1:4" x14ac:dyDescent="0.45">
      <c r="A928">
        <f>ROW()</f>
        <v>928</v>
      </c>
      <c r="B928" t="str">
        <f>Profile!A967</f>
        <v>Property</v>
      </c>
      <c r="C928">
        <f>Profile!AP969</f>
        <v>0</v>
      </c>
      <c r="D928" t="str">
        <f>IF(Profile!C967="Profile",IF(Profile!A969="ResourceRequirement","OK","XXX"),"XXX")</f>
        <v>XXX</v>
      </c>
    </row>
    <row r="929" spans="1:4" x14ac:dyDescent="0.45">
      <c r="A929">
        <f>ROW()</f>
        <v>929</v>
      </c>
      <c r="B929" t="str">
        <f>Profile!A968</f>
        <v>Actions</v>
      </c>
      <c r="C929">
        <f>Profile!AP970</f>
        <v>0</v>
      </c>
      <c r="D929" t="str">
        <f>IF(Profile!C968="Profile",IF(Profile!A970="ResourceRequirement","OK","XXX"),"XXX")</f>
        <v>XXX</v>
      </c>
    </row>
    <row r="930" spans="1:4" x14ac:dyDescent="0.45">
      <c r="A930">
        <f>ROW()</f>
        <v>930</v>
      </c>
      <c r="B930" t="str">
        <f>Profile!A969</f>
        <v>DiscreteTriggerCondition</v>
      </c>
      <c r="C930">
        <f>Profile!AP971</f>
        <v>0</v>
      </c>
      <c r="D930" t="str">
        <f>IF(Profile!C969="Profile",IF(Profile!A971="ResourceRequirement","OK","XXX"),"XXX")</f>
        <v>XXX</v>
      </c>
    </row>
    <row r="931" spans="1:4" x14ac:dyDescent="0.45">
      <c r="A931">
        <f>ROW()</f>
        <v>931</v>
      </c>
      <c r="B931" t="str">
        <f>Profile!A970</f>
        <v>DiscreteTriggers</v>
      </c>
      <c r="C931">
        <f>Profile!AP972</f>
        <v>0</v>
      </c>
      <c r="D931" t="str">
        <f>IF(Profile!C970="Profile",IF(Profile!A972="ResourceRequirement","OK","XXX"),"XXX")</f>
        <v>XXX</v>
      </c>
    </row>
    <row r="932" spans="1:4" x14ac:dyDescent="0.45">
      <c r="A932">
        <f>ROW()</f>
        <v>932</v>
      </c>
      <c r="B932" t="str">
        <f>Profile!A971</f>
        <v xml:space="preserve">   DwellTime</v>
      </c>
      <c r="C932">
        <f>Profile!AP973</f>
        <v>0</v>
      </c>
      <c r="D932" t="str">
        <f>IF(Profile!C971="Profile",IF(Profile!A973="ResourceRequirement","OK","XXX"),"XXX")</f>
        <v>XXX</v>
      </c>
    </row>
    <row r="933" spans="1:4" x14ac:dyDescent="0.45">
      <c r="A933">
        <f>ROW()</f>
        <v>933</v>
      </c>
      <c r="B933" t="str">
        <f>Profile!A972</f>
        <v xml:space="preserve">   Name</v>
      </c>
      <c r="C933">
        <f>Profile!AP974</f>
        <v>0</v>
      </c>
      <c r="D933" t="str">
        <f>IF(Profile!C972="Profile",IF(Profile!A974="ResourceRequirement","OK","XXX"),"XXX")</f>
        <v>XXX</v>
      </c>
    </row>
    <row r="934" spans="1:4" x14ac:dyDescent="0.45">
      <c r="A934">
        <f>ROW()</f>
        <v>934</v>
      </c>
      <c r="B934" t="str">
        <f>Profile!A973</f>
        <v xml:space="preserve">   Severity</v>
      </c>
      <c r="C934">
        <f>Profile!AP975</f>
        <v>0</v>
      </c>
      <c r="D934" t="str">
        <f>IF(Profile!C973="Profile",IF(Profile!A975="ResourceRequirement","OK","XXX"),"XXX")</f>
        <v>XXX</v>
      </c>
    </row>
    <row r="935" spans="1:4" x14ac:dyDescent="0.45">
      <c r="A935">
        <f>ROW()</f>
        <v>935</v>
      </c>
      <c r="B935" t="str">
        <f>Profile!A974</f>
        <v xml:space="preserve">   Value</v>
      </c>
      <c r="C935">
        <f>Profile!AP976</f>
        <v>0</v>
      </c>
      <c r="D935" t="str">
        <f>IF(Profile!C974="Profile",IF(Profile!A976="ResourceRequirement","OK","XXX"),"XXX")</f>
        <v>XXX</v>
      </c>
    </row>
    <row r="936" spans="1:4" x14ac:dyDescent="0.45">
      <c r="A936">
        <f>ROW()</f>
        <v>936</v>
      </c>
      <c r="B936" t="str">
        <f>Profile!A975</f>
        <v>EventTriggers</v>
      </c>
      <c r="C936">
        <f>Profile!AP977</f>
        <v>0</v>
      </c>
      <c r="D936" t="str">
        <f>IF(Profile!C975="Profile",IF(Profile!A977="ResourceRequirement","OK","XXX"),"XXX")</f>
        <v>XXX</v>
      </c>
    </row>
    <row r="937" spans="1:4" x14ac:dyDescent="0.45">
      <c r="A937">
        <f>ROW()</f>
        <v>937</v>
      </c>
      <c r="B937" t="str">
        <f>Profile!A976</f>
        <v>Links</v>
      </c>
      <c r="C937">
        <f>Profile!AP978</f>
        <v>0</v>
      </c>
      <c r="D937" t="str">
        <f>IF(Profile!C976="Profile",IF(Profile!A978="ResourceRequirement","OK","XXX"),"XXX")</f>
        <v>XXX</v>
      </c>
    </row>
    <row r="938" spans="1:4" x14ac:dyDescent="0.45">
      <c r="A938">
        <f>ROW()</f>
        <v>938</v>
      </c>
      <c r="B938" t="str">
        <f>Profile!A977</f>
        <v xml:space="preserve">   MetricReportDefinitions</v>
      </c>
      <c r="C938">
        <f>Profile!AP979</f>
        <v>0</v>
      </c>
      <c r="D938" t="str">
        <f>IF(Profile!C977="Profile",IF(Profile!A979="ResourceRequirement","OK","XXX"),"XXX")</f>
        <v>XXX</v>
      </c>
    </row>
    <row r="939" spans="1:4" x14ac:dyDescent="0.45">
      <c r="A939">
        <f>ROW()</f>
        <v>939</v>
      </c>
      <c r="B939" t="str">
        <f>Profile!A978</f>
        <v xml:space="preserve">      @odata.id</v>
      </c>
      <c r="C939">
        <f>Profile!AP980</f>
        <v>0</v>
      </c>
      <c r="D939" t="str">
        <f>IF(Profile!C978="Profile",IF(Profile!A980="ResourceRequirement","OK","XXX"),"XXX")</f>
        <v>XXX</v>
      </c>
    </row>
    <row r="940" spans="1:4" x14ac:dyDescent="0.45">
      <c r="A940">
        <f>ROW()</f>
        <v>940</v>
      </c>
      <c r="B940" t="str">
        <f>Profile!A979</f>
        <v xml:space="preserve">   Oem</v>
      </c>
      <c r="C940">
        <f>Profile!AP981</f>
        <v>0</v>
      </c>
      <c r="D940" t="str">
        <f>IF(Profile!C979="Profile",IF(Profile!A981="ResourceRequirement","OK","XXX"),"XXX")</f>
        <v>XXX</v>
      </c>
    </row>
    <row r="941" spans="1:4" x14ac:dyDescent="0.45">
      <c r="A941">
        <f>ROW()</f>
        <v>941</v>
      </c>
      <c r="B941" t="str">
        <f>Profile!A980</f>
        <v>MetricProperties</v>
      </c>
      <c r="C941">
        <f>Profile!AP982</f>
        <v>0</v>
      </c>
      <c r="D941" t="str">
        <f>IF(Profile!C980="Profile",IF(Profile!A982="ResourceRequirement","OK","XXX"),"XXX")</f>
        <v>XXX</v>
      </c>
    </row>
    <row r="942" spans="1:4" x14ac:dyDescent="0.45">
      <c r="A942">
        <f>ROW()</f>
        <v>942</v>
      </c>
      <c r="B942" t="str">
        <f>Profile!A981</f>
        <v>MetricType</v>
      </c>
      <c r="C942">
        <f>Profile!AP983</f>
        <v>0</v>
      </c>
      <c r="D942" t="str">
        <f>IF(Profile!C981="Profile",IF(Profile!A983="ResourceRequirement","OK","XXX"),"XXX")</f>
        <v>XXX</v>
      </c>
    </row>
    <row r="943" spans="1:4" x14ac:dyDescent="0.45">
      <c r="A943">
        <f>ROW()</f>
        <v>943</v>
      </c>
      <c r="B943" t="str">
        <f>Profile!A982</f>
        <v>NumericThresholds</v>
      </c>
      <c r="C943">
        <f>Profile!AP984</f>
        <v>0</v>
      </c>
      <c r="D943" t="str">
        <f>IF(Profile!C982="Profile",IF(Profile!A984="ResourceRequirement","OK","XXX"),"XXX")</f>
        <v>XXX</v>
      </c>
    </row>
    <row r="944" spans="1:4" x14ac:dyDescent="0.45">
      <c r="A944">
        <f>ROW()</f>
        <v>944</v>
      </c>
      <c r="B944" t="str">
        <f>Profile!A983</f>
        <v xml:space="preserve">   LowerCritical</v>
      </c>
      <c r="C944">
        <f>Profile!AP985</f>
        <v>0</v>
      </c>
      <c r="D944" t="str">
        <f>IF(Profile!C983="Profile",IF(Profile!A985="ResourceRequirement","OK","XXX"),"XXX")</f>
        <v>XXX</v>
      </c>
    </row>
    <row r="945" spans="1:4" x14ac:dyDescent="0.45">
      <c r="A945">
        <f>ROW()</f>
        <v>945</v>
      </c>
      <c r="B945" t="str">
        <f>Profile!A984</f>
        <v xml:space="preserve">      Activation</v>
      </c>
      <c r="C945">
        <f>Profile!AP986</f>
        <v>0</v>
      </c>
      <c r="D945" t="str">
        <f>IF(Profile!C984="Profile",IF(Profile!A986="ResourceRequirement","OK","XXX"),"XXX")</f>
        <v>XXX</v>
      </c>
    </row>
    <row r="946" spans="1:4" x14ac:dyDescent="0.45">
      <c r="A946">
        <f>ROW()</f>
        <v>946</v>
      </c>
      <c r="B946" t="str">
        <f>Profile!A985</f>
        <v xml:space="preserve">      DwellTime</v>
      </c>
      <c r="C946">
        <f>Profile!AP987</f>
        <v>0</v>
      </c>
      <c r="D946" t="str">
        <f>IF(Profile!C985="Profile",IF(Profile!A987="ResourceRequirement","OK","XXX"),"XXX")</f>
        <v>XXX</v>
      </c>
    </row>
    <row r="947" spans="1:4" x14ac:dyDescent="0.45">
      <c r="A947">
        <f>ROW()</f>
        <v>947</v>
      </c>
      <c r="B947" t="str">
        <f>Profile!A986</f>
        <v xml:space="preserve">      Reading</v>
      </c>
      <c r="C947">
        <f>Profile!AP988</f>
        <v>0</v>
      </c>
      <c r="D947" t="str">
        <f>IF(Profile!C986="Profile",IF(Profile!A988="ResourceRequirement","OK","XXX"),"XXX")</f>
        <v>XXX</v>
      </c>
    </row>
    <row r="948" spans="1:4" x14ac:dyDescent="0.45">
      <c r="A948">
        <f>ROW()</f>
        <v>948</v>
      </c>
      <c r="B948" t="str">
        <f>Profile!A987</f>
        <v xml:space="preserve">   LowerWarning</v>
      </c>
      <c r="C948">
        <f>Profile!AP989</f>
        <v>0</v>
      </c>
      <c r="D948" t="str">
        <f>IF(Profile!C987="Profile",IF(Profile!A989="ResourceRequirement","OK","XXX"),"XXX")</f>
        <v>XXX</v>
      </c>
    </row>
    <row r="949" spans="1:4" x14ac:dyDescent="0.45">
      <c r="A949">
        <f>ROW()</f>
        <v>949</v>
      </c>
      <c r="B949" t="str">
        <f>Profile!A988</f>
        <v xml:space="preserve">      Activation</v>
      </c>
      <c r="C949">
        <f>Profile!AP990</f>
        <v>0</v>
      </c>
      <c r="D949" t="str">
        <f>IF(Profile!C988="Profile",IF(Profile!A990="ResourceRequirement","OK","XXX"),"XXX")</f>
        <v>XXX</v>
      </c>
    </row>
    <row r="950" spans="1:4" x14ac:dyDescent="0.45">
      <c r="A950">
        <f>ROW()</f>
        <v>950</v>
      </c>
      <c r="B950" t="str">
        <f>Profile!A989</f>
        <v xml:space="preserve">      DwellTime</v>
      </c>
      <c r="C950">
        <f>Profile!AP991</f>
        <v>0</v>
      </c>
      <c r="D950" t="str">
        <f>IF(Profile!C989="Profile",IF(Profile!A991="ResourceRequirement","OK","XXX"),"XXX")</f>
        <v>XXX</v>
      </c>
    </row>
    <row r="951" spans="1:4" x14ac:dyDescent="0.45">
      <c r="A951">
        <f>ROW()</f>
        <v>951</v>
      </c>
      <c r="B951" t="str">
        <f>Profile!A990</f>
        <v xml:space="preserve">      Reading</v>
      </c>
      <c r="C951">
        <f>Profile!AP992</f>
        <v>0</v>
      </c>
      <c r="D951" t="str">
        <f>IF(Profile!C990="Profile",IF(Profile!A992="ResourceRequirement","OK","XXX"),"XXX")</f>
        <v>XXX</v>
      </c>
    </row>
    <row r="952" spans="1:4" x14ac:dyDescent="0.45">
      <c r="A952">
        <f>ROW()</f>
        <v>952</v>
      </c>
      <c r="B952" t="str">
        <f>Profile!A991</f>
        <v xml:space="preserve">   UpperCritical</v>
      </c>
      <c r="C952">
        <f>Profile!AP993</f>
        <v>0</v>
      </c>
      <c r="D952" t="str">
        <f>IF(Profile!C991="Profile",IF(Profile!A993="ResourceRequirement","OK","XXX"),"XXX")</f>
        <v>XXX</v>
      </c>
    </row>
    <row r="953" spans="1:4" x14ac:dyDescent="0.45">
      <c r="A953">
        <f>ROW()</f>
        <v>953</v>
      </c>
      <c r="B953" t="str">
        <f>Profile!A992</f>
        <v xml:space="preserve">      Activation</v>
      </c>
      <c r="C953">
        <f>Profile!AP994</f>
        <v>0</v>
      </c>
      <c r="D953" t="str">
        <f>IF(Profile!C992="Profile",IF(Profile!A994="ResourceRequirement","OK","XXX"),"XXX")</f>
        <v>XXX</v>
      </c>
    </row>
    <row r="954" spans="1:4" x14ac:dyDescent="0.45">
      <c r="A954">
        <f>ROW()</f>
        <v>954</v>
      </c>
      <c r="B954" t="str">
        <f>Profile!A993</f>
        <v xml:space="preserve">      DwellTime</v>
      </c>
      <c r="C954">
        <f>Profile!AP995</f>
        <v>0</v>
      </c>
      <c r="D954" t="str">
        <f>IF(Profile!C993="Profile",IF(Profile!A995="ResourceRequirement","OK","XXX"),"XXX")</f>
        <v>XXX</v>
      </c>
    </row>
    <row r="955" spans="1:4" x14ac:dyDescent="0.45">
      <c r="A955">
        <f>ROW()</f>
        <v>955</v>
      </c>
      <c r="B955" t="str">
        <f>Profile!A994</f>
        <v xml:space="preserve">      Reading</v>
      </c>
      <c r="C955">
        <f>Profile!AP996</f>
        <v>0</v>
      </c>
      <c r="D955" t="str">
        <f>IF(Profile!C994="Profile",IF(Profile!A996="ResourceRequirement","OK","XXX"),"XXX")</f>
        <v>XXX</v>
      </c>
    </row>
    <row r="956" spans="1:4" x14ac:dyDescent="0.45">
      <c r="A956">
        <f>ROW()</f>
        <v>956</v>
      </c>
      <c r="B956" t="str">
        <f>Profile!A995</f>
        <v xml:space="preserve">   UpperWarning</v>
      </c>
      <c r="C956">
        <f>Profile!AP997</f>
        <v>0</v>
      </c>
      <c r="D956" t="str">
        <f>IF(Profile!C995="Profile",IF(Profile!A997="ResourceRequirement","OK","XXX"),"XXX")</f>
        <v>XXX</v>
      </c>
    </row>
    <row r="957" spans="1:4" x14ac:dyDescent="0.45">
      <c r="A957">
        <f>ROW()</f>
        <v>957</v>
      </c>
      <c r="B957" t="str">
        <f>Profile!A996</f>
        <v xml:space="preserve">      Activation</v>
      </c>
      <c r="C957">
        <f>Profile!AP998</f>
        <v>0</v>
      </c>
      <c r="D957" t="str">
        <f>IF(Profile!C996="Profile",IF(Profile!A998="ResourceRequirement","OK","XXX"),"XXX")</f>
        <v>XXX</v>
      </c>
    </row>
    <row r="958" spans="1:4" x14ac:dyDescent="0.45">
      <c r="A958">
        <f>ROW()</f>
        <v>958</v>
      </c>
      <c r="B958" t="str">
        <f>Profile!A997</f>
        <v xml:space="preserve">      DwellTime</v>
      </c>
      <c r="C958">
        <f>Profile!AP999</f>
        <v>0</v>
      </c>
      <c r="D958" t="str">
        <f>IF(Profile!C997="Profile",IF(Profile!A999="ResourceRequirement","OK","XXX"),"XXX")</f>
        <v>XXX</v>
      </c>
    </row>
    <row r="959" spans="1:4" x14ac:dyDescent="0.45">
      <c r="A959">
        <f>ROW()</f>
        <v>959</v>
      </c>
      <c r="B959" t="str">
        <f>Profile!A998</f>
        <v xml:space="preserve">      Reading</v>
      </c>
      <c r="C959">
        <f>Profile!AP1002</f>
        <v>0</v>
      </c>
      <c r="D959" t="str">
        <f>IF(Profile!C998="Profile",IF(Profile!A1002="ResourceRequirement","OK","XXX"),"XXX")</f>
        <v>XXX</v>
      </c>
    </row>
    <row r="960" spans="1:4" x14ac:dyDescent="0.45">
      <c r="A960">
        <f>ROW()</f>
        <v>960</v>
      </c>
      <c r="B960" t="str">
        <f>Profile!A999</f>
        <v>Status</v>
      </c>
      <c r="C960">
        <f>Profile!AP1003</f>
        <v>0</v>
      </c>
      <c r="D960" t="str">
        <f>IF(Profile!C999="Profile",IF(Profile!A1003="ResourceRequirement","OK","XXX"),"XXX")</f>
        <v>XXX</v>
      </c>
    </row>
    <row r="961" spans="1:4" x14ac:dyDescent="0.45">
      <c r="A961">
        <f>ROW()</f>
        <v>961</v>
      </c>
      <c r="B961" t="str">
        <f>Profile!A1002</f>
        <v>TriggerActions</v>
      </c>
      <c r="C961">
        <f>Profile!AP1004</f>
        <v>0</v>
      </c>
      <c r="D961" t="str">
        <f>IF(Profile!C1002="Profile",IF(Profile!A1004="ResourceRequirement","OK","XXX"),"XXX")</f>
        <v>XXX</v>
      </c>
    </row>
    <row r="962" spans="1:4" x14ac:dyDescent="0.45">
      <c r="A962">
        <f>ROW()</f>
        <v>962</v>
      </c>
      <c r="B962" t="str">
        <f>Profile!A1003</f>
        <v>Wildcards</v>
      </c>
      <c r="C962">
        <f>Profile!AP1005</f>
        <v>0</v>
      </c>
      <c r="D962" t="str">
        <f>IF(Profile!C1003="Profile",IF(Profile!A1005="ResourceRequirement","OK","XXX"),"XXX")</f>
        <v>XXX</v>
      </c>
    </row>
    <row r="963" spans="1:4" x14ac:dyDescent="0.45">
      <c r="A963">
        <f>ROW()</f>
        <v>963</v>
      </c>
      <c r="B963" t="str">
        <f>Profile!A1004</f>
        <v xml:space="preserve">   Name</v>
      </c>
      <c r="C963">
        <f>Profile!AP1006</f>
        <v>0</v>
      </c>
      <c r="D963" t="str">
        <f>IF(Profile!C1004="Profile",IF(Profile!A1006="ResourceRequirement","OK","XXX"),"XXX")</f>
        <v>XXX</v>
      </c>
    </row>
    <row r="964" spans="1:4" x14ac:dyDescent="0.45">
      <c r="A964">
        <f>ROW()</f>
        <v>964</v>
      </c>
      <c r="B964" t="str">
        <f>Profile!A1005</f>
        <v xml:space="preserve">   Values</v>
      </c>
      <c r="C964">
        <f>Profile!AP1007</f>
        <v>0</v>
      </c>
      <c r="D964" t="str">
        <f>IF(Profile!C1005="Profile",IF(Profile!A1007="ResourceRequirement","OK","XXX"),"XXX")</f>
        <v>XXX</v>
      </c>
    </row>
    <row r="965" spans="1:4" x14ac:dyDescent="0.45">
      <c r="A965">
        <f>ROW()</f>
        <v>965</v>
      </c>
      <c r="B965" t="str">
        <f>Profile!A1006</f>
        <v>Triggers URIs</v>
      </c>
      <c r="C965">
        <f>Profile!AP1008</f>
        <v>0</v>
      </c>
      <c r="D965" t="str">
        <f>IF(Profile!C1006="Profile",IF(Profile!A1008="ResourceRequirement","OK","XXX"),"XXX")</f>
        <v>XXX</v>
      </c>
    </row>
    <row r="966" spans="1:4" x14ac:dyDescent="0.45">
      <c r="A966">
        <f>ROW()</f>
        <v>966</v>
      </c>
      <c r="B966" t="str">
        <f>Profile!A1007</f>
        <v>/redfish/v1/TelemetryService/Triggers/{TriggersId}</v>
      </c>
      <c r="C966">
        <f>Profile!AP1009</f>
        <v>0</v>
      </c>
      <c r="D966" t="str">
        <f>IF(Profile!C1007="Profile",IF(Profile!A1009="ResourceRequirement","OK","XXX"),"XXX")</f>
        <v>XXX</v>
      </c>
    </row>
    <row r="967" spans="1:4" x14ac:dyDescent="0.45">
      <c r="A967">
        <f>ROW()</f>
        <v>967</v>
      </c>
      <c r="B967">
        <f>Profile!A1008</f>
        <v>0</v>
      </c>
      <c r="C967">
        <f>Profile!AP1010</f>
        <v>0</v>
      </c>
      <c r="D967" t="str">
        <f>IF(Profile!C1008="Profile",IF(Profile!A1010="ResourceRequirement","OK","XXX"),"XXX")</f>
        <v>XXX</v>
      </c>
    </row>
    <row r="968" spans="1:4" x14ac:dyDescent="0.45">
      <c r="A968">
        <f>ROW()</f>
        <v>968</v>
      </c>
      <c r="B968" t="str">
        <f>Profile!A1009</f>
        <v>1.1.3                 Manager</v>
      </c>
      <c r="C968">
        <f>Profile!AP1011</f>
        <v>0</v>
      </c>
      <c r="D968" t="str">
        <f>IF(Profile!C1009="Profile",IF(Profile!A1011="ResourceRequirement","OK","XXX"),"XXX")</f>
        <v>XXX</v>
      </c>
    </row>
    <row r="969" spans="1:4" x14ac:dyDescent="0.45">
      <c r="A969">
        <f>ROW()</f>
        <v>969</v>
      </c>
      <c r="B969" t="str">
        <f>Profile!A1010</f>
        <v>1.1.3.1               HostInterface</v>
      </c>
      <c r="C969">
        <f>Profile!AP1012</f>
        <v>0</v>
      </c>
      <c r="D969" t="str">
        <f>IF(Profile!C1010="Profile",IF(Profile!A1012="ResourceRequirement","OK","XXX"),"XXX")</f>
        <v>XXX</v>
      </c>
    </row>
    <row r="970" spans="1:4" x14ac:dyDescent="0.45">
      <c r="A970">
        <f>ROW()</f>
        <v>970</v>
      </c>
      <c r="B970" t="str">
        <f>Profile!A1011</f>
        <v>A HostInterface provides Redfish resource access to the main compute OS of the device. There is only one HostInterface resource.</v>
      </c>
      <c r="C970">
        <f>Profile!AP1013</f>
        <v>0</v>
      </c>
      <c r="D970" t="str">
        <f>IF(Profile!C1011="Profile",IF(Profile!A1013="ResourceRequirement","OK","XXX"),"XXX")</f>
        <v>XXX</v>
      </c>
    </row>
    <row r="971" spans="1:4" x14ac:dyDescent="0.45">
      <c r="A971">
        <f>ROW()</f>
        <v>971</v>
      </c>
      <c r="B971" t="str">
        <f>Profile!A1012</f>
        <v>Table 32: O-PAS Profile Map for the Redfish HostInterface Resource</v>
      </c>
      <c r="C971">
        <f>Profile!AP1014</f>
        <v>0</v>
      </c>
      <c r="D971" t="str">
        <f>IF(Profile!C1012="Profile",IF(Profile!A1014="ResourceRequirement","OK","XXX"),"XXX")</f>
        <v>XXX</v>
      </c>
    </row>
    <row r="972" spans="1:4" x14ac:dyDescent="0.45">
      <c r="A972">
        <f>ROW()</f>
        <v>972</v>
      </c>
      <c r="B972" t="str">
        <f>Profile!A1013</f>
        <v>HostInterface (1.2.0)</v>
      </c>
      <c r="C972">
        <f>Profile!AP1015</f>
        <v>0</v>
      </c>
      <c r="D972" t="str">
        <f>IF(Profile!C1013="Profile",IF(Profile!A1015="ResourceRequirement","OK","XXX"),"XXX")</f>
        <v>XXX</v>
      </c>
    </row>
    <row r="973" spans="1:4" x14ac:dyDescent="0.45">
      <c r="A973">
        <f>ROW()</f>
        <v>973</v>
      </c>
      <c r="B973">
        <f>Profile!A1014</f>
        <v>0</v>
      </c>
      <c r="C973">
        <f>Profile!AP1016</f>
        <v>0</v>
      </c>
      <c r="D973" t="str">
        <f>IF(Profile!C1014="Profile",IF(Profile!A1016="ResourceRequirement","OK","XXX"),"XXX")</f>
        <v>XXX</v>
      </c>
    </row>
    <row r="974" spans="1:4" x14ac:dyDescent="0.45">
      <c r="A974">
        <f>ROW()</f>
        <v>974</v>
      </c>
      <c r="B974" t="str">
        <f>Profile!A1015</f>
        <v>HostInterface (1.2.1)</v>
      </c>
      <c r="C974">
        <f>Profile!AP1017</f>
        <v>20</v>
      </c>
      <c r="D974" t="str">
        <f>IF(Profile!C1015="Profile",IF(Profile!A1017="ResourceRequirement","OK","XXX"),"XXX")</f>
        <v>OK</v>
      </c>
    </row>
    <row r="975" spans="1:4" x14ac:dyDescent="0.45">
      <c r="A975">
        <f>ROW()</f>
        <v>975</v>
      </c>
      <c r="B975">
        <f>Profile!A1016</f>
        <v>0</v>
      </c>
      <c r="C975">
        <f>Profile!AP1018</f>
        <v>0</v>
      </c>
      <c r="D975" t="str">
        <f>IF(Profile!C1016="Profile",IF(Profile!A1018="ResourceRequirement","OK","XXX"),"XXX")</f>
        <v>XXX</v>
      </c>
    </row>
    <row r="976" spans="1:4" x14ac:dyDescent="0.45">
      <c r="A976">
        <f>ROW()</f>
        <v>976</v>
      </c>
      <c r="B976" t="str">
        <f>Profile!A1017</f>
        <v>ResourceRequirement</v>
      </c>
      <c r="C976">
        <f>Profile!AP1019</f>
        <v>0</v>
      </c>
      <c r="D976" t="str">
        <f>IF(Profile!C1017="Profile",IF(Profile!A1019="ResourceRequirement","OK","XXX"),"XXX")</f>
        <v>XXX</v>
      </c>
    </row>
    <row r="977" spans="1:4" x14ac:dyDescent="0.45">
      <c r="A977">
        <f>ROW()</f>
        <v>977</v>
      </c>
      <c r="B977" t="str">
        <f>Profile!A1018</f>
        <v>Resource MinVersion</v>
      </c>
      <c r="C977">
        <f>Profile!AP1020</f>
        <v>0</v>
      </c>
      <c r="D977" t="str">
        <f>IF(Profile!C1018="Profile",IF(Profile!A1020="ResourceRequirement","OK","XXX"),"XXX")</f>
        <v>XXX</v>
      </c>
    </row>
    <row r="978" spans="1:4" x14ac:dyDescent="0.45">
      <c r="A978">
        <f>ROW()</f>
        <v>978</v>
      </c>
      <c r="B978" t="str">
        <f>Profile!A1019</f>
        <v>Property</v>
      </c>
      <c r="C978">
        <f>Profile!AP1021</f>
        <v>0</v>
      </c>
      <c r="D978" t="str">
        <f>IF(Profile!C1019="Profile",IF(Profile!A1021="ResourceRequirement","OK","XXX"),"XXX")</f>
        <v>XXX</v>
      </c>
    </row>
    <row r="979" spans="1:4" x14ac:dyDescent="0.45">
      <c r="A979">
        <f>ROW()</f>
        <v>979</v>
      </c>
      <c r="B979" t="str">
        <f>Profile!A1020</f>
        <v>Actions</v>
      </c>
      <c r="C979">
        <f>Profile!AP1022</f>
        <v>0</v>
      </c>
      <c r="D979" t="str">
        <f>IF(Profile!C1020="Profile",IF(Profile!A1022="ResourceRequirement","OK","XXX"),"XXX")</f>
        <v>XXX</v>
      </c>
    </row>
    <row r="980" spans="1:4" x14ac:dyDescent="0.45">
      <c r="A980">
        <f>ROW()</f>
        <v>980</v>
      </c>
      <c r="B980" t="str">
        <f>Profile!A1021</f>
        <v>AuthenticationModes</v>
      </c>
      <c r="C980">
        <f>Profile!AP1023</f>
        <v>0</v>
      </c>
      <c r="D980" t="str">
        <f>IF(Profile!C1021="Profile",IF(Profile!A1023="ResourceRequirement","OK","XXX"),"XXX")</f>
        <v>XXX</v>
      </c>
    </row>
    <row r="981" spans="1:4" x14ac:dyDescent="0.45">
      <c r="A981">
        <f>ROW()</f>
        <v>981</v>
      </c>
      <c r="B981" t="str">
        <f>Profile!A1022</f>
        <v>AuthNoneRoleId</v>
      </c>
      <c r="C981">
        <f>Profile!AP1024</f>
        <v>0</v>
      </c>
      <c r="D981" t="str">
        <f>IF(Profile!C1022="Profile",IF(Profile!A1024="ResourceRequirement","OK","XXX"),"XXX")</f>
        <v>XXX</v>
      </c>
    </row>
    <row r="982" spans="1:4" x14ac:dyDescent="0.45">
      <c r="A982">
        <f>ROW()</f>
        <v>982</v>
      </c>
      <c r="B982" t="str">
        <f>Profile!A1023</f>
        <v>ExternallyAccessible</v>
      </c>
      <c r="C982">
        <f>Profile!AP1025</f>
        <v>0</v>
      </c>
      <c r="D982" t="str">
        <f>IF(Profile!C1023="Profile",IF(Profile!A1025="ResourceRequirement","OK","XXX"),"XXX")</f>
        <v>XXX</v>
      </c>
    </row>
    <row r="983" spans="1:4" x14ac:dyDescent="0.45">
      <c r="A983">
        <f>ROW()</f>
        <v>983</v>
      </c>
      <c r="B983" t="str">
        <f>Profile!A1024</f>
        <v>FirmwareAuthEnabled</v>
      </c>
      <c r="C983">
        <f>Profile!AP1026</f>
        <v>0</v>
      </c>
      <c r="D983" t="str">
        <f>IF(Profile!C1024="Profile",IF(Profile!A1026="ResourceRequirement","OK","XXX"),"XXX")</f>
        <v>XXX</v>
      </c>
    </row>
    <row r="984" spans="1:4" x14ac:dyDescent="0.45">
      <c r="A984">
        <f>ROW()</f>
        <v>984</v>
      </c>
      <c r="B984" t="str">
        <f>Profile!A1025</f>
        <v>FirmwareAuthRoleId</v>
      </c>
      <c r="C984">
        <f>Profile!AP1027</f>
        <v>0</v>
      </c>
      <c r="D984" t="str">
        <f>IF(Profile!C1025="Profile",IF(Profile!A1027="ResourceRequirement","OK","XXX"),"XXX")</f>
        <v>XXX</v>
      </c>
    </row>
    <row r="985" spans="1:4" x14ac:dyDescent="0.45">
      <c r="A985">
        <f>ROW()</f>
        <v>985</v>
      </c>
      <c r="B985" t="str">
        <f>Profile!A1026</f>
        <v>HostEthernetInterfaces</v>
      </c>
      <c r="C985">
        <f>Profile!AP1028</f>
        <v>0</v>
      </c>
      <c r="D985" t="str">
        <f>IF(Profile!C1026="Profile",IF(Profile!A1028="ResourceRequirement","OK","XXX"),"XXX")</f>
        <v>XXX</v>
      </c>
    </row>
    <row r="986" spans="1:4" x14ac:dyDescent="0.45">
      <c r="A986">
        <f>ROW()</f>
        <v>986</v>
      </c>
      <c r="B986" t="str">
        <f>Profile!A1027</f>
        <v xml:space="preserve">   @odata.id</v>
      </c>
      <c r="C986">
        <f>Profile!AP1029</f>
        <v>0</v>
      </c>
      <c r="D986" t="str">
        <f>IF(Profile!C1027="Profile",IF(Profile!A1029="ResourceRequirement","OK","XXX"),"XXX")</f>
        <v>XXX</v>
      </c>
    </row>
    <row r="987" spans="1:4" x14ac:dyDescent="0.45">
      <c r="A987">
        <f>ROW()</f>
        <v>987</v>
      </c>
      <c r="B987" t="str">
        <f>Profile!A1028</f>
        <v>HostInterfaceType</v>
      </c>
      <c r="C987">
        <f>Profile!AP1030</f>
        <v>0</v>
      </c>
      <c r="D987" t="str">
        <f>IF(Profile!C1028="Profile",IF(Profile!A1030="ResourceRequirement","OK","XXX"),"XXX")</f>
        <v>XXX</v>
      </c>
    </row>
    <row r="988" spans="1:4" x14ac:dyDescent="0.45">
      <c r="A988">
        <f>ROW()</f>
        <v>988</v>
      </c>
      <c r="B988" t="str">
        <f>Profile!A1029</f>
        <v>InterfaceEnabled</v>
      </c>
      <c r="C988">
        <f>Profile!AP1031</f>
        <v>0</v>
      </c>
      <c r="D988" t="str">
        <f>IF(Profile!C1029="Profile",IF(Profile!A1031="ResourceRequirement","OK","XXX"),"XXX")</f>
        <v>XXX</v>
      </c>
    </row>
    <row r="989" spans="1:4" x14ac:dyDescent="0.45">
      <c r="A989">
        <f>ROW()</f>
        <v>989</v>
      </c>
      <c r="B989" t="str">
        <f>Profile!A1030</f>
        <v>KernelAuthEnabled</v>
      </c>
      <c r="C989">
        <f>Profile!AP1032</f>
        <v>0</v>
      </c>
      <c r="D989" t="str">
        <f>IF(Profile!C1030="Profile",IF(Profile!A1032="ResourceRequirement","OK","XXX"),"XXX")</f>
        <v>XXX</v>
      </c>
    </row>
    <row r="990" spans="1:4" x14ac:dyDescent="0.45">
      <c r="A990">
        <f>ROW()</f>
        <v>990</v>
      </c>
      <c r="B990" t="str">
        <f>Profile!A1031</f>
        <v>KernelAuthRoleId</v>
      </c>
      <c r="C990">
        <f>Profile!AP1033</f>
        <v>0</v>
      </c>
      <c r="D990" t="str">
        <f>IF(Profile!C1031="Profile",IF(Profile!A1033="ResourceRequirement","OK","XXX"),"XXX")</f>
        <v>XXX</v>
      </c>
    </row>
    <row r="991" spans="1:4" x14ac:dyDescent="0.45">
      <c r="A991">
        <f>ROW()</f>
        <v>991</v>
      </c>
      <c r="B991" t="str">
        <f>Profile!A1032</f>
        <v>Links</v>
      </c>
      <c r="C991">
        <f>Profile!AP1034</f>
        <v>0</v>
      </c>
      <c r="D991" t="str">
        <f>IF(Profile!C1032="Profile",IF(Profile!A1034="ResourceRequirement","OK","XXX"),"XXX")</f>
        <v>XXX</v>
      </c>
    </row>
    <row r="992" spans="1:4" x14ac:dyDescent="0.45">
      <c r="A992">
        <f>ROW()</f>
        <v>992</v>
      </c>
      <c r="B992" t="str">
        <f>Profile!A1033</f>
        <v xml:space="preserve">   AuthNoneRole</v>
      </c>
      <c r="C992">
        <f>Profile!AP1035</f>
        <v>0</v>
      </c>
      <c r="D992" t="str">
        <f>IF(Profile!C1033="Profile",IF(Profile!A1035="ResourceRequirement","OK","XXX"),"XXX")</f>
        <v>XXX</v>
      </c>
    </row>
    <row r="993" spans="1:4" x14ac:dyDescent="0.45">
      <c r="A993">
        <f>ROW()</f>
        <v>993</v>
      </c>
      <c r="B993" t="str">
        <f>Profile!A1034</f>
        <v xml:space="preserve">      @odata.id</v>
      </c>
      <c r="C993">
        <f>Profile!AP1036</f>
        <v>0</v>
      </c>
      <c r="D993" t="str">
        <f>IF(Profile!C1034="Profile",IF(Profile!A1036="ResourceRequirement","OK","XXX"),"XXX")</f>
        <v>XXX</v>
      </c>
    </row>
    <row r="994" spans="1:4" x14ac:dyDescent="0.45">
      <c r="A994">
        <f>ROW()</f>
        <v>994</v>
      </c>
      <c r="B994" t="str">
        <f>Profile!A1035</f>
        <v xml:space="preserve">   ComputerSystems</v>
      </c>
      <c r="C994">
        <f>Profile!AP1037</f>
        <v>0</v>
      </c>
      <c r="D994" t="str">
        <f>IF(Profile!C1035="Profile",IF(Profile!A1037="ResourceRequirement","OK","XXX"),"XXX")</f>
        <v>XXX</v>
      </c>
    </row>
    <row r="995" spans="1:4" x14ac:dyDescent="0.45">
      <c r="A995">
        <f>ROW()</f>
        <v>995</v>
      </c>
      <c r="B995" t="str">
        <f>Profile!A1036</f>
        <v xml:space="preserve">      @odata.id</v>
      </c>
      <c r="C995">
        <f>Profile!AP1038</f>
        <v>0</v>
      </c>
      <c r="D995" t="str">
        <f>IF(Profile!C1036="Profile",IF(Profile!A1038="ResourceRequirement","OK","XXX"),"XXX")</f>
        <v>XXX</v>
      </c>
    </row>
    <row r="996" spans="1:4" x14ac:dyDescent="0.45">
      <c r="A996">
        <f>ROW()</f>
        <v>996</v>
      </c>
      <c r="B996" t="str">
        <f>Profile!A1037</f>
        <v xml:space="preserve">   FirmwareAuthRole</v>
      </c>
      <c r="C996">
        <f>Profile!AP1039</f>
        <v>0</v>
      </c>
      <c r="D996" t="str">
        <f>IF(Profile!C1037="Profile",IF(Profile!A1039="ResourceRequirement","OK","XXX"),"XXX")</f>
        <v>XXX</v>
      </c>
    </row>
    <row r="997" spans="1:4" x14ac:dyDescent="0.45">
      <c r="A997">
        <f>ROW()</f>
        <v>997</v>
      </c>
      <c r="B997" t="str">
        <f>Profile!A1038</f>
        <v xml:space="preserve">      @odata.id</v>
      </c>
      <c r="C997">
        <f>Profile!AP1040</f>
        <v>0</v>
      </c>
      <c r="D997" t="str">
        <f>IF(Profile!C1038="Profile",IF(Profile!A1040="ResourceRequirement","OK","XXX"),"XXX")</f>
        <v>XXX</v>
      </c>
    </row>
    <row r="998" spans="1:4" x14ac:dyDescent="0.45">
      <c r="A998">
        <f>ROW()</f>
        <v>998</v>
      </c>
      <c r="B998" t="str">
        <f>Profile!A1039</f>
        <v xml:space="preserve">   KernelAuthRole</v>
      </c>
      <c r="C998">
        <f>Profile!AP1041</f>
        <v>0</v>
      </c>
      <c r="D998" t="str">
        <f>IF(Profile!C1039="Profile",IF(Profile!A1041="ResourceRequirement","OK","XXX"),"XXX")</f>
        <v>XXX</v>
      </c>
    </row>
    <row r="999" spans="1:4" x14ac:dyDescent="0.45">
      <c r="A999">
        <f>ROW()</f>
        <v>999</v>
      </c>
      <c r="B999" t="str">
        <f>Profile!A1040</f>
        <v xml:space="preserve">      @odata.id</v>
      </c>
      <c r="C999">
        <f>Profile!AP1042</f>
        <v>0</v>
      </c>
      <c r="D999" t="str">
        <f>IF(Profile!C1040="Profile",IF(Profile!A1042="ResourceRequirement","OK","XXX"),"XXX")</f>
        <v>XXX</v>
      </c>
    </row>
    <row r="1000" spans="1:4" x14ac:dyDescent="0.45">
      <c r="A1000">
        <f>ROW()</f>
        <v>1000</v>
      </c>
      <c r="B1000" t="str">
        <f>Profile!A1041</f>
        <v xml:space="preserve">   Oem</v>
      </c>
      <c r="C1000">
        <f>Profile!AP1043</f>
        <v>0</v>
      </c>
      <c r="D1000" t="str">
        <f>IF(Profile!C1041="Profile",IF(Profile!A1043="ResourceRequirement","OK","XXX"),"XXX")</f>
        <v>XXX</v>
      </c>
    </row>
    <row r="1001" spans="1:4" x14ac:dyDescent="0.45">
      <c r="A1001">
        <f>ROW()</f>
        <v>1001</v>
      </c>
      <c r="B1001" t="str">
        <f>Profile!A1042</f>
        <v>ManagerEthernetInterface</v>
      </c>
      <c r="C1001">
        <f>Profile!AP1044</f>
        <v>0</v>
      </c>
      <c r="D1001" t="str">
        <f>IF(Profile!C1042="Profile",IF(Profile!A1044="ResourceRequirement","OK","XXX"),"XXX")</f>
        <v>XXX</v>
      </c>
    </row>
    <row r="1002" spans="1:4" x14ac:dyDescent="0.45">
      <c r="A1002">
        <f>ROW()</f>
        <v>1002</v>
      </c>
      <c r="B1002" t="str">
        <f>Profile!A1043</f>
        <v xml:space="preserve">   @odata.id</v>
      </c>
      <c r="C1002">
        <f>Profile!AP1045</f>
        <v>0</v>
      </c>
      <c r="D1002" t="str">
        <f>IF(Profile!C1043="Profile",IF(Profile!A1045="ResourceRequirement","OK","XXX"),"XXX")</f>
        <v>XXX</v>
      </c>
    </row>
    <row r="1003" spans="1:4" x14ac:dyDescent="0.45">
      <c r="A1003">
        <f>ROW()</f>
        <v>1003</v>
      </c>
      <c r="B1003" t="str">
        <f>Profile!A1044</f>
        <v>NetworkProtocol</v>
      </c>
      <c r="C1003">
        <f>Profile!AP1046</f>
        <v>0</v>
      </c>
      <c r="D1003" t="str">
        <f>IF(Profile!C1044="Profile",IF(Profile!A1046="ResourceRequirement","OK","XXX"),"XXX")</f>
        <v>XXX</v>
      </c>
    </row>
    <row r="1004" spans="1:4" x14ac:dyDescent="0.45">
      <c r="A1004">
        <f>ROW()</f>
        <v>1004</v>
      </c>
      <c r="B1004" t="str">
        <f>Profile!A1045</f>
        <v xml:space="preserve">   @odata.id</v>
      </c>
      <c r="C1004">
        <f>Profile!AP1049</f>
        <v>0</v>
      </c>
      <c r="D1004" t="str">
        <f>IF(Profile!C1045="Profile",IF(Profile!A1049="ResourceRequirement","OK","XXX"),"XXX")</f>
        <v>XXX</v>
      </c>
    </row>
    <row r="1005" spans="1:4" x14ac:dyDescent="0.45">
      <c r="A1005">
        <f>ROW()</f>
        <v>1005</v>
      </c>
      <c r="B1005" t="str">
        <f>Profile!A1046</f>
        <v>Status</v>
      </c>
      <c r="C1005">
        <f>Profile!AP1050</f>
        <v>0</v>
      </c>
      <c r="D1005" t="str">
        <f>IF(Profile!C1046="Profile",IF(Profile!A1050="ResourceRequirement","OK","XXX"),"XXX")</f>
        <v>XXX</v>
      </c>
    </row>
    <row r="1006" spans="1:4" x14ac:dyDescent="0.45">
      <c r="A1006">
        <f>ROW()</f>
        <v>1006</v>
      </c>
      <c r="B1006">
        <f>Profile!A1049</f>
        <v>0</v>
      </c>
      <c r="C1006">
        <f>Profile!AP1051</f>
        <v>0</v>
      </c>
      <c r="D1006" t="str">
        <f>IF(Profile!C1049="Profile",IF(Profile!A1051="ResourceRequirement","OK","XXX"),"XXX")</f>
        <v>XXX</v>
      </c>
    </row>
    <row r="1007" spans="1:4" x14ac:dyDescent="0.45">
      <c r="A1007">
        <f>ROW()</f>
        <v>1007</v>
      </c>
      <c r="B1007" t="str">
        <f>Profile!A1050</f>
        <v>1.1.3.2               ManagerCollection</v>
      </c>
      <c r="C1007">
        <f>Profile!AP1052</f>
        <v>0</v>
      </c>
      <c r="D1007" t="str">
        <f>IF(Profile!C1050="Profile",IF(Profile!A1052="ResourceRequirement","OK","XXX"),"XXX")</f>
        <v>XXX</v>
      </c>
    </row>
    <row r="1008" spans="1:4" x14ac:dyDescent="0.45">
      <c r="A1008">
        <f>ROW()</f>
        <v>1008</v>
      </c>
      <c r="B1008" t="str">
        <f>Profile!A1051</f>
        <v>A ManagerCollection is a collection of Manager Resources</v>
      </c>
      <c r="C1008">
        <f>Profile!AP1053</f>
        <v>0</v>
      </c>
      <c r="D1008" t="str">
        <f>IF(Profile!C1051="Profile",IF(Profile!A1053="ResourceRequirement","OK","XXX"),"XXX")</f>
        <v>XXX</v>
      </c>
    </row>
    <row r="1009" spans="1:4" x14ac:dyDescent="0.45">
      <c r="A1009">
        <f>ROW()</f>
        <v>1009</v>
      </c>
      <c r="B1009" t="str">
        <f>Profile!A1052</f>
        <v>Table 10: O-PAS Profile Map for the Redfish ManagerCollection Resource</v>
      </c>
      <c r="C1009">
        <f>Profile!AP1054</f>
        <v>0</v>
      </c>
      <c r="D1009" t="str">
        <f>IF(Profile!C1052="Profile",IF(Profile!A1054="ResourceRequirement","OK","XXX"),"XXX")</f>
        <v>XXX</v>
      </c>
    </row>
    <row r="1010" spans="1:4" x14ac:dyDescent="0.45">
      <c r="A1010">
        <f>ROW()</f>
        <v>1010</v>
      </c>
      <c r="B1010" t="str">
        <f>Profile!A1053</f>
        <v>ManagerCollection ()</v>
      </c>
      <c r="C1010">
        <f>Profile!AP1055</f>
        <v>0</v>
      </c>
      <c r="D1010" t="str">
        <f>IF(Profile!C1053="Profile",IF(Profile!A1055="ResourceRequirement","OK","XXX"),"XXX")</f>
        <v>OK</v>
      </c>
    </row>
    <row r="1011" spans="1:4" x14ac:dyDescent="0.45">
      <c r="A1011">
        <f>ROW()</f>
        <v>1011</v>
      </c>
      <c r="B1011">
        <f>Profile!A1054</f>
        <v>0</v>
      </c>
      <c r="C1011">
        <f>Profile!AP1056</f>
        <v>0</v>
      </c>
      <c r="D1011" t="str">
        <f>IF(Profile!C1054="Profile",IF(Profile!A1056="ResourceRequirement","OK","XXX"),"XXX")</f>
        <v>XXX</v>
      </c>
    </row>
    <row r="1012" spans="1:4" x14ac:dyDescent="0.45">
      <c r="A1012">
        <f>ROW()</f>
        <v>1012</v>
      </c>
      <c r="B1012" t="str">
        <f>Profile!A1055</f>
        <v>ResourceRequirement</v>
      </c>
      <c r="C1012">
        <f>Profile!AP1057</f>
        <v>0</v>
      </c>
      <c r="D1012" t="str">
        <f>IF(Profile!C1055="Profile",IF(Profile!A1057="ResourceRequirement","OK","XXX"),"XXX")</f>
        <v>XXX</v>
      </c>
    </row>
    <row r="1013" spans="1:4" x14ac:dyDescent="0.45">
      <c r="A1013">
        <f>ROW()</f>
        <v>1013</v>
      </c>
      <c r="B1013" t="str">
        <f>Profile!A1056</f>
        <v>Property</v>
      </c>
      <c r="C1013">
        <f>Profile!AP1058</f>
        <v>0</v>
      </c>
      <c r="D1013" t="str">
        <f>IF(Profile!C1056="Profile",IF(Profile!A1058="ResourceRequirement","OK","XXX"),"XXX")</f>
        <v>XXX</v>
      </c>
    </row>
    <row r="1014" spans="1:4" x14ac:dyDescent="0.45">
      <c r="A1014">
        <f>ROW()</f>
        <v>1014</v>
      </c>
      <c r="B1014" t="str">
        <f>Profile!A1057</f>
        <v>Members</v>
      </c>
      <c r="C1014">
        <f>Profile!AP1059</f>
        <v>0</v>
      </c>
      <c r="D1014" t="str">
        <f>IF(Profile!C1057="Profile",IF(Profile!A1059="ResourceRequirement","OK","XXX"),"XXX")</f>
        <v>XXX</v>
      </c>
    </row>
    <row r="1015" spans="1:4" x14ac:dyDescent="0.45">
      <c r="A1015">
        <f>ROW()</f>
        <v>1015</v>
      </c>
      <c r="B1015" t="str">
        <f>Profile!A1058</f>
        <v xml:space="preserve">   @odata.id</v>
      </c>
      <c r="C1015">
        <f>Profile!AP1060</f>
        <v>0</v>
      </c>
      <c r="D1015" t="str">
        <f>IF(Profile!C1058="Profile",IF(Profile!A1060="ResourceRequirement","OK","XXX"),"XXX")</f>
        <v>XXX</v>
      </c>
    </row>
    <row r="1016" spans="1:4" x14ac:dyDescent="0.45">
      <c r="A1016">
        <f>ROW()</f>
        <v>1016</v>
      </c>
      <c r="B1016" t="str">
        <f>Profile!A1059</f>
        <v>ManagerCollection URIs</v>
      </c>
      <c r="C1016">
        <f>Profile!AP1061</f>
        <v>0</v>
      </c>
      <c r="D1016" t="str">
        <f>IF(Profile!C1059="Profile",IF(Profile!A1061="ResourceRequirement","OK","XXX"),"XXX")</f>
        <v>XXX</v>
      </c>
    </row>
    <row r="1017" spans="1:4" x14ac:dyDescent="0.45">
      <c r="A1017">
        <f>ROW()</f>
        <v>1017</v>
      </c>
      <c r="B1017" t="str">
        <f>Profile!A1060</f>
        <v>/redfish/v1/Managers</v>
      </c>
      <c r="C1017">
        <f>Profile!AP1062</f>
        <v>0</v>
      </c>
      <c r="D1017" t="str">
        <f>IF(Profile!C1060="Profile",IF(Profile!A1062="ResourceRequirement","OK","XXX"),"XXX")</f>
        <v>XXX</v>
      </c>
    </row>
    <row r="1018" spans="1:4" x14ac:dyDescent="0.45">
      <c r="A1018">
        <f>ROW()</f>
        <v>1018</v>
      </c>
      <c r="B1018">
        <f>Profile!A1061</f>
        <v>0</v>
      </c>
      <c r="C1018">
        <f>Profile!AP1063</f>
        <v>0</v>
      </c>
      <c r="D1018" t="str">
        <f>IF(Profile!C1061="Profile",IF(Profile!A1063="ResourceRequirement","OK","XXX"),"XXX")</f>
        <v>XXX</v>
      </c>
    </row>
    <row r="1019" spans="1:4" x14ac:dyDescent="0.45">
      <c r="A1019">
        <f>ROW()</f>
        <v>1019</v>
      </c>
      <c r="B1019" t="str">
        <f>Profile!A1062</f>
        <v>1.1.3.2               Manager</v>
      </c>
      <c r="C1019">
        <f>Profile!AP1064</f>
        <v>0</v>
      </c>
      <c r="D1019" t="str">
        <f>IF(Profile!C1062="Profile",IF(Profile!A1064="ResourceRequirement","OK","XXX"),"XXX")</f>
        <v>XXX</v>
      </c>
    </row>
    <row r="1020" spans="1:4" x14ac:dyDescent="0.45">
      <c r="A1020">
        <f>ROW()</f>
        <v>1020</v>
      </c>
      <c r="B1020" t="str">
        <f>Profile!A1063</f>
        <v>Examples of Managers are BMCs, Enclosure Managers, Management Controllers, and other subsystems assigned manageability functions.</v>
      </c>
      <c r="C1020">
        <f>Profile!AP1065</f>
        <v>0</v>
      </c>
      <c r="D1020" t="str">
        <f>IF(Profile!C1063="Profile",IF(Profile!A1065="ResourceRequirement","OK","XXX"),"XXX")</f>
        <v>XXX</v>
      </c>
    </row>
    <row r="1021" spans="1:4" x14ac:dyDescent="0.45">
      <c r="A1021">
        <f>ROW()</f>
        <v>1021</v>
      </c>
      <c r="B1021" t="str">
        <f>Profile!A1064</f>
        <v>Table 33: O-PAS Profile Map for the Redfish Manager Resource</v>
      </c>
      <c r="C1021">
        <f>Profile!AP1066</f>
        <v>0</v>
      </c>
      <c r="D1021" t="str">
        <f>IF(Profile!C1064="Profile",IF(Profile!A1066="ResourceRequirement","OK","XXX"),"XXX")</f>
        <v>XXX</v>
      </c>
    </row>
    <row r="1022" spans="1:4" x14ac:dyDescent="0.45">
      <c r="A1022">
        <f>ROW()</f>
        <v>1022</v>
      </c>
      <c r="B1022" t="str">
        <f>Profile!A1065</f>
        <v>Manager (1.5.0)</v>
      </c>
      <c r="C1022">
        <f>Profile!AP1067</f>
        <v>0</v>
      </c>
      <c r="D1022" t="str">
        <f>IF(Profile!C1065="Profile",IF(Profile!A1067="ResourceRequirement","OK","XXX"),"XXX")</f>
        <v>XXX</v>
      </c>
    </row>
    <row r="1023" spans="1:4" x14ac:dyDescent="0.45">
      <c r="A1023">
        <f>ROW()</f>
        <v>1023</v>
      </c>
      <c r="B1023">
        <f>Profile!A1066</f>
        <v>0</v>
      </c>
      <c r="C1023">
        <f>Profile!AP1068</f>
        <v>0</v>
      </c>
      <c r="D1023" t="str">
        <f>IF(Profile!C1066="Profile",IF(Profile!A1068="ResourceRequirement","OK","XXX"),"XXX")</f>
        <v>XXX</v>
      </c>
    </row>
    <row r="1024" spans="1:4" x14ac:dyDescent="0.45">
      <c r="A1024">
        <f>ROW()</f>
        <v>1024</v>
      </c>
      <c r="B1024" t="str">
        <f>Profile!A1067</f>
        <v>Manager (1.5.2)</v>
      </c>
      <c r="C1024">
        <f>Profile!AP1069</f>
        <v>26</v>
      </c>
      <c r="D1024" t="str">
        <f>IF(Profile!C1067="Profile",IF(Profile!A1069="ResourceRequirement","OK","XXX"),"XXX")</f>
        <v>OK</v>
      </c>
    </row>
    <row r="1025" spans="1:4" x14ac:dyDescent="0.45">
      <c r="A1025">
        <f>ROW()</f>
        <v>1025</v>
      </c>
      <c r="B1025">
        <f>Profile!A1068</f>
        <v>0</v>
      </c>
      <c r="C1025">
        <f>Profile!AP1070</f>
        <v>0</v>
      </c>
      <c r="D1025" t="str">
        <f>IF(Profile!C1068="Profile",IF(Profile!A1070="ResourceRequirement","OK","XXX"),"XXX")</f>
        <v>XXX</v>
      </c>
    </row>
    <row r="1026" spans="1:4" x14ac:dyDescent="0.45">
      <c r="A1026">
        <f>ROW()</f>
        <v>1026</v>
      </c>
      <c r="B1026" t="str">
        <f>Profile!A1069</f>
        <v>ResourceRequirement</v>
      </c>
      <c r="C1026">
        <f>Profile!AP1071</f>
        <v>0</v>
      </c>
      <c r="D1026" t="str">
        <f>IF(Profile!C1069="Profile",IF(Profile!A1071="ResourceRequirement","OK","XXX"),"XXX")</f>
        <v>XXX</v>
      </c>
    </row>
    <row r="1027" spans="1:4" x14ac:dyDescent="0.45">
      <c r="A1027">
        <f>ROW()</f>
        <v>1027</v>
      </c>
      <c r="B1027" t="str">
        <f>Profile!A1070</f>
        <v>Resource MinVersion</v>
      </c>
      <c r="C1027">
        <f>Profile!AP1072</f>
        <v>0</v>
      </c>
      <c r="D1027" t="str">
        <f>IF(Profile!C1070="Profile",IF(Profile!A1072="ResourceRequirement","OK","XXX"),"XXX")</f>
        <v>XXX</v>
      </c>
    </row>
    <row r="1028" spans="1:4" x14ac:dyDescent="0.45">
      <c r="A1028">
        <f>ROW()</f>
        <v>1028</v>
      </c>
      <c r="B1028" t="str">
        <f>Profile!A1071</f>
        <v>Property</v>
      </c>
      <c r="C1028">
        <f>Profile!AP1073</f>
        <v>0</v>
      </c>
      <c r="D1028" t="str">
        <f>IF(Profile!C1071="Profile",IF(Profile!A1073="ResourceRequirement","OK","XXX"),"XXX")</f>
        <v>XXX</v>
      </c>
    </row>
    <row r="1029" spans="1:4" x14ac:dyDescent="0.45">
      <c r="A1029">
        <f>ROW()</f>
        <v>1029</v>
      </c>
      <c r="B1029" t="str">
        <f>Profile!A1072</f>
        <v>Actions</v>
      </c>
      <c r="C1029">
        <f>Profile!AP1074</f>
        <v>0</v>
      </c>
      <c r="D1029" t="str">
        <f>IF(Profile!C1072="Profile",IF(Profile!A1074="ResourceRequirement","OK","XXX"),"XXX")</f>
        <v>XXX</v>
      </c>
    </row>
    <row r="1030" spans="1:4" x14ac:dyDescent="0.45">
      <c r="A1030">
        <f>ROW()</f>
        <v>1030</v>
      </c>
      <c r="B1030" t="str">
        <f>Profile!A1073</f>
        <v xml:space="preserve">   #Manager.ForceFailover</v>
      </c>
      <c r="C1030">
        <f>Profile!AP1075</f>
        <v>0</v>
      </c>
      <c r="D1030" t="str">
        <f>IF(Profile!C1073="Profile",IF(Profile!A1075="ResourceRequirement","OK","XXX"),"XXX")</f>
        <v>XXX</v>
      </c>
    </row>
    <row r="1031" spans="1:4" x14ac:dyDescent="0.45">
      <c r="A1031">
        <f>ROW()</f>
        <v>1031</v>
      </c>
      <c r="B1031" t="str">
        <f>Profile!A1074</f>
        <v xml:space="preserve">   #Manager.ModifyRedundancySet</v>
      </c>
      <c r="C1031">
        <f>Profile!AP1076</f>
        <v>0</v>
      </c>
      <c r="D1031" t="str">
        <f>IF(Profile!C1074="Profile",IF(Profile!A1076="ResourceRequirement","OK","XXX"),"XXX")</f>
        <v>XXX</v>
      </c>
    </row>
    <row r="1032" spans="1:4" x14ac:dyDescent="0.45">
      <c r="A1032">
        <f>ROW()</f>
        <v>1032</v>
      </c>
      <c r="B1032" t="str">
        <f>Profile!A1075</f>
        <v xml:space="preserve">   #Manager.Reset</v>
      </c>
      <c r="C1032">
        <f>Profile!AP1077</f>
        <v>0</v>
      </c>
      <c r="D1032" t="str">
        <f>IF(Profile!C1075="Profile",IF(Profile!A1077="ResourceRequirement","OK","XXX"),"XXX")</f>
        <v>XXX</v>
      </c>
    </row>
    <row r="1033" spans="1:4" x14ac:dyDescent="0.45">
      <c r="A1033">
        <f>ROW()</f>
        <v>1033</v>
      </c>
      <c r="B1033" t="str">
        <f>Profile!A1076</f>
        <v>AutoDSTEnabled</v>
      </c>
      <c r="C1033">
        <f>Profile!AP1078</f>
        <v>0</v>
      </c>
      <c r="D1033" t="str">
        <f>IF(Profile!C1076="Profile",IF(Profile!A1078="ResourceRequirement","OK","XXX"),"XXX")</f>
        <v>XXX</v>
      </c>
    </row>
    <row r="1034" spans="1:4" x14ac:dyDescent="0.45">
      <c r="A1034">
        <f>ROW()</f>
        <v>1034</v>
      </c>
      <c r="B1034" t="str">
        <f>Profile!A1077</f>
        <v>CommandShell</v>
      </c>
      <c r="C1034">
        <f>Profile!AP1079</f>
        <v>0</v>
      </c>
      <c r="D1034" t="str">
        <f>IF(Profile!C1077="Profile",IF(Profile!A1079="ResourceRequirement","OK","XXX"),"XXX")</f>
        <v>XXX</v>
      </c>
    </row>
    <row r="1035" spans="1:4" x14ac:dyDescent="0.45">
      <c r="A1035">
        <f>ROW()</f>
        <v>1035</v>
      </c>
      <c r="B1035" t="str">
        <f>Profile!A1078</f>
        <v xml:space="preserve">   ConnectTypesSupported</v>
      </c>
      <c r="C1035">
        <f>Profile!AP1080</f>
        <v>0</v>
      </c>
      <c r="D1035" t="str">
        <f>IF(Profile!C1078="Profile",IF(Profile!A1080="ResourceRequirement","OK","XXX"),"XXX")</f>
        <v>XXX</v>
      </c>
    </row>
    <row r="1036" spans="1:4" x14ac:dyDescent="0.45">
      <c r="A1036">
        <f>ROW()</f>
        <v>1036</v>
      </c>
      <c r="B1036" t="str">
        <f>Profile!A1079</f>
        <v xml:space="preserve">   MaxConcurrentSessions</v>
      </c>
      <c r="C1036">
        <f>Profile!AP1081</f>
        <v>0</v>
      </c>
      <c r="D1036" t="str">
        <f>IF(Profile!C1079="Profile",IF(Profile!A1081="ResourceRequirement","OK","XXX"),"XXX")</f>
        <v>XXX</v>
      </c>
    </row>
    <row r="1037" spans="1:4" x14ac:dyDescent="0.45">
      <c r="A1037">
        <f>ROW()</f>
        <v>1037</v>
      </c>
      <c r="B1037" t="str">
        <f>Profile!A1080</f>
        <v xml:space="preserve">   ServiceEnabled</v>
      </c>
      <c r="C1037">
        <f>Profile!AP1082</f>
        <v>0</v>
      </c>
      <c r="D1037" t="str">
        <f>IF(Profile!C1080="Profile",IF(Profile!A1082="ResourceRequirement","OK","XXX"),"XXX")</f>
        <v>XXX</v>
      </c>
    </row>
    <row r="1038" spans="1:4" x14ac:dyDescent="0.45">
      <c r="A1038">
        <f>ROW()</f>
        <v>1038</v>
      </c>
      <c r="B1038" t="str">
        <f>Profile!A1081</f>
        <v>DateTime</v>
      </c>
      <c r="C1038">
        <f>Profile!AP1083</f>
        <v>0</v>
      </c>
      <c r="D1038" t="str">
        <f>IF(Profile!C1081="Profile",IF(Profile!A1083="ResourceRequirement","OK","XXX"),"XXX")</f>
        <v>XXX</v>
      </c>
    </row>
    <row r="1039" spans="1:4" x14ac:dyDescent="0.45">
      <c r="A1039">
        <f>ROW()</f>
        <v>1039</v>
      </c>
      <c r="B1039" t="str">
        <f>Profile!A1082</f>
        <v>DateTimeLocalOffset</v>
      </c>
      <c r="C1039">
        <f>Profile!AP1084</f>
        <v>0</v>
      </c>
      <c r="D1039" t="str">
        <f>IF(Profile!C1082="Profile",IF(Profile!A1084="ResourceRequirement","OK","XXX"),"XXX")</f>
        <v>XXX</v>
      </c>
    </row>
    <row r="1040" spans="1:4" x14ac:dyDescent="0.45">
      <c r="A1040">
        <f>ROW()</f>
        <v>1040</v>
      </c>
      <c r="B1040" t="str">
        <f>Profile!A1083</f>
        <v>EthernetInterfaces</v>
      </c>
      <c r="C1040">
        <f>Profile!AP1085</f>
        <v>0</v>
      </c>
      <c r="D1040" t="str">
        <f>IF(Profile!C1083="Profile",IF(Profile!A1085="ResourceRequirement","OK","XXX"),"XXX")</f>
        <v>XXX</v>
      </c>
    </row>
    <row r="1041" spans="1:4" x14ac:dyDescent="0.45">
      <c r="A1041">
        <f>ROW()</f>
        <v>1041</v>
      </c>
      <c r="B1041" t="str">
        <f>Profile!A1084</f>
        <v xml:space="preserve">   @odata.id</v>
      </c>
      <c r="C1041">
        <f>Profile!AP1086</f>
        <v>0</v>
      </c>
      <c r="D1041" t="str">
        <f>IF(Profile!C1084="Profile",IF(Profile!A1086="ResourceRequirement","OK","XXX"),"XXX")</f>
        <v>XXX</v>
      </c>
    </row>
    <row r="1042" spans="1:4" x14ac:dyDescent="0.45">
      <c r="A1042">
        <f>ROW()</f>
        <v>1042</v>
      </c>
      <c r="B1042" t="str">
        <f>Profile!A1085</f>
        <v>FirmwareVersion</v>
      </c>
      <c r="C1042">
        <f>Profile!AP1087</f>
        <v>0</v>
      </c>
      <c r="D1042" t="str">
        <f>IF(Profile!C1085="Profile",IF(Profile!A1087="ResourceRequirement","OK","XXX"),"XXX")</f>
        <v>XXX</v>
      </c>
    </row>
    <row r="1043" spans="1:4" x14ac:dyDescent="0.45">
      <c r="A1043">
        <f>ROW()</f>
        <v>1043</v>
      </c>
      <c r="B1043" t="str">
        <f>Profile!A1086</f>
        <v>GraphicalConsole</v>
      </c>
      <c r="C1043">
        <f>Profile!AP1088</f>
        <v>0</v>
      </c>
      <c r="D1043" t="str">
        <f>IF(Profile!C1086="Profile",IF(Profile!A1088="ResourceRequirement","OK","XXX"),"XXX")</f>
        <v>XXX</v>
      </c>
    </row>
    <row r="1044" spans="1:4" x14ac:dyDescent="0.45">
      <c r="A1044">
        <f>ROW()</f>
        <v>1044</v>
      </c>
      <c r="B1044" t="str">
        <f>Profile!A1087</f>
        <v xml:space="preserve">   ConnectTypesSupported</v>
      </c>
      <c r="C1044">
        <f>Profile!AP1089</f>
        <v>0</v>
      </c>
      <c r="D1044" t="str">
        <f>IF(Profile!C1087="Profile",IF(Profile!A1089="ResourceRequirement","OK","XXX"),"XXX")</f>
        <v>XXX</v>
      </c>
    </row>
    <row r="1045" spans="1:4" x14ac:dyDescent="0.45">
      <c r="A1045">
        <f>ROW()</f>
        <v>1045</v>
      </c>
      <c r="B1045" t="str">
        <f>Profile!A1088</f>
        <v xml:space="preserve">   MaxConcurrentSessions</v>
      </c>
      <c r="C1045">
        <f>Profile!AP1090</f>
        <v>0</v>
      </c>
      <c r="D1045" t="str">
        <f>IF(Profile!C1088="Profile",IF(Profile!A1090="ResourceRequirement","OK","XXX"),"XXX")</f>
        <v>XXX</v>
      </c>
    </row>
    <row r="1046" spans="1:4" x14ac:dyDescent="0.45">
      <c r="A1046">
        <f>ROW()</f>
        <v>1046</v>
      </c>
      <c r="B1046" t="str">
        <f>Profile!A1089</f>
        <v xml:space="preserve">   ServiceEnabled</v>
      </c>
      <c r="C1046">
        <f>Profile!AP1091</f>
        <v>0</v>
      </c>
      <c r="D1046" t="str">
        <f>IF(Profile!C1089="Profile",IF(Profile!A1091="ResourceRequirement","OK","XXX"),"XXX")</f>
        <v>XXX</v>
      </c>
    </row>
    <row r="1047" spans="1:4" x14ac:dyDescent="0.45">
      <c r="A1047">
        <f>ROW()</f>
        <v>1047</v>
      </c>
      <c r="B1047" t="str">
        <f>Profile!A1090</f>
        <v>HostInterfaces</v>
      </c>
      <c r="C1047">
        <f>Profile!AP1092</f>
        <v>0</v>
      </c>
      <c r="D1047" t="str">
        <f>IF(Profile!C1090="Profile",IF(Profile!A1092="ResourceRequirement","OK","XXX"),"XXX")</f>
        <v>XXX</v>
      </c>
    </row>
    <row r="1048" spans="1:4" x14ac:dyDescent="0.45">
      <c r="A1048">
        <f>ROW()</f>
        <v>1048</v>
      </c>
      <c r="B1048" t="str">
        <f>Profile!A1091</f>
        <v xml:space="preserve">   @odata.id</v>
      </c>
      <c r="C1048">
        <f>Profile!AP1093</f>
        <v>0</v>
      </c>
      <c r="D1048" t="str">
        <f>IF(Profile!C1091="Profile",IF(Profile!A1093="ResourceRequirement","OK","XXX"),"XXX")</f>
        <v>XXX</v>
      </c>
    </row>
    <row r="1049" spans="1:4" x14ac:dyDescent="0.45">
      <c r="A1049">
        <f>ROW()</f>
        <v>1049</v>
      </c>
      <c r="B1049" t="str">
        <f>Profile!A1092</f>
        <v>Links</v>
      </c>
      <c r="C1049">
        <f>Profile!AP1094</f>
        <v>0</v>
      </c>
      <c r="D1049" t="str">
        <f>IF(Profile!C1092="Profile",IF(Profile!A1094="ResourceRequirement","OK","XXX"),"XXX")</f>
        <v>XXX</v>
      </c>
    </row>
    <row r="1050" spans="1:4" x14ac:dyDescent="0.45">
      <c r="A1050">
        <f>ROW()</f>
        <v>1050</v>
      </c>
      <c r="B1050" t="str">
        <f>Profile!A1093</f>
        <v xml:space="preserve">   ActiveSoftwareImage</v>
      </c>
      <c r="C1050">
        <f>Profile!AP1095</f>
        <v>0</v>
      </c>
      <c r="D1050" t="str">
        <f>IF(Profile!C1093="Profile",IF(Profile!A1095="ResourceRequirement","OK","XXX"),"XXX")</f>
        <v>XXX</v>
      </c>
    </row>
    <row r="1051" spans="1:4" x14ac:dyDescent="0.45">
      <c r="A1051">
        <f>ROW()</f>
        <v>1051</v>
      </c>
      <c r="B1051" t="str">
        <f>Profile!A1094</f>
        <v xml:space="preserve">      @odata.id</v>
      </c>
      <c r="C1051">
        <f>Profile!AP1096</f>
        <v>0</v>
      </c>
      <c r="D1051" t="str">
        <f>IF(Profile!C1094="Profile",IF(Profile!A1096="ResourceRequirement","OK","XXX"),"XXX")</f>
        <v>XXX</v>
      </c>
    </row>
    <row r="1052" spans="1:4" x14ac:dyDescent="0.45">
      <c r="A1052">
        <f>ROW()</f>
        <v>1052</v>
      </c>
      <c r="B1052" t="str">
        <f>Profile!A1095</f>
        <v xml:space="preserve">   ManagerForChassis</v>
      </c>
      <c r="C1052">
        <f>Profile!AP1097</f>
        <v>0</v>
      </c>
      <c r="D1052" t="str">
        <f>IF(Profile!C1095="Profile",IF(Profile!A1097="ResourceRequirement","OK","XXX"),"XXX")</f>
        <v>XXX</v>
      </c>
    </row>
    <row r="1053" spans="1:4" x14ac:dyDescent="0.45">
      <c r="A1053">
        <f>ROW()</f>
        <v>1053</v>
      </c>
      <c r="B1053" t="str">
        <f>Profile!A1096</f>
        <v xml:space="preserve">      @odata.id</v>
      </c>
      <c r="C1053">
        <f>Profile!AP1098</f>
        <v>0</v>
      </c>
      <c r="D1053" t="str">
        <f>IF(Profile!C1096="Profile",IF(Profile!A1098="ResourceRequirement","OK","XXX"),"XXX")</f>
        <v>XXX</v>
      </c>
    </row>
    <row r="1054" spans="1:4" x14ac:dyDescent="0.45">
      <c r="A1054">
        <f>ROW()</f>
        <v>1054</v>
      </c>
      <c r="B1054" t="str">
        <f>Profile!A1097</f>
        <v xml:space="preserve">   ManagerForServers</v>
      </c>
      <c r="C1054">
        <f>Profile!AP1099</f>
        <v>0</v>
      </c>
      <c r="D1054" t="str">
        <f>IF(Profile!C1097="Profile",IF(Profile!A1099="ResourceRequirement","OK","XXX"),"XXX")</f>
        <v>XXX</v>
      </c>
    </row>
    <row r="1055" spans="1:4" x14ac:dyDescent="0.45">
      <c r="A1055">
        <f>ROW()</f>
        <v>1055</v>
      </c>
      <c r="B1055" t="str">
        <f>Profile!A1098</f>
        <v xml:space="preserve">      @odata.id</v>
      </c>
      <c r="C1055">
        <f>Profile!AP1100</f>
        <v>0</v>
      </c>
      <c r="D1055" t="str">
        <f>IF(Profile!C1098="Profile",IF(Profile!A1100="ResourceRequirement","OK","XXX"),"XXX")</f>
        <v>XXX</v>
      </c>
    </row>
    <row r="1056" spans="1:4" x14ac:dyDescent="0.45">
      <c r="A1056">
        <f>ROW()</f>
        <v>1056</v>
      </c>
      <c r="B1056" t="str">
        <f>Profile!A1099</f>
        <v xml:space="preserve">   ManagerForSwitches</v>
      </c>
      <c r="C1056">
        <f>Profile!AP1101</f>
        <v>0</v>
      </c>
      <c r="D1056" t="str">
        <f>IF(Profile!C1099="Profile",IF(Profile!A1101="ResourceRequirement","OK","XXX"),"XXX")</f>
        <v>XXX</v>
      </c>
    </row>
    <row r="1057" spans="1:4" x14ac:dyDescent="0.45">
      <c r="A1057">
        <f>ROW()</f>
        <v>1057</v>
      </c>
      <c r="B1057" t="str">
        <f>Profile!A1100</f>
        <v xml:space="preserve">      @odata.id</v>
      </c>
      <c r="C1057">
        <f>Profile!AP1102</f>
        <v>0</v>
      </c>
      <c r="D1057" t="str">
        <f>IF(Profile!C1100="Profile",IF(Profile!A1102="ResourceRequirement","OK","XXX"),"XXX")</f>
        <v>XXX</v>
      </c>
    </row>
    <row r="1058" spans="1:4" x14ac:dyDescent="0.45">
      <c r="A1058">
        <f>ROW()</f>
        <v>1058</v>
      </c>
      <c r="B1058" t="str">
        <f>Profile!A1101</f>
        <v xml:space="preserve">   ManagerInChassis</v>
      </c>
      <c r="C1058">
        <f>Profile!AP1103</f>
        <v>0</v>
      </c>
      <c r="D1058" t="str">
        <f>IF(Profile!C1101="Profile",IF(Profile!A1103="ResourceRequirement","OK","XXX"),"XXX")</f>
        <v>XXX</v>
      </c>
    </row>
    <row r="1059" spans="1:4" x14ac:dyDescent="0.45">
      <c r="A1059">
        <f>ROW()</f>
        <v>1059</v>
      </c>
      <c r="B1059" t="str">
        <f>Profile!A1102</f>
        <v xml:space="preserve">      @odata.id</v>
      </c>
      <c r="C1059">
        <f>Profile!AP1104</f>
        <v>0</v>
      </c>
      <c r="D1059" t="str">
        <f>IF(Profile!C1102="Profile",IF(Profile!A1104="ResourceRequirement","OK","XXX"),"XXX")</f>
        <v>XXX</v>
      </c>
    </row>
    <row r="1060" spans="1:4" x14ac:dyDescent="0.45">
      <c r="A1060">
        <f>ROW()</f>
        <v>1060</v>
      </c>
      <c r="B1060" t="str">
        <f>Profile!A1103</f>
        <v xml:space="preserve">   SoftwareImages</v>
      </c>
      <c r="C1060">
        <f>Profile!AP1105</f>
        <v>0</v>
      </c>
      <c r="D1060" t="str">
        <f>IF(Profile!C1103="Profile",IF(Profile!A1105="ResourceRequirement","OK","XXX"),"XXX")</f>
        <v>XXX</v>
      </c>
    </row>
    <row r="1061" spans="1:4" x14ac:dyDescent="0.45">
      <c r="A1061">
        <f>ROW()</f>
        <v>1061</v>
      </c>
      <c r="B1061" t="str">
        <f>Profile!A1104</f>
        <v xml:space="preserve">      @odata.id</v>
      </c>
      <c r="C1061">
        <f>Profile!AP1106</f>
        <v>0</v>
      </c>
      <c r="D1061" t="str">
        <f>IF(Profile!C1104="Profile",IF(Profile!A1106="ResourceRequirement","OK","XXX"),"XXX")</f>
        <v>XXX</v>
      </c>
    </row>
    <row r="1062" spans="1:4" x14ac:dyDescent="0.45">
      <c r="A1062">
        <f>ROW()</f>
        <v>1062</v>
      </c>
      <c r="B1062" t="str">
        <f>Profile!A1105</f>
        <v xml:space="preserve">   Oem</v>
      </c>
      <c r="C1062">
        <f>Profile!AP1107</f>
        <v>0</v>
      </c>
      <c r="D1062" t="str">
        <f>IF(Profile!C1105="Profile",IF(Profile!A1107="ResourceRequirement","OK","XXX"),"XXX")</f>
        <v>XXX</v>
      </c>
    </row>
    <row r="1063" spans="1:4" x14ac:dyDescent="0.45">
      <c r="A1063">
        <f>ROW()</f>
        <v>1063</v>
      </c>
      <c r="B1063" t="str">
        <f>Profile!A1106</f>
        <v>LogServices</v>
      </c>
      <c r="C1063">
        <f>Profile!AP1108</f>
        <v>0</v>
      </c>
      <c r="D1063" t="str">
        <f>IF(Profile!C1106="Profile",IF(Profile!A1108="ResourceRequirement","OK","XXX"),"XXX")</f>
        <v>XXX</v>
      </c>
    </row>
    <row r="1064" spans="1:4" x14ac:dyDescent="0.45">
      <c r="A1064">
        <f>ROW()</f>
        <v>1064</v>
      </c>
      <c r="B1064" t="str">
        <f>Profile!A1107</f>
        <v xml:space="preserve">   @odata.id</v>
      </c>
      <c r="C1064">
        <f>Profile!AP1109</f>
        <v>0</v>
      </c>
      <c r="D1064" t="str">
        <f>IF(Profile!C1107="Profile",IF(Profile!A1109="ResourceRequirement","OK","XXX"),"XXX")</f>
        <v>XXX</v>
      </c>
    </row>
    <row r="1065" spans="1:4" x14ac:dyDescent="0.45">
      <c r="A1065">
        <f>ROW()</f>
        <v>1065</v>
      </c>
      <c r="B1065" t="str">
        <f>Profile!A1108</f>
        <v>ManagerType</v>
      </c>
      <c r="C1065">
        <f>Profile!AP1110</f>
        <v>0</v>
      </c>
      <c r="D1065" t="str">
        <f>IF(Profile!C1108="Profile",IF(Profile!A1110="ResourceRequirement","OK","XXX"),"XXX")</f>
        <v>XXX</v>
      </c>
    </row>
    <row r="1066" spans="1:4" x14ac:dyDescent="0.45">
      <c r="A1066">
        <f>ROW()</f>
        <v>1066</v>
      </c>
      <c r="B1066" t="str">
        <f>Profile!A1109</f>
        <v>Model</v>
      </c>
      <c r="C1066">
        <f>Profile!AP1111</f>
        <v>0</v>
      </c>
      <c r="D1066" t="str">
        <f>IF(Profile!C1109="Profile",IF(Profile!A1111="ResourceRequirement","OK","XXX"),"XXX")</f>
        <v>XXX</v>
      </c>
    </row>
    <row r="1067" spans="1:4" x14ac:dyDescent="0.45">
      <c r="A1067">
        <f>ROW()</f>
        <v>1067</v>
      </c>
      <c r="B1067" t="str">
        <f>Profile!A1110</f>
        <v>NetworkProtocol</v>
      </c>
      <c r="C1067">
        <f>Profile!AP1112</f>
        <v>0</v>
      </c>
      <c r="D1067" t="str">
        <f>IF(Profile!C1110="Profile",IF(Profile!A1112="ResourceRequirement","OK","XXX"),"XXX")</f>
        <v>XXX</v>
      </c>
    </row>
    <row r="1068" spans="1:4" x14ac:dyDescent="0.45">
      <c r="A1068">
        <f>ROW()</f>
        <v>1068</v>
      </c>
      <c r="B1068" t="str">
        <f>Profile!A1111</f>
        <v xml:space="preserve">   @odata.id</v>
      </c>
      <c r="C1068">
        <f>Profile!AP1113</f>
        <v>0</v>
      </c>
      <c r="D1068" t="str">
        <f>IF(Profile!C1111="Profile",IF(Profile!A1113="ResourceRequirement","OK","XXX"),"XXX")</f>
        <v>XXX</v>
      </c>
    </row>
    <row r="1069" spans="1:4" x14ac:dyDescent="0.45">
      <c r="A1069">
        <f>ROW()</f>
        <v>1069</v>
      </c>
      <c r="B1069" t="str">
        <f>Profile!A1112</f>
        <v>PowerState</v>
      </c>
      <c r="C1069">
        <f>Profile!AP1114</f>
        <v>0</v>
      </c>
      <c r="D1069" t="str">
        <f>IF(Profile!C1112="Profile",IF(Profile!A1114="ResourceRequirement","OK","XXX"),"XXX")</f>
        <v>XXX</v>
      </c>
    </row>
    <row r="1070" spans="1:4" x14ac:dyDescent="0.45">
      <c r="A1070">
        <f>ROW()</f>
        <v>1070</v>
      </c>
      <c r="B1070" t="str">
        <f>Profile!A1113</f>
        <v>Redundancy</v>
      </c>
      <c r="C1070">
        <f>Profile!AP1115</f>
        <v>0</v>
      </c>
      <c r="D1070" t="str">
        <f>IF(Profile!C1113="Profile",IF(Profile!A1115="ResourceRequirement","OK","XXX"),"XXX")</f>
        <v>XXX</v>
      </c>
    </row>
    <row r="1071" spans="1:4" x14ac:dyDescent="0.45">
      <c r="A1071">
        <f>ROW()</f>
        <v>1071</v>
      </c>
      <c r="B1071" t="str">
        <f>Profile!A1114</f>
        <v xml:space="preserve">   @odata.id</v>
      </c>
      <c r="C1071">
        <f>Profile!AP1116</f>
        <v>0</v>
      </c>
      <c r="D1071" t="str">
        <f>IF(Profile!C1114="Profile",IF(Profile!A1116="ResourceRequirement","OK","XXX"),"XXX")</f>
        <v>XXX</v>
      </c>
    </row>
    <row r="1072" spans="1:4" x14ac:dyDescent="0.45">
      <c r="A1072">
        <f>ROW()</f>
        <v>1072</v>
      </c>
      <c r="B1072" t="str">
        <f>Profile!A1115</f>
        <v>RemoteAccountService</v>
      </c>
      <c r="C1072">
        <f>Profile!AP1117</f>
        <v>0</v>
      </c>
      <c r="D1072" t="str">
        <f>IF(Profile!C1115="Profile",IF(Profile!A1117="ResourceRequirement","OK","XXX"),"XXX")</f>
        <v>XXX</v>
      </c>
    </row>
    <row r="1073" spans="1:4" x14ac:dyDescent="0.45">
      <c r="A1073">
        <f>ROW()</f>
        <v>1073</v>
      </c>
      <c r="B1073" t="str">
        <f>Profile!A1116</f>
        <v xml:space="preserve">   @odata.id</v>
      </c>
      <c r="C1073">
        <f>Profile!AP1118</f>
        <v>0</v>
      </c>
      <c r="D1073" t="str">
        <f>IF(Profile!C1116="Profile",IF(Profile!A1118="ResourceRequirement","OK","XXX"),"XXX")</f>
        <v>XXX</v>
      </c>
    </row>
    <row r="1074" spans="1:4" x14ac:dyDescent="0.45">
      <c r="A1074">
        <f>ROW()</f>
        <v>1074</v>
      </c>
      <c r="B1074" t="str">
        <f>Profile!A1117</f>
        <v>RemoteRedfishServiceUri</v>
      </c>
      <c r="C1074">
        <f>Profile!AP1119</f>
        <v>0</v>
      </c>
      <c r="D1074" t="str">
        <f>IF(Profile!C1117="Profile",IF(Profile!A1119="ResourceRequirement","OK","XXX"),"XXX")</f>
        <v>XXX</v>
      </c>
    </row>
    <row r="1075" spans="1:4" x14ac:dyDescent="0.45">
      <c r="A1075">
        <f>ROW()</f>
        <v>1075</v>
      </c>
      <c r="B1075" t="str">
        <f>Profile!A1118</f>
        <v>SerialConsole</v>
      </c>
      <c r="C1075">
        <f>Profile!AP1120</f>
        <v>0</v>
      </c>
      <c r="D1075" t="str">
        <f>IF(Profile!C1118="Profile",IF(Profile!A1120="ResourceRequirement","OK","XXX"),"XXX")</f>
        <v>XXX</v>
      </c>
    </row>
    <row r="1076" spans="1:4" x14ac:dyDescent="0.45">
      <c r="A1076">
        <f>ROW()</f>
        <v>1076</v>
      </c>
      <c r="B1076" t="str">
        <f>Profile!A1119</f>
        <v xml:space="preserve">   ConnectTypesSupported</v>
      </c>
      <c r="C1076">
        <f>Profile!AP1121</f>
        <v>0</v>
      </c>
      <c r="D1076" t="str">
        <f>IF(Profile!C1119="Profile",IF(Profile!A1121="ResourceRequirement","OK","XXX"),"XXX")</f>
        <v>XXX</v>
      </c>
    </row>
    <row r="1077" spans="1:4" x14ac:dyDescent="0.45">
      <c r="A1077">
        <f>ROW()</f>
        <v>1077</v>
      </c>
      <c r="B1077" t="str">
        <f>Profile!A1120</f>
        <v xml:space="preserve">   MaxConcurrentSessions</v>
      </c>
      <c r="C1077">
        <f>Profile!AP1122</f>
        <v>0</v>
      </c>
      <c r="D1077" t="str">
        <f>IF(Profile!C1120="Profile",IF(Profile!A1122="ResourceRequirement","OK","XXX"),"XXX")</f>
        <v>XXX</v>
      </c>
    </row>
    <row r="1078" spans="1:4" x14ac:dyDescent="0.45">
      <c r="A1078">
        <f>ROW()</f>
        <v>1078</v>
      </c>
      <c r="B1078" t="str">
        <f>Profile!A1121</f>
        <v xml:space="preserve">   ServiceEnabled</v>
      </c>
      <c r="C1078">
        <f>Profile!AP1123</f>
        <v>0</v>
      </c>
      <c r="D1078" t="str">
        <f>IF(Profile!C1121="Profile",IF(Profile!A1123="ResourceRequirement","OK","XXX"),"XXX")</f>
        <v>XXX</v>
      </c>
    </row>
    <row r="1079" spans="1:4" x14ac:dyDescent="0.45">
      <c r="A1079">
        <f>ROW()</f>
        <v>1079</v>
      </c>
      <c r="B1079" t="str">
        <f>Profile!A1122</f>
        <v>SerialInterfaces</v>
      </c>
      <c r="C1079">
        <f>Profile!AP1124</f>
        <v>0</v>
      </c>
      <c r="D1079" t="str">
        <f>IF(Profile!C1122="Profile",IF(Profile!A1124="ResourceRequirement","OK","XXX"),"XXX")</f>
        <v>XXX</v>
      </c>
    </row>
    <row r="1080" spans="1:4" x14ac:dyDescent="0.45">
      <c r="A1080">
        <f>ROW()</f>
        <v>1080</v>
      </c>
      <c r="B1080" t="str">
        <f>Profile!A1123</f>
        <v xml:space="preserve">   @odata.id</v>
      </c>
      <c r="C1080">
        <f>Profile!AP1125</f>
        <v>0</v>
      </c>
      <c r="D1080" t="str">
        <f>IF(Profile!C1123="Profile",IF(Profile!A1125="ResourceRequirement","OK","XXX"),"XXX")</f>
        <v>XXX</v>
      </c>
    </row>
    <row r="1081" spans="1:4" x14ac:dyDescent="0.45">
      <c r="A1081">
        <f>ROW()</f>
        <v>1081</v>
      </c>
      <c r="B1081" t="str">
        <f>Profile!A1124</f>
        <v>ServiceEntryPointUUID</v>
      </c>
      <c r="C1081">
        <f>Profile!AP1128</f>
        <v>0</v>
      </c>
      <c r="D1081" t="str">
        <f>IF(Profile!C1124="Profile",IF(Profile!A1128="ResourceRequirement","OK","XXX"),"XXX")</f>
        <v>XXX</v>
      </c>
    </row>
    <row r="1082" spans="1:4" x14ac:dyDescent="0.45">
      <c r="A1082">
        <f>ROW()</f>
        <v>1082</v>
      </c>
      <c r="B1082" t="str">
        <f>Profile!A1125</f>
        <v>Status</v>
      </c>
      <c r="C1082">
        <f>Profile!AP1129</f>
        <v>0</v>
      </c>
      <c r="D1082" t="str">
        <f>IF(Profile!C1125="Profile",IF(Profile!A1129="ResourceRequirement","OK","XXX"),"XXX")</f>
        <v>XXX</v>
      </c>
    </row>
    <row r="1083" spans="1:4" x14ac:dyDescent="0.45">
      <c r="A1083">
        <f>ROW()</f>
        <v>1083</v>
      </c>
      <c r="B1083" t="str">
        <f>Profile!A1128</f>
        <v>UUID</v>
      </c>
      <c r="C1083">
        <f>Profile!AP1130</f>
        <v>0</v>
      </c>
      <c r="D1083" t="str">
        <f>IF(Profile!C1128="Profile",IF(Profile!A1130="ResourceRequirement","OK","XXX"),"XXX")</f>
        <v>XXX</v>
      </c>
    </row>
    <row r="1084" spans="1:4" x14ac:dyDescent="0.45">
      <c r="A1084">
        <f>ROW()</f>
        <v>1084</v>
      </c>
      <c r="B1084" t="str">
        <f>Profile!A1129</f>
        <v>VirtualMedia</v>
      </c>
      <c r="C1084">
        <f>Profile!AP1131</f>
        <v>0</v>
      </c>
      <c r="D1084" t="str">
        <f>IF(Profile!C1129="Profile",IF(Profile!A1131="ResourceRequirement","OK","XXX"),"XXX")</f>
        <v>XXX</v>
      </c>
    </row>
    <row r="1085" spans="1:4" x14ac:dyDescent="0.45">
      <c r="A1085">
        <f>ROW()</f>
        <v>1085</v>
      </c>
      <c r="B1085" t="str">
        <f>Profile!A1130</f>
        <v xml:space="preserve">   @odata.id</v>
      </c>
      <c r="C1085">
        <f>Profile!AP1132</f>
        <v>0</v>
      </c>
      <c r="D1085" t="str">
        <f>IF(Profile!C1130="Profile",IF(Profile!A1132="ResourceRequirement","OK","XXX"),"XXX")</f>
        <v>XXX</v>
      </c>
    </row>
    <row r="1086" spans="1:4" x14ac:dyDescent="0.45">
      <c r="A1086">
        <f>ROW()</f>
        <v>1086</v>
      </c>
      <c r="B1086" t="str">
        <f>Profile!A1131</f>
        <v>Manager URIs</v>
      </c>
      <c r="C1086">
        <f>Profile!AP1133</f>
        <v>0</v>
      </c>
      <c r="D1086" t="str">
        <f>IF(Profile!C1131="Profile",IF(Profile!A1133="ResourceRequirement","OK","XXX"),"XXX")</f>
        <v>XXX</v>
      </c>
    </row>
    <row r="1087" spans="1:4" x14ac:dyDescent="0.45">
      <c r="A1087">
        <f>ROW()</f>
        <v>1087</v>
      </c>
      <c r="B1087" t="str">
        <f>Profile!A1132</f>
        <v>/redfish/v1/Managers/{ManagerId}</v>
      </c>
      <c r="C1087">
        <f>Profile!AP1134</f>
        <v>0</v>
      </c>
      <c r="D1087" t="str">
        <f>IF(Profile!C1132="Profile",IF(Profile!A1134="ResourceRequirement","OK","XXX"),"XXX")</f>
        <v>XXX</v>
      </c>
    </row>
    <row r="1088" spans="1:4" x14ac:dyDescent="0.45">
      <c r="A1088">
        <f>ROW()</f>
        <v>1088</v>
      </c>
      <c r="B1088">
        <f>Profile!A1133</f>
        <v>0</v>
      </c>
      <c r="C1088">
        <f>Profile!AP1135</f>
        <v>0</v>
      </c>
      <c r="D1088" t="str">
        <f>IF(Profile!C1133="Profile",IF(Profile!A1135="ResourceRequirement","OK","XXX"),"XXX")</f>
        <v>XXX</v>
      </c>
    </row>
    <row r="1089" spans="1:4" x14ac:dyDescent="0.45">
      <c r="A1089">
        <f>ROW()</f>
        <v>1089</v>
      </c>
      <c r="B1089" t="str">
        <f>Profile!A1134</f>
        <v>1.1.3.3               SerialInterface</v>
      </c>
      <c r="C1089">
        <f>Profile!AP1136</f>
        <v>0</v>
      </c>
      <c r="D1089" t="str">
        <f>IF(Profile!C1134="Profile",IF(Profile!A1136="ResourceRequirement","OK","XXX"),"XXX")</f>
        <v>XXX</v>
      </c>
    </row>
    <row r="1090" spans="1:4" x14ac:dyDescent="0.45">
      <c r="A1090">
        <f>ROW()</f>
        <v>1090</v>
      </c>
      <c r="B1090" t="str">
        <f>Profile!A1135</f>
        <v>A SerialInterface resource defines an asynchronous serial interface.</v>
      </c>
      <c r="C1090">
        <f>Profile!AP1137</f>
        <v>0</v>
      </c>
      <c r="D1090" t="str">
        <f>IF(Profile!C1135="Profile",IF(Profile!A1137="ResourceRequirement","OK","XXX"),"XXX")</f>
        <v>XXX</v>
      </c>
    </row>
    <row r="1091" spans="1:4" x14ac:dyDescent="0.45">
      <c r="A1091">
        <f>ROW()</f>
        <v>1091</v>
      </c>
      <c r="B1091" t="str">
        <f>Profile!A1136</f>
        <v>Table 34: O-PAS Profile Map for the Redfish SerialInterface Resource</v>
      </c>
      <c r="C1091">
        <f>Profile!AP1138</f>
        <v>0</v>
      </c>
      <c r="D1091" t="str">
        <f>IF(Profile!C1136="Profile",IF(Profile!A1138="ResourceRequirement","OK","XXX"),"XXX")</f>
        <v>XXX</v>
      </c>
    </row>
    <row r="1092" spans="1:4" x14ac:dyDescent="0.45">
      <c r="A1092">
        <f>ROW()</f>
        <v>1092</v>
      </c>
      <c r="B1092" t="str">
        <f>Profile!A1137</f>
        <v>SerialInterface (1.1.3)</v>
      </c>
      <c r="C1092">
        <f>Profile!AP1139</f>
        <v>0</v>
      </c>
      <c r="D1092" t="str">
        <f>IF(Profile!C1137="Profile",IF(Profile!A1139="ResourceRequirement","OK","XXX"),"XXX")</f>
        <v>XXX</v>
      </c>
    </row>
    <row r="1093" spans="1:4" x14ac:dyDescent="0.45">
      <c r="A1093">
        <f>ROW()</f>
        <v>1093</v>
      </c>
      <c r="B1093">
        <f>Profile!A1138</f>
        <v>0</v>
      </c>
      <c r="C1093">
        <f>Profile!AP1140</f>
        <v>0</v>
      </c>
      <c r="D1093" t="str">
        <f>IF(Profile!C1138="Profile",IF(Profile!A1140="ResourceRequirement","OK","XXX"),"XXX")</f>
        <v>XXX</v>
      </c>
    </row>
    <row r="1094" spans="1:4" x14ac:dyDescent="0.45">
      <c r="A1094">
        <f>ROW()</f>
        <v>1094</v>
      </c>
      <c r="B1094" t="str">
        <f>Profile!A1139</f>
        <v>SerialInterface (1.1.4)</v>
      </c>
      <c r="C1094">
        <f>Profile!AP1141</f>
        <v>52</v>
      </c>
      <c r="D1094" t="str">
        <f>IF(Profile!C1139="Profile",IF(Profile!A1141="ResourceRequirement","OK","XXX"),"XXX")</f>
        <v>OK</v>
      </c>
    </row>
    <row r="1095" spans="1:4" x14ac:dyDescent="0.45">
      <c r="A1095">
        <f>ROW()</f>
        <v>1095</v>
      </c>
      <c r="B1095">
        <f>Profile!A1140</f>
        <v>0</v>
      </c>
      <c r="C1095">
        <f>Profile!AP1142</f>
        <v>0</v>
      </c>
      <c r="D1095" t="str">
        <f>IF(Profile!C1140="Profile",IF(Profile!A1142="ResourceRequirement","OK","XXX"),"XXX")</f>
        <v>XXX</v>
      </c>
    </row>
    <row r="1096" spans="1:4" x14ac:dyDescent="0.45">
      <c r="A1096">
        <f>ROW()</f>
        <v>1096</v>
      </c>
      <c r="B1096" t="str">
        <f>Profile!A1141</f>
        <v>ResourceRequirement</v>
      </c>
      <c r="C1096">
        <f>Profile!AP1143</f>
        <v>0</v>
      </c>
      <c r="D1096" t="str">
        <f>IF(Profile!C1141="Profile",IF(Profile!A1143="ResourceRequirement","OK","XXX"),"XXX")</f>
        <v>XXX</v>
      </c>
    </row>
    <row r="1097" spans="1:4" x14ac:dyDescent="0.45">
      <c r="A1097">
        <f>ROW()</f>
        <v>1097</v>
      </c>
      <c r="B1097" t="str">
        <f>Profile!A1142</f>
        <v>Resource MinVersion</v>
      </c>
      <c r="C1097">
        <f>Profile!AP1144</f>
        <v>0</v>
      </c>
      <c r="D1097" t="str">
        <f>IF(Profile!C1142="Profile",IF(Profile!A1144="ResourceRequirement","OK","XXX"),"XXX")</f>
        <v>XXX</v>
      </c>
    </row>
    <row r="1098" spans="1:4" x14ac:dyDescent="0.45">
      <c r="A1098">
        <f>ROW()</f>
        <v>1098</v>
      </c>
      <c r="B1098" t="str">
        <f>Profile!A1143</f>
        <v>Property</v>
      </c>
      <c r="C1098">
        <f>Profile!AP1145</f>
        <v>0</v>
      </c>
      <c r="D1098" t="str">
        <f>IF(Profile!C1143="Profile",IF(Profile!A1145="ResourceRequirement","OK","XXX"),"XXX")</f>
        <v>XXX</v>
      </c>
    </row>
    <row r="1099" spans="1:4" x14ac:dyDescent="0.45">
      <c r="A1099">
        <f>ROW()</f>
        <v>1099</v>
      </c>
      <c r="B1099" t="str">
        <f>Profile!A1144</f>
        <v>Actions</v>
      </c>
      <c r="C1099">
        <f>Profile!AP1146</f>
        <v>0</v>
      </c>
      <c r="D1099" t="str">
        <f>IF(Profile!C1144="Profile",IF(Profile!A1146="ResourceRequirement","OK","XXX"),"XXX")</f>
        <v>XXX</v>
      </c>
    </row>
    <row r="1100" spans="1:4" x14ac:dyDescent="0.45">
      <c r="A1100">
        <f>ROW()</f>
        <v>1100</v>
      </c>
      <c r="B1100" t="str">
        <f>Profile!A1145</f>
        <v>BitRate</v>
      </c>
      <c r="C1100">
        <f>Profile!AP1147</f>
        <v>0</v>
      </c>
      <c r="D1100" t="str">
        <f>IF(Profile!C1145="Profile",IF(Profile!A1147="ResourceRequirement","OK","XXX"),"XXX")</f>
        <v>XXX</v>
      </c>
    </row>
    <row r="1101" spans="1:4" x14ac:dyDescent="0.45">
      <c r="A1101">
        <f>ROW()</f>
        <v>1101</v>
      </c>
      <c r="B1101" t="str">
        <f>Profile!A1146</f>
        <v>ConnectorType</v>
      </c>
      <c r="C1101">
        <f>Profile!AP1148</f>
        <v>0</v>
      </c>
      <c r="D1101" t="str">
        <f>IF(Profile!C1146="Profile",IF(Profile!A1148="ResourceRequirement","OK","XXX"),"XXX")</f>
        <v>XXX</v>
      </c>
    </row>
    <row r="1102" spans="1:4" x14ac:dyDescent="0.45">
      <c r="A1102">
        <f>ROW()</f>
        <v>1102</v>
      </c>
      <c r="B1102" t="str">
        <f>Profile!A1147</f>
        <v>DataBits</v>
      </c>
      <c r="C1102">
        <f>Profile!AP1149</f>
        <v>0</v>
      </c>
      <c r="D1102" t="str">
        <f>IF(Profile!C1147="Profile",IF(Profile!A1149="ResourceRequirement","OK","XXX"),"XXX")</f>
        <v>XXX</v>
      </c>
    </row>
    <row r="1103" spans="1:4" x14ac:dyDescent="0.45">
      <c r="A1103">
        <f>ROW()</f>
        <v>1103</v>
      </c>
      <c r="B1103" t="str">
        <f>Profile!A1148</f>
        <v>FlowControl</v>
      </c>
      <c r="C1103">
        <f>Profile!AP1150</f>
        <v>0</v>
      </c>
      <c r="D1103" t="str">
        <f>IF(Profile!C1148="Profile",IF(Profile!A1150="ResourceRequirement","OK","XXX"),"XXX")</f>
        <v>XXX</v>
      </c>
    </row>
    <row r="1104" spans="1:4" x14ac:dyDescent="0.45">
      <c r="A1104">
        <f>ROW()</f>
        <v>1104</v>
      </c>
      <c r="B1104" t="str">
        <f>Profile!A1149</f>
        <v>InterfaceEnabled</v>
      </c>
      <c r="C1104">
        <f>Profile!AP1151</f>
        <v>0</v>
      </c>
      <c r="D1104" t="str">
        <f>IF(Profile!C1149="Profile",IF(Profile!A1151="ResourceRequirement","OK","XXX"),"XXX")</f>
        <v>XXX</v>
      </c>
    </row>
    <row r="1105" spans="1:4" x14ac:dyDescent="0.45">
      <c r="A1105">
        <f>ROW()</f>
        <v>1105</v>
      </c>
      <c r="B1105" t="str">
        <f>Profile!A1150</f>
        <v>Parity</v>
      </c>
      <c r="C1105">
        <f>Profile!AP1152</f>
        <v>0</v>
      </c>
      <c r="D1105" t="str">
        <f>IF(Profile!C1150="Profile",IF(Profile!A1152="ResourceRequirement","OK","XXX"),"XXX")</f>
        <v>XXX</v>
      </c>
    </row>
    <row r="1106" spans="1:4" x14ac:dyDescent="0.45">
      <c r="A1106">
        <f>ROW()</f>
        <v>1106</v>
      </c>
      <c r="B1106" t="str">
        <f>Profile!A1151</f>
        <v>PinOut</v>
      </c>
      <c r="C1106">
        <f>Profile!AP1153</f>
        <v>0</v>
      </c>
      <c r="D1106" t="str">
        <f>IF(Profile!C1151="Profile",IF(Profile!A1153="ResourceRequirement","OK","XXX"),"XXX")</f>
        <v>XXX</v>
      </c>
    </row>
    <row r="1107" spans="1:4" x14ac:dyDescent="0.45">
      <c r="A1107">
        <f>ROW()</f>
        <v>1107</v>
      </c>
      <c r="B1107" t="str">
        <f>Profile!A1152</f>
        <v>SignalType</v>
      </c>
      <c r="C1107">
        <f>Profile!AP1154</f>
        <v>0</v>
      </c>
      <c r="D1107" t="str">
        <f>IF(Profile!C1152="Profile",IF(Profile!A1154="ResourceRequirement","OK","XXX"),"XXX")</f>
        <v>XXX</v>
      </c>
    </row>
    <row r="1108" spans="1:4" x14ac:dyDescent="0.45">
      <c r="A1108">
        <f>ROW()</f>
        <v>1108</v>
      </c>
      <c r="B1108" t="str">
        <f>Profile!A1153</f>
        <v>StopBits</v>
      </c>
      <c r="C1108">
        <f>Profile!AP1155</f>
        <v>0</v>
      </c>
      <c r="D1108" t="str">
        <f>IF(Profile!C1153="Profile",IF(Profile!A1155="ResourceRequirement","OK","XXX"),"XXX")</f>
        <v>XXX</v>
      </c>
    </row>
    <row r="1109" spans="1:4" x14ac:dyDescent="0.45">
      <c r="A1109">
        <f>ROW()</f>
        <v>1109</v>
      </c>
      <c r="B1109" t="str">
        <f>Profile!A1154</f>
        <v>SerialInterface URIs</v>
      </c>
      <c r="C1109">
        <f>Profile!AP1156</f>
        <v>0</v>
      </c>
      <c r="D1109" t="str">
        <f>IF(Profile!C1154="Profile",IF(Profile!A1156="ResourceRequirement","OK","XXX"),"XXX")</f>
        <v>XXX</v>
      </c>
    </row>
    <row r="1110" spans="1:4" x14ac:dyDescent="0.45">
      <c r="A1110">
        <f>ROW()</f>
        <v>1110</v>
      </c>
      <c r="B1110" t="str">
        <f>Profile!A1155</f>
        <v>/redfish/v1/Managers/{ManagerId}/SerialInterfaces/{SerialInterfaceId}</v>
      </c>
      <c r="C1110">
        <f>Profile!AP1157</f>
        <v>0</v>
      </c>
      <c r="D1110" t="str">
        <f>IF(Profile!C1155="Profile",IF(Profile!A1157="ResourceRequirement","OK","XXX"),"XXX")</f>
        <v>XXX</v>
      </c>
    </row>
    <row r="1111" spans="1:4" x14ac:dyDescent="0.45">
      <c r="A1111">
        <f>ROW()</f>
        <v>1111</v>
      </c>
      <c r="B1111">
        <f>Profile!A1156</f>
        <v>0</v>
      </c>
      <c r="C1111">
        <f>Profile!AP1158</f>
        <v>0</v>
      </c>
      <c r="D1111" t="str">
        <f>IF(Profile!C1156="Profile",IF(Profile!A1158="ResourceRequirement","OK","XXX"),"XXX")</f>
        <v>XXX</v>
      </c>
    </row>
    <row r="1112" spans="1:4" x14ac:dyDescent="0.45">
      <c r="A1112">
        <f>ROW()</f>
        <v>1112</v>
      </c>
      <c r="B1112" t="str">
        <f>Profile!A1157</f>
        <v>1.1.3.4               ServiceRoot</v>
      </c>
      <c r="C1112">
        <f>Profile!AP1159</f>
        <v>0</v>
      </c>
      <c r="D1112" t="str">
        <f>IF(Profile!C1157="Profile",IF(Profile!A1159="ResourceRequirement","OK","XXX"),"XXX")</f>
        <v>XXX</v>
      </c>
    </row>
    <row r="1113" spans="1:4" x14ac:dyDescent="0.45">
      <c r="A1113">
        <f>ROW()</f>
        <v>1113</v>
      </c>
      <c r="B1113" t="str">
        <f>Profile!A1158</f>
        <v>The ServiceRoot resource represents the root Redfish service.</v>
      </c>
      <c r="C1113">
        <f>Profile!AP1160</f>
        <v>0</v>
      </c>
      <c r="D1113" t="str">
        <f>IF(Profile!C1158="Profile",IF(Profile!A1160="ResourceRequirement","OK","XXX"),"XXX")</f>
        <v>XXX</v>
      </c>
    </row>
    <row r="1114" spans="1:4" x14ac:dyDescent="0.45">
      <c r="A1114">
        <f>ROW()</f>
        <v>1114</v>
      </c>
      <c r="B1114" t="str">
        <f>Profile!A1159</f>
        <v>Table 35: O-PAS Profile Map for the Redfish ServiceRoot Service</v>
      </c>
      <c r="C1114">
        <f>Profile!AP1161</f>
        <v>0</v>
      </c>
      <c r="D1114" t="str">
        <f>IF(Profile!C1159="Profile",IF(Profile!A1161="ResourceRequirement","OK","XXX"),"XXX")</f>
        <v>XXX</v>
      </c>
    </row>
    <row r="1115" spans="1:4" x14ac:dyDescent="0.45">
      <c r="A1115">
        <f>ROW()</f>
        <v>1115</v>
      </c>
      <c r="B1115" t="str">
        <f>Profile!A1160</f>
        <v>ServiceRoot (1.4.0)</v>
      </c>
      <c r="C1115">
        <f>Profile!AP1162</f>
        <v>0</v>
      </c>
      <c r="D1115" t="str">
        <f>IF(Profile!C1160="Profile",IF(Profile!A1162="ResourceRequirement","OK","XXX"),"XXX")</f>
        <v>XXX</v>
      </c>
    </row>
    <row r="1116" spans="1:4" x14ac:dyDescent="0.45">
      <c r="A1116">
        <f>ROW()</f>
        <v>1116</v>
      </c>
      <c r="B1116">
        <f>Profile!A1161</f>
        <v>0</v>
      </c>
      <c r="C1116">
        <f>Profile!AP1163</f>
        <v>0</v>
      </c>
      <c r="D1116" t="str">
        <f>IF(Profile!C1161="Profile",IF(Profile!A1163="ResourceRequirement","OK","XXX"),"XXX")</f>
        <v>XXX</v>
      </c>
    </row>
    <row r="1117" spans="1:4" x14ac:dyDescent="0.45">
      <c r="A1117">
        <f>ROW()</f>
        <v>1117</v>
      </c>
      <c r="B1117" t="str">
        <f>Profile!A1162</f>
        <v>ServiceRoot (1.5.1)</v>
      </c>
      <c r="C1117">
        <f>Profile!AP1164</f>
        <v>53</v>
      </c>
      <c r="D1117" t="str">
        <f>IF(Profile!C1162="Profile",IF(Profile!A1164="ResourceRequirement","OK","XXX"),"XXX")</f>
        <v>OK</v>
      </c>
    </row>
    <row r="1118" spans="1:4" x14ac:dyDescent="0.45">
      <c r="A1118">
        <f>ROW()</f>
        <v>1118</v>
      </c>
      <c r="B1118">
        <f>Profile!A1163</f>
        <v>0</v>
      </c>
      <c r="C1118">
        <f>Profile!AP1165</f>
        <v>0</v>
      </c>
      <c r="D1118" t="str">
        <f>IF(Profile!C1163="Profile",IF(Profile!A1165="ResourceRequirement","OK","XXX"),"XXX")</f>
        <v>XXX</v>
      </c>
    </row>
    <row r="1119" spans="1:4" x14ac:dyDescent="0.45">
      <c r="A1119">
        <f>ROW()</f>
        <v>1119</v>
      </c>
      <c r="B1119" t="str">
        <f>Profile!A1164</f>
        <v>ResourceRequirement</v>
      </c>
      <c r="C1119">
        <f>Profile!AP1166</f>
        <v>0</v>
      </c>
      <c r="D1119" t="str">
        <f>IF(Profile!C1164="Profile",IF(Profile!A1166="ResourceRequirement","OK","XXX"),"XXX")</f>
        <v>XXX</v>
      </c>
    </row>
    <row r="1120" spans="1:4" x14ac:dyDescent="0.45">
      <c r="A1120">
        <f>ROW()</f>
        <v>1120</v>
      </c>
      <c r="B1120" t="str">
        <f>Profile!A1165</f>
        <v>Resource MinVersion</v>
      </c>
      <c r="C1120">
        <f>Profile!AP1167</f>
        <v>0</v>
      </c>
      <c r="D1120" t="str">
        <f>IF(Profile!C1165="Profile",IF(Profile!A1167="ResourceRequirement","OK","XXX"),"XXX")</f>
        <v>XXX</v>
      </c>
    </row>
    <row r="1121" spans="1:4" x14ac:dyDescent="0.45">
      <c r="A1121">
        <f>ROW()</f>
        <v>1121</v>
      </c>
      <c r="B1121" t="str">
        <f>Profile!A1166</f>
        <v>Property</v>
      </c>
      <c r="C1121">
        <f>Profile!AP1168</f>
        <v>0</v>
      </c>
      <c r="D1121" t="str">
        <f>IF(Profile!C1166="Profile",IF(Profile!A1168="ResourceRequirement","OK","XXX"),"XXX")</f>
        <v>XXX</v>
      </c>
    </row>
    <row r="1122" spans="1:4" x14ac:dyDescent="0.45">
      <c r="A1122">
        <f>ROW()</f>
        <v>1122</v>
      </c>
      <c r="B1122" t="str">
        <f>Profile!A1167</f>
        <v>AccountService</v>
      </c>
      <c r="C1122">
        <f>Profile!AP1169</f>
        <v>0</v>
      </c>
      <c r="D1122" t="str">
        <f>IF(Profile!C1167="Profile",IF(Profile!A1169="ResourceRequirement","OK","XXX"),"XXX")</f>
        <v>XXX</v>
      </c>
    </row>
    <row r="1123" spans="1:4" x14ac:dyDescent="0.45">
      <c r="A1123">
        <f>ROW()</f>
        <v>1123</v>
      </c>
      <c r="B1123" t="str">
        <f>Profile!A1168</f>
        <v xml:space="preserve">   @odata.id</v>
      </c>
      <c r="C1123">
        <f>Profile!AP1170</f>
        <v>0</v>
      </c>
      <c r="D1123" t="str">
        <f>IF(Profile!C1168="Profile",IF(Profile!A1170="ResourceRequirement","OK","XXX"),"XXX")</f>
        <v>XXX</v>
      </c>
    </row>
    <row r="1124" spans="1:4" x14ac:dyDescent="0.45">
      <c r="A1124">
        <f>ROW()</f>
        <v>1124</v>
      </c>
      <c r="B1124" t="str">
        <f>Profile!A1169</f>
        <v>CertificateService</v>
      </c>
      <c r="C1124">
        <f>Profile!AP1171</f>
        <v>0</v>
      </c>
      <c r="D1124" t="str">
        <f>IF(Profile!C1169="Profile",IF(Profile!A1171="ResourceRequirement","OK","XXX"),"XXX")</f>
        <v>XXX</v>
      </c>
    </row>
    <row r="1125" spans="1:4" x14ac:dyDescent="0.45">
      <c r="A1125">
        <f>ROW()</f>
        <v>1125</v>
      </c>
      <c r="B1125" t="str">
        <f>Profile!A1170</f>
        <v xml:space="preserve">   @odata.id</v>
      </c>
      <c r="C1125">
        <f>Profile!AP1172</f>
        <v>0</v>
      </c>
      <c r="D1125" t="str">
        <f>IF(Profile!C1170="Profile",IF(Profile!A1172="ResourceRequirement","OK","XXX"),"XXX")</f>
        <v>XXX</v>
      </c>
    </row>
    <row r="1126" spans="1:4" x14ac:dyDescent="0.45">
      <c r="A1126">
        <f>ROW()</f>
        <v>1126</v>
      </c>
      <c r="B1126" t="str">
        <f>Profile!A1171</f>
        <v>Chassis</v>
      </c>
      <c r="C1126">
        <f>Profile!AP1173</f>
        <v>0</v>
      </c>
      <c r="D1126" t="str">
        <f>IF(Profile!C1171="Profile",IF(Profile!A1173="ResourceRequirement","OK","XXX"),"XXX")</f>
        <v>XXX</v>
      </c>
    </row>
    <row r="1127" spans="1:4" x14ac:dyDescent="0.45">
      <c r="A1127">
        <f>ROW()</f>
        <v>1127</v>
      </c>
      <c r="B1127" t="str">
        <f>Profile!A1172</f>
        <v xml:space="preserve">   @odata.id</v>
      </c>
      <c r="C1127">
        <f>Profile!AP1174</f>
        <v>0</v>
      </c>
      <c r="D1127" t="str">
        <f>IF(Profile!C1172="Profile",IF(Profile!A1174="ResourceRequirement","OK","XXX"),"XXX")</f>
        <v>XXX</v>
      </c>
    </row>
    <row r="1128" spans="1:4" x14ac:dyDescent="0.45">
      <c r="A1128">
        <f>ROW()</f>
        <v>1128</v>
      </c>
      <c r="B1128" t="str">
        <f>Profile!A1173</f>
        <v>CompositionService</v>
      </c>
      <c r="C1128">
        <f>Profile!AP1175</f>
        <v>0</v>
      </c>
      <c r="D1128" t="str">
        <f>IF(Profile!C1173="Profile",IF(Profile!A1175="ResourceRequirement","OK","XXX"),"XXX")</f>
        <v>XXX</v>
      </c>
    </row>
    <row r="1129" spans="1:4" x14ac:dyDescent="0.45">
      <c r="A1129">
        <f>ROW()</f>
        <v>1129</v>
      </c>
      <c r="B1129" t="str">
        <f>Profile!A1174</f>
        <v xml:space="preserve">   @odata.id</v>
      </c>
      <c r="C1129">
        <f>Profile!AP1176</f>
        <v>0</v>
      </c>
      <c r="D1129" t="str">
        <f>IF(Profile!C1174="Profile",IF(Profile!A1176="ResourceRequirement","OK","XXX"),"XXX")</f>
        <v>XXX</v>
      </c>
    </row>
    <row r="1130" spans="1:4" x14ac:dyDescent="0.45">
      <c r="A1130">
        <f>ROW()</f>
        <v>1130</v>
      </c>
      <c r="B1130" t="str">
        <f>Profile!A1175</f>
        <v>EventService</v>
      </c>
      <c r="C1130">
        <f>Profile!AP1177</f>
        <v>0</v>
      </c>
      <c r="D1130" t="str">
        <f>IF(Profile!C1175="Profile",IF(Profile!A1177="ResourceRequirement","OK","XXX"),"XXX")</f>
        <v>XXX</v>
      </c>
    </row>
    <row r="1131" spans="1:4" x14ac:dyDescent="0.45">
      <c r="A1131">
        <f>ROW()</f>
        <v>1131</v>
      </c>
      <c r="B1131" t="str">
        <f>Profile!A1176</f>
        <v xml:space="preserve">   @odata.id</v>
      </c>
      <c r="C1131">
        <f>Profile!AP1178</f>
        <v>0</v>
      </c>
      <c r="D1131" t="str">
        <f>IF(Profile!C1176="Profile",IF(Profile!A1178="ResourceRequirement","OK","XXX"),"XXX")</f>
        <v>XXX</v>
      </c>
    </row>
    <row r="1132" spans="1:4" x14ac:dyDescent="0.45">
      <c r="A1132">
        <f>ROW()</f>
        <v>1132</v>
      </c>
      <c r="B1132" t="str">
        <f>Profile!A1177</f>
        <v>Fabrics</v>
      </c>
      <c r="C1132">
        <f>Profile!AP1179</f>
        <v>0</v>
      </c>
      <c r="D1132" t="str">
        <f>IF(Profile!C1177="Profile",IF(Profile!A1179="ResourceRequirement","OK","XXX"),"XXX")</f>
        <v>XXX</v>
      </c>
    </row>
    <row r="1133" spans="1:4" x14ac:dyDescent="0.45">
      <c r="A1133">
        <f>ROW()</f>
        <v>1133</v>
      </c>
      <c r="B1133" t="str">
        <f>Profile!A1178</f>
        <v xml:space="preserve">   @odata.id</v>
      </c>
      <c r="C1133">
        <f>Profile!AP1180</f>
        <v>0</v>
      </c>
      <c r="D1133" t="str">
        <f>IF(Profile!C1178="Profile",IF(Profile!A1180="ResourceRequirement","OK","XXX"),"XXX")</f>
        <v>XXX</v>
      </c>
    </row>
    <row r="1134" spans="1:4" x14ac:dyDescent="0.45">
      <c r="A1134">
        <f>ROW()</f>
        <v>1134</v>
      </c>
      <c r="B1134" t="str">
        <f>Profile!A1179</f>
        <v>JobService</v>
      </c>
      <c r="C1134">
        <f>Profile!AP1181</f>
        <v>0</v>
      </c>
      <c r="D1134" t="str">
        <f>IF(Profile!C1179="Profile",IF(Profile!A1181="ResourceRequirement","OK","XXX"),"XXX")</f>
        <v>XXX</v>
      </c>
    </row>
    <row r="1135" spans="1:4" x14ac:dyDescent="0.45">
      <c r="A1135">
        <f>ROW()</f>
        <v>1135</v>
      </c>
      <c r="B1135" t="str">
        <f>Profile!A1180</f>
        <v xml:space="preserve">   @odata.id</v>
      </c>
      <c r="C1135">
        <f>Profile!AP1182</f>
        <v>0</v>
      </c>
      <c r="D1135" t="str">
        <f>IF(Profile!C1180="Profile",IF(Profile!A1182="ResourceRequirement","OK","XXX"),"XXX")</f>
        <v>XXX</v>
      </c>
    </row>
    <row r="1136" spans="1:4" x14ac:dyDescent="0.45">
      <c r="A1136">
        <f>ROW()</f>
        <v>1136</v>
      </c>
      <c r="B1136" t="str">
        <f>Profile!A1181</f>
        <v>JsonSchemas</v>
      </c>
      <c r="C1136">
        <f>Profile!AP1183</f>
        <v>0</v>
      </c>
      <c r="D1136" t="str">
        <f>IF(Profile!C1181="Profile",IF(Profile!A1183="ResourceRequirement","OK","XXX"),"XXX")</f>
        <v>XXX</v>
      </c>
    </row>
    <row r="1137" spans="1:4" x14ac:dyDescent="0.45">
      <c r="A1137">
        <f>ROW()</f>
        <v>1137</v>
      </c>
      <c r="B1137" t="str">
        <f>Profile!A1182</f>
        <v xml:space="preserve">   @odata.id</v>
      </c>
      <c r="C1137">
        <f>Profile!AP1184</f>
        <v>0</v>
      </c>
      <c r="D1137" t="str">
        <f>IF(Profile!C1182="Profile",IF(Profile!A1184="ResourceRequirement","OK","XXX"),"XXX")</f>
        <v>XXX</v>
      </c>
    </row>
    <row r="1138" spans="1:4" x14ac:dyDescent="0.45">
      <c r="A1138">
        <f>ROW()</f>
        <v>1138</v>
      </c>
      <c r="B1138" t="str">
        <f>Profile!A1183</f>
        <v>Links</v>
      </c>
      <c r="C1138">
        <f>Profile!AP1185</f>
        <v>0</v>
      </c>
      <c r="D1138" t="str">
        <f>IF(Profile!C1183="Profile",IF(Profile!A1185="ResourceRequirement","OK","XXX"),"XXX")</f>
        <v>XXX</v>
      </c>
    </row>
    <row r="1139" spans="1:4" x14ac:dyDescent="0.45">
      <c r="A1139">
        <f>ROW()</f>
        <v>1139</v>
      </c>
      <c r="B1139" t="str">
        <f>Profile!A1184</f>
        <v xml:space="preserve">   Oem</v>
      </c>
      <c r="C1139">
        <f>Profile!AP1186</f>
        <v>0</v>
      </c>
      <c r="D1139" t="str">
        <f>IF(Profile!C1184="Profile",IF(Profile!A1186="ResourceRequirement","OK","XXX"),"XXX")</f>
        <v>XXX</v>
      </c>
    </row>
    <row r="1140" spans="1:4" x14ac:dyDescent="0.45">
      <c r="A1140">
        <f>ROW()</f>
        <v>1140</v>
      </c>
      <c r="B1140" t="str">
        <f>Profile!A1185</f>
        <v xml:space="preserve">   Sessions</v>
      </c>
      <c r="C1140">
        <f>Profile!AP1187</f>
        <v>0</v>
      </c>
      <c r="D1140" t="str">
        <f>IF(Profile!C1185="Profile",IF(Profile!A1187="ResourceRequirement","OK","XXX"),"XXX")</f>
        <v>XXX</v>
      </c>
    </row>
    <row r="1141" spans="1:4" x14ac:dyDescent="0.45">
      <c r="A1141">
        <f>ROW()</f>
        <v>1141</v>
      </c>
      <c r="B1141" t="str">
        <f>Profile!A1186</f>
        <v xml:space="preserve">      @odata.id</v>
      </c>
      <c r="C1141">
        <f>Profile!AP1188</f>
        <v>0</v>
      </c>
      <c r="D1141" t="str">
        <f>IF(Profile!C1186="Profile",IF(Profile!A1188="ResourceRequirement","OK","XXX"),"XXX")</f>
        <v>XXX</v>
      </c>
    </row>
    <row r="1142" spans="1:4" x14ac:dyDescent="0.45">
      <c r="A1142">
        <f>ROW()</f>
        <v>1142</v>
      </c>
      <c r="B1142" t="str">
        <f>Profile!A1187</f>
        <v>Managers</v>
      </c>
      <c r="C1142">
        <f>Profile!AP1189</f>
        <v>0</v>
      </c>
      <c r="D1142" t="str">
        <f>IF(Profile!C1187="Profile",IF(Profile!A1189="ResourceRequirement","OK","XXX"),"XXX")</f>
        <v>XXX</v>
      </c>
    </row>
    <row r="1143" spans="1:4" x14ac:dyDescent="0.45">
      <c r="A1143">
        <f>ROW()</f>
        <v>1143</v>
      </c>
      <c r="B1143" t="str">
        <f>Profile!A1188</f>
        <v xml:space="preserve">   @odata.id</v>
      </c>
      <c r="C1143">
        <f>Profile!AP1190</f>
        <v>0</v>
      </c>
      <c r="D1143" t="str">
        <f>IF(Profile!C1188="Profile",IF(Profile!A1190="ResourceRequirement","OK","XXX"),"XXX")</f>
        <v>XXX</v>
      </c>
    </row>
    <row r="1144" spans="1:4" x14ac:dyDescent="0.45">
      <c r="A1144">
        <f>ROW()</f>
        <v>1144</v>
      </c>
      <c r="B1144" t="str">
        <f>Profile!A1189</f>
        <v>Product</v>
      </c>
      <c r="C1144">
        <f>Profile!AP1191</f>
        <v>0</v>
      </c>
      <c r="D1144" t="str">
        <f>IF(Profile!C1189="Profile",IF(Profile!A1191="ResourceRequirement","OK","XXX"),"XXX")</f>
        <v>XXX</v>
      </c>
    </row>
    <row r="1145" spans="1:4" x14ac:dyDescent="0.45">
      <c r="A1145">
        <f>ROW()</f>
        <v>1145</v>
      </c>
      <c r="B1145" t="str">
        <f>Profile!A1190</f>
        <v>ProtocolFeaturesSupported</v>
      </c>
      <c r="C1145">
        <f>Profile!AP1192</f>
        <v>0</v>
      </c>
      <c r="D1145" t="str">
        <f>IF(Profile!C1190="Profile",IF(Profile!A1192="ResourceRequirement","OK","XXX"),"XXX")</f>
        <v>XXX</v>
      </c>
    </row>
    <row r="1146" spans="1:4" x14ac:dyDescent="0.45">
      <c r="A1146">
        <f>ROW()</f>
        <v>1146</v>
      </c>
      <c r="B1146" t="str">
        <f>Profile!A1191</f>
        <v xml:space="preserve">   ExpandQuery</v>
      </c>
      <c r="C1146">
        <f>Profile!AP1193</f>
        <v>0</v>
      </c>
      <c r="D1146" t="str">
        <f>IF(Profile!C1191="Profile",IF(Profile!A1193="ResourceRequirement","OK","XXX"),"XXX")</f>
        <v>XXX</v>
      </c>
    </row>
    <row r="1147" spans="1:4" x14ac:dyDescent="0.45">
      <c r="A1147">
        <f>ROW()</f>
        <v>1147</v>
      </c>
      <c r="B1147" t="str">
        <f>Profile!A1192</f>
        <v xml:space="preserve">   ExpandAll</v>
      </c>
      <c r="C1147">
        <f>Profile!AP1194</f>
        <v>0</v>
      </c>
      <c r="D1147" t="str">
        <f>IF(Profile!C1192="Profile",IF(Profile!A1194="ResourceRequirement","OK","XXX"),"XXX")</f>
        <v>XXX</v>
      </c>
    </row>
    <row r="1148" spans="1:4" x14ac:dyDescent="0.45">
      <c r="A1148">
        <f>ROW()</f>
        <v>1148</v>
      </c>
      <c r="B1148" t="str">
        <f>Profile!A1193</f>
        <v xml:space="preserve">   Levels</v>
      </c>
      <c r="C1148">
        <f>Profile!AP1195</f>
        <v>0</v>
      </c>
      <c r="D1148" t="str">
        <f>IF(Profile!C1193="Profile",IF(Profile!A1195="ResourceRequirement","OK","XXX"),"XXX")</f>
        <v>XXX</v>
      </c>
    </row>
    <row r="1149" spans="1:4" x14ac:dyDescent="0.45">
      <c r="A1149">
        <f>ROW()</f>
        <v>1149</v>
      </c>
      <c r="B1149" t="str">
        <f>Profile!A1194</f>
        <v xml:space="preserve">   Links</v>
      </c>
      <c r="C1149">
        <f>Profile!AP1196</f>
        <v>0</v>
      </c>
      <c r="D1149" t="str">
        <f>IF(Profile!C1194="Profile",IF(Profile!A1196="ResourceRequirement","OK","XXX"),"XXX")</f>
        <v>XXX</v>
      </c>
    </row>
    <row r="1150" spans="1:4" x14ac:dyDescent="0.45">
      <c r="A1150">
        <f>ROW()</f>
        <v>1150</v>
      </c>
      <c r="B1150" t="str">
        <f>Profile!A1195</f>
        <v xml:space="preserve">   MaxLevels</v>
      </c>
      <c r="C1150">
        <f>Profile!AP1197</f>
        <v>0</v>
      </c>
      <c r="D1150" t="str">
        <f>IF(Profile!C1195="Profile",IF(Profile!A1197="ResourceRequirement","OK","XXX"),"XXX")</f>
        <v>XXX</v>
      </c>
    </row>
    <row r="1151" spans="1:4" x14ac:dyDescent="0.45">
      <c r="A1151">
        <f>ROW()</f>
        <v>1151</v>
      </c>
      <c r="B1151" t="str">
        <f>Profile!A1196</f>
        <v xml:space="preserve">   NoLinks</v>
      </c>
      <c r="C1151">
        <f>Profile!AP1198</f>
        <v>0</v>
      </c>
      <c r="D1151" t="str">
        <f>IF(Profile!C1196="Profile",IF(Profile!A1198="ResourceRequirement","OK","XXX"),"XXX")</f>
        <v>XXX</v>
      </c>
    </row>
    <row r="1152" spans="1:4" x14ac:dyDescent="0.45">
      <c r="A1152">
        <f>ROW()</f>
        <v>1152</v>
      </c>
      <c r="B1152" t="str">
        <f>Profile!A1197</f>
        <v xml:space="preserve">   FilterQuery</v>
      </c>
      <c r="C1152">
        <f>Profile!AP1199</f>
        <v>0</v>
      </c>
      <c r="D1152" t="str">
        <f>IF(Profile!C1197="Profile",IF(Profile!A1199="ResourceRequirement","OK","XXX"),"XXX")</f>
        <v>XXX</v>
      </c>
    </row>
    <row r="1153" spans="1:4" x14ac:dyDescent="0.45">
      <c r="A1153">
        <f>ROW()</f>
        <v>1153</v>
      </c>
      <c r="B1153" t="str">
        <f>Profile!A1198</f>
        <v xml:space="preserve">   OnlyMemberQuery</v>
      </c>
      <c r="C1153">
        <f>Profile!AP1200</f>
        <v>0</v>
      </c>
      <c r="D1153" t="str">
        <f>IF(Profile!C1198="Profile",IF(Profile!A1200="ResourceRequirement","OK","XXX"),"XXX")</f>
        <v>XXX</v>
      </c>
    </row>
    <row r="1154" spans="1:4" x14ac:dyDescent="0.45">
      <c r="A1154">
        <f>ROW()</f>
        <v>1154</v>
      </c>
      <c r="B1154" t="str">
        <f>Profile!A1199</f>
        <v xml:space="preserve">   SelectQuery</v>
      </c>
      <c r="C1154">
        <f>Profile!AP1201</f>
        <v>0</v>
      </c>
      <c r="D1154" t="str">
        <f>IF(Profile!C1199="Profile",IF(Profile!A1201="ResourceRequirement","OK","XXX"),"XXX")</f>
        <v>XXX</v>
      </c>
    </row>
    <row r="1155" spans="1:4" x14ac:dyDescent="0.45">
      <c r="A1155">
        <f>ROW()</f>
        <v>1155</v>
      </c>
      <c r="B1155" t="str">
        <f>Profile!A1200</f>
        <v>RedfishVersion</v>
      </c>
      <c r="C1155">
        <f>Profile!AP1202</f>
        <v>0</v>
      </c>
      <c r="D1155" t="str">
        <f>IF(Profile!C1200="Profile",IF(Profile!A1202="ResourceRequirement","OK","XXX"),"XXX")</f>
        <v>XXX</v>
      </c>
    </row>
    <row r="1156" spans="1:4" x14ac:dyDescent="0.45">
      <c r="A1156">
        <f>ROW()</f>
        <v>1156</v>
      </c>
      <c r="B1156" t="str">
        <f>Profile!A1201</f>
        <v>Registries</v>
      </c>
      <c r="C1156">
        <f>Profile!AP1203</f>
        <v>0</v>
      </c>
      <c r="D1156" t="str">
        <f>IF(Profile!C1201="Profile",IF(Profile!A1203="ResourceRequirement","OK","XXX"),"XXX")</f>
        <v>XXX</v>
      </c>
    </row>
    <row r="1157" spans="1:4" x14ac:dyDescent="0.45">
      <c r="A1157">
        <f>ROW()</f>
        <v>1157</v>
      </c>
      <c r="B1157" t="str">
        <f>Profile!A1202</f>
        <v xml:space="preserve">   @odata.id</v>
      </c>
      <c r="C1157">
        <f>Profile!AP1204</f>
        <v>0</v>
      </c>
      <c r="D1157" t="str">
        <f>IF(Profile!C1202="Profile",IF(Profile!A1204="ResourceRequirement","OK","XXX"),"XXX")</f>
        <v>XXX</v>
      </c>
    </row>
    <row r="1158" spans="1:4" x14ac:dyDescent="0.45">
      <c r="A1158">
        <f>ROW()</f>
        <v>1158</v>
      </c>
      <c r="B1158" t="str">
        <f>Profile!A1203</f>
        <v>ResourceBlocks</v>
      </c>
      <c r="C1158">
        <f>Profile!AP1205</f>
        <v>0</v>
      </c>
      <c r="D1158" t="str">
        <f>IF(Profile!C1203="Profile",IF(Profile!A1205="ResourceRequirement","OK","XXX"),"XXX")</f>
        <v>XXX</v>
      </c>
    </row>
    <row r="1159" spans="1:4" x14ac:dyDescent="0.45">
      <c r="A1159">
        <f>ROW()</f>
        <v>1159</v>
      </c>
      <c r="B1159" t="str">
        <f>Profile!A1204</f>
        <v xml:space="preserve">   @odata.id</v>
      </c>
      <c r="C1159">
        <f>Profile!AP1206</f>
        <v>0</v>
      </c>
      <c r="D1159" t="str">
        <f>IF(Profile!C1204="Profile",IF(Profile!A1206="ResourceRequirement","OK","XXX"),"XXX")</f>
        <v>XXX</v>
      </c>
    </row>
    <row r="1160" spans="1:4" x14ac:dyDescent="0.45">
      <c r="A1160">
        <f>ROW()</f>
        <v>1160</v>
      </c>
      <c r="B1160" t="str">
        <f>Profile!A1205</f>
        <v>SessionService</v>
      </c>
      <c r="C1160">
        <f>Profile!AP1207</f>
        <v>0</v>
      </c>
      <c r="D1160" t="str">
        <f>IF(Profile!C1205="Profile",IF(Profile!A1207="ResourceRequirement","OK","XXX"),"XXX")</f>
        <v>XXX</v>
      </c>
    </row>
    <row r="1161" spans="1:4" x14ac:dyDescent="0.45">
      <c r="A1161">
        <f>ROW()</f>
        <v>1161</v>
      </c>
      <c r="B1161" t="str">
        <f>Profile!A1206</f>
        <v xml:space="preserve">   @odata.id</v>
      </c>
      <c r="C1161">
        <f>Profile!AP1208</f>
        <v>0</v>
      </c>
      <c r="D1161" t="str">
        <f>IF(Profile!C1206="Profile",IF(Profile!A1208="ResourceRequirement","OK","XXX"),"XXX")</f>
        <v>XXX</v>
      </c>
    </row>
    <row r="1162" spans="1:4" x14ac:dyDescent="0.45">
      <c r="A1162">
        <f>ROW()</f>
        <v>1162</v>
      </c>
      <c r="B1162" t="str">
        <f>Profile!A1207</f>
        <v>StorageServices</v>
      </c>
      <c r="C1162">
        <f>Profile!AP1209</f>
        <v>0</v>
      </c>
      <c r="D1162" t="str">
        <f>IF(Profile!C1207="Profile",IF(Profile!A1209="ResourceRequirement","OK","XXX"),"XXX")</f>
        <v>XXX</v>
      </c>
    </row>
    <row r="1163" spans="1:4" x14ac:dyDescent="0.45">
      <c r="A1163">
        <f>ROW()</f>
        <v>1163</v>
      </c>
      <c r="B1163" t="str">
        <f>Profile!A1208</f>
        <v xml:space="preserve">   @odata.id</v>
      </c>
      <c r="C1163">
        <f>Profile!AP1210</f>
        <v>0</v>
      </c>
      <c r="D1163" t="str">
        <f>IF(Profile!C1208="Profile",IF(Profile!A1210="ResourceRequirement","OK","XXX"),"XXX")</f>
        <v>XXX</v>
      </c>
    </row>
    <row r="1164" spans="1:4" x14ac:dyDescent="0.45">
      <c r="A1164">
        <f>ROW()</f>
        <v>1164</v>
      </c>
      <c r="B1164" t="str">
        <f>Profile!A1209</f>
        <v>StorageSystems</v>
      </c>
      <c r="C1164">
        <f>Profile!AP1211</f>
        <v>0</v>
      </c>
      <c r="D1164" t="str">
        <f>IF(Profile!C1209="Profile",IF(Profile!A1211="ResourceRequirement","OK","XXX"),"XXX")</f>
        <v>XXX</v>
      </c>
    </row>
    <row r="1165" spans="1:4" x14ac:dyDescent="0.45">
      <c r="A1165">
        <f>ROW()</f>
        <v>1165</v>
      </c>
      <c r="B1165" t="str">
        <f>Profile!A1210</f>
        <v xml:space="preserve">   @odata.id</v>
      </c>
      <c r="C1165">
        <f>Profile!AP1212</f>
        <v>0</v>
      </c>
      <c r="D1165" t="str">
        <f>IF(Profile!C1210="Profile",IF(Profile!A1212="ResourceRequirement","OK","XXX"),"XXX")</f>
        <v>XXX</v>
      </c>
    </row>
    <row r="1166" spans="1:4" x14ac:dyDescent="0.45">
      <c r="A1166">
        <f>ROW()</f>
        <v>1166</v>
      </c>
      <c r="B1166" t="str">
        <f>Profile!A1211</f>
        <v>Systems</v>
      </c>
      <c r="C1166">
        <f>Profile!AP1213</f>
        <v>0</v>
      </c>
      <c r="D1166" t="str">
        <f>IF(Profile!C1211="Profile",IF(Profile!A1213="ResourceRequirement","OK","XXX"),"XXX")</f>
        <v>XXX</v>
      </c>
    </row>
    <row r="1167" spans="1:4" x14ac:dyDescent="0.45">
      <c r="A1167">
        <f>ROW()</f>
        <v>1167</v>
      </c>
      <c r="B1167" t="str">
        <f>Profile!A1212</f>
        <v xml:space="preserve">   @odata.id</v>
      </c>
      <c r="C1167">
        <f>Profile!AP1214</f>
        <v>0</v>
      </c>
      <c r="D1167" t="str">
        <f>IF(Profile!C1212="Profile",IF(Profile!A1214="ResourceRequirement","OK","XXX"),"XXX")</f>
        <v>XXX</v>
      </c>
    </row>
    <row r="1168" spans="1:4" x14ac:dyDescent="0.45">
      <c r="A1168">
        <f>ROW()</f>
        <v>1168</v>
      </c>
      <c r="B1168" t="str">
        <f>Profile!A1213</f>
        <v>Tasks</v>
      </c>
      <c r="C1168">
        <f>Profile!AP1215</f>
        <v>0</v>
      </c>
      <c r="D1168" t="str">
        <f>IF(Profile!C1213="Profile",IF(Profile!A1215="ResourceRequirement","OK","XXX"),"XXX")</f>
        <v>XXX</v>
      </c>
    </row>
    <row r="1169" spans="1:4" x14ac:dyDescent="0.45">
      <c r="A1169">
        <f>ROW()</f>
        <v>1169</v>
      </c>
      <c r="B1169" t="str">
        <f>Profile!A1214</f>
        <v xml:space="preserve">   @odata.id</v>
      </c>
      <c r="C1169">
        <f>Profile!AP1216</f>
        <v>0</v>
      </c>
      <c r="D1169" t="str">
        <f>IF(Profile!C1214="Profile",IF(Profile!A1216="ResourceRequirement","OK","XXX"),"XXX")</f>
        <v>XXX</v>
      </c>
    </row>
    <row r="1170" spans="1:4" x14ac:dyDescent="0.45">
      <c r="A1170">
        <f>ROW()</f>
        <v>1170</v>
      </c>
      <c r="B1170" t="str">
        <f>Profile!A1215</f>
        <v>TelemetryService</v>
      </c>
      <c r="C1170">
        <f>Profile!AP1217</f>
        <v>0</v>
      </c>
      <c r="D1170" t="str">
        <f>IF(Profile!C1215="Profile",IF(Profile!A1217="ResourceRequirement","OK","XXX"),"XXX")</f>
        <v>XXX</v>
      </c>
    </row>
    <row r="1171" spans="1:4" x14ac:dyDescent="0.45">
      <c r="A1171">
        <f>ROW()</f>
        <v>1171</v>
      </c>
      <c r="B1171" t="str">
        <f>Profile!A1216</f>
        <v xml:space="preserve">   @odata.id</v>
      </c>
      <c r="C1171">
        <f>Profile!AP1218</f>
        <v>0</v>
      </c>
      <c r="D1171" t="str">
        <f>IF(Profile!C1216="Profile",IF(Profile!A1218="ResourceRequirement","OK","XXX"),"XXX")</f>
        <v>XXX</v>
      </c>
    </row>
    <row r="1172" spans="1:4" x14ac:dyDescent="0.45">
      <c r="A1172">
        <f>ROW()</f>
        <v>1172</v>
      </c>
      <c r="B1172" t="str">
        <f>Profile!A1217</f>
        <v>UUID</v>
      </c>
      <c r="C1172">
        <f>Profile!AP1219</f>
        <v>0</v>
      </c>
      <c r="D1172" t="str">
        <f>IF(Profile!C1217="Profile",IF(Profile!A1219="ResourceRequirement","OK","XXX"),"XXX")</f>
        <v>XXX</v>
      </c>
    </row>
    <row r="1173" spans="1:4" x14ac:dyDescent="0.45">
      <c r="A1173">
        <f>ROW()</f>
        <v>1173</v>
      </c>
      <c r="B1173" t="str">
        <f>Profile!A1218</f>
        <v>UpdateService</v>
      </c>
      <c r="C1173">
        <f>Profile!AP1220</f>
        <v>0</v>
      </c>
      <c r="D1173" t="str">
        <f>IF(Profile!C1218="Profile",IF(Profile!A1220="ResourceRequirement","OK","XXX"),"XXX")</f>
        <v>XXX</v>
      </c>
    </row>
    <row r="1174" spans="1:4" x14ac:dyDescent="0.45">
      <c r="A1174">
        <f>ROW()</f>
        <v>1174</v>
      </c>
      <c r="B1174" t="str">
        <f>Profile!A1219</f>
        <v xml:space="preserve">   @odata.id</v>
      </c>
      <c r="C1174">
        <f>Profile!AP1221</f>
        <v>0</v>
      </c>
      <c r="D1174" t="str">
        <f>IF(Profile!C1219="Profile",IF(Profile!A1221="ResourceRequirement","OK","XXX"),"XXX")</f>
        <v>XXX</v>
      </c>
    </row>
    <row r="1175" spans="1:4" x14ac:dyDescent="0.45">
      <c r="A1175">
        <f>ROW()</f>
        <v>1175</v>
      </c>
      <c r="B1175" t="str">
        <f>Profile!A1220</f>
        <v>Vendor</v>
      </c>
      <c r="C1175">
        <f>Profile!AP1222</f>
        <v>0</v>
      </c>
      <c r="D1175" t="str">
        <f>IF(Profile!C1220="Profile",IF(Profile!A1222="ResourceRequirement","OK","XXX"),"XXX")</f>
        <v>XXX</v>
      </c>
    </row>
    <row r="1176" spans="1:4" x14ac:dyDescent="0.45">
      <c r="A1176">
        <f>ROW()</f>
        <v>1176</v>
      </c>
      <c r="B1176" t="str">
        <f>Profile!A1221</f>
        <v>ServiceRoot URIs</v>
      </c>
      <c r="C1176">
        <f>Profile!AP1223</f>
        <v>0</v>
      </c>
      <c r="D1176" t="str">
        <f>IF(Profile!C1221="Profile",IF(Profile!A1223="ResourceRequirement","OK","XXX"),"XXX")</f>
        <v>XXX</v>
      </c>
    </row>
    <row r="1177" spans="1:4" x14ac:dyDescent="0.45">
      <c r="A1177">
        <f>ROW()</f>
        <v>1177</v>
      </c>
      <c r="B1177" t="str">
        <f>Profile!A1222</f>
        <v>/redfish/v1/</v>
      </c>
      <c r="C1177">
        <f>Profile!AP1224</f>
        <v>0</v>
      </c>
      <c r="D1177" t="str">
        <f>IF(Profile!C1222="Profile",IF(Profile!A1224="ResourceRequirement","OK","XXX"),"XXX")</f>
        <v>XXX</v>
      </c>
    </row>
    <row r="1178" spans="1:4" x14ac:dyDescent="0.45">
      <c r="A1178">
        <f>ROW()</f>
        <v>1178</v>
      </c>
      <c r="B1178">
        <f>Profile!A1223</f>
        <v>0</v>
      </c>
      <c r="C1178">
        <f>Profile!AP1225</f>
        <v>0</v>
      </c>
      <c r="D1178" t="str">
        <f>IF(Profile!C1223="Profile",IF(Profile!A1225="ResourceRequirement","OK","XXX"),"XXX")</f>
        <v>XXX</v>
      </c>
    </row>
    <row r="1179" spans="1:4" x14ac:dyDescent="0.45">
      <c r="A1179">
        <f>ROW()</f>
        <v>1179</v>
      </c>
      <c r="B1179" t="str">
        <f>Profile!A1224</f>
        <v>1.1.3.5               VirtualMedia</v>
      </c>
      <c r="C1179">
        <f>Profile!AP1226</f>
        <v>0</v>
      </c>
      <c r="D1179" t="str">
        <f>IF(Profile!C1224="Profile",IF(Profile!A1226="ResourceRequirement","OK","XXX"),"XXX")</f>
        <v>XXX</v>
      </c>
    </row>
    <row r="1180" spans="1:4" x14ac:dyDescent="0.45">
      <c r="A1180">
        <f>ROW()</f>
        <v>1180</v>
      </c>
      <c r="B1180" t="str">
        <f>Profile!A1225</f>
        <v>The VirtualMedia schema contains properties related to monitoring and control of an instance of VirtualMedia such as a remote CD, DVD, or USB device. VirtualMedia functionality is provided by a Manager for a system or device.</v>
      </c>
      <c r="C1180">
        <f>Profile!AP1227</f>
        <v>0</v>
      </c>
      <c r="D1180" t="str">
        <f>IF(Profile!C1225="Profile",IF(Profile!A1227="ResourceRequirement","OK","XXX"),"XXX")</f>
        <v>XXX</v>
      </c>
    </row>
    <row r="1181" spans="1:4" x14ac:dyDescent="0.45">
      <c r="A1181">
        <f>ROW()</f>
        <v>1181</v>
      </c>
      <c r="B1181" t="str">
        <f>Profile!A1226</f>
        <v>The VirtualMedia resource is not used in the O-PAS profiles.</v>
      </c>
      <c r="C1181">
        <f>Profile!AP1228</f>
        <v>0</v>
      </c>
      <c r="D1181" t="str">
        <f>IF(Profile!C1226="Profile",IF(Profile!A1228="ResourceRequirement","OK","XXX"),"XXX")</f>
        <v>XXX</v>
      </c>
    </row>
    <row r="1182" spans="1:4" x14ac:dyDescent="0.45">
      <c r="A1182">
        <f>ROW()</f>
        <v>1182</v>
      </c>
      <c r="B1182">
        <f>Profile!A1227</f>
        <v>0</v>
      </c>
      <c r="C1182">
        <f>Profile!AP1229</f>
        <v>0</v>
      </c>
      <c r="D1182" t="str">
        <f>IF(Profile!C1227="Profile",IF(Profile!A1229="ResourceRequirement","OK","XXX"),"XXX")</f>
        <v>XXX</v>
      </c>
    </row>
    <row r="1183" spans="1:4" x14ac:dyDescent="0.45">
      <c r="A1183">
        <f>ROW()</f>
        <v>1183</v>
      </c>
      <c r="B1183" t="str">
        <f>Profile!A1228</f>
        <v>1.1.4                 Registries and Files</v>
      </c>
      <c r="C1183">
        <f>Profile!AP1230</f>
        <v>0</v>
      </c>
      <c r="D1183" t="str">
        <f>IF(Profile!C1228="Profile",IF(Profile!A1230="ResourceRequirement","OK","XXX"),"XXX")</f>
        <v>XXX</v>
      </c>
    </row>
    <row r="1184" spans="1:4" x14ac:dyDescent="0.45">
      <c r="A1184">
        <f>ROW()</f>
        <v>1184</v>
      </c>
      <c r="B1184" t="str">
        <f>Profile!A1229</f>
        <v>1.1.4.1               AttributeRegistry</v>
      </c>
      <c r="C1184">
        <f>Profile!AP1231</f>
        <v>0</v>
      </c>
      <c r="D1184" t="str">
        <f>IF(Profile!C1229="Profile",IF(Profile!A1231="ResourceRequirement","OK","XXX"),"XXX")</f>
        <v>XXX</v>
      </c>
    </row>
    <row r="1185" spans="1:4" x14ac:dyDescent="0.45">
      <c r="A1185">
        <f>ROW()</f>
        <v>1185</v>
      </c>
      <c r="B1185" t="str">
        <f>Profile!A1230</f>
        <v>The AttributeRegistry resource contains a set of key-value pairs that represents the structure of a Registry. It includes mechanisms for building user interfaces (menus), allowing consistent navigation of the contents. The AttributeRegistry is specific to a particular implementation or product. The attributes and property names are not standardized.</v>
      </c>
      <c r="C1185">
        <f>Profile!AP1232</f>
        <v>0</v>
      </c>
      <c r="D1185" t="str">
        <f>IF(Profile!C1230="Profile",IF(Profile!A1232="ResourceRequirement","OK","XXX"),"XXX")</f>
        <v>XXX</v>
      </c>
    </row>
    <row r="1186" spans="1:4" x14ac:dyDescent="0.45">
      <c r="A1186">
        <f>ROW()</f>
        <v>1186</v>
      </c>
      <c r="B1186" t="str">
        <f>Profile!A1231</f>
        <v>Table 36: O-PAS Profile Map for the Redfish AttributeRegistry Resource</v>
      </c>
      <c r="C1186">
        <f>Profile!AP1233</f>
        <v>0</v>
      </c>
      <c r="D1186" t="str">
        <f>IF(Profile!C1231="Profile",IF(Profile!A1233="ResourceRequirement","OK","XXX"),"XXX")</f>
        <v>XXX</v>
      </c>
    </row>
    <row r="1187" spans="1:4" x14ac:dyDescent="0.45">
      <c r="A1187">
        <f>ROW()</f>
        <v>1187</v>
      </c>
      <c r="B1187" t="str">
        <f>Profile!A1232</f>
        <v>AttributeRegistry (1.2.1)</v>
      </c>
      <c r="C1187">
        <f>Profile!AP1234</f>
        <v>0</v>
      </c>
      <c r="D1187" t="str">
        <f>IF(Profile!C1232="Profile",IF(Profile!A1234="ResourceRequirement","OK","XXX"),"XXX")</f>
        <v>XXX</v>
      </c>
    </row>
    <row r="1188" spans="1:4" x14ac:dyDescent="0.45">
      <c r="A1188">
        <f>ROW()</f>
        <v>1188</v>
      </c>
      <c r="B1188">
        <f>Profile!A1233</f>
        <v>0</v>
      </c>
      <c r="C1188">
        <f>Profile!AP1235</f>
        <v>0</v>
      </c>
      <c r="D1188" t="str">
        <f>IF(Profile!C1233="Profile",IF(Profile!A1235="ResourceRequirement","OK","XXX"),"XXX")</f>
        <v>XXX</v>
      </c>
    </row>
    <row r="1189" spans="1:4" x14ac:dyDescent="0.45">
      <c r="A1189">
        <f>ROW()</f>
        <v>1189</v>
      </c>
      <c r="B1189" t="str">
        <f>Profile!A1234</f>
        <v>AttributeRegistry (1.3.1)</v>
      </c>
      <c r="C1189">
        <f>Profile!AP1236</f>
        <v>0</v>
      </c>
      <c r="D1189" t="str">
        <f>IF(Profile!C1234="Profile",IF(Profile!A1236="ResourceRequirement","OK","XXX"),"XXX")</f>
        <v>OK</v>
      </c>
    </row>
    <row r="1190" spans="1:4" x14ac:dyDescent="0.45">
      <c r="A1190">
        <f>ROW()</f>
        <v>1190</v>
      </c>
      <c r="B1190">
        <f>Profile!A1235</f>
        <v>0</v>
      </c>
      <c r="C1190">
        <f>Profile!AP1237</f>
        <v>0</v>
      </c>
      <c r="D1190" t="str">
        <f>IF(Profile!C1235="Profile",IF(Profile!A1237="ResourceRequirement","OK","XXX"),"XXX")</f>
        <v>XXX</v>
      </c>
    </row>
    <row r="1191" spans="1:4" x14ac:dyDescent="0.45">
      <c r="A1191">
        <f>ROW()</f>
        <v>1191</v>
      </c>
      <c r="B1191" t="str">
        <f>Profile!A1236</f>
        <v>ResourceRequirement</v>
      </c>
      <c r="C1191">
        <f>Profile!AP1238</f>
        <v>0</v>
      </c>
      <c r="D1191" t="str">
        <f>IF(Profile!C1236="Profile",IF(Profile!A1238="ResourceRequirement","OK","XXX"),"XXX")</f>
        <v>XXX</v>
      </c>
    </row>
    <row r="1192" spans="1:4" x14ac:dyDescent="0.45">
      <c r="A1192">
        <f>ROW()</f>
        <v>1192</v>
      </c>
      <c r="B1192" t="str">
        <f>Profile!A1237</f>
        <v>Resource MinVersion</v>
      </c>
      <c r="C1192">
        <f>Profile!AP1239</f>
        <v>0</v>
      </c>
      <c r="D1192" t="str">
        <f>IF(Profile!C1237="Profile",IF(Profile!A1239="ResourceRequirement","OK","XXX"),"XXX")</f>
        <v>XXX</v>
      </c>
    </row>
    <row r="1193" spans="1:4" x14ac:dyDescent="0.45">
      <c r="A1193">
        <f>ROW()</f>
        <v>1193</v>
      </c>
      <c r="B1193" t="str">
        <f>Profile!A1238</f>
        <v>Property</v>
      </c>
      <c r="C1193">
        <f>Profile!AP1240</f>
        <v>0</v>
      </c>
      <c r="D1193" t="str">
        <f>IF(Profile!C1238="Profile",IF(Profile!A1240="ResourceRequirement","OK","XXX"),"XXX")</f>
        <v>XXX</v>
      </c>
    </row>
    <row r="1194" spans="1:4" x14ac:dyDescent="0.45">
      <c r="A1194">
        <f>ROW()</f>
        <v>1194</v>
      </c>
      <c r="B1194" t="str">
        <f>Profile!A1239</f>
        <v>Actions</v>
      </c>
      <c r="C1194">
        <f>Profile!AP1241</f>
        <v>0</v>
      </c>
      <c r="D1194" t="str">
        <f>IF(Profile!C1239="Profile",IF(Profile!A1241="ResourceRequirement","OK","XXX"),"XXX")</f>
        <v>XXX</v>
      </c>
    </row>
    <row r="1195" spans="1:4" x14ac:dyDescent="0.45">
      <c r="A1195">
        <f>ROW()</f>
        <v>1195</v>
      </c>
      <c r="B1195" t="str">
        <f>Profile!A1240</f>
        <v>Language</v>
      </c>
      <c r="C1195">
        <f>Profile!AP1242</f>
        <v>0</v>
      </c>
      <c r="D1195" t="str">
        <f>IF(Profile!C1240="Profile",IF(Profile!A1242="ResourceRequirement","OK","XXX"),"XXX")</f>
        <v>XXX</v>
      </c>
    </row>
    <row r="1196" spans="1:4" x14ac:dyDescent="0.45">
      <c r="A1196">
        <f>ROW()</f>
        <v>1196</v>
      </c>
      <c r="B1196" t="str">
        <f>Profile!A1241</f>
        <v>OwningEntity</v>
      </c>
      <c r="C1196">
        <f>Profile!AP1243</f>
        <v>0</v>
      </c>
      <c r="D1196" t="str">
        <f>IF(Profile!C1241="Profile",IF(Profile!A1243="ResourceRequirement","OK","XXX"),"XXX")</f>
        <v>XXX</v>
      </c>
    </row>
    <row r="1197" spans="1:4" x14ac:dyDescent="0.45">
      <c r="A1197">
        <f>ROW()</f>
        <v>1197</v>
      </c>
      <c r="B1197" t="str">
        <f>Profile!A1242</f>
        <v>RegistryEntries</v>
      </c>
      <c r="C1197">
        <f>Profile!AP1244</f>
        <v>0</v>
      </c>
      <c r="D1197" t="str">
        <f>IF(Profile!C1242="Profile",IF(Profile!A1244="ResourceRequirement","OK","XXX"),"XXX")</f>
        <v>XXX</v>
      </c>
    </row>
    <row r="1198" spans="1:4" x14ac:dyDescent="0.45">
      <c r="A1198">
        <f>ROW()</f>
        <v>1198</v>
      </c>
      <c r="B1198" t="str">
        <f>Profile!A1243</f>
        <v xml:space="preserve">   Attributes</v>
      </c>
      <c r="C1198">
        <f>Profile!AP1245</f>
        <v>0</v>
      </c>
      <c r="D1198" t="str">
        <f>IF(Profile!C1243="Profile",IF(Profile!A1245="ResourceRequirement","OK","XXX"),"XXX")</f>
        <v>XXX</v>
      </c>
    </row>
    <row r="1199" spans="1:4" x14ac:dyDescent="0.45">
      <c r="A1199">
        <f>ROW()</f>
        <v>1199</v>
      </c>
      <c r="B1199" t="str">
        <f>Profile!A1244</f>
        <v xml:space="preserve">      AttributeName</v>
      </c>
      <c r="C1199">
        <f>Profile!AP1246</f>
        <v>0</v>
      </c>
      <c r="D1199" t="str">
        <f>IF(Profile!C1244="Profile",IF(Profile!A1246="ResourceRequirement","OK","XXX"),"XXX")</f>
        <v>XXX</v>
      </c>
    </row>
    <row r="1200" spans="1:4" x14ac:dyDescent="0.45">
      <c r="A1200">
        <f>ROW()</f>
        <v>1200</v>
      </c>
      <c r="B1200" t="str">
        <f>Profile!A1245</f>
        <v xml:space="preserve">      CurrentValue</v>
      </c>
      <c r="C1200">
        <f>Profile!AP1247</f>
        <v>0</v>
      </c>
      <c r="D1200" t="str">
        <f>IF(Profile!C1245="Profile",IF(Profile!A1247="ResourceRequirement","OK","XXX"),"XXX")</f>
        <v>XXX</v>
      </c>
    </row>
    <row r="1201" spans="1:4" x14ac:dyDescent="0.45">
      <c r="A1201">
        <f>ROW()</f>
        <v>1201</v>
      </c>
      <c r="B1201" t="str">
        <f>Profile!A1246</f>
        <v xml:space="preserve">      DefaultValue</v>
      </c>
      <c r="C1201">
        <f>Profile!AP1248</f>
        <v>0</v>
      </c>
      <c r="D1201" t="str">
        <f>IF(Profile!C1246="Profile",IF(Profile!A1248="ResourceRequirement","OK","XXX"),"XXX")</f>
        <v>XXX</v>
      </c>
    </row>
    <row r="1202" spans="1:4" x14ac:dyDescent="0.45">
      <c r="A1202">
        <f>ROW()</f>
        <v>1202</v>
      </c>
      <c r="B1202" t="str">
        <f>Profile!A1247</f>
        <v xml:space="preserve">      DisplayName</v>
      </c>
      <c r="C1202">
        <f>Profile!AP1249</f>
        <v>0</v>
      </c>
      <c r="D1202" t="str">
        <f>IF(Profile!C1247="Profile",IF(Profile!A1249="ResourceRequirement","OK","XXX"),"XXX")</f>
        <v>XXX</v>
      </c>
    </row>
    <row r="1203" spans="1:4" x14ac:dyDescent="0.45">
      <c r="A1203">
        <f>ROW()</f>
        <v>1203</v>
      </c>
      <c r="B1203" t="str">
        <f>Profile!A1248</f>
        <v xml:space="preserve">      DisplayOrder</v>
      </c>
      <c r="C1203">
        <f>Profile!AP1250</f>
        <v>0</v>
      </c>
      <c r="D1203" t="str">
        <f>IF(Profile!C1248="Profile",IF(Profile!A1250="ResourceRequirement","OK","XXX"),"XXX")</f>
        <v>XXX</v>
      </c>
    </row>
    <row r="1204" spans="1:4" x14ac:dyDescent="0.45">
      <c r="A1204">
        <f>ROW()</f>
        <v>1204</v>
      </c>
      <c r="B1204" t="str">
        <f>Profile!A1249</f>
        <v xml:space="preserve">      GrayOut</v>
      </c>
      <c r="C1204">
        <f>Profile!AP1251</f>
        <v>0</v>
      </c>
      <c r="D1204" t="str">
        <f>IF(Profile!C1249="Profile",IF(Profile!A1251="ResourceRequirement","OK","XXX"),"XXX")</f>
        <v>XXX</v>
      </c>
    </row>
    <row r="1205" spans="1:4" x14ac:dyDescent="0.45">
      <c r="A1205">
        <f>ROW()</f>
        <v>1205</v>
      </c>
      <c r="B1205" t="str">
        <f>Profile!A1250</f>
        <v xml:space="preserve">      HelpText</v>
      </c>
      <c r="C1205">
        <f>Profile!AP1252</f>
        <v>0</v>
      </c>
      <c r="D1205" t="str">
        <f>IF(Profile!C1250="Profile",IF(Profile!A1252="ResourceRequirement","OK","XXX"),"XXX")</f>
        <v>XXX</v>
      </c>
    </row>
    <row r="1206" spans="1:4" x14ac:dyDescent="0.45">
      <c r="A1206">
        <f>ROW()</f>
        <v>1206</v>
      </c>
      <c r="B1206" t="str">
        <f>Profile!A1251</f>
        <v xml:space="preserve">      Hidden</v>
      </c>
      <c r="C1206">
        <f>Profile!AP1253</f>
        <v>0</v>
      </c>
      <c r="D1206" t="str">
        <f>IF(Profile!C1251="Profile",IF(Profile!A1253="ResourceRequirement","OK","XXX"),"XXX")</f>
        <v>XXX</v>
      </c>
    </row>
    <row r="1207" spans="1:4" x14ac:dyDescent="0.45">
      <c r="A1207">
        <f>ROW()</f>
        <v>1207</v>
      </c>
      <c r="B1207" t="str">
        <f>Profile!A1252</f>
        <v xml:space="preserve">      Immutable</v>
      </c>
      <c r="C1207">
        <f>Profile!AP1254</f>
        <v>0</v>
      </c>
      <c r="D1207" t="str">
        <f>IF(Profile!C1252="Profile",IF(Profile!A1254="ResourceRequirement","OK","XXX"),"XXX")</f>
        <v>XXX</v>
      </c>
    </row>
    <row r="1208" spans="1:4" x14ac:dyDescent="0.45">
      <c r="A1208">
        <f>ROW()</f>
        <v>1208</v>
      </c>
      <c r="B1208" t="str">
        <f>Profile!A1253</f>
        <v xml:space="preserve">      IsSystemUniqueProperty</v>
      </c>
      <c r="C1208">
        <f>Profile!AP1255</f>
        <v>0</v>
      </c>
      <c r="D1208" t="str">
        <f>IF(Profile!C1253="Profile",IF(Profile!A1255="ResourceRequirement","OK","XXX"),"XXX")</f>
        <v>XXX</v>
      </c>
    </row>
    <row r="1209" spans="1:4" x14ac:dyDescent="0.45">
      <c r="A1209">
        <f>ROW()</f>
        <v>1209</v>
      </c>
      <c r="B1209" t="str">
        <f>Profile!A1254</f>
        <v xml:space="preserve">      LowerBound</v>
      </c>
      <c r="C1209">
        <f>Profile!AP1256</f>
        <v>0</v>
      </c>
      <c r="D1209" t="str">
        <f>IF(Profile!C1254="Profile",IF(Profile!A1256="ResourceRequirement","OK","XXX"),"XXX")</f>
        <v>XXX</v>
      </c>
    </row>
    <row r="1210" spans="1:4" x14ac:dyDescent="0.45">
      <c r="A1210">
        <f>ROW()</f>
        <v>1210</v>
      </c>
      <c r="B1210" t="str">
        <f>Profile!A1255</f>
        <v xml:space="preserve">      MaxLength</v>
      </c>
      <c r="C1210">
        <f>Profile!AP1257</f>
        <v>0</v>
      </c>
      <c r="D1210" t="str">
        <f>IF(Profile!C1255="Profile",IF(Profile!A1257="ResourceRequirement","OK","XXX"),"XXX")</f>
        <v>XXX</v>
      </c>
    </row>
    <row r="1211" spans="1:4" x14ac:dyDescent="0.45">
      <c r="A1211">
        <f>ROW()</f>
        <v>1211</v>
      </c>
      <c r="B1211" t="str">
        <f>Profile!A1256</f>
        <v xml:space="preserve">      MenuPath</v>
      </c>
      <c r="C1211">
        <f>Profile!AP1258</f>
        <v>0</v>
      </c>
      <c r="D1211" t="str">
        <f>IF(Profile!C1256="Profile",IF(Profile!A1258="ResourceRequirement","OK","XXX"),"XXX")</f>
        <v>XXX</v>
      </c>
    </row>
    <row r="1212" spans="1:4" x14ac:dyDescent="0.45">
      <c r="A1212">
        <f>ROW()</f>
        <v>1212</v>
      </c>
      <c r="B1212" t="str">
        <f>Profile!A1257</f>
        <v xml:space="preserve">      OEM</v>
      </c>
      <c r="C1212">
        <f>Profile!AP1259</f>
        <v>0</v>
      </c>
      <c r="D1212" t="str">
        <f>IF(Profile!C1257="Profile",IF(Profile!A1259="ResourceRequirement","OK","XXX"),"XXX")</f>
        <v>XXX</v>
      </c>
    </row>
    <row r="1213" spans="1:4" x14ac:dyDescent="0.45">
      <c r="A1213">
        <f>ROW()</f>
        <v>1213</v>
      </c>
      <c r="B1213" t="str">
        <f>Profile!A1258</f>
        <v xml:space="preserve">      MinLength</v>
      </c>
      <c r="C1213">
        <f>Profile!AP1260</f>
        <v>0</v>
      </c>
      <c r="D1213" t="str">
        <f>IF(Profile!C1258="Profile",IF(Profile!A1260="ResourceRequirement","OK","XXX"),"XXX")</f>
        <v>XXX</v>
      </c>
    </row>
    <row r="1214" spans="1:4" x14ac:dyDescent="0.45">
      <c r="A1214">
        <f>ROW()</f>
        <v>1214</v>
      </c>
      <c r="B1214" t="str">
        <f>Profile!A1259</f>
        <v xml:space="preserve">      ReadOnly</v>
      </c>
      <c r="C1214">
        <f>Profile!AP1261</f>
        <v>0</v>
      </c>
      <c r="D1214" t="str">
        <f>IF(Profile!C1259="Profile",IF(Profile!A1261="ResourceRequirement","OK","XXX"),"XXX")</f>
        <v>XXX</v>
      </c>
    </row>
    <row r="1215" spans="1:4" x14ac:dyDescent="0.45">
      <c r="A1215">
        <f>ROW()</f>
        <v>1215</v>
      </c>
      <c r="B1215" t="str">
        <f>Profile!A1260</f>
        <v xml:space="preserve">      ResetRequired</v>
      </c>
      <c r="C1215">
        <f>Profile!AP1262</f>
        <v>0</v>
      </c>
      <c r="D1215" t="str">
        <f>IF(Profile!C1260="Profile",IF(Profile!A1262="ResourceRequirement","OK","XXX"),"XXX")</f>
        <v>XXX</v>
      </c>
    </row>
    <row r="1216" spans="1:4" x14ac:dyDescent="0.45">
      <c r="A1216">
        <f>ROW()</f>
        <v>1216</v>
      </c>
      <c r="B1216" t="str">
        <f>Profile!A1261</f>
        <v xml:space="preserve">      ScalarIncrement</v>
      </c>
      <c r="C1216">
        <f>Profile!AP1263</f>
        <v>0</v>
      </c>
      <c r="D1216" t="str">
        <f>IF(Profile!C1261="Profile",IF(Profile!A1263="ResourceRequirement","OK","XXX"),"XXX")</f>
        <v>XXX</v>
      </c>
    </row>
    <row r="1217" spans="1:4" x14ac:dyDescent="0.45">
      <c r="A1217">
        <f>ROW()</f>
        <v>1217</v>
      </c>
      <c r="B1217" t="str">
        <f>Profile!A1262</f>
        <v xml:space="preserve">      Type</v>
      </c>
      <c r="C1217">
        <f>Profile!AP1264</f>
        <v>0</v>
      </c>
      <c r="D1217" t="str">
        <f>IF(Profile!C1262="Profile",IF(Profile!A1264="ResourceRequirement","OK","XXX"),"XXX")</f>
        <v>XXX</v>
      </c>
    </row>
    <row r="1218" spans="1:4" x14ac:dyDescent="0.45">
      <c r="A1218">
        <f>ROW()</f>
        <v>1218</v>
      </c>
      <c r="B1218" t="str">
        <f>Profile!A1263</f>
        <v xml:space="preserve">      UefiDevicePath</v>
      </c>
      <c r="C1218">
        <f>Profile!AP1265</f>
        <v>0</v>
      </c>
      <c r="D1218" t="str">
        <f>IF(Profile!C1263="Profile",IF(Profile!A1265="ResourceRequirement","OK","XXX"),"XXX")</f>
        <v>XXX</v>
      </c>
    </row>
    <row r="1219" spans="1:4" x14ac:dyDescent="0.45">
      <c r="A1219">
        <f>ROW()</f>
        <v>1219</v>
      </c>
      <c r="B1219" t="str">
        <f>Profile!A1264</f>
        <v xml:space="preserve">      UefiKeywordName</v>
      </c>
      <c r="C1219">
        <f>Profile!AP1266</f>
        <v>0</v>
      </c>
      <c r="D1219" t="str">
        <f>IF(Profile!C1264="Profile",IF(Profile!A1266="ResourceRequirement","OK","XXX"),"XXX")</f>
        <v>XXX</v>
      </c>
    </row>
    <row r="1220" spans="1:4" x14ac:dyDescent="0.45">
      <c r="A1220">
        <f>ROW()</f>
        <v>1220</v>
      </c>
      <c r="B1220" t="str">
        <f>Profile!A1265</f>
        <v xml:space="preserve">      UefiNamespaceId</v>
      </c>
      <c r="C1220">
        <f>Profile!AP1267</f>
        <v>0</v>
      </c>
      <c r="D1220" t="str">
        <f>IF(Profile!C1265="Profile",IF(Profile!A1267="ResourceRequirement","OK","XXX"),"XXX")</f>
        <v>XXX</v>
      </c>
    </row>
    <row r="1221" spans="1:4" x14ac:dyDescent="0.45">
      <c r="A1221">
        <f>ROW()</f>
        <v>1221</v>
      </c>
      <c r="B1221" t="str">
        <f>Profile!A1266</f>
        <v xml:space="preserve">      UpperBound</v>
      </c>
      <c r="C1221">
        <f>Profile!AP1268</f>
        <v>0</v>
      </c>
      <c r="D1221" t="str">
        <f>IF(Profile!C1266="Profile",IF(Profile!A1268="ResourceRequirement","OK","XXX"),"XXX")</f>
        <v>XXX</v>
      </c>
    </row>
    <row r="1222" spans="1:4" x14ac:dyDescent="0.45">
      <c r="A1222">
        <f>ROW()</f>
        <v>1222</v>
      </c>
      <c r="B1222" t="str">
        <f>Profile!A1267</f>
        <v xml:space="preserve">      Value</v>
      </c>
      <c r="C1222">
        <f>Profile!AP1269</f>
        <v>0</v>
      </c>
      <c r="D1222" t="str">
        <f>IF(Profile!C1267="Profile",IF(Profile!A1269="ResourceRequirement","OK","XXX"),"XXX")</f>
        <v>XXX</v>
      </c>
    </row>
    <row r="1223" spans="1:4" x14ac:dyDescent="0.45">
      <c r="A1223">
        <f>ROW()</f>
        <v>1223</v>
      </c>
      <c r="B1223" t="str">
        <f>Profile!A1268</f>
        <v xml:space="preserve">         ValueDisplayName</v>
      </c>
      <c r="C1223">
        <f>Profile!AP1270</f>
        <v>0</v>
      </c>
      <c r="D1223" t="str">
        <f>IF(Profile!C1268="Profile",IF(Profile!A1270="ResourceRequirement","OK","XXX"),"XXX")</f>
        <v>XXX</v>
      </c>
    </row>
    <row r="1224" spans="1:4" x14ac:dyDescent="0.45">
      <c r="A1224">
        <f>ROW()</f>
        <v>1224</v>
      </c>
      <c r="B1224" t="str">
        <f>Profile!A1269</f>
        <v xml:space="preserve">         ValueName</v>
      </c>
      <c r="C1224">
        <f>Profile!AP1271</f>
        <v>0</v>
      </c>
      <c r="D1224" t="str">
        <f>IF(Profile!C1269="Profile",IF(Profile!A1271="ResourceRequirement","OK","XXX"),"XXX")</f>
        <v>XXX</v>
      </c>
    </row>
    <row r="1225" spans="1:4" x14ac:dyDescent="0.45">
      <c r="A1225">
        <f>ROW()</f>
        <v>1225</v>
      </c>
      <c r="B1225" t="str">
        <f>Profile!A1270</f>
        <v xml:space="preserve">      ValueExpression</v>
      </c>
      <c r="C1225">
        <f>Profile!AP1272</f>
        <v>0</v>
      </c>
      <c r="D1225" t="str">
        <f>IF(Profile!C1270="Profile",IF(Profile!A1272="ResourceRequirement","OK","XXX"),"XXX")</f>
        <v>XXX</v>
      </c>
    </row>
    <row r="1226" spans="1:4" x14ac:dyDescent="0.45">
      <c r="A1226">
        <f>ROW()</f>
        <v>1226</v>
      </c>
      <c r="B1226" t="str">
        <f>Profile!A1271</f>
        <v xml:space="preserve">      WarningText</v>
      </c>
      <c r="C1226">
        <f>Profile!AP1273</f>
        <v>0</v>
      </c>
      <c r="D1226" t="str">
        <f>IF(Profile!C1271="Profile",IF(Profile!A1273="ResourceRequirement","OK","XXX"),"XXX")</f>
        <v>XXX</v>
      </c>
    </row>
    <row r="1227" spans="1:4" x14ac:dyDescent="0.45">
      <c r="A1227">
        <f>ROW()</f>
        <v>1227</v>
      </c>
      <c r="B1227" t="str">
        <f>Profile!A1272</f>
        <v xml:space="preserve">      WriteOnly</v>
      </c>
      <c r="C1227">
        <f>Profile!AP1274</f>
        <v>0</v>
      </c>
      <c r="D1227" t="str">
        <f>IF(Profile!C1272="Profile",IF(Profile!A1274="ResourceRequirement","OK","XXX"),"XXX")</f>
        <v>XXX</v>
      </c>
    </row>
    <row r="1228" spans="1:4" x14ac:dyDescent="0.45">
      <c r="A1228">
        <f>ROW()</f>
        <v>1228</v>
      </c>
      <c r="B1228" t="str">
        <f>Profile!A1273</f>
        <v xml:space="preserve">   Dependencies</v>
      </c>
      <c r="C1228">
        <f>Profile!AP1275</f>
        <v>0</v>
      </c>
      <c r="D1228" t="str">
        <f>IF(Profile!C1273="Profile",IF(Profile!A1275="ResourceRequirement","OK","XXX"),"XXX")</f>
        <v>XXX</v>
      </c>
    </row>
    <row r="1229" spans="1:4" x14ac:dyDescent="0.45">
      <c r="A1229">
        <f>ROW()</f>
        <v>1229</v>
      </c>
      <c r="B1229" t="str">
        <f>Profile!A1274</f>
        <v xml:space="preserve">      Dependency</v>
      </c>
      <c r="C1229">
        <f>Profile!AP1276</f>
        <v>0</v>
      </c>
      <c r="D1229" t="str">
        <f>IF(Profile!C1274="Profile",IF(Profile!A1276="ResourceRequirement","OK","XXX"),"XXX")</f>
        <v>XXX</v>
      </c>
    </row>
    <row r="1230" spans="1:4" x14ac:dyDescent="0.45">
      <c r="A1230">
        <f>ROW()</f>
        <v>1230</v>
      </c>
      <c r="B1230" t="str">
        <f>Profile!A1275</f>
        <v xml:space="preserve">      MapFrom</v>
      </c>
      <c r="C1230">
        <f>Profile!AP1277</f>
        <v>0</v>
      </c>
      <c r="D1230" t="str">
        <f>IF(Profile!C1275="Profile",IF(Profile!A1277="ResourceRequirement","OK","XXX"),"XXX")</f>
        <v>XXX</v>
      </c>
    </row>
    <row r="1231" spans="1:4" x14ac:dyDescent="0.45">
      <c r="A1231">
        <f>ROW()</f>
        <v>1231</v>
      </c>
      <c r="B1231" t="str">
        <f>Profile!A1276</f>
        <v xml:space="preserve">         MapFromAttribute</v>
      </c>
      <c r="C1231">
        <f>Profile!AP1278</f>
        <v>0</v>
      </c>
      <c r="D1231" t="str">
        <f>IF(Profile!C1276="Profile",IF(Profile!A1278="ResourceRequirement","OK","XXX"),"XXX")</f>
        <v>XXX</v>
      </c>
    </row>
    <row r="1232" spans="1:4" x14ac:dyDescent="0.45">
      <c r="A1232">
        <f>ROW()</f>
        <v>1232</v>
      </c>
      <c r="B1232" t="str">
        <f>Profile!A1277</f>
        <v xml:space="preserve">         MapFromCondition</v>
      </c>
      <c r="C1232">
        <f>Profile!AP1279</f>
        <v>0</v>
      </c>
      <c r="D1232" t="str">
        <f>IF(Profile!C1277="Profile",IF(Profile!A1279="ResourceRequirement","OK","XXX"),"XXX")</f>
        <v>XXX</v>
      </c>
    </row>
    <row r="1233" spans="1:4" x14ac:dyDescent="0.45">
      <c r="A1233">
        <f>ROW()</f>
        <v>1233</v>
      </c>
      <c r="B1233" t="str">
        <f>Profile!A1278</f>
        <v xml:space="preserve">         MapFromProperty</v>
      </c>
      <c r="C1233">
        <f>Profile!AP1280</f>
        <v>0</v>
      </c>
      <c r="D1233" t="str">
        <f>IF(Profile!C1278="Profile",IF(Profile!A1280="ResourceRequirement","OK","XXX"),"XXX")</f>
        <v>XXX</v>
      </c>
    </row>
    <row r="1234" spans="1:4" x14ac:dyDescent="0.45">
      <c r="A1234">
        <f>ROW()</f>
        <v>1234</v>
      </c>
      <c r="B1234" t="str">
        <f>Profile!A1279</f>
        <v xml:space="preserve">         MapFromValue</v>
      </c>
      <c r="C1234">
        <f>Profile!AP1281</f>
        <v>0</v>
      </c>
      <c r="D1234" t="str">
        <f>IF(Profile!C1279="Profile",IF(Profile!A1281="ResourceRequirement","OK","XXX"),"XXX")</f>
        <v>XXX</v>
      </c>
    </row>
    <row r="1235" spans="1:4" x14ac:dyDescent="0.45">
      <c r="A1235">
        <f>ROW()</f>
        <v>1235</v>
      </c>
      <c r="B1235" t="str">
        <f>Profile!A1280</f>
        <v xml:space="preserve">         MapTerms</v>
      </c>
      <c r="C1235">
        <f>Profile!AP1282</f>
        <v>0</v>
      </c>
      <c r="D1235" t="str">
        <f>IF(Profile!C1280="Profile",IF(Profile!A1282="ResourceRequirement","OK","XXX"),"XXX")</f>
        <v>XXX</v>
      </c>
    </row>
    <row r="1236" spans="1:4" x14ac:dyDescent="0.45">
      <c r="A1236">
        <f>ROW()</f>
        <v>1236</v>
      </c>
      <c r="B1236" t="str">
        <f>Profile!A1281</f>
        <v xml:space="preserve">         MapToAttribute</v>
      </c>
      <c r="C1236">
        <f>Profile!AP1283</f>
        <v>0</v>
      </c>
      <c r="D1236" t="str">
        <f>IF(Profile!C1281="Profile",IF(Profile!A1283="ResourceRequirement","OK","XXX"),"XXX")</f>
        <v>XXX</v>
      </c>
    </row>
    <row r="1237" spans="1:4" x14ac:dyDescent="0.45">
      <c r="A1237">
        <f>ROW()</f>
        <v>1237</v>
      </c>
      <c r="B1237" t="str">
        <f>Profile!A1282</f>
        <v xml:space="preserve">         MapToProperty</v>
      </c>
      <c r="C1237">
        <f>Profile!AP1284</f>
        <v>0</v>
      </c>
      <c r="D1237" t="str">
        <f>IF(Profile!C1282="Profile",IF(Profile!A1284="ResourceRequirement","OK","XXX"),"XXX")</f>
        <v>XXX</v>
      </c>
    </row>
    <row r="1238" spans="1:4" x14ac:dyDescent="0.45">
      <c r="A1238">
        <f>ROW()</f>
        <v>1238</v>
      </c>
      <c r="B1238" t="str">
        <f>Profile!A1283</f>
        <v xml:space="preserve">         MapToValue</v>
      </c>
      <c r="C1238">
        <f>Profile!AP1285</f>
        <v>0</v>
      </c>
      <c r="D1238" t="str">
        <f>IF(Profile!C1283="Profile",IF(Profile!A1285="ResourceRequirement","OK","XXX"),"XXX")</f>
        <v>XXX</v>
      </c>
    </row>
    <row r="1239" spans="1:4" x14ac:dyDescent="0.45">
      <c r="A1239">
        <f>ROW()</f>
        <v>1239</v>
      </c>
      <c r="B1239" t="str">
        <f>Profile!A1284</f>
        <v xml:space="preserve">         DependencyFor</v>
      </c>
      <c r="C1239">
        <f>Profile!AP1286</f>
        <v>0</v>
      </c>
      <c r="D1239" t="str">
        <f>IF(Profile!C1284="Profile",IF(Profile!A1286="ResourceRequirement","OK","XXX"),"XXX")</f>
        <v>XXX</v>
      </c>
    </row>
    <row r="1240" spans="1:4" x14ac:dyDescent="0.45">
      <c r="A1240">
        <f>ROW()</f>
        <v>1240</v>
      </c>
      <c r="B1240" t="str">
        <f>Profile!A1285</f>
        <v xml:space="preserve">         Type</v>
      </c>
      <c r="C1240">
        <f>Profile!AP1287</f>
        <v>0</v>
      </c>
      <c r="D1240" t="str">
        <f>IF(Profile!C1285="Profile",IF(Profile!A1287="ResourceRequirement","OK","XXX"),"XXX")</f>
        <v>XXX</v>
      </c>
    </row>
    <row r="1241" spans="1:4" x14ac:dyDescent="0.45">
      <c r="A1241">
        <f>ROW()</f>
        <v>1241</v>
      </c>
      <c r="B1241" t="str">
        <f>Profile!A1286</f>
        <v xml:space="preserve">   Menus</v>
      </c>
      <c r="C1241">
        <f>Profile!AP1288</f>
        <v>0</v>
      </c>
      <c r="D1241" t="str">
        <f>IF(Profile!C1286="Profile",IF(Profile!A1288="ResourceRequirement","OK","XXX"),"XXX")</f>
        <v>XXX</v>
      </c>
    </row>
    <row r="1242" spans="1:4" x14ac:dyDescent="0.45">
      <c r="A1242">
        <f>ROW()</f>
        <v>1242</v>
      </c>
      <c r="B1242" t="str">
        <f>Profile!A1287</f>
        <v xml:space="preserve">      DisplayName</v>
      </c>
      <c r="C1242">
        <f>Profile!AP1289</f>
        <v>0</v>
      </c>
      <c r="D1242" t="str">
        <f>IF(Profile!C1287="Profile",IF(Profile!A1289="ResourceRequirement","OK","XXX"),"XXX")</f>
        <v>XXX</v>
      </c>
    </row>
    <row r="1243" spans="1:4" x14ac:dyDescent="0.45">
      <c r="A1243">
        <f>ROW()</f>
        <v>1243</v>
      </c>
      <c r="B1243" t="str">
        <f>Profile!A1288</f>
        <v xml:space="preserve">      DisplayOrder</v>
      </c>
      <c r="C1243">
        <f>Profile!AP1290</f>
        <v>0</v>
      </c>
      <c r="D1243" t="str">
        <f>IF(Profile!C1288="Profile",IF(Profile!A1290="ResourceRequirement","OK","XXX"),"XXX")</f>
        <v>XXX</v>
      </c>
    </row>
    <row r="1244" spans="1:4" x14ac:dyDescent="0.45">
      <c r="A1244">
        <f>ROW()</f>
        <v>1244</v>
      </c>
      <c r="B1244" t="str">
        <f>Profile!A1289</f>
        <v xml:space="preserve">      GrayOut</v>
      </c>
      <c r="C1244">
        <f>Profile!AP1291</f>
        <v>0</v>
      </c>
      <c r="D1244" t="str">
        <f>IF(Profile!C1289="Profile",IF(Profile!A1291="ResourceRequirement","OK","XXX"),"XXX")</f>
        <v>XXX</v>
      </c>
    </row>
    <row r="1245" spans="1:4" x14ac:dyDescent="0.45">
      <c r="A1245">
        <f>ROW()</f>
        <v>1245</v>
      </c>
      <c r="B1245" t="str">
        <f>Profile!A1290</f>
        <v xml:space="preserve">      MenuName</v>
      </c>
      <c r="C1245">
        <f>Profile!AP1292</f>
        <v>0</v>
      </c>
      <c r="D1245" t="str">
        <f>IF(Profile!C1290="Profile",IF(Profile!A1292="ResourceRequirement","OK","XXX"),"XXX")</f>
        <v>XXX</v>
      </c>
    </row>
    <row r="1246" spans="1:4" x14ac:dyDescent="0.45">
      <c r="A1246">
        <f>ROW()</f>
        <v>1246</v>
      </c>
      <c r="B1246" t="str">
        <f>Profile!A1291</f>
        <v xml:space="preserve">      MenuPath</v>
      </c>
      <c r="C1246">
        <f>Profile!AP1293</f>
        <v>0</v>
      </c>
      <c r="D1246" t="str">
        <f>IF(Profile!C1291="Profile",IF(Profile!A1293="ResourceRequirement","OK","XXX"),"XXX")</f>
        <v>XXX</v>
      </c>
    </row>
    <row r="1247" spans="1:4" x14ac:dyDescent="0.45">
      <c r="A1247">
        <f>ROW()</f>
        <v>1247</v>
      </c>
      <c r="B1247" t="str">
        <f>Profile!A1292</f>
        <v xml:space="preserve">      OEM</v>
      </c>
      <c r="C1247">
        <f>Profile!AP1294</f>
        <v>0</v>
      </c>
      <c r="D1247" t="str">
        <f>IF(Profile!C1292="Profile",IF(Profile!A1294="ResourceRequirement","OK","XXX"),"XXX")</f>
        <v>XXX</v>
      </c>
    </row>
    <row r="1248" spans="1:4" x14ac:dyDescent="0.45">
      <c r="A1248">
        <f>ROW()</f>
        <v>1248</v>
      </c>
      <c r="B1248" t="str">
        <f>Profile!A1293</f>
        <v xml:space="preserve">      ReadOnly</v>
      </c>
      <c r="C1248">
        <f>Profile!AP1295</f>
        <v>0</v>
      </c>
      <c r="D1248" t="str">
        <f>IF(Profile!C1293="Profile",IF(Profile!A1295="ResourceRequirement","OK","XXX"),"XXX")</f>
        <v>XXX</v>
      </c>
    </row>
    <row r="1249" spans="1:4" x14ac:dyDescent="0.45">
      <c r="A1249">
        <f>ROW()</f>
        <v>1249</v>
      </c>
      <c r="B1249" t="str">
        <f>Profile!A1294</f>
        <v>RegistryVersion</v>
      </c>
      <c r="C1249">
        <f>Profile!AP1296</f>
        <v>0</v>
      </c>
      <c r="D1249" t="str">
        <f>IF(Profile!C1294="Profile",IF(Profile!A1296="ResourceRequirement","OK","XXX"),"XXX")</f>
        <v>XXX</v>
      </c>
    </row>
    <row r="1250" spans="1:4" x14ac:dyDescent="0.45">
      <c r="A1250">
        <f>ROW()</f>
        <v>1250</v>
      </c>
      <c r="B1250" t="str">
        <f>Profile!A1295</f>
        <v>SupportedSystems</v>
      </c>
      <c r="C1250">
        <f>Profile!AP1297</f>
        <v>0</v>
      </c>
      <c r="D1250" t="str">
        <f>IF(Profile!C1295="Profile",IF(Profile!A1297="ResourceRequirement","OK","XXX"),"XXX")</f>
        <v>XXX</v>
      </c>
    </row>
    <row r="1251" spans="1:4" x14ac:dyDescent="0.45">
      <c r="A1251">
        <f>ROW()</f>
        <v>1251</v>
      </c>
      <c r="B1251" t="str">
        <f>Profile!A1296</f>
        <v xml:space="preserve">   FirmwareVersion</v>
      </c>
      <c r="C1251">
        <f>Profile!AP1298</f>
        <v>0</v>
      </c>
      <c r="D1251" t="str">
        <f>IF(Profile!C1296="Profile",IF(Profile!A1298="ResourceRequirement","OK","XXX"),"XXX")</f>
        <v>XXX</v>
      </c>
    </row>
    <row r="1252" spans="1:4" x14ac:dyDescent="0.45">
      <c r="A1252">
        <f>ROW()</f>
        <v>1252</v>
      </c>
      <c r="B1252" t="str">
        <f>Profile!A1297</f>
        <v xml:space="preserve">   ProductName</v>
      </c>
      <c r="C1252">
        <f>Profile!AP1299</f>
        <v>0</v>
      </c>
      <c r="D1252" t="str">
        <f>IF(Profile!C1297="Profile",IF(Profile!A1299="ResourceRequirement","OK","XXX"),"XXX")</f>
        <v>XXX</v>
      </c>
    </row>
    <row r="1253" spans="1:4" x14ac:dyDescent="0.45">
      <c r="A1253">
        <f>ROW()</f>
        <v>1253</v>
      </c>
      <c r="B1253" t="str">
        <f>Profile!A1298</f>
        <v xml:space="preserve">   SystemId</v>
      </c>
      <c r="C1253">
        <f>Profile!AP1300</f>
        <v>0</v>
      </c>
      <c r="D1253" t="str">
        <f>IF(Profile!C1298="Profile",IF(Profile!A1300="ResourceRequirement","OK","XXX"),"XXX")</f>
        <v>XXX</v>
      </c>
    </row>
    <row r="1254" spans="1:4" x14ac:dyDescent="0.45">
      <c r="A1254">
        <f>ROW()</f>
        <v>1254</v>
      </c>
      <c r="B1254">
        <f>Profile!A1299</f>
        <v>0</v>
      </c>
      <c r="C1254">
        <f>Profile!AP1301</f>
        <v>0</v>
      </c>
      <c r="D1254" t="str">
        <f>IF(Profile!C1299="Profile",IF(Profile!A1301="ResourceRequirement","OK","XXX"),"XXX")</f>
        <v>XXX</v>
      </c>
    </row>
    <row r="1255" spans="1:4" x14ac:dyDescent="0.45">
      <c r="A1255">
        <f>ROW()</f>
        <v>1255</v>
      </c>
      <c r="B1255" t="str">
        <f>Profile!A1300</f>
        <v>1.1.4.2               Common Properties</v>
      </c>
      <c r="C1255">
        <f>Profile!AP1302</f>
        <v>0</v>
      </c>
      <c r="D1255" t="str">
        <f>IF(Profile!C1300="Profile",IF(Profile!A1302="ResourceRequirement","OK","XXX"),"XXX")</f>
        <v>XXX</v>
      </c>
    </row>
    <row r="1256" spans="1:4" x14ac:dyDescent="0.45">
      <c r="A1256">
        <f>ROW()</f>
        <v>1256</v>
      </c>
      <c r="B1256" t="str">
        <f>Profile!A1301</f>
        <v>These are properties which are defined for inclusion in almost all Redfish schema, and therefore may be encountered in any Response payload.</v>
      </c>
      <c r="C1256">
        <f>Profile!AP1303</f>
        <v>0</v>
      </c>
      <c r="D1256" t="str">
        <f>IF(Profile!C1301="Profile",IF(Profile!A1303="ResourceRequirement","OK","XXX"),"XXX")</f>
        <v>XXX</v>
      </c>
    </row>
    <row r="1257" spans="1:4" x14ac:dyDescent="0.45">
      <c r="A1257">
        <f>ROW()</f>
        <v>1257</v>
      </c>
      <c r="B1257" t="str">
        <f>Profile!A1302</f>
        <v>Table 37: O-PAS Profile Map for the Redfish Common Properties</v>
      </c>
      <c r="C1257">
        <f>Profile!AP1304</f>
        <v>0</v>
      </c>
      <c r="D1257" t="str">
        <f>IF(Profile!C1302="Profile",IF(Profile!A1304="ResourceRequirement","OK","XXX"),"XXX")</f>
        <v>XXX</v>
      </c>
    </row>
    <row r="1258" spans="1:4" x14ac:dyDescent="0.45">
      <c r="A1258">
        <f>ROW()</f>
        <v>1258</v>
      </c>
      <c r="B1258" t="str">
        <f>Profile!A1303</f>
        <v>Common</v>
      </c>
      <c r="C1258">
        <f>Profile!AP1305</f>
        <v>0</v>
      </c>
      <c r="D1258" t="str">
        <f>IF(Profile!C1303="Profile",IF(Profile!A1305="ResourceRequirement","OK","XXX"),"XXX")</f>
        <v>XXX</v>
      </c>
    </row>
    <row r="1259" spans="1:4" x14ac:dyDescent="0.45">
      <c r="A1259">
        <f>ROW()</f>
        <v>1259</v>
      </c>
      <c r="B1259">
        <f>Profile!A1304</f>
        <v>0</v>
      </c>
      <c r="C1259">
        <f>Profile!AP1306</f>
        <v>0</v>
      </c>
      <c r="D1259" t="str">
        <f>IF(Profile!C1304="Profile",IF(Profile!A1306="ResourceRequirement","OK","XXX"),"XXX")</f>
        <v>XXX</v>
      </c>
    </row>
    <row r="1260" spans="1:4" x14ac:dyDescent="0.45">
      <c r="A1260">
        <f>ROW()</f>
        <v>1260</v>
      </c>
      <c r="B1260" t="str">
        <f>Profile!A1305</f>
        <v>Property</v>
      </c>
      <c r="C1260">
        <f>Profile!AP1307</f>
        <v>0</v>
      </c>
      <c r="D1260" t="str">
        <f>IF(Profile!C1305="Profile",IF(Profile!A1307="ResourceRequirement","OK","XXX"),"XXX")</f>
        <v>XXX</v>
      </c>
    </row>
    <row r="1261" spans="1:4" x14ac:dyDescent="0.45">
      <c r="A1261">
        <f>ROW()</f>
        <v>1261</v>
      </c>
      <c r="B1261" t="str">
        <f>Profile!A1306</f>
        <v>@odata.context </v>
      </c>
      <c r="C1261">
        <f>Profile!AP1308</f>
        <v>0</v>
      </c>
      <c r="D1261" t="str">
        <f>IF(Profile!C1306="Profile",IF(Profile!A1308="ResourceRequirement","OK","XXX"),"XXX")</f>
        <v>XXX</v>
      </c>
    </row>
    <row r="1262" spans="1:4" x14ac:dyDescent="0.45">
      <c r="A1262">
        <f>ROW()</f>
        <v>1262</v>
      </c>
      <c r="B1262" t="str">
        <f>Profile!A1307</f>
        <v>@odata.etag</v>
      </c>
      <c r="C1262">
        <f>Profile!AP1309</f>
        <v>0</v>
      </c>
      <c r="D1262" t="str">
        <f>IF(Profile!C1307="Profile",IF(Profile!A1309="ResourceRequirement","OK","XXX"),"XXX")</f>
        <v>XXX</v>
      </c>
    </row>
    <row r="1263" spans="1:4" x14ac:dyDescent="0.45">
      <c r="A1263">
        <f>ROW()</f>
        <v>1263</v>
      </c>
      <c r="B1263" t="str">
        <f>Profile!A1308</f>
        <v>@odata.id</v>
      </c>
      <c r="C1263">
        <f>Profile!AP1310</f>
        <v>0</v>
      </c>
      <c r="D1263" t="str">
        <f>IF(Profile!C1308="Profile",IF(Profile!A1310="ResourceRequirement","OK","XXX"),"XXX")</f>
        <v>XXX</v>
      </c>
    </row>
    <row r="1264" spans="1:4" x14ac:dyDescent="0.45">
      <c r="A1264">
        <f>ROW()</f>
        <v>1264</v>
      </c>
      <c r="B1264" t="str">
        <f>Profile!A1309</f>
        <v>@odata.type</v>
      </c>
      <c r="C1264">
        <f>Profile!AP1311</f>
        <v>0</v>
      </c>
      <c r="D1264" t="str">
        <f>IF(Profile!C1309="Profile",IF(Profile!A1311="ResourceRequirement","OK","XXX"),"XXX")</f>
        <v>XXX</v>
      </c>
    </row>
    <row r="1265" spans="1:4" x14ac:dyDescent="0.45">
      <c r="A1265">
        <f>ROW()</f>
        <v>1265</v>
      </c>
      <c r="B1265" t="str">
        <f>Profile!A1310</f>
        <v>Description</v>
      </c>
      <c r="C1265">
        <f>Profile!AP1312</f>
        <v>0</v>
      </c>
      <c r="D1265" t="str">
        <f>IF(Profile!C1310="Profile",IF(Profile!A1312="ResourceRequirement","OK","XXX"),"XXX")</f>
        <v>XXX</v>
      </c>
    </row>
    <row r="1266" spans="1:4" x14ac:dyDescent="0.45">
      <c r="A1266">
        <f>ROW()</f>
        <v>1266</v>
      </c>
      <c r="B1266" t="str">
        <f>Profile!A1311</f>
        <v>Id</v>
      </c>
      <c r="C1266">
        <f>Profile!AP1313</f>
        <v>0</v>
      </c>
      <c r="D1266" t="str">
        <f>IF(Profile!C1311="Profile",IF(Profile!A1313="ResourceRequirement","OK","XXX"),"XXX")</f>
        <v>XXX</v>
      </c>
    </row>
    <row r="1267" spans="1:4" x14ac:dyDescent="0.45">
      <c r="A1267">
        <f>ROW()</f>
        <v>1267</v>
      </c>
      <c r="B1267" t="str">
        <f>Profile!A1312</f>
        <v>Name</v>
      </c>
      <c r="C1267">
        <f>Profile!AP1314</f>
        <v>0</v>
      </c>
      <c r="D1267" t="str">
        <f>IF(Profile!C1312="Profile",IF(Profile!A1314="ResourceRequirement","OK","XXX"),"XXX")</f>
        <v>XXX</v>
      </c>
    </row>
    <row r="1268" spans="1:4" x14ac:dyDescent="0.45">
      <c r="A1268">
        <f>ROW()</f>
        <v>1268</v>
      </c>
      <c r="B1268" t="str">
        <f>Profile!A1313</f>
        <v>Oem</v>
      </c>
      <c r="C1268">
        <f>Profile!AP1315</f>
        <v>0</v>
      </c>
      <c r="D1268" t="str">
        <f>IF(Profile!C1313="Profile",IF(Profile!A1315="ResourceRequirement","OK","XXX"),"XXX")</f>
        <v>XXX</v>
      </c>
    </row>
    <row r="1269" spans="1:4" x14ac:dyDescent="0.45">
      <c r="A1269">
        <f>ROW()</f>
        <v>1269</v>
      </c>
      <c r="B1269" t="str">
        <f>Profile!A1314</f>
        <v>Actions</v>
      </c>
      <c r="C1269">
        <f>Profile!AP1316</f>
        <v>0</v>
      </c>
      <c r="D1269" t="str">
        <f>IF(Profile!C1314="Profile",IF(Profile!A1316="ResourceRequirement","OK","XXX"),"XXX")</f>
        <v>XXX</v>
      </c>
    </row>
    <row r="1270" spans="1:4" x14ac:dyDescent="0.45">
      <c r="A1270">
        <f>ROW()</f>
        <v>1270</v>
      </c>
      <c r="B1270" t="str">
        <f>Profile!A1315</f>
        <v>Links</v>
      </c>
      <c r="C1270">
        <f>Profile!AP1317</f>
        <v>0</v>
      </c>
      <c r="D1270" t="str">
        <f>IF(Profile!C1315="Profile",IF(Profile!A1317="ResourceRequirement","OK","XXX"),"XXX")</f>
        <v>XXX</v>
      </c>
    </row>
    <row r="1271" spans="1:4" x14ac:dyDescent="0.45">
      <c r="A1271">
        <f>ROW()</f>
        <v>1271</v>
      </c>
      <c r="B1271" t="str">
        <f>Profile!A1316</f>
        <v>RelatedItem</v>
      </c>
      <c r="C1271">
        <f>Profile!AP1318</f>
        <v>0</v>
      </c>
      <c r="D1271" t="str">
        <f>IF(Profile!C1316="Profile",IF(Profile!A1318="ResourceRequirement","OK","XXX"),"XXX")</f>
        <v>XXX</v>
      </c>
    </row>
    <row r="1272" spans="1:4" x14ac:dyDescent="0.45">
      <c r="A1272">
        <f>ROW()</f>
        <v>1272</v>
      </c>
      <c r="B1272" t="str">
        <f>Profile!A1317</f>
        <v>@odata.id</v>
      </c>
      <c r="C1272">
        <f>Profile!AP1319</f>
        <v>0</v>
      </c>
      <c r="D1272" t="str">
        <f>IF(Profile!C1317="Profile",IF(Profile!A1319="ResourceRequirement","OK","XXX"),"XXX")</f>
        <v>XXX</v>
      </c>
    </row>
    <row r="1273" spans="1:4" x14ac:dyDescent="0.45">
      <c r="A1273">
        <f>ROW()</f>
        <v>1273</v>
      </c>
      <c r="B1273">
        <f>Profile!A1318</f>
        <v>0</v>
      </c>
      <c r="C1273">
        <f>Profile!AP1320</f>
        <v>0</v>
      </c>
      <c r="D1273" t="str">
        <f>IF(Profile!C1318="Profile",IF(Profile!A1320="ResourceRequirement","OK","XXX"),"XXX")</f>
        <v>XXX</v>
      </c>
    </row>
    <row r="1274" spans="1:4" x14ac:dyDescent="0.45">
      <c r="A1274">
        <f>ROW()</f>
        <v>1274</v>
      </c>
      <c r="B1274" t="str">
        <f>Profile!A1319</f>
        <v>1.1.4.3               JSONSchemaFile</v>
      </c>
      <c r="C1274">
        <f>Profile!AP1321</f>
        <v>0</v>
      </c>
      <c r="D1274" t="str">
        <f>IF(Profile!C1319="Profile",IF(Profile!A1321="ResourceRequirement","OK","XXX"),"XXX")</f>
        <v>XXX</v>
      </c>
    </row>
    <row r="1275" spans="1:4" x14ac:dyDescent="0.45">
      <c r="A1275">
        <f>ROW()</f>
        <v>1275</v>
      </c>
      <c r="B1275" t="str">
        <f>Profile!A1320</f>
        <v>The JSONSchemaFile resource defines the properties for the schema file locator resource.</v>
      </c>
      <c r="C1275">
        <f>Profile!AP1322</f>
        <v>0</v>
      </c>
      <c r="D1275" t="str">
        <f>IF(Profile!C1320="Profile",IF(Profile!A1322="ResourceRequirement","OK","XXX"),"XXX")</f>
        <v>XXX</v>
      </c>
    </row>
    <row r="1276" spans="1:4" x14ac:dyDescent="0.45">
      <c r="A1276">
        <f>ROW()</f>
        <v>1276</v>
      </c>
      <c r="B1276" t="str">
        <f>Profile!A1321</f>
        <v>Table 38: O-PAS Profile Map for the Redfish JSONSchemaFile Resource</v>
      </c>
      <c r="C1276">
        <f>Profile!AP1323</f>
        <v>0</v>
      </c>
      <c r="D1276" t="str">
        <f>IF(Profile!C1321="Profile",IF(Profile!A1323="ResourceRequirement","OK","XXX"),"XXX")</f>
        <v>XXX</v>
      </c>
    </row>
    <row r="1277" spans="1:4" x14ac:dyDescent="0.45">
      <c r="A1277">
        <f>ROW()</f>
        <v>1277</v>
      </c>
      <c r="B1277" t="str">
        <f>Profile!A1322</f>
        <v>JSONSchemaFile (1.1.1)</v>
      </c>
      <c r="C1277">
        <f>Profile!AP1324</f>
        <v>0</v>
      </c>
      <c r="D1277" t="str">
        <f>IF(Profile!C1322="Profile",IF(Profile!A1324="ResourceRequirement","OK","XXX"),"XXX")</f>
        <v>XXX</v>
      </c>
    </row>
    <row r="1278" spans="1:4" x14ac:dyDescent="0.45">
      <c r="A1278">
        <f>ROW()</f>
        <v>1278</v>
      </c>
      <c r="B1278">
        <f>Profile!A1323</f>
        <v>0</v>
      </c>
      <c r="C1278">
        <f>Profile!AP1325</f>
        <v>0</v>
      </c>
      <c r="D1278" t="str">
        <f>IF(Profile!C1323="Profile",IF(Profile!A1325="ResourceRequirement","OK","XXX"),"XXX")</f>
        <v>XXX</v>
      </c>
    </row>
    <row r="1279" spans="1:4" x14ac:dyDescent="0.45">
      <c r="A1279">
        <f>ROW()</f>
        <v>1279</v>
      </c>
      <c r="B1279" t="str">
        <f>Profile!A1324</f>
        <v>JSONSchemaFile (1.1.3)</v>
      </c>
      <c r="C1279">
        <f>Profile!AP1326</f>
        <v>23</v>
      </c>
      <c r="D1279" t="str">
        <f>IF(Profile!C1324="Profile",IF(Profile!A1326="ResourceRequirement","OK","XXX"),"XXX")</f>
        <v>OK</v>
      </c>
    </row>
    <row r="1280" spans="1:4" x14ac:dyDescent="0.45">
      <c r="A1280">
        <f>ROW()</f>
        <v>1280</v>
      </c>
      <c r="B1280">
        <f>Profile!A1325</f>
        <v>0</v>
      </c>
      <c r="C1280">
        <f>Profile!AP1327</f>
        <v>0</v>
      </c>
      <c r="D1280" t="str">
        <f>IF(Profile!C1325="Profile",IF(Profile!A1327="ResourceRequirement","OK","XXX"),"XXX")</f>
        <v>XXX</v>
      </c>
    </row>
    <row r="1281" spans="1:4" x14ac:dyDescent="0.45">
      <c r="A1281">
        <f>ROW()</f>
        <v>1281</v>
      </c>
      <c r="B1281" t="str">
        <f>Profile!A1326</f>
        <v>ResourceRequirement</v>
      </c>
      <c r="C1281">
        <f>Profile!AP1328</f>
        <v>0</v>
      </c>
      <c r="D1281" t="str">
        <f>IF(Profile!C1326="Profile",IF(Profile!A1328="ResourceRequirement","OK","XXX"),"XXX")</f>
        <v>XXX</v>
      </c>
    </row>
    <row r="1282" spans="1:4" x14ac:dyDescent="0.45">
      <c r="A1282">
        <f>ROW()</f>
        <v>1282</v>
      </c>
      <c r="B1282" t="str">
        <f>Profile!A1327</f>
        <v>Resource MinVersion</v>
      </c>
      <c r="C1282">
        <f>Profile!AP1329</f>
        <v>0</v>
      </c>
      <c r="D1282" t="str">
        <f>IF(Profile!C1327="Profile",IF(Profile!A1329="ResourceRequirement","OK","XXX"),"XXX")</f>
        <v>XXX</v>
      </c>
    </row>
    <row r="1283" spans="1:4" x14ac:dyDescent="0.45">
      <c r="A1283">
        <f>ROW()</f>
        <v>1283</v>
      </c>
      <c r="B1283" t="str">
        <f>Profile!A1328</f>
        <v>Property</v>
      </c>
      <c r="C1283">
        <f>Profile!AP1330</f>
        <v>0</v>
      </c>
      <c r="D1283" t="str">
        <f>IF(Profile!C1328="Profile",IF(Profile!A1330="ResourceRequirement","OK","XXX"),"XXX")</f>
        <v>XXX</v>
      </c>
    </row>
    <row r="1284" spans="1:4" x14ac:dyDescent="0.45">
      <c r="A1284">
        <f>ROW()</f>
        <v>1284</v>
      </c>
      <c r="B1284" t="str">
        <f>Profile!A1329</f>
        <v>Actions</v>
      </c>
      <c r="C1284">
        <f>Profile!AP1331</f>
        <v>0</v>
      </c>
      <c r="D1284" t="str">
        <f>IF(Profile!C1329="Profile",IF(Profile!A1331="ResourceRequirement","OK","XXX"),"XXX")</f>
        <v>XXX</v>
      </c>
    </row>
    <row r="1285" spans="1:4" x14ac:dyDescent="0.45">
      <c r="A1285">
        <f>ROW()</f>
        <v>1285</v>
      </c>
      <c r="B1285" t="str">
        <f>Profile!A1330</f>
        <v>Languages</v>
      </c>
      <c r="C1285">
        <f>Profile!AP1332</f>
        <v>0</v>
      </c>
      <c r="D1285" t="str">
        <f>IF(Profile!C1330="Profile",IF(Profile!A1332="ResourceRequirement","OK","XXX"),"XXX")</f>
        <v>XXX</v>
      </c>
    </row>
    <row r="1286" spans="1:4" x14ac:dyDescent="0.45">
      <c r="A1286">
        <f>ROW()</f>
        <v>1286</v>
      </c>
      <c r="B1286" t="str">
        <f>Profile!A1331</f>
        <v>Location</v>
      </c>
      <c r="C1286">
        <f>Profile!AP1333</f>
        <v>0</v>
      </c>
      <c r="D1286" t="str">
        <f>IF(Profile!C1331="Profile",IF(Profile!A1333="ResourceRequirement","OK","XXX"),"XXX")</f>
        <v>XXX</v>
      </c>
    </row>
    <row r="1287" spans="1:4" x14ac:dyDescent="0.45">
      <c r="A1287">
        <f>ROW()</f>
        <v>1287</v>
      </c>
      <c r="B1287" t="str">
        <f>Profile!A1332</f>
        <v xml:space="preserve">   ArchiveFile</v>
      </c>
      <c r="C1287">
        <f>Profile!AP1334</f>
        <v>0</v>
      </c>
      <c r="D1287" t="str">
        <f>IF(Profile!C1332="Profile",IF(Profile!A1334="ResourceRequirement","OK","XXX"),"XXX")</f>
        <v>XXX</v>
      </c>
    </row>
    <row r="1288" spans="1:4" x14ac:dyDescent="0.45">
      <c r="A1288">
        <f>ROW()</f>
        <v>1288</v>
      </c>
      <c r="B1288" t="str">
        <f>Profile!A1333</f>
        <v xml:space="preserve">   ArchiveUri</v>
      </c>
      <c r="C1288">
        <f>Profile!AP1335</f>
        <v>0</v>
      </c>
      <c r="D1288" t="str">
        <f>IF(Profile!C1333="Profile",IF(Profile!A1335="ResourceRequirement","OK","XXX"),"XXX")</f>
        <v>XXX</v>
      </c>
    </row>
    <row r="1289" spans="1:4" x14ac:dyDescent="0.45">
      <c r="A1289">
        <f>ROW()</f>
        <v>1289</v>
      </c>
      <c r="B1289" t="str">
        <f>Profile!A1334</f>
        <v xml:space="preserve">   Language</v>
      </c>
      <c r="C1289">
        <f>Profile!AP1336</f>
        <v>0</v>
      </c>
      <c r="D1289" t="str">
        <f>IF(Profile!C1334="Profile",IF(Profile!A1336="ResourceRequirement","OK","XXX"),"XXX")</f>
        <v>XXX</v>
      </c>
    </row>
    <row r="1290" spans="1:4" x14ac:dyDescent="0.45">
      <c r="A1290">
        <f>ROW()</f>
        <v>1290</v>
      </c>
      <c r="B1290" t="str">
        <f>Profile!A1335</f>
        <v xml:space="preserve">   PublicationUri</v>
      </c>
      <c r="C1290">
        <f>Profile!AP1337</f>
        <v>0</v>
      </c>
      <c r="D1290" t="str">
        <f>IF(Profile!C1335="Profile",IF(Profile!A1337="ResourceRequirement","OK","XXX"),"XXX")</f>
        <v>XXX</v>
      </c>
    </row>
    <row r="1291" spans="1:4" x14ac:dyDescent="0.45">
      <c r="A1291">
        <f>ROW()</f>
        <v>1291</v>
      </c>
      <c r="B1291" t="str">
        <f>Profile!A1336</f>
        <v xml:space="preserve">   Uri</v>
      </c>
      <c r="C1291">
        <f>Profile!AP1338</f>
        <v>0</v>
      </c>
      <c r="D1291" t="str">
        <f>IF(Profile!C1336="Profile",IF(Profile!A1338="ResourceRequirement","OK","XXX"),"XXX")</f>
        <v>XXX</v>
      </c>
    </row>
    <row r="1292" spans="1:4" x14ac:dyDescent="0.45">
      <c r="A1292">
        <f>ROW()</f>
        <v>1292</v>
      </c>
      <c r="B1292" t="str">
        <f>Profile!A1337</f>
        <v>Schema</v>
      </c>
      <c r="C1292">
        <f>Profile!AP1339</f>
        <v>0</v>
      </c>
      <c r="D1292" t="str">
        <f>IF(Profile!C1337="Profile",IF(Profile!A1339="ResourceRequirement","OK","XXX"),"XXX")</f>
        <v>XXX</v>
      </c>
    </row>
    <row r="1293" spans="1:4" x14ac:dyDescent="0.45">
      <c r="A1293">
        <f>ROW()</f>
        <v>1293</v>
      </c>
      <c r="B1293" t="str">
        <f>Profile!A1338</f>
        <v>JSONSchemaFile URIs</v>
      </c>
      <c r="C1293">
        <f>Profile!AP1340</f>
        <v>0</v>
      </c>
      <c r="D1293" t="str">
        <f>IF(Profile!C1338="Profile",IF(Profile!A1340="ResourceRequirement","OK","XXX"),"XXX")</f>
        <v>XXX</v>
      </c>
    </row>
    <row r="1294" spans="1:4" x14ac:dyDescent="0.45">
      <c r="A1294">
        <f>ROW()</f>
        <v>1294</v>
      </c>
      <c r="B1294" t="str">
        <f>Profile!A1339</f>
        <v>/redfish/v1/JsonSchemas/{JsonSchemaFileId}</v>
      </c>
      <c r="C1294">
        <f>Profile!AP1341</f>
        <v>0</v>
      </c>
      <c r="D1294" t="str">
        <f>IF(Profile!C1339="Profile",IF(Profile!A1341="ResourceRequirement","OK","XXX"),"XXX")</f>
        <v>XXX</v>
      </c>
    </row>
    <row r="1295" spans="1:4" x14ac:dyDescent="0.45">
      <c r="A1295">
        <f>ROW()</f>
        <v>1295</v>
      </c>
      <c r="B1295">
        <f>Profile!A1340</f>
        <v>0</v>
      </c>
      <c r="C1295">
        <f>Profile!AP1342</f>
        <v>0</v>
      </c>
      <c r="D1295" t="str">
        <f>IF(Profile!C1340="Profile",IF(Profile!A1342="ResourceRequirement","OK","XXX"),"XXX")</f>
        <v>XXX</v>
      </c>
    </row>
    <row r="1296" spans="1:4" x14ac:dyDescent="0.45">
      <c r="A1296">
        <f>ROW()</f>
        <v>1296</v>
      </c>
      <c r="B1296" t="str">
        <f>Profile!A1341</f>
        <v>1.1.4.4               Message</v>
      </c>
      <c r="C1296">
        <f>Profile!AP1343</f>
        <v>0</v>
      </c>
      <c r="D1296" t="str">
        <f>IF(Profile!C1341="Profile",IF(Profile!A1343="ResourceRequirement","OK","XXX"),"XXX")</f>
        <v>XXX</v>
      </c>
    </row>
    <row r="1297" spans="1:4" x14ac:dyDescent="0.45">
      <c r="A1297">
        <f>ROW()</f>
        <v>1297</v>
      </c>
      <c r="B1297" t="str">
        <f>Profile!A1342</f>
        <v>A Message object is returned by a Redfish service.</v>
      </c>
      <c r="C1297">
        <f>Profile!AP1344</f>
        <v>0</v>
      </c>
      <c r="D1297" t="str">
        <f>IF(Profile!C1342="Profile",IF(Profile!A1344="ResourceRequirement","OK","XXX"),"XXX")</f>
        <v>XXX</v>
      </c>
    </row>
    <row r="1298" spans="1:4" x14ac:dyDescent="0.45">
      <c r="A1298">
        <f>ROW()</f>
        <v>1298</v>
      </c>
      <c r="B1298" t="str">
        <f>Profile!A1343</f>
        <v>Table 39: O-PAS Profile Map for the Redfish Message Object</v>
      </c>
      <c r="C1298">
        <f>Profile!AP1345</f>
        <v>0</v>
      </c>
      <c r="D1298" t="str">
        <f>IF(Profile!C1343="Profile",IF(Profile!A1345="ResourceRequirement","OK","XXX"),"XXX")</f>
        <v>XXX</v>
      </c>
    </row>
    <row r="1299" spans="1:4" x14ac:dyDescent="0.45">
      <c r="A1299">
        <f>ROW()</f>
        <v>1299</v>
      </c>
      <c r="B1299" t="str">
        <f>Profile!A1344</f>
        <v>Message</v>
      </c>
      <c r="C1299">
        <f>Profile!AP1346</f>
        <v>0</v>
      </c>
      <c r="D1299" t="str">
        <f>IF(Profile!C1344="Profile",IF(Profile!A1346="ResourceRequirement","OK","XXX"),"XXX")</f>
        <v>XXX</v>
      </c>
    </row>
    <row r="1300" spans="1:4" x14ac:dyDescent="0.45">
      <c r="A1300">
        <f>ROW()</f>
        <v>1300</v>
      </c>
      <c r="B1300">
        <f>Profile!A1345</f>
        <v>0</v>
      </c>
      <c r="C1300">
        <f>Profile!AP1347</f>
        <v>0</v>
      </c>
      <c r="D1300" t="str">
        <f>IF(Profile!C1345="Profile",IF(Profile!A1347="ResourceRequirement","OK","XXX"),"XXX")</f>
        <v>XXX</v>
      </c>
    </row>
    <row r="1301" spans="1:4" x14ac:dyDescent="0.45">
      <c r="A1301">
        <f>ROW()</f>
        <v>1301</v>
      </c>
      <c r="B1301" t="str">
        <f>Profile!A1346</f>
        <v>Message</v>
      </c>
      <c r="C1301">
        <f>Profile!AP1348</f>
        <v>0</v>
      </c>
      <c r="D1301" t="str">
        <f>IF(Profile!C1346="Profile",IF(Profile!A1348="ResourceRequirement","OK","XXX"),"XXX")</f>
        <v>OK</v>
      </c>
    </row>
    <row r="1302" spans="1:4" x14ac:dyDescent="0.45">
      <c r="A1302">
        <f>ROW()</f>
        <v>1302</v>
      </c>
      <c r="B1302">
        <f>Profile!A1347</f>
        <v>0</v>
      </c>
      <c r="C1302">
        <f>Profile!AP1349</f>
        <v>0</v>
      </c>
      <c r="D1302" t="str">
        <f>IF(Profile!C1347="Profile",IF(Profile!A1349="ResourceRequirement","OK","XXX"),"XXX")</f>
        <v>XXX</v>
      </c>
    </row>
    <row r="1303" spans="1:4" x14ac:dyDescent="0.45">
      <c r="A1303">
        <f>ROW()</f>
        <v>1303</v>
      </c>
      <c r="B1303" t="str">
        <f>Profile!A1348</f>
        <v>ResourceRequirement</v>
      </c>
      <c r="C1303">
        <f>Profile!AP1350</f>
        <v>0</v>
      </c>
      <c r="D1303" t="str">
        <f>IF(Profile!C1348="Profile",IF(Profile!A1350="ResourceRequirement","OK","XXX"),"XXX")</f>
        <v>XXX</v>
      </c>
    </row>
    <row r="1304" spans="1:4" x14ac:dyDescent="0.45">
      <c r="A1304">
        <f>ROW()</f>
        <v>1304</v>
      </c>
      <c r="B1304" t="str">
        <f>Profile!A1349</f>
        <v>Property</v>
      </c>
      <c r="C1304">
        <f>Profile!AP1351</f>
        <v>0</v>
      </c>
      <c r="D1304" t="str">
        <f>IF(Profile!C1349="Profile",IF(Profile!A1351="ResourceRequirement","OK","XXX"),"XXX")</f>
        <v>XXX</v>
      </c>
    </row>
    <row r="1305" spans="1:4" x14ac:dyDescent="0.45">
      <c r="A1305">
        <f>ROW()</f>
        <v>1305</v>
      </c>
      <c r="B1305" t="str">
        <f>Profile!A1350</f>
        <v>Message</v>
      </c>
      <c r="C1305">
        <f>Profile!AP1352</f>
        <v>0</v>
      </c>
      <c r="D1305" t="str">
        <f>IF(Profile!C1350="Profile",IF(Profile!A1352="ResourceRequirement","OK","XXX"),"XXX")</f>
        <v>XXX</v>
      </c>
    </row>
    <row r="1306" spans="1:4" x14ac:dyDescent="0.45">
      <c r="A1306">
        <f>ROW()</f>
        <v>1306</v>
      </c>
      <c r="B1306" t="str">
        <f>Profile!A1351</f>
        <v>MessageArgs</v>
      </c>
      <c r="C1306">
        <f>Profile!AP1353</f>
        <v>0</v>
      </c>
      <c r="D1306" t="str">
        <f>IF(Profile!C1351="Profile",IF(Profile!A1353="ResourceRequirement","OK","XXX"),"XXX")</f>
        <v>XXX</v>
      </c>
    </row>
    <row r="1307" spans="1:4" x14ac:dyDescent="0.45">
      <c r="A1307">
        <f>ROW()</f>
        <v>1307</v>
      </c>
      <c r="B1307" t="str">
        <f>Profile!A1352</f>
        <v>MessageId</v>
      </c>
      <c r="C1307">
        <f>Profile!AP1354</f>
        <v>0</v>
      </c>
      <c r="D1307" t="str">
        <f>IF(Profile!C1352="Profile",IF(Profile!A1354="ResourceRequirement","OK","XXX"),"XXX")</f>
        <v>XXX</v>
      </c>
    </row>
    <row r="1308" spans="1:4" x14ac:dyDescent="0.45">
      <c r="A1308">
        <f>ROW()</f>
        <v>1308</v>
      </c>
      <c r="B1308" t="str">
        <f>Profile!A1353</f>
        <v>Oem</v>
      </c>
      <c r="C1308">
        <f>Profile!AP1355</f>
        <v>0</v>
      </c>
      <c r="D1308" t="str">
        <f>IF(Profile!C1353="Profile",IF(Profile!A1355="ResourceRequirement","OK","XXX"),"XXX")</f>
        <v>XXX</v>
      </c>
    </row>
    <row r="1309" spans="1:4" x14ac:dyDescent="0.45">
      <c r="A1309">
        <f>ROW()</f>
        <v>1309</v>
      </c>
      <c r="B1309" t="str">
        <f>Profile!A1354</f>
        <v>RelatedProperties</v>
      </c>
      <c r="C1309">
        <f>Profile!AP1356</f>
        <v>0</v>
      </c>
      <c r="D1309" t="str">
        <f>IF(Profile!C1354="Profile",IF(Profile!A1356="ResourceRequirement","OK","XXX"),"XXX")</f>
        <v>XXX</v>
      </c>
    </row>
    <row r="1310" spans="1:4" x14ac:dyDescent="0.45">
      <c r="A1310">
        <f>ROW()</f>
        <v>1310</v>
      </c>
      <c r="B1310" t="str">
        <f>Profile!A1355</f>
        <v>Resolution</v>
      </c>
      <c r="C1310">
        <f>Profile!AP1357</f>
        <v>0</v>
      </c>
      <c r="D1310" t="str">
        <f>IF(Profile!C1355="Profile",IF(Profile!A1357="ResourceRequirement","OK","XXX"),"XXX")</f>
        <v>XXX</v>
      </c>
    </row>
    <row r="1311" spans="1:4" x14ac:dyDescent="0.45">
      <c r="A1311">
        <f>ROW()</f>
        <v>1311</v>
      </c>
      <c r="B1311" t="str">
        <f>Profile!A1356</f>
        <v>Severity</v>
      </c>
      <c r="C1311">
        <f>Profile!AP1358</f>
        <v>0</v>
      </c>
      <c r="D1311" t="str">
        <f>IF(Profile!C1356="Profile",IF(Profile!A1358="ResourceRequirement","OK","XXX"),"XXX")</f>
        <v>XXX</v>
      </c>
    </row>
    <row r="1312" spans="1:4" x14ac:dyDescent="0.45">
      <c r="A1312">
        <f>ROW()</f>
        <v>1312</v>
      </c>
      <c r="B1312">
        <f>Profile!A1357</f>
        <v>0</v>
      </c>
      <c r="C1312">
        <f>Profile!AP1359</f>
        <v>0</v>
      </c>
      <c r="D1312" t="str">
        <f>IF(Profile!C1357="Profile",IF(Profile!A1359="ResourceRequirement","OK","XXX"),"XXX")</f>
        <v>XXX</v>
      </c>
    </row>
    <row r="1313" spans="1:4" x14ac:dyDescent="0.45">
      <c r="A1313">
        <f>ROW()</f>
        <v>1313</v>
      </c>
      <c r="B1313" t="str">
        <f>Profile!A1358</f>
        <v>1.1.4.5               MessageRegistry</v>
      </c>
      <c r="C1313">
        <f>Profile!AP1360</f>
        <v>0</v>
      </c>
      <c r="D1313" t="str">
        <f>IF(Profile!C1358="Profile",IF(Profile!A1360="ResourceRequirement","OK","XXX"),"XXX")</f>
        <v>XXX</v>
      </c>
    </row>
    <row r="1314" spans="1:4" x14ac:dyDescent="0.45">
      <c r="A1314">
        <f>ROW()</f>
        <v>1314</v>
      </c>
      <c r="B1314" t="str">
        <f>Profile!A1359</f>
        <v>A MessageRegistry object represents the properties for the registries themselves. The MessageId is formed per the Redfish specification. It consists of the RegistryPrefix concatenated with the version concatenated with the unique identifier for the MessageRegistry entry.</v>
      </c>
      <c r="C1314">
        <f>Profile!AP1361</f>
        <v>0</v>
      </c>
      <c r="D1314" t="str">
        <f>IF(Profile!C1359="Profile",IF(Profile!A1361="ResourceRequirement","OK","XXX"),"XXX")</f>
        <v>XXX</v>
      </c>
    </row>
    <row r="1315" spans="1:4" x14ac:dyDescent="0.45">
      <c r="A1315">
        <f>ROW()</f>
        <v>1315</v>
      </c>
      <c r="B1315" t="str">
        <f>Profile!A1360</f>
        <v>Table 40: O-PAS Profile Map for the Redfish MessageRegistry Object</v>
      </c>
      <c r="C1315">
        <f>Profile!AP1362</f>
        <v>0</v>
      </c>
      <c r="D1315" t="str">
        <f>IF(Profile!C1360="Profile",IF(Profile!A1362="ResourceRequirement","OK","XXX"),"XXX")</f>
        <v>XXX</v>
      </c>
    </row>
    <row r="1316" spans="1:4" x14ac:dyDescent="0.45">
      <c r="A1316">
        <f>ROW()</f>
        <v>1316</v>
      </c>
      <c r="B1316" t="str">
        <f>Profile!A1361</f>
        <v>MessageRegistry (1.2.0)</v>
      </c>
      <c r="C1316">
        <f>Profile!AP1363</f>
        <v>0</v>
      </c>
      <c r="D1316" t="str">
        <f>IF(Profile!C1361="Profile",IF(Profile!A1363="ResourceRequirement","OK","XXX"),"XXX")</f>
        <v>XXX</v>
      </c>
    </row>
    <row r="1317" spans="1:4" x14ac:dyDescent="0.45">
      <c r="A1317">
        <f>ROW()</f>
        <v>1317</v>
      </c>
      <c r="B1317">
        <f>Profile!A1362</f>
        <v>0</v>
      </c>
      <c r="C1317">
        <f>Profile!AP1364</f>
        <v>0</v>
      </c>
      <c r="D1317" t="str">
        <f>IF(Profile!C1362="Profile",IF(Profile!A1364="ResourceRequirement","OK","XXX"),"XXX")</f>
        <v>XXX</v>
      </c>
    </row>
    <row r="1318" spans="1:4" x14ac:dyDescent="0.45">
      <c r="A1318">
        <f>ROW()</f>
        <v>1318</v>
      </c>
      <c r="B1318" t="str">
        <f>Profile!A1363</f>
        <v>MessageRegistry (1.3.0)</v>
      </c>
      <c r="C1318">
        <f>Profile!AP1365</f>
        <v>31</v>
      </c>
      <c r="D1318" t="str">
        <f>IF(Profile!C1363="Profile",IF(Profile!A1365="ResourceRequirement","OK","XXX"),"XXX")</f>
        <v>OK</v>
      </c>
    </row>
    <row r="1319" spans="1:4" x14ac:dyDescent="0.45">
      <c r="A1319">
        <f>ROW()</f>
        <v>1319</v>
      </c>
      <c r="B1319">
        <f>Profile!A1364</f>
        <v>0</v>
      </c>
      <c r="C1319">
        <f>Profile!AP1366</f>
        <v>0</v>
      </c>
      <c r="D1319" t="str">
        <f>IF(Profile!C1364="Profile",IF(Profile!A1366="ResourceRequirement","OK","XXX"),"XXX")</f>
        <v>XXX</v>
      </c>
    </row>
    <row r="1320" spans="1:4" x14ac:dyDescent="0.45">
      <c r="A1320">
        <f>ROW()</f>
        <v>1320</v>
      </c>
      <c r="B1320" t="str">
        <f>Profile!A1365</f>
        <v>ResourceRequirement</v>
      </c>
      <c r="C1320">
        <f>Profile!AP1367</f>
        <v>0</v>
      </c>
      <c r="D1320" t="str">
        <f>IF(Profile!C1365="Profile",IF(Profile!A1367="ResourceRequirement","OK","XXX"),"XXX")</f>
        <v>XXX</v>
      </c>
    </row>
    <row r="1321" spans="1:4" x14ac:dyDescent="0.45">
      <c r="A1321">
        <f>ROW()</f>
        <v>1321</v>
      </c>
      <c r="B1321" t="str">
        <f>Profile!A1366</f>
        <v>Resource MinVersion</v>
      </c>
      <c r="C1321">
        <f>Profile!AP1368</f>
        <v>0</v>
      </c>
      <c r="D1321" t="str">
        <f>IF(Profile!C1366="Profile",IF(Profile!A1368="ResourceRequirement","OK","XXX"),"XXX")</f>
        <v>XXX</v>
      </c>
    </row>
    <row r="1322" spans="1:4" x14ac:dyDescent="0.45">
      <c r="A1322">
        <f>ROW()</f>
        <v>1322</v>
      </c>
      <c r="B1322" t="str">
        <f>Profile!A1367</f>
        <v>Property</v>
      </c>
      <c r="C1322">
        <f>Profile!AP1369</f>
        <v>0</v>
      </c>
      <c r="D1322" t="str">
        <f>IF(Profile!C1367="Profile",IF(Profile!A1369="ResourceRequirement","OK","XXX"),"XXX")</f>
        <v>XXX</v>
      </c>
    </row>
    <row r="1323" spans="1:4" x14ac:dyDescent="0.45">
      <c r="A1323">
        <f>ROW()</f>
        <v>1323</v>
      </c>
      <c r="B1323" t="str">
        <f>Profile!A1368</f>
        <v>Actions</v>
      </c>
      <c r="C1323">
        <f>Profile!AP1370</f>
        <v>0</v>
      </c>
      <c r="D1323" t="str">
        <f>IF(Profile!C1368="Profile",IF(Profile!A1370="ResourceRequirement","OK","XXX"),"XXX")</f>
        <v>XXX</v>
      </c>
    </row>
    <row r="1324" spans="1:4" x14ac:dyDescent="0.45">
      <c r="A1324">
        <f>ROW()</f>
        <v>1324</v>
      </c>
      <c r="B1324" t="str">
        <f>Profile!A1369</f>
        <v>Language</v>
      </c>
      <c r="C1324">
        <f>Profile!AP1371</f>
        <v>0</v>
      </c>
      <c r="D1324" t="str">
        <f>IF(Profile!C1369="Profile",IF(Profile!A1371="ResourceRequirement","OK","XXX"),"XXX")</f>
        <v>XXX</v>
      </c>
    </row>
    <row r="1325" spans="1:4" x14ac:dyDescent="0.45">
      <c r="A1325">
        <f>ROW()</f>
        <v>1325</v>
      </c>
      <c r="B1325" t="str">
        <f>Profile!A1370</f>
        <v>Messages</v>
      </c>
      <c r="C1325">
        <f>Profile!AP1372</f>
        <v>0</v>
      </c>
      <c r="D1325" t="str">
        <f>IF(Profile!C1370="Profile",IF(Profile!A1372="ResourceRequirement","OK","XXX"),"XXX")</f>
        <v>XXX</v>
      </c>
    </row>
    <row r="1326" spans="1:4" x14ac:dyDescent="0.45">
      <c r="A1326">
        <f>ROW()</f>
        <v>1326</v>
      </c>
      <c r="B1326" t="str">
        <f>Profile!A1371</f>
        <v>OwningEntity</v>
      </c>
      <c r="C1326">
        <f>Profile!AP1373</f>
        <v>0</v>
      </c>
      <c r="D1326" t="str">
        <f>IF(Profile!C1371="Profile",IF(Profile!A1373="ResourceRequirement","OK","XXX"),"XXX")</f>
        <v>XXX</v>
      </c>
    </row>
    <row r="1327" spans="1:4" x14ac:dyDescent="0.45">
      <c r="A1327">
        <f>ROW()</f>
        <v>1327</v>
      </c>
      <c r="B1327" t="str">
        <f>Profile!A1372</f>
        <v>RegistryPrefix</v>
      </c>
      <c r="C1327">
        <f>Profile!AP1374</f>
        <v>0</v>
      </c>
      <c r="D1327" t="str">
        <f>IF(Profile!C1372="Profile",IF(Profile!A1374="ResourceRequirement","OK","XXX"),"XXX")</f>
        <v>XXX</v>
      </c>
    </row>
    <row r="1328" spans="1:4" x14ac:dyDescent="0.45">
      <c r="A1328">
        <f>ROW()</f>
        <v>1328</v>
      </c>
      <c r="B1328" t="str">
        <f>Profile!A1373</f>
        <v>RegistryVersion</v>
      </c>
      <c r="C1328">
        <f>Profile!AP1375</f>
        <v>0</v>
      </c>
      <c r="D1328" t="str">
        <f>IF(Profile!C1373="Profile",IF(Profile!A1375="ResourceRequirement","OK","XXX"),"XXX")</f>
        <v>XXX</v>
      </c>
    </row>
    <row r="1329" spans="1:4" x14ac:dyDescent="0.45">
      <c r="A1329">
        <f>ROW()</f>
        <v>1329</v>
      </c>
      <c r="B1329">
        <f>Profile!A1374</f>
        <v>0</v>
      </c>
      <c r="C1329">
        <f>Profile!AP1376</f>
        <v>0</v>
      </c>
      <c r="D1329" t="str">
        <f>IF(Profile!C1374="Profile",IF(Profile!A1376="ResourceRequirement","OK","XXX"),"XXX")</f>
        <v>XXX</v>
      </c>
    </row>
    <row r="1330" spans="1:4" x14ac:dyDescent="0.45">
      <c r="A1330">
        <f>ROW()</f>
        <v>1330</v>
      </c>
      <c r="B1330" t="str">
        <f>Profile!A1375</f>
        <v>1.1.4.6               MessageRegistryFile</v>
      </c>
      <c r="C1330">
        <f>Profile!AP1377</f>
        <v>0</v>
      </c>
      <c r="D1330" t="str">
        <f>IF(Profile!C1375="Profile",IF(Profile!A1377="ResourceRequirement","OK","XXX"),"XXX")</f>
        <v>XXX</v>
      </c>
    </row>
    <row r="1331" spans="1:4" x14ac:dyDescent="0.45">
      <c r="A1331">
        <f>ROW()</f>
        <v>1331</v>
      </c>
      <c r="B1331" t="str">
        <f>Profile!A1376</f>
        <v>The MessageRegistryFile resource uses the schema file locator resource.</v>
      </c>
      <c r="C1331">
        <f>Profile!AP1378</f>
        <v>0</v>
      </c>
      <c r="D1331" t="str">
        <f>IF(Profile!C1376="Profile",IF(Profile!A1378="ResourceRequirement","OK","XXX"),"XXX")</f>
        <v>XXX</v>
      </c>
    </row>
    <row r="1332" spans="1:4" x14ac:dyDescent="0.45">
      <c r="A1332">
        <f>ROW()</f>
        <v>1332</v>
      </c>
      <c r="B1332" t="str">
        <f>Profile!A1377</f>
        <v>Table 41: O-PAS Profile Map for the Redfish MessageRegistryFile Resource</v>
      </c>
      <c r="C1332">
        <f>Profile!AP1379</f>
        <v>0</v>
      </c>
      <c r="D1332" t="str">
        <f>IF(Profile!C1377="Profile",IF(Profile!A1379="ResourceRequirement","OK","XXX"),"XXX")</f>
        <v>XXX</v>
      </c>
    </row>
    <row r="1333" spans="1:4" x14ac:dyDescent="0.45">
      <c r="A1333">
        <f>ROW()</f>
        <v>1333</v>
      </c>
      <c r="B1333" t="str">
        <f>Profile!A1378</f>
        <v>MessageRegistryFile (1.1.1)</v>
      </c>
      <c r="C1333">
        <f>Profile!AP1380</f>
        <v>0</v>
      </c>
      <c r="D1333" t="str">
        <f>IF(Profile!C1378="Profile",IF(Profile!A1380="ResourceRequirement","OK","XXX"),"XXX")</f>
        <v>XXX</v>
      </c>
    </row>
    <row r="1334" spans="1:4" x14ac:dyDescent="0.45">
      <c r="A1334">
        <f>ROW()</f>
        <v>1334</v>
      </c>
      <c r="B1334">
        <f>Profile!A1379</f>
        <v>0</v>
      </c>
      <c r="C1334">
        <f>Profile!AP1381</f>
        <v>0</v>
      </c>
      <c r="D1334" t="str">
        <f>IF(Profile!C1379="Profile",IF(Profile!A1381="ResourceRequirement","OK","XXX"),"XXX")</f>
        <v>XXX</v>
      </c>
    </row>
    <row r="1335" spans="1:4" x14ac:dyDescent="0.45">
      <c r="A1335">
        <f>ROW()</f>
        <v>1335</v>
      </c>
      <c r="B1335" t="str">
        <f>Profile!A1380</f>
        <v>MessageRegistryFile (1.1.2)</v>
      </c>
      <c r="C1335">
        <f>Profile!AP1382</f>
        <v>32</v>
      </c>
      <c r="D1335" t="str">
        <f>IF(Profile!C1380="Profile",IF(Profile!A1382="ResourceRequirement","OK","XXX"),"XXX")</f>
        <v>OK</v>
      </c>
    </row>
    <row r="1336" spans="1:4" x14ac:dyDescent="0.45">
      <c r="A1336">
        <f>ROW()</f>
        <v>1336</v>
      </c>
      <c r="B1336">
        <f>Profile!A1381</f>
        <v>0</v>
      </c>
      <c r="C1336">
        <f>Profile!AP1383</f>
        <v>0</v>
      </c>
      <c r="D1336" t="str">
        <f>IF(Profile!C1381="Profile",IF(Profile!A1383="ResourceRequirement","OK","XXX"),"XXX")</f>
        <v>XXX</v>
      </c>
    </row>
    <row r="1337" spans="1:4" x14ac:dyDescent="0.45">
      <c r="A1337">
        <f>ROW()</f>
        <v>1337</v>
      </c>
      <c r="B1337" t="str">
        <f>Profile!A1382</f>
        <v>ResourceRequirement</v>
      </c>
      <c r="C1337">
        <f>Profile!AP1384</f>
        <v>0</v>
      </c>
      <c r="D1337" t="str">
        <f>IF(Profile!C1382="Profile",IF(Profile!A1384="ResourceRequirement","OK","XXX"),"XXX")</f>
        <v>XXX</v>
      </c>
    </row>
    <row r="1338" spans="1:4" x14ac:dyDescent="0.45">
      <c r="A1338">
        <f>ROW()</f>
        <v>1338</v>
      </c>
      <c r="B1338" t="str">
        <f>Profile!A1383</f>
        <v>Resource MinVersion</v>
      </c>
      <c r="C1338">
        <f>Profile!AP1385</f>
        <v>0</v>
      </c>
      <c r="D1338" t="str">
        <f>IF(Profile!C1383="Profile",IF(Profile!A1385="ResourceRequirement","OK","XXX"),"XXX")</f>
        <v>XXX</v>
      </c>
    </row>
    <row r="1339" spans="1:4" x14ac:dyDescent="0.45">
      <c r="A1339">
        <f>ROW()</f>
        <v>1339</v>
      </c>
      <c r="B1339" t="str">
        <f>Profile!A1384</f>
        <v>Property</v>
      </c>
      <c r="C1339">
        <f>Profile!AP1386</f>
        <v>0</v>
      </c>
      <c r="D1339" t="str">
        <f>IF(Profile!C1384="Profile",IF(Profile!A1386="ResourceRequirement","OK","XXX"),"XXX")</f>
        <v>XXX</v>
      </c>
    </row>
    <row r="1340" spans="1:4" x14ac:dyDescent="0.45">
      <c r="A1340">
        <f>ROW()</f>
        <v>1340</v>
      </c>
      <c r="B1340" t="str">
        <f>Profile!A1385</f>
        <v>Actions</v>
      </c>
      <c r="C1340">
        <f>Profile!AP1387</f>
        <v>0</v>
      </c>
      <c r="D1340" t="str">
        <f>IF(Profile!C1385="Profile",IF(Profile!A1387="ResourceRequirement","OK","XXX"),"XXX")</f>
        <v>XXX</v>
      </c>
    </row>
    <row r="1341" spans="1:4" x14ac:dyDescent="0.45">
      <c r="A1341">
        <f>ROW()</f>
        <v>1341</v>
      </c>
      <c r="B1341" t="str">
        <f>Profile!A1386</f>
        <v>Languages</v>
      </c>
      <c r="C1341">
        <f>Profile!AP1388</f>
        <v>0</v>
      </c>
      <c r="D1341" t="str">
        <f>IF(Profile!C1386="Profile",IF(Profile!A1388="ResourceRequirement","OK","XXX"),"XXX")</f>
        <v>XXX</v>
      </c>
    </row>
    <row r="1342" spans="1:4" x14ac:dyDescent="0.45">
      <c r="A1342">
        <f>ROW()</f>
        <v>1342</v>
      </c>
      <c r="B1342" t="str">
        <f>Profile!A1387</f>
        <v>Location</v>
      </c>
      <c r="C1342">
        <f>Profile!AP1389</f>
        <v>0</v>
      </c>
      <c r="D1342" t="str">
        <f>IF(Profile!C1387="Profile",IF(Profile!A1389="ResourceRequirement","OK","XXX"),"XXX")</f>
        <v>XXX</v>
      </c>
    </row>
    <row r="1343" spans="1:4" x14ac:dyDescent="0.45">
      <c r="A1343">
        <f>ROW()</f>
        <v>1343</v>
      </c>
      <c r="B1343" t="str">
        <f>Profile!A1388</f>
        <v xml:space="preserve">   ArchiveFile</v>
      </c>
      <c r="C1343">
        <f>Profile!AP1390</f>
        <v>0</v>
      </c>
      <c r="D1343" t="str">
        <f>IF(Profile!C1388="Profile",IF(Profile!A1390="ResourceRequirement","OK","XXX"),"XXX")</f>
        <v>XXX</v>
      </c>
    </row>
    <row r="1344" spans="1:4" x14ac:dyDescent="0.45">
      <c r="A1344">
        <f>ROW()</f>
        <v>1344</v>
      </c>
      <c r="B1344" t="str">
        <f>Profile!A1389</f>
        <v xml:space="preserve">   ArchiveUri</v>
      </c>
      <c r="C1344">
        <f>Profile!AP1391</f>
        <v>0</v>
      </c>
      <c r="D1344" t="str">
        <f>IF(Profile!C1389="Profile",IF(Profile!A1391="ResourceRequirement","OK","XXX"),"XXX")</f>
        <v>XXX</v>
      </c>
    </row>
    <row r="1345" spans="1:4" x14ac:dyDescent="0.45">
      <c r="A1345">
        <f>ROW()</f>
        <v>1345</v>
      </c>
      <c r="B1345" t="str">
        <f>Profile!A1390</f>
        <v xml:space="preserve">   Language</v>
      </c>
      <c r="C1345">
        <f>Profile!AP1392</f>
        <v>0</v>
      </c>
      <c r="D1345" t="str">
        <f>IF(Profile!C1390="Profile",IF(Profile!A1392="ResourceRequirement","OK","XXX"),"XXX")</f>
        <v>XXX</v>
      </c>
    </row>
    <row r="1346" spans="1:4" x14ac:dyDescent="0.45">
      <c r="A1346">
        <f>ROW()</f>
        <v>1346</v>
      </c>
      <c r="B1346" t="str">
        <f>Profile!A1391</f>
        <v xml:space="preserve">   PublicationUri</v>
      </c>
      <c r="C1346">
        <f>Profile!AP1393</f>
        <v>0</v>
      </c>
      <c r="D1346" t="str">
        <f>IF(Profile!C1391="Profile",IF(Profile!A1393="ResourceRequirement","OK","XXX"),"XXX")</f>
        <v>XXX</v>
      </c>
    </row>
    <row r="1347" spans="1:4" x14ac:dyDescent="0.45">
      <c r="A1347">
        <f>ROW()</f>
        <v>1347</v>
      </c>
      <c r="B1347" t="str">
        <f>Profile!A1392</f>
        <v xml:space="preserve">   Uri</v>
      </c>
      <c r="C1347">
        <f>Profile!AP1394</f>
        <v>0</v>
      </c>
      <c r="D1347" t="str">
        <f>IF(Profile!C1392="Profile",IF(Profile!A1394="ResourceRequirement","OK","XXX"),"XXX")</f>
        <v>XXX</v>
      </c>
    </row>
    <row r="1348" spans="1:4" x14ac:dyDescent="0.45">
      <c r="A1348">
        <f>ROW()</f>
        <v>1348</v>
      </c>
      <c r="B1348" t="str">
        <f>Profile!A1393</f>
        <v>Registry</v>
      </c>
      <c r="C1348">
        <f>Profile!AP1395</f>
        <v>0</v>
      </c>
      <c r="D1348" t="str">
        <f>IF(Profile!C1393="Profile",IF(Profile!A1395="ResourceRequirement","OK","XXX"),"XXX")</f>
        <v>XXX</v>
      </c>
    </row>
    <row r="1349" spans="1:4" x14ac:dyDescent="0.45">
      <c r="A1349">
        <f>ROW()</f>
        <v>1349</v>
      </c>
      <c r="B1349" t="str">
        <f>Profile!A1394</f>
        <v>MessageRegistryFile URIs</v>
      </c>
      <c r="C1349">
        <f>Profile!AP1396</f>
        <v>0</v>
      </c>
      <c r="D1349" t="str">
        <f>IF(Profile!C1394="Profile",IF(Profile!A1396="ResourceRequirement","OK","XXX"),"XXX")</f>
        <v>XXX</v>
      </c>
    </row>
    <row r="1350" spans="1:4" x14ac:dyDescent="0.45">
      <c r="A1350">
        <f>ROW()</f>
        <v>1350</v>
      </c>
      <c r="B1350" t="str">
        <f>Profile!A1395</f>
        <v>/redfish/v1/Registries/{MessageRegistryFileId}</v>
      </c>
      <c r="C1350">
        <f>Profile!AP1397</f>
        <v>0</v>
      </c>
      <c r="D1350" t="str">
        <f>IF(Profile!C1395="Profile",IF(Profile!A1397="ResourceRequirement","OK","XXX"),"XXX")</f>
        <v>XXX</v>
      </c>
    </row>
    <row r="1351" spans="1:4" x14ac:dyDescent="0.45">
      <c r="A1351">
        <f>ROW()</f>
        <v>1351</v>
      </c>
      <c r="B1351">
        <f>Profile!A1396</f>
        <v>0</v>
      </c>
      <c r="C1351">
        <f>Profile!AP1398</f>
        <v>0</v>
      </c>
      <c r="D1351" t="str">
        <f>IF(Profile!C1396="Profile",IF(Profile!A1398="ResourceRequirement","OK","XXX"),"XXX")</f>
        <v>XXX</v>
      </c>
    </row>
    <row r="1352" spans="1:4" x14ac:dyDescent="0.45">
      <c r="A1352">
        <f>ROW()</f>
        <v>1352</v>
      </c>
      <c r="B1352" t="str">
        <f>Profile!A1397</f>
        <v>1.1.4.7               Payload Annotations</v>
      </c>
      <c r="C1352">
        <f>Profile!AP1399</f>
        <v>0</v>
      </c>
      <c r="D1352" t="str">
        <f>IF(Profile!C1397="Profile",IF(Profile!A1399="ResourceRequirement","OK","XXX"),"XXX")</f>
        <v>XXX</v>
      </c>
    </row>
    <row r="1353" spans="1:4" x14ac:dyDescent="0.45">
      <c r="A1353">
        <f>ROW()</f>
        <v>1353</v>
      </c>
      <c r="B1353" t="str">
        <f>Profile!A1398</f>
        <v>The payload annotations are a mechanism in which a service provides additional information about a given property or object. Redfish limits usage of these annotations to OData core terms, Redfish Extensions, or Redfish Messages.</v>
      </c>
      <c r="C1353">
        <f>Profile!AP1400</f>
        <v>0</v>
      </c>
      <c r="D1353" t="str">
        <f>IF(Profile!C1398="Profile",IF(Profile!A1400="ResourceRequirement","OK","XXX"),"XXX")</f>
        <v>XXX</v>
      </c>
    </row>
    <row r="1354" spans="1:4" x14ac:dyDescent="0.45">
      <c r="A1354">
        <f>ROW()</f>
        <v>1354</v>
      </c>
      <c r="B1354" t="str">
        <f>Profile!A1399</f>
        <v>Table 42: O-PAS Profile Map for the Redfish Payload Annotations</v>
      </c>
      <c r="C1354">
        <f>Profile!AP1401</f>
        <v>0</v>
      </c>
      <c r="D1354" t="str">
        <f>IF(Profile!C1399="Profile",IF(Profile!A1401="ResourceRequirement","OK","XXX"),"XXX")</f>
        <v>XXX</v>
      </c>
    </row>
    <row r="1355" spans="1:4" x14ac:dyDescent="0.45">
      <c r="A1355">
        <f>ROW()</f>
        <v>1355</v>
      </c>
      <c r="B1355" t="str">
        <f>Profile!A1400</f>
        <v>Payload Annotations</v>
      </c>
      <c r="C1355">
        <f>Profile!AP1402</f>
        <v>0</v>
      </c>
      <c r="D1355" t="str">
        <f>IF(Profile!C1400="Profile",IF(Profile!A1402="ResourceRequirement","OK","XXX"),"XXX")</f>
        <v>OK</v>
      </c>
    </row>
    <row r="1356" spans="1:4" x14ac:dyDescent="0.45">
      <c r="A1356">
        <f>ROW()</f>
        <v>1356</v>
      </c>
      <c r="B1356">
        <f>Profile!A1401</f>
        <v>0</v>
      </c>
      <c r="C1356">
        <f>Profile!AP1403</f>
        <v>0</v>
      </c>
      <c r="D1356" t="str">
        <f>IF(Profile!C1401="Profile",IF(Profile!A1403="ResourceRequirement","OK","XXX"),"XXX")</f>
        <v>XXX</v>
      </c>
    </row>
    <row r="1357" spans="1:4" x14ac:dyDescent="0.45">
      <c r="A1357">
        <f>ROW()</f>
        <v>1357</v>
      </c>
      <c r="B1357" t="str">
        <f>Profile!A1402</f>
        <v>ResourceRequirement</v>
      </c>
      <c r="C1357">
        <f>Profile!AP1404</f>
        <v>0</v>
      </c>
      <c r="D1357" t="str">
        <f>IF(Profile!C1402="Profile",IF(Profile!A1404="ResourceRequirement","OK","XXX"),"XXX")</f>
        <v>XXX</v>
      </c>
    </row>
    <row r="1358" spans="1:4" x14ac:dyDescent="0.45">
      <c r="A1358">
        <f>ROW()</f>
        <v>1358</v>
      </c>
      <c r="B1358" t="str">
        <f>Profile!A1403</f>
        <v>Resource MinVersion</v>
      </c>
      <c r="C1358">
        <f>Profile!AP1405</f>
        <v>0</v>
      </c>
      <c r="D1358" t="str">
        <f>IF(Profile!C1403="Profile",IF(Profile!A1405="ResourceRequirement","OK","XXX"),"XXX")</f>
        <v>XXX</v>
      </c>
    </row>
    <row r="1359" spans="1:4" x14ac:dyDescent="0.45">
      <c r="A1359">
        <f>ROW()</f>
        <v>1359</v>
      </c>
      <c r="B1359" t="str">
        <f>Profile!A1404</f>
        <v>Property</v>
      </c>
      <c r="C1359">
        <f>Profile!AP1406</f>
        <v>0</v>
      </c>
      <c r="D1359" t="str">
        <f>IF(Profile!C1404="Profile",IF(Profile!A1406="ResourceRequirement","OK","XXX"),"XXX")</f>
        <v>XXX</v>
      </c>
    </row>
    <row r="1360" spans="1:4" x14ac:dyDescent="0.45">
      <c r="A1360">
        <f>ROW()</f>
        <v>1360</v>
      </c>
      <c r="B1360" t="str">
        <f>Profile!A1405</f>
        <v>@Message.ExtendedInfo</v>
      </c>
      <c r="C1360">
        <f>Profile!AP1407</f>
        <v>0</v>
      </c>
      <c r="D1360" t="str">
        <f>IF(Profile!C1405="Profile",IF(Profile!A1407="ResourceRequirement","OK","XXX"),"XXX")</f>
        <v>XXX</v>
      </c>
    </row>
    <row r="1361" spans="1:4" x14ac:dyDescent="0.45">
      <c r="A1361">
        <f>ROW()</f>
        <v>1361</v>
      </c>
      <c r="B1361" t="str">
        <f>Profile!A1406</f>
        <v>@odata.count</v>
      </c>
      <c r="C1361">
        <f>Profile!AP1408</f>
        <v>0</v>
      </c>
      <c r="D1361" t="str">
        <f>IF(Profile!C1406="Profile",IF(Profile!A1408="ResourceRequirement","OK","XXX"),"XXX")</f>
        <v>XXX</v>
      </c>
    </row>
    <row r="1362" spans="1:4" x14ac:dyDescent="0.45">
      <c r="A1362">
        <f>ROW()</f>
        <v>1362</v>
      </c>
      <c r="B1362" t="str">
        <f>Profile!A1407</f>
        <v>@Redfish.AllowableValues</v>
      </c>
      <c r="C1362">
        <f>Profile!AP1409</f>
        <v>0</v>
      </c>
      <c r="D1362" t="str">
        <f>IF(Profile!C1407="Profile",IF(Profile!A1409="ResourceRequirement","OK","XXX"),"XXX")</f>
        <v>XXX</v>
      </c>
    </row>
    <row r="1363" spans="1:4" x14ac:dyDescent="0.45">
      <c r="A1363">
        <f>ROW()</f>
        <v>1363</v>
      </c>
      <c r="B1363" t="str">
        <f>Profile!A1408</f>
        <v>@Redfish.ActionInfo</v>
      </c>
      <c r="C1363">
        <f>Profile!AP1410</f>
        <v>0</v>
      </c>
      <c r="D1363" t="str">
        <f>IF(Profile!C1408="Profile",IF(Profile!A1410="ResourceRequirement","OK","XXX"),"XXX")</f>
        <v>XXX</v>
      </c>
    </row>
    <row r="1364" spans="1:4" x14ac:dyDescent="0.45">
      <c r="A1364">
        <f>ROW()</f>
        <v>1364</v>
      </c>
      <c r="B1364" t="str">
        <f>Profile!A1409</f>
        <v>@Redfish.CollectionCapabilities</v>
      </c>
      <c r="C1364">
        <f>Profile!AP1411</f>
        <v>0</v>
      </c>
      <c r="D1364" t="str">
        <f>IF(Profile!C1409="Profile",IF(Profile!A1411="ResourceRequirement","OK","XXX"),"XXX")</f>
        <v>XXX</v>
      </c>
    </row>
    <row r="1365" spans="1:4" x14ac:dyDescent="0.45">
      <c r="A1365">
        <f>ROW()</f>
        <v>1365</v>
      </c>
      <c r="B1365" t="str">
        <f>Profile!A1410</f>
        <v>@Redfish.MaintenanceWindow</v>
      </c>
      <c r="C1365">
        <f>Profile!AP1412</f>
        <v>0</v>
      </c>
      <c r="D1365" t="str">
        <f>IF(Profile!C1410="Profile",IF(Profile!A1412="ResourceRequirement","OK","XXX"),"XXX")</f>
        <v>XXX</v>
      </c>
    </row>
    <row r="1366" spans="1:4" x14ac:dyDescent="0.45">
      <c r="A1366">
        <f>ROW()</f>
        <v>1366</v>
      </c>
      <c r="B1366" t="str">
        <f>Profile!A1411</f>
        <v>@Redfish.OperationApplyTime</v>
      </c>
      <c r="C1366">
        <f>Profile!AP1413</f>
        <v>0</v>
      </c>
      <c r="D1366" t="str">
        <f>IF(Profile!C1411="Profile",IF(Profile!A1413="ResourceRequirement","OK","XXX"),"XXX")</f>
        <v>XXX</v>
      </c>
    </row>
    <row r="1367" spans="1:4" x14ac:dyDescent="0.45">
      <c r="A1367">
        <f>ROW()</f>
        <v>1367</v>
      </c>
      <c r="B1367" t="str">
        <f>Profile!A1412</f>
        <v>@Redfish.OperationApplyTime Support</v>
      </c>
      <c r="C1367">
        <f>Profile!AP1414</f>
        <v>0</v>
      </c>
      <c r="D1367" t="str">
        <f>IF(Profile!C1412="Profile",IF(Profile!A1414="ResourceRequirement","OK","XXX"),"XXX")</f>
        <v>XXX</v>
      </c>
    </row>
    <row r="1368" spans="1:4" x14ac:dyDescent="0.45">
      <c r="A1368">
        <f>ROW()</f>
        <v>1368</v>
      </c>
      <c r="B1368" t="str">
        <f>Profile!A1413</f>
        <v>@Redfish.Settings</v>
      </c>
      <c r="C1368">
        <f>Profile!AP1415</f>
        <v>0</v>
      </c>
      <c r="D1368" t="str">
        <f>IF(Profile!C1413="Profile",IF(Profile!A1415="ResourceRequirement","OK","XXX"),"XXX")</f>
        <v>XXX</v>
      </c>
    </row>
    <row r="1369" spans="1:4" x14ac:dyDescent="0.45">
      <c r="A1369">
        <f>ROW()</f>
        <v>1369</v>
      </c>
      <c r="B1369" t="str">
        <f>Profile!A1414</f>
        <v>@Redfish.SettingsApplyTime</v>
      </c>
      <c r="C1369">
        <f>Profile!AP1416</f>
        <v>0</v>
      </c>
      <c r="D1369" t="str">
        <f>IF(Profile!C1414="Profile",IF(Profile!A1416="ResourceRequirement","OK","XXX"),"XXX")</f>
        <v>XXX</v>
      </c>
    </row>
    <row r="1370" spans="1:4" x14ac:dyDescent="0.45">
      <c r="A1370">
        <f>ROW()</f>
        <v>1370</v>
      </c>
      <c r="B1370">
        <f>Profile!A1415</f>
        <v>0</v>
      </c>
      <c r="C1370">
        <f>Profile!AP1417</f>
        <v>0</v>
      </c>
      <c r="D1370" t="str">
        <f>IF(Profile!C1415="Profile",IF(Profile!A1417="ResourceRequirement","OK","XXX"),"XXX")</f>
        <v>XXX</v>
      </c>
    </row>
    <row r="1371" spans="1:4" x14ac:dyDescent="0.45">
      <c r="A1371">
        <f>ROW()</f>
        <v>1371</v>
      </c>
      <c r="B1371" t="str">
        <f>Profile!A1416</f>
        <v>1.1.5                 Network</v>
      </c>
      <c r="C1371">
        <f>Profile!AP1418</f>
        <v>0</v>
      </c>
      <c r="D1371" t="str">
        <f>IF(Profile!C1416="Profile",IF(Profile!A1418="ResourceRequirement","OK","XXX"),"XXX")</f>
        <v>XXX</v>
      </c>
    </row>
    <row r="1372" spans="1:4" x14ac:dyDescent="0.45">
      <c r="A1372">
        <f>ROW()</f>
        <v>1372</v>
      </c>
      <c r="B1372" t="str">
        <f>Profile!A1417</f>
        <v>1.1.5.1               EthernetInterface</v>
      </c>
      <c r="C1372">
        <f>Profile!AP1419</f>
        <v>0</v>
      </c>
      <c r="D1372" t="str">
        <f>IF(Profile!C1417="Profile",IF(Profile!A1419="ResourceRequirement","OK","XXX"),"XXX")</f>
        <v>XXX</v>
      </c>
    </row>
    <row r="1373" spans="1:4" x14ac:dyDescent="0.45">
      <c r="A1373">
        <f>ROW()</f>
        <v>1373</v>
      </c>
      <c r="B1373" t="str">
        <f>Profile!A1418</f>
        <v>The EthernetInterface resource represents a single, logical EthernetInterface or NIC. EthernetInterface and NetworkInterface resources address the similar functionality using simple or complex schema structures. An implemented profile would use EthernetInterface or NetworkInterface, never both resources.</v>
      </c>
      <c r="C1373">
        <f>Profile!AP1420</f>
        <v>0</v>
      </c>
      <c r="D1373" t="str">
        <f>IF(Profile!C1418="Profile",IF(Profile!A1420="ResourceRequirement","OK","XXX"),"XXX")</f>
        <v>XXX</v>
      </c>
    </row>
    <row r="1374" spans="1:4" x14ac:dyDescent="0.45">
      <c r="A1374">
        <f>ROW()</f>
        <v>1374</v>
      </c>
      <c r="B1374" t="str">
        <f>Profile!A1419</f>
        <v>Table 43: O-PAS Profile Map for the Redfish EthernetInterface Resource</v>
      </c>
      <c r="C1374">
        <f>Profile!AP1421</f>
        <v>0</v>
      </c>
      <c r="D1374" t="str">
        <f>IF(Profile!C1419="Profile",IF(Profile!A1421="ResourceRequirement","OK","XXX"),"XXX")</f>
        <v>XXX</v>
      </c>
    </row>
    <row r="1375" spans="1:4" x14ac:dyDescent="0.45">
      <c r="A1375">
        <f>ROW()</f>
        <v>1375</v>
      </c>
      <c r="B1375" t="str">
        <f>Profile!A1420</f>
        <v>EthernetInterface (1.4.1)</v>
      </c>
      <c r="C1375">
        <f>Profile!AP1422</f>
        <v>0</v>
      </c>
      <c r="D1375" t="str">
        <f>IF(Profile!C1420="Profile",IF(Profile!A1422="ResourceRequirement","OK","XXX"),"XXX")</f>
        <v>XXX</v>
      </c>
    </row>
    <row r="1376" spans="1:4" x14ac:dyDescent="0.45">
      <c r="A1376">
        <f>ROW()</f>
        <v>1376</v>
      </c>
      <c r="B1376">
        <f>Profile!A1421</f>
        <v>0</v>
      </c>
      <c r="C1376">
        <f>Profile!AP1423</f>
        <v>0</v>
      </c>
      <c r="D1376" t="str">
        <f>IF(Profile!C1421="Profile",IF(Profile!A1423="ResourceRequirement","OK","XXX"),"XXX")</f>
        <v>XXX</v>
      </c>
    </row>
    <row r="1377" spans="1:4" x14ac:dyDescent="0.45">
      <c r="A1377">
        <f>ROW()</f>
        <v>1377</v>
      </c>
      <c r="B1377" t="str">
        <f>Profile!A1422</f>
        <v>EthernetInterface (1.5.0)</v>
      </c>
      <c r="C1377">
        <f>Profile!AP1424</f>
        <v>17</v>
      </c>
      <c r="D1377" t="str">
        <f>IF(Profile!C1422="Profile",IF(Profile!A1424="ResourceRequirement","OK","XXX"),"XXX")</f>
        <v>OK</v>
      </c>
    </row>
    <row r="1378" spans="1:4" x14ac:dyDescent="0.45">
      <c r="A1378">
        <f>ROW()</f>
        <v>1378</v>
      </c>
      <c r="B1378">
        <f>Profile!A1423</f>
        <v>0</v>
      </c>
      <c r="C1378">
        <f>Profile!AP1425</f>
        <v>0</v>
      </c>
      <c r="D1378" t="str">
        <f>IF(Profile!C1423="Profile",IF(Profile!A1425="ResourceRequirement","OK","XXX"),"XXX")</f>
        <v>XXX</v>
      </c>
    </row>
    <row r="1379" spans="1:4" x14ac:dyDescent="0.45">
      <c r="A1379">
        <f>ROW()</f>
        <v>1379</v>
      </c>
      <c r="B1379" t="str">
        <f>Profile!A1424</f>
        <v>ResourceRequirement</v>
      </c>
      <c r="C1379">
        <f>Profile!AP1426</f>
        <v>0</v>
      </c>
      <c r="D1379" t="str">
        <f>IF(Profile!C1424="Profile",IF(Profile!A1426="ResourceRequirement","OK","XXX"),"XXX")</f>
        <v>XXX</v>
      </c>
    </row>
    <row r="1380" spans="1:4" x14ac:dyDescent="0.45">
      <c r="A1380">
        <f>ROW()</f>
        <v>1380</v>
      </c>
      <c r="B1380" t="str">
        <f>Profile!A1425</f>
        <v>Resource MinVersion</v>
      </c>
      <c r="C1380">
        <f>Profile!AP1427</f>
        <v>0</v>
      </c>
      <c r="D1380" t="str">
        <f>IF(Profile!C1425="Profile",IF(Profile!A1427="ResourceRequirement","OK","XXX"),"XXX")</f>
        <v>XXX</v>
      </c>
    </row>
    <row r="1381" spans="1:4" x14ac:dyDescent="0.45">
      <c r="A1381">
        <f>ROW()</f>
        <v>1381</v>
      </c>
      <c r="B1381" t="str">
        <f>Profile!A1426</f>
        <v>Property</v>
      </c>
      <c r="C1381">
        <f>Profile!AP1428</f>
        <v>0</v>
      </c>
      <c r="D1381" t="str">
        <f>IF(Profile!C1426="Profile",IF(Profile!A1428="ResourceRequirement","OK","XXX"),"XXX")</f>
        <v>XXX</v>
      </c>
    </row>
    <row r="1382" spans="1:4" x14ac:dyDescent="0.45">
      <c r="A1382">
        <f>ROW()</f>
        <v>1382</v>
      </c>
      <c r="B1382" t="str">
        <f>Profile!A1427</f>
        <v>Actions</v>
      </c>
      <c r="C1382">
        <f>Profile!AP1429</f>
        <v>0</v>
      </c>
      <c r="D1382" t="str">
        <f>IF(Profile!C1427="Profile",IF(Profile!A1429="ResourceRequirement","OK","XXX"),"XXX")</f>
        <v>XXX</v>
      </c>
    </row>
    <row r="1383" spans="1:4" x14ac:dyDescent="0.45">
      <c r="A1383">
        <f>ROW()</f>
        <v>1383</v>
      </c>
      <c r="B1383" t="str">
        <f>Profile!A1428</f>
        <v>AutoNeg</v>
      </c>
      <c r="C1383">
        <f>Profile!AP1430</f>
        <v>0</v>
      </c>
      <c r="D1383" t="str">
        <f>IF(Profile!C1428="Profile",IF(Profile!A1430="ResourceRequirement","OK","XXX"),"XXX")</f>
        <v>XXX</v>
      </c>
    </row>
    <row r="1384" spans="1:4" x14ac:dyDescent="0.45">
      <c r="A1384">
        <f>ROW()</f>
        <v>1384</v>
      </c>
      <c r="B1384" t="str">
        <f>Profile!A1429</f>
        <v>DHCPv4</v>
      </c>
      <c r="C1384">
        <f>Profile!AP1431</f>
        <v>0</v>
      </c>
      <c r="D1384" t="str">
        <f>IF(Profile!C1429="Profile",IF(Profile!A1431="ResourceRequirement","OK","XXX"),"XXX")</f>
        <v>XXX</v>
      </c>
    </row>
    <row r="1385" spans="1:4" x14ac:dyDescent="0.45">
      <c r="A1385">
        <f>ROW()</f>
        <v>1385</v>
      </c>
      <c r="B1385" t="str">
        <f>Profile!A1430</f>
        <v xml:space="preserve">   DHCPEnabled</v>
      </c>
      <c r="C1385">
        <f>Profile!AP1432</f>
        <v>0</v>
      </c>
      <c r="D1385" t="str">
        <f>IF(Profile!C1430="Profile",IF(Profile!A1432="ResourceRequirement","OK","XXX"),"XXX")</f>
        <v>XXX</v>
      </c>
    </row>
    <row r="1386" spans="1:4" x14ac:dyDescent="0.45">
      <c r="A1386">
        <f>ROW()</f>
        <v>1386</v>
      </c>
      <c r="B1386" t="str">
        <f>Profile!A1431</f>
        <v xml:space="preserve">   FallbackAddress</v>
      </c>
      <c r="C1386">
        <f>Profile!AP1433</f>
        <v>0</v>
      </c>
      <c r="D1386" t="str">
        <f>IF(Profile!C1431="Profile",IF(Profile!A1433="ResourceRequirement","OK","XXX"),"XXX")</f>
        <v>XXX</v>
      </c>
    </row>
    <row r="1387" spans="1:4" x14ac:dyDescent="0.45">
      <c r="A1387">
        <f>ROW()</f>
        <v>1387</v>
      </c>
      <c r="B1387" t="str">
        <f>Profile!A1432</f>
        <v xml:space="preserve">   UseDNSServers</v>
      </c>
      <c r="C1387">
        <f>Profile!AP1434</f>
        <v>0</v>
      </c>
      <c r="D1387" t="str">
        <f>IF(Profile!C1432="Profile",IF(Profile!A1434="ResourceRequirement","OK","XXX"),"XXX")</f>
        <v>XXX</v>
      </c>
    </row>
    <row r="1388" spans="1:4" x14ac:dyDescent="0.45">
      <c r="A1388">
        <f>ROW()</f>
        <v>1388</v>
      </c>
      <c r="B1388" t="str">
        <f>Profile!A1433</f>
        <v xml:space="preserve">   UseDomainName</v>
      </c>
      <c r="C1388">
        <f>Profile!AP1435</f>
        <v>0</v>
      </c>
      <c r="D1388" t="str">
        <f>IF(Profile!C1433="Profile",IF(Profile!A1435="ResourceRequirement","OK","XXX"),"XXX")</f>
        <v>XXX</v>
      </c>
    </row>
    <row r="1389" spans="1:4" x14ac:dyDescent="0.45">
      <c r="A1389">
        <f>ROW()</f>
        <v>1389</v>
      </c>
      <c r="B1389" t="str">
        <f>Profile!A1434</f>
        <v xml:space="preserve">   UseGateway</v>
      </c>
      <c r="C1389">
        <f>Profile!AP1436</f>
        <v>0</v>
      </c>
      <c r="D1389" t="str">
        <f>IF(Profile!C1434="Profile",IF(Profile!A1436="ResourceRequirement","OK","XXX"),"XXX")</f>
        <v>XXX</v>
      </c>
    </row>
    <row r="1390" spans="1:4" x14ac:dyDescent="0.45">
      <c r="A1390">
        <f>ROW()</f>
        <v>1390</v>
      </c>
      <c r="B1390" t="str">
        <f>Profile!A1435</f>
        <v xml:space="preserve">   UseNTPServers</v>
      </c>
      <c r="C1390">
        <f>Profile!AP1437</f>
        <v>0</v>
      </c>
      <c r="D1390" t="str">
        <f>IF(Profile!C1435="Profile",IF(Profile!A1437="ResourceRequirement","OK","XXX"),"XXX")</f>
        <v>XXX</v>
      </c>
    </row>
    <row r="1391" spans="1:4" x14ac:dyDescent="0.45">
      <c r="A1391">
        <f>ROW()</f>
        <v>1391</v>
      </c>
      <c r="B1391" t="str">
        <f>Profile!A1436</f>
        <v xml:space="preserve">   UseStaticRoutes</v>
      </c>
      <c r="C1391">
        <f>Profile!AP1438</f>
        <v>0</v>
      </c>
      <c r="D1391" t="str">
        <f>IF(Profile!C1436="Profile",IF(Profile!A1438="ResourceRequirement","OK","XXX"),"XXX")</f>
        <v>XXX</v>
      </c>
    </row>
    <row r="1392" spans="1:4" x14ac:dyDescent="0.45">
      <c r="A1392">
        <f>ROW()</f>
        <v>1392</v>
      </c>
      <c r="B1392" t="str">
        <f>Profile!A1437</f>
        <v>DHCPv6</v>
      </c>
      <c r="C1392">
        <f>Profile!AP1439</f>
        <v>0</v>
      </c>
      <c r="D1392" t="str">
        <f>IF(Profile!C1437="Profile",IF(Profile!A1439="ResourceRequirement","OK","XXX"),"XXX")</f>
        <v>XXX</v>
      </c>
    </row>
    <row r="1393" spans="1:4" x14ac:dyDescent="0.45">
      <c r="A1393">
        <f>ROW()</f>
        <v>1393</v>
      </c>
      <c r="B1393" t="str">
        <f>Profile!A1438</f>
        <v xml:space="preserve">   OperatingMode</v>
      </c>
      <c r="C1393">
        <f>Profile!AP1440</f>
        <v>0</v>
      </c>
      <c r="D1393" t="str">
        <f>IF(Profile!C1438="Profile",IF(Profile!A1440="ResourceRequirement","OK","XXX"),"XXX")</f>
        <v>XXX</v>
      </c>
    </row>
    <row r="1394" spans="1:4" x14ac:dyDescent="0.45">
      <c r="A1394">
        <f>ROW()</f>
        <v>1394</v>
      </c>
      <c r="B1394" t="str">
        <f>Profile!A1439</f>
        <v xml:space="preserve">   UseDNSServers</v>
      </c>
      <c r="C1394">
        <f>Profile!AP1441</f>
        <v>0</v>
      </c>
      <c r="D1394" t="str">
        <f>IF(Profile!C1439="Profile",IF(Profile!A1441="ResourceRequirement","OK","XXX"),"XXX")</f>
        <v>XXX</v>
      </c>
    </row>
    <row r="1395" spans="1:4" x14ac:dyDescent="0.45">
      <c r="A1395">
        <f>ROW()</f>
        <v>1395</v>
      </c>
      <c r="B1395" t="str">
        <f>Profile!A1440</f>
        <v xml:space="preserve">   UseDomainName</v>
      </c>
      <c r="C1395">
        <f>Profile!AP1442</f>
        <v>0</v>
      </c>
      <c r="D1395" t="str">
        <f>IF(Profile!C1440="Profile",IF(Profile!A1442="ResourceRequirement","OK","XXX"),"XXX")</f>
        <v>XXX</v>
      </c>
    </row>
    <row r="1396" spans="1:4" x14ac:dyDescent="0.45">
      <c r="A1396">
        <f>ROW()</f>
        <v>1396</v>
      </c>
      <c r="B1396" t="str">
        <f>Profile!A1441</f>
        <v xml:space="preserve">   UseNTPServers</v>
      </c>
      <c r="C1396">
        <f>Profile!AP1443</f>
        <v>0</v>
      </c>
      <c r="D1396" t="str">
        <f>IF(Profile!C1441="Profile",IF(Profile!A1443="ResourceRequirement","OK","XXX"),"XXX")</f>
        <v>XXX</v>
      </c>
    </row>
    <row r="1397" spans="1:4" x14ac:dyDescent="0.45">
      <c r="A1397">
        <f>ROW()</f>
        <v>1397</v>
      </c>
      <c r="B1397" t="str">
        <f>Profile!A1442</f>
        <v xml:space="preserve">   UseRapidCommit</v>
      </c>
      <c r="C1397">
        <f>Profile!AP1444</f>
        <v>0</v>
      </c>
      <c r="D1397" t="str">
        <f>IF(Profile!C1442="Profile",IF(Profile!A1444="ResourceRequirement","OK","XXX"),"XXX")</f>
        <v>XXX</v>
      </c>
    </row>
    <row r="1398" spans="1:4" x14ac:dyDescent="0.45">
      <c r="A1398">
        <f>ROW()</f>
        <v>1398</v>
      </c>
      <c r="B1398" t="str">
        <f>Profile!A1443</f>
        <v>FQDN</v>
      </c>
      <c r="C1398">
        <f>Profile!AP1445</f>
        <v>0</v>
      </c>
      <c r="D1398" t="str">
        <f>IF(Profile!C1443="Profile",IF(Profile!A1445="ResourceRequirement","OK","XXX"),"XXX")</f>
        <v>XXX</v>
      </c>
    </row>
    <row r="1399" spans="1:4" x14ac:dyDescent="0.45">
      <c r="A1399">
        <f>ROW()</f>
        <v>1399</v>
      </c>
      <c r="B1399" t="str">
        <f>Profile!A1444</f>
        <v>FullDuplex</v>
      </c>
      <c r="C1399">
        <f>Profile!AP1446</f>
        <v>0</v>
      </c>
      <c r="D1399" t="str">
        <f>IF(Profile!C1444="Profile",IF(Profile!A1446="ResourceRequirement","OK","XXX"),"XXX")</f>
        <v>XXX</v>
      </c>
    </row>
    <row r="1400" spans="1:4" x14ac:dyDescent="0.45">
      <c r="A1400">
        <f>ROW()</f>
        <v>1400</v>
      </c>
      <c r="B1400" t="str">
        <f>Profile!A1445</f>
        <v>HostName</v>
      </c>
      <c r="C1400">
        <f>Profile!AP1447</f>
        <v>0</v>
      </c>
      <c r="D1400" t="str">
        <f>IF(Profile!C1445="Profile",IF(Profile!A1447="ResourceRequirement","OK","XXX"),"XXX")</f>
        <v>XXX</v>
      </c>
    </row>
    <row r="1401" spans="1:4" x14ac:dyDescent="0.45">
      <c r="A1401">
        <f>ROW()</f>
        <v>1401</v>
      </c>
      <c r="B1401" t="str">
        <f>Profile!A1446</f>
        <v>IPv4Addresses</v>
      </c>
      <c r="C1401">
        <f>Profile!AP1448</f>
        <v>0</v>
      </c>
      <c r="D1401" t="str">
        <f>IF(Profile!C1446="Profile",IF(Profile!A1448="ResourceRequirement","OK","XXX"),"XXX")</f>
        <v>XXX</v>
      </c>
    </row>
    <row r="1402" spans="1:4" x14ac:dyDescent="0.45">
      <c r="A1402">
        <f>ROW()</f>
        <v>1402</v>
      </c>
      <c r="B1402" t="str">
        <f>Profile!A1447</f>
        <v>IPv4StaticAddresses</v>
      </c>
      <c r="C1402">
        <f>Profile!AP1449</f>
        <v>0</v>
      </c>
      <c r="D1402" t="str">
        <f>IF(Profile!C1447="Profile",IF(Profile!A1449="ResourceRequirement","OK","XXX"),"XXX")</f>
        <v>XXX</v>
      </c>
    </row>
    <row r="1403" spans="1:4" x14ac:dyDescent="0.45">
      <c r="A1403">
        <f>ROW()</f>
        <v>1403</v>
      </c>
      <c r="B1403" t="str">
        <f>Profile!A1448</f>
        <v>IPv6AddressPolicyTable</v>
      </c>
      <c r="C1403">
        <f>Profile!AP1450</f>
        <v>0</v>
      </c>
      <c r="D1403" t="str">
        <f>IF(Profile!C1448="Profile",IF(Profile!A1450="ResourceRequirement","OK","XXX"),"XXX")</f>
        <v>XXX</v>
      </c>
    </row>
    <row r="1404" spans="1:4" x14ac:dyDescent="0.45">
      <c r="A1404">
        <f>ROW()</f>
        <v>1404</v>
      </c>
      <c r="B1404" t="str">
        <f>Profile!A1449</f>
        <v xml:space="preserve">   Label</v>
      </c>
      <c r="C1404">
        <f>Profile!AP1451</f>
        <v>0</v>
      </c>
      <c r="D1404" t="str">
        <f>IF(Profile!C1449="Profile",IF(Profile!A1451="ResourceRequirement","OK","XXX"),"XXX")</f>
        <v>XXX</v>
      </c>
    </row>
    <row r="1405" spans="1:4" x14ac:dyDescent="0.45">
      <c r="A1405">
        <f>ROW()</f>
        <v>1405</v>
      </c>
      <c r="B1405" t="str">
        <f>Profile!A1450</f>
        <v xml:space="preserve">   Precedence</v>
      </c>
      <c r="C1405">
        <f>Profile!AP1452</f>
        <v>0</v>
      </c>
      <c r="D1405" t="str">
        <f>IF(Profile!C1450="Profile",IF(Profile!A1452="ResourceRequirement","OK","XXX"),"XXX")</f>
        <v>XXX</v>
      </c>
    </row>
    <row r="1406" spans="1:4" x14ac:dyDescent="0.45">
      <c r="A1406">
        <f>ROW()</f>
        <v>1406</v>
      </c>
      <c r="B1406" t="str">
        <f>Profile!A1451</f>
        <v xml:space="preserve">   Prefix</v>
      </c>
      <c r="C1406">
        <f>Profile!AP1453</f>
        <v>0</v>
      </c>
      <c r="D1406" t="str">
        <f>IF(Profile!C1451="Profile",IF(Profile!A1453="ResourceRequirement","OK","XXX"),"XXX")</f>
        <v>XXX</v>
      </c>
    </row>
    <row r="1407" spans="1:4" x14ac:dyDescent="0.45">
      <c r="A1407">
        <f>ROW()</f>
        <v>1407</v>
      </c>
      <c r="B1407" t="str">
        <f>Profile!A1452</f>
        <v>IPv6Addresses</v>
      </c>
      <c r="C1407">
        <f>Profile!AP1454</f>
        <v>0</v>
      </c>
      <c r="D1407" t="str">
        <f>IF(Profile!C1452="Profile",IF(Profile!A1454="ResourceRequirement","OK","XXX"),"XXX")</f>
        <v>XXX</v>
      </c>
    </row>
    <row r="1408" spans="1:4" x14ac:dyDescent="0.45">
      <c r="A1408">
        <f>ROW()</f>
        <v>1408</v>
      </c>
      <c r="B1408" t="str">
        <f>Profile!A1453</f>
        <v>IPv6DefaultGateway</v>
      </c>
      <c r="C1408">
        <f>Profile!AP1455</f>
        <v>0</v>
      </c>
      <c r="D1408" t="str">
        <f>IF(Profile!C1453="Profile",IF(Profile!A1455="ResourceRequirement","OK","XXX"),"XXX")</f>
        <v>XXX</v>
      </c>
    </row>
    <row r="1409" spans="1:4" x14ac:dyDescent="0.45">
      <c r="A1409">
        <f>ROW()</f>
        <v>1409</v>
      </c>
      <c r="B1409" t="str">
        <f>Profile!A1454</f>
        <v>IPv6StaticAddresses</v>
      </c>
      <c r="C1409">
        <f>Profile!AP1456</f>
        <v>0</v>
      </c>
      <c r="D1409" t="str">
        <f>IF(Profile!C1454="Profile",IF(Profile!A1456="ResourceRequirement","OK","XXX"),"XXX")</f>
        <v>XXX</v>
      </c>
    </row>
    <row r="1410" spans="1:4" x14ac:dyDescent="0.45">
      <c r="A1410">
        <f>ROW()</f>
        <v>1410</v>
      </c>
      <c r="B1410" t="str">
        <f>Profile!A1455</f>
        <v>IPv6StaticDefaultGateways</v>
      </c>
      <c r="C1410">
        <f>Profile!AP1457</f>
        <v>0</v>
      </c>
      <c r="D1410" t="str">
        <f>IF(Profile!C1455="Profile",IF(Profile!A1457="ResourceRequirement","OK","XXX"),"XXX")</f>
        <v>XXX</v>
      </c>
    </row>
    <row r="1411" spans="1:4" x14ac:dyDescent="0.45">
      <c r="A1411">
        <f>ROW()</f>
        <v>1411</v>
      </c>
      <c r="B1411" t="str">
        <f>Profile!A1456</f>
        <v>InterfaceEnabled</v>
      </c>
      <c r="C1411">
        <f>Profile!AP1458</f>
        <v>0</v>
      </c>
      <c r="D1411" t="str">
        <f>IF(Profile!C1456="Profile",IF(Profile!A1458="ResourceRequirement","OK","XXX"),"XXX")</f>
        <v>XXX</v>
      </c>
    </row>
    <row r="1412" spans="1:4" x14ac:dyDescent="0.45">
      <c r="A1412">
        <f>ROW()</f>
        <v>1412</v>
      </c>
      <c r="B1412" t="str">
        <f>Profile!A1457</f>
        <v>LinkStatus</v>
      </c>
      <c r="C1412">
        <f>Profile!AP1459</f>
        <v>0</v>
      </c>
      <c r="D1412" t="str">
        <f>IF(Profile!C1457="Profile",IF(Profile!A1459="ResourceRequirement","OK","XXX"),"XXX")</f>
        <v>XXX</v>
      </c>
    </row>
    <row r="1413" spans="1:4" x14ac:dyDescent="0.45">
      <c r="A1413">
        <f>ROW()</f>
        <v>1413</v>
      </c>
      <c r="B1413" t="str">
        <f>Profile!A1458</f>
        <v>Links</v>
      </c>
      <c r="C1413">
        <f>Profile!AP1460</f>
        <v>0</v>
      </c>
      <c r="D1413" t="str">
        <f>IF(Profile!C1458="Profile",IF(Profile!A1460="ResourceRequirement","OK","XXX"),"XXX")</f>
        <v>XXX</v>
      </c>
    </row>
    <row r="1414" spans="1:4" x14ac:dyDescent="0.45">
      <c r="A1414">
        <f>ROW()</f>
        <v>1414</v>
      </c>
      <c r="B1414" t="str">
        <f>Profile!A1459</f>
        <v xml:space="preserve">   Chassis</v>
      </c>
      <c r="C1414">
        <f>Profile!AP1461</f>
        <v>0</v>
      </c>
      <c r="D1414" t="str">
        <f>IF(Profile!C1459="Profile",IF(Profile!A1461="ResourceRequirement","OK","XXX"),"XXX")</f>
        <v>XXX</v>
      </c>
    </row>
    <row r="1415" spans="1:4" x14ac:dyDescent="0.45">
      <c r="A1415">
        <f>ROW()</f>
        <v>1415</v>
      </c>
      <c r="B1415" t="str">
        <f>Profile!A1460</f>
        <v xml:space="preserve">      @odata.id</v>
      </c>
      <c r="C1415">
        <f>Profile!AP1462</f>
        <v>0</v>
      </c>
      <c r="D1415" t="str">
        <f>IF(Profile!C1460="Profile",IF(Profile!A1462="ResourceRequirement","OK","XXX"),"XXX")</f>
        <v>XXX</v>
      </c>
    </row>
    <row r="1416" spans="1:4" x14ac:dyDescent="0.45">
      <c r="A1416">
        <f>ROW()</f>
        <v>1416</v>
      </c>
      <c r="B1416" t="str">
        <f>Profile!A1461</f>
        <v xml:space="preserve">   Endpoints</v>
      </c>
      <c r="C1416">
        <f>Profile!AP1463</f>
        <v>0</v>
      </c>
      <c r="D1416" t="str">
        <f>IF(Profile!C1461="Profile",IF(Profile!A1463="ResourceRequirement","OK","XXX"),"XXX")</f>
        <v>XXX</v>
      </c>
    </row>
    <row r="1417" spans="1:4" x14ac:dyDescent="0.45">
      <c r="A1417">
        <f>ROW()</f>
        <v>1417</v>
      </c>
      <c r="B1417" t="str">
        <f>Profile!A1462</f>
        <v xml:space="preserve">      @odata.id</v>
      </c>
      <c r="C1417">
        <f>Profile!AP1464</f>
        <v>0</v>
      </c>
      <c r="D1417" t="str">
        <f>IF(Profile!C1462="Profile",IF(Profile!A1464="ResourceRequirement","OK","XXX"),"XXX")</f>
        <v>XXX</v>
      </c>
    </row>
    <row r="1418" spans="1:4" x14ac:dyDescent="0.45">
      <c r="A1418">
        <f>ROW()</f>
        <v>1418</v>
      </c>
      <c r="B1418" t="str">
        <f>Profile!A1463</f>
        <v xml:space="preserve">   HostInterface</v>
      </c>
      <c r="C1418">
        <f>Profile!AP1465</f>
        <v>0</v>
      </c>
      <c r="D1418" t="str">
        <f>IF(Profile!C1463="Profile",IF(Profile!A1465="ResourceRequirement","OK","XXX"),"XXX")</f>
        <v>XXX</v>
      </c>
    </row>
    <row r="1419" spans="1:4" x14ac:dyDescent="0.45">
      <c r="A1419">
        <f>ROW()</f>
        <v>1419</v>
      </c>
      <c r="B1419" t="str">
        <f>Profile!A1464</f>
        <v xml:space="preserve">      @odata.id</v>
      </c>
      <c r="C1419">
        <f>Profile!AP1466</f>
        <v>0</v>
      </c>
      <c r="D1419" t="str">
        <f>IF(Profile!C1464="Profile",IF(Profile!A1466="ResourceRequirement","OK","XXX"),"XXX")</f>
        <v>XXX</v>
      </c>
    </row>
    <row r="1420" spans="1:4" x14ac:dyDescent="0.45">
      <c r="A1420">
        <f>ROW()</f>
        <v>1420</v>
      </c>
      <c r="B1420" t="str">
        <f>Profile!A1465</f>
        <v xml:space="preserve">   Oem</v>
      </c>
      <c r="C1420">
        <f>Profile!AP1467</f>
        <v>0</v>
      </c>
      <c r="D1420" t="str">
        <f>IF(Profile!C1465="Profile",IF(Profile!A1467="ResourceRequirement","OK","XXX"),"XXX")</f>
        <v>XXX</v>
      </c>
    </row>
    <row r="1421" spans="1:4" x14ac:dyDescent="0.45">
      <c r="A1421">
        <f>ROW()</f>
        <v>1421</v>
      </c>
      <c r="B1421" t="str">
        <f>Profile!A1466</f>
        <v>MACAddress</v>
      </c>
      <c r="C1421">
        <f>Profile!AP1468</f>
        <v>0</v>
      </c>
      <c r="D1421" t="str">
        <f>IF(Profile!C1466="Profile",IF(Profile!A1468="ResourceRequirement","OK","XXX"),"XXX")</f>
        <v>XXX</v>
      </c>
    </row>
    <row r="1422" spans="1:4" x14ac:dyDescent="0.45">
      <c r="A1422">
        <f>ROW()</f>
        <v>1422</v>
      </c>
      <c r="B1422" t="str">
        <f>Profile!A1467</f>
        <v>MTUSize</v>
      </c>
      <c r="C1422">
        <f>Profile!AP1469</f>
        <v>0</v>
      </c>
      <c r="D1422" t="str">
        <f>IF(Profile!C1467="Profile",IF(Profile!A1469="ResourceRequirement","OK","XXX"),"XXX")</f>
        <v>XXX</v>
      </c>
    </row>
    <row r="1423" spans="1:4" x14ac:dyDescent="0.45">
      <c r="A1423">
        <f>ROW()</f>
        <v>1423</v>
      </c>
      <c r="B1423" t="str">
        <f>Profile!A1468</f>
        <v>MaxIPv6StaticAddresses</v>
      </c>
      <c r="C1423">
        <f>Profile!AP1470</f>
        <v>0</v>
      </c>
      <c r="D1423" t="str">
        <f>IF(Profile!C1468="Profile",IF(Profile!A1470="ResourceRequirement","OK","XXX"),"XXX")</f>
        <v>XXX</v>
      </c>
    </row>
    <row r="1424" spans="1:4" x14ac:dyDescent="0.45">
      <c r="A1424">
        <f>ROW()</f>
        <v>1424</v>
      </c>
      <c r="B1424" t="str">
        <f>Profile!A1469</f>
        <v>NameServers</v>
      </c>
      <c r="C1424">
        <f>Profile!AP1471</f>
        <v>0</v>
      </c>
      <c r="D1424" t="str">
        <f>IF(Profile!C1469="Profile",IF(Profile!A1471="ResourceRequirement","OK","XXX"),"XXX")</f>
        <v>XXX</v>
      </c>
    </row>
    <row r="1425" spans="1:4" x14ac:dyDescent="0.45">
      <c r="A1425">
        <f>ROW()</f>
        <v>1425</v>
      </c>
      <c r="B1425" t="str">
        <f>Profile!A1470</f>
        <v>PermanentMACAddress</v>
      </c>
      <c r="C1425">
        <f>Profile!AP1472</f>
        <v>0</v>
      </c>
      <c r="D1425" t="str">
        <f>IF(Profile!C1470="Profile",IF(Profile!A1472="ResourceRequirement","OK","XXX"),"XXX")</f>
        <v>XXX</v>
      </c>
    </row>
    <row r="1426" spans="1:4" x14ac:dyDescent="0.45">
      <c r="A1426">
        <f>ROW()</f>
        <v>1426</v>
      </c>
      <c r="B1426" t="str">
        <f>Profile!A1471</f>
        <v>SpeedMbps</v>
      </c>
      <c r="C1426">
        <f>Profile!AP1473</f>
        <v>0</v>
      </c>
      <c r="D1426" t="str">
        <f>IF(Profile!C1471="Profile",IF(Profile!A1473="ResourceRequirement","OK","XXX"),"XXX")</f>
        <v>XXX</v>
      </c>
    </row>
    <row r="1427" spans="1:4" x14ac:dyDescent="0.45">
      <c r="A1427">
        <f>ROW()</f>
        <v>1427</v>
      </c>
      <c r="B1427" t="str">
        <f>Profile!A1472</f>
        <v>StatelessAddressAutoConfig</v>
      </c>
      <c r="C1427">
        <f>Profile!AP1474</f>
        <v>0</v>
      </c>
      <c r="D1427" t="str">
        <f>IF(Profile!C1472="Profile",IF(Profile!A1474="ResourceRequirement","OK","XXX"),"XXX")</f>
        <v>XXX</v>
      </c>
    </row>
    <row r="1428" spans="1:4" x14ac:dyDescent="0.45">
      <c r="A1428">
        <f>ROW()</f>
        <v>1428</v>
      </c>
      <c r="B1428" t="str">
        <f>Profile!A1473</f>
        <v xml:space="preserve">   IPv4AutoConfigEnabled</v>
      </c>
      <c r="C1428">
        <f>Profile!AP1475</f>
        <v>0</v>
      </c>
      <c r="D1428" t="str">
        <f>IF(Profile!C1473="Profile",IF(Profile!A1475="ResourceRequirement","OK","XXX"),"XXX")</f>
        <v>XXX</v>
      </c>
    </row>
    <row r="1429" spans="1:4" x14ac:dyDescent="0.45">
      <c r="A1429">
        <f>ROW()</f>
        <v>1429</v>
      </c>
      <c r="B1429" t="str">
        <f>Profile!A1474</f>
        <v xml:space="preserve">   IPv6AutoConfigEnabled</v>
      </c>
      <c r="C1429">
        <f>Profile!AP1476</f>
        <v>0</v>
      </c>
      <c r="D1429" t="str">
        <f>IF(Profile!C1474="Profile",IF(Profile!A1476="ResourceRequirement","OK","XXX"),"XXX")</f>
        <v>XXX</v>
      </c>
    </row>
    <row r="1430" spans="1:4" x14ac:dyDescent="0.45">
      <c r="A1430">
        <f>ROW()</f>
        <v>1430</v>
      </c>
      <c r="B1430" t="str">
        <f>Profile!A1475</f>
        <v>StaticNameServers</v>
      </c>
      <c r="C1430">
        <f>Profile!AP1479</f>
        <v>0</v>
      </c>
      <c r="D1430" t="str">
        <f>IF(Profile!C1475="Profile",IF(Profile!A1479="ResourceRequirement","OK","XXX"),"XXX")</f>
        <v>XXX</v>
      </c>
    </row>
    <row r="1431" spans="1:4" x14ac:dyDescent="0.45">
      <c r="A1431">
        <f>ROW()</f>
        <v>1431</v>
      </c>
      <c r="B1431" t="str">
        <f>Profile!A1476</f>
        <v>Status</v>
      </c>
      <c r="C1431">
        <f>Profile!AP1480</f>
        <v>0</v>
      </c>
      <c r="D1431" t="str">
        <f>IF(Profile!C1476="Profile",IF(Profile!A1480="ResourceRequirement","OK","XXX"),"XXX")</f>
        <v>XXX</v>
      </c>
    </row>
    <row r="1432" spans="1:4" x14ac:dyDescent="0.45">
      <c r="A1432">
        <f>ROW()</f>
        <v>1432</v>
      </c>
      <c r="B1432" t="str">
        <f>Profile!A1479</f>
        <v>UefiDevicePath</v>
      </c>
      <c r="C1432">
        <f>Profile!AP1481</f>
        <v>0</v>
      </c>
      <c r="D1432" t="str">
        <f>IF(Profile!C1479="Profile",IF(Profile!A1481="ResourceRequirement","OK","XXX"),"XXX")</f>
        <v>XXX</v>
      </c>
    </row>
    <row r="1433" spans="1:4" x14ac:dyDescent="0.45">
      <c r="A1433">
        <f>ROW()</f>
        <v>1433</v>
      </c>
      <c r="B1433" t="str">
        <f>Profile!A1480</f>
        <v>VLAN</v>
      </c>
      <c r="C1433">
        <f>Profile!AP1482</f>
        <v>0</v>
      </c>
      <c r="D1433" t="str">
        <f>IF(Profile!C1480="Profile",IF(Profile!A1482="ResourceRequirement","OK","XXX"),"XXX")</f>
        <v>XXX</v>
      </c>
    </row>
    <row r="1434" spans="1:4" x14ac:dyDescent="0.45">
      <c r="A1434">
        <f>ROW()</f>
        <v>1434</v>
      </c>
      <c r="B1434" t="str">
        <f>Profile!A1481</f>
        <v xml:space="preserve">   @odata.id</v>
      </c>
      <c r="C1434">
        <f>Profile!AP1483</f>
        <v>0</v>
      </c>
      <c r="D1434" t="str">
        <f>IF(Profile!C1481="Profile",IF(Profile!A1483="ResourceRequirement","OK","XXX"),"XXX")</f>
        <v>XXX</v>
      </c>
    </row>
    <row r="1435" spans="1:4" x14ac:dyDescent="0.45">
      <c r="A1435">
        <f>ROW()</f>
        <v>1435</v>
      </c>
      <c r="B1435" t="str">
        <f>Profile!A1482</f>
        <v>VLANs</v>
      </c>
      <c r="C1435">
        <f>Profile!AP1484</f>
        <v>0</v>
      </c>
      <c r="D1435" t="str">
        <f>IF(Profile!C1482="Profile",IF(Profile!A1484="ResourceRequirement","OK","XXX"),"XXX")</f>
        <v>XXX</v>
      </c>
    </row>
    <row r="1436" spans="1:4" x14ac:dyDescent="0.45">
      <c r="A1436">
        <f>ROW()</f>
        <v>1436</v>
      </c>
      <c r="B1436" t="str">
        <f>Profile!A1483</f>
        <v xml:space="preserve">   @odata.id</v>
      </c>
      <c r="C1436">
        <f>Profile!AP1485</f>
        <v>0</v>
      </c>
      <c r="D1436" t="str">
        <f>IF(Profile!C1483="Profile",IF(Profile!A1485="ResourceRequirement","OK","XXX"),"XXX")</f>
        <v>XXX</v>
      </c>
    </row>
    <row r="1437" spans="1:4" x14ac:dyDescent="0.45">
      <c r="A1437">
        <f>ROW()</f>
        <v>1437</v>
      </c>
      <c r="B1437" t="str">
        <f>Profile!A1484</f>
        <v>EthernetInterface URIs</v>
      </c>
      <c r="C1437">
        <f>Profile!AP1486</f>
        <v>0</v>
      </c>
      <c r="D1437" t="str">
        <f>IF(Profile!C1484="Profile",IF(Profile!A1486="ResourceRequirement","OK","XXX"),"XXX")</f>
        <v>XXX</v>
      </c>
    </row>
    <row r="1438" spans="1:4" x14ac:dyDescent="0.45">
      <c r="A1438">
        <f>ROW()</f>
        <v>1438</v>
      </c>
      <c r="B1438" t="str">
        <f>Profile!A1485</f>
        <v>/redfish/v1/Managers/{ManagerId}/EthernetInterfaces/{EthernetInterfaceId}</v>
      </c>
      <c r="C1438">
        <f>Profile!AP1487</f>
        <v>0</v>
      </c>
      <c r="D1438" t="str">
        <f>IF(Profile!C1485="Profile",IF(Profile!A1487="ResourceRequirement","OK","XXX"),"XXX")</f>
        <v>XXX</v>
      </c>
    </row>
    <row r="1439" spans="1:4" x14ac:dyDescent="0.45">
      <c r="A1439">
        <f>ROW()</f>
        <v>1439</v>
      </c>
      <c r="B1439" t="str">
        <f>Profile!A1486</f>
        <v>/redfish/v1/Systems/{ComputerSystemId}/EthernetInterfaces/{EthernetInterfaceId}</v>
      </c>
      <c r="C1439">
        <f>Profile!AP1488</f>
        <v>0</v>
      </c>
      <c r="D1439" t="str">
        <f>IF(Profile!C1486="Profile",IF(Profile!A1488="ResourceRequirement","OK","XXX"),"XXX")</f>
        <v>XXX</v>
      </c>
    </row>
    <row r="1440" spans="1:4" x14ac:dyDescent="0.45">
      <c r="A1440">
        <f>ROW()</f>
        <v>1440</v>
      </c>
      <c r="B1440">
        <f>Profile!A1487</f>
        <v>0</v>
      </c>
      <c r="C1440">
        <f>Profile!AP1489</f>
        <v>0</v>
      </c>
      <c r="D1440" t="str">
        <f>IF(Profile!C1487="Profile",IF(Profile!A1489="ResourceRequirement","OK","XXX"),"XXX")</f>
        <v>XXX</v>
      </c>
    </row>
    <row r="1441" spans="1:4" x14ac:dyDescent="0.45">
      <c r="A1441">
        <f>ROW()</f>
        <v>1441</v>
      </c>
      <c r="B1441" t="str">
        <f>Profile!A1488</f>
        <v>1.1.5.2               IPAddress</v>
      </c>
      <c r="C1441">
        <f>Profile!AP1490</f>
        <v>0</v>
      </c>
      <c r="D1441" t="str">
        <f>IF(Profile!C1488="Profile",IF(Profile!A1490="ResourceRequirement","OK","XXX"),"XXX")</f>
        <v>XXX</v>
      </c>
    </row>
    <row r="1442" spans="1:4" x14ac:dyDescent="0.45">
      <c r="A1442">
        <f>ROW()</f>
        <v>1442</v>
      </c>
      <c r="B1442" t="str">
        <f>Profile!A1489</f>
        <v>The properties of IPAddress objects appear in several areas of the data model.</v>
      </c>
      <c r="C1442">
        <f>Profile!AP1491</f>
        <v>0</v>
      </c>
      <c r="D1442" t="str">
        <f>IF(Profile!C1489="Profile",IF(Profile!A1491="ResourceRequirement","OK","XXX"),"XXX")</f>
        <v>XXX</v>
      </c>
    </row>
    <row r="1443" spans="1:4" x14ac:dyDescent="0.45">
      <c r="A1443">
        <f>ROW()</f>
        <v>1443</v>
      </c>
      <c r="B1443" t="str">
        <f>Profile!A1490</f>
        <v>Table 44: O-PAS Profile Map for the Redfish IPAddress Object for IPv4</v>
      </c>
      <c r="C1443">
        <f>Profile!AP1492</f>
        <v>0</v>
      </c>
      <c r="D1443" t="str">
        <f>IF(Profile!C1490="Profile",IF(Profile!A1492="ResourceRequirement","OK","XXX"),"XXX")</f>
        <v>XXX</v>
      </c>
    </row>
    <row r="1444" spans="1:4" x14ac:dyDescent="0.45">
      <c r="A1444">
        <f>ROW()</f>
        <v>1444</v>
      </c>
      <c r="B1444" t="str">
        <f>Profile!A1491</f>
        <v>IPAddress (IPv4)</v>
      </c>
      <c r="C1444">
        <f>Profile!AP1493</f>
        <v>0</v>
      </c>
      <c r="D1444" t="str">
        <f>IF(Profile!C1491="Profile",IF(Profile!A1493="ResourceRequirement","OK","XXX"),"XXX")</f>
        <v>XXX</v>
      </c>
    </row>
    <row r="1445" spans="1:4" x14ac:dyDescent="0.45">
      <c r="A1445">
        <f>ROW()</f>
        <v>1445</v>
      </c>
      <c r="B1445">
        <f>Profile!A1492</f>
        <v>0</v>
      </c>
      <c r="C1445">
        <f>Profile!AP1494</f>
        <v>0</v>
      </c>
      <c r="D1445" t="str">
        <f>IF(Profile!C1492="Profile",IF(Profile!A1494="ResourceRequirement","OK","XXX"),"XXX")</f>
        <v>XXX</v>
      </c>
    </row>
    <row r="1446" spans="1:4" x14ac:dyDescent="0.45">
      <c r="A1446">
        <f>ROW()</f>
        <v>1446</v>
      </c>
      <c r="B1446" t="str">
        <f>Profile!A1493</f>
        <v>Property</v>
      </c>
      <c r="C1446">
        <f>Profile!AP1495</f>
        <v>0</v>
      </c>
      <c r="D1446" t="str">
        <f>IF(Profile!C1493="Profile",IF(Profile!A1495="ResourceRequirement","OK","XXX"),"XXX")</f>
        <v>XXX</v>
      </c>
    </row>
    <row r="1447" spans="1:4" x14ac:dyDescent="0.45">
      <c r="A1447">
        <f>ROW()</f>
        <v>1447</v>
      </c>
      <c r="B1447" t="str">
        <f>Profile!A1494</f>
        <v>Address</v>
      </c>
      <c r="C1447">
        <f>Profile!AP1496</f>
        <v>0</v>
      </c>
      <c r="D1447" t="str">
        <f>IF(Profile!C1494="Profile",IF(Profile!A1496="ResourceRequirement","OK","XXX"),"XXX")</f>
        <v>XXX</v>
      </c>
    </row>
    <row r="1448" spans="1:4" x14ac:dyDescent="0.45">
      <c r="A1448">
        <f>ROW()</f>
        <v>1448</v>
      </c>
      <c r="B1448" t="str">
        <f>Profile!A1495</f>
        <v>AddressOrigin</v>
      </c>
      <c r="C1448">
        <f>Profile!AP1497</f>
        <v>0</v>
      </c>
      <c r="D1448" t="str">
        <f>IF(Profile!C1495="Profile",IF(Profile!A1497="ResourceRequirement","OK","XXX"),"XXX")</f>
        <v>XXX</v>
      </c>
    </row>
    <row r="1449" spans="1:4" x14ac:dyDescent="0.45">
      <c r="A1449">
        <f>ROW()</f>
        <v>1449</v>
      </c>
      <c r="B1449" t="str">
        <f>Profile!A1496</f>
        <v>Gateway</v>
      </c>
      <c r="C1449">
        <f>Profile!AP1498</f>
        <v>0</v>
      </c>
      <c r="D1449" t="str">
        <f>IF(Profile!C1496="Profile",IF(Profile!A1498="ResourceRequirement","OK","XXX"),"XXX")</f>
        <v>XXX</v>
      </c>
    </row>
    <row r="1450" spans="1:4" x14ac:dyDescent="0.45">
      <c r="A1450">
        <f>ROW()</f>
        <v>1450</v>
      </c>
      <c r="B1450" t="str">
        <f>Profile!A1497</f>
        <v>Oem</v>
      </c>
      <c r="C1450">
        <f>Profile!AP1499</f>
        <v>0</v>
      </c>
      <c r="D1450" t="str">
        <f>IF(Profile!C1497="Profile",IF(Profile!A1499="ResourceRequirement","OK","XXX"),"XXX")</f>
        <v>XXX</v>
      </c>
    </row>
    <row r="1451" spans="1:4" x14ac:dyDescent="0.45">
      <c r="A1451">
        <f>ROW()</f>
        <v>1451</v>
      </c>
      <c r="B1451" t="str">
        <f>Profile!A1498</f>
        <v>SubnetMask</v>
      </c>
      <c r="C1451">
        <f>Profile!AP1500</f>
        <v>0</v>
      </c>
      <c r="D1451" t="str">
        <f>IF(Profile!C1498="Profile",IF(Profile!A1500="ResourceRequirement","OK","XXX"),"XXX")</f>
        <v>XXX</v>
      </c>
    </row>
    <row r="1452" spans="1:4" x14ac:dyDescent="0.45">
      <c r="A1452">
        <f>ROW()</f>
        <v>1452</v>
      </c>
      <c r="B1452">
        <f>Profile!A1499</f>
        <v>0</v>
      </c>
      <c r="C1452">
        <f>Profile!AP1501</f>
        <v>0</v>
      </c>
      <c r="D1452" t="str">
        <f>IF(Profile!C1499="Profile",IF(Profile!A1501="ResourceRequirement","OK","XXX"),"XXX")</f>
        <v>XXX</v>
      </c>
    </row>
    <row r="1453" spans="1:4" x14ac:dyDescent="0.45">
      <c r="A1453">
        <f>ROW()</f>
        <v>1453</v>
      </c>
      <c r="B1453" t="str">
        <f>Profile!A1500</f>
        <v>Table 45: O-PAS Profile Map for the Redfish IPAddress Object for IPv6</v>
      </c>
      <c r="C1453">
        <f>Profile!AP1502</f>
        <v>0</v>
      </c>
      <c r="D1453" t="str">
        <f>IF(Profile!C1500="Profile",IF(Profile!A1502="ResourceRequirement","OK","XXX"),"XXX")</f>
        <v>XXX</v>
      </c>
    </row>
    <row r="1454" spans="1:4" x14ac:dyDescent="0.45">
      <c r="A1454">
        <f>ROW()</f>
        <v>1454</v>
      </c>
      <c r="B1454" t="str">
        <f>Profile!A1501</f>
        <v>IPAddress (IPv6)</v>
      </c>
      <c r="C1454">
        <f>Profile!AP1503</f>
        <v>0</v>
      </c>
      <c r="D1454" t="str">
        <f>IF(Profile!C1501="Profile",IF(Profile!A1503="ResourceRequirement","OK","XXX"),"XXX")</f>
        <v>XXX</v>
      </c>
    </row>
    <row r="1455" spans="1:4" x14ac:dyDescent="0.45">
      <c r="A1455">
        <f>ROW()</f>
        <v>1455</v>
      </c>
      <c r="B1455">
        <f>Profile!A1502</f>
        <v>0</v>
      </c>
      <c r="C1455">
        <f>Profile!AP1504</f>
        <v>0</v>
      </c>
      <c r="D1455" t="str">
        <f>IF(Profile!C1502="Profile",IF(Profile!A1504="ResourceRequirement","OK","XXX"),"XXX")</f>
        <v>XXX</v>
      </c>
    </row>
    <row r="1456" spans="1:4" x14ac:dyDescent="0.45">
      <c r="A1456">
        <f>ROW()</f>
        <v>1456</v>
      </c>
      <c r="B1456" t="str">
        <f>Profile!A1503</f>
        <v>Property</v>
      </c>
      <c r="C1456">
        <f>Profile!AP1505</f>
        <v>0</v>
      </c>
      <c r="D1456" t="str">
        <f>IF(Profile!C1503="Profile",IF(Profile!A1505="ResourceRequirement","OK","XXX"),"XXX")</f>
        <v>XXX</v>
      </c>
    </row>
    <row r="1457" spans="1:4" x14ac:dyDescent="0.45">
      <c r="A1457">
        <f>ROW()</f>
        <v>1457</v>
      </c>
      <c r="B1457" t="str">
        <f>Profile!A1504</f>
        <v>Address</v>
      </c>
      <c r="C1457">
        <f>Profile!AP1506</f>
        <v>0</v>
      </c>
      <c r="D1457" t="str">
        <f>IF(Profile!C1504="Profile",IF(Profile!A1506="ResourceRequirement","OK","XXX"),"XXX")</f>
        <v>XXX</v>
      </c>
    </row>
    <row r="1458" spans="1:4" x14ac:dyDescent="0.45">
      <c r="A1458">
        <f>ROW()</f>
        <v>1458</v>
      </c>
      <c r="B1458" t="str">
        <f>Profile!A1505</f>
        <v>AddressOrigin</v>
      </c>
      <c r="C1458">
        <f>Profile!AP1507</f>
        <v>0</v>
      </c>
      <c r="D1458" t="str">
        <f>IF(Profile!C1505="Profile",IF(Profile!A1507="ResourceRequirement","OK","XXX"),"XXX")</f>
        <v>XXX</v>
      </c>
    </row>
    <row r="1459" spans="1:4" x14ac:dyDescent="0.45">
      <c r="A1459">
        <f>ROW()</f>
        <v>1459</v>
      </c>
      <c r="B1459" t="str">
        <f>Profile!A1506</f>
        <v>AddressState</v>
      </c>
      <c r="C1459">
        <f>Profile!AP1508</f>
        <v>0</v>
      </c>
      <c r="D1459" t="str">
        <f>IF(Profile!C1506="Profile",IF(Profile!A1508="ResourceRequirement","OK","XXX"),"XXX")</f>
        <v>XXX</v>
      </c>
    </row>
    <row r="1460" spans="1:4" x14ac:dyDescent="0.45">
      <c r="A1460">
        <f>ROW()</f>
        <v>1460</v>
      </c>
      <c r="B1460" t="str">
        <f>Profile!A1507</f>
        <v>Oem</v>
      </c>
      <c r="C1460">
        <f>Profile!AP1509</f>
        <v>0</v>
      </c>
      <c r="D1460" t="str">
        <f>IF(Profile!C1507="Profile",IF(Profile!A1509="ResourceRequirement","OK","XXX"),"XXX")</f>
        <v>XXX</v>
      </c>
    </row>
    <row r="1461" spans="1:4" x14ac:dyDescent="0.45">
      <c r="A1461">
        <f>ROW()</f>
        <v>1461</v>
      </c>
      <c r="B1461" t="str">
        <f>Profile!A1508</f>
        <v>PrefixLength</v>
      </c>
      <c r="C1461">
        <f>Profile!AP1510</f>
        <v>0</v>
      </c>
      <c r="D1461" t="str">
        <f>IF(Profile!C1508="Profile",IF(Profile!A1510="ResourceRequirement","OK","XXX"),"XXX")</f>
        <v>XXX</v>
      </c>
    </row>
    <row r="1462" spans="1:4" x14ac:dyDescent="0.45">
      <c r="A1462">
        <f>ROW()</f>
        <v>1462</v>
      </c>
      <c r="B1462">
        <f>Profile!A1509</f>
        <v>0</v>
      </c>
      <c r="C1462">
        <f>Profile!AP1511</f>
        <v>0</v>
      </c>
      <c r="D1462" t="str">
        <f>IF(Profile!C1509="Profile",IF(Profile!A1511="ResourceRequirement","OK","XXX"),"XXX")</f>
        <v>XXX</v>
      </c>
    </row>
    <row r="1463" spans="1:4" x14ac:dyDescent="0.45">
      <c r="A1463">
        <f>ROW()</f>
        <v>1463</v>
      </c>
      <c r="B1463" t="str">
        <f>Profile!A1510</f>
        <v>Properties of a single IPv6 static address to be assigned on a network gateway interface.</v>
      </c>
      <c r="C1463">
        <f>Profile!AP1512</f>
        <v>0</v>
      </c>
      <c r="D1463" t="str">
        <f>IF(Profile!C1510="Profile",IF(Profile!A1512="ResourceRequirement","OK","XXX"),"XXX")</f>
        <v>XXX</v>
      </c>
    </row>
    <row r="1464" spans="1:4" x14ac:dyDescent="0.45">
      <c r="A1464">
        <f>ROW()</f>
        <v>1464</v>
      </c>
      <c r="B1464" t="str">
        <f>Profile!A1511</f>
        <v>Table 46: O-PAS Profile Map for Redfish IPGatewayStaticAddress for IPv6</v>
      </c>
      <c r="C1464">
        <f>Profile!AP1513</f>
        <v>0</v>
      </c>
      <c r="D1464" t="str">
        <f>IF(Profile!C1511="Profile",IF(Profile!A1513="ResourceRequirement","OK","XXX"),"XXX")</f>
        <v>XXX</v>
      </c>
    </row>
    <row r="1465" spans="1:4" x14ac:dyDescent="0.45">
      <c r="A1465">
        <f>ROW()</f>
        <v>1465</v>
      </c>
      <c r="B1465" t="str">
        <f>Profile!A1512</f>
        <v>IPGatewayStaticAddress (IPv6)</v>
      </c>
      <c r="C1465">
        <f>Profile!AP1514</f>
        <v>0</v>
      </c>
      <c r="D1465" t="str">
        <f>IF(Profile!C1512="Profile",IF(Profile!A1514="ResourceRequirement","OK","XXX"),"XXX")</f>
        <v>XXX</v>
      </c>
    </row>
    <row r="1466" spans="1:4" x14ac:dyDescent="0.45">
      <c r="A1466">
        <f>ROW()</f>
        <v>1466</v>
      </c>
      <c r="B1466">
        <f>Profile!A1513</f>
        <v>0</v>
      </c>
      <c r="C1466">
        <f>Profile!AP1515</f>
        <v>0</v>
      </c>
      <c r="D1466" t="str">
        <f>IF(Profile!C1513="Profile",IF(Profile!A1515="ResourceRequirement","OK","XXX"),"XXX")</f>
        <v>XXX</v>
      </c>
    </row>
    <row r="1467" spans="1:4" x14ac:dyDescent="0.45">
      <c r="A1467">
        <f>ROW()</f>
        <v>1467</v>
      </c>
      <c r="B1467" t="str">
        <f>Profile!A1514</f>
        <v>Property</v>
      </c>
      <c r="C1467">
        <f>Profile!AP1516</f>
        <v>0</v>
      </c>
      <c r="D1467" t="str">
        <f>IF(Profile!C1514="Profile",IF(Profile!A1516="ResourceRequirement","OK","XXX"),"XXX")</f>
        <v>XXX</v>
      </c>
    </row>
    <row r="1468" spans="1:4" x14ac:dyDescent="0.45">
      <c r="A1468">
        <f>ROW()</f>
        <v>1468</v>
      </c>
      <c r="B1468" t="str">
        <f>Profile!A1515</f>
        <v>Address</v>
      </c>
      <c r="C1468">
        <f>Profile!AP1517</f>
        <v>0</v>
      </c>
      <c r="D1468" t="str">
        <f>IF(Profile!C1515="Profile",IF(Profile!A1517="ResourceRequirement","OK","XXX"),"XXX")</f>
        <v>XXX</v>
      </c>
    </row>
    <row r="1469" spans="1:4" x14ac:dyDescent="0.45">
      <c r="A1469">
        <f>ROW()</f>
        <v>1469</v>
      </c>
      <c r="B1469" t="str">
        <f>Profile!A1516</f>
        <v>Oem</v>
      </c>
      <c r="C1469">
        <f>Profile!AP1518</f>
        <v>0</v>
      </c>
      <c r="D1469" t="str">
        <f>IF(Profile!C1516="Profile",IF(Profile!A1518="ResourceRequirement","OK","XXX"),"XXX")</f>
        <v>XXX</v>
      </c>
    </row>
    <row r="1470" spans="1:4" x14ac:dyDescent="0.45">
      <c r="A1470">
        <f>ROW()</f>
        <v>1470</v>
      </c>
      <c r="B1470" t="str">
        <f>Profile!A1517</f>
        <v>PrefixLength</v>
      </c>
      <c r="C1470">
        <f>Profile!AP1519</f>
        <v>0</v>
      </c>
      <c r="D1470" t="str">
        <f>IF(Profile!C1517="Profile",IF(Profile!A1519="ResourceRequirement","OK","XXX"),"XXX")</f>
        <v>XXX</v>
      </c>
    </row>
    <row r="1471" spans="1:4" x14ac:dyDescent="0.45">
      <c r="A1471">
        <f>ROW()</f>
        <v>1471</v>
      </c>
      <c r="B1471">
        <f>Profile!A1518</f>
        <v>0</v>
      </c>
      <c r="C1471">
        <f>Profile!AP1520</f>
        <v>0</v>
      </c>
      <c r="D1471" t="str">
        <f>IF(Profile!C1518="Profile",IF(Profile!A1520="ResourceRequirement","OK","XXX"),"XXX")</f>
        <v>XXX</v>
      </c>
    </row>
    <row r="1472" spans="1:4" x14ac:dyDescent="0.45">
      <c r="A1472">
        <f>ROW()</f>
        <v>1472</v>
      </c>
      <c r="B1472" t="str">
        <f>Profile!A1519</f>
        <v>Defines the properties of a single IPv6 static address to be assigned on a network interface.</v>
      </c>
      <c r="C1472">
        <f>Profile!AP1521</f>
        <v>0</v>
      </c>
      <c r="D1472" t="str">
        <f>IF(Profile!C1519="Profile",IF(Profile!A1521="ResourceRequirement","OK","XXX"),"XXX")</f>
        <v>XXX</v>
      </c>
    </row>
    <row r="1473" spans="1:4" x14ac:dyDescent="0.45">
      <c r="A1473">
        <f>ROW()</f>
        <v>1473</v>
      </c>
      <c r="B1473" t="str">
        <f>Profile!A1520</f>
        <v>Table 47: O-PAS Profile Map for the Redfish IPStaticAddress for IPv6</v>
      </c>
      <c r="C1473">
        <f>Profile!AP1522</f>
        <v>0</v>
      </c>
      <c r="D1473" t="str">
        <f>IF(Profile!C1520="Profile",IF(Profile!A1522="ResourceRequirement","OK","XXX"),"XXX")</f>
        <v>XXX</v>
      </c>
    </row>
    <row r="1474" spans="1:4" x14ac:dyDescent="0.45">
      <c r="A1474">
        <f>ROW()</f>
        <v>1474</v>
      </c>
      <c r="B1474" t="str">
        <f>Profile!A1521</f>
        <v>IPStaticAddress (IPv6)</v>
      </c>
      <c r="C1474">
        <f>Profile!AP1523</f>
        <v>0</v>
      </c>
      <c r="D1474" t="str">
        <f>IF(Profile!C1521="Profile",IF(Profile!A1523="ResourceRequirement","OK","XXX"),"XXX")</f>
        <v>XXX</v>
      </c>
    </row>
    <row r="1475" spans="1:4" x14ac:dyDescent="0.45">
      <c r="A1475">
        <f>ROW()</f>
        <v>1475</v>
      </c>
      <c r="B1475">
        <f>Profile!A1522</f>
        <v>0</v>
      </c>
      <c r="C1475">
        <f>Profile!AP1524</f>
        <v>0</v>
      </c>
      <c r="D1475" t="str">
        <f>IF(Profile!C1522="Profile",IF(Profile!A1524="ResourceRequirement","OK","XXX"),"XXX")</f>
        <v>XXX</v>
      </c>
    </row>
    <row r="1476" spans="1:4" x14ac:dyDescent="0.45">
      <c r="A1476">
        <f>ROW()</f>
        <v>1476</v>
      </c>
      <c r="B1476" t="str">
        <f>Profile!A1523</f>
        <v>Property</v>
      </c>
      <c r="C1476">
        <f>Profile!AP1525</f>
        <v>0</v>
      </c>
      <c r="D1476" t="str">
        <f>IF(Profile!C1523="Profile",IF(Profile!A1525="ResourceRequirement","OK","XXX"),"XXX")</f>
        <v>XXX</v>
      </c>
    </row>
    <row r="1477" spans="1:4" x14ac:dyDescent="0.45">
      <c r="A1477">
        <f>ROW()</f>
        <v>1477</v>
      </c>
      <c r="B1477" t="str">
        <f>Profile!A1524</f>
        <v>Address</v>
      </c>
      <c r="C1477">
        <f>Profile!AP1526</f>
        <v>0</v>
      </c>
      <c r="D1477" t="str">
        <f>IF(Profile!C1524="Profile",IF(Profile!A1526="ResourceRequirement","OK","XXX"),"XXX")</f>
        <v>XXX</v>
      </c>
    </row>
    <row r="1478" spans="1:4" x14ac:dyDescent="0.45">
      <c r="A1478">
        <f>ROW()</f>
        <v>1478</v>
      </c>
      <c r="B1478" t="str">
        <f>Profile!A1525</f>
        <v>Oem</v>
      </c>
      <c r="C1478">
        <f>Profile!AP1527</f>
        <v>0</v>
      </c>
      <c r="D1478" t="str">
        <f>IF(Profile!C1525="Profile",IF(Profile!A1527="ResourceRequirement","OK","XXX"),"XXX")</f>
        <v>XXX</v>
      </c>
    </row>
    <row r="1479" spans="1:4" x14ac:dyDescent="0.45">
      <c r="A1479">
        <f>ROW()</f>
        <v>1479</v>
      </c>
      <c r="B1479" t="str">
        <f>Profile!A1526</f>
        <v>PrefixLength</v>
      </c>
      <c r="C1479">
        <f>Profile!AP1528</f>
        <v>0</v>
      </c>
      <c r="D1479" t="str">
        <f>IF(Profile!C1526="Profile",IF(Profile!A1528="ResourceRequirement","OK","XXX"),"XXX")</f>
        <v>XXX</v>
      </c>
    </row>
    <row r="1480" spans="1:4" x14ac:dyDescent="0.45">
      <c r="A1480">
        <f>ROW()</f>
        <v>1480</v>
      </c>
      <c r="B1480">
        <f>Profile!A1527</f>
        <v>0</v>
      </c>
      <c r="C1480">
        <f>Profile!AP1529</f>
        <v>0</v>
      </c>
      <c r="D1480" t="str">
        <f>IF(Profile!C1527="Profile",IF(Profile!A1529="ResourceRequirement","OK","XXX"),"XXX")</f>
        <v>XXX</v>
      </c>
    </row>
    <row r="1481" spans="1:4" x14ac:dyDescent="0.45">
      <c r="A1481">
        <f>ROW()</f>
        <v>1481</v>
      </c>
      <c r="B1481" t="str">
        <f>Profile!A1528</f>
        <v>1.1.5.3               ManagerNetworkProtocol</v>
      </c>
      <c r="C1481">
        <f>Profile!AP1530</f>
        <v>0</v>
      </c>
      <c r="D1481" t="str">
        <f>IF(Profile!C1528="Profile",IF(Profile!A1530="ResourceRequirement","OK","XXX"),"XXX")</f>
        <v>XXX</v>
      </c>
    </row>
    <row r="1482" spans="1:4" x14ac:dyDescent="0.45">
      <c r="A1482">
        <f>ROW()</f>
        <v>1482</v>
      </c>
      <c r="B1482" t="str">
        <f>Profile!A1529</f>
        <v>The ManagerNetworkProtocol resource and properties are used to obtain or modify the network services managed by a given manager.</v>
      </c>
      <c r="C1482">
        <f>Profile!AP1531</f>
        <v>0</v>
      </c>
      <c r="D1482" t="str">
        <f>IF(Profile!C1529="Profile",IF(Profile!A1531="ResourceRequirement","OK","XXX"),"XXX")</f>
        <v>XXX</v>
      </c>
    </row>
    <row r="1483" spans="1:4" x14ac:dyDescent="0.45">
      <c r="A1483">
        <f>ROW()</f>
        <v>1483</v>
      </c>
      <c r="B1483" t="str">
        <f>Profile!A1530</f>
        <v>Table 48: O-PAS Profile Map for the Redfish ManagerNetworkProtocol Resource</v>
      </c>
      <c r="C1483">
        <f>Profile!AP1532</f>
        <v>0</v>
      </c>
      <c r="D1483" t="str">
        <f>IF(Profile!C1530="Profile",IF(Profile!A1532="ResourceRequirement","OK","XXX"),"XXX")</f>
        <v>XXX</v>
      </c>
    </row>
    <row r="1484" spans="1:4" x14ac:dyDescent="0.45">
      <c r="A1484">
        <f>ROW()</f>
        <v>1484</v>
      </c>
      <c r="B1484" t="str">
        <f>Profile!A1531</f>
        <v>ManagerNetworkProtocol (1.3.0)</v>
      </c>
      <c r="C1484">
        <f>Profile!AP1533</f>
        <v>0</v>
      </c>
      <c r="D1484" t="str">
        <f>IF(Profile!C1531="Profile",IF(Profile!A1533="ResourceRequirement","OK","XXX"),"XXX")</f>
        <v>XXX</v>
      </c>
    </row>
    <row r="1485" spans="1:4" x14ac:dyDescent="0.45">
      <c r="A1485">
        <f>ROW()</f>
        <v>1485</v>
      </c>
      <c r="B1485">
        <f>Profile!A1532</f>
        <v>0</v>
      </c>
      <c r="C1485">
        <f>Profile!AP1534</f>
        <v>0</v>
      </c>
      <c r="D1485" t="str">
        <f>IF(Profile!C1532="Profile",IF(Profile!A1534="ResourceRequirement","OK","XXX"),"XXX")</f>
        <v>XXX</v>
      </c>
    </row>
    <row r="1486" spans="1:4" x14ac:dyDescent="0.45">
      <c r="A1486">
        <f>ROW()</f>
        <v>1486</v>
      </c>
      <c r="B1486" t="str">
        <f>Profile!A1533</f>
        <v>ManagerNetworkProtocol (1.4.1)</v>
      </c>
      <c r="C1486">
        <f>Profile!AP1535</f>
        <v>28</v>
      </c>
      <c r="D1486" t="str">
        <f>IF(Profile!C1533="Profile",IF(Profile!A1535="ResourceRequirement","OK","XXX"),"XXX")</f>
        <v>OK</v>
      </c>
    </row>
    <row r="1487" spans="1:4" x14ac:dyDescent="0.45">
      <c r="A1487">
        <f>ROW()</f>
        <v>1487</v>
      </c>
      <c r="B1487">
        <f>Profile!A1534</f>
        <v>0</v>
      </c>
      <c r="C1487">
        <f>Profile!AP1536</f>
        <v>0</v>
      </c>
      <c r="D1487" t="str">
        <f>IF(Profile!C1534="Profile",IF(Profile!A1536="ResourceRequirement","OK","XXX"),"XXX")</f>
        <v>XXX</v>
      </c>
    </row>
    <row r="1488" spans="1:4" x14ac:dyDescent="0.45">
      <c r="A1488">
        <f>ROW()</f>
        <v>1488</v>
      </c>
      <c r="B1488" t="str">
        <f>Profile!A1535</f>
        <v>ResourceRequirement</v>
      </c>
      <c r="C1488">
        <f>Profile!AP1537</f>
        <v>0</v>
      </c>
      <c r="D1488" t="str">
        <f>IF(Profile!C1535="Profile",IF(Profile!A1537="ResourceRequirement","OK","XXX"),"XXX")</f>
        <v>XXX</v>
      </c>
    </row>
    <row r="1489" spans="1:4" x14ac:dyDescent="0.45">
      <c r="A1489">
        <f>ROW()</f>
        <v>1489</v>
      </c>
      <c r="B1489" t="str">
        <f>Profile!A1536</f>
        <v>Resource MinVersion</v>
      </c>
      <c r="C1489">
        <f>Profile!AP1538</f>
        <v>0</v>
      </c>
      <c r="D1489" t="str">
        <f>IF(Profile!C1536="Profile",IF(Profile!A1538="ResourceRequirement","OK","XXX"),"XXX")</f>
        <v>XXX</v>
      </c>
    </row>
    <row r="1490" spans="1:4" x14ac:dyDescent="0.45">
      <c r="A1490">
        <f>ROW()</f>
        <v>1490</v>
      </c>
      <c r="B1490" t="str">
        <f>Profile!A1537</f>
        <v>Property</v>
      </c>
      <c r="C1490">
        <f>Profile!AP1539</f>
        <v>0</v>
      </c>
      <c r="D1490" t="str">
        <f>IF(Profile!C1537="Profile",IF(Profile!A1539="ResourceRequirement","OK","XXX"),"XXX")</f>
        <v>XXX</v>
      </c>
    </row>
    <row r="1491" spans="1:4" x14ac:dyDescent="0.45">
      <c r="A1491">
        <f>ROW()</f>
        <v>1491</v>
      </c>
      <c r="B1491" t="str">
        <f>Profile!A1538</f>
        <v>Actions</v>
      </c>
      <c r="C1491">
        <f>Profile!AP1540</f>
        <v>0</v>
      </c>
      <c r="D1491" t="str">
        <f>IF(Profile!C1538="Profile",IF(Profile!A1540="ResourceRequirement","OK","XXX"),"XXX")</f>
        <v>XXX</v>
      </c>
    </row>
    <row r="1492" spans="1:4" x14ac:dyDescent="0.45">
      <c r="A1492">
        <f>ROW()</f>
        <v>1492</v>
      </c>
      <c r="B1492" t="str">
        <f>Profile!A1539</f>
        <v>DHCP</v>
      </c>
      <c r="C1492">
        <f>Profile!AP1541</f>
        <v>0</v>
      </c>
      <c r="D1492" t="str">
        <f>IF(Profile!C1539="Profile",IF(Profile!A1541="ResourceRequirement","OK","XXX"),"XXX")</f>
        <v>XXX</v>
      </c>
    </row>
    <row r="1493" spans="1:4" x14ac:dyDescent="0.45">
      <c r="A1493">
        <f>ROW()</f>
        <v>1493</v>
      </c>
      <c r="B1493" t="str">
        <f>Profile!A1540</f>
        <v xml:space="preserve">   Port</v>
      </c>
      <c r="C1493">
        <f>Profile!AP1542</f>
        <v>0</v>
      </c>
      <c r="D1493" t="str">
        <f>IF(Profile!C1540="Profile",IF(Profile!A1542="ResourceRequirement","OK","XXX"),"XXX")</f>
        <v>XXX</v>
      </c>
    </row>
    <row r="1494" spans="1:4" x14ac:dyDescent="0.45">
      <c r="A1494">
        <f>ROW()</f>
        <v>1494</v>
      </c>
      <c r="B1494" t="str">
        <f>Profile!A1541</f>
        <v xml:space="preserve">   ProtocolEnabled</v>
      </c>
      <c r="C1494">
        <f>Profile!AP1543</f>
        <v>0</v>
      </c>
      <c r="D1494" t="str">
        <f>IF(Profile!C1541="Profile",IF(Profile!A1543="ResourceRequirement","OK","XXX"),"XXX")</f>
        <v>XXX</v>
      </c>
    </row>
    <row r="1495" spans="1:4" x14ac:dyDescent="0.45">
      <c r="A1495">
        <f>ROW()</f>
        <v>1495</v>
      </c>
      <c r="B1495" t="str">
        <f>Profile!A1542</f>
        <v>DHCPv6</v>
      </c>
      <c r="C1495">
        <f>Profile!AP1544</f>
        <v>0</v>
      </c>
      <c r="D1495" t="str">
        <f>IF(Profile!C1542="Profile",IF(Profile!A1544="ResourceRequirement","OK","XXX"),"XXX")</f>
        <v>XXX</v>
      </c>
    </row>
    <row r="1496" spans="1:4" x14ac:dyDescent="0.45">
      <c r="A1496">
        <f>ROW()</f>
        <v>1496</v>
      </c>
      <c r="B1496" t="str">
        <f>Profile!A1543</f>
        <v xml:space="preserve">   Port</v>
      </c>
      <c r="C1496">
        <f>Profile!AP1545</f>
        <v>0</v>
      </c>
      <c r="D1496" t="str">
        <f>IF(Profile!C1543="Profile",IF(Profile!A1545="ResourceRequirement","OK","XXX"),"XXX")</f>
        <v>XXX</v>
      </c>
    </row>
    <row r="1497" spans="1:4" x14ac:dyDescent="0.45">
      <c r="A1497">
        <f>ROW()</f>
        <v>1497</v>
      </c>
      <c r="B1497" t="str">
        <f>Profile!A1544</f>
        <v xml:space="preserve">   ProtocolEnabled</v>
      </c>
      <c r="C1497">
        <f>Profile!AP1546</f>
        <v>0</v>
      </c>
      <c r="D1497" t="str">
        <f>IF(Profile!C1544="Profile",IF(Profile!A1546="ResourceRequirement","OK","XXX"),"XXX")</f>
        <v>XXX</v>
      </c>
    </row>
    <row r="1498" spans="1:4" x14ac:dyDescent="0.45">
      <c r="A1498">
        <f>ROW()</f>
        <v>1498</v>
      </c>
      <c r="B1498" t="str">
        <f>Profile!A1545</f>
        <v>FQDN</v>
      </c>
      <c r="C1498">
        <f>Profile!AP1547</f>
        <v>0</v>
      </c>
      <c r="D1498" t="str">
        <f>IF(Profile!C1545="Profile",IF(Profile!A1547="ResourceRequirement","OK","XXX"),"XXX")</f>
        <v>XXX</v>
      </c>
    </row>
    <row r="1499" spans="1:4" x14ac:dyDescent="0.45">
      <c r="A1499">
        <f>ROW()</f>
        <v>1499</v>
      </c>
      <c r="B1499" t="str">
        <f>Profile!A1546</f>
        <v>HTTP</v>
      </c>
      <c r="C1499">
        <f>Profile!AP1548</f>
        <v>0</v>
      </c>
      <c r="D1499" t="str">
        <f>IF(Profile!C1546="Profile",IF(Profile!A1548="ResourceRequirement","OK","XXX"),"XXX")</f>
        <v>XXX</v>
      </c>
    </row>
    <row r="1500" spans="1:4" x14ac:dyDescent="0.45">
      <c r="A1500">
        <f>ROW()</f>
        <v>1500</v>
      </c>
      <c r="B1500" t="str">
        <f>Profile!A1547</f>
        <v xml:space="preserve">   Port</v>
      </c>
      <c r="C1500">
        <f>Profile!AP1549</f>
        <v>0</v>
      </c>
      <c r="D1500" t="str">
        <f>IF(Profile!C1547="Profile",IF(Profile!A1549="ResourceRequirement","OK","XXX"),"XXX")</f>
        <v>XXX</v>
      </c>
    </row>
    <row r="1501" spans="1:4" x14ac:dyDescent="0.45">
      <c r="A1501">
        <f>ROW()</f>
        <v>1501</v>
      </c>
      <c r="B1501" t="str">
        <f>Profile!A1548</f>
        <v xml:space="preserve">   ProtocolEnabled</v>
      </c>
      <c r="C1501">
        <f>Profile!AP1550</f>
        <v>0</v>
      </c>
      <c r="D1501" t="str">
        <f>IF(Profile!C1548="Profile",IF(Profile!A1550="ResourceRequirement","OK","XXX"),"XXX")</f>
        <v>XXX</v>
      </c>
    </row>
    <row r="1502" spans="1:4" x14ac:dyDescent="0.45">
      <c r="A1502">
        <f>ROW()</f>
        <v>1502</v>
      </c>
      <c r="B1502" t="str">
        <f>Profile!A1549</f>
        <v>HTTPS</v>
      </c>
      <c r="C1502">
        <f>Profile!AP1551</f>
        <v>0</v>
      </c>
      <c r="D1502" t="str">
        <f>IF(Profile!C1549="Profile",IF(Profile!A1551="ResourceRequirement","OK","XXX"),"XXX")</f>
        <v>XXX</v>
      </c>
    </row>
    <row r="1503" spans="1:4" x14ac:dyDescent="0.45">
      <c r="A1503">
        <f>ROW()</f>
        <v>1503</v>
      </c>
      <c r="B1503" t="str">
        <f>Profile!A1550</f>
        <v xml:space="preserve">   Certificates</v>
      </c>
      <c r="C1503">
        <f>Profile!AP1552</f>
        <v>0</v>
      </c>
      <c r="D1503" t="str">
        <f>IF(Profile!C1550="Profile",IF(Profile!A1552="ResourceRequirement","OK","XXX"),"XXX")</f>
        <v>XXX</v>
      </c>
    </row>
    <row r="1504" spans="1:4" x14ac:dyDescent="0.45">
      <c r="A1504">
        <f>ROW()</f>
        <v>1504</v>
      </c>
      <c r="B1504" t="str">
        <f>Profile!A1551</f>
        <v xml:space="preserve">      @odata.id</v>
      </c>
      <c r="C1504">
        <f>Profile!AP1553</f>
        <v>0</v>
      </c>
      <c r="D1504" t="str">
        <f>IF(Profile!C1551="Profile",IF(Profile!A1553="ResourceRequirement","OK","XXX"),"XXX")</f>
        <v>XXX</v>
      </c>
    </row>
    <row r="1505" spans="1:4" x14ac:dyDescent="0.45">
      <c r="A1505">
        <f>ROW()</f>
        <v>1505</v>
      </c>
      <c r="B1505" t="str">
        <f>Profile!A1552</f>
        <v xml:space="preserve">   Port</v>
      </c>
      <c r="C1505">
        <f>Profile!AP1554</f>
        <v>0</v>
      </c>
      <c r="D1505" t="str">
        <f>IF(Profile!C1552="Profile",IF(Profile!A1554="ResourceRequirement","OK","XXX"),"XXX")</f>
        <v>XXX</v>
      </c>
    </row>
    <row r="1506" spans="1:4" x14ac:dyDescent="0.45">
      <c r="A1506">
        <f>ROW()</f>
        <v>1506</v>
      </c>
      <c r="B1506" t="str">
        <f>Profile!A1553</f>
        <v xml:space="preserve">   ProtocolEnabled</v>
      </c>
      <c r="C1506">
        <f>Profile!AP1555</f>
        <v>0</v>
      </c>
      <c r="D1506" t="str">
        <f>IF(Profile!C1553="Profile",IF(Profile!A1555="ResourceRequirement","OK","XXX"),"XXX")</f>
        <v>XXX</v>
      </c>
    </row>
    <row r="1507" spans="1:4" x14ac:dyDescent="0.45">
      <c r="A1507">
        <f>ROW()</f>
        <v>1507</v>
      </c>
      <c r="B1507" t="str">
        <f>Profile!A1554</f>
        <v>HostName</v>
      </c>
      <c r="C1507">
        <f>Profile!AP1556</f>
        <v>0</v>
      </c>
      <c r="D1507" t="str">
        <f>IF(Profile!C1554="Profile",IF(Profile!A1556="ResourceRequirement","OK","XXX"),"XXX")</f>
        <v>XXX</v>
      </c>
    </row>
    <row r="1508" spans="1:4" x14ac:dyDescent="0.45">
      <c r="A1508">
        <f>ROW()</f>
        <v>1508</v>
      </c>
      <c r="B1508" t="str">
        <f>Profile!A1555</f>
        <v>IPMI</v>
      </c>
      <c r="C1508">
        <f>Profile!AP1557</f>
        <v>0</v>
      </c>
      <c r="D1508" t="str">
        <f>IF(Profile!C1555="Profile",IF(Profile!A1557="ResourceRequirement","OK","XXX"),"XXX")</f>
        <v>XXX</v>
      </c>
    </row>
    <row r="1509" spans="1:4" x14ac:dyDescent="0.45">
      <c r="A1509">
        <f>ROW()</f>
        <v>1509</v>
      </c>
      <c r="B1509" t="str">
        <f>Profile!A1556</f>
        <v xml:space="preserve">   Port</v>
      </c>
      <c r="C1509">
        <f>Profile!AP1558</f>
        <v>0</v>
      </c>
      <c r="D1509" t="str">
        <f>IF(Profile!C1556="Profile",IF(Profile!A1558="ResourceRequirement","OK","XXX"),"XXX")</f>
        <v>XXX</v>
      </c>
    </row>
    <row r="1510" spans="1:4" x14ac:dyDescent="0.45">
      <c r="A1510">
        <f>ROW()</f>
        <v>1510</v>
      </c>
      <c r="B1510" t="str">
        <f>Profile!A1557</f>
        <v xml:space="preserve">   ProtocolEnabled</v>
      </c>
      <c r="C1510">
        <f>Profile!AP1559</f>
        <v>0</v>
      </c>
      <c r="D1510" t="str">
        <f>IF(Profile!C1557="Profile",IF(Profile!A1559="ResourceRequirement","OK","XXX"),"XXX")</f>
        <v>XXX</v>
      </c>
    </row>
    <row r="1511" spans="1:4" x14ac:dyDescent="0.45">
      <c r="A1511">
        <f>ROW()</f>
        <v>1511</v>
      </c>
      <c r="B1511" t="str">
        <f>Profile!A1558</f>
        <v>KVMIP</v>
      </c>
      <c r="C1511">
        <f>Profile!AP1560</f>
        <v>0</v>
      </c>
      <c r="D1511" t="str">
        <f>IF(Profile!C1558="Profile",IF(Profile!A1560="ResourceRequirement","OK","XXX"),"XXX")</f>
        <v>XXX</v>
      </c>
    </row>
    <row r="1512" spans="1:4" x14ac:dyDescent="0.45">
      <c r="A1512">
        <f>ROW()</f>
        <v>1512</v>
      </c>
      <c r="B1512" t="str">
        <f>Profile!A1559</f>
        <v xml:space="preserve">   Port</v>
      </c>
      <c r="C1512">
        <f>Profile!AP1561</f>
        <v>0</v>
      </c>
      <c r="D1512" t="str">
        <f>IF(Profile!C1559="Profile",IF(Profile!A1561="ResourceRequirement","OK","XXX"),"XXX")</f>
        <v>XXX</v>
      </c>
    </row>
    <row r="1513" spans="1:4" x14ac:dyDescent="0.45">
      <c r="A1513">
        <f>ROW()</f>
        <v>1513</v>
      </c>
      <c r="B1513" t="str">
        <f>Profile!A1560</f>
        <v xml:space="preserve">   ProtocolEnabled</v>
      </c>
      <c r="C1513">
        <f>Profile!AP1562</f>
        <v>0</v>
      </c>
      <c r="D1513" t="str">
        <f>IF(Profile!C1560="Profile",IF(Profile!A1562="ResourceRequirement","OK","XXX"),"XXX")</f>
        <v>XXX</v>
      </c>
    </row>
    <row r="1514" spans="1:4" x14ac:dyDescent="0.45">
      <c r="A1514">
        <f>ROW()</f>
        <v>1514</v>
      </c>
      <c r="B1514" t="str">
        <f>Profile!A1561</f>
        <v>NTP</v>
      </c>
      <c r="C1514">
        <f>Profile!AP1563</f>
        <v>0</v>
      </c>
      <c r="D1514" t="str">
        <f>IF(Profile!C1561="Profile",IF(Profile!A1563="ResourceRequirement","OK","XXX"),"XXX")</f>
        <v>XXX</v>
      </c>
    </row>
    <row r="1515" spans="1:4" x14ac:dyDescent="0.45">
      <c r="A1515">
        <f>ROW()</f>
        <v>1515</v>
      </c>
      <c r="B1515" t="str">
        <f>Profile!A1562</f>
        <v xml:space="preserve">   NTPServers</v>
      </c>
      <c r="C1515">
        <f>Profile!AP1564</f>
        <v>0</v>
      </c>
      <c r="D1515" t="str">
        <f>IF(Profile!C1562="Profile",IF(Profile!A1564="ResourceRequirement","OK","XXX"),"XXX")</f>
        <v>XXX</v>
      </c>
    </row>
    <row r="1516" spans="1:4" x14ac:dyDescent="0.45">
      <c r="A1516">
        <f>ROW()</f>
        <v>1516</v>
      </c>
      <c r="B1516" t="str">
        <f>Profile!A1563</f>
        <v xml:space="preserve">   Port</v>
      </c>
      <c r="C1516">
        <f>Profile!AP1565</f>
        <v>0</v>
      </c>
      <c r="D1516" t="str">
        <f>IF(Profile!C1563="Profile",IF(Profile!A1565="ResourceRequirement","OK","XXX"),"XXX")</f>
        <v>XXX</v>
      </c>
    </row>
    <row r="1517" spans="1:4" x14ac:dyDescent="0.45">
      <c r="A1517">
        <f>ROW()</f>
        <v>1517</v>
      </c>
      <c r="B1517" t="str">
        <f>Profile!A1564</f>
        <v xml:space="preserve">   ProtocolEnabled</v>
      </c>
      <c r="C1517">
        <f>Profile!AP1566</f>
        <v>0</v>
      </c>
      <c r="D1517" t="str">
        <f>IF(Profile!C1564="Profile",IF(Profile!A1566="ResourceRequirement","OK","XXX"),"XXX")</f>
        <v>XXX</v>
      </c>
    </row>
    <row r="1518" spans="1:4" x14ac:dyDescent="0.45">
      <c r="A1518">
        <f>ROW()</f>
        <v>1518</v>
      </c>
      <c r="B1518" t="str">
        <f>Profile!A1565</f>
        <v>RDP</v>
      </c>
      <c r="C1518">
        <f>Profile!AP1567</f>
        <v>0</v>
      </c>
      <c r="D1518" t="str">
        <f>IF(Profile!C1565="Profile",IF(Profile!A1567="ResourceRequirement","OK","XXX"),"XXX")</f>
        <v>XXX</v>
      </c>
    </row>
    <row r="1519" spans="1:4" x14ac:dyDescent="0.45">
      <c r="A1519">
        <f>ROW()</f>
        <v>1519</v>
      </c>
      <c r="B1519" t="str">
        <f>Profile!A1566</f>
        <v xml:space="preserve">   Port</v>
      </c>
      <c r="C1519">
        <f>Profile!AP1568</f>
        <v>0</v>
      </c>
      <c r="D1519" t="str">
        <f>IF(Profile!C1566="Profile",IF(Profile!A1568="ResourceRequirement","OK","XXX"),"XXX")</f>
        <v>XXX</v>
      </c>
    </row>
    <row r="1520" spans="1:4" x14ac:dyDescent="0.45">
      <c r="A1520">
        <f>ROW()</f>
        <v>1520</v>
      </c>
      <c r="B1520" t="str">
        <f>Profile!A1567</f>
        <v xml:space="preserve">   ProtocolEnabled</v>
      </c>
      <c r="C1520">
        <f>Profile!AP1569</f>
        <v>0</v>
      </c>
      <c r="D1520" t="str">
        <f>IF(Profile!C1567="Profile",IF(Profile!A1569="ResourceRequirement","OK","XXX"),"XXX")</f>
        <v>XXX</v>
      </c>
    </row>
    <row r="1521" spans="1:4" x14ac:dyDescent="0.45">
      <c r="A1521">
        <f>ROW()</f>
        <v>1521</v>
      </c>
      <c r="B1521" t="str">
        <f>Profile!A1568</f>
        <v>RFB</v>
      </c>
      <c r="C1521">
        <f>Profile!AP1570</f>
        <v>0</v>
      </c>
      <c r="D1521" t="str">
        <f>IF(Profile!C1568="Profile",IF(Profile!A1570="ResourceRequirement","OK","XXX"),"XXX")</f>
        <v>XXX</v>
      </c>
    </row>
    <row r="1522" spans="1:4" x14ac:dyDescent="0.45">
      <c r="A1522">
        <f>ROW()</f>
        <v>1522</v>
      </c>
      <c r="B1522" t="str">
        <f>Profile!A1569</f>
        <v xml:space="preserve">   Port</v>
      </c>
      <c r="C1522">
        <f>Profile!AP1571</f>
        <v>0</v>
      </c>
      <c r="D1522" t="str">
        <f>IF(Profile!C1569="Profile",IF(Profile!A1571="ResourceRequirement","OK","XXX"),"XXX")</f>
        <v>XXX</v>
      </c>
    </row>
    <row r="1523" spans="1:4" x14ac:dyDescent="0.45">
      <c r="A1523">
        <f>ROW()</f>
        <v>1523</v>
      </c>
      <c r="B1523" t="str">
        <f>Profile!A1570</f>
        <v xml:space="preserve">   ProtocolEnabled</v>
      </c>
      <c r="C1523">
        <f>Profile!AP1572</f>
        <v>0</v>
      </c>
      <c r="D1523" t="str">
        <f>IF(Profile!C1570="Profile",IF(Profile!A1572="ResourceRequirement","OK","XXX"),"XXX")</f>
        <v>XXX</v>
      </c>
    </row>
    <row r="1524" spans="1:4" x14ac:dyDescent="0.45">
      <c r="A1524">
        <f>ROW()</f>
        <v>1524</v>
      </c>
      <c r="B1524" t="str">
        <f>Profile!A1571</f>
        <v>SNMP</v>
      </c>
      <c r="C1524">
        <f>Profile!AP1573</f>
        <v>0</v>
      </c>
      <c r="D1524" t="str">
        <f>IF(Profile!C1571="Profile",IF(Profile!A1573="ResourceRequirement","OK","XXX"),"XXX")</f>
        <v>XXX</v>
      </c>
    </row>
    <row r="1525" spans="1:4" x14ac:dyDescent="0.45">
      <c r="A1525">
        <f>ROW()</f>
        <v>1525</v>
      </c>
      <c r="B1525" t="str">
        <f>Profile!A1572</f>
        <v xml:space="preserve">   Port</v>
      </c>
      <c r="C1525">
        <f>Profile!AP1574</f>
        <v>0</v>
      </c>
      <c r="D1525" t="str">
        <f>IF(Profile!C1572="Profile",IF(Profile!A1574="ResourceRequirement","OK","XXX"),"XXX")</f>
        <v>XXX</v>
      </c>
    </row>
    <row r="1526" spans="1:4" x14ac:dyDescent="0.45">
      <c r="A1526">
        <f>ROW()</f>
        <v>1526</v>
      </c>
      <c r="B1526" t="str">
        <f>Profile!A1573</f>
        <v xml:space="preserve">   ProtocolEnabled</v>
      </c>
      <c r="C1526">
        <f>Profile!AP1575</f>
        <v>0</v>
      </c>
      <c r="D1526" t="str">
        <f>IF(Profile!C1573="Profile",IF(Profile!A1575="ResourceRequirement","OK","XXX"),"XXX")</f>
        <v>XXX</v>
      </c>
    </row>
    <row r="1527" spans="1:4" x14ac:dyDescent="0.45">
      <c r="A1527">
        <f>ROW()</f>
        <v>1527</v>
      </c>
      <c r="B1527" t="str">
        <f>Profile!A1574</f>
        <v>SSDP</v>
      </c>
      <c r="C1527">
        <f>Profile!AP1576</f>
        <v>0</v>
      </c>
      <c r="D1527" t="str">
        <f>IF(Profile!C1574="Profile",IF(Profile!A1576="ResourceRequirement","OK","XXX"),"XXX")</f>
        <v>XXX</v>
      </c>
    </row>
    <row r="1528" spans="1:4" x14ac:dyDescent="0.45">
      <c r="A1528">
        <f>ROW()</f>
        <v>1528</v>
      </c>
      <c r="B1528" t="str">
        <f>Profile!A1575</f>
        <v xml:space="preserve">   NotifyIPv6Scope</v>
      </c>
      <c r="C1528">
        <f>Profile!AP1577</f>
        <v>0</v>
      </c>
      <c r="D1528" t="str">
        <f>IF(Profile!C1575="Profile",IF(Profile!A1577="ResourceRequirement","OK","XXX"),"XXX")</f>
        <v>XXX</v>
      </c>
    </row>
    <row r="1529" spans="1:4" x14ac:dyDescent="0.45">
      <c r="A1529">
        <f>ROW()</f>
        <v>1529</v>
      </c>
      <c r="B1529" t="str">
        <f>Profile!A1576</f>
        <v xml:space="preserve">   NotifyMulticastIntervalSeconds</v>
      </c>
      <c r="C1529">
        <f>Profile!AP1578</f>
        <v>0</v>
      </c>
      <c r="D1529" t="str">
        <f>IF(Profile!C1576="Profile",IF(Profile!A1578="ResourceRequirement","OK","XXX"),"XXX")</f>
        <v>XXX</v>
      </c>
    </row>
    <row r="1530" spans="1:4" x14ac:dyDescent="0.45">
      <c r="A1530">
        <f>ROW()</f>
        <v>1530</v>
      </c>
      <c r="B1530" t="str">
        <f>Profile!A1577</f>
        <v xml:space="preserve">   NotifyTTL</v>
      </c>
      <c r="C1530">
        <f>Profile!AP1579</f>
        <v>0</v>
      </c>
      <c r="D1530" t="str">
        <f>IF(Profile!C1577="Profile",IF(Profile!A1579="ResourceRequirement","OK","XXX"),"XXX")</f>
        <v>XXX</v>
      </c>
    </row>
    <row r="1531" spans="1:4" x14ac:dyDescent="0.45">
      <c r="A1531">
        <f>ROW()</f>
        <v>1531</v>
      </c>
      <c r="B1531" t="str">
        <f>Profile!A1578</f>
        <v xml:space="preserve">   Port</v>
      </c>
      <c r="C1531">
        <f>Profile!AP1580</f>
        <v>0</v>
      </c>
      <c r="D1531" t="str">
        <f>IF(Profile!C1578="Profile",IF(Profile!A1580="ResourceRequirement","OK","XXX"),"XXX")</f>
        <v>XXX</v>
      </c>
    </row>
    <row r="1532" spans="1:4" x14ac:dyDescent="0.45">
      <c r="A1532">
        <f>ROW()</f>
        <v>1532</v>
      </c>
      <c r="B1532" t="str">
        <f>Profile!A1579</f>
        <v xml:space="preserve">   ProtocolEnabled</v>
      </c>
      <c r="C1532">
        <f>Profile!AP1581</f>
        <v>0</v>
      </c>
      <c r="D1532" t="str">
        <f>IF(Profile!C1579="Profile",IF(Profile!A1581="ResourceRequirement","OK","XXX"),"XXX")</f>
        <v>XXX</v>
      </c>
    </row>
    <row r="1533" spans="1:4" x14ac:dyDescent="0.45">
      <c r="A1533">
        <f>ROW()</f>
        <v>1533</v>
      </c>
      <c r="B1533" t="str">
        <f>Profile!A1580</f>
        <v>SSH</v>
      </c>
      <c r="C1533">
        <f>Profile!AP1582</f>
        <v>0</v>
      </c>
      <c r="D1533" t="str">
        <f>IF(Profile!C1580="Profile",IF(Profile!A1582="ResourceRequirement","OK","XXX"),"XXX")</f>
        <v>XXX</v>
      </c>
    </row>
    <row r="1534" spans="1:4" x14ac:dyDescent="0.45">
      <c r="A1534">
        <f>ROW()</f>
        <v>1534</v>
      </c>
      <c r="B1534" t="str">
        <f>Profile!A1581</f>
        <v xml:space="preserve">   Port</v>
      </c>
      <c r="C1534">
        <f>Profile!AP1583</f>
        <v>0</v>
      </c>
      <c r="D1534" t="str">
        <f>IF(Profile!C1581="Profile",IF(Profile!A1583="ResourceRequirement","OK","XXX"),"XXX")</f>
        <v>XXX</v>
      </c>
    </row>
    <row r="1535" spans="1:4" x14ac:dyDescent="0.45">
      <c r="A1535">
        <f>ROW()</f>
        <v>1535</v>
      </c>
      <c r="B1535" t="str">
        <f>Profile!A1582</f>
        <v xml:space="preserve">   ProtocolEnabled</v>
      </c>
      <c r="C1535">
        <f>Profile!AP1586</f>
        <v>0</v>
      </c>
      <c r="D1535" t="str">
        <f>IF(Profile!C1582="Profile",IF(Profile!A1586="ResourceRequirement","OK","XXX"),"XXX")</f>
        <v>XXX</v>
      </c>
    </row>
    <row r="1536" spans="1:4" x14ac:dyDescent="0.45">
      <c r="A1536">
        <f>ROW()</f>
        <v>1536</v>
      </c>
      <c r="B1536" t="str">
        <f>Profile!A1583</f>
        <v>Status</v>
      </c>
      <c r="C1536">
        <f>Profile!AP1587</f>
        <v>0</v>
      </c>
      <c r="D1536" t="str">
        <f>IF(Profile!C1583="Profile",IF(Profile!A1587="ResourceRequirement","OK","XXX"),"XXX")</f>
        <v>XXX</v>
      </c>
    </row>
    <row r="1537" spans="1:4" x14ac:dyDescent="0.45">
      <c r="A1537">
        <f>ROW()</f>
        <v>1537</v>
      </c>
      <c r="B1537" t="str">
        <f>Profile!A1586</f>
        <v>Telnet</v>
      </c>
      <c r="C1537">
        <f>Profile!AP1588</f>
        <v>0</v>
      </c>
      <c r="D1537" t="str">
        <f>IF(Profile!C1586="Profile",IF(Profile!A1588="ResourceRequirement","OK","XXX"),"XXX")</f>
        <v>XXX</v>
      </c>
    </row>
    <row r="1538" spans="1:4" x14ac:dyDescent="0.45">
      <c r="A1538">
        <f>ROW()</f>
        <v>1538</v>
      </c>
      <c r="B1538" t="str">
        <f>Profile!A1587</f>
        <v xml:space="preserve">   Port</v>
      </c>
      <c r="C1538">
        <f>Profile!AP1589</f>
        <v>0</v>
      </c>
      <c r="D1538" t="str">
        <f>IF(Profile!C1587="Profile",IF(Profile!A1589="ResourceRequirement","OK","XXX"),"XXX")</f>
        <v>XXX</v>
      </c>
    </row>
    <row r="1539" spans="1:4" x14ac:dyDescent="0.45">
      <c r="A1539">
        <f>ROW()</f>
        <v>1539</v>
      </c>
      <c r="B1539" t="str">
        <f>Profile!A1588</f>
        <v xml:space="preserve">   ProtocolEnabled</v>
      </c>
      <c r="C1539">
        <f>Profile!AP1590</f>
        <v>0</v>
      </c>
      <c r="D1539" t="str">
        <f>IF(Profile!C1588="Profile",IF(Profile!A1590="ResourceRequirement","OK","XXX"),"XXX")</f>
        <v>XXX</v>
      </c>
    </row>
    <row r="1540" spans="1:4" x14ac:dyDescent="0.45">
      <c r="A1540">
        <f>ROW()</f>
        <v>1540</v>
      </c>
      <c r="B1540" t="str">
        <f>Profile!A1589</f>
        <v>VirtualMedia</v>
      </c>
      <c r="C1540">
        <f>Profile!AP1591</f>
        <v>0</v>
      </c>
      <c r="D1540" t="str">
        <f>IF(Profile!C1589="Profile",IF(Profile!A1591="ResourceRequirement","OK","XXX"),"XXX")</f>
        <v>XXX</v>
      </c>
    </row>
    <row r="1541" spans="1:4" x14ac:dyDescent="0.45">
      <c r="A1541">
        <f>ROW()</f>
        <v>1541</v>
      </c>
      <c r="B1541" t="str">
        <f>Profile!A1590</f>
        <v xml:space="preserve">   Port</v>
      </c>
      <c r="C1541">
        <f>Profile!AP1592</f>
        <v>0</v>
      </c>
      <c r="D1541" t="str">
        <f>IF(Profile!C1590="Profile",IF(Profile!A1592="ResourceRequirement","OK","XXX"),"XXX")</f>
        <v>XXX</v>
      </c>
    </row>
    <row r="1542" spans="1:4" x14ac:dyDescent="0.45">
      <c r="A1542">
        <f>ROW()</f>
        <v>1542</v>
      </c>
      <c r="B1542" t="str">
        <f>Profile!A1591</f>
        <v xml:space="preserve">   ProtocolEnabled</v>
      </c>
      <c r="C1542">
        <f>Profile!AP1593</f>
        <v>0</v>
      </c>
      <c r="D1542" t="str">
        <f>IF(Profile!C1591="Profile",IF(Profile!A1593="ResourceRequirement","OK","XXX"),"XXX")</f>
        <v>XXX</v>
      </c>
    </row>
    <row r="1543" spans="1:4" x14ac:dyDescent="0.45">
      <c r="A1543">
        <f>ROW()</f>
        <v>1543</v>
      </c>
      <c r="B1543" t="str">
        <f>Profile!A1592</f>
        <v>ManagerNetworkProtocol URIs</v>
      </c>
      <c r="C1543">
        <f>Profile!AP1594</f>
        <v>0</v>
      </c>
      <c r="D1543" t="str">
        <f>IF(Profile!C1592="Profile",IF(Profile!A1594="ResourceRequirement","OK","XXX"),"XXX")</f>
        <v>XXX</v>
      </c>
    </row>
    <row r="1544" spans="1:4" x14ac:dyDescent="0.45">
      <c r="A1544">
        <f>ROW()</f>
        <v>1544</v>
      </c>
      <c r="B1544" t="str">
        <f>Profile!A1593</f>
        <v>/redfish/v1/Managers/{ManagerId}/NetworkProtocol</v>
      </c>
      <c r="C1544">
        <f>Profile!AP1595</f>
        <v>0</v>
      </c>
      <c r="D1544" t="str">
        <f>IF(Profile!C1593="Profile",IF(Profile!A1595="ResourceRequirement","OK","XXX"),"XXX")</f>
        <v>XXX</v>
      </c>
    </row>
    <row r="1545" spans="1:4" x14ac:dyDescent="0.45">
      <c r="A1545">
        <f>ROW()</f>
        <v>1545</v>
      </c>
      <c r="B1545">
        <f>Profile!A1594</f>
        <v>0</v>
      </c>
      <c r="C1545">
        <f>Profile!AP1596</f>
        <v>0</v>
      </c>
      <c r="D1545" t="str">
        <f>IF(Profile!C1594="Profile",IF(Profile!A1596="ResourceRequirement","OK","XXX"),"XXX")</f>
        <v>XXX</v>
      </c>
    </row>
    <row r="1546" spans="1:4" x14ac:dyDescent="0.45">
      <c r="A1546">
        <f>ROW()</f>
        <v>1546</v>
      </c>
      <c r="B1546" t="str">
        <f>Profile!A1595</f>
        <v>1.1.5.4               NetworkDeviceFunction</v>
      </c>
      <c r="C1546">
        <f>Profile!AP1597</f>
        <v>0</v>
      </c>
      <c r="D1546" t="str">
        <f>IF(Profile!C1595="Profile",IF(Profile!A1597="ResourceRequirement","OK","XXX"),"XXX")</f>
        <v>XXX</v>
      </c>
    </row>
    <row r="1547" spans="1:4" x14ac:dyDescent="0.45">
      <c r="A1547">
        <f>ROW()</f>
        <v>1547</v>
      </c>
      <c r="B1547" t="str">
        <f>Profile!A1596</f>
        <v>A NetworkDeviceFunction resource represents a logical interface exposed by the NetworkAdapter.</v>
      </c>
      <c r="C1547">
        <f>Profile!AP1598</f>
        <v>0</v>
      </c>
      <c r="D1547" t="str">
        <f>IF(Profile!C1596="Profile",IF(Profile!A1598="ResourceRequirement","OK","XXX"),"XXX")</f>
        <v>XXX</v>
      </c>
    </row>
    <row r="1548" spans="1:4" x14ac:dyDescent="0.45">
      <c r="A1548">
        <f>ROW()</f>
        <v>1548</v>
      </c>
      <c r="B1548" t="str">
        <f>Profile!A1597</f>
        <v>Table 49: O-PAS Profile Map for the Redfish NetworkDeviceFunction Resource</v>
      </c>
      <c r="C1548">
        <f>Profile!AP1599</f>
        <v>0</v>
      </c>
      <c r="D1548" t="str">
        <f>IF(Profile!C1597="Profile",IF(Profile!A1599="ResourceRequirement","OK","XXX"),"XXX")</f>
        <v>XXX</v>
      </c>
    </row>
    <row r="1549" spans="1:4" x14ac:dyDescent="0.45">
      <c r="A1549">
        <f>ROW()</f>
        <v>1549</v>
      </c>
      <c r="B1549" t="str">
        <f>Profile!A1598</f>
        <v>NetworkDeviceFunction (1.3.0)</v>
      </c>
      <c r="C1549">
        <f>Profile!AP1600</f>
        <v>0</v>
      </c>
      <c r="D1549" t="str">
        <f>IF(Profile!C1598="Profile",IF(Profile!A1600="ResourceRequirement","OK","XXX"),"XXX")</f>
        <v>XXX</v>
      </c>
    </row>
    <row r="1550" spans="1:4" x14ac:dyDescent="0.45">
      <c r="A1550">
        <f>ROW()</f>
        <v>1550</v>
      </c>
      <c r="B1550">
        <f>Profile!A1599</f>
        <v>0</v>
      </c>
      <c r="C1550">
        <f>Profile!AP1601</f>
        <v>0</v>
      </c>
      <c r="D1550" t="str">
        <f>IF(Profile!C1599="Profile",IF(Profile!A1601="ResourceRequirement","OK","XXX"),"XXX")</f>
        <v>XXX</v>
      </c>
    </row>
    <row r="1551" spans="1:4" x14ac:dyDescent="0.45">
      <c r="A1551">
        <f>ROW()</f>
        <v>1551</v>
      </c>
      <c r="B1551" t="str">
        <f>Profile!A1600</f>
        <v>NetworkDeviceFunction (1.3.2)</v>
      </c>
      <c r="C1551">
        <f>Profile!AP1602</f>
        <v>38</v>
      </c>
      <c r="D1551" t="str">
        <f>IF(Profile!C1600="Profile",IF(Profile!A1602="ResourceRequirement","OK","XXX"),"XXX")</f>
        <v>OK</v>
      </c>
    </row>
    <row r="1552" spans="1:4" x14ac:dyDescent="0.45">
      <c r="A1552">
        <f>ROW()</f>
        <v>1552</v>
      </c>
      <c r="B1552">
        <f>Profile!A1601</f>
        <v>0</v>
      </c>
      <c r="C1552">
        <f>Profile!AP1603</f>
        <v>0</v>
      </c>
      <c r="D1552" t="str">
        <f>IF(Profile!C1601="Profile",IF(Profile!A1603="ResourceRequirement","OK","XXX"),"XXX")</f>
        <v>XXX</v>
      </c>
    </row>
    <row r="1553" spans="1:4" x14ac:dyDescent="0.45">
      <c r="A1553">
        <f>ROW()</f>
        <v>1553</v>
      </c>
      <c r="B1553" t="str">
        <f>Profile!A1602</f>
        <v>ResourceRequirement</v>
      </c>
      <c r="C1553">
        <f>Profile!AP1604</f>
        <v>0</v>
      </c>
      <c r="D1553" t="str">
        <f>IF(Profile!C1602="Profile",IF(Profile!A1604="ResourceRequirement","OK","XXX"),"XXX")</f>
        <v>XXX</v>
      </c>
    </row>
    <row r="1554" spans="1:4" x14ac:dyDescent="0.45">
      <c r="A1554">
        <f>ROW()</f>
        <v>1554</v>
      </c>
      <c r="B1554" t="str">
        <f>Profile!A1603</f>
        <v>Resource MinVersion</v>
      </c>
      <c r="C1554">
        <f>Profile!AP1605</f>
        <v>0</v>
      </c>
      <c r="D1554" t="str">
        <f>IF(Profile!C1603="Profile",IF(Profile!A1605="ResourceRequirement","OK","XXX"),"XXX")</f>
        <v>XXX</v>
      </c>
    </row>
    <row r="1555" spans="1:4" x14ac:dyDescent="0.45">
      <c r="A1555">
        <f>ROW()</f>
        <v>1555</v>
      </c>
      <c r="B1555" t="str">
        <f>Profile!A1604</f>
        <v>Property</v>
      </c>
      <c r="C1555">
        <f>Profile!AP1608</f>
        <v>0</v>
      </c>
      <c r="D1555" t="str">
        <f>IF(Profile!C1604="Profile",IF(Profile!A1608="ResourceRequirement","OK","XXX"),"XXX")</f>
        <v>XXX</v>
      </c>
    </row>
    <row r="1556" spans="1:4" x14ac:dyDescent="0.45">
      <c r="A1556">
        <f>ROW()</f>
        <v>1556</v>
      </c>
      <c r="B1556" t="str">
        <f>Profile!A1605</f>
        <v>Actions</v>
      </c>
      <c r="C1556">
        <f>Profile!AP1609</f>
        <v>0</v>
      </c>
      <c r="D1556" t="str">
        <f>IF(Profile!C1605="Profile",IF(Profile!A1609="ResourceRequirement","OK","XXX"),"XXX")</f>
        <v>XXX</v>
      </c>
    </row>
    <row r="1557" spans="1:4" x14ac:dyDescent="0.45">
      <c r="A1557">
        <f>ROW()</f>
        <v>1557</v>
      </c>
      <c r="B1557" t="str">
        <f>Profile!A1608</f>
        <v>AssignablePhysicalNetworkPorts</v>
      </c>
      <c r="C1557">
        <f>Profile!AP1610</f>
        <v>0</v>
      </c>
      <c r="D1557" t="str">
        <f>IF(Profile!C1608="Profile",IF(Profile!A1610="ResourceRequirement","OK","XXX"),"XXX")</f>
        <v>XXX</v>
      </c>
    </row>
    <row r="1558" spans="1:4" x14ac:dyDescent="0.45">
      <c r="A1558">
        <f>ROW()</f>
        <v>1558</v>
      </c>
      <c r="B1558" t="str">
        <f>Profile!A1609</f>
        <v xml:space="preserve">   @odata.id</v>
      </c>
      <c r="C1558">
        <f>Profile!AP1611</f>
        <v>0</v>
      </c>
      <c r="D1558" t="str">
        <f>IF(Profile!C1609="Profile",IF(Profile!A1611="ResourceRequirement","OK","XXX"),"XXX")</f>
        <v>XXX</v>
      </c>
    </row>
    <row r="1559" spans="1:4" x14ac:dyDescent="0.45">
      <c r="A1559">
        <f>ROW()</f>
        <v>1559</v>
      </c>
      <c r="B1559" t="str">
        <f>Profile!A1610</f>
        <v>BootMode</v>
      </c>
      <c r="C1559">
        <f>Profile!AP1612</f>
        <v>0</v>
      </c>
      <c r="D1559" t="str">
        <f>IF(Profile!C1610="Profile",IF(Profile!A1612="ResourceRequirement","OK","XXX"),"XXX")</f>
        <v>XXX</v>
      </c>
    </row>
    <row r="1560" spans="1:4" x14ac:dyDescent="0.45">
      <c r="A1560">
        <f>ROW()</f>
        <v>1560</v>
      </c>
      <c r="B1560" t="str">
        <f>Profile!A1611</f>
        <v>DeviceEnabled</v>
      </c>
      <c r="C1560">
        <f>Profile!AP1613</f>
        <v>0</v>
      </c>
      <c r="D1560" t="str">
        <f>IF(Profile!C1611="Profile",IF(Profile!A1613="ResourceRequirement","OK","XXX"),"XXX")</f>
        <v>XXX</v>
      </c>
    </row>
    <row r="1561" spans="1:4" x14ac:dyDescent="0.45">
      <c r="A1561">
        <f>ROW()</f>
        <v>1561</v>
      </c>
      <c r="B1561" t="str">
        <f>Profile!A1612</f>
        <v>Ethernet</v>
      </c>
      <c r="C1561">
        <f>Profile!AP1614</f>
        <v>0</v>
      </c>
      <c r="D1561" t="str">
        <f>IF(Profile!C1612="Profile",IF(Profile!A1614="ResourceRequirement","OK","XXX"),"XXX")</f>
        <v>XXX</v>
      </c>
    </row>
    <row r="1562" spans="1:4" x14ac:dyDescent="0.45">
      <c r="A1562">
        <f>ROW()</f>
        <v>1562</v>
      </c>
      <c r="B1562" t="str">
        <f>Profile!A1613</f>
        <v xml:space="preserve">   MACAddress</v>
      </c>
      <c r="C1562">
        <f>Profile!AP1615</f>
        <v>0</v>
      </c>
      <c r="D1562" t="str">
        <f>IF(Profile!C1613="Profile",IF(Profile!A1615="ResourceRequirement","OK","XXX"),"XXX")</f>
        <v>XXX</v>
      </c>
    </row>
    <row r="1563" spans="1:4" x14ac:dyDescent="0.45">
      <c r="A1563">
        <f>ROW()</f>
        <v>1563</v>
      </c>
      <c r="B1563" t="str">
        <f>Profile!A1614</f>
        <v xml:space="preserve">   MTUSize</v>
      </c>
      <c r="C1563">
        <f>Profile!AP1616</f>
        <v>0</v>
      </c>
      <c r="D1563" t="str">
        <f>IF(Profile!C1614="Profile",IF(Profile!A1616="ResourceRequirement","OK","XXX"),"XXX")</f>
        <v>XXX</v>
      </c>
    </row>
    <row r="1564" spans="1:4" x14ac:dyDescent="0.45">
      <c r="A1564">
        <f>ROW()</f>
        <v>1564</v>
      </c>
      <c r="B1564" t="str">
        <f>Profile!A1615</f>
        <v xml:space="preserve">   PermanentMACAddress</v>
      </c>
      <c r="C1564">
        <f>Profile!AP1617</f>
        <v>0</v>
      </c>
      <c r="D1564" t="str">
        <f>IF(Profile!C1615="Profile",IF(Profile!A1617="ResourceRequirement","OK","XXX"),"XXX")</f>
        <v>XXX</v>
      </c>
    </row>
    <row r="1565" spans="1:4" x14ac:dyDescent="0.45">
      <c r="A1565">
        <f>ROW()</f>
        <v>1565</v>
      </c>
      <c r="B1565" t="str">
        <f>Profile!A1616</f>
        <v xml:space="preserve">   VLAN</v>
      </c>
      <c r="C1565">
        <f>Profile!AP1618</f>
        <v>0</v>
      </c>
      <c r="D1565" t="str">
        <f>IF(Profile!C1616="Profile",IF(Profile!A1618="ResourceRequirement","OK","XXX"),"XXX")</f>
        <v>XXX</v>
      </c>
    </row>
    <row r="1566" spans="1:4" x14ac:dyDescent="0.45">
      <c r="A1566">
        <f>ROW()</f>
        <v>1566</v>
      </c>
      <c r="B1566" t="str">
        <f>Profile!A1617</f>
        <v xml:space="preserve">      @odata.id</v>
      </c>
      <c r="C1566">
        <f>Profile!AP1619</f>
        <v>0</v>
      </c>
      <c r="D1566" t="str">
        <f>IF(Profile!C1617="Profile",IF(Profile!A1619="ResourceRequirement","OK","XXX"),"XXX")</f>
        <v>XXX</v>
      </c>
    </row>
    <row r="1567" spans="1:4" x14ac:dyDescent="0.45">
      <c r="A1567">
        <f>ROW()</f>
        <v>1567</v>
      </c>
      <c r="B1567" t="str">
        <f>Profile!A1618</f>
        <v xml:space="preserve">   VLANs</v>
      </c>
      <c r="C1567">
        <f>Profile!AP1620</f>
        <v>0</v>
      </c>
      <c r="D1567" t="str">
        <f>IF(Profile!C1618="Profile",IF(Profile!A1620="ResourceRequirement","OK","XXX"),"XXX")</f>
        <v>XXX</v>
      </c>
    </row>
    <row r="1568" spans="1:4" x14ac:dyDescent="0.45">
      <c r="A1568">
        <f>ROW()</f>
        <v>1568</v>
      </c>
      <c r="B1568" t="str">
        <f>Profile!A1619</f>
        <v xml:space="preserve">      @odata.id</v>
      </c>
      <c r="C1568">
        <f>Profile!AP1621</f>
        <v>0</v>
      </c>
      <c r="D1568" t="str">
        <f>IF(Profile!C1619="Profile",IF(Profile!A1621="ResourceRequirement","OK","XXX"),"XXX")</f>
        <v>XXX</v>
      </c>
    </row>
    <row r="1569" spans="1:4" x14ac:dyDescent="0.45">
      <c r="A1569">
        <f>ROW()</f>
        <v>1569</v>
      </c>
      <c r="B1569" t="str">
        <f>Profile!A1620</f>
        <v>FibreChannel</v>
      </c>
      <c r="C1569">
        <f>Profile!AP1622</f>
        <v>0</v>
      </c>
      <c r="D1569" t="str">
        <f>IF(Profile!C1620="Profile",IF(Profile!A1622="ResourceRequirement","OK","XXX"),"XXX")</f>
        <v>XXX</v>
      </c>
    </row>
    <row r="1570" spans="1:4" x14ac:dyDescent="0.45">
      <c r="A1570">
        <f>ROW()</f>
        <v>1570</v>
      </c>
      <c r="B1570" t="str">
        <f>Profile!A1621</f>
        <v xml:space="preserve">   AllowFIPVLANDiscovery</v>
      </c>
      <c r="C1570">
        <f>Profile!AP1623</f>
        <v>0</v>
      </c>
      <c r="D1570" t="str">
        <f>IF(Profile!C1621="Profile",IF(Profile!A1623="ResourceRequirement","OK","XXX"),"XXX")</f>
        <v>XXX</v>
      </c>
    </row>
    <row r="1571" spans="1:4" x14ac:dyDescent="0.45">
      <c r="A1571">
        <f>ROW()</f>
        <v>1571</v>
      </c>
      <c r="B1571" t="str">
        <f>Profile!A1622</f>
        <v xml:space="preserve">   BootTargets</v>
      </c>
      <c r="C1571">
        <f>Profile!AP1624</f>
        <v>0</v>
      </c>
      <c r="D1571" t="str">
        <f>IF(Profile!C1622="Profile",IF(Profile!A1624="ResourceRequirement","OK","XXX"),"XXX")</f>
        <v>XXX</v>
      </c>
    </row>
    <row r="1572" spans="1:4" x14ac:dyDescent="0.45">
      <c r="A1572">
        <f>ROW()</f>
        <v>1572</v>
      </c>
      <c r="B1572" t="str">
        <f>Profile!A1623</f>
        <v xml:space="preserve">      BootPriority</v>
      </c>
      <c r="C1572">
        <f>Profile!AP1625</f>
        <v>0</v>
      </c>
      <c r="D1572" t="str">
        <f>IF(Profile!C1623="Profile",IF(Profile!A1625="ResourceRequirement","OK","XXX"),"XXX")</f>
        <v>XXX</v>
      </c>
    </row>
    <row r="1573" spans="1:4" x14ac:dyDescent="0.45">
      <c r="A1573">
        <f>ROW()</f>
        <v>1573</v>
      </c>
      <c r="B1573" t="str">
        <f>Profile!A1624</f>
        <v xml:space="preserve">         LUNID</v>
      </c>
      <c r="C1573">
        <f>Profile!AP1626</f>
        <v>0</v>
      </c>
      <c r="D1573" t="str">
        <f>IF(Profile!C1624="Profile",IF(Profile!A1626="ResourceRequirement","OK","XXX"),"XXX")</f>
        <v>XXX</v>
      </c>
    </row>
    <row r="1574" spans="1:4" x14ac:dyDescent="0.45">
      <c r="A1574">
        <f>ROW()</f>
        <v>1574</v>
      </c>
      <c r="B1574" t="str">
        <f>Profile!A1625</f>
        <v xml:space="preserve">         WWPN</v>
      </c>
      <c r="C1574">
        <f>Profile!AP1627</f>
        <v>0</v>
      </c>
      <c r="D1574" t="str">
        <f>IF(Profile!C1625="Profile",IF(Profile!A1627="ResourceRequirement","OK","XXX"),"XXX")</f>
        <v>XXX</v>
      </c>
    </row>
    <row r="1575" spans="1:4" x14ac:dyDescent="0.45">
      <c r="A1575">
        <f>ROW()</f>
        <v>1575</v>
      </c>
      <c r="B1575" t="str">
        <f>Profile!A1626</f>
        <v xml:space="preserve">   FCoEActiveVLANId</v>
      </c>
      <c r="C1575">
        <f>Profile!AP1628</f>
        <v>0</v>
      </c>
      <c r="D1575" t="str">
        <f>IF(Profile!C1626="Profile",IF(Profile!A1628="ResourceRequirement","OK","XXX"),"XXX")</f>
        <v>XXX</v>
      </c>
    </row>
    <row r="1576" spans="1:4" x14ac:dyDescent="0.45">
      <c r="A1576">
        <f>ROW()</f>
        <v>1576</v>
      </c>
      <c r="B1576" t="str">
        <f>Profile!A1627</f>
        <v xml:space="preserve">   FCoELocalVLANId</v>
      </c>
      <c r="C1576">
        <f>Profile!AP1629</f>
        <v>0</v>
      </c>
      <c r="D1576" t="str">
        <f>IF(Profile!C1627="Profile",IF(Profile!A1629="ResourceRequirement","OK","XXX"),"XXX")</f>
        <v>XXX</v>
      </c>
    </row>
    <row r="1577" spans="1:4" x14ac:dyDescent="0.45">
      <c r="A1577">
        <f>ROW()</f>
        <v>1577</v>
      </c>
      <c r="B1577" t="str">
        <f>Profile!A1628</f>
        <v xml:space="preserve">   FibreChannelId</v>
      </c>
      <c r="C1577">
        <f>Profile!AP1630</f>
        <v>0</v>
      </c>
      <c r="D1577" t="str">
        <f>IF(Profile!C1628="Profile",IF(Profile!A1630="ResourceRequirement","OK","XXX"),"XXX")</f>
        <v>XXX</v>
      </c>
    </row>
    <row r="1578" spans="1:4" x14ac:dyDescent="0.45">
      <c r="A1578">
        <f>ROW()</f>
        <v>1578</v>
      </c>
      <c r="B1578" t="str">
        <f>Profile!A1629</f>
        <v xml:space="preserve">   PermanentWWNN</v>
      </c>
      <c r="C1578">
        <f>Profile!AP1631</f>
        <v>0</v>
      </c>
      <c r="D1578" t="str">
        <f>IF(Profile!C1629="Profile",IF(Profile!A1631="ResourceRequirement","OK","XXX"),"XXX")</f>
        <v>XXX</v>
      </c>
    </row>
    <row r="1579" spans="1:4" x14ac:dyDescent="0.45">
      <c r="A1579">
        <f>ROW()</f>
        <v>1579</v>
      </c>
      <c r="B1579" t="str">
        <f>Profile!A1630</f>
        <v xml:space="preserve">   PermanentWWPN</v>
      </c>
      <c r="C1579">
        <f>Profile!AP1632</f>
        <v>0</v>
      </c>
      <c r="D1579" t="str">
        <f>IF(Profile!C1630="Profile",IF(Profile!A1632="ResourceRequirement","OK","XXX"),"XXX")</f>
        <v>XXX</v>
      </c>
    </row>
    <row r="1580" spans="1:4" x14ac:dyDescent="0.45">
      <c r="A1580">
        <f>ROW()</f>
        <v>1580</v>
      </c>
      <c r="B1580" t="str">
        <f>Profile!A1631</f>
        <v xml:space="preserve">   WWNN</v>
      </c>
      <c r="C1580">
        <f>Profile!AP1633</f>
        <v>0</v>
      </c>
      <c r="D1580" t="str">
        <f>IF(Profile!C1631="Profile",IF(Profile!A1633="ResourceRequirement","OK","XXX"),"XXX")</f>
        <v>XXX</v>
      </c>
    </row>
    <row r="1581" spans="1:4" x14ac:dyDescent="0.45">
      <c r="A1581">
        <f>ROW()</f>
        <v>1581</v>
      </c>
      <c r="B1581" t="str">
        <f>Profile!A1632</f>
        <v xml:space="preserve">   WWNSource</v>
      </c>
      <c r="C1581">
        <f>Profile!AP1634</f>
        <v>0</v>
      </c>
      <c r="D1581" t="str">
        <f>IF(Profile!C1632="Profile",IF(Profile!A1634="ResourceRequirement","OK","XXX"),"XXX")</f>
        <v>XXX</v>
      </c>
    </row>
    <row r="1582" spans="1:4" x14ac:dyDescent="0.45">
      <c r="A1582">
        <f>ROW()</f>
        <v>1582</v>
      </c>
      <c r="B1582" t="str">
        <f>Profile!A1633</f>
        <v xml:space="preserve">   WWPN</v>
      </c>
      <c r="C1582">
        <f>Profile!AP1635</f>
        <v>0</v>
      </c>
      <c r="D1582" t="str">
        <f>IF(Profile!C1633="Profile",IF(Profile!A1635="ResourceRequirement","OK","XXX"),"XXX")</f>
        <v>XXX</v>
      </c>
    </row>
    <row r="1583" spans="1:4" x14ac:dyDescent="0.45">
      <c r="A1583">
        <f>ROW()</f>
        <v>1583</v>
      </c>
      <c r="B1583" t="str">
        <f>Profile!A1634</f>
        <v>Links</v>
      </c>
      <c r="C1583">
        <f>Profile!AP1636</f>
        <v>0</v>
      </c>
      <c r="D1583" t="str">
        <f>IF(Profile!C1634="Profile",IF(Profile!A1636="ResourceRequirement","OK","XXX"),"XXX")</f>
        <v>XXX</v>
      </c>
    </row>
    <row r="1584" spans="1:4" x14ac:dyDescent="0.45">
      <c r="A1584">
        <f>ROW()</f>
        <v>1584</v>
      </c>
      <c r="B1584" t="str">
        <f>Profile!A1635</f>
        <v xml:space="preserve">   Endpoints</v>
      </c>
      <c r="C1584">
        <f>Profile!AP1637</f>
        <v>0</v>
      </c>
      <c r="D1584" t="str">
        <f>IF(Profile!C1635="Profile",IF(Profile!A1637="ResourceRequirement","OK","XXX"),"XXX")</f>
        <v>XXX</v>
      </c>
    </row>
    <row r="1585" spans="1:4" x14ac:dyDescent="0.45">
      <c r="A1585">
        <f>ROW()</f>
        <v>1585</v>
      </c>
      <c r="B1585" t="str">
        <f>Profile!A1636</f>
        <v xml:space="preserve">      @odata.id</v>
      </c>
      <c r="C1585">
        <f>Profile!AP1638</f>
        <v>0</v>
      </c>
      <c r="D1585" t="str">
        <f>IF(Profile!C1636="Profile",IF(Profile!A1638="ResourceRequirement","OK","XXX"),"XXX")</f>
        <v>XXX</v>
      </c>
    </row>
    <row r="1586" spans="1:4" x14ac:dyDescent="0.45">
      <c r="A1586">
        <f>ROW()</f>
        <v>1586</v>
      </c>
      <c r="B1586" t="str">
        <f>Profile!A1637</f>
        <v xml:space="preserve">   PCIeFunction</v>
      </c>
      <c r="C1586">
        <f>Profile!AP1641</f>
        <v>0</v>
      </c>
      <c r="D1586" t="str">
        <f>IF(Profile!C1637="Profile",IF(Profile!A1641="ResourceRequirement","OK","XXX"),"XXX")</f>
        <v>XXX</v>
      </c>
    </row>
    <row r="1587" spans="1:4" x14ac:dyDescent="0.45">
      <c r="A1587">
        <f>ROW()</f>
        <v>1587</v>
      </c>
      <c r="B1587" t="str">
        <f>Profile!A1638</f>
        <v xml:space="preserve">      @odata.id</v>
      </c>
      <c r="C1587">
        <f>Profile!AP1642</f>
        <v>0</v>
      </c>
      <c r="D1587" t="str">
        <f>IF(Profile!C1638="Profile",IF(Profile!A1642="ResourceRequirement","OK","XXX"),"XXX")</f>
        <v>XXX</v>
      </c>
    </row>
    <row r="1588" spans="1:4" x14ac:dyDescent="0.45">
      <c r="A1588">
        <f>ROW()</f>
        <v>1588</v>
      </c>
      <c r="B1588" t="str">
        <f>Profile!A1641</f>
        <v xml:space="preserve">   PhysicalNetworkPortAssignment</v>
      </c>
      <c r="C1588">
        <f>Profile!AP1643</f>
        <v>0</v>
      </c>
      <c r="D1588" t="str">
        <f>IF(Profile!C1641="Profile",IF(Profile!A1643="ResourceRequirement","OK","XXX"),"XXX")</f>
        <v>XXX</v>
      </c>
    </row>
    <row r="1589" spans="1:4" x14ac:dyDescent="0.45">
      <c r="A1589">
        <f>ROW()</f>
        <v>1589</v>
      </c>
      <c r="B1589" t="str">
        <f>Profile!A1642</f>
        <v xml:space="preserve">      @odata.id</v>
      </c>
      <c r="C1589">
        <f>Profile!AP1644</f>
        <v>0</v>
      </c>
      <c r="D1589" t="str">
        <f>IF(Profile!C1642="Profile",IF(Profile!A1644="ResourceRequirement","OK","XXX"),"XXX")</f>
        <v>XXX</v>
      </c>
    </row>
    <row r="1590" spans="1:4" x14ac:dyDescent="0.45">
      <c r="A1590">
        <f>ROW()</f>
        <v>1590</v>
      </c>
      <c r="B1590" t="str">
        <f>Profile!A1643</f>
        <v>MaxVirtualFunctions</v>
      </c>
      <c r="C1590">
        <f>Profile!AP1645</f>
        <v>0</v>
      </c>
      <c r="D1590" t="str">
        <f>IF(Profile!C1643="Profile",IF(Profile!A1645="ResourceRequirement","OK","XXX"),"XXX")</f>
        <v>XXX</v>
      </c>
    </row>
    <row r="1591" spans="1:4" x14ac:dyDescent="0.45">
      <c r="A1591">
        <f>ROW()</f>
        <v>1591</v>
      </c>
      <c r="B1591" t="str">
        <f>Profile!A1644</f>
        <v>NetDevFuncCapabilities</v>
      </c>
      <c r="C1591">
        <f>Profile!AP1646</f>
        <v>0</v>
      </c>
      <c r="D1591" t="str">
        <f>IF(Profile!C1644="Profile",IF(Profile!A1646="ResourceRequirement","OK","XXX"),"XXX")</f>
        <v>XXX</v>
      </c>
    </row>
    <row r="1592" spans="1:4" x14ac:dyDescent="0.45">
      <c r="A1592">
        <f>ROW()</f>
        <v>1592</v>
      </c>
      <c r="B1592" t="str">
        <f>Profile!A1645</f>
        <v>NetDevFuncType</v>
      </c>
      <c r="C1592">
        <f>Profile!AP1647</f>
        <v>0</v>
      </c>
      <c r="D1592" t="str">
        <f>IF(Profile!C1645="Profile",IF(Profile!A1647="ResourceRequirement","OK","XXX"),"XXX")</f>
        <v>XXX</v>
      </c>
    </row>
    <row r="1593" spans="1:4" x14ac:dyDescent="0.45">
      <c r="A1593">
        <f>ROW()</f>
        <v>1593</v>
      </c>
      <c r="B1593" t="str">
        <f>Profile!A1646</f>
        <v>PhysicalPortAssignment</v>
      </c>
      <c r="C1593">
        <f>Profile!AP1648</f>
        <v>0</v>
      </c>
      <c r="D1593" t="str">
        <f>IF(Profile!C1646="Profile",IF(Profile!A1648="ResourceRequirement","OK","XXX"),"XXX")</f>
        <v>XXX</v>
      </c>
    </row>
    <row r="1594" spans="1:4" x14ac:dyDescent="0.45">
      <c r="A1594">
        <f>ROW()</f>
        <v>1594</v>
      </c>
      <c r="B1594" t="str">
        <f>Profile!A1647</f>
        <v xml:space="preserve">   @odata.id</v>
      </c>
      <c r="C1594">
        <f>Profile!AP1651</f>
        <v>0</v>
      </c>
      <c r="D1594" t="str">
        <f>IF(Profile!C1647="Profile",IF(Profile!A1651="ResourceRequirement","OK","XXX"),"XXX")</f>
        <v>XXX</v>
      </c>
    </row>
    <row r="1595" spans="1:4" x14ac:dyDescent="0.45">
      <c r="A1595">
        <f>ROW()</f>
        <v>1595</v>
      </c>
      <c r="B1595" t="str">
        <f>Profile!A1648</f>
        <v>Status</v>
      </c>
      <c r="C1595">
        <f>Profile!AP1652</f>
        <v>0</v>
      </c>
      <c r="D1595" t="str">
        <f>IF(Profile!C1648="Profile",IF(Profile!A1652="ResourceRequirement","OK","XXX"),"XXX")</f>
        <v>XXX</v>
      </c>
    </row>
    <row r="1596" spans="1:4" x14ac:dyDescent="0.45">
      <c r="A1596">
        <f>ROW()</f>
        <v>1596</v>
      </c>
      <c r="B1596" t="str">
        <f>Profile!A1651</f>
        <v>VirtualFunctionsEnabled</v>
      </c>
      <c r="C1596">
        <f>Profile!AP1653</f>
        <v>0</v>
      </c>
      <c r="D1596" t="str">
        <f>IF(Profile!C1651="Profile",IF(Profile!A1653="ResourceRequirement","OK","XXX"),"XXX")</f>
        <v>XXX</v>
      </c>
    </row>
    <row r="1597" spans="1:4" x14ac:dyDescent="0.45">
      <c r="A1597">
        <f>ROW()</f>
        <v>1597</v>
      </c>
      <c r="B1597" t="str">
        <f>Profile!A1652</f>
        <v>iSCSIBoot</v>
      </c>
      <c r="C1597">
        <f>Profile!AP1654</f>
        <v>0</v>
      </c>
      <c r="D1597" t="str">
        <f>IF(Profile!C1652="Profile",IF(Profile!A1654="ResourceRequirement","OK","XXX"),"XXX")</f>
        <v>XXX</v>
      </c>
    </row>
    <row r="1598" spans="1:4" x14ac:dyDescent="0.45">
      <c r="A1598">
        <f>ROW()</f>
        <v>1598</v>
      </c>
      <c r="B1598" t="str">
        <f>Profile!A1653</f>
        <v xml:space="preserve">   AuthenticationMethod</v>
      </c>
      <c r="C1598">
        <f>Profile!AP1655</f>
        <v>0</v>
      </c>
      <c r="D1598" t="str">
        <f>IF(Profile!C1653="Profile",IF(Profile!A1655="ResourceRequirement","OK","XXX"),"XXX")</f>
        <v>XXX</v>
      </c>
    </row>
    <row r="1599" spans="1:4" x14ac:dyDescent="0.45">
      <c r="A1599">
        <f>ROW()</f>
        <v>1599</v>
      </c>
      <c r="B1599" t="str">
        <f>Profile!A1654</f>
        <v xml:space="preserve">   CHAPSecret</v>
      </c>
      <c r="C1599">
        <f>Profile!AP1656</f>
        <v>0</v>
      </c>
      <c r="D1599" t="str">
        <f>IF(Profile!C1654="Profile",IF(Profile!A1656="ResourceRequirement","OK","XXX"),"XXX")</f>
        <v>XXX</v>
      </c>
    </row>
    <row r="1600" spans="1:4" x14ac:dyDescent="0.45">
      <c r="A1600">
        <f>ROW()</f>
        <v>1600</v>
      </c>
      <c r="B1600" t="str">
        <f>Profile!A1655</f>
        <v xml:space="preserve">   CHAPUsername</v>
      </c>
      <c r="C1600">
        <f>Profile!AP1657</f>
        <v>0</v>
      </c>
      <c r="D1600" t="str">
        <f>IF(Profile!C1655="Profile",IF(Profile!A1657="ResourceRequirement","OK","XXX"),"XXX")</f>
        <v>XXX</v>
      </c>
    </row>
    <row r="1601" spans="1:4" x14ac:dyDescent="0.45">
      <c r="A1601">
        <f>ROW()</f>
        <v>1601</v>
      </c>
      <c r="B1601" t="str">
        <f>Profile!A1656</f>
        <v xml:space="preserve">   IPAddressType</v>
      </c>
      <c r="C1601">
        <f>Profile!AP1658</f>
        <v>0</v>
      </c>
      <c r="D1601" t="str">
        <f>IF(Profile!C1656="Profile",IF(Profile!A1658="ResourceRequirement","OK","XXX"),"XXX")</f>
        <v>XXX</v>
      </c>
    </row>
    <row r="1602" spans="1:4" x14ac:dyDescent="0.45">
      <c r="A1602">
        <f>ROW()</f>
        <v>1602</v>
      </c>
      <c r="B1602" t="str">
        <f>Profile!A1657</f>
        <v xml:space="preserve">   IPMaskDNSViaDHCP</v>
      </c>
      <c r="C1602">
        <f>Profile!AP1659</f>
        <v>0</v>
      </c>
      <c r="D1602" t="str">
        <f>IF(Profile!C1657="Profile",IF(Profile!A1659="ResourceRequirement","OK","XXX"),"XXX")</f>
        <v>XXX</v>
      </c>
    </row>
    <row r="1603" spans="1:4" x14ac:dyDescent="0.45">
      <c r="A1603">
        <f>ROW()</f>
        <v>1603</v>
      </c>
      <c r="B1603" t="str">
        <f>Profile!A1658</f>
        <v xml:space="preserve">   InitiatorDefaultGateway</v>
      </c>
      <c r="C1603">
        <f>Profile!AP1660</f>
        <v>0</v>
      </c>
      <c r="D1603" t="str">
        <f>IF(Profile!C1658="Profile",IF(Profile!A1660="ResourceRequirement","OK","XXX"),"XXX")</f>
        <v>XXX</v>
      </c>
    </row>
    <row r="1604" spans="1:4" x14ac:dyDescent="0.45">
      <c r="A1604">
        <f>ROW()</f>
        <v>1604</v>
      </c>
      <c r="B1604" t="str">
        <f>Profile!A1659</f>
        <v xml:space="preserve">   InitiatorIPAddress</v>
      </c>
      <c r="C1604">
        <f>Profile!AP1661</f>
        <v>0</v>
      </c>
      <c r="D1604" t="str">
        <f>IF(Profile!C1659="Profile",IF(Profile!A1661="ResourceRequirement","OK","XXX"),"XXX")</f>
        <v>XXX</v>
      </c>
    </row>
    <row r="1605" spans="1:4" x14ac:dyDescent="0.45">
      <c r="A1605">
        <f>ROW()</f>
        <v>1605</v>
      </c>
      <c r="B1605" t="str">
        <f>Profile!A1660</f>
        <v xml:space="preserve">   InitiatorName</v>
      </c>
      <c r="C1605">
        <f>Profile!AP1662</f>
        <v>0</v>
      </c>
      <c r="D1605" t="str">
        <f>IF(Profile!C1660="Profile",IF(Profile!A1662="ResourceRequirement","OK","XXX"),"XXX")</f>
        <v>XXX</v>
      </c>
    </row>
    <row r="1606" spans="1:4" x14ac:dyDescent="0.45">
      <c r="A1606">
        <f>ROW()</f>
        <v>1606</v>
      </c>
      <c r="B1606" t="str">
        <f>Profile!A1661</f>
        <v xml:space="preserve">   InitiatorNetmask</v>
      </c>
      <c r="C1606">
        <f>Profile!AP1663</f>
        <v>0</v>
      </c>
      <c r="D1606" t="str">
        <f>IF(Profile!C1661="Profile",IF(Profile!A1663="ResourceRequirement","OK","XXX"),"XXX")</f>
        <v>XXX</v>
      </c>
    </row>
    <row r="1607" spans="1:4" x14ac:dyDescent="0.45">
      <c r="A1607">
        <f>ROW()</f>
        <v>1607</v>
      </c>
      <c r="B1607" t="str">
        <f>Profile!A1662</f>
        <v xml:space="preserve">   MutualCHAPSecret</v>
      </c>
      <c r="C1607">
        <f>Profile!AP1664</f>
        <v>0</v>
      </c>
      <c r="D1607" t="str">
        <f>IF(Profile!C1662="Profile",IF(Profile!A1664="ResourceRequirement","OK","XXX"),"XXX")</f>
        <v>XXX</v>
      </c>
    </row>
    <row r="1608" spans="1:4" x14ac:dyDescent="0.45">
      <c r="A1608">
        <f>ROW()</f>
        <v>1608</v>
      </c>
      <c r="B1608" t="str">
        <f>Profile!A1663</f>
        <v xml:space="preserve">   MutualCHAPUsername</v>
      </c>
      <c r="C1608">
        <f>Profile!AP1665</f>
        <v>0</v>
      </c>
      <c r="D1608" t="str">
        <f>IF(Profile!C1663="Profile",IF(Profile!A1665="ResourceRequirement","OK","XXX"),"XXX")</f>
        <v>XXX</v>
      </c>
    </row>
    <row r="1609" spans="1:4" x14ac:dyDescent="0.45">
      <c r="A1609">
        <f>ROW()</f>
        <v>1609</v>
      </c>
      <c r="B1609" t="str">
        <f>Profile!A1664</f>
        <v xml:space="preserve">   PrimaryDNS</v>
      </c>
      <c r="C1609">
        <f>Profile!AP1666</f>
        <v>0</v>
      </c>
      <c r="D1609" t="str">
        <f>IF(Profile!C1664="Profile",IF(Profile!A1666="ResourceRequirement","OK","XXX"),"XXX")</f>
        <v>XXX</v>
      </c>
    </row>
    <row r="1610" spans="1:4" x14ac:dyDescent="0.45">
      <c r="A1610">
        <f>ROW()</f>
        <v>1610</v>
      </c>
      <c r="B1610" t="str">
        <f>Profile!A1665</f>
        <v xml:space="preserve">   PrimaryLUN</v>
      </c>
      <c r="C1610">
        <f>Profile!AP1667</f>
        <v>0</v>
      </c>
      <c r="D1610" t="str">
        <f>IF(Profile!C1665="Profile",IF(Profile!A1667="ResourceRequirement","OK","XXX"),"XXX")</f>
        <v>XXX</v>
      </c>
    </row>
    <row r="1611" spans="1:4" x14ac:dyDescent="0.45">
      <c r="A1611">
        <f>ROW()</f>
        <v>1611</v>
      </c>
      <c r="B1611" t="str">
        <f>Profile!A1666</f>
        <v xml:space="preserve">   PrimaryTargetIPAddress</v>
      </c>
      <c r="C1611">
        <f>Profile!AP1668</f>
        <v>0</v>
      </c>
      <c r="D1611" t="str">
        <f>IF(Profile!C1666="Profile",IF(Profile!A1668="ResourceRequirement","OK","XXX"),"XXX")</f>
        <v>XXX</v>
      </c>
    </row>
    <row r="1612" spans="1:4" x14ac:dyDescent="0.45">
      <c r="A1612">
        <f>ROW()</f>
        <v>1612</v>
      </c>
      <c r="B1612" t="str">
        <f>Profile!A1667</f>
        <v xml:space="preserve">   PrimaryTargetName</v>
      </c>
      <c r="C1612">
        <f>Profile!AP1669</f>
        <v>0</v>
      </c>
      <c r="D1612" t="str">
        <f>IF(Profile!C1667="Profile",IF(Profile!A1669="ResourceRequirement","OK","XXX"),"XXX")</f>
        <v>XXX</v>
      </c>
    </row>
    <row r="1613" spans="1:4" x14ac:dyDescent="0.45">
      <c r="A1613">
        <f>ROW()</f>
        <v>1613</v>
      </c>
      <c r="B1613" t="str">
        <f>Profile!A1668</f>
        <v xml:space="preserve">   PrimaryTargetTCPPort</v>
      </c>
      <c r="C1613">
        <f>Profile!AP1670</f>
        <v>0</v>
      </c>
      <c r="D1613" t="str">
        <f>IF(Profile!C1668="Profile",IF(Profile!A1670="ResourceRequirement","OK","XXX"),"XXX")</f>
        <v>XXX</v>
      </c>
    </row>
    <row r="1614" spans="1:4" x14ac:dyDescent="0.45">
      <c r="A1614">
        <f>ROW()</f>
        <v>1614</v>
      </c>
      <c r="B1614" t="str">
        <f>Profile!A1669</f>
        <v xml:space="preserve">   PrimaryVLANEnable</v>
      </c>
      <c r="C1614">
        <f>Profile!AP1671</f>
        <v>0</v>
      </c>
      <c r="D1614" t="str">
        <f>IF(Profile!C1669="Profile",IF(Profile!A1671="ResourceRequirement","OK","XXX"),"XXX")</f>
        <v>XXX</v>
      </c>
    </row>
    <row r="1615" spans="1:4" x14ac:dyDescent="0.45">
      <c r="A1615">
        <f>ROW()</f>
        <v>1615</v>
      </c>
      <c r="B1615" t="str">
        <f>Profile!A1670</f>
        <v xml:space="preserve">   PrimaryVLANId</v>
      </c>
      <c r="C1615">
        <f>Profile!AP1672</f>
        <v>0</v>
      </c>
      <c r="D1615" t="str">
        <f>IF(Profile!C1670="Profile",IF(Profile!A1672="ResourceRequirement","OK","XXX"),"XXX")</f>
        <v>XXX</v>
      </c>
    </row>
    <row r="1616" spans="1:4" x14ac:dyDescent="0.45">
      <c r="A1616">
        <f>ROW()</f>
        <v>1616</v>
      </c>
      <c r="B1616" t="str">
        <f>Profile!A1671</f>
        <v xml:space="preserve">   RouterAdvertisementEnabled</v>
      </c>
      <c r="C1616">
        <f>Profile!AP1673</f>
        <v>0</v>
      </c>
      <c r="D1616" t="str">
        <f>IF(Profile!C1671="Profile",IF(Profile!A1673="ResourceRequirement","OK","XXX"),"XXX")</f>
        <v>XXX</v>
      </c>
    </row>
    <row r="1617" spans="1:4" x14ac:dyDescent="0.45">
      <c r="A1617">
        <f>ROW()</f>
        <v>1617</v>
      </c>
      <c r="B1617" t="str">
        <f>Profile!A1672</f>
        <v xml:space="preserve">   SecondaryDNS</v>
      </c>
      <c r="C1617">
        <f>Profile!AP1674</f>
        <v>0</v>
      </c>
      <c r="D1617" t="str">
        <f>IF(Profile!C1672="Profile",IF(Profile!A1674="ResourceRequirement","OK","XXX"),"XXX")</f>
        <v>XXX</v>
      </c>
    </row>
    <row r="1618" spans="1:4" x14ac:dyDescent="0.45">
      <c r="A1618">
        <f>ROW()</f>
        <v>1618</v>
      </c>
      <c r="B1618" t="str">
        <f>Profile!A1673</f>
        <v xml:space="preserve">   SecondaryLUN</v>
      </c>
      <c r="C1618">
        <f>Profile!AP1675</f>
        <v>0</v>
      </c>
      <c r="D1618" t="str">
        <f>IF(Profile!C1673="Profile",IF(Profile!A1675="ResourceRequirement","OK","XXX"),"XXX")</f>
        <v>XXX</v>
      </c>
    </row>
    <row r="1619" spans="1:4" x14ac:dyDescent="0.45">
      <c r="A1619">
        <f>ROW()</f>
        <v>1619</v>
      </c>
      <c r="B1619" t="str">
        <f>Profile!A1674</f>
        <v xml:space="preserve">   SecondaryTargetIPAddress</v>
      </c>
      <c r="C1619">
        <f>Profile!AP1676</f>
        <v>0</v>
      </c>
      <c r="D1619" t="str">
        <f>IF(Profile!C1674="Profile",IF(Profile!A1676="ResourceRequirement","OK","XXX"),"XXX")</f>
        <v>XXX</v>
      </c>
    </row>
    <row r="1620" spans="1:4" x14ac:dyDescent="0.45">
      <c r="A1620">
        <f>ROW()</f>
        <v>1620</v>
      </c>
      <c r="B1620" t="str">
        <f>Profile!A1675</f>
        <v xml:space="preserve">   SecondaryTargetName</v>
      </c>
      <c r="C1620">
        <f>Profile!AP1677</f>
        <v>0</v>
      </c>
      <c r="D1620" t="str">
        <f>IF(Profile!C1675="Profile",IF(Profile!A1677="ResourceRequirement","OK","XXX"),"XXX")</f>
        <v>XXX</v>
      </c>
    </row>
    <row r="1621" spans="1:4" x14ac:dyDescent="0.45">
      <c r="A1621">
        <f>ROW()</f>
        <v>1621</v>
      </c>
      <c r="B1621" t="str">
        <f>Profile!A1676</f>
        <v xml:space="preserve">   SecondaryTargetTCPPort</v>
      </c>
      <c r="C1621">
        <f>Profile!AP1678</f>
        <v>0</v>
      </c>
      <c r="D1621" t="str">
        <f>IF(Profile!C1676="Profile",IF(Profile!A1678="ResourceRequirement","OK","XXX"),"XXX")</f>
        <v>XXX</v>
      </c>
    </row>
    <row r="1622" spans="1:4" x14ac:dyDescent="0.45">
      <c r="A1622">
        <f>ROW()</f>
        <v>1622</v>
      </c>
      <c r="B1622" t="str">
        <f>Profile!A1677</f>
        <v xml:space="preserve">   SecondaryVLANEnable</v>
      </c>
      <c r="C1622">
        <f>Profile!AP1679</f>
        <v>0</v>
      </c>
      <c r="D1622" t="str">
        <f>IF(Profile!C1677="Profile",IF(Profile!A1679="ResourceRequirement","OK","XXX"),"XXX")</f>
        <v>XXX</v>
      </c>
    </row>
    <row r="1623" spans="1:4" x14ac:dyDescent="0.45">
      <c r="A1623">
        <f>ROW()</f>
        <v>1623</v>
      </c>
      <c r="B1623" t="str">
        <f>Profile!A1678</f>
        <v xml:space="preserve">   SecondaryVLANId</v>
      </c>
      <c r="C1623">
        <f>Profile!AP1680</f>
        <v>0</v>
      </c>
      <c r="D1623" t="str">
        <f>IF(Profile!C1678="Profile",IF(Profile!A1680="ResourceRequirement","OK","XXX"),"XXX")</f>
        <v>XXX</v>
      </c>
    </row>
    <row r="1624" spans="1:4" x14ac:dyDescent="0.45">
      <c r="A1624">
        <f>ROW()</f>
        <v>1624</v>
      </c>
      <c r="B1624" t="str">
        <f>Profile!A1679</f>
        <v xml:space="preserve">   TargetInfoViaDHCP</v>
      </c>
      <c r="C1624">
        <f>Profile!AP1681</f>
        <v>0</v>
      </c>
      <c r="D1624" t="str">
        <f>IF(Profile!C1679="Profile",IF(Profile!A1681="ResourceRequirement","OK","XXX"),"XXX")</f>
        <v>XXX</v>
      </c>
    </row>
    <row r="1625" spans="1:4" x14ac:dyDescent="0.45">
      <c r="A1625">
        <f>ROW()</f>
        <v>1625</v>
      </c>
      <c r="B1625" t="str">
        <f>Profile!A1680</f>
        <v>NetworkDeviceFunction URIs</v>
      </c>
      <c r="C1625">
        <f>Profile!AP1682</f>
        <v>0</v>
      </c>
      <c r="D1625" t="str">
        <f>IF(Profile!C1680="Profile",IF(Profile!A1682="ResourceRequirement","OK","XXX"),"XXX")</f>
        <v>XXX</v>
      </c>
    </row>
    <row r="1626" spans="1:4" x14ac:dyDescent="0.45">
      <c r="A1626">
        <f>ROW()</f>
        <v>1626</v>
      </c>
      <c r="B1626" t="str">
        <f>Profile!A1681</f>
        <v>/redfish/v1/Chassis/{ChassisId}/NetworkAdapters/{NetworkAdapterId}/NetworkDeviceFunctions/{NetworkDeviceFunctionId}</v>
      </c>
      <c r="C1626">
        <f>Profile!AP1683</f>
        <v>0</v>
      </c>
      <c r="D1626" t="str">
        <f>IF(Profile!C1681="Profile",IF(Profile!A1683="ResourceRequirement","OK","XXX"),"XXX")</f>
        <v>XXX</v>
      </c>
    </row>
    <row r="1627" spans="1:4" x14ac:dyDescent="0.45">
      <c r="A1627">
        <f>ROW()</f>
        <v>1627</v>
      </c>
      <c r="B1627">
        <f>Profile!A1682</f>
        <v>0</v>
      </c>
      <c r="C1627">
        <f>Profile!AP1684</f>
        <v>0</v>
      </c>
      <c r="D1627" t="str">
        <f>IF(Profile!C1682="Profile",IF(Profile!A1684="ResourceRequirement","OK","XXX"),"XXX")</f>
        <v>XXX</v>
      </c>
    </row>
    <row r="1628" spans="1:4" x14ac:dyDescent="0.45">
      <c r="A1628">
        <f>ROW()</f>
        <v>1628</v>
      </c>
      <c r="B1628" t="str">
        <f>Profile!A1683</f>
        <v>1.1.5.5               NetworkInterface</v>
      </c>
      <c r="C1628">
        <f>Profile!AP1685</f>
        <v>0</v>
      </c>
      <c r="D1628" t="str">
        <f>IF(Profile!C1683="Profile",IF(Profile!A1685="ResourceRequirement","OK","XXX"),"XXX")</f>
        <v>XXX</v>
      </c>
    </row>
    <row r="1629" spans="1:4" x14ac:dyDescent="0.45">
      <c r="A1629">
        <f>ROW()</f>
        <v>1629</v>
      </c>
      <c r="B1629" t="str">
        <f>Profile!A1684</f>
        <v>The NetworkInterface resource contains references linking NetworkAdapter, NetworkPort, and NetworkDeviceFunction resources and represents the functionality available to the containing system. EthernetInterface and NetworkInterface resources address the similar functionality using simple or complex schema structures. An implemented profile would use EthernetInterface or NetworkInterface, never both resources.</v>
      </c>
      <c r="C1629">
        <f>Profile!AP1686</f>
        <v>0</v>
      </c>
      <c r="D1629" t="str">
        <f>IF(Profile!C1684="Profile",IF(Profile!A1686="ResourceRequirement","OK","XXX"),"XXX")</f>
        <v>XXX</v>
      </c>
    </row>
    <row r="1630" spans="1:4" x14ac:dyDescent="0.45">
      <c r="A1630">
        <f>ROW()</f>
        <v>1630</v>
      </c>
      <c r="B1630" t="str">
        <f>Profile!A1685</f>
        <v>Table 50: O-PAS Profile Map for the Redfish NetworkInterface Resource</v>
      </c>
      <c r="C1630">
        <f>Profile!AP1687</f>
        <v>0</v>
      </c>
      <c r="D1630" t="str">
        <f>IF(Profile!C1685="Profile",IF(Profile!A1687="ResourceRequirement","OK","XXX"),"XXX")</f>
        <v>XXX</v>
      </c>
    </row>
    <row r="1631" spans="1:4" x14ac:dyDescent="0.45">
      <c r="A1631">
        <f>ROW()</f>
        <v>1631</v>
      </c>
      <c r="B1631" t="str">
        <f>Profile!A1686</f>
        <v>NetworkInterface (1.1.1)</v>
      </c>
      <c r="C1631">
        <f>Profile!AP1688</f>
        <v>0</v>
      </c>
      <c r="D1631" t="str">
        <f>IF(Profile!C1686="Profile",IF(Profile!A1688="ResourceRequirement","OK","XXX"),"XXX")</f>
        <v>XXX</v>
      </c>
    </row>
    <row r="1632" spans="1:4" x14ac:dyDescent="0.45">
      <c r="A1632">
        <f>ROW()</f>
        <v>1632</v>
      </c>
      <c r="B1632">
        <f>Profile!A1687</f>
        <v>0</v>
      </c>
      <c r="C1632">
        <f>Profile!AP1689</f>
        <v>0</v>
      </c>
      <c r="D1632" t="str">
        <f>IF(Profile!C1687="Profile",IF(Profile!A1689="ResourceRequirement","OK","XXX"),"XXX")</f>
        <v>XXX</v>
      </c>
    </row>
    <row r="1633" spans="1:4" x14ac:dyDescent="0.45">
      <c r="A1633">
        <f>ROW()</f>
        <v>1633</v>
      </c>
      <c r="B1633" t="str">
        <f>Profile!A1688</f>
        <v>NetworkInterface (1.1.2)</v>
      </c>
      <c r="C1633">
        <f>Profile!AP1690</f>
        <v>39</v>
      </c>
      <c r="D1633" t="str">
        <f>IF(Profile!C1688="Profile",IF(Profile!A1690="ResourceRequirement","OK","XXX"),"XXX")</f>
        <v>OK</v>
      </c>
    </row>
    <row r="1634" spans="1:4" x14ac:dyDescent="0.45">
      <c r="A1634">
        <f>ROW()</f>
        <v>1634</v>
      </c>
      <c r="B1634">
        <f>Profile!A1689</f>
        <v>0</v>
      </c>
      <c r="C1634">
        <f>Profile!AP1691</f>
        <v>0</v>
      </c>
      <c r="D1634" t="str">
        <f>IF(Profile!C1689="Profile",IF(Profile!A1691="ResourceRequirement","OK","XXX"),"XXX")</f>
        <v>XXX</v>
      </c>
    </row>
    <row r="1635" spans="1:4" x14ac:dyDescent="0.45">
      <c r="A1635">
        <f>ROW()</f>
        <v>1635</v>
      </c>
      <c r="B1635" t="str">
        <f>Profile!A1690</f>
        <v>ResourceRequirement</v>
      </c>
      <c r="C1635">
        <f>Profile!AP1692</f>
        <v>0</v>
      </c>
      <c r="D1635" t="str">
        <f>IF(Profile!C1690="Profile",IF(Profile!A1692="ResourceRequirement","OK","XXX"),"XXX")</f>
        <v>XXX</v>
      </c>
    </row>
    <row r="1636" spans="1:4" x14ac:dyDescent="0.45">
      <c r="A1636">
        <f>ROW()</f>
        <v>1636</v>
      </c>
      <c r="B1636" t="str">
        <f>Profile!A1691</f>
        <v>Resource MinVersion</v>
      </c>
      <c r="C1636">
        <f>Profile!AP1693</f>
        <v>0</v>
      </c>
      <c r="D1636" t="str">
        <f>IF(Profile!C1691="Profile",IF(Profile!A1693="ResourceRequirement","OK","XXX"),"XXX")</f>
        <v>XXX</v>
      </c>
    </row>
    <row r="1637" spans="1:4" x14ac:dyDescent="0.45">
      <c r="A1637">
        <f>ROW()</f>
        <v>1637</v>
      </c>
      <c r="B1637" t="str">
        <f>Profile!A1692</f>
        <v>Property</v>
      </c>
      <c r="C1637">
        <f>Profile!AP1694</f>
        <v>0</v>
      </c>
      <c r="D1637" t="str">
        <f>IF(Profile!C1692="Profile",IF(Profile!A1694="ResourceRequirement","OK","XXX"),"XXX")</f>
        <v>XXX</v>
      </c>
    </row>
    <row r="1638" spans="1:4" x14ac:dyDescent="0.45">
      <c r="A1638">
        <f>ROW()</f>
        <v>1638</v>
      </c>
      <c r="B1638" t="str">
        <f>Profile!A1693</f>
        <v>Actions</v>
      </c>
      <c r="C1638">
        <f>Profile!AP1695</f>
        <v>0</v>
      </c>
      <c r="D1638" t="str">
        <f>IF(Profile!C1693="Profile",IF(Profile!A1695="ResourceRequirement","OK","XXX"),"XXX")</f>
        <v>XXX</v>
      </c>
    </row>
    <row r="1639" spans="1:4" x14ac:dyDescent="0.45">
      <c r="A1639">
        <f>ROW()</f>
        <v>1639</v>
      </c>
      <c r="B1639" t="str">
        <f>Profile!A1694</f>
        <v>Links</v>
      </c>
      <c r="C1639">
        <f>Profile!AP1696</f>
        <v>0</v>
      </c>
      <c r="D1639" t="str">
        <f>IF(Profile!C1694="Profile",IF(Profile!A1696="ResourceRequirement","OK","XXX"),"XXX")</f>
        <v>XXX</v>
      </c>
    </row>
    <row r="1640" spans="1:4" x14ac:dyDescent="0.45">
      <c r="A1640">
        <f>ROW()</f>
        <v>1640</v>
      </c>
      <c r="B1640" t="str">
        <f>Profile!A1695</f>
        <v xml:space="preserve">   NetworkAdapter</v>
      </c>
      <c r="C1640">
        <f>Profile!AP1697</f>
        <v>0</v>
      </c>
      <c r="D1640" t="str">
        <f>IF(Profile!C1695="Profile",IF(Profile!A1697="ResourceRequirement","OK","XXX"),"XXX")</f>
        <v>XXX</v>
      </c>
    </row>
    <row r="1641" spans="1:4" x14ac:dyDescent="0.45">
      <c r="A1641">
        <f>ROW()</f>
        <v>1641</v>
      </c>
      <c r="B1641" t="str">
        <f>Profile!A1696</f>
        <v xml:space="preserve">      @odata.id</v>
      </c>
      <c r="C1641">
        <f>Profile!AP1698</f>
        <v>0</v>
      </c>
      <c r="D1641" t="str">
        <f>IF(Profile!C1696="Profile",IF(Profile!A1698="ResourceRequirement","OK","XXX"),"XXX")</f>
        <v>XXX</v>
      </c>
    </row>
    <row r="1642" spans="1:4" x14ac:dyDescent="0.45">
      <c r="A1642">
        <f>ROW()</f>
        <v>1642</v>
      </c>
      <c r="B1642" t="str">
        <f>Profile!A1697</f>
        <v xml:space="preserve">   Oem</v>
      </c>
      <c r="C1642">
        <f>Profile!AP1699</f>
        <v>0</v>
      </c>
      <c r="D1642" t="str">
        <f>IF(Profile!C1697="Profile",IF(Profile!A1699="ResourceRequirement","OK","XXX"),"XXX")</f>
        <v>XXX</v>
      </c>
    </row>
    <row r="1643" spans="1:4" x14ac:dyDescent="0.45">
      <c r="A1643">
        <f>ROW()</f>
        <v>1643</v>
      </c>
      <c r="B1643" t="str">
        <f>Profile!A1698</f>
        <v>NetworkDeviceFunctions</v>
      </c>
      <c r="C1643">
        <f>Profile!AP1702</f>
        <v>0</v>
      </c>
      <c r="D1643" t="str">
        <f>IF(Profile!C1698="Profile",IF(Profile!A1702="ResourceRequirement","OK","XXX"),"XXX")</f>
        <v>XXX</v>
      </c>
    </row>
    <row r="1644" spans="1:4" x14ac:dyDescent="0.45">
      <c r="A1644">
        <f>ROW()</f>
        <v>1644</v>
      </c>
      <c r="B1644" t="str">
        <f>Profile!A1699</f>
        <v xml:space="preserve">   @odata.id</v>
      </c>
      <c r="C1644">
        <f>Profile!AP1703</f>
        <v>0</v>
      </c>
      <c r="D1644" t="str">
        <f>IF(Profile!C1699="Profile",IF(Profile!A1703="ResourceRequirement","OK","XXX"),"XXX")</f>
        <v>XXX</v>
      </c>
    </row>
    <row r="1645" spans="1:4" x14ac:dyDescent="0.45">
      <c r="A1645">
        <f>ROW()</f>
        <v>1645</v>
      </c>
      <c r="B1645" t="str">
        <f>Profile!A1702</f>
        <v>Ports</v>
      </c>
      <c r="C1645">
        <f>Profile!AP1704</f>
        <v>0</v>
      </c>
      <c r="D1645" t="str">
        <f>IF(Profile!C1702="Profile",IF(Profile!A1704="ResourceRequirement","OK","XXX"),"XXX")</f>
        <v>XXX</v>
      </c>
    </row>
    <row r="1646" spans="1:4" x14ac:dyDescent="0.45">
      <c r="A1646">
        <f>ROW()</f>
        <v>1646</v>
      </c>
      <c r="B1646" t="str">
        <f>Profile!A1703</f>
        <v xml:space="preserve">   @odata.id</v>
      </c>
      <c r="C1646">
        <f>Profile!AP1707</f>
        <v>0</v>
      </c>
      <c r="D1646" t="str">
        <f>IF(Profile!C1703="Profile",IF(Profile!A1707="ResourceRequirement","OK","XXX"),"XXX")</f>
        <v>XXX</v>
      </c>
    </row>
    <row r="1647" spans="1:4" x14ac:dyDescent="0.45">
      <c r="A1647">
        <f>ROW()</f>
        <v>1647</v>
      </c>
      <c r="B1647" t="str">
        <f>Profile!A1704</f>
        <v>Status</v>
      </c>
      <c r="C1647">
        <f>Profile!AP1708</f>
        <v>0</v>
      </c>
      <c r="D1647" t="str">
        <f>IF(Profile!C1704="Profile",IF(Profile!A1708="ResourceRequirement","OK","XXX"),"XXX")</f>
        <v>XXX</v>
      </c>
    </row>
    <row r="1648" spans="1:4" x14ac:dyDescent="0.45">
      <c r="A1648">
        <f>ROW()</f>
        <v>1648</v>
      </c>
      <c r="B1648" t="str">
        <f>Profile!A1707</f>
        <v>NetworkInterface URIs</v>
      </c>
      <c r="C1648">
        <f>Profile!AP1709</f>
        <v>0</v>
      </c>
      <c r="D1648" t="str">
        <f>IF(Profile!C1707="Profile",IF(Profile!A1709="ResourceRequirement","OK","XXX"),"XXX")</f>
        <v>XXX</v>
      </c>
    </row>
    <row r="1649" spans="1:4" x14ac:dyDescent="0.45">
      <c r="A1649">
        <f>ROW()</f>
        <v>1649</v>
      </c>
      <c r="B1649" t="str">
        <f>Profile!A1708</f>
        <v>/redfish/v1/Systems/{ComputerSystemId}/NetworkInterfaces/{NetworkInterfaceId}</v>
      </c>
      <c r="C1649">
        <f>Profile!AP1710</f>
        <v>0</v>
      </c>
      <c r="D1649" t="str">
        <f>IF(Profile!C1708="Profile",IF(Profile!A1710="ResourceRequirement","OK","XXX"),"XXX")</f>
        <v>XXX</v>
      </c>
    </row>
    <row r="1650" spans="1:4" x14ac:dyDescent="0.45">
      <c r="A1650">
        <f>ROW()</f>
        <v>1650</v>
      </c>
      <c r="B1650">
        <f>Profile!A1709</f>
        <v>0</v>
      </c>
      <c r="C1650">
        <f>Profile!AP1711</f>
        <v>0</v>
      </c>
      <c r="D1650" t="str">
        <f>IF(Profile!C1709="Profile",IF(Profile!A1711="ResourceRequirement","OK","XXX"),"XXX")</f>
        <v>XXX</v>
      </c>
    </row>
    <row r="1651" spans="1:4" x14ac:dyDescent="0.45">
      <c r="A1651">
        <f>ROW()</f>
        <v>1651</v>
      </c>
      <c r="B1651" t="str">
        <f>Profile!A1710</f>
        <v>1.1.5.6               NetworkPort</v>
      </c>
      <c r="C1651">
        <f>Profile!AP1712</f>
        <v>0</v>
      </c>
      <c r="D1651" t="str">
        <f>IF(Profile!C1710="Profile",IF(Profile!A1712="ResourceRequirement","OK","XXX"),"XXX")</f>
        <v>XXX</v>
      </c>
    </row>
    <row r="1652" spans="1:4" x14ac:dyDescent="0.45">
      <c r="A1652">
        <f>ROW()</f>
        <v>1652</v>
      </c>
      <c r="B1652" t="str">
        <f>Profile!A1711</f>
        <v>A NetworkPort resource represents a discrete physical port capable of connecting to a network.</v>
      </c>
      <c r="C1652">
        <f>Profile!AP1713</f>
        <v>0</v>
      </c>
      <c r="D1652" t="str">
        <f>IF(Profile!C1711="Profile",IF(Profile!A1713="ResourceRequirement","OK","XXX"),"XXX")</f>
        <v>XXX</v>
      </c>
    </row>
    <row r="1653" spans="1:4" x14ac:dyDescent="0.45">
      <c r="A1653">
        <f>ROW()</f>
        <v>1653</v>
      </c>
      <c r="B1653" t="str">
        <f>Profile!A1712</f>
        <v>Table 51: O-PAS Profile Map for the Redfish NetworkPort Resource</v>
      </c>
      <c r="C1653">
        <f>Profile!AP1714</f>
        <v>0</v>
      </c>
      <c r="D1653" t="str">
        <f>IF(Profile!C1712="Profile",IF(Profile!A1714="ResourceRequirement","OK","XXX"),"XXX")</f>
        <v>XXX</v>
      </c>
    </row>
    <row r="1654" spans="1:4" x14ac:dyDescent="0.45">
      <c r="A1654">
        <f>ROW()</f>
        <v>1654</v>
      </c>
      <c r="B1654" t="str">
        <f>Profile!A1713</f>
        <v>NetworkPort (1.2.0)</v>
      </c>
      <c r="C1654">
        <f>Profile!AP1715</f>
        <v>0</v>
      </c>
      <c r="D1654" t="str">
        <f>IF(Profile!C1713="Profile",IF(Profile!A1715="ResourceRequirement","OK","XXX"),"XXX")</f>
        <v>XXX</v>
      </c>
    </row>
    <row r="1655" spans="1:4" x14ac:dyDescent="0.45">
      <c r="A1655">
        <f>ROW()</f>
        <v>1655</v>
      </c>
      <c r="B1655">
        <f>Profile!A1714</f>
        <v>0</v>
      </c>
      <c r="C1655">
        <f>Profile!AP1716</f>
        <v>0</v>
      </c>
      <c r="D1655" t="str">
        <f>IF(Profile!C1714="Profile",IF(Profile!A1716="ResourceRequirement","OK","XXX"),"XXX")</f>
        <v>XXX</v>
      </c>
    </row>
    <row r="1656" spans="1:4" x14ac:dyDescent="0.45">
      <c r="A1656">
        <f>ROW()</f>
        <v>1656</v>
      </c>
      <c r="B1656" t="str">
        <f>Profile!A1715</f>
        <v>NetworkPort (1.2.2)</v>
      </c>
      <c r="C1656">
        <f>Profile!AP1717</f>
        <v>40</v>
      </c>
      <c r="D1656" t="str">
        <f>IF(Profile!C1715="Profile",IF(Profile!A1717="ResourceRequirement","OK","XXX"),"XXX")</f>
        <v>OK</v>
      </c>
    </row>
    <row r="1657" spans="1:4" x14ac:dyDescent="0.45">
      <c r="A1657">
        <f>ROW()</f>
        <v>1657</v>
      </c>
      <c r="B1657">
        <f>Profile!A1716</f>
        <v>0</v>
      </c>
      <c r="C1657">
        <f>Profile!AP1718</f>
        <v>0</v>
      </c>
      <c r="D1657" t="str">
        <f>IF(Profile!C1716="Profile",IF(Profile!A1718="ResourceRequirement","OK","XXX"),"XXX")</f>
        <v>XXX</v>
      </c>
    </row>
    <row r="1658" spans="1:4" x14ac:dyDescent="0.45">
      <c r="A1658">
        <f>ROW()</f>
        <v>1658</v>
      </c>
      <c r="B1658" t="str">
        <f>Profile!A1717</f>
        <v>ResourceRequirement</v>
      </c>
      <c r="C1658">
        <f>Profile!AP1719</f>
        <v>0</v>
      </c>
      <c r="D1658" t="str">
        <f>IF(Profile!C1717="Profile",IF(Profile!A1719="ResourceRequirement","OK","XXX"),"XXX")</f>
        <v>XXX</v>
      </c>
    </row>
    <row r="1659" spans="1:4" x14ac:dyDescent="0.45">
      <c r="A1659">
        <f>ROW()</f>
        <v>1659</v>
      </c>
      <c r="B1659" t="str">
        <f>Profile!A1718</f>
        <v>Resource MinVersion</v>
      </c>
      <c r="C1659">
        <f>Profile!AP1720</f>
        <v>0</v>
      </c>
      <c r="D1659" t="str">
        <f>IF(Profile!C1718="Profile",IF(Profile!A1720="ResourceRequirement","OK","XXX"),"XXX")</f>
        <v>XXX</v>
      </c>
    </row>
    <row r="1660" spans="1:4" x14ac:dyDescent="0.45">
      <c r="A1660">
        <f>ROW()</f>
        <v>1660</v>
      </c>
      <c r="B1660" t="str">
        <f>Profile!A1719</f>
        <v>Property</v>
      </c>
      <c r="C1660">
        <f>Profile!AP1721</f>
        <v>0</v>
      </c>
      <c r="D1660" t="str">
        <f>IF(Profile!C1719="Profile",IF(Profile!A1721="ResourceRequirement","OK","XXX"),"XXX")</f>
        <v>XXX</v>
      </c>
    </row>
    <row r="1661" spans="1:4" x14ac:dyDescent="0.45">
      <c r="A1661">
        <f>ROW()</f>
        <v>1661</v>
      </c>
      <c r="B1661" t="str">
        <f>Profile!A1720</f>
        <v>Actions</v>
      </c>
      <c r="C1661">
        <f>Profile!AP1722</f>
        <v>0</v>
      </c>
      <c r="D1661" t="str">
        <f>IF(Profile!C1720="Profile",IF(Profile!A1722="ResourceRequirement","OK","XXX"),"XXX")</f>
        <v>XXX</v>
      </c>
    </row>
    <row r="1662" spans="1:4" x14ac:dyDescent="0.45">
      <c r="A1662">
        <f>ROW()</f>
        <v>1662</v>
      </c>
      <c r="B1662" t="str">
        <f>Profile!A1721</f>
        <v>ActiveLinkTechnology</v>
      </c>
      <c r="C1662">
        <f>Profile!AP1723</f>
        <v>0</v>
      </c>
      <c r="D1662" t="str">
        <f>IF(Profile!C1721="Profile",IF(Profile!A1723="ResourceRequirement","OK","XXX"),"XXX")</f>
        <v>XXX</v>
      </c>
    </row>
    <row r="1663" spans="1:4" x14ac:dyDescent="0.45">
      <c r="A1663">
        <f>ROW()</f>
        <v>1663</v>
      </c>
      <c r="B1663" t="str">
        <f>Profile!A1722</f>
        <v>AssociatedNetworkAddresses</v>
      </c>
      <c r="C1663">
        <f>Profile!AP1724</f>
        <v>0</v>
      </c>
      <c r="D1663" t="str">
        <f>IF(Profile!C1722="Profile",IF(Profile!A1724="ResourceRequirement","OK","XXX"),"XXX")</f>
        <v>XXX</v>
      </c>
    </row>
    <row r="1664" spans="1:4" x14ac:dyDescent="0.45">
      <c r="A1664">
        <f>ROW()</f>
        <v>1664</v>
      </c>
      <c r="B1664" t="str">
        <f>Profile!A1723</f>
        <v>CurrentLinkSpeedMbps</v>
      </c>
      <c r="C1664">
        <f>Profile!AP1725</f>
        <v>0</v>
      </c>
      <c r="D1664" t="str">
        <f>IF(Profile!C1723="Profile",IF(Profile!A1725="ResourceRequirement","OK","XXX"),"XXX")</f>
        <v>XXX</v>
      </c>
    </row>
    <row r="1665" spans="1:4" x14ac:dyDescent="0.45">
      <c r="A1665">
        <f>ROW()</f>
        <v>1665</v>
      </c>
      <c r="B1665" t="str">
        <f>Profile!A1724</f>
        <v>EEEEnabled</v>
      </c>
      <c r="C1665">
        <f>Profile!AP1726</f>
        <v>0</v>
      </c>
      <c r="D1665" t="str">
        <f>IF(Profile!C1724="Profile",IF(Profile!A1726="ResourceRequirement","OK","XXX"),"XXX")</f>
        <v>XXX</v>
      </c>
    </row>
    <row r="1666" spans="1:4" x14ac:dyDescent="0.45">
      <c r="A1666">
        <f>ROW()</f>
        <v>1666</v>
      </c>
      <c r="B1666" t="str">
        <f>Profile!A1725</f>
        <v>FCFabricName</v>
      </c>
      <c r="C1666">
        <f>Profile!AP1727</f>
        <v>0</v>
      </c>
      <c r="D1666" t="str">
        <f>IF(Profile!C1725="Profile",IF(Profile!A1727="ResourceRequirement","OK","XXX"),"XXX")</f>
        <v>XXX</v>
      </c>
    </row>
    <row r="1667" spans="1:4" x14ac:dyDescent="0.45">
      <c r="A1667">
        <f>ROW()</f>
        <v>1667</v>
      </c>
      <c r="B1667" t="str">
        <f>Profile!A1726</f>
        <v>FCPortConnectionType</v>
      </c>
      <c r="C1667">
        <f>Profile!AP1728</f>
        <v>0</v>
      </c>
      <c r="D1667" t="str">
        <f>IF(Profile!C1726="Profile",IF(Profile!A1728="ResourceRequirement","OK","XXX"),"XXX")</f>
        <v>XXX</v>
      </c>
    </row>
    <row r="1668" spans="1:4" x14ac:dyDescent="0.45">
      <c r="A1668">
        <f>ROW()</f>
        <v>1668</v>
      </c>
      <c r="B1668" t="str">
        <f>Profile!A1727</f>
        <v>FlowControlConfiguration</v>
      </c>
      <c r="C1668">
        <f>Profile!AP1729</f>
        <v>0</v>
      </c>
      <c r="D1668" t="str">
        <f>IF(Profile!C1727="Profile",IF(Profile!A1729="ResourceRequirement","OK","XXX"),"XXX")</f>
        <v>XXX</v>
      </c>
    </row>
    <row r="1669" spans="1:4" x14ac:dyDescent="0.45">
      <c r="A1669">
        <f>ROW()</f>
        <v>1669</v>
      </c>
      <c r="B1669" t="str">
        <f>Profile!A1728</f>
        <v>FlowControlStatus</v>
      </c>
      <c r="C1669">
        <f>Profile!AP1730</f>
        <v>0</v>
      </c>
      <c r="D1669" t="str">
        <f>IF(Profile!C1728="Profile",IF(Profile!A1730="ResourceRequirement","OK","XXX"),"XXX")</f>
        <v>XXX</v>
      </c>
    </row>
    <row r="1670" spans="1:4" x14ac:dyDescent="0.45">
      <c r="A1670">
        <f>ROW()</f>
        <v>1670</v>
      </c>
      <c r="B1670" t="str">
        <f>Profile!A1729</f>
        <v>LinkStatus</v>
      </c>
      <c r="C1670">
        <f>Profile!AP1731</f>
        <v>0</v>
      </c>
      <c r="D1670" t="str">
        <f>IF(Profile!C1729="Profile",IF(Profile!A1731="ResourceRequirement","OK","XXX"),"XXX")</f>
        <v>XXX</v>
      </c>
    </row>
    <row r="1671" spans="1:4" x14ac:dyDescent="0.45">
      <c r="A1671">
        <f>ROW()</f>
        <v>1671</v>
      </c>
      <c r="B1671" t="str">
        <f>Profile!A1730</f>
        <v>MaxFrameSize</v>
      </c>
      <c r="C1671">
        <f>Profile!AP1732</f>
        <v>0</v>
      </c>
      <c r="D1671" t="str">
        <f>IF(Profile!C1730="Profile",IF(Profile!A1732="ResourceRequirement","OK","XXX"),"XXX")</f>
        <v>XXX</v>
      </c>
    </row>
    <row r="1672" spans="1:4" x14ac:dyDescent="0.45">
      <c r="A1672">
        <f>ROW()</f>
        <v>1672</v>
      </c>
      <c r="B1672" t="str">
        <f>Profile!A1731</f>
        <v>NetDevFuncMaxBWAlloc</v>
      </c>
      <c r="C1672">
        <f>Profile!AP1733</f>
        <v>0</v>
      </c>
      <c r="D1672" t="str">
        <f>IF(Profile!C1731="Profile",IF(Profile!A1733="ResourceRequirement","OK","XXX"),"XXX")</f>
        <v>XXX</v>
      </c>
    </row>
    <row r="1673" spans="1:4" x14ac:dyDescent="0.45">
      <c r="A1673">
        <f>ROW()</f>
        <v>1673</v>
      </c>
      <c r="B1673" t="str">
        <f>Profile!A1732</f>
        <v xml:space="preserve">   MaxBWAllocPercent</v>
      </c>
      <c r="C1673">
        <f>Profile!AP1734</f>
        <v>0</v>
      </c>
      <c r="D1673" t="str">
        <f>IF(Profile!C1732="Profile",IF(Profile!A1734="ResourceRequirement","OK","XXX"),"XXX")</f>
        <v>XXX</v>
      </c>
    </row>
    <row r="1674" spans="1:4" x14ac:dyDescent="0.45">
      <c r="A1674">
        <f>ROW()</f>
        <v>1674</v>
      </c>
      <c r="B1674" t="str">
        <f>Profile!A1733</f>
        <v xml:space="preserve">   NetworkDeviceFunction</v>
      </c>
      <c r="C1674">
        <f>Profile!AP1735</f>
        <v>0</v>
      </c>
      <c r="D1674" t="str">
        <f>IF(Profile!C1733="Profile",IF(Profile!A1735="ResourceRequirement","OK","XXX"),"XXX")</f>
        <v>XXX</v>
      </c>
    </row>
    <row r="1675" spans="1:4" x14ac:dyDescent="0.45">
      <c r="A1675">
        <f>ROW()</f>
        <v>1675</v>
      </c>
      <c r="B1675" t="str">
        <f>Profile!A1734</f>
        <v xml:space="preserve">      @odata.id</v>
      </c>
      <c r="C1675">
        <f>Profile!AP1736</f>
        <v>0</v>
      </c>
      <c r="D1675" t="str">
        <f>IF(Profile!C1734="Profile",IF(Profile!A1736="ResourceRequirement","OK","XXX"),"XXX")</f>
        <v>XXX</v>
      </c>
    </row>
    <row r="1676" spans="1:4" x14ac:dyDescent="0.45">
      <c r="A1676">
        <f>ROW()</f>
        <v>1676</v>
      </c>
      <c r="B1676" t="str">
        <f>Profile!A1735</f>
        <v>NetDevFuncMinBWAlloc</v>
      </c>
      <c r="C1676">
        <f>Profile!AP1737</f>
        <v>0</v>
      </c>
      <c r="D1676" t="str">
        <f>IF(Profile!C1735="Profile",IF(Profile!A1737="ResourceRequirement","OK","XXX"),"XXX")</f>
        <v>XXX</v>
      </c>
    </row>
    <row r="1677" spans="1:4" x14ac:dyDescent="0.45">
      <c r="A1677">
        <f>ROW()</f>
        <v>1677</v>
      </c>
      <c r="B1677" t="str">
        <f>Profile!A1736</f>
        <v xml:space="preserve">   MinBWAllocPercent</v>
      </c>
      <c r="C1677">
        <f>Profile!AP1738</f>
        <v>0</v>
      </c>
      <c r="D1677" t="str">
        <f>IF(Profile!C1736="Profile",IF(Profile!A1738="ResourceRequirement","OK","XXX"),"XXX")</f>
        <v>XXX</v>
      </c>
    </row>
    <row r="1678" spans="1:4" x14ac:dyDescent="0.45">
      <c r="A1678">
        <f>ROW()</f>
        <v>1678</v>
      </c>
      <c r="B1678" t="str">
        <f>Profile!A1737</f>
        <v xml:space="preserve">   NetworkDeviceFunction</v>
      </c>
      <c r="C1678">
        <f>Profile!AP1739</f>
        <v>0</v>
      </c>
      <c r="D1678" t="str">
        <f>IF(Profile!C1737="Profile",IF(Profile!A1739="ResourceRequirement","OK","XXX"),"XXX")</f>
        <v>XXX</v>
      </c>
    </row>
    <row r="1679" spans="1:4" x14ac:dyDescent="0.45">
      <c r="A1679">
        <f>ROW()</f>
        <v>1679</v>
      </c>
      <c r="B1679" t="str">
        <f>Profile!A1738</f>
        <v xml:space="preserve">      @odata.id</v>
      </c>
      <c r="C1679">
        <f>Profile!AP1740</f>
        <v>0</v>
      </c>
      <c r="D1679" t="str">
        <f>IF(Profile!C1738="Profile",IF(Profile!A1740="ResourceRequirement","OK","XXX"),"XXX")</f>
        <v>XXX</v>
      </c>
    </row>
    <row r="1680" spans="1:4" x14ac:dyDescent="0.45">
      <c r="A1680">
        <f>ROW()</f>
        <v>1680</v>
      </c>
      <c r="B1680" t="str">
        <f>Profile!A1739</f>
        <v>NumberDiscoveredRemotePorts</v>
      </c>
      <c r="C1680">
        <f>Profile!AP1741</f>
        <v>0</v>
      </c>
      <c r="D1680" t="str">
        <f>IF(Profile!C1739="Profile",IF(Profile!A1741="ResourceRequirement","OK","XXX"),"XXX")</f>
        <v>XXX</v>
      </c>
    </row>
    <row r="1681" spans="1:4" x14ac:dyDescent="0.45">
      <c r="A1681">
        <f>ROW()</f>
        <v>1681</v>
      </c>
      <c r="B1681" t="str">
        <f>Profile!A1740</f>
        <v>PhysicalPortNumber</v>
      </c>
      <c r="C1681">
        <f>Profile!AP1742</f>
        <v>0</v>
      </c>
      <c r="D1681" t="str">
        <f>IF(Profile!C1740="Profile",IF(Profile!A1742="ResourceRequirement","OK","XXX"),"XXX")</f>
        <v>XXX</v>
      </c>
    </row>
    <row r="1682" spans="1:4" x14ac:dyDescent="0.45">
      <c r="A1682">
        <f>ROW()</f>
        <v>1682</v>
      </c>
      <c r="B1682" t="str">
        <f>Profile!A1741</f>
        <v>PortMaximumMTU</v>
      </c>
      <c r="C1682">
        <f>Profile!AP1743</f>
        <v>0</v>
      </c>
      <c r="D1682" t="str">
        <f>IF(Profile!C1741="Profile",IF(Profile!A1743="ResourceRequirement","OK","XXX"),"XXX")</f>
        <v>XXX</v>
      </c>
    </row>
    <row r="1683" spans="1:4" x14ac:dyDescent="0.45">
      <c r="A1683">
        <f>ROW()</f>
        <v>1683</v>
      </c>
      <c r="B1683" t="str">
        <f>Profile!A1742</f>
        <v>SignalDetected</v>
      </c>
      <c r="C1683">
        <f>Profile!AP1746</f>
        <v>0</v>
      </c>
      <c r="D1683" t="str">
        <f>IF(Profile!C1742="Profile",IF(Profile!A1746="ResourceRequirement","OK","XXX"),"XXX")</f>
        <v>XXX</v>
      </c>
    </row>
    <row r="1684" spans="1:4" x14ac:dyDescent="0.45">
      <c r="A1684">
        <f>ROW()</f>
        <v>1684</v>
      </c>
      <c r="B1684" t="str">
        <f>Profile!A1743</f>
        <v>Status</v>
      </c>
      <c r="C1684">
        <f>Profile!AP1747</f>
        <v>0</v>
      </c>
      <c r="D1684" t="str">
        <f>IF(Profile!C1743="Profile",IF(Profile!A1747="ResourceRequirement","OK","XXX"),"XXX")</f>
        <v>XXX</v>
      </c>
    </row>
    <row r="1685" spans="1:4" x14ac:dyDescent="0.45">
      <c r="A1685">
        <f>ROW()</f>
        <v>1685</v>
      </c>
      <c r="B1685" t="str">
        <f>Profile!A1746</f>
        <v>SupportedEthernetCapabilities</v>
      </c>
      <c r="C1685">
        <f>Profile!AP1748</f>
        <v>0</v>
      </c>
      <c r="D1685" t="str">
        <f>IF(Profile!C1746="Profile",IF(Profile!A1748="ResourceRequirement","OK","XXX"),"XXX")</f>
        <v>XXX</v>
      </c>
    </row>
    <row r="1686" spans="1:4" x14ac:dyDescent="0.45">
      <c r="A1686">
        <f>ROW()</f>
        <v>1686</v>
      </c>
      <c r="B1686" t="str">
        <f>Profile!A1747</f>
        <v>SupportedLinkCapabilities</v>
      </c>
      <c r="C1686">
        <f>Profile!AP1749</f>
        <v>0</v>
      </c>
      <c r="D1686" t="str">
        <f>IF(Profile!C1747="Profile",IF(Profile!A1749="ResourceRequirement","OK","XXX"),"XXX")</f>
        <v>XXX</v>
      </c>
    </row>
    <row r="1687" spans="1:4" x14ac:dyDescent="0.45">
      <c r="A1687">
        <f>ROW()</f>
        <v>1687</v>
      </c>
      <c r="B1687" t="str">
        <f>Profile!A1748</f>
        <v xml:space="preserve">   AutoSpeedNegotiation</v>
      </c>
      <c r="C1687">
        <f>Profile!AP1750</f>
        <v>0</v>
      </c>
      <c r="D1687" t="str">
        <f>IF(Profile!C1748="Profile",IF(Profile!A1750="ResourceRequirement","OK","XXX"),"XXX")</f>
        <v>XXX</v>
      </c>
    </row>
    <row r="1688" spans="1:4" x14ac:dyDescent="0.45">
      <c r="A1688">
        <f>ROW()</f>
        <v>1688</v>
      </c>
      <c r="B1688" t="str">
        <f>Profile!A1749</f>
        <v xml:space="preserve">   CapableLinkSpeedMbps</v>
      </c>
      <c r="C1688">
        <f>Profile!AP1751</f>
        <v>0</v>
      </c>
      <c r="D1688" t="str">
        <f>IF(Profile!C1749="Profile",IF(Profile!A1751="ResourceRequirement","OK","XXX"),"XXX")</f>
        <v>XXX</v>
      </c>
    </row>
    <row r="1689" spans="1:4" x14ac:dyDescent="0.45">
      <c r="A1689">
        <f>ROW()</f>
        <v>1689</v>
      </c>
      <c r="B1689" t="str">
        <f>Profile!A1750</f>
        <v xml:space="preserve">   LinkNetworkTechnology</v>
      </c>
      <c r="C1689">
        <f>Profile!AP1752</f>
        <v>0</v>
      </c>
      <c r="D1689" t="str">
        <f>IF(Profile!C1750="Profile",IF(Profile!A1752="ResourceRequirement","OK","XXX"),"XXX")</f>
        <v>XXX</v>
      </c>
    </row>
    <row r="1690" spans="1:4" x14ac:dyDescent="0.45">
      <c r="A1690">
        <f>ROW()</f>
        <v>1690</v>
      </c>
      <c r="B1690" t="str">
        <f>Profile!A1751</f>
        <v xml:space="preserve">   LinkSpeedMbps</v>
      </c>
      <c r="C1690">
        <f>Profile!AP1753</f>
        <v>0</v>
      </c>
      <c r="D1690" t="str">
        <f>IF(Profile!C1751="Profile",IF(Profile!A1753="ResourceRequirement","OK","XXX"),"XXX")</f>
        <v>XXX</v>
      </c>
    </row>
    <row r="1691" spans="1:4" x14ac:dyDescent="0.45">
      <c r="A1691">
        <f>ROW()</f>
        <v>1691</v>
      </c>
      <c r="B1691" t="str">
        <f>Profile!A1752</f>
        <v>VendorId</v>
      </c>
      <c r="C1691">
        <f>Profile!AP1754</f>
        <v>0</v>
      </c>
      <c r="D1691" t="str">
        <f>IF(Profile!C1752="Profile",IF(Profile!A1754="ResourceRequirement","OK","XXX"),"XXX")</f>
        <v>XXX</v>
      </c>
    </row>
    <row r="1692" spans="1:4" x14ac:dyDescent="0.45">
      <c r="A1692">
        <f>ROW()</f>
        <v>1692</v>
      </c>
      <c r="B1692" t="str">
        <f>Profile!A1753</f>
        <v>WakeOnLANEnabled</v>
      </c>
      <c r="C1692">
        <f>Profile!AP1755</f>
        <v>0</v>
      </c>
      <c r="D1692" t="str">
        <f>IF(Profile!C1753="Profile",IF(Profile!A1755="ResourceRequirement","OK","XXX"),"XXX")</f>
        <v>XXX</v>
      </c>
    </row>
    <row r="1693" spans="1:4" x14ac:dyDescent="0.45">
      <c r="A1693">
        <f>ROW()</f>
        <v>1693</v>
      </c>
      <c r="B1693" t="str">
        <f>Profile!A1754</f>
        <v>NetworkPort URIs</v>
      </c>
      <c r="C1693">
        <f>Profile!AP1756</f>
        <v>0</v>
      </c>
      <c r="D1693" t="str">
        <f>IF(Profile!C1754="Profile",IF(Profile!A1756="ResourceRequirement","OK","XXX"),"XXX")</f>
        <v>XXX</v>
      </c>
    </row>
    <row r="1694" spans="1:4" x14ac:dyDescent="0.45">
      <c r="A1694">
        <f>ROW()</f>
        <v>1694</v>
      </c>
      <c r="B1694" t="str">
        <f>Profile!A1755</f>
        <v>/redfish/v1/Chassis/{ChassisId}/NetworkAdapters/{NetworkAdapterId}/NetworkPorts/{NetworkPortId}</v>
      </c>
      <c r="C1694">
        <f>Profile!AP1757</f>
        <v>0</v>
      </c>
      <c r="D1694" t="str">
        <f>IF(Profile!C1755="Profile",IF(Profile!A1757="ResourceRequirement","OK","XXX"),"XXX")</f>
        <v>XXX</v>
      </c>
    </row>
    <row r="1695" spans="1:4" x14ac:dyDescent="0.45">
      <c r="A1695">
        <f>ROW()</f>
        <v>1695</v>
      </c>
      <c r="B1695">
        <f>Profile!A1756</f>
        <v>0</v>
      </c>
      <c r="C1695">
        <f>Profile!AP1758</f>
        <v>0</v>
      </c>
      <c r="D1695" t="str">
        <f>IF(Profile!C1756="Profile",IF(Profile!A1758="ResourceRequirement","OK","XXX"),"XXX")</f>
        <v>XXX</v>
      </c>
    </row>
    <row r="1696" spans="1:4" x14ac:dyDescent="0.45">
      <c r="A1696">
        <f>ROW()</f>
        <v>1696</v>
      </c>
      <c r="B1696" t="str">
        <f>Profile!A1757</f>
        <v>1.1.5.7               Port</v>
      </c>
      <c r="C1696">
        <f>Profile!AP1759</f>
        <v>0</v>
      </c>
      <c r="D1696" t="str">
        <f>IF(Profile!C1757="Profile",IF(Profile!A1759="ResourceRequirement","OK","XXX"),"XXX")</f>
        <v>XXX</v>
      </c>
    </row>
    <row r="1697" spans="1:4" x14ac:dyDescent="0.45">
      <c r="A1697">
        <f>ROW()</f>
        <v>1697</v>
      </c>
      <c r="B1697" t="str">
        <f>Profile!A1758</f>
        <v>Port contains properties describing a port of a switch.</v>
      </c>
      <c r="C1697">
        <f>Profile!AP1760</f>
        <v>0</v>
      </c>
      <c r="D1697" t="str">
        <f>IF(Profile!C1758="Profile",IF(Profile!A1760="ResourceRequirement","OK","XXX"),"XXX")</f>
        <v>XXX</v>
      </c>
    </row>
    <row r="1698" spans="1:4" x14ac:dyDescent="0.45">
      <c r="A1698">
        <f>ROW()</f>
        <v>1698</v>
      </c>
      <c r="B1698" t="str">
        <f>Profile!A1759</f>
        <v>Ports are not used in the O-PAS profiles.</v>
      </c>
      <c r="C1698">
        <f>Profile!AP1761</f>
        <v>0</v>
      </c>
      <c r="D1698" t="str">
        <f>IF(Profile!C1759="Profile",IF(Profile!A1761="ResourceRequirement","OK","XXX"),"XXX")</f>
        <v>XXX</v>
      </c>
    </row>
    <row r="1699" spans="1:4" x14ac:dyDescent="0.45">
      <c r="A1699">
        <f>ROW()</f>
        <v>1699</v>
      </c>
      <c r="B1699">
        <f>Profile!A1760</f>
        <v>0</v>
      </c>
      <c r="C1699">
        <f>Profile!AP1762</f>
        <v>0</v>
      </c>
      <c r="D1699" t="str">
        <f>IF(Profile!C1760="Profile",IF(Profile!A1762="ResourceRequirement","OK","XXX"),"XXX")</f>
        <v>XXX</v>
      </c>
    </row>
    <row r="1700" spans="1:4" x14ac:dyDescent="0.45">
      <c r="A1700">
        <f>ROW()</f>
        <v>1700</v>
      </c>
      <c r="B1700" t="str">
        <f>Profile!A1761</f>
        <v>1.1.5.8               Session</v>
      </c>
      <c r="C1700">
        <f>Profile!AP1763</f>
        <v>0</v>
      </c>
      <c r="D1700" t="str">
        <f>IF(Profile!C1761="Profile",IF(Profile!A1763="ResourceRequirement","OK","XXX"),"XXX")</f>
        <v>XXX</v>
      </c>
    </row>
    <row r="1701" spans="1:4" x14ac:dyDescent="0.45">
      <c r="A1701">
        <f>ROW()</f>
        <v>1701</v>
      </c>
      <c r="B1701" t="str">
        <f>Profile!A1762</f>
        <v>A Session resource describes a single connection (session) between a client and a Redfish service instance.</v>
      </c>
      <c r="C1701">
        <f>Profile!AP1764</f>
        <v>0</v>
      </c>
      <c r="D1701" t="str">
        <f>IF(Profile!C1762="Profile",IF(Profile!A1764="ResourceRequirement","OK","XXX"),"XXX")</f>
        <v>XXX</v>
      </c>
    </row>
    <row r="1702" spans="1:4" x14ac:dyDescent="0.45">
      <c r="A1702">
        <f>ROW()</f>
        <v>1702</v>
      </c>
      <c r="B1702" t="str">
        <f>Profile!A1763</f>
        <v>Table 52: O-PAS Profile Map for the Redfish Session Resource</v>
      </c>
      <c r="C1702">
        <f>Profile!AP1765</f>
        <v>0</v>
      </c>
      <c r="D1702" t="str">
        <f>IF(Profile!C1763="Profile",IF(Profile!A1765="ResourceRequirement","OK","XXX"),"XXX")</f>
        <v>XXX</v>
      </c>
    </row>
    <row r="1703" spans="1:4" x14ac:dyDescent="0.45">
      <c r="A1703">
        <f>ROW()</f>
        <v>1703</v>
      </c>
      <c r="B1703" t="str">
        <f>Profile!A1764</f>
        <v>Session (1.1.1)</v>
      </c>
      <c r="C1703">
        <f>Profile!AP1766</f>
        <v>0</v>
      </c>
      <c r="D1703" t="str">
        <f>IF(Profile!C1764="Profile",IF(Profile!A1766="ResourceRequirement","OK","XXX"),"XXX")</f>
        <v>XXX</v>
      </c>
    </row>
    <row r="1704" spans="1:4" x14ac:dyDescent="0.45">
      <c r="A1704">
        <f>ROW()</f>
        <v>1704</v>
      </c>
      <c r="B1704">
        <f>Profile!A1765</f>
        <v>0</v>
      </c>
      <c r="C1704">
        <f>Profile!AP1767</f>
        <v>0</v>
      </c>
      <c r="D1704" t="str">
        <f>IF(Profile!C1765="Profile",IF(Profile!A1767="ResourceRequirement","OK","XXX"),"XXX")</f>
        <v>XXX</v>
      </c>
    </row>
    <row r="1705" spans="1:4" x14ac:dyDescent="0.45">
      <c r="A1705">
        <f>ROW()</f>
        <v>1705</v>
      </c>
      <c r="B1705" t="str">
        <f>Profile!A1766</f>
        <v>Session (1.1.2)</v>
      </c>
      <c r="C1705">
        <f>Profile!AP1768</f>
        <v>54</v>
      </c>
      <c r="D1705" t="str">
        <f>IF(Profile!C1766="Profile",IF(Profile!A1768="ResourceRequirement","OK","XXX"),"XXX")</f>
        <v>OK</v>
      </c>
    </row>
    <row r="1706" spans="1:4" x14ac:dyDescent="0.45">
      <c r="A1706">
        <f>ROW()</f>
        <v>1706</v>
      </c>
      <c r="B1706">
        <f>Profile!A1767</f>
        <v>0</v>
      </c>
      <c r="C1706">
        <f>Profile!AP1769</f>
        <v>0</v>
      </c>
      <c r="D1706" t="str">
        <f>IF(Profile!C1767="Profile",IF(Profile!A1769="ResourceRequirement","OK","XXX"),"XXX")</f>
        <v>XXX</v>
      </c>
    </row>
    <row r="1707" spans="1:4" x14ac:dyDescent="0.45">
      <c r="A1707">
        <f>ROW()</f>
        <v>1707</v>
      </c>
      <c r="B1707" t="str">
        <f>Profile!A1768</f>
        <v>ResourceRequirement</v>
      </c>
      <c r="C1707">
        <f>Profile!AP1770</f>
        <v>0</v>
      </c>
      <c r="D1707" t="str">
        <f>IF(Profile!C1768="Profile",IF(Profile!A1770="ResourceRequirement","OK","XXX"),"XXX")</f>
        <v>XXX</v>
      </c>
    </row>
    <row r="1708" spans="1:4" x14ac:dyDescent="0.45">
      <c r="A1708">
        <f>ROW()</f>
        <v>1708</v>
      </c>
      <c r="B1708" t="str">
        <f>Profile!A1769</f>
        <v>Resource MinVersion</v>
      </c>
      <c r="C1708">
        <f>Profile!AP1771</f>
        <v>0</v>
      </c>
      <c r="D1708" t="str">
        <f>IF(Profile!C1769="Profile",IF(Profile!A1771="ResourceRequirement","OK","XXX"),"XXX")</f>
        <v>XXX</v>
      </c>
    </row>
    <row r="1709" spans="1:4" x14ac:dyDescent="0.45">
      <c r="A1709">
        <f>ROW()</f>
        <v>1709</v>
      </c>
      <c r="B1709" t="str">
        <f>Profile!A1770</f>
        <v>Property</v>
      </c>
      <c r="C1709">
        <f>Profile!AP1772</f>
        <v>0</v>
      </c>
      <c r="D1709" t="str">
        <f>IF(Profile!C1770="Profile",IF(Profile!A1772="ResourceRequirement","OK","XXX"),"XXX")</f>
        <v>XXX</v>
      </c>
    </row>
    <row r="1710" spans="1:4" x14ac:dyDescent="0.45">
      <c r="A1710">
        <f>ROW()</f>
        <v>1710</v>
      </c>
      <c r="B1710" t="str">
        <f>Profile!A1771</f>
        <v>Actions</v>
      </c>
      <c r="C1710">
        <f>Profile!AP1773</f>
        <v>0</v>
      </c>
      <c r="D1710" t="str">
        <f>IF(Profile!C1771="Profile",IF(Profile!A1773="ResourceRequirement","OK","XXX"),"XXX")</f>
        <v>XXX</v>
      </c>
    </row>
    <row r="1711" spans="1:4" x14ac:dyDescent="0.45">
      <c r="A1711">
        <f>ROW()</f>
        <v>1711</v>
      </c>
      <c r="B1711" t="str">
        <f>Profile!A1772</f>
        <v>Password</v>
      </c>
      <c r="C1711">
        <f>Profile!AP1774</f>
        <v>0</v>
      </c>
      <c r="D1711" t="str">
        <f>IF(Profile!C1772="Profile",IF(Profile!A1774="ResourceRequirement","OK","XXX"),"XXX")</f>
        <v>XXX</v>
      </c>
    </row>
    <row r="1712" spans="1:4" x14ac:dyDescent="0.45">
      <c r="A1712">
        <f>ROW()</f>
        <v>1712</v>
      </c>
      <c r="B1712" t="str">
        <f>Profile!A1773</f>
        <v>UserName</v>
      </c>
      <c r="C1712">
        <f>Profile!AP1775</f>
        <v>0</v>
      </c>
      <c r="D1712" t="str">
        <f>IF(Profile!C1773="Profile",IF(Profile!A1775="ResourceRequirement","OK","XXX"),"XXX")</f>
        <v>XXX</v>
      </c>
    </row>
    <row r="1713" spans="1:4" x14ac:dyDescent="0.45">
      <c r="A1713">
        <f>ROW()</f>
        <v>1713</v>
      </c>
      <c r="B1713" t="str">
        <f>Profile!A1774</f>
        <v>Session URIs</v>
      </c>
      <c r="C1713">
        <f>Profile!AP1776</f>
        <v>0</v>
      </c>
      <c r="D1713" t="str">
        <f>IF(Profile!C1774="Profile",IF(Profile!A1776="ResourceRequirement","OK","XXX"),"XXX")</f>
        <v>XXX</v>
      </c>
    </row>
    <row r="1714" spans="1:4" x14ac:dyDescent="0.45">
      <c r="A1714">
        <f>ROW()</f>
        <v>1714</v>
      </c>
      <c r="B1714" t="str">
        <f>Profile!A1775</f>
        <v>/redfish/v1/SessionService/Sessions/{SessionId}</v>
      </c>
      <c r="C1714">
        <f>Profile!AP1777</f>
        <v>0</v>
      </c>
      <c r="D1714" t="str">
        <f>IF(Profile!C1775="Profile",IF(Profile!A1777="ResourceRequirement","OK","XXX"),"XXX")</f>
        <v>XXX</v>
      </c>
    </row>
    <row r="1715" spans="1:4" x14ac:dyDescent="0.45">
      <c r="A1715">
        <f>ROW()</f>
        <v>1715</v>
      </c>
      <c r="B1715">
        <f>Profile!A1776</f>
        <v>0</v>
      </c>
      <c r="C1715">
        <f>Profile!AP1778</f>
        <v>0</v>
      </c>
      <c r="D1715" t="str">
        <f>IF(Profile!C1776="Profile",IF(Profile!A1778="ResourceRequirement","OK","XXX"),"XXX")</f>
        <v>XXX</v>
      </c>
    </row>
    <row r="1716" spans="1:4" x14ac:dyDescent="0.45">
      <c r="A1716">
        <f>ROW()</f>
        <v>1716</v>
      </c>
      <c r="B1716" t="str">
        <f>Profile!A1777</f>
        <v>1.1.5.9               SessionService</v>
      </c>
      <c r="C1716">
        <f>Profile!AP1779</f>
        <v>0</v>
      </c>
      <c r="D1716" t="str">
        <f>IF(Profile!C1777="Profile",IF(Profile!A1779="ResourceRequirement","OK","XXX"),"XXX")</f>
        <v>XXX</v>
      </c>
    </row>
    <row r="1717" spans="1:4" x14ac:dyDescent="0.45">
      <c r="A1717">
        <f>ROW()</f>
        <v>1717</v>
      </c>
      <c r="B1717" t="str">
        <f>Profile!A1778</f>
        <v>The SessionService resource represents the properties for the service itself and has links to the actual list of sessions.</v>
      </c>
      <c r="C1717">
        <f>Profile!AP1780</f>
        <v>0</v>
      </c>
      <c r="D1717" t="str">
        <f>IF(Profile!C1778="Profile",IF(Profile!A1780="ResourceRequirement","OK","XXX"),"XXX")</f>
        <v>XXX</v>
      </c>
    </row>
    <row r="1718" spans="1:4" x14ac:dyDescent="0.45">
      <c r="A1718">
        <f>ROW()</f>
        <v>1718</v>
      </c>
      <c r="B1718" t="str">
        <f>Profile!A1779</f>
        <v>Table 53: O-PAS Profile Map for the Redfish SessionService</v>
      </c>
      <c r="C1718">
        <f>Profile!AP1781</f>
        <v>0</v>
      </c>
      <c r="D1718" t="str">
        <f>IF(Profile!C1779="Profile",IF(Profile!A1781="ResourceRequirement","OK","XXX"),"XXX")</f>
        <v>XXX</v>
      </c>
    </row>
    <row r="1719" spans="1:4" x14ac:dyDescent="0.45">
      <c r="A1719">
        <f>ROW()</f>
        <v>1719</v>
      </c>
      <c r="B1719" t="str">
        <f>Profile!A1780</f>
        <v>SessionService (1.1.4)</v>
      </c>
      <c r="C1719">
        <f>Profile!AP1782</f>
        <v>0</v>
      </c>
      <c r="D1719" t="str">
        <f>IF(Profile!C1780="Profile",IF(Profile!A1782="ResourceRequirement","OK","XXX"),"XXX")</f>
        <v>XXX</v>
      </c>
    </row>
    <row r="1720" spans="1:4" x14ac:dyDescent="0.45">
      <c r="A1720">
        <f>ROW()</f>
        <v>1720</v>
      </c>
      <c r="B1720">
        <f>Profile!A1781</f>
        <v>0</v>
      </c>
      <c r="C1720">
        <f>Profile!AP1783</f>
        <v>0</v>
      </c>
      <c r="D1720" t="str">
        <f>IF(Profile!C1781="Profile",IF(Profile!A1783="ResourceRequirement","OK","XXX"),"XXX")</f>
        <v>XXX</v>
      </c>
    </row>
    <row r="1721" spans="1:4" x14ac:dyDescent="0.45">
      <c r="A1721">
        <f>ROW()</f>
        <v>1721</v>
      </c>
      <c r="B1721" t="str">
        <f>Profile!A1782</f>
        <v>SessionService (1.1.5)</v>
      </c>
      <c r="C1721">
        <f>Profile!AP1784</f>
        <v>55</v>
      </c>
      <c r="D1721" t="str">
        <f>IF(Profile!C1782="Profile",IF(Profile!A1784="ResourceRequirement","OK","XXX"),"XXX")</f>
        <v>OK</v>
      </c>
    </row>
    <row r="1722" spans="1:4" x14ac:dyDescent="0.45">
      <c r="A1722">
        <f>ROW()</f>
        <v>1722</v>
      </c>
      <c r="B1722">
        <f>Profile!A1783</f>
        <v>0</v>
      </c>
      <c r="C1722">
        <f>Profile!AP1785</f>
        <v>0</v>
      </c>
      <c r="D1722" t="str">
        <f>IF(Profile!C1783="Profile",IF(Profile!A1785="ResourceRequirement","OK","XXX"),"XXX")</f>
        <v>XXX</v>
      </c>
    </row>
    <row r="1723" spans="1:4" x14ac:dyDescent="0.45">
      <c r="A1723">
        <f>ROW()</f>
        <v>1723</v>
      </c>
      <c r="B1723" t="str">
        <f>Profile!A1784</f>
        <v>ResourceRequirement</v>
      </c>
      <c r="C1723">
        <f>Profile!AP1786</f>
        <v>0</v>
      </c>
      <c r="D1723" t="str">
        <f>IF(Profile!C1784="Profile",IF(Profile!A1786="ResourceRequirement","OK","XXX"),"XXX")</f>
        <v>XXX</v>
      </c>
    </row>
    <row r="1724" spans="1:4" x14ac:dyDescent="0.45">
      <c r="A1724">
        <f>ROW()</f>
        <v>1724</v>
      </c>
      <c r="B1724" t="str">
        <f>Profile!A1785</f>
        <v>Resource MinVersion</v>
      </c>
      <c r="C1724">
        <f>Profile!AP1787</f>
        <v>0</v>
      </c>
      <c r="D1724" t="str">
        <f>IF(Profile!C1785="Profile",IF(Profile!A1787="ResourceRequirement","OK","XXX"),"XXX")</f>
        <v>XXX</v>
      </c>
    </row>
    <row r="1725" spans="1:4" x14ac:dyDescent="0.45">
      <c r="A1725">
        <f>ROW()</f>
        <v>1725</v>
      </c>
      <c r="B1725" t="str">
        <f>Profile!A1786</f>
        <v>Property</v>
      </c>
      <c r="C1725">
        <f>Profile!AP1788</f>
        <v>0</v>
      </c>
      <c r="D1725" t="str">
        <f>IF(Profile!C1786="Profile",IF(Profile!A1788="ResourceRequirement","OK","XXX"),"XXX")</f>
        <v>XXX</v>
      </c>
    </row>
    <row r="1726" spans="1:4" x14ac:dyDescent="0.45">
      <c r="A1726">
        <f>ROW()</f>
        <v>1726</v>
      </c>
      <c r="B1726" t="str">
        <f>Profile!A1787</f>
        <v>Actions</v>
      </c>
      <c r="C1726">
        <f>Profile!AP1789</f>
        <v>0</v>
      </c>
      <c r="D1726" t="str">
        <f>IF(Profile!C1787="Profile",IF(Profile!A1789="ResourceRequirement","OK","XXX"),"XXX")</f>
        <v>XXX</v>
      </c>
    </row>
    <row r="1727" spans="1:4" x14ac:dyDescent="0.45">
      <c r="A1727">
        <f>ROW()</f>
        <v>1727</v>
      </c>
      <c r="B1727" t="str">
        <f>Profile!A1788</f>
        <v>ServiceEnabled</v>
      </c>
      <c r="C1727">
        <f>Profile!AP1790</f>
        <v>0</v>
      </c>
      <c r="D1727" t="str">
        <f>IF(Profile!C1788="Profile",IF(Profile!A1790="ResourceRequirement","OK","XXX"),"XXX")</f>
        <v>XXX</v>
      </c>
    </row>
    <row r="1728" spans="1:4" x14ac:dyDescent="0.45">
      <c r="A1728">
        <f>ROW()</f>
        <v>1728</v>
      </c>
      <c r="B1728" t="str">
        <f>Profile!A1789</f>
        <v>SessionTimeout</v>
      </c>
      <c r="C1728">
        <f>Profile!AP1791</f>
        <v>0</v>
      </c>
      <c r="D1728" t="str">
        <f>IF(Profile!C1789="Profile",IF(Profile!A1791="ResourceRequirement","OK","XXX"),"XXX")</f>
        <v>XXX</v>
      </c>
    </row>
    <row r="1729" spans="1:4" x14ac:dyDescent="0.45">
      <c r="A1729">
        <f>ROW()</f>
        <v>1729</v>
      </c>
      <c r="B1729" t="str">
        <f>Profile!A1790</f>
        <v>Sessions</v>
      </c>
      <c r="C1729">
        <f>Profile!AP1792</f>
        <v>0</v>
      </c>
      <c r="D1729" t="str">
        <f>IF(Profile!C1790="Profile",IF(Profile!A1792="ResourceRequirement","OK","XXX"),"XXX")</f>
        <v>XXX</v>
      </c>
    </row>
    <row r="1730" spans="1:4" x14ac:dyDescent="0.45">
      <c r="A1730">
        <f>ROW()</f>
        <v>1730</v>
      </c>
      <c r="B1730" t="str">
        <f>Profile!A1791</f>
        <v xml:space="preserve">   @odata.id</v>
      </c>
      <c r="C1730">
        <f>Profile!AP1795</f>
        <v>0</v>
      </c>
      <c r="D1730" t="str">
        <f>IF(Profile!C1791="Profile",IF(Profile!A1795="ResourceRequirement","OK","XXX"),"XXX")</f>
        <v>XXX</v>
      </c>
    </row>
    <row r="1731" spans="1:4" x14ac:dyDescent="0.45">
      <c r="A1731">
        <f>ROW()</f>
        <v>1731</v>
      </c>
      <c r="B1731" t="str">
        <f>Profile!A1792</f>
        <v>Status</v>
      </c>
      <c r="C1731">
        <f>Profile!AP1796</f>
        <v>0</v>
      </c>
      <c r="D1731" t="str">
        <f>IF(Profile!C1792="Profile",IF(Profile!A1796="ResourceRequirement","OK","XXX"),"XXX")</f>
        <v>XXX</v>
      </c>
    </row>
    <row r="1732" spans="1:4" x14ac:dyDescent="0.45">
      <c r="A1732">
        <f>ROW()</f>
        <v>1732</v>
      </c>
      <c r="B1732" t="str">
        <f>Profile!A1795</f>
        <v>SessionService URIs</v>
      </c>
      <c r="C1732">
        <f>Profile!AP1797</f>
        <v>0</v>
      </c>
      <c r="D1732" t="str">
        <f>IF(Profile!C1795="Profile",IF(Profile!A1797="ResourceRequirement","OK","XXX"),"XXX")</f>
        <v>XXX</v>
      </c>
    </row>
    <row r="1733" spans="1:4" x14ac:dyDescent="0.45">
      <c r="A1733">
        <f>ROW()</f>
        <v>1733</v>
      </c>
      <c r="B1733" t="str">
        <f>Profile!A1796</f>
        <v>/redfish/v1/SessionService</v>
      </c>
      <c r="C1733">
        <f>Profile!AP1798</f>
        <v>0</v>
      </c>
      <c r="D1733" t="str">
        <f>IF(Profile!C1796="Profile",IF(Profile!A1798="ResourceRequirement","OK","XXX"),"XXX")</f>
        <v>XXX</v>
      </c>
    </row>
    <row r="1734" spans="1:4" x14ac:dyDescent="0.45">
      <c r="A1734">
        <f>ROW()</f>
        <v>1734</v>
      </c>
      <c r="B1734">
        <f>Profile!A1797</f>
        <v>0</v>
      </c>
      <c r="C1734">
        <f>Profile!AP1799</f>
        <v>0</v>
      </c>
      <c r="D1734" t="str">
        <f>IF(Profile!C1797="Profile",IF(Profile!A1799="ResourceRequirement","OK","XXX"),"XXX")</f>
        <v>XXX</v>
      </c>
    </row>
    <row r="1735" spans="1:4" x14ac:dyDescent="0.45">
      <c r="A1735">
        <f>ROW()</f>
        <v>1735</v>
      </c>
      <c r="B1735" t="str">
        <f>Profile!A1798</f>
        <v>1.1.5.10            Switch</v>
      </c>
      <c r="C1735">
        <f>Profile!AP1800</f>
        <v>0</v>
      </c>
      <c r="D1735" t="str">
        <f>IF(Profile!C1798="Profile",IF(Profile!A1800="ResourceRequirement","OK","XXX"),"XXX")</f>
        <v>XXX</v>
      </c>
    </row>
    <row r="1736" spans="1:4" x14ac:dyDescent="0.45">
      <c r="A1736">
        <f>ROW()</f>
        <v>1736</v>
      </c>
      <c r="B1736" t="str">
        <f>Profile!A1799</f>
        <v>Switch is the schema definition for the Redfish managed network switch.</v>
      </c>
      <c r="C1736">
        <f>Profile!AP1801</f>
        <v>0</v>
      </c>
      <c r="D1736" t="str">
        <f>IF(Profile!C1799="Profile",IF(Profile!A1801="ResourceRequirement","OK","XXX"),"XXX")</f>
        <v>XXX</v>
      </c>
    </row>
    <row r="1737" spans="1:4" x14ac:dyDescent="0.45">
      <c r="A1737">
        <f>ROW()</f>
        <v>1737</v>
      </c>
      <c r="B1737" t="str">
        <f>Profile!A1800</f>
        <v>Switch is not used in the O-PAS profiles.</v>
      </c>
      <c r="C1737">
        <f>Profile!AP1802</f>
        <v>0</v>
      </c>
      <c r="D1737" t="str">
        <f>IF(Profile!C1800="Profile",IF(Profile!A1802="ResourceRequirement","OK","XXX"),"XXX")</f>
        <v>XXX</v>
      </c>
    </row>
    <row r="1738" spans="1:4" x14ac:dyDescent="0.45">
      <c r="A1738">
        <f>ROW()</f>
        <v>1738</v>
      </c>
      <c r="B1738">
        <f>Profile!A1801</f>
        <v>0</v>
      </c>
      <c r="C1738">
        <f>Profile!AP1803</f>
        <v>0</v>
      </c>
      <c r="D1738" t="str">
        <f>IF(Profile!C1801="Profile",IF(Profile!A1803="ResourceRequirement","OK","XXX"),"XXX")</f>
        <v>XXX</v>
      </c>
    </row>
    <row r="1739" spans="1:4" x14ac:dyDescent="0.45">
      <c r="A1739">
        <f>ROW()</f>
        <v>1739</v>
      </c>
      <c r="B1739" t="str">
        <f>Profile!A1802</f>
        <v>1.1.5.11            VLanNetworkInterface</v>
      </c>
      <c r="C1739">
        <f>Profile!AP1804</f>
        <v>0</v>
      </c>
      <c r="D1739" t="str">
        <f>IF(Profile!C1802="Profile",IF(Profile!A1804="ResourceRequirement","OK","XXX"),"XXX")</f>
        <v>XXX</v>
      </c>
    </row>
    <row r="1740" spans="1:4" x14ac:dyDescent="0.45">
      <c r="A1740">
        <f>ROW()</f>
        <v>1740</v>
      </c>
      <c r="B1740" t="str">
        <f>Profile!A1803</f>
        <v>The VLanNetworkInterface resource defines a VLAN.</v>
      </c>
      <c r="C1740">
        <f>Profile!AP1805</f>
        <v>0</v>
      </c>
      <c r="D1740" t="str">
        <f>IF(Profile!C1803="Profile",IF(Profile!A1805="ResourceRequirement","OK","XXX"),"XXX")</f>
        <v>XXX</v>
      </c>
    </row>
    <row r="1741" spans="1:4" x14ac:dyDescent="0.45">
      <c r="A1741">
        <f>ROW()</f>
        <v>1741</v>
      </c>
      <c r="B1741" t="str">
        <f>Profile!A1804</f>
        <v>Table 54: O-PAS Profile Map for the Redfish VLanNetworkInterface</v>
      </c>
      <c r="C1741">
        <f>Profile!AP1806</f>
        <v>0</v>
      </c>
      <c r="D1741" t="str">
        <f>IF(Profile!C1804="Profile",IF(Profile!A1806="ResourceRequirement","OK","XXX"),"XXX")</f>
        <v>XXX</v>
      </c>
    </row>
    <row r="1742" spans="1:4" x14ac:dyDescent="0.45">
      <c r="A1742">
        <f>ROW()</f>
        <v>1742</v>
      </c>
      <c r="B1742" t="str">
        <f>Profile!A1805</f>
        <v>VLanNetworkInterface (1.1.2)</v>
      </c>
      <c r="C1742">
        <f>Profile!AP1807</f>
        <v>0</v>
      </c>
      <c r="D1742" t="str">
        <f>IF(Profile!C1805="Profile",IF(Profile!A1807="ResourceRequirement","OK","XXX"),"XXX")</f>
        <v>XXX</v>
      </c>
    </row>
    <row r="1743" spans="1:4" x14ac:dyDescent="0.45">
      <c r="A1743">
        <f>ROW()</f>
        <v>1743</v>
      </c>
      <c r="B1743">
        <f>Profile!A1806</f>
        <v>0</v>
      </c>
      <c r="C1743">
        <f>Profile!AP1808</f>
        <v>0</v>
      </c>
      <c r="D1743" t="str">
        <f>IF(Profile!C1806="Profile",IF(Profile!A1808="ResourceRequirement","OK","XXX"),"XXX")</f>
        <v>XXX</v>
      </c>
    </row>
    <row r="1744" spans="1:4" x14ac:dyDescent="0.45">
      <c r="A1744">
        <f>ROW()</f>
        <v>1744</v>
      </c>
      <c r="B1744" t="str">
        <f>Profile!A1807</f>
        <v>VLanNetworkInterface (1.1.3)</v>
      </c>
      <c r="C1744">
        <f>Profile!AP1809</f>
        <v>66</v>
      </c>
      <c r="D1744" t="str">
        <f>IF(Profile!C1807="Profile",IF(Profile!A1809="ResourceRequirement","OK","XXX"),"XXX")</f>
        <v>OK</v>
      </c>
    </row>
    <row r="1745" spans="1:4" x14ac:dyDescent="0.45">
      <c r="A1745">
        <f>ROW()</f>
        <v>1745</v>
      </c>
      <c r="B1745">
        <f>Profile!A1808</f>
        <v>0</v>
      </c>
      <c r="C1745">
        <f>Profile!AP1810</f>
        <v>0</v>
      </c>
      <c r="D1745" t="str">
        <f>IF(Profile!C1808="Profile",IF(Profile!A1810="ResourceRequirement","OK","XXX"),"XXX")</f>
        <v>XXX</v>
      </c>
    </row>
    <row r="1746" spans="1:4" x14ac:dyDescent="0.45">
      <c r="A1746">
        <f>ROW()</f>
        <v>1746</v>
      </c>
      <c r="B1746" t="str">
        <f>Profile!A1809</f>
        <v>ResourceRequirement</v>
      </c>
      <c r="C1746">
        <f>Profile!AP1811</f>
        <v>0</v>
      </c>
      <c r="D1746" t="str">
        <f>IF(Profile!C1809="Profile",IF(Profile!A1811="ResourceRequirement","OK","XXX"),"XXX")</f>
        <v>XXX</v>
      </c>
    </row>
    <row r="1747" spans="1:4" x14ac:dyDescent="0.45">
      <c r="A1747">
        <f>ROW()</f>
        <v>1747</v>
      </c>
      <c r="B1747" t="str">
        <f>Profile!A1810</f>
        <v>Resource MinVersion</v>
      </c>
      <c r="C1747">
        <f>Profile!AP1812</f>
        <v>0</v>
      </c>
      <c r="D1747" t="str">
        <f>IF(Profile!C1810="Profile",IF(Profile!A1812="ResourceRequirement","OK","XXX"),"XXX")</f>
        <v>XXX</v>
      </c>
    </row>
    <row r="1748" spans="1:4" x14ac:dyDescent="0.45">
      <c r="A1748">
        <f>ROW()</f>
        <v>1748</v>
      </c>
      <c r="B1748" t="str">
        <f>Profile!A1811</f>
        <v>Property</v>
      </c>
      <c r="C1748">
        <f>Profile!AP1813</f>
        <v>0</v>
      </c>
      <c r="D1748" t="str">
        <f>IF(Profile!C1811="Profile",IF(Profile!A1813="ResourceRequirement","OK","XXX"),"XXX")</f>
        <v>XXX</v>
      </c>
    </row>
    <row r="1749" spans="1:4" x14ac:dyDescent="0.45">
      <c r="A1749">
        <f>ROW()</f>
        <v>1749</v>
      </c>
      <c r="B1749" t="str">
        <f>Profile!A1812</f>
        <v>Actions</v>
      </c>
      <c r="C1749">
        <f>Profile!AP1814</f>
        <v>0</v>
      </c>
      <c r="D1749" t="str">
        <f>IF(Profile!C1812="Profile",IF(Profile!A1814="ResourceRequirement","OK","XXX"),"XXX")</f>
        <v>XXX</v>
      </c>
    </row>
    <row r="1750" spans="1:4" x14ac:dyDescent="0.45">
      <c r="A1750">
        <f>ROW()</f>
        <v>1750</v>
      </c>
      <c r="B1750" t="str">
        <f>Profile!A1813</f>
        <v>VLANEnable</v>
      </c>
      <c r="C1750">
        <f>Profile!AP1815</f>
        <v>0</v>
      </c>
      <c r="D1750" t="str">
        <f>IF(Profile!C1813="Profile",IF(Profile!A1815="ResourceRequirement","OK","XXX"),"XXX")</f>
        <v>XXX</v>
      </c>
    </row>
    <row r="1751" spans="1:4" x14ac:dyDescent="0.45">
      <c r="A1751">
        <f>ROW()</f>
        <v>1751</v>
      </c>
      <c r="B1751" t="str">
        <f>Profile!A1814</f>
        <v>VLANId</v>
      </c>
      <c r="C1751">
        <f>Profile!AP1816</f>
        <v>0</v>
      </c>
      <c r="D1751" t="str">
        <f>IF(Profile!C1814="Profile",IF(Profile!A1816="ResourceRequirement","OK","XXX"),"XXX")</f>
        <v>XXX</v>
      </c>
    </row>
    <row r="1752" spans="1:4" x14ac:dyDescent="0.45">
      <c r="A1752">
        <f>ROW()</f>
        <v>1752</v>
      </c>
      <c r="B1752" t="str">
        <f>Profile!A1815</f>
        <v>VLanNetworkInterface URIs</v>
      </c>
      <c r="C1752">
        <f>Profile!AP1817</f>
        <v>0</v>
      </c>
      <c r="D1752" t="str">
        <f>IF(Profile!C1815="Profile",IF(Profile!A1817="ResourceRequirement","OK","XXX"),"XXX")</f>
        <v>XXX</v>
      </c>
    </row>
    <row r="1753" spans="1:4" x14ac:dyDescent="0.45">
      <c r="A1753">
        <f>ROW()</f>
        <v>1753</v>
      </c>
      <c r="B1753" t="str">
        <f>Profile!A1816</f>
        <v>/redfish/v1/Managers/{ManagerId}/EthernetInterfaces/{EthernetInterfaceId}/VLANs/{VLanNetworkInterfaceId}</v>
      </c>
      <c r="C1753">
        <f>Profile!AP1818</f>
        <v>0</v>
      </c>
      <c r="D1753" t="str">
        <f>IF(Profile!C1816="Profile",IF(Profile!A1818="ResourceRequirement","OK","XXX"),"XXX")</f>
        <v>XXX</v>
      </c>
    </row>
    <row r="1754" spans="1:4" x14ac:dyDescent="0.45">
      <c r="A1754">
        <f>ROW()</f>
        <v>1754</v>
      </c>
      <c r="B1754" t="str">
        <f>Profile!A1817</f>
        <v>/redfish/v1/Systems/{ComputerSystemId}/EthernetInterfaces/{EthernetInterfaceId}/VLANs/{VLanNetworkInterfaceId}</v>
      </c>
      <c r="C1754">
        <f>Profile!AP1819</f>
        <v>0</v>
      </c>
      <c r="D1754" t="str">
        <f>IF(Profile!C1817="Profile",IF(Profile!A1819="ResourceRequirement","OK","XXX"),"XXX")</f>
        <v>XXX</v>
      </c>
    </row>
    <row r="1755" spans="1:4" x14ac:dyDescent="0.45">
      <c r="A1755">
        <f>ROW()</f>
        <v>1755</v>
      </c>
      <c r="B1755">
        <f>Profile!A1818</f>
        <v>0</v>
      </c>
      <c r="C1755">
        <f>Profile!AP1820</f>
        <v>0</v>
      </c>
      <c r="D1755" t="str">
        <f>IF(Profile!C1818="Profile",IF(Profile!A1820="ResourceRequirement","OK","XXX"),"XXX")</f>
        <v>XXX</v>
      </c>
    </row>
    <row r="1756" spans="1:4" x14ac:dyDescent="0.45">
      <c r="A1756">
        <f>ROW()</f>
        <v>1756</v>
      </c>
      <c r="B1756" t="str">
        <f>Profile!A1819</f>
        <v>1.1.6                 Operations</v>
      </c>
      <c r="C1756">
        <f>Profile!AP1821</f>
        <v>0</v>
      </c>
      <c r="D1756" t="str">
        <f>IF(Profile!C1819="Profile",IF(Profile!A1821="ResourceRequirement","OK","XXX"),"XXX")</f>
        <v>XXX</v>
      </c>
    </row>
    <row r="1757" spans="1:4" x14ac:dyDescent="0.45">
      <c r="A1757">
        <f>ROW()</f>
        <v>1757</v>
      </c>
      <c r="B1757" t="str">
        <f>Profile!A1820</f>
        <v>1.1.6.1               ActionInfo</v>
      </c>
      <c r="C1757">
        <f>Profile!AP1822</f>
        <v>0</v>
      </c>
      <c r="D1757" t="str">
        <f>IF(Profile!C1820="Profile",IF(Profile!A1822="ResourceRequirement","OK","XXX"),"XXX")</f>
        <v>XXX</v>
      </c>
    </row>
    <row r="1758" spans="1:4" x14ac:dyDescent="0.45">
      <c r="A1758">
        <f>ROW()</f>
        <v>1758</v>
      </c>
      <c r="B1758" t="str">
        <f>Profile!A1821</f>
        <v>The ActionInfo parameters and other information define what is necessary to perform a Redfish action on a particular action target. Parameter support can differ between vendors and even between instances of a resource. This data can be used to ensure action requests from applications contain supported parameters.</v>
      </c>
      <c r="C1758">
        <f>Profile!AP1823</f>
        <v>0</v>
      </c>
      <c r="D1758" t="str">
        <f>IF(Profile!C1821="Profile",IF(Profile!A1823="ResourceRequirement","OK","XXX"),"XXX")</f>
        <v>XXX</v>
      </c>
    </row>
    <row r="1759" spans="1:4" x14ac:dyDescent="0.45">
      <c r="A1759">
        <f>ROW()</f>
        <v>1759</v>
      </c>
      <c r="B1759" t="str">
        <f>Profile!A1822</f>
        <v>Table 55: O-PAS Profile Map for the Redfish ActionInfo Parameters</v>
      </c>
      <c r="C1759">
        <f>Profile!AP1824</f>
        <v>0</v>
      </c>
      <c r="D1759" t="str">
        <f>IF(Profile!C1822="Profile",IF(Profile!A1824="ResourceRequirement","OK","XXX"),"XXX")</f>
        <v>XXX</v>
      </c>
    </row>
    <row r="1760" spans="1:4" x14ac:dyDescent="0.45">
      <c r="A1760">
        <f>ROW()</f>
        <v>1760</v>
      </c>
      <c r="B1760" t="str">
        <f>Profile!A1823</f>
        <v>ActionInfo (1.1.0)</v>
      </c>
      <c r="C1760">
        <f>Profile!AP1825</f>
        <v>0</v>
      </c>
      <c r="D1760" t="str">
        <f>IF(Profile!C1823="Profile",IF(Profile!A1825="ResourceRequirement","OK","XXX"),"XXX")</f>
        <v>XXX</v>
      </c>
    </row>
    <row r="1761" spans="1:4" x14ac:dyDescent="0.45">
      <c r="A1761">
        <f>ROW()</f>
        <v>1761</v>
      </c>
      <c r="B1761">
        <f>Profile!A1824</f>
        <v>0</v>
      </c>
      <c r="C1761">
        <f>Profile!AP1826</f>
        <v>0</v>
      </c>
      <c r="D1761" t="str">
        <f>IF(Profile!C1824="Profile",IF(Profile!A1826="ResourceRequirement","OK","XXX"),"XXX")</f>
        <v>XXX</v>
      </c>
    </row>
    <row r="1762" spans="1:4" x14ac:dyDescent="0.45">
      <c r="A1762">
        <f>ROW()</f>
        <v>1762</v>
      </c>
      <c r="B1762" t="str">
        <f>Profile!A1825</f>
        <v>ActionInfo (1.1.1)</v>
      </c>
      <c r="C1762">
        <f>Profile!AP1827</f>
        <v>0</v>
      </c>
      <c r="D1762" t="str">
        <f>IF(Profile!C1825="Profile",IF(Profile!A1827="ResourceRequirement","OK","XXX"),"XXX")</f>
        <v>OK</v>
      </c>
    </row>
    <row r="1763" spans="1:4" x14ac:dyDescent="0.45">
      <c r="A1763">
        <f>ROW()</f>
        <v>1763</v>
      </c>
      <c r="B1763">
        <f>Profile!A1826</f>
        <v>0</v>
      </c>
      <c r="C1763">
        <f>Profile!AP1828</f>
        <v>0</v>
      </c>
      <c r="D1763" t="str">
        <f>IF(Profile!C1826="Profile",IF(Profile!A1828="ResourceRequirement","OK","XXX"),"XXX")</f>
        <v>XXX</v>
      </c>
    </row>
    <row r="1764" spans="1:4" x14ac:dyDescent="0.45">
      <c r="A1764">
        <f>ROW()</f>
        <v>1764</v>
      </c>
      <c r="B1764" t="str">
        <f>Profile!A1827</f>
        <v>ResourceRequirement</v>
      </c>
      <c r="C1764">
        <f>Profile!AP1829</f>
        <v>0</v>
      </c>
      <c r="D1764" t="str">
        <f>IF(Profile!C1827="Profile",IF(Profile!A1829="ResourceRequirement","OK","XXX"),"XXX")</f>
        <v>XXX</v>
      </c>
    </row>
    <row r="1765" spans="1:4" x14ac:dyDescent="0.45">
      <c r="A1765">
        <f>ROW()</f>
        <v>1765</v>
      </c>
      <c r="B1765" t="str">
        <f>Profile!A1828</f>
        <v>Resource MinVersion</v>
      </c>
      <c r="C1765">
        <f>Profile!AP1830</f>
        <v>0</v>
      </c>
      <c r="D1765" t="str">
        <f>IF(Profile!C1828="Profile",IF(Profile!A1830="ResourceRequirement","OK","XXX"),"XXX")</f>
        <v>XXX</v>
      </c>
    </row>
    <row r="1766" spans="1:4" x14ac:dyDescent="0.45">
      <c r="A1766">
        <f>ROW()</f>
        <v>1766</v>
      </c>
      <c r="B1766" t="str">
        <f>Profile!A1829</f>
        <v>Property</v>
      </c>
      <c r="C1766">
        <f>Profile!AP1831</f>
        <v>0</v>
      </c>
      <c r="D1766" t="str">
        <f>IF(Profile!C1829="Profile",IF(Profile!A1831="ResourceRequirement","OK","XXX"),"XXX")</f>
        <v>XXX</v>
      </c>
    </row>
    <row r="1767" spans="1:4" x14ac:dyDescent="0.45">
      <c r="A1767">
        <f>ROW()</f>
        <v>1767</v>
      </c>
      <c r="B1767" t="str">
        <f>Profile!A1830</f>
        <v>Parameters</v>
      </c>
      <c r="C1767">
        <f>Profile!AP1832</f>
        <v>0</v>
      </c>
      <c r="D1767" t="str">
        <f>IF(Profile!C1830="Profile",IF(Profile!A1832="ResourceRequirement","OK","XXX"),"XXX")</f>
        <v>XXX</v>
      </c>
    </row>
    <row r="1768" spans="1:4" x14ac:dyDescent="0.45">
      <c r="A1768">
        <f>ROW()</f>
        <v>1768</v>
      </c>
      <c r="B1768" t="str">
        <f>Profile!A1831</f>
        <v xml:space="preserve">   AllowableValues</v>
      </c>
      <c r="C1768">
        <f>Profile!AP1833</f>
        <v>0</v>
      </c>
      <c r="D1768" t="str">
        <f>IF(Profile!C1831="Profile",IF(Profile!A1833="ResourceRequirement","OK","XXX"),"XXX")</f>
        <v>XXX</v>
      </c>
    </row>
    <row r="1769" spans="1:4" x14ac:dyDescent="0.45">
      <c r="A1769">
        <f>ROW()</f>
        <v>1769</v>
      </c>
      <c r="B1769" t="str">
        <f>Profile!A1832</f>
        <v xml:space="preserve">   DataType</v>
      </c>
      <c r="C1769">
        <f>Profile!AP1834</f>
        <v>0</v>
      </c>
      <c r="D1769" t="str">
        <f>IF(Profile!C1832="Profile",IF(Profile!A1834="ResourceRequirement","OK","XXX"),"XXX")</f>
        <v>XXX</v>
      </c>
    </row>
    <row r="1770" spans="1:4" x14ac:dyDescent="0.45">
      <c r="A1770">
        <f>ROW()</f>
        <v>1770</v>
      </c>
      <c r="B1770" t="str">
        <f>Profile!A1833</f>
        <v xml:space="preserve">   MaximumValue</v>
      </c>
      <c r="C1770">
        <f>Profile!AP1835</f>
        <v>0</v>
      </c>
      <c r="D1770" t="str">
        <f>IF(Profile!C1833="Profile",IF(Profile!A1835="ResourceRequirement","OK","XXX"),"XXX")</f>
        <v>XXX</v>
      </c>
    </row>
    <row r="1771" spans="1:4" x14ac:dyDescent="0.45">
      <c r="A1771">
        <f>ROW()</f>
        <v>1771</v>
      </c>
      <c r="B1771" t="str">
        <f>Profile!A1834</f>
        <v xml:space="preserve">   MinimumValue</v>
      </c>
      <c r="C1771">
        <f>Profile!AP1836</f>
        <v>0</v>
      </c>
      <c r="D1771" t="str">
        <f>IF(Profile!C1834="Profile",IF(Profile!A1836="ResourceRequirement","OK","XXX"),"XXX")</f>
        <v>XXX</v>
      </c>
    </row>
    <row r="1772" spans="1:4" x14ac:dyDescent="0.45">
      <c r="A1772">
        <f>ROW()</f>
        <v>1772</v>
      </c>
      <c r="B1772" t="str">
        <f>Profile!A1835</f>
        <v xml:space="preserve">   Name</v>
      </c>
      <c r="C1772">
        <f>Profile!AP1837</f>
        <v>0</v>
      </c>
      <c r="D1772" t="str">
        <f>IF(Profile!C1835="Profile",IF(Profile!A1837="ResourceRequirement","OK","XXX"),"XXX")</f>
        <v>XXX</v>
      </c>
    </row>
    <row r="1773" spans="1:4" x14ac:dyDescent="0.45">
      <c r="A1773">
        <f>ROW()</f>
        <v>1773</v>
      </c>
      <c r="B1773" t="str">
        <f>Profile!A1836</f>
        <v xml:space="preserve">   ObjectDataType</v>
      </c>
      <c r="C1773">
        <f>Profile!AP1838</f>
        <v>0</v>
      </c>
      <c r="D1773" t="str">
        <f>IF(Profile!C1836="Profile",IF(Profile!A1838="ResourceRequirement","OK","XXX"),"XXX")</f>
        <v>XXX</v>
      </c>
    </row>
    <row r="1774" spans="1:4" x14ac:dyDescent="0.45">
      <c r="A1774">
        <f>ROW()</f>
        <v>1774</v>
      </c>
      <c r="B1774" t="str">
        <f>Profile!A1837</f>
        <v xml:space="preserve">   Required</v>
      </c>
      <c r="C1774">
        <f>Profile!AP1839</f>
        <v>0</v>
      </c>
      <c r="D1774" t="str">
        <f>IF(Profile!C1837="Profile",IF(Profile!A1839="ResourceRequirement","OK","XXX"),"XXX")</f>
        <v>XXX</v>
      </c>
    </row>
    <row r="1775" spans="1:4" x14ac:dyDescent="0.45">
      <c r="A1775">
        <f>ROW()</f>
        <v>1775</v>
      </c>
      <c r="B1775">
        <f>Profile!A1838</f>
        <v>0</v>
      </c>
      <c r="C1775">
        <f>Profile!AP1840</f>
        <v>0</v>
      </c>
      <c r="D1775" t="str">
        <f>IF(Profile!C1838="Profile",IF(Profile!A1840="ResourceRequirement","OK","XXX"),"XXX")</f>
        <v>XXX</v>
      </c>
    </row>
    <row r="1776" spans="1:4" x14ac:dyDescent="0.45">
      <c r="A1776">
        <f>ROW()</f>
        <v>1776</v>
      </c>
      <c r="B1776" t="str">
        <f>Profile!A1839</f>
        <v>1.1.6.2               Job</v>
      </c>
      <c r="C1776">
        <f>Profile!AP1841</f>
        <v>0</v>
      </c>
      <c r="D1776" t="str">
        <f>IF(Profile!C1839="Profile",IF(Profile!A1841="ResourceRequirement","OK","XXX"),"XXX")</f>
        <v>XXX</v>
      </c>
    </row>
    <row r="1777" spans="1:4" x14ac:dyDescent="0.45">
      <c r="A1777">
        <f>ROW()</f>
        <v>1777</v>
      </c>
      <c r="B1777" t="str">
        <f>Profile!A1840</f>
        <v>A Job resource contains information about a specific Job scheduled or being executed by a Redfish service’s JobService.</v>
      </c>
      <c r="C1777">
        <f>Profile!AP1842</f>
        <v>0</v>
      </c>
      <c r="D1777" t="str">
        <f>IF(Profile!C1840="Profile",IF(Profile!A1842="ResourceRequirement","OK","XXX"),"XXX")</f>
        <v>XXX</v>
      </c>
    </row>
    <row r="1778" spans="1:4" x14ac:dyDescent="0.45">
      <c r="A1778">
        <f>ROW()</f>
        <v>1778</v>
      </c>
      <c r="B1778" t="str">
        <f>Profile!A1841</f>
        <v>Table 56: O-PAS Profile Map for the Redfish Job Object</v>
      </c>
      <c r="C1778">
        <f>Profile!AP1843</f>
        <v>0</v>
      </c>
      <c r="D1778" t="str">
        <f>IF(Profile!C1841="Profile",IF(Profile!A1843="ResourceRequirement","OK","XXX"),"XXX")</f>
        <v>XXX</v>
      </c>
    </row>
    <row r="1779" spans="1:4" x14ac:dyDescent="0.45">
      <c r="A1779">
        <f>ROW()</f>
        <v>1779</v>
      </c>
      <c r="B1779" t="str">
        <f>Profile!A1842</f>
        <v>Job (1.0.0)</v>
      </c>
      <c r="C1779">
        <f>Profile!AP1844</f>
        <v>0</v>
      </c>
      <c r="D1779" t="str">
        <f>IF(Profile!C1842="Profile",IF(Profile!A1844="ResourceRequirement","OK","XXX"),"XXX")</f>
        <v>XXX</v>
      </c>
    </row>
    <row r="1780" spans="1:4" x14ac:dyDescent="0.45">
      <c r="A1780">
        <f>ROW()</f>
        <v>1780</v>
      </c>
      <c r="B1780">
        <f>Profile!A1843</f>
        <v>0</v>
      </c>
      <c r="C1780">
        <f>Profile!AP1845</f>
        <v>0</v>
      </c>
      <c r="D1780" t="str">
        <f>IF(Profile!C1843="Profile",IF(Profile!A1845="ResourceRequirement","OK","XXX"),"XXX")</f>
        <v>XXX</v>
      </c>
    </row>
    <row r="1781" spans="1:4" x14ac:dyDescent="0.45">
      <c r="A1781">
        <f>ROW()</f>
        <v>1781</v>
      </c>
      <c r="B1781" t="str">
        <f>Profile!A1844</f>
        <v>Job (1.0.2)</v>
      </c>
      <c r="C1781">
        <f>Profile!AP1846</f>
        <v>21</v>
      </c>
      <c r="D1781" t="str">
        <f>IF(Profile!C1844="Profile",IF(Profile!A1846="ResourceRequirement","OK","XXX"),"XXX")</f>
        <v>OK</v>
      </c>
    </row>
    <row r="1782" spans="1:4" x14ac:dyDescent="0.45">
      <c r="A1782">
        <f>ROW()</f>
        <v>1782</v>
      </c>
      <c r="B1782">
        <f>Profile!A1845</f>
        <v>0</v>
      </c>
      <c r="C1782">
        <f>Profile!AP1847</f>
        <v>0</v>
      </c>
      <c r="D1782" t="str">
        <f>IF(Profile!C1845="Profile",IF(Profile!A1847="ResourceRequirement","OK","XXX"),"XXX")</f>
        <v>XXX</v>
      </c>
    </row>
    <row r="1783" spans="1:4" x14ac:dyDescent="0.45">
      <c r="A1783">
        <f>ROW()</f>
        <v>1783</v>
      </c>
      <c r="B1783" t="str">
        <f>Profile!A1846</f>
        <v>ResourceRequirement</v>
      </c>
      <c r="C1783">
        <f>Profile!AP1848</f>
        <v>0</v>
      </c>
      <c r="D1783" t="str">
        <f>IF(Profile!C1846="Profile",IF(Profile!A1848="ResourceRequirement","OK","XXX"),"XXX")</f>
        <v>XXX</v>
      </c>
    </row>
    <row r="1784" spans="1:4" x14ac:dyDescent="0.45">
      <c r="A1784">
        <f>ROW()</f>
        <v>1784</v>
      </c>
      <c r="B1784" t="str">
        <f>Profile!A1847</f>
        <v>Resource MinVersion</v>
      </c>
      <c r="C1784">
        <f>Profile!AP1849</f>
        <v>0</v>
      </c>
      <c r="D1784" t="str">
        <f>IF(Profile!C1847="Profile",IF(Profile!A1849="ResourceRequirement","OK","XXX"),"XXX")</f>
        <v>XXX</v>
      </c>
    </row>
    <row r="1785" spans="1:4" x14ac:dyDescent="0.45">
      <c r="A1785">
        <f>ROW()</f>
        <v>1785</v>
      </c>
      <c r="B1785" t="str">
        <f>Profile!A1848</f>
        <v>Property</v>
      </c>
      <c r="C1785">
        <f>Profile!AP1850</f>
        <v>0</v>
      </c>
      <c r="D1785" t="str">
        <f>IF(Profile!C1848="Profile",IF(Profile!A1850="ResourceRequirement","OK","XXX"),"XXX")</f>
        <v>XXX</v>
      </c>
    </row>
    <row r="1786" spans="1:4" x14ac:dyDescent="0.45">
      <c r="A1786">
        <f>ROW()</f>
        <v>1786</v>
      </c>
      <c r="B1786" t="str">
        <f>Profile!A1849</f>
        <v>Actions</v>
      </c>
      <c r="C1786">
        <f>Profile!AP1851</f>
        <v>0</v>
      </c>
      <c r="D1786" t="str">
        <f>IF(Profile!C1849="Profile",IF(Profile!A1851="ResourceRequirement","OK","XXX"),"XXX")</f>
        <v>XXX</v>
      </c>
    </row>
    <row r="1787" spans="1:4" x14ac:dyDescent="0.45">
      <c r="A1787">
        <f>ROW()</f>
        <v>1787</v>
      </c>
      <c r="B1787" t="str">
        <f>Profile!A1850</f>
        <v>CreatedBy</v>
      </c>
      <c r="C1787">
        <f>Profile!AP1852</f>
        <v>0</v>
      </c>
      <c r="D1787" t="str">
        <f>IF(Profile!C1850="Profile",IF(Profile!A1852="ResourceRequirement","OK","XXX"),"XXX")</f>
        <v>XXX</v>
      </c>
    </row>
    <row r="1788" spans="1:4" x14ac:dyDescent="0.45">
      <c r="A1788">
        <f>ROW()</f>
        <v>1788</v>
      </c>
      <c r="B1788" t="str">
        <f>Profile!A1851</f>
        <v>EndTime</v>
      </c>
      <c r="C1788">
        <f>Profile!AP1853</f>
        <v>0</v>
      </c>
      <c r="D1788" t="str">
        <f>IF(Profile!C1851="Profile",IF(Profile!A1853="ResourceRequirement","OK","XXX"),"XXX")</f>
        <v>XXX</v>
      </c>
    </row>
    <row r="1789" spans="1:4" x14ac:dyDescent="0.45">
      <c r="A1789">
        <f>ROW()</f>
        <v>1789</v>
      </c>
      <c r="B1789" t="str">
        <f>Profile!A1852</f>
        <v>HidePayload</v>
      </c>
      <c r="C1789">
        <f>Profile!AP1854</f>
        <v>0</v>
      </c>
      <c r="D1789" t="str">
        <f>IF(Profile!C1852="Profile",IF(Profile!A1854="ResourceRequirement","OK","XXX"),"XXX")</f>
        <v>XXX</v>
      </c>
    </row>
    <row r="1790" spans="1:4" x14ac:dyDescent="0.45">
      <c r="A1790">
        <f>ROW()</f>
        <v>1790</v>
      </c>
      <c r="B1790" t="str">
        <f>Profile!A1853</f>
        <v>JobState</v>
      </c>
      <c r="C1790">
        <f>Profile!AP1855</f>
        <v>0</v>
      </c>
      <c r="D1790" t="str">
        <f>IF(Profile!C1853="Profile",IF(Profile!A1855="ResourceRequirement","OK","XXX"),"XXX")</f>
        <v>XXX</v>
      </c>
    </row>
    <row r="1791" spans="1:4" x14ac:dyDescent="0.45">
      <c r="A1791">
        <f>ROW()</f>
        <v>1791</v>
      </c>
      <c r="B1791" t="str">
        <f>Profile!A1854</f>
        <v>JobStatus</v>
      </c>
      <c r="C1791">
        <f>Profile!AP1856</f>
        <v>0</v>
      </c>
      <c r="D1791" t="str">
        <f>IF(Profile!C1854="Profile",IF(Profile!A1856="ResourceRequirement","OK","XXX"),"XXX")</f>
        <v>XXX</v>
      </c>
    </row>
    <row r="1792" spans="1:4" x14ac:dyDescent="0.45">
      <c r="A1792">
        <f>ROW()</f>
        <v>1792</v>
      </c>
      <c r="B1792" t="str">
        <f>Profile!A1855</f>
        <v>MaxExecutionTime</v>
      </c>
      <c r="C1792">
        <f>Profile!AP1857</f>
        <v>0</v>
      </c>
      <c r="D1792" t="str">
        <f>IF(Profile!C1855="Profile",IF(Profile!A1857="ResourceRequirement","OK","XXX"),"XXX")</f>
        <v>XXX</v>
      </c>
    </row>
    <row r="1793" spans="1:4" x14ac:dyDescent="0.45">
      <c r="A1793">
        <f>ROW()</f>
        <v>1793</v>
      </c>
      <c r="B1793" t="str">
        <f>Profile!A1856</f>
        <v>Messages</v>
      </c>
      <c r="C1793">
        <f>Profile!AP1858</f>
        <v>0</v>
      </c>
      <c r="D1793" t="str">
        <f>IF(Profile!C1856="Profile",IF(Profile!A1858="ResourceRequirement","OK","XXX"),"XXX")</f>
        <v>XXX</v>
      </c>
    </row>
    <row r="1794" spans="1:4" x14ac:dyDescent="0.45">
      <c r="A1794">
        <f>ROW()</f>
        <v>1794</v>
      </c>
      <c r="B1794" t="str">
        <f>Profile!A1857</f>
        <v>Payload</v>
      </c>
      <c r="C1794">
        <f>Profile!AP1859</f>
        <v>0</v>
      </c>
      <c r="D1794" t="str">
        <f>IF(Profile!C1857="Profile",IF(Profile!A1859="ResourceRequirement","OK","XXX"),"XXX")</f>
        <v>XXX</v>
      </c>
    </row>
    <row r="1795" spans="1:4" x14ac:dyDescent="0.45">
      <c r="A1795">
        <f>ROW()</f>
        <v>1795</v>
      </c>
      <c r="B1795" t="str">
        <f>Profile!A1858</f>
        <v xml:space="preserve">   HttpHeaders</v>
      </c>
      <c r="C1795">
        <f>Profile!AP1860</f>
        <v>0</v>
      </c>
      <c r="D1795" t="str">
        <f>IF(Profile!C1858="Profile",IF(Profile!A1860="ResourceRequirement","OK","XXX"),"XXX")</f>
        <v>XXX</v>
      </c>
    </row>
    <row r="1796" spans="1:4" x14ac:dyDescent="0.45">
      <c r="A1796">
        <f>ROW()</f>
        <v>1796</v>
      </c>
      <c r="B1796" t="str">
        <f>Profile!A1859</f>
        <v xml:space="preserve">   HttpOperation</v>
      </c>
      <c r="C1796">
        <f>Profile!AP1861</f>
        <v>0</v>
      </c>
      <c r="D1796" t="str">
        <f>IF(Profile!C1859="Profile",IF(Profile!A1861="ResourceRequirement","OK","XXX"),"XXX")</f>
        <v>XXX</v>
      </c>
    </row>
    <row r="1797" spans="1:4" x14ac:dyDescent="0.45">
      <c r="A1797">
        <f>ROW()</f>
        <v>1797</v>
      </c>
      <c r="B1797" t="str">
        <f>Profile!A1860</f>
        <v xml:space="preserve">   JsonBody</v>
      </c>
      <c r="C1797">
        <f>Profile!AP1862</f>
        <v>0</v>
      </c>
      <c r="D1797" t="str">
        <f>IF(Profile!C1860="Profile",IF(Profile!A1862="ResourceRequirement","OK","XXX"),"XXX")</f>
        <v>XXX</v>
      </c>
    </row>
    <row r="1798" spans="1:4" x14ac:dyDescent="0.45">
      <c r="A1798">
        <f>ROW()</f>
        <v>1798</v>
      </c>
      <c r="B1798" t="str">
        <f>Profile!A1861</f>
        <v xml:space="preserve">   TargetUri</v>
      </c>
      <c r="C1798">
        <f>Profile!AP1863</f>
        <v>0</v>
      </c>
      <c r="D1798" t="str">
        <f>IF(Profile!C1861="Profile",IF(Profile!A1863="ResourceRequirement","OK","XXX"),"XXX")</f>
        <v>XXX</v>
      </c>
    </row>
    <row r="1799" spans="1:4" x14ac:dyDescent="0.45">
      <c r="A1799">
        <f>ROW()</f>
        <v>1799</v>
      </c>
      <c r="B1799" t="str">
        <f>Profile!A1862</f>
        <v>PercentComplete</v>
      </c>
      <c r="C1799">
        <f>Profile!AP1864</f>
        <v>0</v>
      </c>
      <c r="D1799" t="str">
        <f>IF(Profile!C1862="Profile",IF(Profile!A1864="ResourceRequirement","OK","XXX"),"XXX")</f>
        <v>XXX</v>
      </c>
    </row>
    <row r="1800" spans="1:4" x14ac:dyDescent="0.45">
      <c r="A1800">
        <f>ROW()</f>
        <v>1800</v>
      </c>
      <c r="B1800" t="str">
        <f>Profile!A1863</f>
        <v>Schedule</v>
      </c>
      <c r="C1800">
        <f>Profile!AP1865</f>
        <v>0</v>
      </c>
      <c r="D1800" t="str">
        <f>IF(Profile!C1863="Profile",IF(Profile!A1865="ResourceRequirement","OK","XXX"),"XXX")</f>
        <v>XXX</v>
      </c>
    </row>
    <row r="1801" spans="1:4" x14ac:dyDescent="0.45">
      <c r="A1801">
        <f>ROW()</f>
        <v>1801</v>
      </c>
      <c r="B1801" t="str">
        <f>Profile!A1864</f>
        <v>StartTime</v>
      </c>
      <c r="C1801">
        <f>Profile!AP1866</f>
        <v>0</v>
      </c>
      <c r="D1801" t="str">
        <f>IF(Profile!C1864="Profile",IF(Profile!A1866="ResourceRequirement","OK","XXX"),"XXX")</f>
        <v>XXX</v>
      </c>
    </row>
    <row r="1802" spans="1:4" x14ac:dyDescent="0.45">
      <c r="A1802">
        <f>ROW()</f>
        <v>1802</v>
      </c>
      <c r="B1802" t="str">
        <f>Profile!A1865</f>
        <v>StepOrder</v>
      </c>
      <c r="C1802">
        <f>Profile!AP1867</f>
        <v>0</v>
      </c>
      <c r="D1802" t="str">
        <f>IF(Profile!C1865="Profile",IF(Profile!A1867="ResourceRequirement","OK","XXX"),"XXX")</f>
        <v>XXX</v>
      </c>
    </row>
    <row r="1803" spans="1:4" x14ac:dyDescent="0.45">
      <c r="A1803">
        <f>ROW()</f>
        <v>1803</v>
      </c>
      <c r="B1803" t="str">
        <f>Profile!A1866</f>
        <v>Steps</v>
      </c>
      <c r="C1803">
        <f>Profile!AP1868</f>
        <v>0</v>
      </c>
      <c r="D1803" t="str">
        <f>IF(Profile!C1866="Profile",IF(Profile!A1868="ResourceRequirement","OK","XXX"),"XXX")</f>
        <v>XXX</v>
      </c>
    </row>
    <row r="1804" spans="1:4" x14ac:dyDescent="0.45">
      <c r="A1804">
        <f>ROW()</f>
        <v>1804</v>
      </c>
      <c r="B1804" t="str">
        <f>Profile!A1867</f>
        <v xml:space="preserve">   @odata.id</v>
      </c>
      <c r="C1804">
        <f>Profile!AP1869</f>
        <v>0</v>
      </c>
      <c r="D1804" t="str">
        <f>IF(Profile!C1867="Profile",IF(Profile!A1869="ResourceRequirement","OK","XXX"),"XXX")</f>
        <v>XXX</v>
      </c>
    </row>
    <row r="1805" spans="1:4" x14ac:dyDescent="0.45">
      <c r="A1805">
        <f>ROW()</f>
        <v>1805</v>
      </c>
      <c r="B1805" t="str">
        <f>Profile!A1868</f>
        <v>Job URIs</v>
      </c>
      <c r="C1805">
        <f>Profile!AP1870</f>
        <v>0</v>
      </c>
      <c r="D1805" t="str">
        <f>IF(Profile!C1868="Profile",IF(Profile!A1870="ResourceRequirement","OK","XXX"),"XXX")</f>
        <v>XXX</v>
      </c>
    </row>
    <row r="1806" spans="1:4" x14ac:dyDescent="0.45">
      <c r="A1806">
        <f>ROW()</f>
        <v>1806</v>
      </c>
      <c r="B1806" t="str">
        <f>Profile!A1869</f>
        <v>/redfish/v1/JobService/Jobs/{JobId}</v>
      </c>
      <c r="C1806">
        <f>Profile!AP1871</f>
        <v>0</v>
      </c>
      <c r="D1806" t="str">
        <f>IF(Profile!C1869="Profile",IF(Profile!A1871="ResourceRequirement","OK","XXX"),"XXX")</f>
        <v>XXX</v>
      </c>
    </row>
    <row r="1807" spans="1:4" x14ac:dyDescent="0.45">
      <c r="A1807">
        <f>ROW()</f>
        <v>1807</v>
      </c>
      <c r="B1807" t="str">
        <f>Profile!A1870</f>
        <v>/redfish/v1/JobService/Jobs/{JobId}/Steps/{JobId2}</v>
      </c>
      <c r="C1807">
        <f>Profile!AP1872</f>
        <v>0</v>
      </c>
      <c r="D1807" t="str">
        <f>IF(Profile!C1870="Profile",IF(Profile!A1872="ResourceRequirement","OK","XXX"),"XXX")</f>
        <v>XXX</v>
      </c>
    </row>
    <row r="1808" spans="1:4" x14ac:dyDescent="0.45">
      <c r="A1808">
        <f>ROW()</f>
        <v>1808</v>
      </c>
      <c r="B1808">
        <f>Profile!A1871</f>
        <v>0</v>
      </c>
      <c r="C1808">
        <f>Profile!AP1873</f>
        <v>0</v>
      </c>
      <c r="D1808" t="str">
        <f>IF(Profile!C1871="Profile",IF(Profile!A1873="ResourceRequirement","OK","XXX"),"XXX")</f>
        <v>XXX</v>
      </c>
    </row>
    <row r="1809" spans="1:4" x14ac:dyDescent="0.45">
      <c r="A1809">
        <f>ROW()</f>
        <v>1809</v>
      </c>
      <c r="B1809" t="str">
        <f>Profile!A1872</f>
        <v>1.1.6.3               JobService</v>
      </c>
      <c r="C1809">
        <f>Profile!AP1874</f>
        <v>0</v>
      </c>
      <c r="D1809" t="str">
        <f>IF(Profile!C1872="Profile",IF(Profile!A1874="ResourceRequirement","OK","XXX"),"XXX")</f>
        <v>XXX</v>
      </c>
    </row>
    <row r="1810" spans="1:4" x14ac:dyDescent="0.45">
      <c r="A1810">
        <f>ROW()</f>
        <v>1810</v>
      </c>
      <c r="B1810" t="str">
        <f>Profile!A1873</f>
        <v>The JobService has the properties for the service itself and has links to the actual list of tasks.</v>
      </c>
      <c r="C1810">
        <f>Profile!AP1875</f>
        <v>0</v>
      </c>
      <c r="D1810" t="str">
        <f>IF(Profile!C1873="Profile",IF(Profile!A1875="ResourceRequirement","OK","XXX"),"XXX")</f>
        <v>XXX</v>
      </c>
    </row>
    <row r="1811" spans="1:4" x14ac:dyDescent="0.45">
      <c r="A1811">
        <f>ROW()</f>
        <v>1811</v>
      </c>
      <c r="B1811" t="str">
        <f>Profile!A1874</f>
        <v>Table 57: O-PAS Profile Map for the Redfish JobService</v>
      </c>
      <c r="C1811">
        <f>Profile!AP1876</f>
        <v>0</v>
      </c>
      <c r="D1811" t="str">
        <f>IF(Profile!C1874="Profile",IF(Profile!A1876="ResourceRequirement","OK","XXX"),"XXX")</f>
        <v>XXX</v>
      </c>
    </row>
    <row r="1812" spans="1:4" x14ac:dyDescent="0.45">
      <c r="A1812">
        <f>ROW()</f>
        <v>1812</v>
      </c>
      <c r="B1812" t="str">
        <f>Profile!A1875</f>
        <v>JobService (1.0.0)</v>
      </c>
      <c r="C1812">
        <f>Profile!AP1877</f>
        <v>0</v>
      </c>
      <c r="D1812" t="str">
        <f>IF(Profile!C1875="Profile",IF(Profile!A1877="ResourceRequirement","OK","XXX"),"XXX")</f>
        <v>XXX</v>
      </c>
    </row>
    <row r="1813" spans="1:4" x14ac:dyDescent="0.45">
      <c r="A1813">
        <f>ROW()</f>
        <v>1813</v>
      </c>
      <c r="B1813">
        <f>Profile!A1876</f>
        <v>0</v>
      </c>
      <c r="C1813">
        <f>Profile!AP1878</f>
        <v>0</v>
      </c>
      <c r="D1813" t="str">
        <f>IF(Profile!C1876="Profile",IF(Profile!A1878="ResourceRequirement","OK","XXX"),"XXX")</f>
        <v>XXX</v>
      </c>
    </row>
    <row r="1814" spans="1:4" x14ac:dyDescent="0.45">
      <c r="A1814">
        <f>ROW()</f>
        <v>1814</v>
      </c>
      <c r="B1814" t="str">
        <f>Profile!A1877</f>
        <v>JobService (1.0.1)</v>
      </c>
      <c r="C1814">
        <f>Profile!AP1879</f>
        <v>22</v>
      </c>
      <c r="D1814" t="str">
        <f>IF(Profile!C1877="Profile",IF(Profile!A1879="ResourceRequirement","OK","XXX"),"XXX")</f>
        <v>OK</v>
      </c>
    </row>
    <row r="1815" spans="1:4" x14ac:dyDescent="0.45">
      <c r="A1815">
        <f>ROW()</f>
        <v>1815</v>
      </c>
      <c r="B1815">
        <f>Profile!A1878</f>
        <v>0</v>
      </c>
      <c r="C1815">
        <f>Profile!AP1880</f>
        <v>0</v>
      </c>
      <c r="D1815" t="str">
        <f>IF(Profile!C1878="Profile",IF(Profile!A1880="ResourceRequirement","OK","XXX"),"XXX")</f>
        <v>XXX</v>
      </c>
    </row>
    <row r="1816" spans="1:4" x14ac:dyDescent="0.45">
      <c r="A1816">
        <f>ROW()</f>
        <v>1816</v>
      </c>
      <c r="B1816" t="str">
        <f>Profile!A1879</f>
        <v>ResourceRequirement</v>
      </c>
      <c r="C1816">
        <f>Profile!AP1881</f>
        <v>0</v>
      </c>
      <c r="D1816" t="str">
        <f>IF(Profile!C1879="Profile",IF(Profile!A1881="ResourceRequirement","OK","XXX"),"XXX")</f>
        <v>XXX</v>
      </c>
    </row>
    <row r="1817" spans="1:4" x14ac:dyDescent="0.45">
      <c r="A1817">
        <f>ROW()</f>
        <v>1817</v>
      </c>
      <c r="B1817" t="str">
        <f>Profile!A1880</f>
        <v>Resource MinVersion</v>
      </c>
      <c r="C1817">
        <f>Profile!AP1882</f>
        <v>0</v>
      </c>
      <c r="D1817" t="str">
        <f>IF(Profile!C1880="Profile",IF(Profile!A1882="ResourceRequirement","OK","XXX"),"XXX")</f>
        <v>XXX</v>
      </c>
    </row>
    <row r="1818" spans="1:4" x14ac:dyDescent="0.45">
      <c r="A1818">
        <f>ROW()</f>
        <v>1818</v>
      </c>
      <c r="B1818" t="str">
        <f>Profile!A1881</f>
        <v>Property</v>
      </c>
      <c r="C1818">
        <f>Profile!AP1883</f>
        <v>0</v>
      </c>
      <c r="D1818" t="str">
        <f>IF(Profile!C1881="Profile",IF(Profile!A1883="ResourceRequirement","OK","XXX"),"XXX")</f>
        <v>XXX</v>
      </c>
    </row>
    <row r="1819" spans="1:4" x14ac:dyDescent="0.45">
      <c r="A1819">
        <f>ROW()</f>
        <v>1819</v>
      </c>
      <c r="B1819" t="str">
        <f>Profile!A1882</f>
        <v>Actions</v>
      </c>
      <c r="C1819">
        <f>Profile!AP1884</f>
        <v>0</v>
      </c>
      <c r="D1819" t="str">
        <f>IF(Profile!C1882="Profile",IF(Profile!A1884="ResourceRequirement","OK","XXX"),"XXX")</f>
        <v>XXX</v>
      </c>
    </row>
    <row r="1820" spans="1:4" x14ac:dyDescent="0.45">
      <c r="A1820">
        <f>ROW()</f>
        <v>1820</v>
      </c>
      <c r="B1820" t="str">
        <f>Profile!A1883</f>
        <v>DateTime</v>
      </c>
      <c r="C1820">
        <f>Profile!AP1885</f>
        <v>0</v>
      </c>
      <c r="D1820" t="str">
        <f>IF(Profile!C1883="Profile",IF(Profile!A1885="ResourceRequirement","OK","XXX"),"XXX")</f>
        <v>XXX</v>
      </c>
    </row>
    <row r="1821" spans="1:4" x14ac:dyDescent="0.45">
      <c r="A1821">
        <f>ROW()</f>
        <v>1821</v>
      </c>
      <c r="B1821" t="str">
        <f>Profile!A1884</f>
        <v>Jobs</v>
      </c>
      <c r="C1821">
        <f>Profile!AP1886</f>
        <v>0</v>
      </c>
      <c r="D1821" t="str">
        <f>IF(Profile!C1884="Profile",IF(Profile!A1886="ResourceRequirement","OK","XXX"),"XXX")</f>
        <v>XXX</v>
      </c>
    </row>
    <row r="1822" spans="1:4" x14ac:dyDescent="0.45">
      <c r="A1822">
        <f>ROW()</f>
        <v>1822</v>
      </c>
      <c r="B1822" t="str">
        <f>Profile!A1885</f>
        <v xml:space="preserve">   @odata.id</v>
      </c>
      <c r="C1822">
        <f>Profile!AP1887</f>
        <v>0</v>
      </c>
      <c r="D1822" t="str">
        <f>IF(Profile!C1885="Profile",IF(Profile!A1887="ResourceRequirement","OK","XXX"),"XXX")</f>
        <v>XXX</v>
      </c>
    </row>
    <row r="1823" spans="1:4" x14ac:dyDescent="0.45">
      <c r="A1823">
        <f>ROW()</f>
        <v>1823</v>
      </c>
      <c r="B1823" t="str">
        <f>Profile!A1886</f>
        <v>Log</v>
      </c>
      <c r="C1823">
        <f>Profile!AP1888</f>
        <v>0</v>
      </c>
      <c r="D1823" t="str">
        <f>IF(Profile!C1886="Profile",IF(Profile!A1888="ResourceRequirement","OK","XXX"),"XXX")</f>
        <v>XXX</v>
      </c>
    </row>
    <row r="1824" spans="1:4" x14ac:dyDescent="0.45">
      <c r="A1824">
        <f>ROW()</f>
        <v>1824</v>
      </c>
      <c r="B1824" t="str">
        <f>Profile!A1887</f>
        <v xml:space="preserve">   @odata.id</v>
      </c>
      <c r="C1824">
        <f>Profile!AP1889</f>
        <v>0</v>
      </c>
      <c r="D1824" t="str">
        <f>IF(Profile!C1887="Profile",IF(Profile!A1889="ResourceRequirement","OK","XXX"),"XXX")</f>
        <v>XXX</v>
      </c>
    </row>
    <row r="1825" spans="1:4" x14ac:dyDescent="0.45">
      <c r="A1825">
        <f>ROW()</f>
        <v>1825</v>
      </c>
      <c r="B1825" t="str">
        <f>Profile!A1888</f>
        <v>ServiceCapabilities</v>
      </c>
      <c r="C1825">
        <f>Profile!AP1890</f>
        <v>0</v>
      </c>
      <c r="D1825" t="str">
        <f>IF(Profile!C1888="Profile",IF(Profile!A1890="ResourceRequirement","OK","XXX"),"XXX")</f>
        <v>XXX</v>
      </c>
    </row>
    <row r="1826" spans="1:4" x14ac:dyDescent="0.45">
      <c r="A1826">
        <f>ROW()</f>
        <v>1826</v>
      </c>
      <c r="B1826" t="str">
        <f>Profile!A1889</f>
        <v xml:space="preserve">   MaxJobs</v>
      </c>
      <c r="C1826">
        <f>Profile!AP1891</f>
        <v>0</v>
      </c>
      <c r="D1826" t="str">
        <f>IF(Profile!C1889="Profile",IF(Profile!A1891="ResourceRequirement","OK","XXX"),"XXX")</f>
        <v>XXX</v>
      </c>
    </row>
    <row r="1827" spans="1:4" x14ac:dyDescent="0.45">
      <c r="A1827">
        <f>ROW()</f>
        <v>1827</v>
      </c>
      <c r="B1827" t="str">
        <f>Profile!A1890</f>
        <v xml:space="preserve">   MaxSteps</v>
      </c>
      <c r="C1827">
        <f>Profile!AP1892</f>
        <v>0</v>
      </c>
      <c r="D1827" t="str">
        <f>IF(Profile!C1890="Profile",IF(Profile!A1892="ResourceRequirement","OK","XXX"),"XXX")</f>
        <v>XXX</v>
      </c>
    </row>
    <row r="1828" spans="1:4" x14ac:dyDescent="0.45">
      <c r="A1828">
        <f>ROW()</f>
        <v>1828</v>
      </c>
      <c r="B1828" t="str">
        <f>Profile!A1891</f>
        <v xml:space="preserve">   Scheduling</v>
      </c>
      <c r="C1828">
        <f>Profile!AP1893</f>
        <v>0</v>
      </c>
      <c r="D1828" t="str">
        <f>IF(Profile!C1891="Profile",IF(Profile!A1893="ResourceRequirement","OK","XXX"),"XXX")</f>
        <v>XXX</v>
      </c>
    </row>
    <row r="1829" spans="1:4" x14ac:dyDescent="0.45">
      <c r="A1829">
        <f>ROW()</f>
        <v>1829</v>
      </c>
      <c r="B1829" t="str">
        <f>Profile!A1892</f>
        <v>ServiceEnabled</v>
      </c>
      <c r="C1829">
        <f>Profile!AP1896</f>
        <v>0</v>
      </c>
      <c r="D1829" t="str">
        <f>IF(Profile!C1892="Profile",IF(Profile!A1896="ResourceRequirement","OK","XXX"),"XXX")</f>
        <v>XXX</v>
      </c>
    </row>
    <row r="1830" spans="1:4" x14ac:dyDescent="0.45">
      <c r="A1830">
        <f>ROW()</f>
        <v>1830</v>
      </c>
      <c r="B1830" t="str">
        <f>Profile!A1893</f>
        <v>Status</v>
      </c>
      <c r="C1830">
        <f>Profile!AP1897</f>
        <v>0</v>
      </c>
      <c r="D1830" t="str">
        <f>IF(Profile!C1893="Profile",IF(Profile!A1897="ResourceRequirement","OK","XXX"),"XXX")</f>
        <v>XXX</v>
      </c>
    </row>
    <row r="1831" spans="1:4" x14ac:dyDescent="0.45">
      <c r="A1831">
        <f>ROW()</f>
        <v>1831</v>
      </c>
      <c r="B1831" t="str">
        <f>Profile!A1896</f>
        <v>JobService URIs</v>
      </c>
      <c r="C1831">
        <f>Profile!AP1898</f>
        <v>0</v>
      </c>
      <c r="D1831" t="str">
        <f>IF(Profile!C1896="Profile",IF(Profile!A1898="ResourceRequirement","OK","XXX"),"XXX")</f>
        <v>XXX</v>
      </c>
    </row>
    <row r="1832" spans="1:4" x14ac:dyDescent="0.45">
      <c r="A1832">
        <f>ROW()</f>
        <v>1832</v>
      </c>
      <c r="B1832" t="str">
        <f>Profile!A1897</f>
        <v>/redfish/v1/JobService</v>
      </c>
      <c r="C1832">
        <f>Profile!AP1899</f>
        <v>0</v>
      </c>
      <c r="D1832" t="str">
        <f>IF(Profile!C1897="Profile",IF(Profile!A1899="ResourceRequirement","OK","XXX"),"XXX")</f>
        <v>XXX</v>
      </c>
    </row>
    <row r="1833" spans="1:4" x14ac:dyDescent="0.45">
      <c r="A1833">
        <f>ROW()</f>
        <v>1833</v>
      </c>
      <c r="B1833">
        <f>Profile!A1898</f>
        <v>0</v>
      </c>
      <c r="C1833">
        <f>Profile!AP1900</f>
        <v>0</v>
      </c>
      <c r="D1833" t="str">
        <f>IF(Profile!C1898="Profile",IF(Profile!A1900="ResourceRequirement","OK","XXX"),"XXX")</f>
        <v>XXX</v>
      </c>
    </row>
    <row r="1834" spans="1:4" x14ac:dyDescent="0.45">
      <c r="A1834">
        <f>ROW()</f>
        <v>1834</v>
      </c>
      <c r="B1834" t="str">
        <f>Profile!A1899</f>
        <v>1.1.6.4               MaintenanceWindow</v>
      </c>
      <c r="C1834">
        <f>Profile!AP1901</f>
        <v>0</v>
      </c>
      <c r="D1834" t="str">
        <f>IF(Profile!C1899="Profile",IF(Profile!A1901="ResourceRequirement","OK","XXX"),"XXX")</f>
        <v>XXX</v>
      </c>
    </row>
    <row r="1835" spans="1:4" x14ac:dyDescent="0.45">
      <c r="A1835">
        <f>ROW()</f>
        <v>1835</v>
      </c>
      <c r="B1835" t="str">
        <f>Profile!A1900</f>
        <v>A MaintenanceWindow defines an object which indicates if a given resource has a maintenance window assignment for applying settings or operations.</v>
      </c>
      <c r="C1835">
        <f>Profile!AP1902</f>
        <v>0</v>
      </c>
      <c r="D1835" t="str">
        <f>IF(Profile!C1900="Profile",IF(Profile!A1902="ResourceRequirement","OK","XXX"),"XXX")</f>
        <v>XXX</v>
      </c>
    </row>
    <row r="1836" spans="1:4" x14ac:dyDescent="0.45">
      <c r="A1836">
        <f>ROW()</f>
        <v>1836</v>
      </c>
      <c r="B1836" t="str">
        <f>Profile!A1901</f>
        <v>Table 58: O-PAS Profile Map for the Redfish MaintenanceWindow Object</v>
      </c>
      <c r="C1836">
        <f>Profile!AP1903</f>
        <v>0</v>
      </c>
      <c r="D1836" t="str">
        <f>IF(Profile!C1901="Profile",IF(Profile!A1903="ResourceRequirement","OK","XXX"),"XXX")</f>
        <v>XXX</v>
      </c>
    </row>
    <row r="1837" spans="1:4" x14ac:dyDescent="0.45">
      <c r="A1837">
        <f>ROW()</f>
        <v>1837</v>
      </c>
      <c r="B1837" t="str">
        <f>Profile!A1902</f>
        <v>MaintenanceWindow</v>
      </c>
      <c r="C1837">
        <f>Profile!AP1904</f>
        <v>0</v>
      </c>
      <c r="D1837" t="str">
        <f>IF(Profile!C1902="Profile",IF(Profile!A1904="ResourceRequirement","OK","XXX"),"XXX")</f>
        <v>XXX</v>
      </c>
    </row>
    <row r="1838" spans="1:4" x14ac:dyDescent="0.45">
      <c r="A1838">
        <f>ROW()</f>
        <v>1838</v>
      </c>
      <c r="B1838">
        <f>Profile!A1903</f>
        <v>0</v>
      </c>
      <c r="C1838">
        <f>Profile!AP1905</f>
        <v>0</v>
      </c>
      <c r="D1838" t="str">
        <f>IF(Profile!C1903="Profile",IF(Profile!A1905="ResourceRequirement","OK","XXX"),"XXX")</f>
        <v>XXX</v>
      </c>
    </row>
    <row r="1839" spans="1:4" x14ac:dyDescent="0.45">
      <c r="A1839">
        <f>ROW()</f>
        <v>1839</v>
      </c>
      <c r="B1839" t="str">
        <f>Profile!A1904</f>
        <v>Property</v>
      </c>
      <c r="C1839">
        <f>Profile!AP1906</f>
        <v>0</v>
      </c>
      <c r="D1839" t="str">
        <f>IF(Profile!C1904="Profile",IF(Profile!A1906="ResourceRequirement","OK","XXX"),"XXX")</f>
        <v>XXX</v>
      </c>
    </row>
    <row r="1840" spans="1:4" x14ac:dyDescent="0.45">
      <c r="A1840">
        <f>ROW()</f>
        <v>1840</v>
      </c>
      <c r="B1840" t="str">
        <f>Profile!A1905</f>
        <v>MaintenanceWindowDurationInSeconds</v>
      </c>
      <c r="C1840">
        <f>Profile!AP1907</f>
        <v>0</v>
      </c>
      <c r="D1840" t="str">
        <f>IF(Profile!C1905="Profile",IF(Profile!A1907="ResourceRequirement","OK","XXX"),"XXX")</f>
        <v>XXX</v>
      </c>
    </row>
    <row r="1841" spans="1:4" x14ac:dyDescent="0.45">
      <c r="A1841">
        <f>ROW()</f>
        <v>1841</v>
      </c>
      <c r="B1841" t="str">
        <f>Profile!A1906</f>
        <v>MaintenanceWindowStartTime</v>
      </c>
      <c r="C1841">
        <f>Profile!AP1908</f>
        <v>0</v>
      </c>
      <c r="D1841" t="str">
        <f>IF(Profile!C1906="Profile",IF(Profile!A1908="ResourceRequirement","OK","XXX"),"XXX")</f>
        <v>XXX</v>
      </c>
    </row>
    <row r="1842" spans="1:4" x14ac:dyDescent="0.45">
      <c r="A1842">
        <f>ROW()</f>
        <v>1842</v>
      </c>
      <c r="B1842">
        <f>Profile!A1907</f>
        <v>0</v>
      </c>
      <c r="C1842">
        <f>Profile!AP1909</f>
        <v>0</v>
      </c>
      <c r="D1842" t="str">
        <f>IF(Profile!C1907="Profile",IF(Profile!A1909="ResourceRequirement","OK","XXX"),"XXX")</f>
        <v>XXX</v>
      </c>
    </row>
    <row r="1843" spans="1:4" x14ac:dyDescent="0.45">
      <c r="A1843">
        <f>ROW()</f>
        <v>1843</v>
      </c>
      <c r="B1843" t="str">
        <f>Profile!A1908</f>
        <v>1.1.6.5               OperationApplyTimeSupport</v>
      </c>
      <c r="C1843">
        <f>Profile!AP1910</f>
        <v>0</v>
      </c>
      <c r="D1843" t="str">
        <f>IF(Profile!C1908="Profile",IF(Profile!A1910="ResourceRequirement","OK","XXX"),"XXX")</f>
        <v>XXX</v>
      </c>
    </row>
    <row r="1844" spans="1:4" x14ac:dyDescent="0.45">
      <c r="A1844">
        <f>ROW()</f>
        <v>1844</v>
      </c>
      <c r="B1844" t="str">
        <f>Profile!A1909</f>
        <v>An OperationApplyTimeSupport object defines an object which indicates if a client is allowed to request for a specific apply time of a Create, Delete, or Action operation of a given resource.</v>
      </c>
      <c r="C1844">
        <f>Profile!AP1911</f>
        <v>0</v>
      </c>
      <c r="D1844" t="str">
        <f>IF(Profile!C1909="Profile",IF(Profile!A1911="ResourceRequirement","OK","XXX"),"XXX")</f>
        <v>XXX</v>
      </c>
    </row>
    <row r="1845" spans="1:4" x14ac:dyDescent="0.45">
      <c r="A1845">
        <f>ROW()</f>
        <v>1845</v>
      </c>
      <c r="B1845" t="str">
        <f>Profile!A1910</f>
        <v>Table 59: O-PAS Profile Map for the Redfish OperationApplyTimeSupport Object</v>
      </c>
      <c r="C1845">
        <f>Profile!AP1912</f>
        <v>0</v>
      </c>
      <c r="D1845" t="str">
        <f>IF(Profile!C1910="Profile",IF(Profile!A1912="ResourceRequirement","OK","XXX"),"XXX")</f>
        <v>XXX</v>
      </c>
    </row>
    <row r="1846" spans="1:4" x14ac:dyDescent="0.45">
      <c r="A1846">
        <f>ROW()</f>
        <v>1846</v>
      </c>
      <c r="B1846" t="str">
        <f>Profile!A1911</f>
        <v>OperationApplyTimeSupport</v>
      </c>
      <c r="C1846">
        <f>Profile!AP1913</f>
        <v>0</v>
      </c>
      <c r="D1846" t="str">
        <f>IF(Profile!C1911="Profile",IF(Profile!A1913="ResourceRequirement","OK","XXX"),"XXX")</f>
        <v>XXX</v>
      </c>
    </row>
    <row r="1847" spans="1:4" x14ac:dyDescent="0.45">
      <c r="A1847">
        <f>ROW()</f>
        <v>1847</v>
      </c>
      <c r="B1847">
        <f>Profile!A1912</f>
        <v>0</v>
      </c>
      <c r="C1847">
        <f>Profile!AP1914</f>
        <v>0</v>
      </c>
      <c r="D1847" t="str">
        <f>IF(Profile!C1912="Profile",IF(Profile!A1914="ResourceRequirement","OK","XXX"),"XXX")</f>
        <v>XXX</v>
      </c>
    </row>
    <row r="1848" spans="1:4" x14ac:dyDescent="0.45">
      <c r="A1848">
        <f>ROW()</f>
        <v>1848</v>
      </c>
      <c r="B1848" t="str">
        <f>Profile!A1913</f>
        <v>Property</v>
      </c>
      <c r="C1848">
        <f>Profile!AP1915</f>
        <v>0</v>
      </c>
      <c r="D1848" t="str">
        <f>IF(Profile!C1913="Profile",IF(Profile!A1915="ResourceRequirement","OK","XXX"),"XXX")</f>
        <v>XXX</v>
      </c>
    </row>
    <row r="1849" spans="1:4" x14ac:dyDescent="0.45">
      <c r="A1849">
        <f>ROW()</f>
        <v>1849</v>
      </c>
      <c r="B1849" t="str">
        <f>Profile!A1914</f>
        <v>MaintenanceWindowDurationInSeconds</v>
      </c>
      <c r="C1849">
        <f>Profile!AP1916</f>
        <v>0</v>
      </c>
      <c r="D1849" t="str">
        <f>IF(Profile!C1914="Profile",IF(Profile!A1916="ResourceRequirement","OK","XXX"),"XXX")</f>
        <v>XXX</v>
      </c>
    </row>
    <row r="1850" spans="1:4" x14ac:dyDescent="0.45">
      <c r="A1850">
        <f>ROW()</f>
        <v>1850</v>
      </c>
      <c r="B1850" t="str">
        <f>Profile!A1915</f>
        <v>MaintenanceWindowResource</v>
      </c>
      <c r="C1850">
        <f>Profile!AP1917</f>
        <v>0</v>
      </c>
      <c r="D1850" t="str">
        <f>IF(Profile!C1915="Profile",IF(Profile!A1917="ResourceRequirement","OK","XXX"),"XXX")</f>
        <v>XXX</v>
      </c>
    </row>
    <row r="1851" spans="1:4" x14ac:dyDescent="0.45">
      <c r="A1851">
        <f>ROW()</f>
        <v>1851</v>
      </c>
      <c r="B1851" t="str">
        <f>Profile!A1916</f>
        <v xml:space="preserve">   @odata.id</v>
      </c>
      <c r="C1851">
        <f>Profile!AP1918</f>
        <v>0</v>
      </c>
      <c r="D1851" t="str">
        <f>IF(Profile!C1916="Profile",IF(Profile!A1918="ResourceRequirement","OK","XXX"),"XXX")</f>
        <v>XXX</v>
      </c>
    </row>
    <row r="1852" spans="1:4" x14ac:dyDescent="0.45">
      <c r="A1852">
        <f>ROW()</f>
        <v>1852</v>
      </c>
      <c r="B1852" t="str">
        <f>Profile!A1917</f>
        <v>MaintenanceWindowStartTime</v>
      </c>
      <c r="C1852">
        <f>Profile!AP1919</f>
        <v>0</v>
      </c>
      <c r="D1852" t="str">
        <f>IF(Profile!C1917="Profile",IF(Profile!A1919="ResourceRequirement","OK","XXX"),"XXX")</f>
        <v>XXX</v>
      </c>
    </row>
    <row r="1853" spans="1:4" x14ac:dyDescent="0.45">
      <c r="A1853">
        <f>ROW()</f>
        <v>1853</v>
      </c>
      <c r="B1853" t="str">
        <f>Profile!A1918</f>
        <v>SupportedValues</v>
      </c>
      <c r="C1853">
        <f>Profile!AP1920</f>
        <v>0</v>
      </c>
      <c r="D1853" t="str">
        <f>IF(Profile!C1918="Profile",IF(Profile!A1920="ResourceRequirement","OK","XXX"),"XXX")</f>
        <v>XXX</v>
      </c>
    </row>
    <row r="1854" spans="1:4" x14ac:dyDescent="0.45">
      <c r="A1854">
        <f>ROW()</f>
        <v>1854</v>
      </c>
      <c r="B1854">
        <f>Profile!A1919</f>
        <v>0</v>
      </c>
      <c r="C1854">
        <f>Profile!AP1921</f>
        <v>0</v>
      </c>
      <c r="D1854" t="str">
        <f>IF(Profile!C1919="Profile",IF(Profile!A1921="ResourceRequirement","OK","XXX"),"XXX")</f>
        <v>XXX</v>
      </c>
    </row>
    <row r="1855" spans="1:4" x14ac:dyDescent="0.45">
      <c r="A1855">
        <f>ROW()</f>
        <v>1855</v>
      </c>
      <c r="B1855" t="str">
        <f>Profile!A1920</f>
        <v>1.1.6.6               PreferredApplyTime</v>
      </c>
      <c r="C1855">
        <f>Profile!AP1922</f>
        <v>0</v>
      </c>
      <c r="D1855" t="str">
        <f>IF(Profile!C1920="Profile",IF(Profile!A1922="ResourceRequirement","OK","XXX"),"XXX")</f>
        <v>XXX</v>
      </c>
    </row>
    <row r="1856" spans="1:4" x14ac:dyDescent="0.45">
      <c r="A1856">
        <f>ROW()</f>
        <v>1856</v>
      </c>
      <c r="B1856" t="str">
        <f>Profile!A1921</f>
        <v>A PreferredApplyTime object indicates when the future configuration (i.e., Settings resource) should be applied.</v>
      </c>
      <c r="C1856">
        <f>Profile!AP1923</f>
        <v>0</v>
      </c>
      <c r="D1856" t="str">
        <f>IF(Profile!C1921="Profile",IF(Profile!A1923="ResourceRequirement","OK","XXX"),"XXX")</f>
        <v>XXX</v>
      </c>
    </row>
    <row r="1857" spans="1:4" x14ac:dyDescent="0.45">
      <c r="A1857">
        <f>ROW()</f>
        <v>1857</v>
      </c>
      <c r="B1857" t="str">
        <f>Profile!A1922</f>
        <v>Table 60: O-PAS Profile Map for the Redfish PreferredApplyTime Object</v>
      </c>
      <c r="C1857">
        <f>Profile!AP1924</f>
        <v>0</v>
      </c>
      <c r="D1857" t="str">
        <f>IF(Profile!C1922="Profile",IF(Profile!A1924="ResourceRequirement","OK","XXX"),"XXX")</f>
        <v>XXX</v>
      </c>
    </row>
    <row r="1858" spans="1:4" x14ac:dyDescent="0.45">
      <c r="A1858">
        <f>ROW()</f>
        <v>1858</v>
      </c>
      <c r="B1858" t="str">
        <f>Profile!A1923</f>
        <v>PreferredApplyTime</v>
      </c>
      <c r="C1858">
        <f>Profile!AP1925</f>
        <v>0</v>
      </c>
      <c r="D1858" t="str">
        <f>IF(Profile!C1923="Profile",IF(Profile!A1925="ResourceRequirement","OK","XXX"),"XXX")</f>
        <v>XXX</v>
      </c>
    </row>
    <row r="1859" spans="1:4" x14ac:dyDescent="0.45">
      <c r="A1859">
        <f>ROW()</f>
        <v>1859</v>
      </c>
      <c r="B1859">
        <f>Profile!A1924</f>
        <v>0</v>
      </c>
      <c r="C1859">
        <f>Profile!AP1926</f>
        <v>0</v>
      </c>
      <c r="D1859" t="str">
        <f>IF(Profile!C1924="Profile",IF(Profile!A1926="ResourceRequirement","OK","XXX"),"XXX")</f>
        <v>XXX</v>
      </c>
    </row>
    <row r="1860" spans="1:4" x14ac:dyDescent="0.45">
      <c r="A1860">
        <f>ROW()</f>
        <v>1860</v>
      </c>
      <c r="B1860" t="str">
        <f>Profile!A1925</f>
        <v>Property</v>
      </c>
      <c r="C1860">
        <f>Profile!AP1927</f>
        <v>0</v>
      </c>
      <c r="D1860" t="str">
        <f>IF(Profile!C1925="Profile",IF(Profile!A1927="ResourceRequirement","OK","XXX"),"XXX")</f>
        <v>XXX</v>
      </c>
    </row>
    <row r="1861" spans="1:4" x14ac:dyDescent="0.45">
      <c r="A1861">
        <f>ROW()</f>
        <v>1861</v>
      </c>
      <c r="B1861" t="str">
        <f>Profile!A1926</f>
        <v>ApplyTime</v>
      </c>
      <c r="C1861">
        <f>Profile!AP1928</f>
        <v>0</v>
      </c>
      <c r="D1861" t="str">
        <f>IF(Profile!C1926="Profile",IF(Profile!A1928="ResourceRequirement","OK","XXX"),"XXX")</f>
        <v>XXX</v>
      </c>
    </row>
    <row r="1862" spans="1:4" x14ac:dyDescent="0.45">
      <c r="A1862">
        <f>ROW()</f>
        <v>1862</v>
      </c>
      <c r="B1862" t="str">
        <f>Profile!A1927</f>
        <v>MaintenanceWindowDurationInSeconds</v>
      </c>
      <c r="C1862">
        <f>Profile!AP1929</f>
        <v>0</v>
      </c>
      <c r="D1862" t="str">
        <f>IF(Profile!C1927="Profile",IF(Profile!A1929="ResourceRequirement","OK","XXX"),"XXX")</f>
        <v>XXX</v>
      </c>
    </row>
    <row r="1863" spans="1:4" x14ac:dyDescent="0.45">
      <c r="A1863">
        <f>ROW()</f>
        <v>1863</v>
      </c>
      <c r="B1863" t="str">
        <f>Profile!A1928</f>
        <v>MaintenanceWindowStartTime</v>
      </c>
      <c r="C1863">
        <f>Profile!AP1930</f>
        <v>0</v>
      </c>
      <c r="D1863" t="str">
        <f>IF(Profile!C1928="Profile",IF(Profile!A1930="ResourceRequirement","OK","XXX"),"XXX")</f>
        <v>XXX</v>
      </c>
    </row>
    <row r="1864" spans="1:4" x14ac:dyDescent="0.45">
      <c r="A1864">
        <f>ROW()</f>
        <v>1864</v>
      </c>
      <c r="B1864">
        <f>Profile!A1929</f>
        <v>0</v>
      </c>
      <c r="C1864">
        <f>Profile!AP1931</f>
        <v>0</v>
      </c>
      <c r="D1864" t="str">
        <f>IF(Profile!C1929="Profile",IF(Profile!A1931="ResourceRequirement","OK","XXX"),"XXX")</f>
        <v>XXX</v>
      </c>
    </row>
    <row r="1865" spans="1:4" x14ac:dyDescent="0.45">
      <c r="A1865">
        <f>ROW()</f>
        <v>1865</v>
      </c>
      <c r="B1865" t="str">
        <f>Profile!A1930</f>
        <v>1.1.6.7               Redundancy</v>
      </c>
      <c r="C1865">
        <f>Profile!AP1932</f>
        <v>0</v>
      </c>
      <c r="D1865" t="str">
        <f>IF(Profile!C1930="Profile",IF(Profile!A1932="ResourceRequirement","OK","XXX"),"XXX")</f>
        <v>XXX</v>
      </c>
    </row>
    <row r="1866" spans="1:4" x14ac:dyDescent="0.45">
      <c r="A1866">
        <f>ROW()</f>
        <v>1866</v>
      </c>
      <c r="B1866" t="str">
        <f>Profile!A1931</f>
        <v>The Redundancy objects are used in other resource schemas.</v>
      </c>
      <c r="C1866">
        <f>Profile!AP1933</f>
        <v>0</v>
      </c>
      <c r="D1866" t="str">
        <f>IF(Profile!C1931="Profile",IF(Profile!A1933="ResourceRequirement","OK","XXX"),"XXX")</f>
        <v>XXX</v>
      </c>
    </row>
    <row r="1867" spans="1:4" x14ac:dyDescent="0.45">
      <c r="A1867">
        <f>ROW()</f>
        <v>1867</v>
      </c>
      <c r="B1867" t="str">
        <f>Profile!A1932</f>
        <v>Table 61: O-PAS Profile Map for the Redfish Redundancy Object</v>
      </c>
      <c r="C1867">
        <f>Profile!AP1934</f>
        <v>0</v>
      </c>
      <c r="D1867" t="str">
        <f>IF(Profile!C1932="Profile",IF(Profile!A1934="ResourceRequirement","OK","XXX"),"XXX")</f>
        <v>XXX</v>
      </c>
    </row>
    <row r="1868" spans="1:4" x14ac:dyDescent="0.45">
      <c r="A1868">
        <f>ROW()</f>
        <v>1868</v>
      </c>
      <c r="B1868" t="str">
        <f>Profile!A1933</f>
        <v>Redundancy (1.3.1)</v>
      </c>
      <c r="C1868">
        <f>Profile!AP1935</f>
        <v>0</v>
      </c>
      <c r="D1868" t="str">
        <f>IF(Profile!C1933="Profile",IF(Profile!A1935="ResourceRequirement","OK","XXX"),"XXX")</f>
        <v>XXX</v>
      </c>
    </row>
    <row r="1869" spans="1:4" x14ac:dyDescent="0.45">
      <c r="A1869">
        <f>ROW()</f>
        <v>1869</v>
      </c>
      <c r="B1869">
        <f>Profile!A1934</f>
        <v>0</v>
      </c>
      <c r="C1869">
        <f>Profile!AP1936</f>
        <v>0</v>
      </c>
      <c r="D1869" t="str">
        <f>IF(Profile!C1934="Profile",IF(Profile!A1936="ResourceRequirement","OK","XXX"),"XXX")</f>
        <v>XXX</v>
      </c>
    </row>
    <row r="1870" spans="1:4" x14ac:dyDescent="0.45">
      <c r="A1870">
        <f>ROW()</f>
        <v>1870</v>
      </c>
      <c r="B1870" t="str">
        <f>Profile!A1935</f>
        <v>Property</v>
      </c>
      <c r="C1870">
        <f>Profile!AP1937</f>
        <v>0</v>
      </c>
      <c r="D1870" t="str">
        <f>IF(Profile!C1935="Profile",IF(Profile!A1937="ResourceRequirement","OK","XXX"),"XXX")</f>
        <v>XXX</v>
      </c>
    </row>
    <row r="1871" spans="1:4" x14ac:dyDescent="0.45">
      <c r="A1871">
        <f>ROW()</f>
        <v>1871</v>
      </c>
      <c r="B1871" t="str">
        <f>Profile!A1936</f>
        <v>@odata.id</v>
      </c>
      <c r="C1871">
        <f>Profile!AP1938</f>
        <v>0</v>
      </c>
      <c r="D1871" t="str">
        <f>IF(Profile!C1936="Profile",IF(Profile!A1938="ResourceRequirement","OK","XXX"),"XXX")</f>
        <v>XXX</v>
      </c>
    </row>
    <row r="1872" spans="1:4" x14ac:dyDescent="0.45">
      <c r="A1872">
        <f>ROW()</f>
        <v>1872</v>
      </c>
      <c r="B1872" t="str">
        <f>Profile!A1937</f>
        <v>Actions</v>
      </c>
      <c r="C1872">
        <f>Profile!AP1939</f>
        <v>0</v>
      </c>
      <c r="D1872" t="str">
        <f>IF(Profile!C1937="Profile",IF(Profile!A1939="ResourceRequirement","OK","XXX"),"XXX")</f>
        <v>XXX</v>
      </c>
    </row>
    <row r="1873" spans="1:4" x14ac:dyDescent="0.45">
      <c r="A1873">
        <f>ROW()</f>
        <v>1873</v>
      </c>
      <c r="B1873" t="str">
        <f>Profile!A1938</f>
        <v>MaxNumSupported</v>
      </c>
      <c r="C1873">
        <f>Profile!AP1940</f>
        <v>0</v>
      </c>
      <c r="D1873" t="str">
        <f>IF(Profile!C1938="Profile",IF(Profile!A1940="ResourceRequirement","OK","XXX"),"XXX")</f>
        <v>XXX</v>
      </c>
    </row>
    <row r="1874" spans="1:4" x14ac:dyDescent="0.45">
      <c r="A1874">
        <f>ROW()</f>
        <v>1874</v>
      </c>
      <c r="B1874" t="str">
        <f>Profile!A1939</f>
        <v>MemberId</v>
      </c>
      <c r="C1874">
        <f>Profile!AP1941</f>
        <v>0</v>
      </c>
      <c r="D1874" t="str">
        <f>IF(Profile!C1939="Profile",IF(Profile!A1941="ResourceRequirement","OK","XXX"),"XXX")</f>
        <v>XXX</v>
      </c>
    </row>
    <row r="1875" spans="1:4" x14ac:dyDescent="0.45">
      <c r="A1875">
        <f>ROW()</f>
        <v>1875</v>
      </c>
      <c r="B1875" t="str">
        <f>Profile!A1940</f>
        <v>MinNumNeeded</v>
      </c>
      <c r="C1875">
        <f>Profile!AP1942</f>
        <v>0</v>
      </c>
      <c r="D1875" t="str">
        <f>IF(Profile!C1940="Profile",IF(Profile!A1942="ResourceRequirement","OK","XXX"),"XXX")</f>
        <v>XXX</v>
      </c>
    </row>
    <row r="1876" spans="1:4" x14ac:dyDescent="0.45">
      <c r="A1876">
        <f>ROW()</f>
        <v>1876</v>
      </c>
      <c r="B1876" t="str">
        <f>Profile!A1941</f>
        <v>Mode</v>
      </c>
      <c r="C1876">
        <f>Profile!AP1943</f>
        <v>0</v>
      </c>
      <c r="D1876" t="str">
        <f>IF(Profile!C1941="Profile",IF(Profile!A1943="ResourceRequirement","OK","XXX"),"XXX")</f>
        <v>XXX</v>
      </c>
    </row>
    <row r="1877" spans="1:4" x14ac:dyDescent="0.45">
      <c r="A1877">
        <f>ROW()</f>
        <v>1877</v>
      </c>
      <c r="B1877" t="str">
        <f>Profile!A1942</f>
        <v>Name</v>
      </c>
      <c r="C1877">
        <f>Profile!AP1944</f>
        <v>0</v>
      </c>
      <c r="D1877" t="str">
        <f>IF(Profile!C1942="Profile",IF(Profile!A1944="ResourceRequirement","OK","XXX"),"XXX")</f>
        <v>XXX</v>
      </c>
    </row>
    <row r="1878" spans="1:4" x14ac:dyDescent="0.45">
      <c r="A1878">
        <f>ROW()</f>
        <v>1878</v>
      </c>
      <c r="B1878" t="str">
        <f>Profile!A1943</f>
        <v>Oem</v>
      </c>
      <c r="C1878">
        <f>Profile!AP1945</f>
        <v>0</v>
      </c>
      <c r="D1878" t="str">
        <f>IF(Profile!C1943="Profile",IF(Profile!A1945="ResourceRequirement","OK","XXX"),"XXX")</f>
        <v>XXX</v>
      </c>
    </row>
    <row r="1879" spans="1:4" x14ac:dyDescent="0.45">
      <c r="A1879">
        <f>ROW()</f>
        <v>1879</v>
      </c>
      <c r="B1879" t="str">
        <f>Profile!A1944</f>
        <v>RedundancyEnabled</v>
      </c>
      <c r="C1879">
        <f>Profile!AP1946</f>
        <v>0</v>
      </c>
      <c r="D1879" t="str">
        <f>IF(Profile!C1944="Profile",IF(Profile!A1946="ResourceRequirement","OK","XXX"),"XXX")</f>
        <v>XXX</v>
      </c>
    </row>
    <row r="1880" spans="1:4" x14ac:dyDescent="0.45">
      <c r="A1880">
        <f>ROW()</f>
        <v>1880</v>
      </c>
      <c r="B1880" t="str">
        <f>Profile!A1945</f>
        <v>RedundancySet</v>
      </c>
      <c r="C1880">
        <f>Profile!AP1947</f>
        <v>0</v>
      </c>
      <c r="D1880" t="str">
        <f>IF(Profile!C1945="Profile",IF(Profile!A1947="ResourceRequirement","OK","XXX"),"XXX")</f>
        <v>XXX</v>
      </c>
    </row>
    <row r="1881" spans="1:4" x14ac:dyDescent="0.45">
      <c r="A1881">
        <f>ROW()</f>
        <v>1881</v>
      </c>
      <c r="B1881" t="str">
        <f>Profile!A1946</f>
        <v xml:space="preserve">   @odata.id</v>
      </c>
      <c r="C1881">
        <f>Profile!AP1948</f>
        <v>0</v>
      </c>
      <c r="D1881" t="str">
        <f>IF(Profile!C1946="Profile",IF(Profile!A1948="ResourceRequirement","OK","XXX"),"XXX")</f>
        <v>XXX</v>
      </c>
    </row>
    <row r="1882" spans="1:4" x14ac:dyDescent="0.45">
      <c r="A1882">
        <f>ROW()</f>
        <v>1882</v>
      </c>
      <c r="B1882" t="str">
        <f>Profile!A1947</f>
        <v xml:space="preserve">   @odata.count</v>
      </c>
      <c r="C1882">
        <f>Profile!AP1951</f>
        <v>0</v>
      </c>
      <c r="D1882" t="str">
        <f>IF(Profile!C1947="Profile",IF(Profile!A1951="ResourceRequirement","OK","XXX"),"XXX")</f>
        <v>XXX</v>
      </c>
    </row>
    <row r="1883" spans="1:4" x14ac:dyDescent="0.45">
      <c r="A1883">
        <f>ROW()</f>
        <v>1883</v>
      </c>
      <c r="B1883" t="str">
        <f>Profile!A1948</f>
        <v>Status</v>
      </c>
      <c r="C1883">
        <f>Profile!AP1952</f>
        <v>0</v>
      </c>
      <c r="D1883" t="str">
        <f>IF(Profile!C1948="Profile",IF(Profile!A1952="ResourceRequirement","OK","XXX"),"XXX")</f>
        <v>XXX</v>
      </c>
    </row>
    <row r="1884" spans="1:4" x14ac:dyDescent="0.45">
      <c r="A1884">
        <f>ROW()</f>
        <v>1884</v>
      </c>
      <c r="B1884">
        <f>Profile!A1951</f>
        <v>0</v>
      </c>
      <c r="C1884">
        <f>Profile!AP1953</f>
        <v>0</v>
      </c>
      <c r="D1884" t="str">
        <f>IF(Profile!C1951="Profile",IF(Profile!A1953="ResourceRequirement","OK","XXX"),"XXX")</f>
        <v>XXX</v>
      </c>
    </row>
    <row r="1885" spans="1:4" x14ac:dyDescent="0.45">
      <c r="A1885">
        <f>ROW()</f>
        <v>1885</v>
      </c>
      <c r="B1885" t="str">
        <f>Profile!A1952</f>
        <v>1.1.6.8               Schedule</v>
      </c>
      <c r="C1885">
        <f>Profile!AP1954</f>
        <v>0</v>
      </c>
      <c r="D1885" t="str">
        <f>IF(Profile!C1952="Profile",IF(Profile!A1954="ResourceRequirement","OK","XXX"),"XXX")</f>
        <v>XXX</v>
      </c>
    </row>
    <row r="1886" spans="1:4" x14ac:dyDescent="0.45">
      <c r="A1886">
        <f>ROW()</f>
        <v>1886</v>
      </c>
      <c r="B1886" t="str">
        <f>Profile!A1953</f>
        <v>A Schedule object represents a series of occurrences.</v>
      </c>
      <c r="C1886">
        <f>Profile!AP1955</f>
        <v>0</v>
      </c>
      <c r="D1886" t="str">
        <f>IF(Profile!C1953="Profile",IF(Profile!A1955="ResourceRequirement","OK","XXX"),"XXX")</f>
        <v>XXX</v>
      </c>
    </row>
    <row r="1887" spans="1:4" x14ac:dyDescent="0.45">
      <c r="A1887">
        <f>ROW()</f>
        <v>1887</v>
      </c>
      <c r="B1887" t="str">
        <f>Profile!A1954</f>
        <v>Table 62: O-PAS Profile Map for the Redfish Schedule</v>
      </c>
      <c r="C1887">
        <f>Profile!AP1956</f>
        <v>0</v>
      </c>
      <c r="D1887" t="str">
        <f>IF(Profile!C1954="Profile",IF(Profile!A1956="ResourceRequirement","OK","XXX"),"XXX")</f>
        <v>XXX</v>
      </c>
    </row>
    <row r="1888" spans="1:4" x14ac:dyDescent="0.45">
      <c r="A1888">
        <f>ROW()</f>
        <v>1888</v>
      </c>
      <c r="B1888" t="str">
        <f>Profile!A1955</f>
        <v>Schedule</v>
      </c>
      <c r="C1888">
        <f>Profile!AP1957</f>
        <v>0</v>
      </c>
      <c r="D1888" t="str">
        <f>IF(Profile!C1955="Profile",IF(Profile!A1957="ResourceRequirement","OK","XXX"),"XXX")</f>
        <v>XXX</v>
      </c>
    </row>
    <row r="1889" spans="1:4" x14ac:dyDescent="0.45">
      <c r="A1889">
        <f>ROW()</f>
        <v>1889</v>
      </c>
      <c r="B1889">
        <f>Profile!A1956</f>
        <v>0</v>
      </c>
      <c r="C1889">
        <f>Profile!AP1958</f>
        <v>0</v>
      </c>
      <c r="D1889" t="str">
        <f>IF(Profile!C1956="Profile",IF(Profile!A1958="ResourceRequirement","OK","XXX"),"XXX")</f>
        <v>XXX</v>
      </c>
    </row>
    <row r="1890" spans="1:4" x14ac:dyDescent="0.45">
      <c r="A1890">
        <f>ROW()</f>
        <v>1890</v>
      </c>
      <c r="B1890" t="str">
        <f>Profile!A1957</f>
        <v>Schedule</v>
      </c>
      <c r="C1890">
        <f>Profile!AP1959</f>
        <v>0</v>
      </c>
      <c r="D1890" t="str">
        <f>IF(Profile!C1957="Profile",IF(Profile!A1959="ResourceRequirement","OK","XXX"),"XXX")</f>
        <v>XXX</v>
      </c>
    </row>
    <row r="1891" spans="1:4" x14ac:dyDescent="0.45">
      <c r="A1891">
        <f>ROW()</f>
        <v>1891</v>
      </c>
      <c r="B1891">
        <f>Profile!A1958</f>
        <v>0</v>
      </c>
      <c r="C1891">
        <f>Profile!AP1960</f>
        <v>0</v>
      </c>
      <c r="D1891" t="str">
        <f>IF(Profile!C1958="Profile",IF(Profile!A1960="ResourceRequirement","OK","XXX"),"XXX")</f>
        <v>XXX</v>
      </c>
    </row>
    <row r="1892" spans="1:4" x14ac:dyDescent="0.45">
      <c r="A1892">
        <f>ROW()</f>
        <v>1892</v>
      </c>
      <c r="B1892" t="str">
        <f>Profile!A1959</f>
        <v>Property</v>
      </c>
      <c r="C1892">
        <f>Profile!AP1961</f>
        <v>0</v>
      </c>
      <c r="D1892" t="str">
        <f>IF(Profile!C1959="Profile",IF(Profile!A1961="ResourceRequirement","OK","XXX"),"XXX")</f>
        <v>XXX</v>
      </c>
    </row>
    <row r="1893" spans="1:4" x14ac:dyDescent="0.45">
      <c r="A1893">
        <f>ROW()</f>
        <v>1893</v>
      </c>
      <c r="B1893" t="str">
        <f>Profile!A1960</f>
        <v>EnabledDaysOfMonth</v>
      </c>
      <c r="C1893">
        <f>Profile!AP1962</f>
        <v>0</v>
      </c>
      <c r="D1893" t="str">
        <f>IF(Profile!C1960="Profile",IF(Profile!A1962="ResourceRequirement","OK","XXX"),"XXX")</f>
        <v>XXX</v>
      </c>
    </row>
    <row r="1894" spans="1:4" x14ac:dyDescent="0.45">
      <c r="A1894">
        <f>ROW()</f>
        <v>1894</v>
      </c>
      <c r="B1894" t="str">
        <f>Profile!A1961</f>
        <v>EnabledDaysOfWeek</v>
      </c>
      <c r="C1894">
        <f>Profile!AP1963</f>
        <v>0</v>
      </c>
      <c r="D1894" t="str">
        <f>IF(Profile!C1961="Profile",IF(Profile!A1963="ResourceRequirement","OK","XXX"),"XXX")</f>
        <v>XXX</v>
      </c>
    </row>
    <row r="1895" spans="1:4" x14ac:dyDescent="0.45">
      <c r="A1895">
        <f>ROW()</f>
        <v>1895</v>
      </c>
      <c r="B1895" t="str">
        <f>Profile!A1962</f>
        <v>EnabledIntervals</v>
      </c>
      <c r="C1895">
        <f>Profile!AP1964</f>
        <v>0</v>
      </c>
      <c r="D1895" t="str">
        <f>IF(Profile!C1962="Profile",IF(Profile!A1964="ResourceRequirement","OK","XXX"),"XXX")</f>
        <v>XXX</v>
      </c>
    </row>
    <row r="1896" spans="1:4" x14ac:dyDescent="0.45">
      <c r="A1896">
        <f>ROW()</f>
        <v>1896</v>
      </c>
      <c r="B1896" t="str">
        <f>Profile!A1963</f>
        <v>EnabledMonthsOfYear</v>
      </c>
      <c r="C1896">
        <f>Profile!AP1965</f>
        <v>0</v>
      </c>
      <c r="D1896" t="str">
        <f>IF(Profile!C1963="Profile",IF(Profile!A1965="ResourceRequirement","OK","XXX"),"XXX")</f>
        <v>XXX</v>
      </c>
    </row>
    <row r="1897" spans="1:4" x14ac:dyDescent="0.45">
      <c r="A1897">
        <f>ROW()</f>
        <v>1897</v>
      </c>
      <c r="B1897" t="str">
        <f>Profile!A1964</f>
        <v>InitialStartTime</v>
      </c>
      <c r="C1897">
        <f>Profile!AP1966</f>
        <v>0</v>
      </c>
      <c r="D1897" t="str">
        <f>IF(Profile!C1964="Profile",IF(Profile!A1966="ResourceRequirement","OK","XXX"),"XXX")</f>
        <v>XXX</v>
      </c>
    </row>
    <row r="1898" spans="1:4" x14ac:dyDescent="0.45">
      <c r="A1898">
        <f>ROW()</f>
        <v>1898</v>
      </c>
      <c r="B1898" t="str">
        <f>Profile!A1965</f>
        <v>Lifetime</v>
      </c>
      <c r="C1898">
        <f>Profile!AP1967</f>
        <v>0</v>
      </c>
      <c r="D1898" t="str">
        <f>IF(Profile!C1965="Profile",IF(Profile!A1967="ResourceRequirement","OK","XXX"),"XXX")</f>
        <v>XXX</v>
      </c>
    </row>
    <row r="1899" spans="1:4" x14ac:dyDescent="0.45">
      <c r="A1899">
        <f>ROW()</f>
        <v>1899</v>
      </c>
      <c r="B1899" t="str">
        <f>Profile!A1966</f>
        <v>MaxOccurrences</v>
      </c>
      <c r="C1899">
        <f>Profile!AP1968</f>
        <v>0</v>
      </c>
      <c r="D1899" t="str">
        <f>IF(Profile!C1966="Profile",IF(Profile!A1968="ResourceRequirement","OK","XXX"),"XXX")</f>
        <v>XXX</v>
      </c>
    </row>
    <row r="1900" spans="1:4" x14ac:dyDescent="0.45">
      <c r="A1900">
        <f>ROW()</f>
        <v>1900</v>
      </c>
      <c r="B1900" t="str">
        <f>Profile!A1967</f>
        <v>Name</v>
      </c>
      <c r="C1900">
        <f>Profile!AP1969</f>
        <v>0</v>
      </c>
      <c r="D1900" t="str">
        <f>IF(Profile!C1967="Profile",IF(Profile!A1969="ResourceRequirement","OK","XXX"),"XXX")</f>
        <v>XXX</v>
      </c>
    </row>
    <row r="1901" spans="1:4" x14ac:dyDescent="0.45">
      <c r="A1901">
        <f>ROW()</f>
        <v>1901</v>
      </c>
      <c r="B1901" t="str">
        <f>Profile!A1968</f>
        <v>RecurrenceInterval</v>
      </c>
      <c r="C1901">
        <f>Profile!AP1970</f>
        <v>0</v>
      </c>
      <c r="D1901" t="str">
        <f>IF(Profile!C1968="Profile",IF(Profile!A1970="ResourceRequirement","OK","XXX"),"XXX")</f>
        <v>XXX</v>
      </c>
    </row>
    <row r="1902" spans="1:4" x14ac:dyDescent="0.45">
      <c r="A1902">
        <f>ROW()</f>
        <v>1902</v>
      </c>
      <c r="B1902">
        <f>Profile!A1969</f>
        <v>0</v>
      </c>
      <c r="C1902">
        <f>Profile!AP1971</f>
        <v>0</v>
      </c>
      <c r="D1902" t="str">
        <f>IF(Profile!C1969="Profile",IF(Profile!A1971="ResourceRequirement","OK","XXX"),"XXX")</f>
        <v>XXX</v>
      </c>
    </row>
    <row r="1903" spans="1:4" x14ac:dyDescent="0.45">
      <c r="A1903">
        <f>ROW()</f>
        <v>1903</v>
      </c>
      <c r="B1903" t="str">
        <f>Profile!A1970</f>
        <v>1.1.6.9               Settings</v>
      </c>
      <c r="C1903">
        <f>Profile!AP1972</f>
        <v>0</v>
      </c>
      <c r="D1903" t="str">
        <f>IF(Profile!C1970="Profile",IF(Profile!A1972="ResourceRequirement","OK","XXX"),"XXX")</f>
        <v>XXX</v>
      </c>
    </row>
    <row r="1904" spans="1:4" x14ac:dyDescent="0.45">
      <c r="A1904">
        <f>ROW()</f>
        <v>1904</v>
      </c>
      <c r="B1904" t="str">
        <f>Profile!A1971</f>
        <v>This type describes the settings of a resource.</v>
      </c>
      <c r="C1904">
        <f>Profile!AP1973</f>
        <v>0</v>
      </c>
      <c r="D1904" t="str">
        <f>IF(Profile!C1971="Profile",IF(Profile!A1973="ResourceRequirement","OK","XXX"),"XXX")</f>
        <v>XXX</v>
      </c>
    </row>
    <row r="1905" spans="1:4" x14ac:dyDescent="0.45">
      <c r="A1905">
        <f>ROW()</f>
        <v>1905</v>
      </c>
      <c r="B1905" t="str">
        <f>Profile!A1972</f>
        <v>Table 63: O-PAS Profile Map for the Redfish Setting Object</v>
      </c>
      <c r="C1905">
        <f>Profile!AP1974</f>
        <v>0</v>
      </c>
      <c r="D1905" t="str">
        <f>IF(Profile!C1972="Profile",IF(Profile!A1974="ResourceRequirement","OK","XXX"),"XXX")</f>
        <v>XXX</v>
      </c>
    </row>
    <row r="1906" spans="1:4" x14ac:dyDescent="0.45">
      <c r="A1906">
        <f>ROW()</f>
        <v>1906</v>
      </c>
      <c r="B1906" t="str">
        <f>Profile!A1973</f>
        <v>Settings</v>
      </c>
      <c r="C1906">
        <f>Profile!AP1975</f>
        <v>0</v>
      </c>
      <c r="D1906" t="str">
        <f>IF(Profile!C1973="Profile",IF(Profile!A1975="ResourceRequirement","OK","XXX"),"XXX")</f>
        <v>XXX</v>
      </c>
    </row>
    <row r="1907" spans="1:4" x14ac:dyDescent="0.45">
      <c r="A1907">
        <f>ROW()</f>
        <v>1907</v>
      </c>
      <c r="B1907">
        <f>Profile!A1974</f>
        <v>0</v>
      </c>
      <c r="C1907">
        <f>Profile!AP1976</f>
        <v>0</v>
      </c>
      <c r="D1907" t="str">
        <f>IF(Profile!C1974="Profile",IF(Profile!A1976="ResourceRequirement","OK","XXX"),"XXX")</f>
        <v>XXX</v>
      </c>
    </row>
    <row r="1908" spans="1:4" x14ac:dyDescent="0.45">
      <c r="A1908">
        <f>ROW()</f>
        <v>1908</v>
      </c>
      <c r="B1908" t="str">
        <f>Profile!A1975</f>
        <v>Property</v>
      </c>
      <c r="C1908">
        <f>Profile!AP1977</f>
        <v>0</v>
      </c>
      <c r="D1908" t="str">
        <f>IF(Profile!C1975="Profile",IF(Profile!A1977="ResourceRequirement","OK","XXX"),"XXX")</f>
        <v>XXX</v>
      </c>
    </row>
    <row r="1909" spans="1:4" x14ac:dyDescent="0.45">
      <c r="A1909">
        <f>ROW()</f>
        <v>1909</v>
      </c>
      <c r="B1909" t="str">
        <f>Profile!A1976</f>
        <v>ETag</v>
      </c>
      <c r="C1909">
        <f>Profile!AP1978</f>
        <v>0</v>
      </c>
      <c r="D1909" t="str">
        <f>IF(Profile!C1976="Profile",IF(Profile!A1978="ResourceRequirement","OK","XXX"),"XXX")</f>
        <v>XXX</v>
      </c>
    </row>
    <row r="1910" spans="1:4" x14ac:dyDescent="0.45">
      <c r="A1910">
        <f>ROW()</f>
        <v>1910</v>
      </c>
      <c r="B1910" t="str">
        <f>Profile!A1977</f>
        <v>MaintenanceWindowResource</v>
      </c>
      <c r="C1910">
        <f>Profile!AP1979</f>
        <v>0</v>
      </c>
      <c r="D1910" t="str">
        <f>IF(Profile!C1977="Profile",IF(Profile!A1979="ResourceRequirement","OK","XXX"),"XXX")</f>
        <v>XXX</v>
      </c>
    </row>
    <row r="1911" spans="1:4" x14ac:dyDescent="0.45">
      <c r="A1911">
        <f>ROW()</f>
        <v>1911</v>
      </c>
      <c r="B1911" t="str">
        <f>Profile!A1978</f>
        <v xml:space="preserve">   @odata.id</v>
      </c>
      <c r="C1911">
        <f>Profile!AP1980</f>
        <v>0</v>
      </c>
      <c r="D1911" t="str">
        <f>IF(Profile!C1978="Profile",IF(Profile!A1980="ResourceRequirement","OK","XXX"),"XXX")</f>
        <v>XXX</v>
      </c>
    </row>
    <row r="1912" spans="1:4" x14ac:dyDescent="0.45">
      <c r="A1912">
        <f>ROW()</f>
        <v>1912</v>
      </c>
      <c r="B1912" t="str">
        <f>Profile!A1979</f>
        <v>Messages</v>
      </c>
      <c r="C1912">
        <f>Profile!AP1981</f>
        <v>0</v>
      </c>
      <c r="D1912" t="str">
        <f>IF(Profile!C1979="Profile",IF(Profile!A1981="ResourceRequirement","OK","XXX"),"XXX")</f>
        <v>XXX</v>
      </c>
    </row>
    <row r="1913" spans="1:4" x14ac:dyDescent="0.45">
      <c r="A1913">
        <f>ROW()</f>
        <v>1913</v>
      </c>
      <c r="B1913" t="str">
        <f>Profile!A1980</f>
        <v>SettingsObject</v>
      </c>
      <c r="C1913">
        <f>Profile!AP1982</f>
        <v>0</v>
      </c>
      <c r="D1913" t="str">
        <f>IF(Profile!C1980="Profile",IF(Profile!A1982="ResourceRequirement","OK","XXX"),"XXX")</f>
        <v>XXX</v>
      </c>
    </row>
    <row r="1914" spans="1:4" x14ac:dyDescent="0.45">
      <c r="A1914">
        <f>ROW()</f>
        <v>1914</v>
      </c>
      <c r="B1914" t="str">
        <f>Profile!A1981</f>
        <v xml:space="preserve">   @odata.id</v>
      </c>
      <c r="C1914">
        <f>Profile!AP1983</f>
        <v>0</v>
      </c>
      <c r="D1914" t="str">
        <f>IF(Profile!C1981="Profile",IF(Profile!A1983="ResourceRequirement","OK","XXX"),"XXX")</f>
        <v>XXX</v>
      </c>
    </row>
    <row r="1915" spans="1:4" x14ac:dyDescent="0.45">
      <c r="A1915">
        <f>ROW()</f>
        <v>1915</v>
      </c>
      <c r="B1915" t="str">
        <f>Profile!A1982</f>
        <v>SupportedApplyTimes</v>
      </c>
      <c r="C1915">
        <f>Profile!AP1984</f>
        <v>0</v>
      </c>
      <c r="D1915" t="str">
        <f>IF(Profile!C1982="Profile",IF(Profile!A1984="ResourceRequirement","OK","XXX"),"XXX")</f>
        <v>XXX</v>
      </c>
    </row>
    <row r="1916" spans="1:4" x14ac:dyDescent="0.45">
      <c r="A1916">
        <f>ROW()</f>
        <v>1916</v>
      </c>
      <c r="B1916" t="str">
        <f>Profile!A1983</f>
        <v>Time</v>
      </c>
      <c r="C1916">
        <f>Profile!AP1985</f>
        <v>0</v>
      </c>
      <c r="D1916" t="str">
        <f>IF(Profile!C1983="Profile",IF(Profile!A1985="ResourceRequirement","OK","XXX"),"XXX")</f>
        <v>XXX</v>
      </c>
    </row>
    <row r="1917" spans="1:4" x14ac:dyDescent="0.45">
      <c r="A1917">
        <f>ROW()</f>
        <v>1917</v>
      </c>
      <c r="B1917">
        <f>Profile!A1984</f>
        <v>0</v>
      </c>
      <c r="C1917">
        <f>Profile!AP1986</f>
        <v>0</v>
      </c>
      <c r="D1917" t="str">
        <f>IF(Profile!C1984="Profile",IF(Profile!A1986="ResourceRequirement","OK","XXX"),"XXX")</f>
        <v>XXX</v>
      </c>
    </row>
    <row r="1918" spans="1:4" x14ac:dyDescent="0.45">
      <c r="A1918">
        <f>ROW()</f>
        <v>1918</v>
      </c>
      <c r="B1918" t="str">
        <f>Profile!A1985</f>
        <v>1.1.6.10            SoftwareInventory</v>
      </c>
      <c r="C1918">
        <f>Profile!AP1987</f>
        <v>0</v>
      </c>
      <c r="D1918" t="str">
        <f>IF(Profile!C1985="Profile",IF(Profile!A1987="ResourceRequirement","OK","XXX"),"XXX")</f>
        <v>XXX</v>
      </c>
    </row>
    <row r="1919" spans="1:4" x14ac:dyDescent="0.45">
      <c r="A1919">
        <f>ROW()</f>
        <v>1919</v>
      </c>
      <c r="B1919" t="str">
        <f>Profile!A1986</f>
        <v>A SoftwareInventory resource is an inventory of software or firmware components.  See SoftwareInventory and FirmwareInventory properties in the UpdateService resource for guidance on what software components should be included in the inventories.</v>
      </c>
      <c r="C1919">
        <f>Profile!AP1988</f>
        <v>0</v>
      </c>
      <c r="D1919" t="str">
        <f>IF(Profile!C1986="Profile",IF(Profile!A1988="ResourceRequirement","OK","XXX"),"XXX")</f>
        <v>XXX</v>
      </c>
    </row>
    <row r="1920" spans="1:4" x14ac:dyDescent="0.45">
      <c r="A1920">
        <f>ROW()</f>
        <v>1920</v>
      </c>
      <c r="B1920" t="str">
        <f>Profile!A1987</f>
        <v>Table 64: O-PAS Profile Map for the Redfish SoftwareInventory Resource</v>
      </c>
      <c r="C1920">
        <f>Profile!AP1989</f>
        <v>0</v>
      </c>
      <c r="D1920" t="str">
        <f>IF(Profile!C1987="Profile",IF(Profile!A1989="ResourceRequirement","OK","XXX"),"XXX")</f>
        <v>XXX</v>
      </c>
    </row>
    <row r="1921" spans="1:4" x14ac:dyDescent="0.45">
      <c r="A1921">
        <f>ROW()</f>
        <v>1921</v>
      </c>
      <c r="B1921" t="str">
        <f>Profile!A1988</f>
        <v>SoftwareInventory (1.2.1)</v>
      </c>
      <c r="C1921">
        <f>Profile!AP1990</f>
        <v>0</v>
      </c>
      <c r="D1921" t="str">
        <f>IF(Profile!C1988="Profile",IF(Profile!A1990="ResourceRequirement","OK","XXX"),"XXX")</f>
        <v>XXX</v>
      </c>
    </row>
    <row r="1922" spans="1:4" x14ac:dyDescent="0.45">
      <c r="A1922">
        <f>ROW()</f>
        <v>1922</v>
      </c>
      <c r="B1922">
        <f>Profile!A1989</f>
        <v>0</v>
      </c>
      <c r="C1922">
        <f>Profile!AP1991</f>
        <v>0</v>
      </c>
      <c r="D1922" t="str">
        <f>IF(Profile!C1989="Profile",IF(Profile!A1991="ResourceRequirement","OK","XXX"),"XXX")</f>
        <v>XXX</v>
      </c>
    </row>
    <row r="1923" spans="1:4" x14ac:dyDescent="0.45">
      <c r="A1923">
        <f>ROW()</f>
        <v>1923</v>
      </c>
      <c r="B1923" t="str">
        <f>Profile!A1990</f>
        <v>SoftwareInventory (1.2.2)</v>
      </c>
      <c r="C1923">
        <f>Profile!AP1992</f>
        <v>57</v>
      </c>
      <c r="D1923" t="str">
        <f>IF(Profile!C1990="Profile",IF(Profile!A1992="ResourceRequirement","OK","XXX"),"XXX")</f>
        <v>OK</v>
      </c>
    </row>
    <row r="1924" spans="1:4" x14ac:dyDescent="0.45">
      <c r="A1924">
        <f>ROW()</f>
        <v>1924</v>
      </c>
      <c r="B1924">
        <f>Profile!A1991</f>
        <v>0</v>
      </c>
      <c r="C1924">
        <f>Profile!AP1993</f>
        <v>0</v>
      </c>
      <c r="D1924" t="str">
        <f>IF(Profile!C1991="Profile",IF(Profile!A1993="ResourceRequirement","OK","XXX"),"XXX")</f>
        <v>XXX</v>
      </c>
    </row>
    <row r="1925" spans="1:4" x14ac:dyDescent="0.45">
      <c r="A1925">
        <f>ROW()</f>
        <v>1925</v>
      </c>
      <c r="B1925" t="str">
        <f>Profile!A1992</f>
        <v>ResourceRequirement</v>
      </c>
      <c r="C1925">
        <f>Profile!AP1994</f>
        <v>0</v>
      </c>
      <c r="D1925" t="str">
        <f>IF(Profile!C1992="Profile",IF(Profile!A1994="ResourceRequirement","OK","XXX"),"XXX")</f>
        <v>XXX</v>
      </c>
    </row>
    <row r="1926" spans="1:4" x14ac:dyDescent="0.45">
      <c r="A1926">
        <f>ROW()</f>
        <v>1926</v>
      </c>
      <c r="B1926" t="str">
        <f>Profile!A1993</f>
        <v>Resource MinVersion</v>
      </c>
      <c r="C1926">
        <f>Profile!AP1995</f>
        <v>0</v>
      </c>
      <c r="D1926" t="str">
        <f>IF(Profile!C1993="Profile",IF(Profile!A1995="ResourceRequirement","OK","XXX"),"XXX")</f>
        <v>XXX</v>
      </c>
    </row>
    <row r="1927" spans="1:4" x14ac:dyDescent="0.45">
      <c r="A1927">
        <f>ROW()</f>
        <v>1927</v>
      </c>
      <c r="B1927" t="str">
        <f>Profile!A1994</f>
        <v>Property</v>
      </c>
      <c r="C1927">
        <f>Profile!AP1996</f>
        <v>0</v>
      </c>
      <c r="D1927" t="str">
        <f>IF(Profile!C1994="Profile",IF(Profile!A1996="ResourceRequirement","OK","XXX"),"XXX")</f>
        <v>XXX</v>
      </c>
    </row>
    <row r="1928" spans="1:4" x14ac:dyDescent="0.45">
      <c r="A1928">
        <f>ROW()</f>
        <v>1928</v>
      </c>
      <c r="B1928" t="str">
        <f>Profile!A1995</f>
        <v>Actions</v>
      </c>
      <c r="C1928">
        <f>Profile!AP1997</f>
        <v>0</v>
      </c>
      <c r="D1928" t="str">
        <f>IF(Profile!C1995="Profile",IF(Profile!A1997="ResourceRequirement","OK","XXX"),"XXX")</f>
        <v>XXX</v>
      </c>
    </row>
    <row r="1929" spans="1:4" x14ac:dyDescent="0.45">
      <c r="A1929">
        <f>ROW()</f>
        <v>1929</v>
      </c>
      <c r="B1929" t="str">
        <f>Profile!A1996</f>
        <v>LowestSupportedVersion</v>
      </c>
      <c r="C1929">
        <f>Profile!AP1998</f>
        <v>0</v>
      </c>
      <c r="D1929" t="str">
        <f>IF(Profile!C1996="Profile",IF(Profile!A1998="ResourceRequirement","OK","XXX"),"XXX")</f>
        <v>XXX</v>
      </c>
    </row>
    <row r="1930" spans="1:4" x14ac:dyDescent="0.45">
      <c r="A1930">
        <f>ROW()</f>
        <v>1930</v>
      </c>
      <c r="B1930" t="str">
        <f>Profile!A1997</f>
        <v>Manufacturer</v>
      </c>
      <c r="C1930">
        <f>Profile!AP1999</f>
        <v>0</v>
      </c>
      <c r="D1930" t="str">
        <f>IF(Profile!C1997="Profile",IF(Profile!A1999="ResourceRequirement","OK","XXX"),"XXX")</f>
        <v>XXX</v>
      </c>
    </row>
    <row r="1931" spans="1:4" x14ac:dyDescent="0.45">
      <c r="A1931">
        <f>ROW()</f>
        <v>1931</v>
      </c>
      <c r="B1931" t="str">
        <f>Profile!A1998</f>
        <v>RelatedItem</v>
      </c>
      <c r="C1931">
        <f>Profile!AP2000</f>
        <v>0</v>
      </c>
      <c r="D1931" t="str">
        <f>IF(Profile!C1998="Profile",IF(Profile!A2000="ResourceRequirement","OK","XXX"),"XXX")</f>
        <v>XXX</v>
      </c>
    </row>
    <row r="1932" spans="1:4" x14ac:dyDescent="0.45">
      <c r="A1932">
        <f>ROW()</f>
        <v>1932</v>
      </c>
      <c r="B1932" t="str">
        <f>Profile!A1999</f>
        <v xml:space="preserve">   @odata.id</v>
      </c>
      <c r="C1932">
        <f>Profile!AP2001</f>
        <v>0</v>
      </c>
      <c r="D1932" t="str">
        <f>IF(Profile!C1999="Profile",IF(Profile!A2001="ResourceRequirement","OK","XXX"),"XXX")</f>
        <v>XXX</v>
      </c>
    </row>
    <row r="1933" spans="1:4" x14ac:dyDescent="0.45">
      <c r="A1933">
        <f>ROW()</f>
        <v>1933</v>
      </c>
      <c r="B1933" t="str">
        <f>Profile!A2000</f>
        <v>ReleaseDate</v>
      </c>
      <c r="C1933">
        <f>Profile!AP2002</f>
        <v>0</v>
      </c>
      <c r="D1933" t="str">
        <f>IF(Profile!C2000="Profile",IF(Profile!A2002="ResourceRequirement","OK","XXX"),"XXX")</f>
        <v>XXX</v>
      </c>
    </row>
    <row r="1934" spans="1:4" x14ac:dyDescent="0.45">
      <c r="A1934">
        <f>ROW()</f>
        <v>1934</v>
      </c>
      <c r="B1934" t="str">
        <f>Profile!A2001</f>
        <v>SoftwareId</v>
      </c>
      <c r="C1934">
        <f>Profile!AP2005</f>
        <v>0</v>
      </c>
      <c r="D1934" t="str">
        <f>IF(Profile!C2001="Profile",IF(Profile!A2005="ResourceRequirement","OK","XXX"),"XXX")</f>
        <v>XXX</v>
      </c>
    </row>
    <row r="1935" spans="1:4" x14ac:dyDescent="0.45">
      <c r="A1935">
        <f>ROW()</f>
        <v>1935</v>
      </c>
      <c r="B1935" t="str">
        <f>Profile!A2002</f>
        <v>Status</v>
      </c>
      <c r="C1935">
        <f>Profile!AP2006</f>
        <v>0</v>
      </c>
      <c r="D1935" t="str">
        <f>IF(Profile!C2002="Profile",IF(Profile!A2006="ResourceRequirement","OK","XXX"),"XXX")</f>
        <v>XXX</v>
      </c>
    </row>
    <row r="1936" spans="1:4" x14ac:dyDescent="0.45">
      <c r="A1936">
        <f>ROW()</f>
        <v>1936</v>
      </c>
      <c r="B1936" t="str">
        <f>Profile!A2005</f>
        <v>UefiDevicePaths</v>
      </c>
      <c r="C1936">
        <f>Profile!AP2007</f>
        <v>0</v>
      </c>
      <c r="D1936" t="str">
        <f>IF(Profile!C2005="Profile",IF(Profile!A2007="ResourceRequirement","OK","XXX"),"XXX")</f>
        <v>XXX</v>
      </c>
    </row>
    <row r="1937" spans="1:4" x14ac:dyDescent="0.45">
      <c r="A1937">
        <f>ROW()</f>
        <v>1937</v>
      </c>
      <c r="B1937" t="str">
        <f>Profile!A2006</f>
        <v>Updateable</v>
      </c>
      <c r="C1937">
        <f>Profile!AP2008</f>
        <v>0</v>
      </c>
      <c r="D1937" t="str">
        <f>IF(Profile!C2006="Profile",IF(Profile!A2008="ResourceRequirement","OK","XXX"),"XXX")</f>
        <v>XXX</v>
      </c>
    </row>
    <row r="1938" spans="1:4" x14ac:dyDescent="0.45">
      <c r="A1938">
        <f>ROW()</f>
        <v>1938</v>
      </c>
      <c r="B1938" t="str">
        <f>Profile!A2007</f>
        <v>Version</v>
      </c>
      <c r="C1938">
        <f>Profile!AP2009</f>
        <v>0</v>
      </c>
      <c r="D1938" t="str">
        <f>IF(Profile!C2007="Profile",IF(Profile!A2009="ResourceRequirement","OK","XXX"),"XXX")</f>
        <v>XXX</v>
      </c>
    </row>
    <row r="1939" spans="1:4" x14ac:dyDescent="0.45">
      <c r="A1939">
        <f>ROW()</f>
        <v>1939</v>
      </c>
      <c r="B1939" t="str">
        <f>Profile!A2008</f>
        <v>SoftwareInventory URIs</v>
      </c>
      <c r="C1939">
        <f>Profile!AP2010</f>
        <v>0</v>
      </c>
      <c r="D1939" t="str">
        <f>IF(Profile!C2008="Profile",IF(Profile!A2010="ResourceRequirement","OK","XXX"),"XXX")</f>
        <v>XXX</v>
      </c>
    </row>
    <row r="1940" spans="1:4" x14ac:dyDescent="0.45">
      <c r="A1940">
        <f>ROW()</f>
        <v>1940</v>
      </c>
      <c r="B1940" t="str">
        <f>Profile!A2009</f>
        <v>/redfish/v1/UpdateService/FirmwareInventory/{SoftwareInventoryId}</v>
      </c>
      <c r="C1940">
        <f>Profile!AP2011</f>
        <v>0</v>
      </c>
      <c r="D1940" t="str">
        <f>IF(Profile!C2009="Profile",IF(Profile!A2011="ResourceRequirement","OK","XXX"),"XXX")</f>
        <v>XXX</v>
      </c>
    </row>
    <row r="1941" spans="1:4" x14ac:dyDescent="0.45">
      <c r="A1941">
        <f>ROW()</f>
        <v>1941</v>
      </c>
      <c r="B1941" t="str">
        <f>Profile!A2010</f>
        <v>/redfish/v1/UpdateService/SoftwareInventory/{SoftwareInventoryId}</v>
      </c>
      <c r="C1941">
        <f>Profile!AP2012</f>
        <v>0</v>
      </c>
      <c r="D1941" t="str">
        <f>IF(Profile!C2010="Profile",IF(Profile!A2012="ResourceRequirement","OK","XXX"),"XXX")</f>
        <v>XXX</v>
      </c>
    </row>
    <row r="1942" spans="1:4" x14ac:dyDescent="0.45">
      <c r="A1942">
        <f>ROW()</f>
        <v>1942</v>
      </c>
      <c r="B1942">
        <f>Profile!A2011</f>
        <v>0</v>
      </c>
      <c r="C1942">
        <f>Profile!AP2013</f>
        <v>0</v>
      </c>
      <c r="D1942" t="str">
        <f>IF(Profile!C2011="Profile",IF(Profile!A2013="ResourceRequirement","OK","XXX"),"XXX")</f>
        <v>XXX</v>
      </c>
    </row>
    <row r="1943" spans="1:4" x14ac:dyDescent="0.45">
      <c r="A1943">
        <f>ROW()</f>
        <v>1943</v>
      </c>
      <c r="B1943" t="str">
        <f>Profile!A2012</f>
        <v>1.1.6.11            Task</v>
      </c>
      <c r="C1943">
        <f>Profile!AP2014</f>
        <v>0</v>
      </c>
      <c r="D1943" t="str">
        <f>IF(Profile!C2012="Profile",IF(Profile!A2014="ResourceRequirement","OK","XXX"),"XXX")</f>
        <v>XXX</v>
      </c>
    </row>
    <row r="1944" spans="1:4" x14ac:dyDescent="0.45">
      <c r="A1944">
        <f>ROW()</f>
        <v>1944</v>
      </c>
      <c r="B1944" t="str">
        <f>Profile!A2013</f>
        <v>A Task resource contains information about a specific task scheduled by or being executed by a Redfish service’s task service.</v>
      </c>
      <c r="C1944">
        <f>Profile!AP2015</f>
        <v>0</v>
      </c>
      <c r="D1944" t="str">
        <f>IF(Profile!C2013="Profile",IF(Profile!A2015="ResourceRequirement","OK","XXX"),"XXX")</f>
        <v>XXX</v>
      </c>
    </row>
    <row r="1945" spans="1:4" x14ac:dyDescent="0.45">
      <c r="A1945">
        <f>ROW()</f>
        <v>1945</v>
      </c>
      <c r="B1945" t="str">
        <f>Profile!A2014</f>
        <v>Table 65: O-PAS Profile Map for the Redfish Task Resource</v>
      </c>
      <c r="C1945">
        <f>Profile!AP2016</f>
        <v>0</v>
      </c>
      <c r="D1945" t="str">
        <f>IF(Profile!C2014="Profile",IF(Profile!A2016="ResourceRequirement","OK","XXX"),"XXX")</f>
        <v>XXX</v>
      </c>
    </row>
    <row r="1946" spans="1:4" x14ac:dyDescent="0.45">
      <c r="A1946">
        <f>ROW()</f>
        <v>1946</v>
      </c>
      <c r="B1946" t="str">
        <f>Profile!A2015</f>
        <v>Task (1.3.0)</v>
      </c>
      <c r="C1946">
        <f>Profile!AP2017</f>
        <v>0</v>
      </c>
      <c r="D1946" t="str">
        <f>IF(Profile!C2015="Profile",IF(Profile!A2017="ResourceRequirement","OK","XXX"),"XXX")</f>
        <v>XXX</v>
      </c>
    </row>
    <row r="1947" spans="1:4" x14ac:dyDescent="0.45">
      <c r="A1947">
        <f>ROW()</f>
        <v>1947</v>
      </c>
      <c r="B1947">
        <f>Profile!A2016</f>
        <v>0</v>
      </c>
      <c r="C1947">
        <f>Profile!AP2018</f>
        <v>0</v>
      </c>
      <c r="D1947" t="str">
        <f>IF(Profile!C2016="Profile",IF(Profile!A2018="ResourceRequirement","OK","XXX"),"XXX")</f>
        <v>XXX</v>
      </c>
    </row>
    <row r="1948" spans="1:4" x14ac:dyDescent="0.45">
      <c r="A1948">
        <f>ROW()</f>
        <v>1948</v>
      </c>
      <c r="B1948" t="str">
        <f>Profile!A2017</f>
        <v>Task (1.4.1)</v>
      </c>
      <c r="C1948">
        <f>Profile!AP2019</f>
        <v>59</v>
      </c>
      <c r="D1948" t="str">
        <f>IF(Profile!C2017="Profile",IF(Profile!A2019="ResourceRequirement","OK","XXX"),"XXX")</f>
        <v>OK</v>
      </c>
    </row>
    <row r="1949" spans="1:4" x14ac:dyDescent="0.45">
      <c r="A1949">
        <f>ROW()</f>
        <v>1949</v>
      </c>
      <c r="B1949">
        <f>Profile!A2018</f>
        <v>0</v>
      </c>
      <c r="C1949">
        <f>Profile!AP2020</f>
        <v>0</v>
      </c>
      <c r="D1949" t="str">
        <f>IF(Profile!C2018="Profile",IF(Profile!A2020="ResourceRequirement","OK","XXX"),"XXX")</f>
        <v>XXX</v>
      </c>
    </row>
    <row r="1950" spans="1:4" x14ac:dyDescent="0.45">
      <c r="A1950">
        <f>ROW()</f>
        <v>1950</v>
      </c>
      <c r="B1950" t="str">
        <f>Profile!A2019</f>
        <v>ResourceRequirement</v>
      </c>
      <c r="C1950">
        <f>Profile!AP2021</f>
        <v>0</v>
      </c>
      <c r="D1950" t="str">
        <f>IF(Profile!C2019="Profile",IF(Profile!A2021="ResourceRequirement","OK","XXX"),"XXX")</f>
        <v>XXX</v>
      </c>
    </row>
    <row r="1951" spans="1:4" x14ac:dyDescent="0.45">
      <c r="A1951">
        <f>ROW()</f>
        <v>1951</v>
      </c>
      <c r="B1951" t="str">
        <f>Profile!A2020</f>
        <v>Resource MinVersion</v>
      </c>
      <c r="C1951">
        <f>Profile!AP2022</f>
        <v>0</v>
      </c>
      <c r="D1951" t="str">
        <f>IF(Profile!C2020="Profile",IF(Profile!A2022="ResourceRequirement","OK","XXX"),"XXX")</f>
        <v>XXX</v>
      </c>
    </row>
    <row r="1952" spans="1:4" x14ac:dyDescent="0.45">
      <c r="A1952">
        <f>ROW()</f>
        <v>1952</v>
      </c>
      <c r="B1952" t="str">
        <f>Profile!A2021</f>
        <v>Property</v>
      </c>
      <c r="C1952">
        <f>Profile!AP2023</f>
        <v>0</v>
      </c>
      <c r="D1952" t="str">
        <f>IF(Profile!C2021="Profile",IF(Profile!A2023="ResourceRequirement","OK","XXX"),"XXX")</f>
        <v>XXX</v>
      </c>
    </row>
    <row r="1953" spans="1:4" x14ac:dyDescent="0.45">
      <c r="A1953">
        <f>ROW()</f>
        <v>1953</v>
      </c>
      <c r="B1953" t="str">
        <f>Profile!A2022</f>
        <v>Actions</v>
      </c>
      <c r="C1953">
        <f>Profile!AP2024</f>
        <v>0</v>
      </c>
      <c r="D1953" t="str">
        <f>IF(Profile!C2022="Profile",IF(Profile!A2024="ResourceRequirement","OK","XXX"),"XXX")</f>
        <v>XXX</v>
      </c>
    </row>
    <row r="1954" spans="1:4" x14ac:dyDescent="0.45">
      <c r="A1954">
        <f>ROW()</f>
        <v>1954</v>
      </c>
      <c r="B1954" t="str">
        <f>Profile!A2023</f>
        <v>EndTime</v>
      </c>
      <c r="C1954">
        <f>Profile!AP2025</f>
        <v>0</v>
      </c>
      <c r="D1954" t="str">
        <f>IF(Profile!C2023="Profile",IF(Profile!A2025="ResourceRequirement","OK","XXX"),"XXX")</f>
        <v>XXX</v>
      </c>
    </row>
    <row r="1955" spans="1:4" x14ac:dyDescent="0.45">
      <c r="A1955">
        <f>ROW()</f>
        <v>1955</v>
      </c>
      <c r="B1955" t="str">
        <f>Profile!A2024</f>
        <v>HidePayload</v>
      </c>
      <c r="C1955">
        <f>Profile!AP2026</f>
        <v>0</v>
      </c>
      <c r="D1955" t="str">
        <f>IF(Profile!C2024="Profile",IF(Profile!A2026="ResourceRequirement","OK","XXX"),"XXX")</f>
        <v>XXX</v>
      </c>
    </row>
    <row r="1956" spans="1:4" x14ac:dyDescent="0.45">
      <c r="A1956">
        <f>ROW()</f>
        <v>1956</v>
      </c>
      <c r="B1956" t="str">
        <f>Profile!A2025</f>
        <v>Messages</v>
      </c>
      <c r="C1956">
        <f>Profile!AP2027</f>
        <v>0</v>
      </c>
      <c r="D1956" t="str">
        <f>IF(Profile!C2025="Profile",IF(Profile!A2027="ResourceRequirement","OK","XXX"),"XXX")</f>
        <v>XXX</v>
      </c>
    </row>
    <row r="1957" spans="1:4" x14ac:dyDescent="0.45">
      <c r="A1957">
        <f>ROW()</f>
        <v>1957</v>
      </c>
      <c r="B1957" t="str">
        <f>Profile!A2026</f>
        <v>Payload</v>
      </c>
      <c r="C1957">
        <f>Profile!AP2028</f>
        <v>0</v>
      </c>
      <c r="D1957" t="str">
        <f>IF(Profile!C2026="Profile",IF(Profile!A2028="ResourceRequirement","OK","XXX"),"XXX")</f>
        <v>XXX</v>
      </c>
    </row>
    <row r="1958" spans="1:4" x14ac:dyDescent="0.45">
      <c r="A1958">
        <f>ROW()</f>
        <v>1958</v>
      </c>
      <c r="B1958" t="str">
        <f>Profile!A2027</f>
        <v xml:space="preserve">   HttpHeaders</v>
      </c>
      <c r="C1958">
        <f>Profile!AP2029</f>
        <v>0</v>
      </c>
      <c r="D1958" t="str">
        <f>IF(Profile!C2027="Profile",IF(Profile!A2029="ResourceRequirement","OK","XXX"),"XXX")</f>
        <v>XXX</v>
      </c>
    </row>
    <row r="1959" spans="1:4" x14ac:dyDescent="0.45">
      <c r="A1959">
        <f>ROW()</f>
        <v>1959</v>
      </c>
      <c r="B1959" t="str">
        <f>Profile!A2028</f>
        <v xml:space="preserve">   HttpOperation</v>
      </c>
      <c r="C1959">
        <f>Profile!AP2030</f>
        <v>0</v>
      </c>
      <c r="D1959" t="str">
        <f>IF(Profile!C2028="Profile",IF(Profile!A2030="ResourceRequirement","OK","XXX"),"XXX")</f>
        <v>XXX</v>
      </c>
    </row>
    <row r="1960" spans="1:4" x14ac:dyDescent="0.45">
      <c r="A1960">
        <f>ROW()</f>
        <v>1960</v>
      </c>
      <c r="B1960" t="str">
        <f>Profile!A2029</f>
        <v xml:space="preserve">   JsonBody</v>
      </c>
      <c r="C1960">
        <f>Profile!AP2031</f>
        <v>0</v>
      </c>
      <c r="D1960" t="str">
        <f>IF(Profile!C2029="Profile",IF(Profile!A2031="ResourceRequirement","OK","XXX"),"XXX")</f>
        <v>XXX</v>
      </c>
    </row>
    <row r="1961" spans="1:4" x14ac:dyDescent="0.45">
      <c r="A1961">
        <f>ROW()</f>
        <v>1961</v>
      </c>
      <c r="B1961" t="str">
        <f>Profile!A2030</f>
        <v xml:space="preserve">   TargetUri</v>
      </c>
      <c r="C1961">
        <f>Profile!AP2032</f>
        <v>0</v>
      </c>
      <c r="D1961" t="str">
        <f>IF(Profile!C2030="Profile",IF(Profile!A2032="ResourceRequirement","OK","XXX"),"XXX")</f>
        <v>XXX</v>
      </c>
    </row>
    <row r="1962" spans="1:4" x14ac:dyDescent="0.45">
      <c r="A1962">
        <f>ROW()</f>
        <v>1962</v>
      </c>
      <c r="B1962" t="str">
        <f>Profile!A2031</f>
        <v>PercentComplete</v>
      </c>
      <c r="C1962">
        <f>Profile!AP2033</f>
        <v>0</v>
      </c>
      <c r="D1962" t="str">
        <f>IF(Profile!C2031="Profile",IF(Profile!A2033="ResourceRequirement","OK","XXX"),"XXX")</f>
        <v>XXX</v>
      </c>
    </row>
    <row r="1963" spans="1:4" x14ac:dyDescent="0.45">
      <c r="A1963">
        <f>ROW()</f>
        <v>1963</v>
      </c>
      <c r="B1963" t="str">
        <f>Profile!A2032</f>
        <v>StartTime</v>
      </c>
      <c r="C1963">
        <f>Profile!AP2034</f>
        <v>0</v>
      </c>
      <c r="D1963" t="str">
        <f>IF(Profile!C2032="Profile",IF(Profile!A2034="ResourceRequirement","OK","XXX"),"XXX")</f>
        <v>XXX</v>
      </c>
    </row>
    <row r="1964" spans="1:4" x14ac:dyDescent="0.45">
      <c r="A1964">
        <f>ROW()</f>
        <v>1964</v>
      </c>
      <c r="B1964" t="str">
        <f>Profile!A2033</f>
        <v>TaskMonitor</v>
      </c>
      <c r="C1964">
        <f>Profile!AP2035</f>
        <v>0</v>
      </c>
      <c r="D1964" t="str">
        <f>IF(Profile!C2033="Profile",IF(Profile!A2035="ResourceRequirement","OK","XXX"),"XXX")</f>
        <v>XXX</v>
      </c>
    </row>
    <row r="1965" spans="1:4" x14ac:dyDescent="0.45">
      <c r="A1965">
        <f>ROW()</f>
        <v>1965</v>
      </c>
      <c r="B1965" t="str">
        <f>Profile!A2034</f>
        <v>TaskState</v>
      </c>
      <c r="C1965">
        <f>Profile!AP2036</f>
        <v>0</v>
      </c>
      <c r="D1965" t="str">
        <f>IF(Profile!C2034="Profile",IF(Profile!A2036="ResourceRequirement","OK","XXX"),"XXX")</f>
        <v>XXX</v>
      </c>
    </row>
    <row r="1966" spans="1:4" x14ac:dyDescent="0.45">
      <c r="A1966">
        <f>ROW()</f>
        <v>1966</v>
      </c>
      <c r="B1966" t="str">
        <f>Profile!A2035</f>
        <v>TaskStatus</v>
      </c>
      <c r="C1966">
        <f>Profile!AP2037</f>
        <v>0</v>
      </c>
      <c r="D1966" t="str">
        <f>IF(Profile!C2035="Profile",IF(Profile!A2037="ResourceRequirement","OK","XXX"),"XXX")</f>
        <v>XXX</v>
      </c>
    </row>
    <row r="1967" spans="1:4" x14ac:dyDescent="0.45">
      <c r="A1967">
        <f>ROW()</f>
        <v>1967</v>
      </c>
      <c r="B1967" t="str">
        <f>Profile!A2036</f>
        <v>Task URIs</v>
      </c>
      <c r="C1967">
        <f>Profile!AP2038</f>
        <v>0</v>
      </c>
      <c r="D1967" t="str">
        <f>IF(Profile!C2036="Profile",IF(Profile!A2038="ResourceRequirement","OK","XXX"),"XXX")</f>
        <v>XXX</v>
      </c>
    </row>
    <row r="1968" spans="1:4" x14ac:dyDescent="0.45">
      <c r="A1968">
        <f>ROW()</f>
        <v>1968</v>
      </c>
      <c r="B1968" t="str">
        <f>Profile!A2037</f>
        <v>/redfish/v1/TaskService/Tasks/{TaskId}</v>
      </c>
      <c r="C1968">
        <f>Profile!AP2039</f>
        <v>0</v>
      </c>
      <c r="D1968" t="str">
        <f>IF(Profile!C2037="Profile",IF(Profile!A2039="ResourceRequirement","OK","XXX"),"XXX")</f>
        <v>XXX</v>
      </c>
    </row>
    <row r="1969" spans="1:4" x14ac:dyDescent="0.45">
      <c r="A1969">
        <f>ROW()</f>
        <v>1969</v>
      </c>
      <c r="B1969">
        <f>Profile!A2038</f>
        <v>0</v>
      </c>
      <c r="C1969">
        <f>Profile!AP2040</f>
        <v>0</v>
      </c>
      <c r="D1969" t="str">
        <f>IF(Profile!C2038="Profile",IF(Profile!A2040="ResourceRequirement","OK","XXX"),"XXX")</f>
        <v>XXX</v>
      </c>
    </row>
    <row r="1970" spans="1:4" x14ac:dyDescent="0.45">
      <c r="A1970">
        <f>ROW()</f>
        <v>1970</v>
      </c>
      <c r="B1970" t="str">
        <f>Profile!A2039</f>
        <v>1.1.6.12            TaskService</v>
      </c>
      <c r="C1970">
        <f>Profile!AP2041</f>
        <v>0</v>
      </c>
      <c r="D1970" t="str">
        <f>IF(Profile!C2039="Profile",IF(Profile!A2041="ResourceRequirement","OK","XXX"),"XXX")</f>
        <v>XXX</v>
      </c>
    </row>
    <row r="1971" spans="1:4" x14ac:dyDescent="0.45">
      <c r="A1971">
        <f>ROW()</f>
        <v>1971</v>
      </c>
      <c r="B1971" t="str">
        <f>Profile!A2040</f>
        <v>The TaskService represents the properties for the service itself and has links to the actual list of tasks.</v>
      </c>
      <c r="C1971">
        <f>Profile!AP2042</f>
        <v>0</v>
      </c>
      <c r="D1971" t="str">
        <f>IF(Profile!C2040="Profile",IF(Profile!A2042="ResourceRequirement","OK","XXX"),"XXX")</f>
        <v>XXX</v>
      </c>
    </row>
    <row r="1972" spans="1:4" x14ac:dyDescent="0.45">
      <c r="A1972">
        <f>ROW()</f>
        <v>1972</v>
      </c>
      <c r="B1972" t="str">
        <f>Profile!A2041</f>
        <v>Table 66: O-PAS Profile Map for the Redfish TaskService</v>
      </c>
      <c r="C1972">
        <f>Profile!AP2043</f>
        <v>0</v>
      </c>
      <c r="D1972" t="str">
        <f>IF(Profile!C2041="Profile",IF(Profile!A2043="ResourceRequirement","OK","XXX"),"XXX")</f>
        <v>XXX</v>
      </c>
    </row>
    <row r="1973" spans="1:4" x14ac:dyDescent="0.45">
      <c r="A1973">
        <f>ROW()</f>
        <v>1973</v>
      </c>
      <c r="B1973" t="str">
        <f>Profile!A2042</f>
        <v>TaskService (1.1.2)</v>
      </c>
      <c r="C1973">
        <f>Profile!AP2044</f>
        <v>0</v>
      </c>
      <c r="D1973" t="str">
        <f>IF(Profile!C2042="Profile",IF(Profile!A2044="ResourceRequirement","OK","XXX"),"XXX")</f>
        <v>XXX</v>
      </c>
    </row>
    <row r="1974" spans="1:4" x14ac:dyDescent="0.45">
      <c r="A1974">
        <f>ROW()</f>
        <v>1974</v>
      </c>
      <c r="B1974">
        <f>Profile!A2043</f>
        <v>0</v>
      </c>
      <c r="C1974">
        <f>Profile!AP2045</f>
        <v>0</v>
      </c>
      <c r="D1974" t="str">
        <f>IF(Profile!C2043="Profile",IF(Profile!A2045="ResourceRequirement","OK","XXX"),"XXX")</f>
        <v>XXX</v>
      </c>
    </row>
    <row r="1975" spans="1:4" x14ac:dyDescent="0.45">
      <c r="A1975">
        <f>ROW()</f>
        <v>1975</v>
      </c>
      <c r="B1975" t="str">
        <f>Profile!A2044</f>
        <v>TaskService (1.1.3)</v>
      </c>
      <c r="C1975">
        <f>Profile!AP2046</f>
        <v>60</v>
      </c>
      <c r="D1975" t="str">
        <f>IF(Profile!C2044="Profile",IF(Profile!A2046="ResourceRequirement","OK","XXX"),"XXX")</f>
        <v>OK</v>
      </c>
    </row>
    <row r="1976" spans="1:4" x14ac:dyDescent="0.45">
      <c r="A1976">
        <f>ROW()</f>
        <v>1976</v>
      </c>
      <c r="B1976">
        <f>Profile!A2045</f>
        <v>0</v>
      </c>
      <c r="C1976">
        <f>Profile!AP2047</f>
        <v>0</v>
      </c>
      <c r="D1976" t="str">
        <f>IF(Profile!C2045="Profile",IF(Profile!A2047="ResourceRequirement","OK","XXX"),"XXX")</f>
        <v>XXX</v>
      </c>
    </row>
    <row r="1977" spans="1:4" x14ac:dyDescent="0.45">
      <c r="A1977">
        <f>ROW()</f>
        <v>1977</v>
      </c>
      <c r="B1977" t="str">
        <f>Profile!A2046</f>
        <v>ResourceRequirement</v>
      </c>
      <c r="C1977">
        <f>Profile!AP2048</f>
        <v>0</v>
      </c>
      <c r="D1977" t="str">
        <f>IF(Profile!C2046="Profile",IF(Profile!A2048="ResourceRequirement","OK","XXX"),"XXX")</f>
        <v>XXX</v>
      </c>
    </row>
    <row r="1978" spans="1:4" x14ac:dyDescent="0.45">
      <c r="A1978">
        <f>ROW()</f>
        <v>1978</v>
      </c>
      <c r="B1978" t="str">
        <f>Profile!A2047</f>
        <v>Resource MinVersion</v>
      </c>
      <c r="C1978">
        <f>Profile!AP2049</f>
        <v>0</v>
      </c>
      <c r="D1978" t="str">
        <f>IF(Profile!C2047="Profile",IF(Profile!A2049="ResourceRequirement","OK","XXX"),"XXX")</f>
        <v>XXX</v>
      </c>
    </row>
    <row r="1979" spans="1:4" x14ac:dyDescent="0.45">
      <c r="A1979">
        <f>ROW()</f>
        <v>1979</v>
      </c>
      <c r="B1979" t="str">
        <f>Profile!A2048</f>
        <v>Property</v>
      </c>
      <c r="C1979">
        <f>Profile!AP2050</f>
        <v>0</v>
      </c>
      <c r="D1979" t="str">
        <f>IF(Profile!C2048="Profile",IF(Profile!A2050="ResourceRequirement","OK","XXX"),"XXX")</f>
        <v>XXX</v>
      </c>
    </row>
    <row r="1980" spans="1:4" x14ac:dyDescent="0.45">
      <c r="A1980">
        <f>ROW()</f>
        <v>1980</v>
      </c>
      <c r="B1980" t="str">
        <f>Profile!A2049</f>
        <v>Actions</v>
      </c>
      <c r="C1980">
        <f>Profile!AP2051</f>
        <v>0</v>
      </c>
      <c r="D1980" t="str">
        <f>IF(Profile!C2049="Profile",IF(Profile!A2051="ResourceRequirement","OK","XXX"),"XXX")</f>
        <v>XXX</v>
      </c>
    </row>
    <row r="1981" spans="1:4" x14ac:dyDescent="0.45">
      <c r="A1981">
        <f>ROW()</f>
        <v>1981</v>
      </c>
      <c r="B1981" t="str">
        <f>Profile!A2050</f>
        <v>CompletedTaskOverWritePolicy</v>
      </c>
      <c r="C1981">
        <f>Profile!AP2052</f>
        <v>0</v>
      </c>
      <c r="D1981" t="str">
        <f>IF(Profile!C2050="Profile",IF(Profile!A2052="ResourceRequirement","OK","XXX"),"XXX")</f>
        <v>XXX</v>
      </c>
    </row>
    <row r="1982" spans="1:4" x14ac:dyDescent="0.45">
      <c r="A1982">
        <f>ROW()</f>
        <v>1982</v>
      </c>
      <c r="B1982" t="str">
        <f>Profile!A2051</f>
        <v>DateTime</v>
      </c>
      <c r="C1982">
        <f>Profile!AP2053</f>
        <v>0</v>
      </c>
      <c r="D1982" t="str">
        <f>IF(Profile!C2051="Profile",IF(Profile!A2053="ResourceRequirement","OK","XXX"),"XXX")</f>
        <v>XXX</v>
      </c>
    </row>
    <row r="1983" spans="1:4" x14ac:dyDescent="0.45">
      <c r="A1983">
        <f>ROW()</f>
        <v>1983</v>
      </c>
      <c r="B1983" t="str">
        <f>Profile!A2052</f>
        <v>LifeCycleEventOnTaskStateChange</v>
      </c>
      <c r="C1983">
        <f>Profile!AP2054</f>
        <v>0</v>
      </c>
      <c r="D1983" t="str">
        <f>IF(Profile!C2052="Profile",IF(Profile!A2054="ResourceRequirement","OK","XXX"),"XXX")</f>
        <v>XXX</v>
      </c>
    </row>
    <row r="1984" spans="1:4" x14ac:dyDescent="0.45">
      <c r="A1984">
        <f>ROW()</f>
        <v>1984</v>
      </c>
      <c r="B1984" t="str">
        <f>Profile!A2053</f>
        <v>ServiceEnabled</v>
      </c>
      <c r="C1984">
        <f>Profile!AP2057</f>
        <v>0</v>
      </c>
      <c r="D1984" t="str">
        <f>IF(Profile!C2053="Profile",IF(Profile!A2057="ResourceRequirement","OK","XXX"),"XXX")</f>
        <v>XXX</v>
      </c>
    </row>
    <row r="1985" spans="1:4" x14ac:dyDescent="0.45">
      <c r="A1985">
        <f>ROW()</f>
        <v>1985</v>
      </c>
      <c r="B1985" t="str">
        <f>Profile!A2054</f>
        <v>Status</v>
      </c>
      <c r="C1985">
        <f>Profile!AP2058</f>
        <v>0</v>
      </c>
      <c r="D1985" t="str">
        <f>IF(Profile!C2054="Profile",IF(Profile!A2058="ResourceRequirement","OK","XXX"),"XXX")</f>
        <v>XXX</v>
      </c>
    </row>
    <row r="1986" spans="1:4" x14ac:dyDescent="0.45">
      <c r="A1986">
        <f>ROW()</f>
        <v>1986</v>
      </c>
      <c r="B1986" t="str">
        <f>Profile!A2057</f>
        <v>Tasks</v>
      </c>
      <c r="C1986">
        <f>Profile!AP2059</f>
        <v>0</v>
      </c>
      <c r="D1986" t="str">
        <f>IF(Profile!C2057="Profile",IF(Profile!A2059="ResourceRequirement","OK","XXX"),"XXX")</f>
        <v>XXX</v>
      </c>
    </row>
    <row r="1987" spans="1:4" x14ac:dyDescent="0.45">
      <c r="A1987">
        <f>ROW()</f>
        <v>1987</v>
      </c>
      <c r="B1987" t="str">
        <f>Profile!A2058</f>
        <v xml:space="preserve">   @odata.id</v>
      </c>
      <c r="C1987">
        <f>Profile!AP2060</f>
        <v>0</v>
      </c>
      <c r="D1987" t="str">
        <f>IF(Profile!C2058="Profile",IF(Profile!A2060="ResourceRequirement","OK","XXX"),"XXX")</f>
        <v>XXX</v>
      </c>
    </row>
    <row r="1988" spans="1:4" x14ac:dyDescent="0.45">
      <c r="A1988">
        <f>ROW()</f>
        <v>1988</v>
      </c>
      <c r="B1988" t="str">
        <f>Profile!A2059</f>
        <v>TaskService URIs</v>
      </c>
      <c r="C1988">
        <f>Profile!AP2061</f>
        <v>0</v>
      </c>
      <c r="D1988" t="str">
        <f>IF(Profile!C2059="Profile",IF(Profile!A2061="ResourceRequirement","OK","XXX"),"XXX")</f>
        <v>XXX</v>
      </c>
    </row>
    <row r="1989" spans="1:4" x14ac:dyDescent="0.45">
      <c r="A1989">
        <f>ROW()</f>
        <v>1989</v>
      </c>
      <c r="B1989" t="str">
        <f>Profile!A2060</f>
        <v>/redfish/v1/TaskService</v>
      </c>
      <c r="C1989">
        <f>Profile!AP2062</f>
        <v>0</v>
      </c>
      <c r="D1989" t="str">
        <f>IF(Profile!C2060="Profile",IF(Profile!A2062="ResourceRequirement","OK","XXX"),"XXX")</f>
        <v>XXX</v>
      </c>
    </row>
    <row r="1990" spans="1:4" x14ac:dyDescent="0.45">
      <c r="A1990">
        <f>ROW()</f>
        <v>1990</v>
      </c>
      <c r="B1990">
        <f>Profile!A2061</f>
        <v>0</v>
      </c>
      <c r="C1990">
        <f>Profile!AP2063</f>
        <v>0</v>
      </c>
      <c r="D1990" t="str">
        <f>IF(Profile!C2061="Profile",IF(Profile!A2063="ResourceRequirement","OK","XXX"),"XXX")</f>
        <v>XXX</v>
      </c>
    </row>
    <row r="1991" spans="1:4" x14ac:dyDescent="0.45">
      <c r="A1991">
        <f>ROW()</f>
        <v>1991</v>
      </c>
      <c r="B1991" t="str">
        <f>Profile!A2062</f>
        <v>1.1.6.13            UpdateService</v>
      </c>
      <c r="C1991">
        <f>Profile!AP2064</f>
        <v>0</v>
      </c>
      <c r="D1991" t="str">
        <f>IF(Profile!C2062="Profile",IF(Profile!A2064="ResourceRequirement","OK","XXX"),"XXX")</f>
        <v>XXX</v>
      </c>
    </row>
    <row r="1992" spans="1:4" x14ac:dyDescent="0.45">
      <c r="A1992">
        <f>ROW()</f>
        <v>1992</v>
      </c>
      <c r="B1992" t="str">
        <f>Profile!A2063</f>
        <v>The UpdateService represents the properties for the service itself and has links to collections of firmware and software inventory.</v>
      </c>
      <c r="C1992">
        <f>Profile!AP2065</f>
        <v>0</v>
      </c>
      <c r="D1992" t="str">
        <f>IF(Profile!C2063="Profile",IF(Profile!A2065="ResourceRequirement","OK","XXX"),"XXX")</f>
        <v>XXX</v>
      </c>
    </row>
    <row r="1993" spans="1:4" x14ac:dyDescent="0.45">
      <c r="A1993">
        <f>ROW()</f>
        <v>1993</v>
      </c>
      <c r="B1993" t="str">
        <f>Profile!A2064</f>
        <v>Table 67: O-PAS Profile Map for the Redfish UpdateService</v>
      </c>
      <c r="C1993">
        <f>Profile!AP2066</f>
        <v>0</v>
      </c>
      <c r="D1993" t="str">
        <f>IF(Profile!C2064="Profile",IF(Profile!A2066="ResourceRequirement","OK","XXX"),"XXX")</f>
        <v>XXX</v>
      </c>
    </row>
    <row r="1994" spans="1:4" x14ac:dyDescent="0.45">
      <c r="A1994">
        <f>ROW()</f>
        <v>1994</v>
      </c>
      <c r="B1994" t="str">
        <f>Profile!A2065</f>
        <v>UpdateService (1.3.0)</v>
      </c>
      <c r="C1994">
        <f>Profile!AP2067</f>
        <v>0</v>
      </c>
      <c r="D1994" t="str">
        <f>IF(Profile!C2065="Profile",IF(Profile!A2067="ResourceRequirement","OK","XXX"),"XXX")</f>
        <v>XXX</v>
      </c>
    </row>
    <row r="1995" spans="1:4" x14ac:dyDescent="0.45">
      <c r="A1995">
        <f>ROW()</f>
        <v>1995</v>
      </c>
      <c r="B1995">
        <f>Profile!A2066</f>
        <v>0</v>
      </c>
      <c r="C1995">
        <f>Profile!AP2068</f>
        <v>0</v>
      </c>
      <c r="D1995" t="str">
        <f>IF(Profile!C2066="Profile",IF(Profile!A2068="ResourceRequirement","OK","XXX"),"XXX")</f>
        <v>XXX</v>
      </c>
    </row>
    <row r="1996" spans="1:4" x14ac:dyDescent="0.45">
      <c r="A1996">
        <f>ROW()</f>
        <v>1996</v>
      </c>
      <c r="B1996" t="str">
        <f>Profile!A2067</f>
        <v>UpdateService (1.5.0)</v>
      </c>
      <c r="C1996">
        <f>Profile!AP2069</f>
        <v>64</v>
      </c>
      <c r="D1996" t="str">
        <f>IF(Profile!C2067="Profile",IF(Profile!A2069="ResourceRequirement","OK","XXX"),"XXX")</f>
        <v>OK</v>
      </c>
    </row>
    <row r="1997" spans="1:4" x14ac:dyDescent="0.45">
      <c r="A1997">
        <f>ROW()</f>
        <v>1997</v>
      </c>
      <c r="B1997">
        <f>Profile!A2068</f>
        <v>0</v>
      </c>
      <c r="C1997">
        <f>Profile!AP2070</f>
        <v>0</v>
      </c>
      <c r="D1997" t="str">
        <f>IF(Profile!C2068="Profile",IF(Profile!A2070="ResourceRequirement","OK","XXX"),"XXX")</f>
        <v>XXX</v>
      </c>
    </row>
    <row r="1998" spans="1:4" x14ac:dyDescent="0.45">
      <c r="A1998">
        <f>ROW()</f>
        <v>1998</v>
      </c>
      <c r="B1998" t="str">
        <f>Profile!A2069</f>
        <v>ResourceRequirement</v>
      </c>
      <c r="C1998">
        <f>Profile!AP2071</f>
        <v>0</v>
      </c>
      <c r="D1998" t="str">
        <f>IF(Profile!C2069="Profile",IF(Profile!A2071="ResourceRequirement","OK","XXX"),"XXX")</f>
        <v>XXX</v>
      </c>
    </row>
    <row r="1999" spans="1:4" x14ac:dyDescent="0.45">
      <c r="A1999">
        <f>ROW()</f>
        <v>1999</v>
      </c>
      <c r="B1999" t="str">
        <f>Profile!A2070</f>
        <v>Resource MinVersion</v>
      </c>
      <c r="C1999">
        <f>Profile!AP2072</f>
        <v>0</v>
      </c>
      <c r="D1999" t="str">
        <f>IF(Profile!C2070="Profile",IF(Profile!A2072="ResourceRequirement","OK","XXX"),"XXX")</f>
        <v>XXX</v>
      </c>
    </row>
    <row r="2000" spans="1:4" x14ac:dyDescent="0.45">
      <c r="A2000">
        <f>ROW()</f>
        <v>2000</v>
      </c>
      <c r="B2000" t="str">
        <f>Profile!A2071</f>
        <v>Property</v>
      </c>
      <c r="C2000">
        <f>Profile!AP2073</f>
        <v>0</v>
      </c>
      <c r="D2000" t="str">
        <f>IF(Profile!C2071="Profile",IF(Profile!A2073="ResourceRequirement","OK","XXX"),"XXX")</f>
        <v>XXX</v>
      </c>
    </row>
    <row r="2001" spans="1:4" x14ac:dyDescent="0.45">
      <c r="A2001">
        <f>ROW()</f>
        <v>2001</v>
      </c>
      <c r="B2001" t="str">
        <f>Profile!A2072</f>
        <v>Actions</v>
      </c>
      <c r="C2001">
        <f>Profile!AP2074</f>
        <v>0</v>
      </c>
      <c r="D2001" t="str">
        <f>IF(Profile!C2072="Profile",IF(Profile!A2074="ResourceRequirement","OK","XXX"),"XXX")</f>
        <v>XXX</v>
      </c>
    </row>
    <row r="2002" spans="1:4" x14ac:dyDescent="0.45">
      <c r="A2002">
        <f>ROW()</f>
        <v>2002</v>
      </c>
      <c r="B2002" t="str">
        <f>Profile!A2073</f>
        <v xml:space="preserve">   #UpdateService.SimpleUpdate</v>
      </c>
      <c r="C2002">
        <f>Profile!AP2075</f>
        <v>0</v>
      </c>
      <c r="D2002" t="str">
        <f>IF(Profile!C2073="Profile",IF(Profile!A2075="ResourceRequirement","OK","XXX"),"XXX")</f>
        <v>XXX</v>
      </c>
    </row>
    <row r="2003" spans="1:4" x14ac:dyDescent="0.45">
      <c r="A2003">
        <f>ROW()</f>
        <v>2003</v>
      </c>
      <c r="B2003" t="str">
        <f>Profile!A2074</f>
        <v>FirmwareInventory</v>
      </c>
      <c r="C2003">
        <f>Profile!AP2076</f>
        <v>0</v>
      </c>
      <c r="D2003" t="str">
        <f>IF(Profile!C2074="Profile",IF(Profile!A2076="ResourceRequirement","OK","XXX"),"XXX")</f>
        <v>XXX</v>
      </c>
    </row>
    <row r="2004" spans="1:4" x14ac:dyDescent="0.45">
      <c r="A2004">
        <f>ROW()</f>
        <v>2004</v>
      </c>
      <c r="B2004" t="str">
        <f>Profile!A2075</f>
        <v xml:space="preserve">   @odata.id</v>
      </c>
      <c r="C2004">
        <f>Profile!AP2077</f>
        <v>0</v>
      </c>
      <c r="D2004" t="str">
        <f>IF(Profile!C2075="Profile",IF(Profile!A2077="ResourceRequirement","OK","XXX"),"XXX")</f>
        <v>XXX</v>
      </c>
    </row>
    <row r="2005" spans="1:4" x14ac:dyDescent="0.45">
      <c r="A2005">
        <f>ROW()</f>
        <v>2005</v>
      </c>
      <c r="B2005" t="str">
        <f>Profile!A2076</f>
        <v>HttpPushUri</v>
      </c>
      <c r="C2005">
        <f>Profile!AP2078</f>
        <v>0</v>
      </c>
      <c r="D2005" t="str">
        <f>IF(Profile!C2076="Profile",IF(Profile!A2078="ResourceRequirement","OK","XXX"),"XXX")</f>
        <v>XXX</v>
      </c>
    </row>
    <row r="2006" spans="1:4" x14ac:dyDescent="0.45">
      <c r="A2006">
        <f>ROW()</f>
        <v>2006</v>
      </c>
      <c r="B2006" t="str">
        <f>Profile!A2077</f>
        <v>HttpPushUriOptions</v>
      </c>
      <c r="C2006">
        <f>Profile!AP2079</f>
        <v>0</v>
      </c>
      <c r="D2006" t="str">
        <f>IF(Profile!C2077="Profile",IF(Profile!A2079="ResourceRequirement","OK","XXX"),"XXX")</f>
        <v>XXX</v>
      </c>
    </row>
    <row r="2007" spans="1:4" x14ac:dyDescent="0.45">
      <c r="A2007">
        <f>ROW()</f>
        <v>2007</v>
      </c>
      <c r="B2007" t="str">
        <f>Profile!A2078</f>
        <v xml:space="preserve">   HttpPushUriApplyTime</v>
      </c>
      <c r="C2007">
        <f>Profile!AP2080</f>
        <v>0</v>
      </c>
      <c r="D2007" t="str">
        <f>IF(Profile!C2078="Profile",IF(Profile!A2080="ResourceRequirement","OK","XXX"),"XXX")</f>
        <v>XXX</v>
      </c>
    </row>
    <row r="2008" spans="1:4" x14ac:dyDescent="0.45">
      <c r="A2008">
        <f>ROW()</f>
        <v>2008</v>
      </c>
      <c r="B2008" t="str">
        <f>Profile!A2079</f>
        <v xml:space="preserve">      ApplyTime</v>
      </c>
      <c r="C2008">
        <f>Profile!AP2081</f>
        <v>0</v>
      </c>
      <c r="D2008" t="str">
        <f>IF(Profile!C2079="Profile",IF(Profile!A2081="ResourceRequirement","OK","XXX"),"XXX")</f>
        <v>XXX</v>
      </c>
    </row>
    <row r="2009" spans="1:4" x14ac:dyDescent="0.45">
      <c r="A2009">
        <f>ROW()</f>
        <v>2009</v>
      </c>
      <c r="B2009" t="str">
        <f>Profile!A2080</f>
        <v xml:space="preserve">            MaintenanceWindowDurationInSeconds</v>
      </c>
      <c r="C2009">
        <f>Profile!AP2082</f>
        <v>0</v>
      </c>
      <c r="D2009" t="str">
        <f>IF(Profile!C2080="Profile",IF(Profile!A2082="ResourceRequirement","OK","XXX"),"XXX")</f>
        <v>XXX</v>
      </c>
    </row>
    <row r="2010" spans="1:4" x14ac:dyDescent="0.45">
      <c r="A2010">
        <f>ROW()</f>
        <v>2010</v>
      </c>
      <c r="B2010" t="str">
        <f>Profile!A2081</f>
        <v xml:space="preserve">      MaintenanceWindowStartTime</v>
      </c>
      <c r="C2010">
        <f>Profile!AP2083</f>
        <v>0</v>
      </c>
      <c r="D2010" t="str">
        <f>IF(Profile!C2081="Profile",IF(Profile!A2083="ResourceRequirement","OK","XXX"),"XXX")</f>
        <v>XXX</v>
      </c>
    </row>
    <row r="2011" spans="1:4" x14ac:dyDescent="0.45">
      <c r="A2011">
        <f>ROW()</f>
        <v>2011</v>
      </c>
      <c r="B2011" t="str">
        <f>Profile!A2082</f>
        <v>HttpPushUriOptionsBusy</v>
      </c>
      <c r="C2011">
        <f>Profile!AP2084</f>
        <v>0</v>
      </c>
      <c r="D2011" t="str">
        <f>IF(Profile!C2082="Profile",IF(Profile!A2084="ResourceRequirement","OK","XXX"),"XXX")</f>
        <v>XXX</v>
      </c>
    </row>
    <row r="2012" spans="1:4" x14ac:dyDescent="0.45">
      <c r="A2012">
        <f>ROW()</f>
        <v>2012</v>
      </c>
      <c r="B2012" t="str">
        <f>Profile!A2083</f>
        <v>HttpPushUriTargets</v>
      </c>
      <c r="C2012">
        <f>Profile!AP2085</f>
        <v>0</v>
      </c>
      <c r="D2012" t="str">
        <f>IF(Profile!C2083="Profile",IF(Profile!A2085="ResourceRequirement","OK","XXX"),"XXX")</f>
        <v>XXX</v>
      </c>
    </row>
    <row r="2013" spans="1:4" x14ac:dyDescent="0.45">
      <c r="A2013">
        <f>ROW()</f>
        <v>2013</v>
      </c>
      <c r="B2013" t="str">
        <f>Profile!A2084</f>
        <v>HttpPushUriTargetsBusy</v>
      </c>
      <c r="C2013">
        <f>Profile!AP2086</f>
        <v>0</v>
      </c>
      <c r="D2013" t="str">
        <f>IF(Profile!C2084="Profile",IF(Profile!A2086="ResourceRequirement","OK","XXX"),"XXX")</f>
        <v>XXX</v>
      </c>
    </row>
    <row r="2014" spans="1:4" x14ac:dyDescent="0.45">
      <c r="A2014">
        <f>ROW()</f>
        <v>2014</v>
      </c>
      <c r="B2014" t="str">
        <f>Profile!A2085</f>
        <v>MaxImageSizeBytes</v>
      </c>
      <c r="C2014">
        <f>Profile!AP2087</f>
        <v>0</v>
      </c>
      <c r="D2014" t="str">
        <f>IF(Profile!C2085="Profile",IF(Profile!A2087="ResourceRequirement","OK","XXX"),"XXX")</f>
        <v>XXX</v>
      </c>
    </row>
    <row r="2015" spans="1:4" x14ac:dyDescent="0.45">
      <c r="A2015">
        <f>ROW()</f>
        <v>2015</v>
      </c>
      <c r="B2015" t="str">
        <f>Profile!A2086</f>
        <v>MultipartHttpPushUri</v>
      </c>
      <c r="C2015">
        <f>Profile!AP2088</f>
        <v>0</v>
      </c>
      <c r="D2015" t="str">
        <f>IF(Profile!C2086="Profile",IF(Profile!A2088="ResourceRequirement","OK","XXX"),"XXX")</f>
        <v>XXX</v>
      </c>
    </row>
    <row r="2016" spans="1:4" x14ac:dyDescent="0.45">
      <c r="A2016">
        <f>ROW()</f>
        <v>2016</v>
      </c>
      <c r="B2016" t="str">
        <f>Profile!A2087</f>
        <v>ServiceEnabled</v>
      </c>
      <c r="C2016">
        <f>Profile!AP2089</f>
        <v>0</v>
      </c>
      <c r="D2016" t="str">
        <f>IF(Profile!C2087="Profile",IF(Profile!A2089="ResourceRequirement","OK","XXX"),"XXX")</f>
        <v>XXX</v>
      </c>
    </row>
    <row r="2017" spans="1:4" x14ac:dyDescent="0.45">
      <c r="A2017">
        <f>ROW()</f>
        <v>2017</v>
      </c>
      <c r="B2017" t="str">
        <f>Profile!A2088</f>
        <v>SoftwareInventory</v>
      </c>
      <c r="C2017">
        <f>Profile!AP2090</f>
        <v>0</v>
      </c>
      <c r="D2017" t="str">
        <f>IF(Profile!C2088="Profile",IF(Profile!A2090="ResourceRequirement","OK","XXX"),"XXX")</f>
        <v>XXX</v>
      </c>
    </row>
    <row r="2018" spans="1:4" x14ac:dyDescent="0.45">
      <c r="A2018">
        <f>ROW()</f>
        <v>2018</v>
      </c>
      <c r="B2018" t="str">
        <f>Profile!A2089</f>
        <v xml:space="preserve">   @odata.id</v>
      </c>
      <c r="C2018">
        <f>Profile!AP2093</f>
        <v>0</v>
      </c>
      <c r="D2018" t="str">
        <f>IF(Profile!C2089="Profile",IF(Profile!A2093="ResourceRequirement","OK","XXX"),"XXX")</f>
        <v>XXX</v>
      </c>
    </row>
    <row r="2019" spans="1:4" x14ac:dyDescent="0.45">
      <c r="A2019">
        <f>ROW()</f>
        <v>2019</v>
      </c>
      <c r="B2019" t="str">
        <f>Profile!A2090</f>
        <v>Status</v>
      </c>
      <c r="C2019">
        <f>Profile!AP2094</f>
        <v>0</v>
      </c>
      <c r="D2019" t="str">
        <f>IF(Profile!C2090="Profile",IF(Profile!A2094="ResourceRequirement","OK","XXX"),"XXX")</f>
        <v>XXX</v>
      </c>
    </row>
    <row r="2020" spans="1:4" x14ac:dyDescent="0.45">
      <c r="A2020">
        <f>ROW()</f>
        <v>2020</v>
      </c>
      <c r="B2020" t="str">
        <f>Profile!A2093</f>
        <v>UpdateService URIs</v>
      </c>
      <c r="C2020">
        <f>Profile!AP2095</f>
        <v>0</v>
      </c>
      <c r="D2020" t="str">
        <f>IF(Profile!C2093="Profile",IF(Profile!A2095="ResourceRequirement","OK","XXX"),"XXX")</f>
        <v>XXX</v>
      </c>
    </row>
    <row r="2021" spans="1:4" x14ac:dyDescent="0.45">
      <c r="A2021">
        <f>ROW()</f>
        <v>2021</v>
      </c>
      <c r="B2021" t="str">
        <f>Profile!A2094</f>
        <v>/redfish/v1/UpdateService</v>
      </c>
      <c r="C2021">
        <f>Profile!AP2096</f>
        <v>0</v>
      </c>
      <c r="D2021" t="str">
        <f>IF(Profile!C2094="Profile",IF(Profile!A2096="ResourceRequirement","OK","XXX"),"XXX")</f>
        <v>XXX</v>
      </c>
    </row>
    <row r="2022" spans="1:4" x14ac:dyDescent="0.45">
      <c r="A2022">
        <f>ROW()</f>
        <v>2022</v>
      </c>
      <c r="B2022">
        <f>Profile!A2095</f>
        <v>0</v>
      </c>
      <c r="C2022">
        <f>Profile!AP2097</f>
        <v>0</v>
      </c>
      <c r="D2022" t="str">
        <f>IF(Profile!C2095="Profile",IF(Profile!A2097="ResourceRequirement","OK","XXX"),"XXX")</f>
        <v>XXX</v>
      </c>
    </row>
    <row r="2023" spans="1:4" x14ac:dyDescent="0.45">
      <c r="A2023">
        <f>ROW()</f>
        <v>2023</v>
      </c>
      <c r="B2023" t="str">
        <f>Profile!A2096</f>
        <v>1.1.7                 Physical</v>
      </c>
      <c r="C2023">
        <f>Profile!AP2098</f>
        <v>0</v>
      </c>
      <c r="D2023" t="str">
        <f>IF(Profile!C2096="Profile",IF(Profile!A2098="ResourceRequirement","OK","XXX"),"XXX")</f>
        <v>XXX</v>
      </c>
    </row>
    <row r="2024" spans="1:4" x14ac:dyDescent="0.45">
      <c r="A2024">
        <f>ROW()</f>
        <v>2024</v>
      </c>
      <c r="B2024" t="str">
        <f>Profile!A2097</f>
        <v>1.1.7.1               Assembly</v>
      </c>
      <c r="C2024">
        <f>Profile!AP2099</f>
        <v>0</v>
      </c>
      <c r="D2024" t="str">
        <f>IF(Profile!C2097="Profile",IF(Profile!A2099="ResourceRequirement","OK","XXX"),"XXX")</f>
        <v>XXX</v>
      </c>
    </row>
    <row r="2025" spans="1:4" x14ac:dyDescent="0.45">
      <c r="A2025">
        <f>ROW()</f>
        <v>2025</v>
      </c>
      <c r="B2025" t="str">
        <f>Profile!A2098</f>
        <v>This is the schema definition for the Assembly properties.</v>
      </c>
      <c r="C2025">
        <f>Profile!AP2100</f>
        <v>0</v>
      </c>
      <c r="D2025" t="str">
        <f>IF(Profile!C2098="Profile",IF(Profile!A2100="ResourceRequirement","OK","XXX"),"XXX")</f>
        <v>XXX</v>
      </c>
    </row>
    <row r="2026" spans="1:4" x14ac:dyDescent="0.45">
      <c r="A2026">
        <f>ROW()</f>
        <v>2026</v>
      </c>
      <c r="B2026" t="str">
        <f>Profile!A2099</f>
        <v>Assembly is not used in the O-PAS profiles.</v>
      </c>
      <c r="C2026">
        <f>Profile!AP2101</f>
        <v>0</v>
      </c>
      <c r="D2026" t="str">
        <f>IF(Profile!C2099="Profile",IF(Profile!A2101="ResourceRequirement","OK","XXX"),"XXX")</f>
        <v>XXX</v>
      </c>
    </row>
    <row r="2027" spans="1:4" x14ac:dyDescent="0.45">
      <c r="A2027">
        <f>ROW()</f>
        <v>2027</v>
      </c>
      <c r="B2027">
        <f>Profile!A2100</f>
        <v>0</v>
      </c>
      <c r="C2027">
        <f>Profile!AP2102</f>
        <v>0</v>
      </c>
      <c r="D2027" t="str">
        <f>IF(Profile!C2100="Profile",IF(Profile!A2102="ResourceRequirement","OK","XXX"),"XXX")</f>
        <v>XXX</v>
      </c>
    </row>
    <row r="2028" spans="1:4" x14ac:dyDescent="0.45">
      <c r="A2028">
        <f>ROW()</f>
        <v>2028</v>
      </c>
      <c r="B2028" t="str">
        <f>Profile!A2101</f>
        <v>1.1.1.3               ChassisCollection</v>
      </c>
      <c r="C2028">
        <f>Profile!AP2103</f>
        <v>0</v>
      </c>
      <c r="D2028" t="str">
        <f>IF(Profile!C2101="Profile",IF(Profile!A2103="ResourceRequirement","OK","XXX"),"XXX")</f>
        <v>XXX</v>
      </c>
    </row>
    <row r="2029" spans="1:4" x14ac:dyDescent="0.45">
      <c r="A2029">
        <f>ROW()</f>
        <v>2029</v>
      </c>
      <c r="B2029" t="str">
        <f>Profile!A2102</f>
        <v>A ChassisCollection is a collection of Chassis Resources</v>
      </c>
      <c r="C2029">
        <f>Profile!AP2104</f>
        <v>0</v>
      </c>
      <c r="D2029" t="str">
        <f>IF(Profile!C2102="Profile",IF(Profile!A2104="ResourceRequirement","OK","XXX"),"XXX")</f>
        <v>XXX</v>
      </c>
    </row>
    <row r="2030" spans="1:4" x14ac:dyDescent="0.45">
      <c r="A2030">
        <f>ROW()</f>
        <v>2030</v>
      </c>
      <c r="B2030" t="str">
        <f>Profile!A2103</f>
        <v>Table 10: O-PAS Profile Map for the Redfish ChassisCollection Resource</v>
      </c>
      <c r="C2030">
        <f>Profile!AP2105</f>
        <v>0</v>
      </c>
      <c r="D2030" t="str">
        <f>IF(Profile!C2103="Profile",IF(Profile!A2105="ResourceRequirement","OK","XXX"),"XXX")</f>
        <v>XXX</v>
      </c>
    </row>
    <row r="2031" spans="1:4" x14ac:dyDescent="0.45">
      <c r="A2031">
        <f>ROW()</f>
        <v>2031</v>
      </c>
      <c r="B2031" t="str">
        <f>Profile!A2104</f>
        <v>ChassisCollection ()</v>
      </c>
      <c r="C2031">
        <f>Profile!AP2106</f>
        <v>0</v>
      </c>
      <c r="D2031" t="str">
        <f>IF(Profile!C2104="Profile",IF(Profile!A2106="ResourceRequirement","OK","XXX"),"XXX")</f>
        <v>OK</v>
      </c>
    </row>
    <row r="2032" spans="1:4" x14ac:dyDescent="0.45">
      <c r="A2032">
        <f>ROW()</f>
        <v>2032</v>
      </c>
      <c r="B2032">
        <f>Profile!A2105</f>
        <v>0</v>
      </c>
      <c r="C2032">
        <f>Profile!AP2107</f>
        <v>0</v>
      </c>
      <c r="D2032" t="str">
        <f>IF(Profile!C2105="Profile",IF(Profile!A2107="ResourceRequirement","OK","XXX"),"XXX")</f>
        <v>XXX</v>
      </c>
    </row>
    <row r="2033" spans="1:4" x14ac:dyDescent="0.45">
      <c r="A2033">
        <f>ROW()</f>
        <v>2033</v>
      </c>
      <c r="B2033" t="str">
        <f>Profile!A2106</f>
        <v>ResourceRequirement</v>
      </c>
      <c r="C2033">
        <f>Profile!AP2108</f>
        <v>0</v>
      </c>
      <c r="D2033" t="str">
        <f>IF(Profile!C2106="Profile",IF(Profile!A2108="ResourceRequirement","OK","XXX"),"XXX")</f>
        <v>XXX</v>
      </c>
    </row>
    <row r="2034" spans="1:4" x14ac:dyDescent="0.45">
      <c r="A2034">
        <f>ROW()</f>
        <v>2034</v>
      </c>
      <c r="B2034" t="str">
        <f>Profile!A2107</f>
        <v>Property</v>
      </c>
      <c r="C2034">
        <f>Profile!AP2109</f>
        <v>0</v>
      </c>
      <c r="D2034" t="str">
        <f>IF(Profile!C2107="Profile",IF(Profile!A2109="ResourceRequirement","OK","XXX"),"XXX")</f>
        <v>XXX</v>
      </c>
    </row>
    <row r="2035" spans="1:4" x14ac:dyDescent="0.45">
      <c r="A2035">
        <f>ROW()</f>
        <v>2035</v>
      </c>
      <c r="B2035" t="str">
        <f>Profile!A2108</f>
        <v>Members</v>
      </c>
      <c r="C2035">
        <f>Profile!AP2110</f>
        <v>0</v>
      </c>
      <c r="D2035" t="str">
        <f>IF(Profile!C2108="Profile",IF(Profile!A2110="ResourceRequirement","OK","XXX"),"XXX")</f>
        <v>XXX</v>
      </c>
    </row>
    <row r="2036" spans="1:4" x14ac:dyDescent="0.45">
      <c r="A2036">
        <f>ROW()</f>
        <v>2036</v>
      </c>
      <c r="B2036" t="str">
        <f>Profile!A2109</f>
        <v xml:space="preserve">   @odata.id</v>
      </c>
      <c r="C2036">
        <f>Profile!AP2111</f>
        <v>0</v>
      </c>
      <c r="D2036" t="str">
        <f>IF(Profile!C2109="Profile",IF(Profile!A2111="ResourceRequirement","OK","XXX"),"XXX")</f>
        <v>XXX</v>
      </c>
    </row>
    <row r="2037" spans="1:4" x14ac:dyDescent="0.45">
      <c r="A2037">
        <f>ROW()</f>
        <v>2037</v>
      </c>
      <c r="B2037" t="str">
        <f>Profile!A2110</f>
        <v>ChassisCollection URIs</v>
      </c>
      <c r="C2037">
        <f>Profile!AP2112</f>
        <v>0</v>
      </c>
      <c r="D2037" t="str">
        <f>IF(Profile!C2110="Profile",IF(Profile!A2112="ResourceRequirement","OK","XXX"),"XXX")</f>
        <v>XXX</v>
      </c>
    </row>
    <row r="2038" spans="1:4" x14ac:dyDescent="0.45">
      <c r="A2038">
        <f>ROW()</f>
        <v>2038</v>
      </c>
      <c r="B2038" t="str">
        <f>Profile!A2111</f>
        <v>/redfish/v1/Chassis</v>
      </c>
      <c r="C2038">
        <f>Profile!AP2113</f>
        <v>0</v>
      </c>
      <c r="D2038" t="str">
        <f>IF(Profile!C2111="Profile",IF(Profile!A2113="ResourceRequirement","OK","XXX"),"XXX")</f>
        <v>XXX</v>
      </c>
    </row>
    <row r="2039" spans="1:4" x14ac:dyDescent="0.45">
      <c r="A2039">
        <f>ROW()</f>
        <v>2039</v>
      </c>
      <c r="B2039">
        <f>Profile!A2112</f>
        <v>0</v>
      </c>
      <c r="C2039">
        <f>Profile!AP2114</f>
        <v>0</v>
      </c>
      <c r="D2039" t="str">
        <f>IF(Profile!C2112="Profile",IF(Profile!A2114="ResourceRequirement","OK","XXX"),"XXX")</f>
        <v>XXX</v>
      </c>
    </row>
    <row r="2040" spans="1:4" x14ac:dyDescent="0.45">
      <c r="A2040">
        <f>ROW()</f>
        <v>2040</v>
      </c>
      <c r="B2040" t="str">
        <f>Profile!A2113</f>
        <v>1.1.7.2               Chassis</v>
      </c>
      <c r="C2040">
        <f>Profile!AP2115</f>
        <v>0</v>
      </c>
      <c r="D2040" t="str">
        <f>IF(Profile!C2113="Profile",IF(Profile!A2115="ResourceRequirement","OK","XXX"),"XXX")</f>
        <v>XXX</v>
      </c>
    </row>
    <row r="2041" spans="1:4" x14ac:dyDescent="0.45">
      <c r="A2041">
        <f>ROW()</f>
        <v>2041</v>
      </c>
      <c r="B2041" t="str">
        <f>Profile!A2114</f>
        <v>The Chassis resource represents the physical components of a system. This resource represents the sheet-metal confined spaces and logical zones such as racks, enclosures, chassis, and all other containers. Subsystems (like sensors) that operate outside of a system’s data plane (meaning the resources are not accessible to software running on the system) are linked either directly or indirectly through this resource.</v>
      </c>
      <c r="C2041">
        <f>Profile!AP2116</f>
        <v>0</v>
      </c>
      <c r="D2041" t="str">
        <f>IF(Profile!C2114="Profile",IF(Profile!A2116="ResourceRequirement","OK","XXX"),"XXX")</f>
        <v>XXX</v>
      </c>
    </row>
    <row r="2042" spans="1:4" x14ac:dyDescent="0.45">
      <c r="A2042">
        <f>ROW()</f>
        <v>2042</v>
      </c>
      <c r="B2042" t="str">
        <f>Profile!A2115</f>
        <v>Table 68: O-PAS Profile Map for the Redfish Chassis Resource</v>
      </c>
      <c r="C2042">
        <f>Profile!AP2117</f>
        <v>0</v>
      </c>
      <c r="D2042" t="str">
        <f>IF(Profile!C2115="Profile",IF(Profile!A2117="ResourceRequirement","OK","XXX"),"XXX")</f>
        <v>XXX</v>
      </c>
    </row>
    <row r="2043" spans="1:4" x14ac:dyDescent="0.45">
      <c r="A2043">
        <f>ROW()</f>
        <v>2043</v>
      </c>
      <c r="B2043" t="str">
        <f>Profile!A2116</f>
        <v>Chassis (1.8.0)</v>
      </c>
      <c r="C2043">
        <f>Profile!AP2118</f>
        <v>0</v>
      </c>
      <c r="D2043" t="str">
        <f>IF(Profile!C2116="Profile",IF(Profile!A2118="ResourceRequirement","OK","XXX"),"XXX")</f>
        <v>XXX</v>
      </c>
    </row>
    <row r="2044" spans="1:4" x14ac:dyDescent="0.45">
      <c r="A2044">
        <f>ROW()</f>
        <v>2044</v>
      </c>
      <c r="B2044">
        <f>Profile!A2117</f>
        <v>0</v>
      </c>
      <c r="C2044">
        <f>Profile!AP2119</f>
        <v>0</v>
      </c>
      <c r="D2044" t="str">
        <f>IF(Profile!C2117="Profile",IF(Profile!A2119="ResourceRequirement","OK","XXX"),"XXX")</f>
        <v>XXX</v>
      </c>
    </row>
    <row r="2045" spans="1:4" x14ac:dyDescent="0.45">
      <c r="A2045">
        <f>ROW()</f>
        <v>2045</v>
      </c>
      <c r="B2045" t="str">
        <f>Profile!A2118</f>
        <v>Chassis (1.9.0)</v>
      </c>
      <c r="C2045">
        <f>Profile!AP2120</f>
        <v>8</v>
      </c>
      <c r="D2045" t="str">
        <f>IF(Profile!C2118="Profile",IF(Profile!A2120="ResourceRequirement","OK","XXX"),"XXX")</f>
        <v>OK</v>
      </c>
    </row>
    <row r="2046" spans="1:4" x14ac:dyDescent="0.45">
      <c r="A2046">
        <f>ROW()</f>
        <v>2046</v>
      </c>
      <c r="B2046">
        <f>Profile!A2119</f>
        <v>0</v>
      </c>
      <c r="C2046">
        <f>Profile!AP2121</f>
        <v>0</v>
      </c>
      <c r="D2046" t="str">
        <f>IF(Profile!C2119="Profile",IF(Profile!A2121="ResourceRequirement","OK","XXX"),"XXX")</f>
        <v>XXX</v>
      </c>
    </row>
    <row r="2047" spans="1:4" x14ac:dyDescent="0.45">
      <c r="A2047">
        <f>ROW()</f>
        <v>2047</v>
      </c>
      <c r="B2047" t="str">
        <f>Profile!A2120</f>
        <v>ResourceRequirement</v>
      </c>
      <c r="C2047">
        <f>Profile!AP2122</f>
        <v>0</v>
      </c>
      <c r="D2047" t="str">
        <f>IF(Profile!C2120="Profile",IF(Profile!A2122="ResourceRequirement","OK","XXX"),"XXX")</f>
        <v>XXX</v>
      </c>
    </row>
    <row r="2048" spans="1:4" x14ac:dyDescent="0.45">
      <c r="A2048">
        <f>ROW()</f>
        <v>2048</v>
      </c>
      <c r="B2048" t="str">
        <f>Profile!A2121</f>
        <v>Resource MinVersion</v>
      </c>
      <c r="C2048">
        <f>Profile!AP2123</f>
        <v>0</v>
      </c>
      <c r="D2048" t="str">
        <f>IF(Profile!C2121="Profile",IF(Profile!A2123="ResourceRequirement","OK","XXX"),"XXX")</f>
        <v>XXX</v>
      </c>
    </row>
    <row r="2049" spans="1:4" x14ac:dyDescent="0.45">
      <c r="A2049">
        <f>ROW()</f>
        <v>2049</v>
      </c>
      <c r="B2049" t="str">
        <f>Profile!A2122</f>
        <v>Property</v>
      </c>
      <c r="C2049">
        <f>Profile!AP2124</f>
        <v>0</v>
      </c>
      <c r="D2049" t="str">
        <f>IF(Profile!C2122="Profile",IF(Profile!A2124="ResourceRequirement","OK","XXX"),"XXX")</f>
        <v>XXX</v>
      </c>
    </row>
    <row r="2050" spans="1:4" x14ac:dyDescent="0.45">
      <c r="A2050">
        <f>ROW()</f>
        <v>2050</v>
      </c>
      <c r="B2050" t="str">
        <f>Profile!A2123</f>
        <v>Actions</v>
      </c>
      <c r="C2050">
        <f>Profile!AP2125</f>
        <v>0</v>
      </c>
      <c r="D2050" t="str">
        <f>IF(Profile!C2123="Profile",IF(Profile!A2125="ResourceRequirement","OK","XXX"),"XXX")</f>
        <v>XXX</v>
      </c>
    </row>
    <row r="2051" spans="1:4" x14ac:dyDescent="0.45">
      <c r="A2051">
        <f>ROW()</f>
        <v>2051</v>
      </c>
      <c r="B2051" t="str">
        <f>Profile!A2124</f>
        <v xml:space="preserve">   #Chassis.Reset</v>
      </c>
      <c r="C2051">
        <f>Profile!AP2126</f>
        <v>0</v>
      </c>
      <c r="D2051" t="str">
        <f>IF(Profile!C2124="Profile",IF(Profile!A2126="ResourceRequirement","OK","XXX"),"XXX")</f>
        <v>XXX</v>
      </c>
    </row>
    <row r="2052" spans="1:4" x14ac:dyDescent="0.45">
      <c r="A2052">
        <f>ROW()</f>
        <v>2052</v>
      </c>
      <c r="B2052" t="str">
        <f>Profile!A2125</f>
        <v>Assembly</v>
      </c>
      <c r="C2052">
        <f>Profile!AP2127</f>
        <v>0</v>
      </c>
      <c r="D2052" t="str">
        <f>IF(Profile!C2125="Profile",IF(Profile!A2127="ResourceRequirement","OK","XXX"),"XXX")</f>
        <v>XXX</v>
      </c>
    </row>
    <row r="2053" spans="1:4" x14ac:dyDescent="0.45">
      <c r="A2053">
        <f>ROW()</f>
        <v>2053</v>
      </c>
      <c r="B2053" t="str">
        <f>Profile!A2126</f>
        <v xml:space="preserve">   @odata.id</v>
      </c>
      <c r="C2053">
        <f>Profile!AP2128</f>
        <v>0</v>
      </c>
      <c r="D2053" t="str">
        <f>IF(Profile!C2126="Profile",IF(Profile!A2128="ResourceRequirement","OK","XXX"),"XXX")</f>
        <v>XXX</v>
      </c>
    </row>
    <row r="2054" spans="1:4" x14ac:dyDescent="0.45">
      <c r="A2054">
        <f>ROW()</f>
        <v>2054</v>
      </c>
      <c r="B2054" t="str">
        <f>Profile!A2127</f>
        <v>AssetTag</v>
      </c>
      <c r="C2054">
        <f>Profile!AP2129</f>
        <v>0</v>
      </c>
      <c r="D2054" t="str">
        <f>IF(Profile!C2127="Profile",IF(Profile!A2129="ResourceRequirement","OK","XXX"),"XXX")</f>
        <v>XXX</v>
      </c>
    </row>
    <row r="2055" spans="1:4" x14ac:dyDescent="0.45">
      <c r="A2055">
        <f>ROW()</f>
        <v>2055</v>
      </c>
      <c r="B2055" t="str">
        <f>Profile!A2128</f>
        <v>ChassisType</v>
      </c>
      <c r="C2055">
        <f>Profile!AP2130</f>
        <v>0</v>
      </c>
      <c r="D2055" t="str">
        <f>IF(Profile!C2128="Profile",IF(Profile!A2130="ResourceRequirement","OK","XXX"),"XXX")</f>
        <v>XXX</v>
      </c>
    </row>
    <row r="2056" spans="1:4" x14ac:dyDescent="0.45">
      <c r="A2056">
        <f>ROW()</f>
        <v>2056</v>
      </c>
      <c r="B2056" t="str">
        <f>Profile!A2129</f>
        <v>DepthMm</v>
      </c>
      <c r="C2056">
        <f>Profile!AP2131</f>
        <v>0</v>
      </c>
      <c r="D2056" t="str">
        <f>IF(Profile!C2129="Profile",IF(Profile!A2131="ResourceRequirement","OK","XXX"),"XXX")</f>
        <v>XXX</v>
      </c>
    </row>
    <row r="2057" spans="1:4" x14ac:dyDescent="0.45">
      <c r="A2057">
        <f>ROW()</f>
        <v>2057</v>
      </c>
      <c r="B2057" t="str">
        <f>Profile!A2130</f>
        <v>EnvironmentalClass</v>
      </c>
      <c r="C2057">
        <f>Profile!AP2133</f>
        <v>0</v>
      </c>
      <c r="D2057" t="str">
        <f>IF(Profile!C2130="Profile",IF(Profile!A2133="ResourceRequirement","OK","XXX"),"XXX")</f>
        <v>XXX</v>
      </c>
    </row>
    <row r="2058" spans="1:4" x14ac:dyDescent="0.45">
      <c r="A2058">
        <f>ROW()</f>
        <v>2058</v>
      </c>
      <c r="B2058" t="str">
        <f>Profile!A2131</f>
        <v>HeightMm</v>
      </c>
      <c r="C2058">
        <f>Profile!AP2134</f>
        <v>0</v>
      </c>
      <c r="D2058" t="str">
        <f>IF(Profile!C2131="Profile",IF(Profile!A2134="ResourceRequirement","OK","XXX"),"XXX")</f>
        <v>XXX</v>
      </c>
    </row>
    <row r="2059" spans="1:4" x14ac:dyDescent="0.45">
      <c r="A2059">
        <f>ROW()</f>
        <v>2059</v>
      </c>
      <c r="B2059" t="str">
        <f>Profile!A2133</f>
        <v>LocationIndicatorActive</v>
      </c>
      <c r="C2059">
        <f>Profile!AP2135</f>
        <v>0</v>
      </c>
      <c r="D2059" t="str">
        <f>IF(Profile!C2133="Profile",IF(Profile!A2135="ResourceRequirement","OK","XXX"),"XXX")</f>
        <v>XXX</v>
      </c>
    </row>
    <row r="2060" spans="1:4" x14ac:dyDescent="0.45">
      <c r="A2060">
        <f>ROW()</f>
        <v>2060</v>
      </c>
      <c r="B2060" t="str">
        <f>Profile!A2134</f>
        <v>Links</v>
      </c>
      <c r="C2060">
        <f>Profile!AP2136</f>
        <v>0</v>
      </c>
      <c r="D2060" t="str">
        <f>IF(Profile!C2134="Profile",IF(Profile!A2136="ResourceRequirement","OK","XXX"),"XXX")</f>
        <v>XXX</v>
      </c>
    </row>
    <row r="2061" spans="1:4" x14ac:dyDescent="0.45">
      <c r="A2061">
        <f>ROW()</f>
        <v>2061</v>
      </c>
      <c r="B2061" t="str">
        <f>Profile!A2135</f>
        <v xml:space="preserve">   ComputerSystems</v>
      </c>
      <c r="C2061">
        <f>Profile!AP2137</f>
        <v>0</v>
      </c>
      <c r="D2061" t="str">
        <f>IF(Profile!C2135="Profile",IF(Profile!A2137="ResourceRequirement","OK","XXX"),"XXX")</f>
        <v>XXX</v>
      </c>
    </row>
    <row r="2062" spans="1:4" x14ac:dyDescent="0.45">
      <c r="A2062">
        <f>ROW()</f>
        <v>2062</v>
      </c>
      <c r="B2062" t="str">
        <f>Profile!A2136</f>
        <v xml:space="preserve">      @odata.id</v>
      </c>
      <c r="C2062">
        <f>Profile!AP2138</f>
        <v>0</v>
      </c>
      <c r="D2062" t="str">
        <f>IF(Profile!C2136="Profile",IF(Profile!A2138="ResourceRequirement","OK","XXX"),"XXX")</f>
        <v>XXX</v>
      </c>
    </row>
    <row r="2063" spans="1:4" x14ac:dyDescent="0.45">
      <c r="A2063">
        <f>ROW()</f>
        <v>2063</v>
      </c>
      <c r="B2063" t="str">
        <f>Profile!A2137</f>
        <v xml:space="preserve">   ContainedBy</v>
      </c>
      <c r="C2063">
        <f>Profile!AP2139</f>
        <v>0</v>
      </c>
      <c r="D2063" t="str">
        <f>IF(Profile!C2137="Profile",IF(Profile!A2139="ResourceRequirement","OK","XXX"),"XXX")</f>
        <v>XXX</v>
      </c>
    </row>
    <row r="2064" spans="1:4" x14ac:dyDescent="0.45">
      <c r="A2064">
        <f>ROW()</f>
        <v>2064</v>
      </c>
      <c r="B2064" t="str">
        <f>Profile!A2138</f>
        <v xml:space="preserve">      @odata.id</v>
      </c>
      <c r="C2064">
        <f>Profile!AP2140</f>
        <v>0</v>
      </c>
      <c r="D2064" t="str">
        <f>IF(Profile!C2138="Profile",IF(Profile!A2140="ResourceRequirement","OK","XXX"),"XXX")</f>
        <v>XXX</v>
      </c>
    </row>
    <row r="2065" spans="1:4" x14ac:dyDescent="0.45">
      <c r="A2065">
        <f>ROW()</f>
        <v>2065</v>
      </c>
      <c r="B2065" t="str">
        <f>Profile!A2139</f>
        <v xml:space="preserve">   Contains</v>
      </c>
      <c r="C2065">
        <f>Profile!AP2141</f>
        <v>0</v>
      </c>
      <c r="D2065" t="str">
        <f>IF(Profile!C2139="Profile",IF(Profile!A2141="ResourceRequirement","OK","XXX"),"XXX")</f>
        <v>XXX</v>
      </c>
    </row>
    <row r="2066" spans="1:4" x14ac:dyDescent="0.45">
      <c r="A2066">
        <f>ROW()</f>
        <v>2066</v>
      </c>
      <c r="B2066" t="str">
        <f>Profile!A2140</f>
        <v xml:space="preserve">      @odata.id</v>
      </c>
      <c r="C2066">
        <f>Profile!AP2142</f>
        <v>0</v>
      </c>
      <c r="D2066" t="str">
        <f>IF(Profile!C2140="Profile",IF(Profile!A2142="ResourceRequirement","OK","XXX"),"XXX")</f>
        <v>XXX</v>
      </c>
    </row>
    <row r="2067" spans="1:4" x14ac:dyDescent="0.45">
      <c r="A2067">
        <f>ROW()</f>
        <v>2067</v>
      </c>
      <c r="B2067" t="str">
        <f>Profile!A2141</f>
        <v xml:space="preserve">   CooledBy</v>
      </c>
      <c r="C2067">
        <f>Profile!AP2143</f>
        <v>0</v>
      </c>
      <c r="D2067" t="str">
        <f>IF(Profile!C2141="Profile",IF(Profile!A2143="ResourceRequirement","OK","XXX"),"XXX")</f>
        <v>XXX</v>
      </c>
    </row>
    <row r="2068" spans="1:4" x14ac:dyDescent="0.45">
      <c r="A2068">
        <f>ROW()</f>
        <v>2068</v>
      </c>
      <c r="B2068" t="str">
        <f>Profile!A2142</f>
        <v xml:space="preserve">      @odata.id</v>
      </c>
      <c r="C2068">
        <f>Profile!AP2144</f>
        <v>0</v>
      </c>
      <c r="D2068" t="str">
        <f>IF(Profile!C2142="Profile",IF(Profile!A2144="ResourceRequirement","OK","XXX"),"XXX")</f>
        <v>XXX</v>
      </c>
    </row>
    <row r="2069" spans="1:4" x14ac:dyDescent="0.45">
      <c r="A2069">
        <f>ROW()</f>
        <v>2069</v>
      </c>
      <c r="B2069" t="str">
        <f>Profile!A2143</f>
        <v xml:space="preserve">   Drives</v>
      </c>
      <c r="C2069">
        <f>Profile!AP2145</f>
        <v>0</v>
      </c>
      <c r="D2069" t="str">
        <f>IF(Profile!C2143="Profile",IF(Profile!A2145="ResourceRequirement","OK","XXX"),"XXX")</f>
        <v>XXX</v>
      </c>
    </row>
    <row r="2070" spans="1:4" x14ac:dyDescent="0.45">
      <c r="A2070">
        <f>ROW()</f>
        <v>2070</v>
      </c>
      <c r="B2070" t="str">
        <f>Profile!A2144</f>
        <v xml:space="preserve">      @odata.id</v>
      </c>
      <c r="C2070">
        <f>Profile!AP2146</f>
        <v>0</v>
      </c>
      <c r="D2070" t="str">
        <f>IF(Profile!C2144="Profile",IF(Profile!A2146="ResourceRequirement","OK","XXX"),"XXX")</f>
        <v>XXX</v>
      </c>
    </row>
    <row r="2071" spans="1:4" x14ac:dyDescent="0.45">
      <c r="A2071">
        <f>ROW()</f>
        <v>2071</v>
      </c>
      <c r="B2071" t="str">
        <f>Profile!A2145</f>
        <v xml:space="preserve">   ManagedBy</v>
      </c>
      <c r="C2071">
        <f>Profile!AP2147</f>
        <v>0</v>
      </c>
      <c r="D2071" t="str">
        <f>IF(Profile!C2145="Profile",IF(Profile!A2147="ResourceRequirement","OK","XXX"),"XXX")</f>
        <v>XXX</v>
      </c>
    </row>
    <row r="2072" spans="1:4" x14ac:dyDescent="0.45">
      <c r="A2072">
        <f>ROW()</f>
        <v>2072</v>
      </c>
      <c r="B2072" t="str">
        <f>Profile!A2146</f>
        <v xml:space="preserve">      @odata.id</v>
      </c>
      <c r="C2072">
        <f>Profile!AP2148</f>
        <v>0</v>
      </c>
      <c r="D2072" t="str">
        <f>IF(Profile!C2146="Profile",IF(Profile!A2148="ResourceRequirement","OK","XXX"),"XXX")</f>
        <v>XXX</v>
      </c>
    </row>
    <row r="2073" spans="1:4" x14ac:dyDescent="0.45">
      <c r="A2073">
        <f>ROW()</f>
        <v>2073</v>
      </c>
      <c r="B2073" t="str">
        <f>Profile!A2147</f>
        <v xml:space="preserve">   ManagersInChassis</v>
      </c>
      <c r="C2073">
        <f>Profile!AP2149</f>
        <v>0</v>
      </c>
      <c r="D2073" t="str">
        <f>IF(Profile!C2147="Profile",IF(Profile!A2149="ResourceRequirement","OK","XXX"),"XXX")</f>
        <v>XXX</v>
      </c>
    </row>
    <row r="2074" spans="1:4" x14ac:dyDescent="0.45">
      <c r="A2074">
        <f>ROW()</f>
        <v>2074</v>
      </c>
      <c r="B2074" t="str">
        <f>Profile!A2148</f>
        <v xml:space="preserve">      @odata.id</v>
      </c>
      <c r="C2074">
        <f>Profile!AP2150</f>
        <v>0</v>
      </c>
      <c r="D2074" t="str">
        <f>IF(Profile!C2148="Profile",IF(Profile!A2150="ResourceRequirement","OK","XXX"),"XXX")</f>
        <v>XXX</v>
      </c>
    </row>
    <row r="2075" spans="1:4" x14ac:dyDescent="0.45">
      <c r="A2075">
        <f>ROW()</f>
        <v>2075</v>
      </c>
      <c r="B2075" t="str">
        <f>Profile!A2149</f>
        <v xml:space="preserve">   Oem</v>
      </c>
      <c r="C2075">
        <f>Profile!AP2151</f>
        <v>0</v>
      </c>
      <c r="D2075" t="str">
        <f>IF(Profile!C2149="Profile",IF(Profile!A2151="ResourceRequirement","OK","XXX"),"XXX")</f>
        <v>XXX</v>
      </c>
    </row>
    <row r="2076" spans="1:4" x14ac:dyDescent="0.45">
      <c r="A2076">
        <f>ROW()</f>
        <v>2076</v>
      </c>
      <c r="B2076" t="str">
        <f>Profile!A2150</f>
        <v xml:space="preserve">   PCIeDevices</v>
      </c>
      <c r="C2076">
        <f>Profile!AP2152</f>
        <v>0</v>
      </c>
      <c r="D2076" t="str">
        <f>IF(Profile!C2150="Profile",IF(Profile!A2152="ResourceRequirement","OK","XXX"),"XXX")</f>
        <v>XXX</v>
      </c>
    </row>
    <row r="2077" spans="1:4" x14ac:dyDescent="0.45">
      <c r="A2077">
        <f>ROW()</f>
        <v>2077</v>
      </c>
      <c r="B2077" t="str">
        <f>Profile!A2151</f>
        <v xml:space="preserve">      @odata.id</v>
      </c>
      <c r="C2077">
        <f>Profile!AP2153</f>
        <v>0</v>
      </c>
      <c r="D2077" t="str">
        <f>IF(Profile!C2151="Profile",IF(Profile!A2153="ResourceRequirement","OK","XXX"),"XXX")</f>
        <v>XXX</v>
      </c>
    </row>
    <row r="2078" spans="1:4" x14ac:dyDescent="0.45">
      <c r="A2078">
        <f>ROW()</f>
        <v>2078</v>
      </c>
      <c r="B2078" t="str">
        <f>Profile!A2152</f>
        <v xml:space="preserve">   Processors</v>
      </c>
      <c r="C2078">
        <f>Profile!AP2154</f>
        <v>0</v>
      </c>
      <c r="D2078" t="str">
        <f>IF(Profile!C2152="Profile",IF(Profile!A2154="ResourceRequirement","OK","XXX"),"XXX")</f>
        <v>XXX</v>
      </c>
    </row>
    <row r="2079" spans="1:4" x14ac:dyDescent="0.45">
      <c r="A2079">
        <f>ROW()</f>
        <v>2079</v>
      </c>
      <c r="B2079" t="str">
        <f>Profile!A2153</f>
        <v xml:space="preserve">      @odata.id</v>
      </c>
      <c r="C2079">
        <f>Profile!AP2155</f>
        <v>0</v>
      </c>
      <c r="D2079" t="str">
        <f>IF(Profile!C2153="Profile",IF(Profile!A2155="ResourceRequirement","OK","XXX"),"XXX")</f>
        <v>XXX</v>
      </c>
    </row>
    <row r="2080" spans="1:4" x14ac:dyDescent="0.45">
      <c r="A2080">
        <f>ROW()</f>
        <v>2080</v>
      </c>
      <c r="B2080" t="str">
        <f>Profile!A2154</f>
        <v xml:space="preserve">   PoweredBy</v>
      </c>
      <c r="C2080">
        <f>Profile!AP2156</f>
        <v>0</v>
      </c>
      <c r="D2080" t="str">
        <f>IF(Profile!C2154="Profile",IF(Profile!A2156="ResourceRequirement","OK","XXX"),"XXX")</f>
        <v>XXX</v>
      </c>
    </row>
    <row r="2081" spans="1:4" x14ac:dyDescent="0.45">
      <c r="A2081">
        <f>ROW()</f>
        <v>2081</v>
      </c>
      <c r="B2081" t="str">
        <f>Profile!A2155</f>
        <v xml:space="preserve">      @odata.id</v>
      </c>
      <c r="C2081">
        <f>Profile!AP2157</f>
        <v>0</v>
      </c>
      <c r="D2081" t="str">
        <f>IF(Profile!C2155="Profile",IF(Profile!A2157="ResourceRequirement","OK","XXX"),"XXX")</f>
        <v>XXX</v>
      </c>
    </row>
    <row r="2082" spans="1:4" x14ac:dyDescent="0.45">
      <c r="A2082">
        <f>ROW()</f>
        <v>2082</v>
      </c>
      <c r="B2082" t="str">
        <f>Profile!A2156</f>
        <v xml:space="preserve">   ResourceBlocks</v>
      </c>
      <c r="C2082">
        <f>Profile!AP2158</f>
        <v>0</v>
      </c>
      <c r="D2082" t="str">
        <f>IF(Profile!C2156="Profile",IF(Profile!A2158="ResourceRequirement","OK","XXX"),"XXX")</f>
        <v>XXX</v>
      </c>
    </row>
    <row r="2083" spans="1:4" x14ac:dyDescent="0.45">
      <c r="A2083">
        <f>ROW()</f>
        <v>2083</v>
      </c>
      <c r="B2083" t="str">
        <f>Profile!A2157</f>
        <v xml:space="preserve">      @odata.id</v>
      </c>
      <c r="C2083">
        <f>Profile!AP2159</f>
        <v>0</v>
      </c>
      <c r="D2083" t="str">
        <f>IF(Profile!C2157="Profile",IF(Profile!A2159="ResourceRequirement","OK","XXX"),"XXX")</f>
        <v>XXX</v>
      </c>
    </row>
    <row r="2084" spans="1:4" x14ac:dyDescent="0.45">
      <c r="A2084">
        <f>ROW()</f>
        <v>2084</v>
      </c>
      <c r="B2084" t="str">
        <f>Profile!A2158</f>
        <v xml:space="preserve">   Storage</v>
      </c>
      <c r="C2084">
        <f>Profile!AP2160</f>
        <v>0</v>
      </c>
      <c r="D2084" t="str">
        <f>IF(Profile!C2158="Profile",IF(Profile!A2160="ResourceRequirement","OK","XXX"),"XXX")</f>
        <v>XXX</v>
      </c>
    </row>
    <row r="2085" spans="1:4" x14ac:dyDescent="0.45">
      <c r="A2085">
        <f>ROW()</f>
        <v>2085</v>
      </c>
      <c r="B2085" t="str">
        <f>Profile!A2159</f>
        <v xml:space="preserve">      @odata.id</v>
      </c>
      <c r="C2085">
        <f>Profile!AP2161</f>
        <v>0</v>
      </c>
      <c r="D2085" t="str">
        <f>IF(Profile!C2159="Profile",IF(Profile!A2161="ResourceRequirement","OK","XXX"),"XXX")</f>
        <v>XXX</v>
      </c>
    </row>
    <row r="2086" spans="1:4" x14ac:dyDescent="0.45">
      <c r="A2086">
        <f>ROW()</f>
        <v>2086</v>
      </c>
      <c r="B2086" t="str">
        <f>Profile!A2160</f>
        <v xml:space="preserve">   Switches</v>
      </c>
      <c r="C2086">
        <f>Profile!AP2162</f>
        <v>0</v>
      </c>
      <c r="D2086" t="str">
        <f>IF(Profile!C2160="Profile",IF(Profile!A2162="ResourceRequirement","OK","XXX"),"XXX")</f>
        <v>XXX</v>
      </c>
    </row>
    <row r="2087" spans="1:4" x14ac:dyDescent="0.45">
      <c r="A2087">
        <f>ROW()</f>
        <v>2087</v>
      </c>
      <c r="B2087" t="str">
        <f>Profile!A2161</f>
        <v xml:space="preserve">      @odata.id</v>
      </c>
      <c r="C2087">
        <f>Profile!AP2163</f>
        <v>0</v>
      </c>
      <c r="D2087" t="str">
        <f>IF(Profile!C2161="Profile",IF(Profile!A2163="ResourceRequirement","OK","XXX"),"XXX")</f>
        <v>XXX</v>
      </c>
    </row>
    <row r="2088" spans="1:4" x14ac:dyDescent="0.45">
      <c r="A2088">
        <f>ROW()</f>
        <v>2088</v>
      </c>
      <c r="B2088" t="str">
        <f>Profile!A2162</f>
        <v>Location</v>
      </c>
      <c r="C2088">
        <f>Profile!AP2164</f>
        <v>0</v>
      </c>
      <c r="D2088" t="str">
        <f>IF(Profile!C2162="Profile",IF(Profile!A2164="ResourceRequirement","OK","XXX"),"XXX")</f>
        <v>XXX</v>
      </c>
    </row>
    <row r="2089" spans="1:4" x14ac:dyDescent="0.45">
      <c r="A2089">
        <f>ROW()</f>
        <v>2089</v>
      </c>
      <c r="B2089" t="str">
        <f>Profile!A2163</f>
        <v>LogServices</v>
      </c>
      <c r="C2089">
        <f>Profile!AP2165</f>
        <v>0</v>
      </c>
      <c r="D2089" t="str">
        <f>IF(Profile!C2163="Profile",IF(Profile!A2165="ResourceRequirement","OK","XXX"),"XXX")</f>
        <v>XXX</v>
      </c>
    </row>
    <row r="2090" spans="1:4" x14ac:dyDescent="0.45">
      <c r="A2090">
        <f>ROW()</f>
        <v>2090</v>
      </c>
      <c r="B2090" t="str">
        <f>Profile!A2164</f>
        <v xml:space="preserve">   @odata.id</v>
      </c>
      <c r="C2090">
        <f>Profile!AP2166</f>
        <v>0</v>
      </c>
      <c r="D2090" t="str">
        <f>IF(Profile!C2164="Profile",IF(Profile!A2166="ResourceRequirement","OK","XXX"),"XXX")</f>
        <v>XXX</v>
      </c>
    </row>
    <row r="2091" spans="1:4" x14ac:dyDescent="0.45">
      <c r="A2091">
        <f>ROW()</f>
        <v>2091</v>
      </c>
      <c r="B2091" t="str">
        <f>Profile!A2165</f>
        <v>Manufacturer</v>
      </c>
      <c r="C2091">
        <f>Profile!AP2167</f>
        <v>0</v>
      </c>
      <c r="D2091" t="str">
        <f>IF(Profile!C2165="Profile",IF(Profile!A2167="ResourceRequirement","OK","XXX"),"XXX")</f>
        <v>XXX</v>
      </c>
    </row>
    <row r="2092" spans="1:4" x14ac:dyDescent="0.45">
      <c r="A2092">
        <f>ROW()</f>
        <v>2092</v>
      </c>
      <c r="B2092" t="str">
        <f>Profile!A2166</f>
        <v>Model</v>
      </c>
      <c r="C2092">
        <f>Profile!AP2168</f>
        <v>0</v>
      </c>
      <c r="D2092" t="str">
        <f>IF(Profile!C2166="Profile",IF(Profile!A2168="ResourceRequirement","OK","XXX"),"XXX")</f>
        <v>XXX</v>
      </c>
    </row>
    <row r="2093" spans="1:4" x14ac:dyDescent="0.45">
      <c r="A2093">
        <f>ROW()</f>
        <v>2093</v>
      </c>
      <c r="B2093" t="str">
        <f>Profile!A2167</f>
        <v>NetworkAdapters</v>
      </c>
      <c r="C2093">
        <f>Profile!AP2169</f>
        <v>0</v>
      </c>
      <c r="D2093" t="str">
        <f>IF(Profile!C2167="Profile",IF(Profile!A2169="ResourceRequirement","OK","XXX"),"XXX")</f>
        <v>XXX</v>
      </c>
    </row>
    <row r="2094" spans="1:4" x14ac:dyDescent="0.45">
      <c r="A2094">
        <f>ROW()</f>
        <v>2094</v>
      </c>
      <c r="B2094" t="str">
        <f>Profile!A2168</f>
        <v xml:space="preserve">   @odata.id</v>
      </c>
      <c r="C2094">
        <f>Profile!AP2170</f>
        <v>0</v>
      </c>
      <c r="D2094" t="str">
        <f>IF(Profile!C2168="Profile",IF(Profile!A2170="ResourceRequirement","OK","XXX"),"XXX")</f>
        <v>XXX</v>
      </c>
    </row>
    <row r="2095" spans="1:4" x14ac:dyDescent="0.45">
      <c r="A2095">
        <f>ROW()</f>
        <v>2095</v>
      </c>
      <c r="B2095" t="str">
        <f>Profile!A2169</f>
        <v>PartNumber</v>
      </c>
      <c r="C2095">
        <f>Profile!AP2171</f>
        <v>0</v>
      </c>
      <c r="D2095" t="str">
        <f>IF(Profile!C2169="Profile",IF(Profile!A2171="ResourceRequirement","OK","XXX"),"XXX")</f>
        <v>XXX</v>
      </c>
    </row>
    <row r="2096" spans="1:4" x14ac:dyDescent="0.45">
      <c r="A2096">
        <f>ROW()</f>
        <v>2096</v>
      </c>
      <c r="B2096" t="str">
        <f>Profile!A2170</f>
        <v>PCIeSlots</v>
      </c>
      <c r="C2096">
        <f>Profile!AP2172</f>
        <v>0</v>
      </c>
      <c r="D2096" t="str">
        <f>IF(Profile!C2170="Profile",IF(Profile!A2172="ResourceRequirement","OK","XXX"),"XXX")</f>
        <v>XXX</v>
      </c>
    </row>
    <row r="2097" spans="1:4" x14ac:dyDescent="0.45">
      <c r="A2097">
        <f>ROW()</f>
        <v>2097</v>
      </c>
      <c r="B2097" t="str">
        <f>Profile!A2171</f>
        <v xml:space="preserve">   @odata.id</v>
      </c>
      <c r="C2097">
        <f>Profile!AP2173</f>
        <v>0</v>
      </c>
      <c r="D2097" t="str">
        <f>IF(Profile!C2171="Profile",IF(Profile!A2173="ResourceRequirement","OK","XXX"),"XXX")</f>
        <v>XXX</v>
      </c>
    </row>
    <row r="2098" spans="1:4" x14ac:dyDescent="0.45">
      <c r="A2098">
        <f>ROW()</f>
        <v>2098</v>
      </c>
      <c r="B2098" t="str">
        <f>Profile!A2172</f>
        <v>PhysicalSecurity</v>
      </c>
      <c r="C2098">
        <f>Profile!AP2174</f>
        <v>0</v>
      </c>
      <c r="D2098" t="str">
        <f>IF(Profile!C2172="Profile",IF(Profile!A2174="ResourceRequirement","OK","XXX"),"XXX")</f>
        <v>XXX</v>
      </c>
    </row>
    <row r="2099" spans="1:4" x14ac:dyDescent="0.45">
      <c r="A2099">
        <f>ROW()</f>
        <v>2099</v>
      </c>
      <c r="B2099" t="str">
        <f>Profile!A2173</f>
        <v xml:space="preserve">   IntrusionSensor</v>
      </c>
      <c r="C2099">
        <f>Profile!AP2175</f>
        <v>0</v>
      </c>
      <c r="D2099" t="str">
        <f>IF(Profile!C2173="Profile",IF(Profile!A2175="ResourceRequirement","OK","XXX"),"XXX")</f>
        <v>XXX</v>
      </c>
    </row>
    <row r="2100" spans="1:4" x14ac:dyDescent="0.45">
      <c r="A2100">
        <f>ROW()</f>
        <v>2100</v>
      </c>
      <c r="B2100" t="str">
        <f>Profile!A2174</f>
        <v xml:space="preserve">   IntrusionSensorNumber</v>
      </c>
      <c r="C2100">
        <f>Profile!AP2178</f>
        <v>0</v>
      </c>
      <c r="D2100" t="str">
        <f>IF(Profile!C2174="Profile",IF(Profile!A2178="ResourceRequirement","OK","XXX"),"XXX")</f>
        <v>XXX</v>
      </c>
    </row>
    <row r="2101" spans="1:4" x14ac:dyDescent="0.45">
      <c r="A2101">
        <f>ROW()</f>
        <v>2101</v>
      </c>
      <c r="B2101" t="str">
        <f>Profile!A2175</f>
        <v xml:space="preserve">   IntrusionSensorReArm</v>
      </c>
      <c r="C2101">
        <f>Profile!AP2179</f>
        <v>0</v>
      </c>
      <c r="D2101" t="str">
        <f>IF(Profile!C2175="Profile",IF(Profile!A2179="ResourceRequirement","OK","XXX"),"XXX")</f>
        <v>XXX</v>
      </c>
    </row>
    <row r="2102" spans="1:4" x14ac:dyDescent="0.45">
      <c r="A2102">
        <f>ROW()</f>
        <v>2102</v>
      </c>
      <c r="B2102" t="str">
        <f>Profile!A2178</f>
        <v>PowerSubsystem</v>
      </c>
      <c r="C2102">
        <f>Profile!AP2180</f>
        <v>0</v>
      </c>
      <c r="D2102" t="str">
        <f>IF(Profile!C2178="Profile",IF(Profile!A2180="ResourceRequirement","OK","XXX"),"XXX")</f>
        <v>XXX</v>
      </c>
    </row>
    <row r="2103" spans="1:4" x14ac:dyDescent="0.45">
      <c r="A2103">
        <f>ROW()</f>
        <v>2103</v>
      </c>
      <c r="B2103" t="str">
        <f>Profile!A2179</f>
        <v xml:space="preserve">   @odata.id</v>
      </c>
      <c r="C2103">
        <f>Profile!AP2181</f>
        <v>0</v>
      </c>
      <c r="D2103" t="str">
        <f>IF(Profile!C2179="Profile",IF(Profile!A2181="ResourceRequirement","OK","XXX"),"XXX")</f>
        <v>XXX</v>
      </c>
    </row>
    <row r="2104" spans="1:4" x14ac:dyDescent="0.45">
      <c r="A2104">
        <f>ROW()</f>
        <v>2104</v>
      </c>
      <c r="B2104" t="str">
        <f>Profile!A2180</f>
        <v>PowerState</v>
      </c>
      <c r="C2104">
        <f>Profile!AP2182</f>
        <v>0</v>
      </c>
      <c r="D2104" t="str">
        <f>IF(Profile!C2180="Profile",IF(Profile!A2182="ResourceRequirement","OK","XXX"),"XXX")</f>
        <v>XXX</v>
      </c>
    </row>
    <row r="2105" spans="1:4" x14ac:dyDescent="0.45">
      <c r="A2105">
        <f>ROW()</f>
        <v>2105</v>
      </c>
      <c r="B2105" t="str">
        <f>Profile!A2181</f>
        <v>SKU</v>
      </c>
      <c r="C2105">
        <f>Profile!AP2183</f>
        <v>0</v>
      </c>
      <c r="D2105" t="str">
        <f>IF(Profile!C2181="Profile",IF(Profile!A2183="ResourceRequirement","OK","XXX"),"XXX")</f>
        <v>XXX</v>
      </c>
    </row>
    <row r="2106" spans="1:4" x14ac:dyDescent="0.45">
      <c r="A2106">
        <f>ROW()</f>
        <v>2106</v>
      </c>
      <c r="B2106" t="str">
        <f>Profile!A2182</f>
        <v>Sensors</v>
      </c>
      <c r="C2106">
        <f>Profile!AP2184</f>
        <v>0</v>
      </c>
      <c r="D2106" t="str">
        <f>IF(Profile!C2182="Profile",IF(Profile!A2184="ResourceRequirement","OK","XXX"),"XXX")</f>
        <v>XXX</v>
      </c>
    </row>
    <row r="2107" spans="1:4" x14ac:dyDescent="0.45">
      <c r="A2107">
        <f>ROW()</f>
        <v>2107</v>
      </c>
      <c r="B2107" t="str">
        <f>Profile!A2183</f>
        <v xml:space="preserve">   @odata.id</v>
      </c>
      <c r="C2107">
        <f>Profile!AP2185</f>
        <v>0</v>
      </c>
      <c r="D2107" t="str">
        <f>IF(Profile!C2183="Profile",IF(Profile!A2185="ResourceRequirement","OK","XXX"),"XXX")</f>
        <v>XXX</v>
      </c>
    </row>
    <row r="2108" spans="1:4" x14ac:dyDescent="0.45">
      <c r="A2108">
        <f>ROW()</f>
        <v>2108</v>
      </c>
      <c r="B2108" t="str">
        <f>Profile!A2184</f>
        <v>SerialNumber</v>
      </c>
      <c r="C2108">
        <f>Profile!AP2190</f>
        <v>0</v>
      </c>
      <c r="D2108" t="str">
        <f>IF(Profile!C2184="Profile",IF(Profile!A2190="ResourceRequirement","OK","XXX"),"XXX")</f>
        <v>XXX</v>
      </c>
    </row>
    <row r="2109" spans="1:4" x14ac:dyDescent="0.45">
      <c r="A2109">
        <f>ROW()</f>
        <v>2109</v>
      </c>
      <c r="B2109" t="str">
        <f>Profile!A2185</f>
        <v>Status</v>
      </c>
      <c r="C2109">
        <f>Profile!AP2191</f>
        <v>0</v>
      </c>
      <c r="D2109" t="str">
        <f>IF(Profile!C2185="Profile",IF(Profile!A2191="ResourceRequirement","OK","XXX"),"XXX")</f>
        <v>XXX</v>
      </c>
    </row>
    <row r="2110" spans="1:4" x14ac:dyDescent="0.45">
      <c r="A2110">
        <f>ROW()</f>
        <v>2110</v>
      </c>
      <c r="B2110" t="str">
        <f>Profile!A2190</f>
        <v>ThermalSubsystem</v>
      </c>
      <c r="C2110">
        <f>Profile!AP2193</f>
        <v>0</v>
      </c>
      <c r="D2110" t="str">
        <f>IF(Profile!C2190="Profile",IF(Profile!A2193="ResourceRequirement","OK","XXX"),"XXX")</f>
        <v>XXX</v>
      </c>
    </row>
    <row r="2111" spans="1:4" x14ac:dyDescent="0.45">
      <c r="A2111">
        <f>ROW()</f>
        <v>2111</v>
      </c>
      <c r="B2111" t="str">
        <f>Profile!A2191</f>
        <v xml:space="preserve">   @odata.id</v>
      </c>
      <c r="C2111">
        <f>Profile!AP2195</f>
        <v>0</v>
      </c>
      <c r="D2111" t="str">
        <f>IF(Profile!C2191="Profile",IF(Profile!A2195="ResourceRequirement","OK","XXX"),"XXX")</f>
        <v>XXX</v>
      </c>
    </row>
    <row r="2112" spans="1:4" x14ac:dyDescent="0.45">
      <c r="A2112">
        <f>ROW()</f>
        <v>2112</v>
      </c>
      <c r="B2112" t="str">
        <f>Profile!A2193</f>
        <v>TrustedComponents</v>
      </c>
      <c r="C2112">
        <f>Profile!AP2196</f>
        <v>0</v>
      </c>
      <c r="D2112" t="str">
        <f>IF(Profile!C2193="Profile",IF(Profile!A2196="ResourceRequirement","OK","XXX"),"XXX")</f>
        <v>XXX</v>
      </c>
    </row>
    <row r="2113" spans="1:4" x14ac:dyDescent="0.45">
      <c r="A2113">
        <f>ROW()</f>
        <v>2113</v>
      </c>
      <c r="B2113" t="str">
        <f>Profile!A2195</f>
        <v>WeightKg</v>
      </c>
      <c r="C2113">
        <f>Profile!AP2197</f>
        <v>0</v>
      </c>
      <c r="D2113" t="str">
        <f>IF(Profile!C2195="Profile",IF(Profile!A2197="ResourceRequirement","OK","XXX"),"XXX")</f>
        <v>XXX</v>
      </c>
    </row>
    <row r="2114" spans="1:4" x14ac:dyDescent="0.45">
      <c r="A2114">
        <f>ROW()</f>
        <v>2114</v>
      </c>
      <c r="B2114" t="str">
        <f>Profile!A2196</f>
        <v>WidthMm</v>
      </c>
      <c r="C2114">
        <f>Profile!AP2198</f>
        <v>0</v>
      </c>
      <c r="D2114" t="str">
        <f>IF(Profile!C2196="Profile",IF(Profile!A2198="ResourceRequirement","OK","XXX"),"XXX")</f>
        <v>XXX</v>
      </c>
    </row>
    <row r="2115" spans="1:4" x14ac:dyDescent="0.45">
      <c r="A2115">
        <f>ROW()</f>
        <v>2115</v>
      </c>
      <c r="B2115" t="str">
        <f>Profile!A2197</f>
        <v>Chassis URIs</v>
      </c>
      <c r="C2115">
        <f>Profile!AP2199</f>
        <v>0</v>
      </c>
      <c r="D2115" t="str">
        <f>IF(Profile!C2197="Profile",IF(Profile!A2199="ResourceRequirement","OK","XXX"),"XXX")</f>
        <v>XXX</v>
      </c>
    </row>
    <row r="2116" spans="1:4" x14ac:dyDescent="0.45">
      <c r="A2116">
        <f>ROW()</f>
        <v>2116</v>
      </c>
      <c r="B2116" t="str">
        <f>Profile!A2198</f>
        <v>/redfish/v1/Chassis/{ChassisId}</v>
      </c>
      <c r="C2116">
        <f>Profile!AP2703</f>
        <v>0</v>
      </c>
      <c r="D2116" t="str">
        <f>IF(Profile!C2198="Profile",IF(Profile!A2703="ResourceRequirement","OK","XXX"),"XXX")</f>
        <v>XXX</v>
      </c>
    </row>
    <row r="2117" spans="1:4" x14ac:dyDescent="0.45">
      <c r="A2117">
        <f>ROW()</f>
        <v>2117</v>
      </c>
      <c r="B2117">
        <f>Profile!A2199</f>
        <v>0</v>
      </c>
      <c r="C2117">
        <f>Profile!AP2704</f>
        <v>0</v>
      </c>
      <c r="D2117" t="str">
        <f>IF(Profile!C2199="Profile",IF(Profile!A2704="ResourceRequirement","OK","XXX"),"XXX")</f>
        <v>XXX</v>
      </c>
    </row>
    <row r="2118" spans="1:4" x14ac:dyDescent="0.45">
      <c r="A2118">
        <f>ROW()</f>
        <v>2118</v>
      </c>
      <c r="B2118" t="str">
        <f>Profile!A2703</f>
        <v>1.1.x.x               Sensor</v>
      </c>
      <c r="C2118">
        <f>Profile!AP2705</f>
        <v>0</v>
      </c>
      <c r="D2118" t="str">
        <f>IF(Profile!C2703="Profile",IF(Profile!A2705="ResourceRequirement","OK","XXX"),"XXX")</f>
        <v>XXX</v>
      </c>
    </row>
    <row r="2119" spans="1:4" x14ac:dyDescent="0.45">
      <c r="A2119">
        <f>ROW()</f>
        <v>2119</v>
      </c>
      <c r="B2119" t="str">
        <f>Profile!A2704</f>
        <v>Defines a Sensor to be used in conjunction with data center equipment.</v>
      </c>
      <c r="C2119">
        <f>Profile!AP2706</f>
        <v>0</v>
      </c>
      <c r="D2119" t="str">
        <f>IF(Profile!C2704="Profile",IF(Profile!A2706="ResourceRequirement","OK","XXX"),"XXX")</f>
        <v>XXX</v>
      </c>
    </row>
    <row r="2120" spans="1:4" x14ac:dyDescent="0.45">
      <c r="A2120">
        <f>ROW()</f>
        <v>2120</v>
      </c>
      <c r="B2120" t="str">
        <f>Profile!A2705</f>
        <v>Table 72: O-PAS Profile Map for the Sensor Resource</v>
      </c>
      <c r="C2120">
        <f>Profile!AP2707</f>
        <v>0</v>
      </c>
      <c r="D2120" t="str">
        <f>IF(Profile!C2705="Profile",IF(Profile!A2707="ResourceRequirement","OK","XXX"),"XXX")</f>
        <v>XXX</v>
      </c>
    </row>
    <row r="2121" spans="1:4" x14ac:dyDescent="0.45">
      <c r="A2121">
        <f>ROW()</f>
        <v>2121</v>
      </c>
      <c r="B2121" t="str">
        <f>Profile!A2706</f>
        <v>Sensor (1.0.0)</v>
      </c>
      <c r="C2121">
        <f>Profile!AP2708</f>
        <v>0</v>
      </c>
      <c r="D2121" t="str">
        <f>IF(Profile!C2706="Profile",IF(Profile!A2708="ResourceRequirement","OK","XXX"),"XXX")</f>
        <v>OK</v>
      </c>
    </row>
    <row r="2122" spans="1:4" x14ac:dyDescent="0.45">
      <c r="A2122">
        <f>ROW()</f>
        <v>2122</v>
      </c>
      <c r="B2122">
        <f>Profile!A2707</f>
        <v>0</v>
      </c>
      <c r="C2122">
        <f>Profile!AP2709</f>
        <v>0</v>
      </c>
      <c r="D2122" t="str">
        <f>IF(Profile!C2707="Profile",IF(Profile!A2709="ResourceRequirement","OK","XXX"),"XXX")</f>
        <v>XXX</v>
      </c>
    </row>
    <row r="2123" spans="1:4" x14ac:dyDescent="0.45">
      <c r="A2123">
        <f>ROW()</f>
        <v>2123</v>
      </c>
      <c r="B2123" t="str">
        <f>Profile!A2708</f>
        <v>ResourceRequirement</v>
      </c>
      <c r="C2123">
        <f>Profile!AP2710</f>
        <v>0</v>
      </c>
      <c r="D2123" t="str">
        <f>IF(Profile!C2708="Profile",IF(Profile!A2710="ResourceRequirement","OK","XXX"),"XXX")</f>
        <v>XXX</v>
      </c>
    </row>
    <row r="2124" spans="1:4" x14ac:dyDescent="0.45">
      <c r="A2124">
        <f>ROW()</f>
        <v>2124</v>
      </c>
      <c r="B2124" t="str">
        <f>Profile!A2709</f>
        <v>Resource MinVersion</v>
      </c>
      <c r="C2124">
        <f>Profile!AP2711</f>
        <v>0</v>
      </c>
      <c r="D2124" t="str">
        <f>IF(Profile!C2709="Profile",IF(Profile!A2711="ResourceRequirement","OK","XXX"),"XXX")</f>
        <v>XXX</v>
      </c>
    </row>
    <row r="2125" spans="1:4" x14ac:dyDescent="0.45">
      <c r="A2125">
        <f>ROW()</f>
        <v>2125</v>
      </c>
      <c r="B2125" t="str">
        <f>Profile!A2710</f>
        <v>Property</v>
      </c>
      <c r="C2125">
        <f>Profile!AP2712</f>
        <v>0</v>
      </c>
      <c r="D2125" t="str">
        <f>IF(Profile!C2710="Profile",IF(Profile!A2712="ResourceRequirement","OK","XXX"),"XXX")</f>
        <v>XXX</v>
      </c>
    </row>
    <row r="2126" spans="1:4" x14ac:dyDescent="0.45">
      <c r="A2126">
        <f>ROW()</f>
        <v>2126</v>
      </c>
      <c r="B2126" t="str">
        <f>Profile!A2711</f>
        <v>Accuracy</v>
      </c>
      <c r="C2126">
        <f>Profile!AP2713</f>
        <v>0</v>
      </c>
      <c r="D2126" t="str">
        <f>IF(Profile!C2711="Profile",IF(Profile!A2713="ResourceRequirement","OK","XXX"),"XXX")</f>
        <v>XXX</v>
      </c>
    </row>
    <row r="2127" spans="1:4" x14ac:dyDescent="0.45">
      <c r="A2127">
        <f>ROW()</f>
        <v>2127</v>
      </c>
      <c r="B2127" t="str">
        <f>Profile!A2712</f>
        <v>Actions</v>
      </c>
      <c r="C2127">
        <f>Profile!AP2714</f>
        <v>0</v>
      </c>
      <c r="D2127" t="str">
        <f>IF(Profile!C2712="Profile",IF(Profile!A2714="ResourceRequirement","OK","XXX"),"XXX")</f>
        <v>XXX</v>
      </c>
    </row>
    <row r="2128" spans="1:4" x14ac:dyDescent="0.45">
      <c r="A2128">
        <f>ROW()</f>
        <v>2128</v>
      </c>
      <c r="B2128" t="str">
        <f>Profile!A2713</f>
        <v xml:space="preserve">   #Sensor.ResetStatistics</v>
      </c>
      <c r="C2128">
        <f>Profile!AP2715</f>
        <v>0</v>
      </c>
      <c r="D2128" t="str">
        <f>IF(Profile!C2713="Profile",IF(Profile!A2715="ResourceRequirement","OK","XXX"),"XXX")</f>
        <v>XXX</v>
      </c>
    </row>
    <row r="2129" spans="1:4" x14ac:dyDescent="0.45">
      <c r="A2129">
        <f>ROW()</f>
        <v>2129</v>
      </c>
      <c r="B2129" t="str">
        <f>Profile!A2714</f>
        <v>AdjustedMaxAllowableOperatingValue</v>
      </c>
      <c r="C2129">
        <f>Profile!AP2716</f>
        <v>0</v>
      </c>
      <c r="D2129" t="str">
        <f>IF(Profile!C2714="Profile",IF(Profile!A2716="ResourceRequirement","OK","XXX"),"XXX")</f>
        <v>XXX</v>
      </c>
    </row>
    <row r="2130" spans="1:4" x14ac:dyDescent="0.45">
      <c r="A2130">
        <f>ROW()</f>
        <v>2130</v>
      </c>
      <c r="B2130" t="str">
        <f>Profile!A2715</f>
        <v>AdjustedMinAllowableOperatingValue</v>
      </c>
      <c r="C2130">
        <f>Profile!AP2717</f>
        <v>0</v>
      </c>
      <c r="D2130" t="str">
        <f>IF(Profile!C2715="Profile",IF(Profile!A2717="ResourceRequirement","OK","XXX"),"XXX")</f>
        <v>XXX</v>
      </c>
    </row>
    <row r="2131" spans="1:4" x14ac:dyDescent="0.45">
      <c r="A2131">
        <f>ROW()</f>
        <v>2131</v>
      </c>
      <c r="B2131" t="str">
        <f>Profile!A2716</f>
        <v>ApparentVA</v>
      </c>
      <c r="C2131">
        <f>Profile!AP2718</f>
        <v>0</v>
      </c>
      <c r="D2131" t="str">
        <f>IF(Profile!C2716="Profile",IF(Profile!A2718="ResourceRequirement","OK","XXX"),"XXX")</f>
        <v>XXX</v>
      </c>
    </row>
    <row r="2132" spans="1:4" x14ac:dyDescent="0.45">
      <c r="A2132">
        <f>ROW()</f>
        <v>2132</v>
      </c>
      <c r="B2132" t="str">
        <f>Profile!A2717</f>
        <v>ElectricalContext</v>
      </c>
      <c r="C2132">
        <f>Profile!AP2719</f>
        <v>0</v>
      </c>
      <c r="D2132" t="str">
        <f>IF(Profile!C2717="Profile",IF(Profile!A2719="ResourceRequirement","OK","XXX"),"XXX")</f>
        <v>XXX</v>
      </c>
    </row>
    <row r="2133" spans="1:4" x14ac:dyDescent="0.45">
      <c r="A2133">
        <f>ROW()</f>
        <v>2133</v>
      </c>
      <c r="B2133" t="str">
        <f>Profile!A2718</f>
        <v>LoadPercent</v>
      </c>
      <c r="C2133">
        <f>Profile!AP2720</f>
        <v>0</v>
      </c>
      <c r="D2133" t="str">
        <f>IF(Profile!C2718="Profile",IF(Profile!A2720="ResourceRequirement","OK","XXX"),"XXX")</f>
        <v>XXX</v>
      </c>
    </row>
    <row r="2134" spans="1:4" x14ac:dyDescent="0.45">
      <c r="A2134">
        <f>ROW()</f>
        <v>2134</v>
      </c>
      <c r="B2134" t="str">
        <f>Profile!A2719</f>
        <v>Location</v>
      </c>
      <c r="C2134">
        <f>Profile!AP2721</f>
        <v>0</v>
      </c>
      <c r="D2134" t="str">
        <f>IF(Profile!C2719="Profile",IF(Profile!A2721="ResourceRequirement","OK","XXX"),"XXX")</f>
        <v>XXX</v>
      </c>
    </row>
    <row r="2135" spans="1:4" x14ac:dyDescent="0.45">
      <c r="A2135">
        <f>ROW()</f>
        <v>2135</v>
      </c>
      <c r="B2135" t="str">
        <f>Profile!A2720</f>
        <v>MaxAllowableOperatingValue</v>
      </c>
      <c r="C2135">
        <f>Profile!AP2722</f>
        <v>0</v>
      </c>
      <c r="D2135" t="str">
        <f>IF(Profile!C2720="Profile",IF(Profile!A2722="ResourceRequirement","OK","XXX"),"XXX")</f>
        <v>XXX</v>
      </c>
    </row>
    <row r="2136" spans="1:4" x14ac:dyDescent="0.45">
      <c r="A2136">
        <f>ROW()</f>
        <v>2136</v>
      </c>
      <c r="B2136" t="str">
        <f>Profile!A2721</f>
        <v>MinAllowableOperatingValue</v>
      </c>
      <c r="C2136">
        <f>Profile!AP2723</f>
        <v>0</v>
      </c>
      <c r="D2136" t="str">
        <f>IF(Profile!C2721="Profile",IF(Profile!A2723="ResourceRequirement","OK","XXX"),"XXX")</f>
        <v>XXX</v>
      </c>
    </row>
    <row r="2137" spans="1:4" x14ac:dyDescent="0.45">
      <c r="A2137">
        <f>ROW()</f>
        <v>2137</v>
      </c>
      <c r="B2137" t="str">
        <f>Profile!A2722</f>
        <v>PeakReading</v>
      </c>
      <c r="C2137">
        <f>Profile!AP2724</f>
        <v>0</v>
      </c>
      <c r="D2137" t="str">
        <f>IF(Profile!C2722="Profile",IF(Profile!A2724="ResourceRequirement","OK","XXX"),"XXX")</f>
        <v>XXX</v>
      </c>
    </row>
    <row r="2138" spans="1:4" x14ac:dyDescent="0.45">
      <c r="A2138">
        <f>ROW()</f>
        <v>2138</v>
      </c>
      <c r="B2138" t="str">
        <f>Profile!A2723</f>
        <v>PeakReadingTime</v>
      </c>
      <c r="C2138">
        <f>Profile!AP2725</f>
        <v>0</v>
      </c>
      <c r="D2138" t="str">
        <f>IF(Profile!C2723="Profile",IF(Profile!A2725="ResourceRequirement","OK","XXX"),"XXX")</f>
        <v>XXX</v>
      </c>
    </row>
    <row r="2139" spans="1:4" x14ac:dyDescent="0.45">
      <c r="A2139">
        <f>ROW()</f>
        <v>2139</v>
      </c>
      <c r="B2139" t="str">
        <f>Profile!A2724</f>
        <v>PhysicalContext</v>
      </c>
      <c r="C2139">
        <f>Profile!AP2726</f>
        <v>0</v>
      </c>
      <c r="D2139" t="str">
        <f>IF(Profile!C2724="Profile",IF(Profile!A2726="ResourceRequirement","OK","XXX"),"XXX")</f>
        <v>XXX</v>
      </c>
    </row>
    <row r="2140" spans="1:4" x14ac:dyDescent="0.45">
      <c r="A2140">
        <f>ROW()</f>
        <v>2140</v>
      </c>
      <c r="B2140" t="str">
        <f>Profile!A2725</f>
        <v>PhysicalSubContext</v>
      </c>
      <c r="C2140">
        <f>Profile!AP2727</f>
        <v>0</v>
      </c>
      <c r="D2140" t="str">
        <f>IF(Profile!C2725="Profile",IF(Profile!A2727="ResourceRequirement","OK","XXX"),"XXX")</f>
        <v>XXX</v>
      </c>
    </row>
    <row r="2141" spans="1:4" x14ac:dyDescent="0.45">
      <c r="A2141">
        <f>ROW()</f>
        <v>2141</v>
      </c>
      <c r="B2141" t="str">
        <f>Profile!A2726</f>
        <v>PowerFactor</v>
      </c>
      <c r="C2141">
        <f>Profile!AP2728</f>
        <v>0</v>
      </c>
      <c r="D2141" t="str">
        <f>IF(Profile!C2726="Profile",IF(Profile!A2728="ResourceRequirement","OK","XXX"),"XXX")</f>
        <v>XXX</v>
      </c>
    </row>
    <row r="2142" spans="1:4" x14ac:dyDescent="0.45">
      <c r="A2142">
        <f>ROW()</f>
        <v>2142</v>
      </c>
      <c r="B2142" t="str">
        <f>Profile!A2727</f>
        <v>Precision</v>
      </c>
      <c r="C2142">
        <f>Profile!AP2729</f>
        <v>0</v>
      </c>
      <c r="D2142" t="str">
        <f>IF(Profile!C2727="Profile",IF(Profile!A2729="ResourceRequirement","OK","XXX"),"XXX")</f>
        <v>XXX</v>
      </c>
    </row>
    <row r="2143" spans="1:4" x14ac:dyDescent="0.45">
      <c r="A2143">
        <f>ROW()</f>
        <v>2143</v>
      </c>
      <c r="B2143" t="str">
        <f>Profile!A2728</f>
        <v>ReactiveVAR</v>
      </c>
      <c r="C2143">
        <f>Profile!AP2730</f>
        <v>0</v>
      </c>
      <c r="D2143" t="str">
        <f>IF(Profile!C2728="Profile",IF(Profile!A2730="ResourceRequirement","OK","XXX"),"XXX")</f>
        <v>XXX</v>
      </c>
    </row>
    <row r="2144" spans="1:4" x14ac:dyDescent="0.45">
      <c r="A2144">
        <f>ROW()</f>
        <v>2144</v>
      </c>
      <c r="B2144" t="str">
        <f>Profile!A2729</f>
        <v>Reading</v>
      </c>
      <c r="C2144">
        <f>Profile!AP2731</f>
        <v>0</v>
      </c>
      <c r="D2144" t="str">
        <f>IF(Profile!C2729="Profile",IF(Profile!A2731="ResourceRequirement","OK","XXX"),"XXX")</f>
        <v>XXX</v>
      </c>
    </row>
    <row r="2145" spans="1:4" x14ac:dyDescent="0.45">
      <c r="A2145">
        <f>ROW()</f>
        <v>2145</v>
      </c>
      <c r="B2145" t="str">
        <f>Profile!A2730</f>
        <v>ReadingRangeMax</v>
      </c>
      <c r="C2145">
        <f>Profile!AP2732</f>
        <v>0</v>
      </c>
      <c r="D2145" t="str">
        <f>IF(Profile!C2730="Profile",IF(Profile!A2732="ResourceRequirement","OK","XXX"),"XXX")</f>
        <v>XXX</v>
      </c>
    </row>
    <row r="2146" spans="1:4" x14ac:dyDescent="0.45">
      <c r="A2146">
        <f>ROW()</f>
        <v>2146</v>
      </c>
      <c r="B2146" t="str">
        <f>Profile!A2731</f>
        <v>ReadingRangeMin</v>
      </c>
      <c r="C2146">
        <f>Profile!AP2733</f>
        <v>0</v>
      </c>
      <c r="D2146" t="str">
        <f>IF(Profile!C2731="Profile",IF(Profile!A2733="ResourceRequirement","OK","XXX"),"XXX")</f>
        <v>XXX</v>
      </c>
    </row>
    <row r="2147" spans="1:4" x14ac:dyDescent="0.45">
      <c r="A2147">
        <f>ROW()</f>
        <v>2147</v>
      </c>
      <c r="B2147" t="str">
        <f>Profile!A2732</f>
        <v>ReadingType</v>
      </c>
      <c r="C2147">
        <f>Profile!AP2734</f>
        <v>0</v>
      </c>
      <c r="D2147" t="str">
        <f>IF(Profile!C2732="Profile",IF(Profile!A2734="ResourceRequirement","OK","XXX"),"XXX")</f>
        <v>XXX</v>
      </c>
    </row>
    <row r="2148" spans="1:4" x14ac:dyDescent="0.45">
      <c r="A2148">
        <f>ROW()</f>
        <v>2148</v>
      </c>
      <c r="B2148" t="str">
        <f>Profile!A2733</f>
        <v>ReadingUnits</v>
      </c>
      <c r="C2148">
        <f>Profile!AP2735</f>
        <v>0</v>
      </c>
      <c r="D2148" t="str">
        <f>IF(Profile!C2733="Profile",IF(Profile!A2735="ResourceRequirement","OK","XXX"),"XXX")</f>
        <v>XXX</v>
      </c>
    </row>
    <row r="2149" spans="1:4" x14ac:dyDescent="0.45">
      <c r="A2149">
        <f>ROW()</f>
        <v>2149</v>
      </c>
      <c r="B2149" t="str">
        <f>Profile!A2734</f>
        <v>SensingFrequency</v>
      </c>
      <c r="C2149">
        <f>Profile!AP2736</f>
        <v>0</v>
      </c>
      <c r="D2149" t="str">
        <f>IF(Profile!C2734="Profile",IF(Profile!A2736="ResourceRequirement","OK","XXX"),"XXX")</f>
        <v>XXX</v>
      </c>
    </row>
    <row r="2150" spans="1:4" x14ac:dyDescent="0.45">
      <c r="A2150">
        <f>ROW()</f>
        <v>2150</v>
      </c>
      <c r="B2150" t="str">
        <f>Profile!A2735</f>
        <v>SensorResetTime</v>
      </c>
      <c r="C2150">
        <f>Profile!AP2739</f>
        <v>0</v>
      </c>
      <c r="D2150" t="str">
        <f>IF(Profile!C2735="Profile",IF(Profile!A2739="ResourceRequirement","OK","XXX"),"XXX")</f>
        <v>XXX</v>
      </c>
    </row>
    <row r="2151" spans="1:4" x14ac:dyDescent="0.45">
      <c r="A2151">
        <f>ROW()</f>
        <v>2151</v>
      </c>
      <c r="B2151" t="str">
        <f>Profile!A2736</f>
        <v>Status</v>
      </c>
      <c r="C2151">
        <f>Profile!AP2740</f>
        <v>0</v>
      </c>
      <c r="D2151" t="str">
        <f>IF(Profile!C2736="Profile",IF(Profile!A2740="ResourceRequirement","OK","XXX"),"XXX")</f>
        <v>XXX</v>
      </c>
    </row>
    <row r="2152" spans="1:4" x14ac:dyDescent="0.45">
      <c r="A2152">
        <f>ROW()</f>
        <v>2152</v>
      </c>
      <c r="B2152" t="str">
        <f>Profile!A2739</f>
        <v>Thresholds</v>
      </c>
      <c r="C2152">
        <f>Profile!AP2741</f>
        <v>0</v>
      </c>
      <c r="D2152" t="str">
        <f>IF(Profile!C2739="Profile",IF(Profile!A2741="ResourceRequirement","OK","XXX"),"XXX")</f>
        <v>XXX</v>
      </c>
    </row>
    <row r="2153" spans="1:4" x14ac:dyDescent="0.45">
      <c r="A2153">
        <f>ROW()</f>
        <v>2153</v>
      </c>
      <c r="B2153" t="str">
        <f>Profile!A2740</f>
        <v xml:space="preserve">   LowerCaution </v>
      </c>
      <c r="C2153">
        <f>Profile!AP2742</f>
        <v>0</v>
      </c>
      <c r="D2153" t="str">
        <f>IF(Profile!C2740="Profile",IF(Profile!A2742="ResourceRequirement","OK","XXX"),"XXX")</f>
        <v>XXX</v>
      </c>
    </row>
    <row r="2154" spans="1:4" x14ac:dyDescent="0.45">
      <c r="A2154">
        <f>ROW()</f>
        <v>2154</v>
      </c>
      <c r="B2154" t="str">
        <f>Profile!A2741</f>
        <v xml:space="preserve">      Activation</v>
      </c>
      <c r="C2154">
        <f>Profile!AP2743</f>
        <v>0</v>
      </c>
      <c r="D2154" t="str">
        <f>IF(Profile!C2741="Profile",IF(Profile!A2743="ResourceRequirement","OK","XXX"),"XXX")</f>
        <v>XXX</v>
      </c>
    </row>
    <row r="2155" spans="1:4" x14ac:dyDescent="0.45">
      <c r="A2155">
        <f>ROW()</f>
        <v>2155</v>
      </c>
      <c r="B2155" t="str">
        <f>Profile!A2742</f>
        <v xml:space="preserve">      DwellTime</v>
      </c>
      <c r="C2155">
        <f>Profile!AP2744</f>
        <v>0</v>
      </c>
      <c r="D2155" t="str">
        <f>IF(Profile!C2742="Profile",IF(Profile!A2744="ResourceRequirement","OK","XXX"),"XXX")</f>
        <v>XXX</v>
      </c>
    </row>
    <row r="2156" spans="1:4" x14ac:dyDescent="0.45">
      <c r="A2156">
        <f>ROW()</f>
        <v>2156</v>
      </c>
      <c r="B2156" t="str">
        <f>Profile!A2743</f>
        <v xml:space="preserve">      Reading</v>
      </c>
      <c r="C2156">
        <f>Profile!AP2745</f>
        <v>0</v>
      </c>
      <c r="D2156" t="str">
        <f>IF(Profile!C2743="Profile",IF(Profile!A2745="ResourceRequirement","OK","XXX"),"XXX")</f>
        <v>XXX</v>
      </c>
    </row>
    <row r="2157" spans="1:4" x14ac:dyDescent="0.45">
      <c r="A2157">
        <f>ROW()</f>
        <v>2157</v>
      </c>
      <c r="B2157" t="str">
        <f>Profile!A2744</f>
        <v xml:space="preserve">   LowerCritical </v>
      </c>
      <c r="C2157">
        <f>Profile!AP2746</f>
        <v>0</v>
      </c>
      <c r="D2157" t="str">
        <f>IF(Profile!C2744="Profile",IF(Profile!A2746="ResourceRequirement","OK","XXX"),"XXX")</f>
        <v>XXX</v>
      </c>
    </row>
    <row r="2158" spans="1:4" x14ac:dyDescent="0.45">
      <c r="A2158">
        <f>ROW()</f>
        <v>2158</v>
      </c>
      <c r="B2158" t="str">
        <f>Profile!A2745</f>
        <v xml:space="preserve">      Activation</v>
      </c>
      <c r="C2158">
        <f>Profile!AP2747</f>
        <v>0</v>
      </c>
      <c r="D2158" t="str">
        <f>IF(Profile!C2745="Profile",IF(Profile!A2747="ResourceRequirement","OK","XXX"),"XXX")</f>
        <v>XXX</v>
      </c>
    </row>
    <row r="2159" spans="1:4" x14ac:dyDescent="0.45">
      <c r="A2159">
        <f>ROW()</f>
        <v>2159</v>
      </c>
      <c r="B2159" t="str">
        <f>Profile!A2746</f>
        <v xml:space="preserve">      DwellTime</v>
      </c>
      <c r="C2159">
        <f>Profile!AP2748</f>
        <v>0</v>
      </c>
      <c r="D2159" t="str">
        <f>IF(Profile!C2746="Profile",IF(Profile!A2748="ResourceRequirement","OK","XXX"),"XXX")</f>
        <v>XXX</v>
      </c>
    </row>
    <row r="2160" spans="1:4" x14ac:dyDescent="0.45">
      <c r="A2160">
        <f>ROW()</f>
        <v>2160</v>
      </c>
      <c r="B2160" t="str">
        <f>Profile!A2747</f>
        <v xml:space="preserve">      Reading</v>
      </c>
      <c r="C2160">
        <f>Profile!AP2749</f>
        <v>0</v>
      </c>
      <c r="D2160" t="str">
        <f>IF(Profile!C2747="Profile",IF(Profile!A2749="ResourceRequirement","OK","XXX"),"XXX")</f>
        <v>XXX</v>
      </c>
    </row>
    <row r="2161" spans="1:4" x14ac:dyDescent="0.45">
      <c r="A2161">
        <f>ROW()</f>
        <v>2161</v>
      </c>
      <c r="B2161" t="str">
        <f>Profile!A2748</f>
        <v xml:space="preserve">   LowerFatal</v>
      </c>
      <c r="C2161">
        <f>Profile!AP2750</f>
        <v>0</v>
      </c>
      <c r="D2161" t="str">
        <f>IF(Profile!C2748="Profile",IF(Profile!A2750="ResourceRequirement","OK","XXX"),"XXX")</f>
        <v>XXX</v>
      </c>
    </row>
    <row r="2162" spans="1:4" x14ac:dyDescent="0.45">
      <c r="A2162">
        <f>ROW()</f>
        <v>2162</v>
      </c>
      <c r="B2162" t="str">
        <f>Profile!A2749</f>
        <v xml:space="preserve">      Activation</v>
      </c>
      <c r="C2162">
        <f>Profile!AP2751</f>
        <v>0</v>
      </c>
      <c r="D2162" t="str">
        <f>IF(Profile!C2749="Profile",IF(Profile!A2751="ResourceRequirement","OK","XXX"),"XXX")</f>
        <v>XXX</v>
      </c>
    </row>
    <row r="2163" spans="1:4" x14ac:dyDescent="0.45">
      <c r="A2163">
        <f>ROW()</f>
        <v>2163</v>
      </c>
      <c r="B2163" t="str">
        <f>Profile!A2750</f>
        <v xml:space="preserve">      DwellTime</v>
      </c>
      <c r="C2163">
        <f>Profile!AP2752</f>
        <v>0</v>
      </c>
      <c r="D2163" t="str">
        <f>IF(Profile!C2750="Profile",IF(Profile!A2752="ResourceRequirement","OK","XXX"),"XXX")</f>
        <v>XXX</v>
      </c>
    </row>
    <row r="2164" spans="1:4" x14ac:dyDescent="0.45">
      <c r="A2164">
        <f>ROW()</f>
        <v>2164</v>
      </c>
      <c r="B2164" t="str">
        <f>Profile!A2751</f>
        <v xml:space="preserve">      Reading</v>
      </c>
      <c r="C2164">
        <f>Profile!AP2753</f>
        <v>0</v>
      </c>
      <c r="D2164" t="str">
        <f>IF(Profile!C2751="Profile",IF(Profile!A2753="ResourceRequirement","OK","XXX"),"XXX")</f>
        <v>XXX</v>
      </c>
    </row>
    <row r="2165" spans="1:4" x14ac:dyDescent="0.45">
      <c r="A2165">
        <f>ROW()</f>
        <v>2165</v>
      </c>
      <c r="B2165" t="str">
        <f>Profile!A2752</f>
        <v xml:space="preserve">   UpperCaution</v>
      </c>
      <c r="C2165">
        <f>Profile!AP2754</f>
        <v>0</v>
      </c>
      <c r="D2165" t="str">
        <f>IF(Profile!C2752="Profile",IF(Profile!A2754="ResourceRequirement","OK","XXX"),"XXX")</f>
        <v>XXX</v>
      </c>
    </row>
    <row r="2166" spans="1:4" x14ac:dyDescent="0.45">
      <c r="A2166">
        <f>ROW()</f>
        <v>2166</v>
      </c>
      <c r="B2166" t="str">
        <f>Profile!A2753</f>
        <v xml:space="preserve">      Activation</v>
      </c>
      <c r="C2166">
        <f>Profile!AP2755</f>
        <v>0</v>
      </c>
      <c r="D2166" t="str">
        <f>IF(Profile!C2753="Profile",IF(Profile!A2755="ResourceRequirement","OK","XXX"),"XXX")</f>
        <v>XXX</v>
      </c>
    </row>
    <row r="2167" spans="1:4" x14ac:dyDescent="0.45">
      <c r="A2167">
        <f>ROW()</f>
        <v>2167</v>
      </c>
      <c r="B2167" t="str">
        <f>Profile!A2754</f>
        <v xml:space="preserve">      DwellTime</v>
      </c>
      <c r="C2167">
        <f>Profile!AP2756</f>
        <v>0</v>
      </c>
      <c r="D2167" t="str">
        <f>IF(Profile!C2754="Profile",IF(Profile!A2756="ResourceRequirement","OK","XXX"),"XXX")</f>
        <v>XXX</v>
      </c>
    </row>
    <row r="2168" spans="1:4" x14ac:dyDescent="0.45">
      <c r="A2168">
        <f>ROW()</f>
        <v>2168</v>
      </c>
      <c r="B2168" t="str">
        <f>Profile!A2755</f>
        <v xml:space="preserve">      Reading</v>
      </c>
      <c r="C2168">
        <f>Profile!AP2757</f>
        <v>0</v>
      </c>
      <c r="D2168" t="str">
        <f>IF(Profile!C2755="Profile",IF(Profile!A2757="ResourceRequirement","OK","XXX"),"XXX")</f>
        <v>XXX</v>
      </c>
    </row>
    <row r="2169" spans="1:4" x14ac:dyDescent="0.45">
      <c r="A2169">
        <f>ROW()</f>
        <v>2169</v>
      </c>
      <c r="B2169" t="str">
        <f>Profile!A2756</f>
        <v xml:space="preserve">   UpperCritical</v>
      </c>
      <c r="C2169">
        <f>Profile!AP2758</f>
        <v>0</v>
      </c>
      <c r="D2169" t="str">
        <f>IF(Profile!C2756="Profile",IF(Profile!A2758="ResourceRequirement","OK","XXX"),"XXX")</f>
        <v>XXX</v>
      </c>
    </row>
    <row r="2170" spans="1:4" x14ac:dyDescent="0.45">
      <c r="A2170">
        <f>ROW()</f>
        <v>2170</v>
      </c>
      <c r="B2170" t="str">
        <f>Profile!A2757</f>
        <v xml:space="preserve">      Activation</v>
      </c>
      <c r="C2170">
        <f>Profile!AP2759</f>
        <v>0</v>
      </c>
      <c r="D2170" t="str">
        <f>IF(Profile!C2757="Profile",IF(Profile!A2759="ResourceRequirement","OK","XXX"),"XXX")</f>
        <v>XXX</v>
      </c>
    </row>
    <row r="2171" spans="1:4" x14ac:dyDescent="0.45">
      <c r="A2171">
        <f>ROW()</f>
        <v>2171</v>
      </c>
      <c r="B2171" t="str">
        <f>Profile!A2758</f>
        <v xml:space="preserve">      DwellTime</v>
      </c>
      <c r="C2171">
        <f>Profile!AP2760</f>
        <v>0</v>
      </c>
      <c r="D2171" t="str">
        <f>IF(Profile!C2758="Profile",IF(Profile!A2760="ResourceRequirement","OK","XXX"),"XXX")</f>
        <v>XXX</v>
      </c>
    </row>
    <row r="2172" spans="1:4" x14ac:dyDescent="0.45">
      <c r="A2172">
        <f>ROW()</f>
        <v>2172</v>
      </c>
      <c r="B2172" t="str">
        <f>Profile!A2759</f>
        <v xml:space="preserve">      Reading</v>
      </c>
      <c r="C2172">
        <f>Profile!AP2761</f>
        <v>0</v>
      </c>
      <c r="D2172" t="str">
        <f>IF(Profile!C2759="Profile",IF(Profile!A2761="ResourceRequirement","OK","XXX"),"XXX")</f>
        <v>XXX</v>
      </c>
    </row>
    <row r="2173" spans="1:4" x14ac:dyDescent="0.45">
      <c r="A2173">
        <f>ROW()</f>
        <v>2173</v>
      </c>
      <c r="B2173" t="str">
        <f>Profile!A2760</f>
        <v xml:space="preserve">   UpperFatal</v>
      </c>
      <c r="C2173">
        <f>Profile!AP2762</f>
        <v>0</v>
      </c>
      <c r="D2173" t="str">
        <f>IF(Profile!C2760="Profile",IF(Profile!A2762="ResourceRequirement","OK","XXX"),"XXX")</f>
        <v>XXX</v>
      </c>
    </row>
    <row r="2174" spans="1:4" x14ac:dyDescent="0.45">
      <c r="A2174">
        <f>ROW()</f>
        <v>2174</v>
      </c>
      <c r="B2174" t="str">
        <f>Profile!A2761</f>
        <v xml:space="preserve">      Activation</v>
      </c>
      <c r="C2174">
        <f>Profile!AP2763</f>
        <v>0</v>
      </c>
      <c r="D2174" t="str">
        <f>IF(Profile!C2761="Profile",IF(Profile!A2763="ResourceRequirement","OK","XXX"),"XXX")</f>
        <v>XXX</v>
      </c>
    </row>
    <row r="2175" spans="1:4" x14ac:dyDescent="0.45">
      <c r="A2175">
        <f>ROW()</f>
        <v>2175</v>
      </c>
      <c r="B2175" t="str">
        <f>Profile!A2762</f>
        <v xml:space="preserve">      DwellTime</v>
      </c>
      <c r="C2175">
        <f>Profile!AP2764</f>
        <v>0</v>
      </c>
      <c r="D2175" t="str">
        <f>IF(Profile!C2762="Profile",IF(Profile!A2764="ResourceRequirement","OK","XXX"),"XXX")</f>
        <v>XXX</v>
      </c>
    </row>
    <row r="2176" spans="1:4" x14ac:dyDescent="0.45">
      <c r="A2176">
        <f>ROW()</f>
        <v>2176</v>
      </c>
      <c r="B2176" t="str">
        <f>Profile!A2763</f>
        <v xml:space="preserve">      Reading</v>
      </c>
      <c r="C2176">
        <f>Profile!AP2765</f>
        <v>0</v>
      </c>
      <c r="D2176" t="str">
        <f>IF(Profile!C2763="Profile",IF(Profile!A2765="ResourceRequirement","OK","XXX"),"XXX")</f>
        <v>XXX</v>
      </c>
    </row>
    <row r="2177" spans="1:4" x14ac:dyDescent="0.45">
      <c r="A2177">
        <f>ROW()</f>
        <v>2177</v>
      </c>
      <c r="B2177" t="str">
        <f>Profile!A2764</f>
        <v>VoltageType</v>
      </c>
      <c r="C2177">
        <f>Profile!AP2766</f>
        <v>0</v>
      </c>
      <c r="D2177" t="str">
        <f>IF(Profile!C2764="Profile",IF(Profile!A2766="ResourceRequirement","OK","XXX"),"XXX")</f>
        <v>XXX</v>
      </c>
    </row>
    <row r="2178" spans="1:4" x14ac:dyDescent="0.45">
      <c r="A2178">
        <f>ROW()</f>
        <v>2178</v>
      </c>
      <c r="B2178" t="str">
        <f>Profile!A2765</f>
        <v>Sensor URIs</v>
      </c>
      <c r="C2178">
        <f>Profile!AP2767</f>
        <v>0</v>
      </c>
      <c r="D2178" t="str">
        <f>IF(Profile!C2765="Profile",IF(Profile!A2767="ResourceRequirement","OK","XXX"),"XXX")</f>
        <v>XXX</v>
      </c>
    </row>
    <row r="2179" spans="1:4" x14ac:dyDescent="0.45">
      <c r="A2179">
        <f>ROW()</f>
        <v>2179</v>
      </c>
      <c r="B2179" t="str">
        <f>Profile!A2766</f>
        <v>/redfish/v1/Chassis/{ChassisId}/Sensors/{SensorId}</v>
      </c>
      <c r="C2179">
        <f>Profile!AP2768</f>
        <v>0</v>
      </c>
      <c r="D2179" t="str">
        <f>IF(Profile!C2766="Profile",IF(Profile!A2768="ResourceRequirement","OK","XXX"),"XXX")</f>
        <v>XXX</v>
      </c>
    </row>
    <row r="2180" spans="1:4" x14ac:dyDescent="0.45">
      <c r="A2180">
        <f>ROW()</f>
        <v>2180</v>
      </c>
      <c r="B2180">
        <f>Profile!A2767</f>
        <v>0</v>
      </c>
      <c r="C2180">
        <f>Profile!AP2769</f>
        <v>0</v>
      </c>
      <c r="D2180" t="str">
        <f>IF(Profile!C2767="Profile",IF(Profile!A2769="ResourceRequirement","OK","XXX"),"XXX")</f>
        <v>XXX</v>
      </c>
    </row>
    <row r="2181" spans="1:4" x14ac:dyDescent="0.45">
      <c r="A2181">
        <f>ROW()</f>
        <v>2181</v>
      </c>
      <c r="B2181" t="str">
        <f>Profile!A2768</f>
        <v>1.1.7.3               Drive</v>
      </c>
      <c r="C2181">
        <f>Profile!AP2770</f>
        <v>0</v>
      </c>
      <c r="D2181" t="str">
        <f>IF(Profile!C2768="Profile",IF(Profile!A2770="ResourceRequirement","OK","XXX"),"XXX")</f>
        <v>XXX</v>
      </c>
    </row>
    <row r="2182" spans="1:4" x14ac:dyDescent="0.45">
      <c r="A2182">
        <f>ROW()</f>
        <v>2182</v>
      </c>
      <c r="B2182" t="str">
        <f>Profile!A2769</f>
        <v>The Drive resource represents a single physical disk drive for a system, including links to associated Volumes.</v>
      </c>
      <c r="C2182">
        <f>Profile!AP2771</f>
        <v>0</v>
      </c>
      <c r="D2182" t="str">
        <f>IF(Profile!C2769="Profile",IF(Profile!A2771="ResourceRequirement","OK","XXX"),"XXX")</f>
        <v>XXX</v>
      </c>
    </row>
    <row r="2183" spans="1:4" x14ac:dyDescent="0.45">
      <c r="A2183">
        <f>ROW()</f>
        <v>2183</v>
      </c>
      <c r="B2183" t="str">
        <f>Profile!A2770</f>
        <v>Table 69: O-PAS Profile Map for the Redfish Drive Resource</v>
      </c>
      <c r="C2183">
        <f>Profile!AP2772</f>
        <v>0</v>
      </c>
      <c r="D2183" t="str">
        <f>IF(Profile!C2770="Profile",IF(Profile!A2772="ResourceRequirement","OK","XXX"),"XXX")</f>
        <v>XXX</v>
      </c>
    </row>
    <row r="2184" spans="1:4" x14ac:dyDescent="0.45">
      <c r="A2184">
        <f>ROW()</f>
        <v>2184</v>
      </c>
      <c r="B2184" t="str">
        <f>Profile!A2771</f>
        <v>Drive (1.5.0)</v>
      </c>
      <c r="C2184">
        <f>Profile!AP2773</f>
        <v>0</v>
      </c>
      <c r="D2184" t="str">
        <f>IF(Profile!C2771="Profile",IF(Profile!A2773="ResourceRequirement","OK","XXX"),"XXX")</f>
        <v>XXX</v>
      </c>
    </row>
    <row r="2185" spans="1:4" x14ac:dyDescent="0.45">
      <c r="A2185">
        <f>ROW()</f>
        <v>2185</v>
      </c>
      <c r="B2185">
        <f>Profile!A2772</f>
        <v>0</v>
      </c>
      <c r="C2185">
        <f>Profile!AP2774</f>
        <v>0</v>
      </c>
      <c r="D2185" t="str">
        <f>IF(Profile!C2772="Profile",IF(Profile!A2774="ResourceRequirement","OK","XXX"),"XXX")</f>
        <v>XXX</v>
      </c>
    </row>
    <row r="2186" spans="1:4" x14ac:dyDescent="0.45">
      <c r="A2186">
        <f>ROW()</f>
        <v>2186</v>
      </c>
      <c r="B2186" t="str">
        <f>Profile!A2773</f>
        <v>Drive (1.6.0)</v>
      </c>
      <c r="C2186">
        <f>Profile!AP2775</f>
        <v>16</v>
      </c>
      <c r="D2186" t="str">
        <f>IF(Profile!C2773="Profile",IF(Profile!A2775="ResourceRequirement","OK","XXX"),"XXX")</f>
        <v>OK</v>
      </c>
    </row>
    <row r="2187" spans="1:4" x14ac:dyDescent="0.45">
      <c r="A2187">
        <f>ROW()</f>
        <v>2187</v>
      </c>
      <c r="B2187">
        <f>Profile!A2774</f>
        <v>0</v>
      </c>
      <c r="C2187">
        <f>Profile!AP2776</f>
        <v>0</v>
      </c>
      <c r="D2187" t="str">
        <f>IF(Profile!C2774="Profile",IF(Profile!A2776="ResourceRequirement","OK","XXX"),"XXX")</f>
        <v>XXX</v>
      </c>
    </row>
    <row r="2188" spans="1:4" x14ac:dyDescent="0.45">
      <c r="A2188">
        <f>ROW()</f>
        <v>2188</v>
      </c>
      <c r="B2188" t="str">
        <f>Profile!A2775</f>
        <v>ResourceRequirement</v>
      </c>
      <c r="C2188">
        <f>Profile!AP2777</f>
        <v>0</v>
      </c>
      <c r="D2188" t="str">
        <f>IF(Profile!C2775="Profile",IF(Profile!A2777="ResourceRequirement","OK","XXX"),"XXX")</f>
        <v>XXX</v>
      </c>
    </row>
    <row r="2189" spans="1:4" x14ac:dyDescent="0.45">
      <c r="A2189">
        <f>ROW()</f>
        <v>2189</v>
      </c>
      <c r="B2189" t="str">
        <f>Profile!A2776</f>
        <v>Resource MinVersion</v>
      </c>
      <c r="C2189">
        <f>Profile!AP2778</f>
        <v>0</v>
      </c>
      <c r="D2189" t="str">
        <f>IF(Profile!C2776="Profile",IF(Profile!A2778="ResourceRequirement","OK","XXX"),"XXX")</f>
        <v>XXX</v>
      </c>
    </row>
    <row r="2190" spans="1:4" x14ac:dyDescent="0.45">
      <c r="A2190">
        <f>ROW()</f>
        <v>2190</v>
      </c>
      <c r="B2190" t="str">
        <f>Profile!A2777</f>
        <v>Property</v>
      </c>
      <c r="C2190">
        <f>Profile!AP2779</f>
        <v>0</v>
      </c>
      <c r="D2190" t="str">
        <f>IF(Profile!C2777="Profile",IF(Profile!A2779="ResourceRequirement","OK","XXX"),"XXX")</f>
        <v>XXX</v>
      </c>
    </row>
    <row r="2191" spans="1:4" x14ac:dyDescent="0.45">
      <c r="A2191">
        <f>ROW()</f>
        <v>2191</v>
      </c>
      <c r="B2191" t="str">
        <f>Profile!A2778</f>
        <v>Actions</v>
      </c>
      <c r="C2191">
        <f>Profile!AP2780</f>
        <v>0</v>
      </c>
      <c r="D2191" t="str">
        <f>IF(Profile!C2778="Profile",IF(Profile!A2780="ResourceRequirement","OK","XXX"),"XXX")</f>
        <v>XXX</v>
      </c>
    </row>
    <row r="2192" spans="1:4" x14ac:dyDescent="0.45">
      <c r="A2192">
        <f>ROW()</f>
        <v>2192</v>
      </c>
      <c r="B2192" t="str">
        <f>Profile!A2779</f>
        <v xml:space="preserve">   #Drive.SecureErase</v>
      </c>
      <c r="C2192">
        <f>Profile!AP2781</f>
        <v>0</v>
      </c>
      <c r="D2192" t="str">
        <f>IF(Profile!C2779="Profile",IF(Profile!A2781="ResourceRequirement","OK","XXX"),"XXX")</f>
        <v>XXX</v>
      </c>
    </row>
    <row r="2193" spans="1:4" x14ac:dyDescent="0.45">
      <c r="A2193">
        <f>ROW()</f>
        <v>2193</v>
      </c>
      <c r="B2193" t="str">
        <f>Profile!A2780</f>
        <v>Assembly</v>
      </c>
      <c r="C2193">
        <f>Profile!AP2782</f>
        <v>0</v>
      </c>
      <c r="D2193" t="str">
        <f>IF(Profile!C2780="Profile",IF(Profile!A2782="ResourceRequirement","OK","XXX"),"XXX")</f>
        <v>XXX</v>
      </c>
    </row>
    <row r="2194" spans="1:4" x14ac:dyDescent="0.45">
      <c r="A2194">
        <f>ROW()</f>
        <v>2194</v>
      </c>
      <c r="B2194" t="str">
        <f>Profile!A2781</f>
        <v xml:space="preserve">   @odata.id</v>
      </c>
      <c r="C2194">
        <f>Profile!AP2783</f>
        <v>0</v>
      </c>
      <c r="D2194" t="str">
        <f>IF(Profile!C2781="Profile",IF(Profile!A2783="ResourceRequirement","OK","XXX"),"XXX")</f>
        <v>XXX</v>
      </c>
    </row>
    <row r="2195" spans="1:4" x14ac:dyDescent="0.45">
      <c r="A2195">
        <f>ROW()</f>
        <v>2195</v>
      </c>
      <c r="B2195" t="str">
        <f>Profile!A2782</f>
        <v>AssetTag</v>
      </c>
      <c r="C2195">
        <f>Profile!AP2784</f>
        <v>0</v>
      </c>
      <c r="D2195" t="str">
        <f>IF(Profile!C2782="Profile",IF(Profile!A2784="ResourceRequirement","OK","XXX"),"XXX")</f>
        <v>XXX</v>
      </c>
    </row>
    <row r="2196" spans="1:4" x14ac:dyDescent="0.45">
      <c r="A2196">
        <f>ROW()</f>
        <v>2196</v>
      </c>
      <c r="B2196" t="str">
        <f>Profile!A2783</f>
        <v>BlockSizeBytes</v>
      </c>
      <c r="C2196">
        <f>Profile!AP2785</f>
        <v>0</v>
      </c>
      <c r="D2196" t="str">
        <f>IF(Profile!C2783="Profile",IF(Profile!A2785="ResourceRequirement","OK","XXX"),"XXX")</f>
        <v>XXX</v>
      </c>
    </row>
    <row r="2197" spans="1:4" x14ac:dyDescent="0.45">
      <c r="A2197">
        <f>ROW()</f>
        <v>2197</v>
      </c>
      <c r="B2197" t="str">
        <f>Profile!A2784</f>
        <v>CapableSpeedGbs</v>
      </c>
      <c r="C2197">
        <f>Profile!AP2786</f>
        <v>0</v>
      </c>
      <c r="D2197" t="str">
        <f>IF(Profile!C2784="Profile",IF(Profile!A2786="ResourceRequirement","OK","XXX"),"XXX")</f>
        <v>XXX</v>
      </c>
    </row>
    <row r="2198" spans="1:4" x14ac:dyDescent="0.45">
      <c r="A2198">
        <f>ROW()</f>
        <v>2198</v>
      </c>
      <c r="B2198" t="str">
        <f>Profile!A2785</f>
        <v>CapacityBytes</v>
      </c>
      <c r="C2198">
        <f>Profile!AP2787</f>
        <v>0</v>
      </c>
      <c r="D2198" t="str">
        <f>IF(Profile!C2785="Profile",IF(Profile!A2787="ResourceRequirement","OK","XXX"),"XXX")</f>
        <v>XXX</v>
      </c>
    </row>
    <row r="2199" spans="1:4" x14ac:dyDescent="0.45">
      <c r="A2199">
        <f>ROW()</f>
        <v>2199</v>
      </c>
      <c r="B2199" t="str">
        <f>Profile!A2786</f>
        <v>EncryptionAbility</v>
      </c>
      <c r="C2199">
        <f>Profile!AP2788</f>
        <v>0</v>
      </c>
      <c r="D2199" t="str">
        <f>IF(Profile!C2786="Profile",IF(Profile!A2788="ResourceRequirement","OK","XXX"),"XXX")</f>
        <v>XXX</v>
      </c>
    </row>
    <row r="2200" spans="1:4" x14ac:dyDescent="0.45">
      <c r="A2200">
        <f>ROW()</f>
        <v>2200</v>
      </c>
      <c r="B2200" t="str">
        <f>Profile!A2787</f>
        <v>EncryptionStatus</v>
      </c>
      <c r="C2200">
        <f>Profile!AP2789</f>
        <v>0</v>
      </c>
      <c r="D2200" t="str">
        <f>IF(Profile!C2787="Profile",IF(Profile!A2789="ResourceRequirement","OK","XXX"),"XXX")</f>
        <v>XXX</v>
      </c>
    </row>
    <row r="2201" spans="1:4" x14ac:dyDescent="0.45">
      <c r="A2201">
        <f>ROW()</f>
        <v>2201</v>
      </c>
      <c r="B2201" t="str">
        <f>Profile!A2788</f>
        <v>FailurePredicted</v>
      </c>
      <c r="C2201">
        <f>Profile!AP2790</f>
        <v>0</v>
      </c>
      <c r="D2201" t="str">
        <f>IF(Profile!C2788="Profile",IF(Profile!A2790="ResourceRequirement","OK","XXX"),"XXX")</f>
        <v>XXX</v>
      </c>
    </row>
    <row r="2202" spans="1:4" x14ac:dyDescent="0.45">
      <c r="A2202">
        <f>ROW()</f>
        <v>2202</v>
      </c>
      <c r="B2202" t="str">
        <f>Profile!A2789</f>
        <v>HotspareType</v>
      </c>
      <c r="C2202">
        <f>Profile!AP2792</f>
        <v>0</v>
      </c>
      <c r="D2202" t="str">
        <f>IF(Profile!C2789="Profile",IF(Profile!A2792="ResourceRequirement","OK","XXX"),"XXX")</f>
        <v>XXX</v>
      </c>
    </row>
    <row r="2203" spans="1:4" x14ac:dyDescent="0.45">
      <c r="A2203">
        <f>ROW()</f>
        <v>2203</v>
      </c>
      <c r="B2203" t="str">
        <f>Profile!A2790</f>
        <v>Identifiers</v>
      </c>
      <c r="C2203">
        <f>Profile!AP2793</f>
        <v>0</v>
      </c>
      <c r="D2203" t="str">
        <f>IF(Profile!C2790="Profile",IF(Profile!A2793="ResourceRequirement","OK","XXX"),"XXX")</f>
        <v>XXX</v>
      </c>
    </row>
    <row r="2204" spans="1:4" x14ac:dyDescent="0.45">
      <c r="A2204">
        <f>ROW()</f>
        <v>2204</v>
      </c>
      <c r="B2204" t="str">
        <f>Profile!A2792</f>
        <v>LocationIndicatorActive</v>
      </c>
      <c r="C2204">
        <f>Profile!AP2794</f>
        <v>0</v>
      </c>
      <c r="D2204" t="str">
        <f>IF(Profile!C2792="Profile",IF(Profile!A2794="ResourceRequirement","OK","XXX"),"XXX")</f>
        <v>XXX</v>
      </c>
    </row>
    <row r="2205" spans="1:4" x14ac:dyDescent="0.45">
      <c r="A2205">
        <f>ROW()</f>
        <v>2205</v>
      </c>
      <c r="B2205" t="str">
        <f>Profile!A2793</f>
        <v>Links</v>
      </c>
      <c r="C2205">
        <f>Profile!AP2795</f>
        <v>0</v>
      </c>
      <c r="D2205" t="str">
        <f>IF(Profile!C2793="Profile",IF(Profile!A2795="ResourceRequirement","OK","XXX"),"XXX")</f>
        <v>XXX</v>
      </c>
    </row>
    <row r="2206" spans="1:4" x14ac:dyDescent="0.45">
      <c r="A2206">
        <f>ROW()</f>
        <v>2206</v>
      </c>
      <c r="B2206" t="str">
        <f>Profile!A2794</f>
        <v xml:space="preserve">   Chassis</v>
      </c>
      <c r="C2206">
        <f>Profile!AP2796</f>
        <v>0</v>
      </c>
      <c r="D2206" t="str">
        <f>IF(Profile!C2794="Profile",IF(Profile!A2796="ResourceRequirement","OK","XXX"),"XXX")</f>
        <v>XXX</v>
      </c>
    </row>
    <row r="2207" spans="1:4" x14ac:dyDescent="0.45">
      <c r="A2207">
        <f>ROW()</f>
        <v>2207</v>
      </c>
      <c r="B2207" t="str">
        <f>Profile!A2795</f>
        <v xml:space="preserve">      @odata.id</v>
      </c>
      <c r="C2207">
        <f>Profile!AP2797</f>
        <v>0</v>
      </c>
      <c r="D2207" t="str">
        <f>IF(Profile!C2795="Profile",IF(Profile!A2797="ResourceRequirement","OK","XXX"),"XXX")</f>
        <v>XXX</v>
      </c>
    </row>
    <row r="2208" spans="1:4" x14ac:dyDescent="0.45">
      <c r="A2208">
        <f>ROW()</f>
        <v>2208</v>
      </c>
      <c r="B2208" t="str">
        <f>Profile!A2796</f>
        <v xml:space="preserve">   Endpoints</v>
      </c>
      <c r="C2208">
        <f>Profile!AP2798</f>
        <v>0</v>
      </c>
      <c r="D2208" t="str">
        <f>IF(Profile!C2796="Profile",IF(Profile!A2798="ResourceRequirement","OK","XXX"),"XXX")</f>
        <v>XXX</v>
      </c>
    </row>
    <row r="2209" spans="1:4" x14ac:dyDescent="0.45">
      <c r="A2209">
        <f>ROW()</f>
        <v>2209</v>
      </c>
      <c r="B2209" t="str">
        <f>Profile!A2797</f>
        <v xml:space="preserve">      @odata.id</v>
      </c>
      <c r="C2209">
        <f>Profile!AP2799</f>
        <v>0</v>
      </c>
      <c r="D2209" t="str">
        <f>IF(Profile!C2797="Profile",IF(Profile!A2799="ResourceRequirement","OK","XXX"),"XXX")</f>
        <v>XXX</v>
      </c>
    </row>
    <row r="2210" spans="1:4" x14ac:dyDescent="0.45">
      <c r="A2210">
        <f>ROW()</f>
        <v>2210</v>
      </c>
      <c r="B2210" t="str">
        <f>Profile!A2798</f>
        <v xml:space="preserve">   Oem</v>
      </c>
      <c r="C2210">
        <f>Profile!AP2800</f>
        <v>0</v>
      </c>
      <c r="D2210" t="str">
        <f>IF(Profile!C2798="Profile",IF(Profile!A2800="ResourceRequirement","OK","XXX"),"XXX")</f>
        <v>XXX</v>
      </c>
    </row>
    <row r="2211" spans="1:4" x14ac:dyDescent="0.45">
      <c r="A2211">
        <f>ROW()</f>
        <v>2211</v>
      </c>
      <c r="B2211" t="str">
        <f>Profile!A2799</f>
        <v xml:space="preserve">   PCIeFunctions</v>
      </c>
      <c r="C2211">
        <f>Profile!AP2801</f>
        <v>0</v>
      </c>
      <c r="D2211" t="str">
        <f>IF(Profile!C2799="Profile",IF(Profile!A2801="ResourceRequirement","OK","XXX"),"XXX")</f>
        <v>XXX</v>
      </c>
    </row>
    <row r="2212" spans="1:4" x14ac:dyDescent="0.45">
      <c r="A2212">
        <f>ROW()</f>
        <v>2212</v>
      </c>
      <c r="B2212" t="str">
        <f>Profile!A2800</f>
        <v xml:space="preserve">      @odata.id</v>
      </c>
      <c r="C2212">
        <f>Profile!AP2802</f>
        <v>0</v>
      </c>
      <c r="D2212" t="str">
        <f>IF(Profile!C2800="Profile",IF(Profile!A2802="ResourceRequirement","OK","XXX"),"XXX")</f>
        <v>XXX</v>
      </c>
    </row>
    <row r="2213" spans="1:4" x14ac:dyDescent="0.45">
      <c r="A2213">
        <f>ROW()</f>
        <v>2213</v>
      </c>
      <c r="B2213" t="str">
        <f>Profile!A2801</f>
        <v xml:space="preserve">   Volumes</v>
      </c>
      <c r="C2213">
        <f>Profile!AP2804</f>
        <v>0</v>
      </c>
      <c r="D2213" t="str">
        <f>IF(Profile!C2801="Profile",IF(Profile!A2804="ResourceRequirement","OK","XXX"),"XXX")</f>
        <v>XXX</v>
      </c>
    </row>
    <row r="2214" spans="1:4" x14ac:dyDescent="0.45">
      <c r="A2214">
        <f>ROW()</f>
        <v>2214</v>
      </c>
      <c r="B2214" t="str">
        <f>Profile!A2802</f>
        <v xml:space="preserve">      @odata.id</v>
      </c>
      <c r="C2214">
        <f>Profile!AP2805</f>
        <v>0</v>
      </c>
      <c r="D2214" t="str">
        <f>IF(Profile!C2802="Profile",IF(Profile!A2805="ResourceRequirement","OK","XXX"),"XXX")</f>
        <v>XXX</v>
      </c>
    </row>
    <row r="2215" spans="1:4" x14ac:dyDescent="0.45">
      <c r="A2215">
        <f>ROW()</f>
        <v>2215</v>
      </c>
      <c r="B2215" t="str">
        <f>Profile!A2804</f>
        <v>PhysicalLocation</v>
      </c>
      <c r="C2215">
        <f>Profile!AP2806</f>
        <v>0</v>
      </c>
      <c r="D2215" t="str">
        <f>IF(Profile!C2804="Profile",IF(Profile!A2806="ResourceRequirement","OK","XXX"),"XXX")</f>
        <v>XXX</v>
      </c>
    </row>
    <row r="2216" spans="1:4" x14ac:dyDescent="0.45">
      <c r="A2216">
        <f>ROW()</f>
        <v>2216</v>
      </c>
      <c r="B2216" t="str">
        <f>Profile!A2805</f>
        <v>Manufacturer</v>
      </c>
      <c r="C2216">
        <f>Profile!AP2807</f>
        <v>0</v>
      </c>
      <c r="D2216" t="str">
        <f>IF(Profile!C2805="Profile",IF(Profile!A2807="ResourceRequirement","OK","XXX"),"XXX")</f>
        <v>XXX</v>
      </c>
    </row>
    <row r="2217" spans="1:4" x14ac:dyDescent="0.45">
      <c r="A2217">
        <f>ROW()</f>
        <v>2217</v>
      </c>
      <c r="B2217" t="str">
        <f>Profile!A2806</f>
        <v>MediaType</v>
      </c>
      <c r="C2217">
        <f>Profile!AP2808</f>
        <v>0</v>
      </c>
      <c r="D2217" t="str">
        <f>IF(Profile!C2806="Profile",IF(Profile!A2808="ResourceRequirement","OK","XXX"),"XXX")</f>
        <v>XXX</v>
      </c>
    </row>
    <row r="2218" spans="1:4" x14ac:dyDescent="0.45">
      <c r="A2218">
        <f>ROW()</f>
        <v>2218</v>
      </c>
      <c r="B2218" t="str">
        <f>Profile!A2807</f>
        <v>Model</v>
      </c>
      <c r="C2218">
        <f>Profile!AP2809</f>
        <v>0</v>
      </c>
      <c r="D2218" t="str">
        <f>IF(Profile!C2807="Profile",IF(Profile!A2809="ResourceRequirement","OK","XXX"),"XXX")</f>
        <v>XXX</v>
      </c>
    </row>
    <row r="2219" spans="1:4" x14ac:dyDescent="0.45">
      <c r="A2219">
        <f>ROW()</f>
        <v>2219</v>
      </c>
      <c r="B2219" t="str">
        <f>Profile!A2808</f>
        <v>NegotiatedSpeedGbs</v>
      </c>
      <c r="C2219">
        <f>Profile!AP2810</f>
        <v>0</v>
      </c>
      <c r="D2219" t="str">
        <f>IF(Profile!C2808="Profile",IF(Profile!A2810="ResourceRequirement","OK","XXX"),"XXX")</f>
        <v>XXX</v>
      </c>
    </row>
    <row r="2220" spans="1:4" x14ac:dyDescent="0.45">
      <c r="A2220">
        <f>ROW()</f>
        <v>2220</v>
      </c>
      <c r="B2220" t="str">
        <f>Profile!A2809</f>
        <v>Operations</v>
      </c>
      <c r="C2220">
        <f>Profile!AP2811</f>
        <v>0</v>
      </c>
      <c r="D2220" t="str">
        <f>IF(Profile!C2809="Profile",IF(Profile!A2811="ResourceRequirement","OK","XXX"),"XXX")</f>
        <v>XXX</v>
      </c>
    </row>
    <row r="2221" spans="1:4" x14ac:dyDescent="0.45">
      <c r="A2221">
        <f>ROW()</f>
        <v>2221</v>
      </c>
      <c r="B2221" t="str">
        <f>Profile!A2810</f>
        <v xml:space="preserve">   AssociatedTask</v>
      </c>
      <c r="C2221">
        <f>Profile!AP2813</f>
        <v>0</v>
      </c>
      <c r="D2221" t="str">
        <f>IF(Profile!C2810="Profile",IF(Profile!A2813="ResourceRequirement","OK","XXX"),"XXX")</f>
        <v>XXX</v>
      </c>
    </row>
    <row r="2222" spans="1:4" x14ac:dyDescent="0.45">
      <c r="A2222">
        <f>ROW()</f>
        <v>2222</v>
      </c>
      <c r="B2222" t="str">
        <f>Profile!A2811</f>
        <v xml:space="preserve">      @odata.id</v>
      </c>
      <c r="C2222">
        <f>Profile!AP2814</f>
        <v>0</v>
      </c>
      <c r="D2222" t="str">
        <f>IF(Profile!C2811="Profile",IF(Profile!A2814="ResourceRequirement","OK","XXX"),"XXX")</f>
        <v>XXX</v>
      </c>
    </row>
    <row r="2223" spans="1:4" x14ac:dyDescent="0.45">
      <c r="A2223">
        <f>ROW()</f>
        <v>2223</v>
      </c>
      <c r="B2223" t="str">
        <f>Profile!A2813</f>
        <v xml:space="preserve">   Operation</v>
      </c>
      <c r="C2223">
        <f>Profile!AP2815</f>
        <v>0</v>
      </c>
      <c r="D2223" t="str">
        <f>IF(Profile!C2813="Profile",IF(Profile!A2815="ResourceRequirement","OK","XXX"),"XXX")</f>
        <v>XXX</v>
      </c>
    </row>
    <row r="2224" spans="1:4" x14ac:dyDescent="0.45">
      <c r="A2224">
        <f>ROW()</f>
        <v>2224</v>
      </c>
      <c r="B2224" t="str">
        <f>Profile!A2814</f>
        <v xml:space="preserve">   PercentageComplete</v>
      </c>
      <c r="C2224" t="e">
        <f>Profile!#REF!</f>
        <v>#REF!</v>
      </c>
      <c r="D2224" t="str">
        <f>IF(Profile!C2814="Profile",IF(Profile!#REF!="ResourceRequirement","OK","XXX"),"XXX")</f>
        <v>XXX</v>
      </c>
    </row>
    <row r="2225" spans="1:4" x14ac:dyDescent="0.45">
      <c r="A2225">
        <f>ROW()</f>
        <v>2225</v>
      </c>
      <c r="B2225" t="str">
        <f>Profile!A2815</f>
        <v>PartNumber</v>
      </c>
      <c r="C2225">
        <f>Profile!AP2816</f>
        <v>0</v>
      </c>
      <c r="D2225" t="str">
        <f>IF(Profile!C2815="Profile",IF(Profile!A2816="ResourceRequirement","OK","XXX"),"XXX")</f>
        <v>XXX</v>
      </c>
    </row>
    <row r="2226" spans="1:4" x14ac:dyDescent="0.45">
      <c r="A2226">
        <f>ROW()</f>
        <v>2226</v>
      </c>
      <c r="B2226" t="e">
        <f>Profile!#REF!</f>
        <v>#REF!</v>
      </c>
      <c r="C2226">
        <f>Profile!AP2817</f>
        <v>0</v>
      </c>
      <c r="D2226" t="e">
        <f>IF(Profile!#REF!="Profile",IF(Profile!A2817="ResourceRequirement","OK","XXX"),"XXX")</f>
        <v>#REF!</v>
      </c>
    </row>
    <row r="2227" spans="1:4" x14ac:dyDescent="0.45">
      <c r="A2227">
        <f>ROW()</f>
        <v>2227</v>
      </c>
      <c r="B2227" t="str">
        <f>Profile!A2816</f>
        <v>PredictedMediaLifeLeftPercent</v>
      </c>
      <c r="C2227">
        <f>Profile!AP2818</f>
        <v>0</v>
      </c>
      <c r="D2227" t="str">
        <f>IF(Profile!C2816="Profile",IF(Profile!A2818="ResourceRequirement","OK","XXX"),"XXX")</f>
        <v>XXX</v>
      </c>
    </row>
    <row r="2228" spans="1:4" x14ac:dyDescent="0.45">
      <c r="A2228">
        <f>ROW()</f>
        <v>2228</v>
      </c>
      <c r="B2228" t="str">
        <f>Profile!A2817</f>
        <v>Protocol</v>
      </c>
      <c r="C2228">
        <f>Profile!AP2819</f>
        <v>0</v>
      </c>
      <c r="D2228" t="str">
        <f>IF(Profile!C2817="Profile",IF(Profile!A2819="ResourceRequirement","OK","XXX"),"XXX")</f>
        <v>XXX</v>
      </c>
    </row>
    <row r="2229" spans="1:4" x14ac:dyDescent="0.45">
      <c r="A2229">
        <f>ROW()</f>
        <v>2229</v>
      </c>
      <c r="B2229" t="str">
        <f>Profile!A2818</f>
        <v>Revision</v>
      </c>
      <c r="C2229">
        <f>Profile!AP2820</f>
        <v>0</v>
      </c>
      <c r="D2229" t="str">
        <f>IF(Profile!C2818="Profile",IF(Profile!A2820="ResourceRequirement","OK","XXX"),"XXX")</f>
        <v>XXX</v>
      </c>
    </row>
    <row r="2230" spans="1:4" x14ac:dyDescent="0.45">
      <c r="A2230">
        <f>ROW()</f>
        <v>2230</v>
      </c>
      <c r="B2230" t="str">
        <f>Profile!A2819</f>
        <v>RotationSpeedRPM</v>
      </c>
      <c r="C2230">
        <f>Profile!AP2821</f>
        <v>0</v>
      </c>
      <c r="D2230" t="str">
        <f>IF(Profile!C2819="Profile",IF(Profile!A2821="ResourceRequirement","OK","XXX"),"XXX")</f>
        <v>XXX</v>
      </c>
    </row>
    <row r="2231" spans="1:4" x14ac:dyDescent="0.45">
      <c r="A2231">
        <f>ROW()</f>
        <v>2231</v>
      </c>
      <c r="B2231" t="str">
        <f>Profile!A2820</f>
        <v>SKU</v>
      </c>
      <c r="C2231">
        <f>Profile!AP2822</f>
        <v>0</v>
      </c>
      <c r="D2231" t="str">
        <f>IF(Profile!C2820="Profile",IF(Profile!A2822="ResourceRequirement","OK","XXX"),"XXX")</f>
        <v>XXX</v>
      </c>
    </row>
    <row r="2232" spans="1:4" x14ac:dyDescent="0.45">
      <c r="A2232">
        <f>ROW()</f>
        <v>2232</v>
      </c>
      <c r="B2232" t="str">
        <f>Profile!A2821</f>
        <v>SerialNumber</v>
      </c>
      <c r="C2232">
        <f>Profile!AP2825</f>
        <v>0</v>
      </c>
      <c r="D2232" t="str">
        <f>IF(Profile!C2821="Profile",IF(Profile!A2825="ResourceRequirement","OK","XXX"),"XXX")</f>
        <v>XXX</v>
      </c>
    </row>
    <row r="2233" spans="1:4" x14ac:dyDescent="0.45">
      <c r="A2233">
        <f>ROW()</f>
        <v>2233</v>
      </c>
      <c r="B2233" t="str">
        <f>Profile!A2822</f>
        <v>Status</v>
      </c>
      <c r="C2233">
        <f>Profile!AP2826</f>
        <v>0</v>
      </c>
      <c r="D2233" t="str">
        <f>IF(Profile!C2822="Profile",IF(Profile!A2826="ResourceRequirement","OK","XXX"),"XXX")</f>
        <v>XXX</v>
      </c>
    </row>
    <row r="2234" spans="1:4" x14ac:dyDescent="0.45">
      <c r="A2234">
        <f>ROW()</f>
        <v>2234</v>
      </c>
      <c r="B2234" t="str">
        <f>Profile!A2825</f>
        <v>StatusIndicator</v>
      </c>
      <c r="C2234">
        <f>Profile!AP2827</f>
        <v>0</v>
      </c>
      <c r="D2234" t="str">
        <f>IF(Profile!C2825="Profile",IF(Profile!A2827="ResourceRequirement","OK","XXX"),"XXX")</f>
        <v>XXX</v>
      </c>
    </row>
    <row r="2235" spans="1:4" x14ac:dyDescent="0.45">
      <c r="A2235">
        <f>ROW()</f>
        <v>2235</v>
      </c>
      <c r="B2235" t="str">
        <f>Profile!A2826</f>
        <v>Drive URIs</v>
      </c>
      <c r="C2235">
        <f>Profile!AP2828</f>
        <v>0</v>
      </c>
      <c r="D2235" t="str">
        <f>IF(Profile!C2826="Profile",IF(Profile!A2828="ResourceRequirement","OK","XXX"),"XXX")</f>
        <v>XXX</v>
      </c>
    </row>
    <row r="2236" spans="1:4" x14ac:dyDescent="0.45">
      <c r="A2236">
        <f>ROW()</f>
        <v>2236</v>
      </c>
      <c r="B2236" t="str">
        <f>Profile!A2827</f>
        <v>/redfish/v1/Chassis/{ChassisId}/Drives/{DriveId}</v>
      </c>
      <c r="C2236">
        <f>Profile!AP2829</f>
        <v>0</v>
      </c>
      <c r="D2236" t="str">
        <f>IF(Profile!C2827="Profile",IF(Profile!A2829="ResourceRequirement","OK","XXX"),"XXX")</f>
        <v>XXX</v>
      </c>
    </row>
    <row r="2237" spans="1:4" x14ac:dyDescent="0.45">
      <c r="A2237">
        <f>ROW()</f>
        <v>2237</v>
      </c>
      <c r="B2237" t="str">
        <f>Profile!A2828</f>
        <v>/redfish/v1/Systems/{ComputerSystemId}/Storage/{StorageId}/Drives/{DriveId}</v>
      </c>
      <c r="C2237">
        <f>Profile!AP2830</f>
        <v>0</v>
      </c>
      <c r="D2237" t="str">
        <f>IF(Profile!C2828="Profile",IF(Profile!A2830="ResourceRequirement","OK","XXX"),"XXX")</f>
        <v>XXX</v>
      </c>
    </row>
    <row r="2238" spans="1:4" x14ac:dyDescent="0.45">
      <c r="A2238">
        <f>ROW()</f>
        <v>2238</v>
      </c>
      <c r="B2238">
        <f>Profile!A2829</f>
        <v>0</v>
      </c>
      <c r="C2238">
        <f>Profile!AP2831</f>
        <v>0</v>
      </c>
      <c r="D2238" t="str">
        <f>IF(Profile!C2829="Profile",IF(Profile!A2831="ResourceRequirement","OK","XXX"),"XXX")</f>
        <v>XXX</v>
      </c>
    </row>
    <row r="2239" spans="1:4" x14ac:dyDescent="0.45">
      <c r="A2239">
        <f>ROW()</f>
        <v>2239</v>
      </c>
      <c r="B2239" t="str">
        <f>Profile!A2830</f>
        <v>1.1.7.4               Location</v>
      </c>
      <c r="C2239">
        <f>Profile!AP2832</f>
        <v>0</v>
      </c>
      <c r="D2239" t="str">
        <f>IF(Profile!C2830="Profile",IF(Profile!A2832="ResourceRequirement","OK","XXX"),"XXX")</f>
        <v>XXX</v>
      </c>
    </row>
    <row r="2240" spans="1:4" x14ac:dyDescent="0.45">
      <c r="A2240">
        <f>ROW()</f>
        <v>2240</v>
      </c>
      <c r="B2240" t="str">
        <f>Profile!A2831</f>
        <v>The Location objects are common to many Redfish schema.</v>
      </c>
      <c r="C2240">
        <f>Profile!AP2833</f>
        <v>0</v>
      </c>
      <c r="D2240" t="str">
        <f>IF(Profile!C2831="Profile",IF(Profile!A2833="ResourceRequirement","OK","XXX"),"XXX")</f>
        <v>XXX</v>
      </c>
    </row>
    <row r="2241" spans="1:4" x14ac:dyDescent="0.45">
      <c r="A2241">
        <f>ROW()</f>
        <v>2241</v>
      </c>
      <c r="B2241" t="str">
        <f>Profile!A2832</f>
        <v>Table 70: O-PAS Profile Map for the Redfish Location Object</v>
      </c>
      <c r="C2241">
        <f>Profile!AP2834</f>
        <v>0</v>
      </c>
      <c r="D2241" t="str">
        <f>IF(Profile!C2832="Profile",IF(Profile!A2834="ResourceRequirement","OK","XXX"),"XXX")</f>
        <v>XXX</v>
      </c>
    </row>
    <row r="2242" spans="1:4" x14ac:dyDescent="0.45">
      <c r="A2242">
        <f>ROW()</f>
        <v>2242</v>
      </c>
      <c r="B2242" t="str">
        <f>Profile!A2833</f>
        <v>Location</v>
      </c>
      <c r="C2242">
        <f>Profile!AP2835</f>
        <v>0</v>
      </c>
      <c r="D2242" t="str">
        <f>IF(Profile!C2833="Profile",IF(Profile!A2835="ResourceRequirement","OK","XXX"),"XXX")</f>
        <v>XXX</v>
      </c>
    </row>
    <row r="2243" spans="1:4" x14ac:dyDescent="0.45">
      <c r="A2243">
        <f>ROW()</f>
        <v>2243</v>
      </c>
      <c r="B2243">
        <f>Profile!A2834</f>
        <v>0</v>
      </c>
      <c r="C2243">
        <f>Profile!AP2836</f>
        <v>0</v>
      </c>
      <c r="D2243" t="str">
        <f>IF(Profile!C2834="Profile",IF(Profile!A2836="ResourceRequirement","OK","XXX"),"XXX")</f>
        <v>XXX</v>
      </c>
    </row>
    <row r="2244" spans="1:4" x14ac:dyDescent="0.45">
      <c r="A2244">
        <f>ROW()</f>
        <v>2244</v>
      </c>
      <c r="B2244" t="str">
        <f>Profile!A2835</f>
        <v>Property</v>
      </c>
      <c r="C2244">
        <f>Profile!AP2837</f>
        <v>0</v>
      </c>
      <c r="D2244" t="str">
        <f>IF(Profile!C2835="Profile",IF(Profile!A2837="ResourceRequirement","OK","XXX"),"XXX")</f>
        <v>XXX</v>
      </c>
    </row>
    <row r="2245" spans="1:4" x14ac:dyDescent="0.45">
      <c r="A2245">
        <f>ROW()</f>
        <v>2245</v>
      </c>
      <c r="B2245" t="str">
        <f>Profile!A2836</f>
        <v>AltitudeMeters</v>
      </c>
      <c r="C2245">
        <f>Profile!AP2838</f>
        <v>0</v>
      </c>
      <c r="D2245" t="str">
        <f>IF(Profile!C2836="Profile",IF(Profile!A2838="ResourceRequirement","OK","XXX"),"XXX")</f>
        <v>XXX</v>
      </c>
    </row>
    <row r="2246" spans="1:4" x14ac:dyDescent="0.45">
      <c r="A2246">
        <f>ROW()</f>
        <v>2246</v>
      </c>
      <c r="B2246" t="str">
        <f>Profile!A2837</f>
        <v>Contacts</v>
      </c>
      <c r="C2246">
        <f>Profile!AP2839</f>
        <v>0</v>
      </c>
      <c r="D2246" t="str">
        <f>IF(Profile!C2837="Profile",IF(Profile!A2839="ResourceRequirement","OK","XXX"),"XXX")</f>
        <v>XXX</v>
      </c>
    </row>
    <row r="2247" spans="1:4" x14ac:dyDescent="0.45">
      <c r="A2247">
        <f>ROW()</f>
        <v>2247</v>
      </c>
      <c r="B2247" t="str">
        <f>Profile!A2838</f>
        <v xml:space="preserve">   ContactName</v>
      </c>
      <c r="C2247">
        <f>Profile!AP2840</f>
        <v>0</v>
      </c>
      <c r="D2247" t="str">
        <f>IF(Profile!C2838="Profile",IF(Profile!A2840="ResourceRequirement","OK","XXX"),"XXX")</f>
        <v>XXX</v>
      </c>
    </row>
    <row r="2248" spans="1:4" x14ac:dyDescent="0.45">
      <c r="A2248">
        <f>ROW()</f>
        <v>2248</v>
      </c>
      <c r="B2248" t="str">
        <f>Profile!A2839</f>
        <v xml:space="preserve">   EmailAddress</v>
      </c>
      <c r="C2248">
        <f>Profile!AP2841</f>
        <v>0</v>
      </c>
      <c r="D2248" t="str">
        <f>IF(Profile!C2839="Profile",IF(Profile!A2841="ResourceRequirement","OK","XXX"),"XXX")</f>
        <v>XXX</v>
      </c>
    </row>
    <row r="2249" spans="1:4" x14ac:dyDescent="0.45">
      <c r="A2249">
        <f>ROW()</f>
        <v>2249</v>
      </c>
      <c r="B2249" t="str">
        <f>Profile!A2840</f>
        <v xml:space="preserve">   PhoneNumber</v>
      </c>
      <c r="C2249">
        <f>Profile!AP2842</f>
        <v>0</v>
      </c>
      <c r="D2249" t="str">
        <f>IF(Profile!C2840="Profile",IF(Profile!A2842="ResourceRequirement","OK","XXX"),"XXX")</f>
        <v>XXX</v>
      </c>
    </row>
    <row r="2250" spans="1:4" x14ac:dyDescent="0.45">
      <c r="A2250">
        <f>ROW()</f>
        <v>2250</v>
      </c>
      <c r="B2250" t="str">
        <f>Profile!A2841</f>
        <v>Info</v>
      </c>
      <c r="C2250">
        <f>Profile!AP2843</f>
        <v>0</v>
      </c>
      <c r="D2250" t="str">
        <f>IF(Profile!C2841="Profile",IF(Profile!A2843="ResourceRequirement","OK","XXX"),"XXX")</f>
        <v>XXX</v>
      </c>
    </row>
    <row r="2251" spans="1:4" x14ac:dyDescent="0.45">
      <c r="A2251">
        <f>ROW()</f>
        <v>2251</v>
      </c>
      <c r="B2251" t="str">
        <f>Profile!A2842</f>
        <v>InfoFormat</v>
      </c>
      <c r="C2251">
        <f>Profile!AP2844</f>
        <v>0</v>
      </c>
      <c r="D2251" t="str">
        <f>IF(Profile!C2842="Profile",IF(Profile!A2844="ResourceRequirement","OK","XXX"),"XXX")</f>
        <v>XXX</v>
      </c>
    </row>
    <row r="2252" spans="1:4" x14ac:dyDescent="0.45">
      <c r="A2252">
        <f>ROW()</f>
        <v>2252</v>
      </c>
      <c r="B2252" t="str">
        <f>Profile!A2843</f>
        <v>Latitude</v>
      </c>
      <c r="C2252">
        <f>Profile!AP2845</f>
        <v>0</v>
      </c>
      <c r="D2252" t="str">
        <f>IF(Profile!C2843="Profile",IF(Profile!A2845="ResourceRequirement","OK","XXX"),"XXX")</f>
        <v>XXX</v>
      </c>
    </row>
    <row r="2253" spans="1:4" x14ac:dyDescent="0.45">
      <c r="A2253">
        <f>ROW()</f>
        <v>2253</v>
      </c>
      <c r="B2253" t="str">
        <f>Profile!A2844</f>
        <v>Longitude</v>
      </c>
      <c r="C2253">
        <f>Profile!AP2846</f>
        <v>0</v>
      </c>
      <c r="D2253" t="str">
        <f>IF(Profile!C2844="Profile",IF(Profile!A2846="ResourceRequirement","OK","XXX"),"XXX")</f>
        <v>XXX</v>
      </c>
    </row>
    <row r="2254" spans="1:4" x14ac:dyDescent="0.45">
      <c r="A2254">
        <f>ROW()</f>
        <v>2254</v>
      </c>
      <c r="B2254" t="str">
        <f>Profile!A2845</f>
        <v>Oem</v>
      </c>
      <c r="C2254">
        <f>Profile!AP2847</f>
        <v>0</v>
      </c>
      <c r="D2254" t="str">
        <f>IF(Profile!C2845="Profile",IF(Profile!A2847="ResourceRequirement","OK","XXX"),"XXX")</f>
        <v>XXX</v>
      </c>
    </row>
    <row r="2255" spans="1:4" x14ac:dyDescent="0.45">
      <c r="A2255">
        <f>ROW()</f>
        <v>2255</v>
      </c>
      <c r="B2255" t="str">
        <f>Profile!A2846</f>
        <v>PartLocation</v>
      </c>
      <c r="C2255">
        <f>Profile!AP2848</f>
        <v>0</v>
      </c>
      <c r="D2255" t="str">
        <f>IF(Profile!C2846="Profile",IF(Profile!A2848="ResourceRequirement","OK","XXX"),"XXX")</f>
        <v>XXX</v>
      </c>
    </row>
    <row r="2256" spans="1:4" x14ac:dyDescent="0.45">
      <c r="A2256">
        <f>ROW()</f>
        <v>2256</v>
      </c>
      <c r="B2256" t="str">
        <f>Profile!A2847</f>
        <v xml:space="preserve">   LocationOrdinalValue</v>
      </c>
      <c r="C2256">
        <f>Profile!AP2849</f>
        <v>0</v>
      </c>
      <c r="D2256" t="str">
        <f>IF(Profile!C2847="Profile",IF(Profile!A2849="ResourceRequirement","OK","XXX"),"XXX")</f>
        <v>XXX</v>
      </c>
    </row>
    <row r="2257" spans="1:4" x14ac:dyDescent="0.45">
      <c r="A2257">
        <f>ROW()</f>
        <v>2257</v>
      </c>
      <c r="B2257" t="str">
        <f>Profile!A2848</f>
        <v xml:space="preserve">   LocationType</v>
      </c>
      <c r="C2257">
        <f>Profile!AP2850</f>
        <v>0</v>
      </c>
      <c r="D2257" t="str">
        <f>IF(Profile!C2848="Profile",IF(Profile!A2850="ResourceRequirement","OK","XXX"),"XXX")</f>
        <v>XXX</v>
      </c>
    </row>
    <row r="2258" spans="1:4" x14ac:dyDescent="0.45">
      <c r="A2258">
        <f>ROW()</f>
        <v>2258</v>
      </c>
      <c r="B2258" t="str">
        <f>Profile!A2849</f>
        <v xml:space="preserve">   Orientation</v>
      </c>
      <c r="C2258">
        <f>Profile!AP2851</f>
        <v>0</v>
      </c>
      <c r="D2258" t="str">
        <f>IF(Profile!C2849="Profile",IF(Profile!A2851="ResourceRequirement","OK","XXX"),"XXX")</f>
        <v>XXX</v>
      </c>
    </row>
    <row r="2259" spans="1:4" x14ac:dyDescent="0.45">
      <c r="A2259">
        <f>ROW()</f>
        <v>2259</v>
      </c>
      <c r="B2259" t="str">
        <f>Profile!A2850</f>
        <v xml:space="preserve">   Reference</v>
      </c>
      <c r="C2259">
        <f>Profile!AP2852</f>
        <v>0</v>
      </c>
      <c r="D2259" t="str">
        <f>IF(Profile!C2850="Profile",IF(Profile!A2852="ResourceRequirement","OK","XXX"),"XXX")</f>
        <v>XXX</v>
      </c>
    </row>
    <row r="2260" spans="1:4" x14ac:dyDescent="0.45">
      <c r="A2260">
        <f>ROW()</f>
        <v>2260</v>
      </c>
      <c r="B2260" t="str">
        <f>Profile!A2851</f>
        <v xml:space="preserve">   ServiceLabel</v>
      </c>
      <c r="C2260">
        <f>Profile!AP2853</f>
        <v>0</v>
      </c>
      <c r="D2260" t="str">
        <f>IF(Profile!C2851="Profile",IF(Profile!A2853="ResourceRequirement","OK","XXX"),"XXX")</f>
        <v>XXX</v>
      </c>
    </row>
    <row r="2261" spans="1:4" x14ac:dyDescent="0.45">
      <c r="A2261">
        <f>ROW()</f>
        <v>2261</v>
      </c>
      <c r="B2261" t="str">
        <f>Profile!A2852</f>
        <v>Placement</v>
      </c>
      <c r="C2261">
        <f>Profile!AP2854</f>
        <v>0</v>
      </c>
      <c r="D2261" t="str">
        <f>IF(Profile!C2852="Profile",IF(Profile!A2854="ResourceRequirement","OK","XXX"),"XXX")</f>
        <v>XXX</v>
      </c>
    </row>
    <row r="2262" spans="1:4" x14ac:dyDescent="0.45">
      <c r="A2262">
        <f>ROW()</f>
        <v>2262</v>
      </c>
      <c r="B2262" t="str">
        <f>Profile!A2853</f>
        <v xml:space="preserve">   AdditionalInfo</v>
      </c>
      <c r="C2262">
        <f>Profile!AP2855</f>
        <v>0</v>
      </c>
      <c r="D2262" t="str">
        <f>IF(Profile!C2853="Profile",IF(Profile!A2855="ResourceRequirement","OK","XXX"),"XXX")</f>
        <v>XXX</v>
      </c>
    </row>
    <row r="2263" spans="1:4" x14ac:dyDescent="0.45">
      <c r="A2263">
        <f>ROW()</f>
        <v>2263</v>
      </c>
      <c r="B2263" t="str">
        <f>Profile!A2854</f>
        <v xml:space="preserve">   Rack</v>
      </c>
      <c r="C2263">
        <f>Profile!AP2856</f>
        <v>0</v>
      </c>
      <c r="D2263" t="str">
        <f>IF(Profile!C2854="Profile",IF(Profile!A2856="ResourceRequirement","OK","XXX"),"XXX")</f>
        <v>XXX</v>
      </c>
    </row>
    <row r="2264" spans="1:4" x14ac:dyDescent="0.45">
      <c r="A2264">
        <f>ROW()</f>
        <v>2264</v>
      </c>
      <c r="B2264" t="str">
        <f>Profile!A2855</f>
        <v xml:space="preserve">   RackOffset</v>
      </c>
      <c r="C2264">
        <f>Profile!AP2857</f>
        <v>0</v>
      </c>
      <c r="D2264" t="str">
        <f>IF(Profile!C2855="Profile",IF(Profile!A2857="ResourceRequirement","OK","XXX"),"XXX")</f>
        <v>XXX</v>
      </c>
    </row>
    <row r="2265" spans="1:4" x14ac:dyDescent="0.45">
      <c r="A2265">
        <f>ROW()</f>
        <v>2265</v>
      </c>
      <c r="B2265" t="str">
        <f>Profile!A2856</f>
        <v xml:space="preserve">   RackOffsetUnits</v>
      </c>
      <c r="C2265">
        <f>Profile!AP2858</f>
        <v>0</v>
      </c>
      <c r="D2265" t="str">
        <f>IF(Profile!C2856="Profile",IF(Profile!A2858="ResourceRequirement","OK","XXX"),"XXX")</f>
        <v>XXX</v>
      </c>
    </row>
    <row r="2266" spans="1:4" x14ac:dyDescent="0.45">
      <c r="A2266">
        <f>ROW()</f>
        <v>2266</v>
      </c>
      <c r="B2266" t="str">
        <f>Profile!A2857</f>
        <v xml:space="preserve">   Row</v>
      </c>
      <c r="C2266">
        <f>Profile!AP2859</f>
        <v>0</v>
      </c>
      <c r="D2266" t="str">
        <f>IF(Profile!C2857="Profile",IF(Profile!A2859="ResourceRequirement","OK","XXX"),"XXX")</f>
        <v>XXX</v>
      </c>
    </row>
    <row r="2267" spans="1:4" x14ac:dyDescent="0.45">
      <c r="A2267">
        <f>ROW()</f>
        <v>2267</v>
      </c>
      <c r="B2267" t="str">
        <f>Profile!A2858</f>
        <v>PostalAddress</v>
      </c>
      <c r="C2267">
        <f>Profile!AP2860</f>
        <v>0</v>
      </c>
      <c r="D2267" t="str">
        <f>IF(Profile!C2858="Profile",IF(Profile!A2860="ResourceRequirement","OK","XXX"),"XXX")</f>
        <v>XXX</v>
      </c>
    </row>
    <row r="2268" spans="1:4" x14ac:dyDescent="0.45">
      <c r="A2268">
        <f>ROW()</f>
        <v>2268</v>
      </c>
      <c r="B2268" t="str">
        <f>Profile!A2859</f>
        <v xml:space="preserve">   AdditionalCode</v>
      </c>
      <c r="C2268">
        <f>Profile!AP2861</f>
        <v>0</v>
      </c>
      <c r="D2268" t="str">
        <f>IF(Profile!C2859="Profile",IF(Profile!A2861="ResourceRequirement","OK","XXX"),"XXX")</f>
        <v>XXX</v>
      </c>
    </row>
    <row r="2269" spans="1:4" x14ac:dyDescent="0.45">
      <c r="A2269">
        <f>ROW()</f>
        <v>2269</v>
      </c>
      <c r="B2269" t="str">
        <f>Profile!A2860</f>
        <v xml:space="preserve">   AdditionalInfo</v>
      </c>
      <c r="C2269">
        <f>Profile!AP2862</f>
        <v>0</v>
      </c>
      <c r="D2269" t="str">
        <f>IF(Profile!C2860="Profile",IF(Profile!A2862="ResourceRequirement","OK","XXX"),"XXX")</f>
        <v>XXX</v>
      </c>
    </row>
    <row r="2270" spans="1:4" x14ac:dyDescent="0.45">
      <c r="A2270">
        <f>ROW()</f>
        <v>2270</v>
      </c>
      <c r="B2270" t="str">
        <f>Profile!A2861</f>
        <v xml:space="preserve">   Building</v>
      </c>
      <c r="C2270">
        <f>Profile!AP2863</f>
        <v>0</v>
      </c>
      <c r="D2270" t="str">
        <f>IF(Profile!C2861="Profile",IF(Profile!A2863="ResourceRequirement","OK","XXX"),"XXX")</f>
        <v>XXX</v>
      </c>
    </row>
    <row r="2271" spans="1:4" x14ac:dyDescent="0.45">
      <c r="A2271">
        <f>ROW()</f>
        <v>2271</v>
      </c>
      <c r="B2271" t="str">
        <f>Profile!A2862</f>
        <v xml:space="preserve">   City</v>
      </c>
      <c r="C2271">
        <f>Profile!AP2864</f>
        <v>0</v>
      </c>
      <c r="D2271" t="str">
        <f>IF(Profile!C2862="Profile",IF(Profile!A2864="ResourceRequirement","OK","XXX"),"XXX")</f>
        <v>XXX</v>
      </c>
    </row>
    <row r="2272" spans="1:4" x14ac:dyDescent="0.45">
      <c r="A2272">
        <f>ROW()</f>
        <v>2272</v>
      </c>
      <c r="B2272" t="str">
        <f>Profile!A2863</f>
        <v xml:space="preserve">   Community</v>
      </c>
      <c r="C2272">
        <f>Profile!AP2865</f>
        <v>0</v>
      </c>
      <c r="D2272" t="str">
        <f>IF(Profile!C2863="Profile",IF(Profile!A2865="ResourceRequirement","OK","XXX"),"XXX")</f>
        <v>XXX</v>
      </c>
    </row>
    <row r="2273" spans="1:4" x14ac:dyDescent="0.45">
      <c r="A2273">
        <f>ROW()</f>
        <v>2273</v>
      </c>
      <c r="B2273" t="str">
        <f>Profile!A2864</f>
        <v xml:space="preserve">   Country</v>
      </c>
      <c r="C2273">
        <f>Profile!AP2866</f>
        <v>0</v>
      </c>
      <c r="D2273" t="str">
        <f>IF(Profile!C2864="Profile",IF(Profile!A2866="ResourceRequirement","OK","XXX"),"XXX")</f>
        <v>XXX</v>
      </c>
    </row>
    <row r="2274" spans="1:4" x14ac:dyDescent="0.45">
      <c r="A2274">
        <f>ROW()</f>
        <v>2274</v>
      </c>
      <c r="B2274" t="str">
        <f>Profile!A2865</f>
        <v xml:space="preserve">   District</v>
      </c>
      <c r="C2274">
        <f>Profile!AP2867</f>
        <v>0</v>
      </c>
      <c r="D2274" t="str">
        <f>IF(Profile!C2865="Profile",IF(Profile!A2867="ResourceRequirement","OK","XXX"),"XXX")</f>
        <v>XXX</v>
      </c>
    </row>
    <row r="2275" spans="1:4" x14ac:dyDescent="0.45">
      <c r="A2275">
        <f>ROW()</f>
        <v>2275</v>
      </c>
      <c r="B2275" t="str">
        <f>Profile!A2866</f>
        <v xml:space="preserve">   Division</v>
      </c>
      <c r="C2275">
        <f>Profile!AP2868</f>
        <v>0</v>
      </c>
      <c r="D2275" t="str">
        <f>IF(Profile!C2866="Profile",IF(Profile!A2868="ResourceRequirement","OK","XXX"),"XXX")</f>
        <v>XXX</v>
      </c>
    </row>
    <row r="2276" spans="1:4" x14ac:dyDescent="0.45">
      <c r="A2276">
        <f>ROW()</f>
        <v>2276</v>
      </c>
      <c r="B2276" t="str">
        <f>Profile!A2867</f>
        <v xml:space="preserve">   Floor</v>
      </c>
      <c r="C2276">
        <f>Profile!AP2869</f>
        <v>0</v>
      </c>
      <c r="D2276" t="str">
        <f>IF(Profile!C2867="Profile",IF(Profile!A2869="ResourceRequirement","OK","XXX"),"XXX")</f>
        <v>XXX</v>
      </c>
    </row>
    <row r="2277" spans="1:4" x14ac:dyDescent="0.45">
      <c r="A2277">
        <f>ROW()</f>
        <v>2277</v>
      </c>
      <c r="B2277" t="str">
        <f>Profile!A2868</f>
        <v xml:space="preserve">   GPSCoords</v>
      </c>
      <c r="C2277">
        <f>Profile!AP2870</f>
        <v>0</v>
      </c>
      <c r="D2277" t="str">
        <f>IF(Profile!C2868="Profile",IF(Profile!A2870="ResourceRequirement","OK","XXX"),"XXX")</f>
        <v>XXX</v>
      </c>
    </row>
    <row r="2278" spans="1:4" x14ac:dyDescent="0.45">
      <c r="A2278">
        <f>ROW()</f>
        <v>2278</v>
      </c>
      <c r="B2278" t="str">
        <f>Profile!A2869</f>
        <v xml:space="preserve">   HouseNumber</v>
      </c>
      <c r="C2278">
        <f>Profile!AP2871</f>
        <v>0</v>
      </c>
      <c r="D2278" t="str">
        <f>IF(Profile!C2869="Profile",IF(Profile!A2871="ResourceRequirement","OK","XXX"),"XXX")</f>
        <v>XXX</v>
      </c>
    </row>
    <row r="2279" spans="1:4" x14ac:dyDescent="0.45">
      <c r="A2279">
        <f>ROW()</f>
        <v>2279</v>
      </c>
      <c r="B2279" t="str">
        <f>Profile!A2870</f>
        <v xml:space="preserve">   HouseNumberSuffix</v>
      </c>
      <c r="C2279">
        <f>Profile!AP2872</f>
        <v>0</v>
      </c>
      <c r="D2279" t="str">
        <f>IF(Profile!C2870="Profile",IF(Profile!A2872="ResourceRequirement","OK","XXX"),"XXX")</f>
        <v>XXX</v>
      </c>
    </row>
    <row r="2280" spans="1:4" x14ac:dyDescent="0.45">
      <c r="A2280">
        <f>ROW()</f>
        <v>2280</v>
      </c>
      <c r="B2280" t="str">
        <f>Profile!A2871</f>
        <v xml:space="preserve">   Landmark</v>
      </c>
      <c r="C2280">
        <f>Profile!AP2873</f>
        <v>0</v>
      </c>
      <c r="D2280" t="str">
        <f>IF(Profile!C2871="Profile",IF(Profile!A2873="ResourceRequirement","OK","XXX"),"XXX")</f>
        <v>XXX</v>
      </c>
    </row>
    <row r="2281" spans="1:4" x14ac:dyDescent="0.45">
      <c r="A2281">
        <f>ROW()</f>
        <v>2281</v>
      </c>
      <c r="B2281" t="str">
        <f>Profile!A2872</f>
        <v xml:space="preserve">   LeadingStreetDirection</v>
      </c>
      <c r="C2281">
        <f>Profile!AP2874</f>
        <v>0</v>
      </c>
      <c r="D2281" t="str">
        <f>IF(Profile!C2872="Profile",IF(Profile!A2874="ResourceRequirement","OK","XXX"),"XXX")</f>
        <v>XXX</v>
      </c>
    </row>
    <row r="2282" spans="1:4" x14ac:dyDescent="0.45">
      <c r="A2282">
        <f>ROW()</f>
        <v>2282</v>
      </c>
      <c r="B2282" t="str">
        <f>Profile!A2873</f>
        <v xml:space="preserve">   Location</v>
      </c>
      <c r="C2282">
        <f>Profile!AP2875</f>
        <v>0</v>
      </c>
      <c r="D2282" t="str">
        <f>IF(Profile!C2873="Profile",IF(Profile!A2875="ResourceRequirement","OK","XXX"),"XXX")</f>
        <v>XXX</v>
      </c>
    </row>
    <row r="2283" spans="1:4" x14ac:dyDescent="0.45">
      <c r="A2283">
        <f>ROW()</f>
        <v>2283</v>
      </c>
      <c r="B2283" t="str">
        <f>Profile!A2874</f>
        <v xml:space="preserve">   Name</v>
      </c>
      <c r="C2283">
        <f>Profile!AP2876</f>
        <v>0</v>
      </c>
      <c r="D2283" t="str">
        <f>IF(Profile!C2874="Profile",IF(Profile!A2876="ResourceRequirement","OK","XXX"),"XXX")</f>
        <v>XXX</v>
      </c>
    </row>
    <row r="2284" spans="1:4" x14ac:dyDescent="0.45">
      <c r="A2284">
        <f>ROW()</f>
        <v>2284</v>
      </c>
      <c r="B2284" t="str">
        <f>Profile!A2875</f>
        <v xml:space="preserve">   Neighborhood</v>
      </c>
      <c r="C2284">
        <f>Profile!AP2877</f>
        <v>0</v>
      </c>
      <c r="D2284" t="str">
        <f>IF(Profile!C2875="Profile",IF(Profile!A2877="ResourceRequirement","OK","XXX"),"XXX")</f>
        <v>XXX</v>
      </c>
    </row>
    <row r="2285" spans="1:4" x14ac:dyDescent="0.45">
      <c r="A2285">
        <f>ROW()</f>
        <v>2285</v>
      </c>
      <c r="B2285" t="str">
        <f>Profile!A2876</f>
        <v xml:space="preserve">   POBox</v>
      </c>
      <c r="C2285">
        <f>Profile!AP2878</f>
        <v>0</v>
      </c>
      <c r="D2285" t="str">
        <f>IF(Profile!C2876="Profile",IF(Profile!A2878="ResourceRequirement","OK","XXX"),"XXX")</f>
        <v>XXX</v>
      </c>
    </row>
    <row r="2286" spans="1:4" x14ac:dyDescent="0.45">
      <c r="A2286">
        <f>ROW()</f>
        <v>2286</v>
      </c>
      <c r="B2286" t="str">
        <f>Profile!A2877</f>
        <v xml:space="preserve">   PlaceType</v>
      </c>
      <c r="C2286">
        <f>Profile!AP2879</f>
        <v>0</v>
      </c>
      <c r="D2286" t="str">
        <f>IF(Profile!C2877="Profile",IF(Profile!A2879="ResourceRequirement","OK","XXX"),"XXX")</f>
        <v>XXX</v>
      </c>
    </row>
    <row r="2287" spans="1:4" x14ac:dyDescent="0.45">
      <c r="A2287">
        <f>ROW()</f>
        <v>2287</v>
      </c>
      <c r="B2287" t="str">
        <f>Profile!A2878</f>
        <v xml:space="preserve">   PostalCode</v>
      </c>
      <c r="C2287">
        <f>Profile!AP2880</f>
        <v>0</v>
      </c>
      <c r="D2287" t="str">
        <f>IF(Profile!C2878="Profile",IF(Profile!A2880="ResourceRequirement","OK","XXX"),"XXX")</f>
        <v>XXX</v>
      </c>
    </row>
    <row r="2288" spans="1:4" x14ac:dyDescent="0.45">
      <c r="A2288">
        <f>ROW()</f>
        <v>2288</v>
      </c>
      <c r="B2288" t="str">
        <f>Profile!A2879</f>
        <v xml:space="preserve">   Road</v>
      </c>
      <c r="C2288">
        <f>Profile!AP2881</f>
        <v>0</v>
      </c>
      <c r="D2288" t="str">
        <f>IF(Profile!C2879="Profile",IF(Profile!A2881="ResourceRequirement","OK","XXX"),"XXX")</f>
        <v>XXX</v>
      </c>
    </row>
    <row r="2289" spans="1:4" x14ac:dyDescent="0.45">
      <c r="A2289">
        <f>ROW()</f>
        <v>2289</v>
      </c>
      <c r="B2289" t="str">
        <f>Profile!A2880</f>
        <v xml:space="preserve">   RoadBranch</v>
      </c>
      <c r="C2289">
        <f>Profile!AP2882</f>
        <v>0</v>
      </c>
      <c r="D2289" t="str">
        <f>IF(Profile!C2880="Profile",IF(Profile!A2882="ResourceRequirement","OK","XXX"),"XXX")</f>
        <v>XXX</v>
      </c>
    </row>
    <row r="2290" spans="1:4" x14ac:dyDescent="0.45">
      <c r="A2290">
        <f>ROW()</f>
        <v>2290</v>
      </c>
      <c r="B2290" t="str">
        <f>Profile!A2881</f>
        <v xml:space="preserve">   RoadPostModifier</v>
      </c>
      <c r="C2290">
        <f>Profile!AP2883</f>
        <v>0</v>
      </c>
      <c r="D2290" t="str">
        <f>IF(Profile!C2881="Profile",IF(Profile!A2883="ResourceRequirement","OK","XXX"),"XXX")</f>
        <v>XXX</v>
      </c>
    </row>
    <row r="2291" spans="1:4" x14ac:dyDescent="0.45">
      <c r="A2291">
        <f>ROW()</f>
        <v>2291</v>
      </c>
      <c r="B2291" t="str">
        <f>Profile!A2882</f>
        <v xml:space="preserve">   RoadPreModifier</v>
      </c>
      <c r="C2291">
        <f>Profile!AP2884</f>
        <v>0</v>
      </c>
      <c r="D2291" t="str">
        <f>IF(Profile!C2882="Profile",IF(Profile!A2884="ResourceRequirement","OK","XXX"),"XXX")</f>
        <v>XXX</v>
      </c>
    </row>
    <row r="2292" spans="1:4" x14ac:dyDescent="0.45">
      <c r="A2292">
        <f>ROW()</f>
        <v>2292</v>
      </c>
      <c r="B2292" t="str">
        <f>Profile!A2883</f>
        <v xml:space="preserve">   RoadSection</v>
      </c>
      <c r="C2292">
        <f>Profile!AP2885</f>
        <v>0</v>
      </c>
      <c r="D2292" t="str">
        <f>IF(Profile!C2883="Profile",IF(Profile!A2885="ResourceRequirement","OK","XXX"),"XXX")</f>
        <v>XXX</v>
      </c>
    </row>
    <row r="2293" spans="1:4" x14ac:dyDescent="0.45">
      <c r="A2293">
        <f>ROW()</f>
        <v>2293</v>
      </c>
      <c r="B2293" t="str">
        <f>Profile!A2884</f>
        <v xml:space="preserve">   RoadSubBranch</v>
      </c>
      <c r="C2293">
        <f>Profile!AP2886</f>
        <v>0</v>
      </c>
      <c r="D2293" t="str">
        <f>IF(Profile!C2884="Profile",IF(Profile!A2886="ResourceRequirement","OK","XXX"),"XXX")</f>
        <v>XXX</v>
      </c>
    </row>
    <row r="2294" spans="1:4" x14ac:dyDescent="0.45">
      <c r="A2294">
        <f>ROW()</f>
        <v>2294</v>
      </c>
      <c r="B2294" t="str">
        <f>Profile!A2885</f>
        <v xml:space="preserve">   Room</v>
      </c>
      <c r="C2294">
        <f>Profile!AP2887</f>
        <v>0</v>
      </c>
      <c r="D2294" t="str">
        <f>IF(Profile!C2885="Profile",IF(Profile!A2887="ResourceRequirement","OK","XXX"),"XXX")</f>
        <v>XXX</v>
      </c>
    </row>
    <row r="2295" spans="1:4" x14ac:dyDescent="0.45">
      <c r="A2295">
        <f>ROW()</f>
        <v>2295</v>
      </c>
      <c r="B2295" t="str">
        <f>Profile!A2886</f>
        <v xml:space="preserve">   Seat</v>
      </c>
      <c r="C2295">
        <f>Profile!AP2888</f>
        <v>0</v>
      </c>
      <c r="D2295" t="str">
        <f>IF(Profile!C2886="Profile",IF(Profile!A2888="ResourceRequirement","OK","XXX"),"XXX")</f>
        <v>XXX</v>
      </c>
    </row>
    <row r="2296" spans="1:4" x14ac:dyDescent="0.45">
      <c r="A2296">
        <f>ROW()</f>
        <v>2296</v>
      </c>
      <c r="B2296" t="str">
        <f>Profile!A2887</f>
        <v xml:space="preserve">   Street</v>
      </c>
      <c r="C2296">
        <f>Profile!AP2889</f>
        <v>0</v>
      </c>
      <c r="D2296" t="str">
        <f>IF(Profile!C2887="Profile",IF(Profile!A2889="ResourceRequirement","OK","XXX"),"XXX")</f>
        <v>XXX</v>
      </c>
    </row>
    <row r="2297" spans="1:4" x14ac:dyDescent="0.45">
      <c r="A2297">
        <f>ROW()</f>
        <v>2297</v>
      </c>
      <c r="B2297" t="str">
        <f>Profile!A2888</f>
        <v xml:space="preserve">   StreetSuffix</v>
      </c>
      <c r="C2297">
        <f>Profile!AP2890</f>
        <v>0</v>
      </c>
      <c r="D2297" t="str">
        <f>IF(Profile!C2888="Profile",IF(Profile!A2890="ResourceRequirement","OK","XXX"),"XXX")</f>
        <v>XXX</v>
      </c>
    </row>
    <row r="2298" spans="1:4" x14ac:dyDescent="0.45">
      <c r="A2298">
        <f>ROW()</f>
        <v>2298</v>
      </c>
      <c r="B2298" t="str">
        <f>Profile!A2889</f>
        <v xml:space="preserve">   Territory</v>
      </c>
      <c r="C2298">
        <f>Profile!AP2891</f>
        <v>0</v>
      </c>
      <c r="D2298" t="str">
        <f>IF(Profile!C2889="Profile",IF(Profile!A2891="ResourceRequirement","OK","XXX"),"XXX")</f>
        <v>XXX</v>
      </c>
    </row>
    <row r="2299" spans="1:4" x14ac:dyDescent="0.45">
      <c r="A2299">
        <f>ROW()</f>
        <v>2299</v>
      </c>
      <c r="B2299" t="str">
        <f>Profile!A2890</f>
        <v xml:space="preserve">   TrailingStreetSuffix</v>
      </c>
      <c r="C2299">
        <f>Profile!AP2892</f>
        <v>0</v>
      </c>
      <c r="D2299" t="str">
        <f>IF(Profile!C2890="Profile",IF(Profile!A2892="ResourceRequirement","OK","XXX"),"XXX")</f>
        <v>XXX</v>
      </c>
    </row>
    <row r="2300" spans="1:4" x14ac:dyDescent="0.45">
      <c r="A2300">
        <f>ROW()</f>
        <v>2300</v>
      </c>
      <c r="B2300" t="str">
        <f>Profile!A2891</f>
        <v xml:space="preserve">   Unit</v>
      </c>
      <c r="C2300">
        <f>Profile!AP2893</f>
        <v>0</v>
      </c>
      <c r="D2300" t="str">
        <f>IF(Profile!C2891="Profile",IF(Profile!A2893="ResourceRequirement","OK","XXX"),"XXX")</f>
        <v>XXX</v>
      </c>
    </row>
    <row r="2301" spans="1:4" x14ac:dyDescent="0.45">
      <c r="A2301">
        <f>ROW()</f>
        <v>2301</v>
      </c>
      <c r="B2301">
        <f>Profile!A2892</f>
        <v>0</v>
      </c>
      <c r="C2301">
        <f>Profile!AP2894</f>
        <v>0</v>
      </c>
      <c r="D2301" t="str">
        <f>IF(Profile!C2892="Profile",IF(Profile!A2894="ResourceRequirement","OK","XXX"),"XXX")</f>
        <v>XXX</v>
      </c>
    </row>
    <row r="2302" spans="1:4" x14ac:dyDescent="0.45">
      <c r="A2302">
        <f>ROW()</f>
        <v>2302</v>
      </c>
      <c r="B2302" t="str">
        <f>Profile!A2893</f>
        <v>1.1.7.5               NetworkAdapter</v>
      </c>
      <c r="C2302">
        <f>Profile!AP2895</f>
        <v>0</v>
      </c>
      <c r="D2302" t="str">
        <f>IF(Profile!C2893="Profile",IF(Profile!A2895="ResourceRequirement","OK","XXX"),"XXX")</f>
        <v>XXX</v>
      </c>
    </row>
    <row r="2303" spans="1:4" x14ac:dyDescent="0.45">
      <c r="A2303">
        <f>ROW()</f>
        <v>2303</v>
      </c>
      <c r="B2303" t="str">
        <f>Profile!A2894</f>
        <v>The NetworkAdapter resource represents the physical network adapter capable of connecting to a computer network. Examples include but are not limited to Ethernet, FC, and CNAs.</v>
      </c>
      <c r="C2303">
        <f>Profile!AP2896</f>
        <v>0</v>
      </c>
      <c r="D2303" t="str">
        <f>IF(Profile!C2894="Profile",IF(Profile!A2896="ResourceRequirement","OK","XXX"),"XXX")</f>
        <v>XXX</v>
      </c>
    </row>
    <row r="2304" spans="1:4" x14ac:dyDescent="0.45">
      <c r="A2304">
        <f>ROW()</f>
        <v>2304</v>
      </c>
      <c r="B2304" t="str">
        <f>Profile!A2895</f>
        <v>Table 71: O-PAS Profile Map for the Redfish NetworkAdapter Resource</v>
      </c>
      <c r="C2304">
        <f>Profile!AP2897</f>
        <v>0</v>
      </c>
      <c r="D2304" t="str">
        <f>IF(Profile!C2895="Profile",IF(Profile!A2897="ResourceRequirement","OK","XXX"),"XXX")</f>
        <v>XXX</v>
      </c>
    </row>
    <row r="2305" spans="1:4" x14ac:dyDescent="0.45">
      <c r="A2305">
        <f>ROW()</f>
        <v>2305</v>
      </c>
      <c r="B2305" t="str">
        <f>Profile!A2896</f>
        <v>NetworkAdapter (1.2.0)</v>
      </c>
      <c r="C2305">
        <f>Profile!AP2898</f>
        <v>0</v>
      </c>
      <c r="D2305" t="str">
        <f>IF(Profile!C2896="Profile",IF(Profile!A2898="ResourceRequirement","OK","XXX"),"XXX")</f>
        <v>XXX</v>
      </c>
    </row>
    <row r="2306" spans="1:4" x14ac:dyDescent="0.45">
      <c r="A2306">
        <f>ROW()</f>
        <v>2306</v>
      </c>
      <c r="B2306">
        <f>Profile!A2897</f>
        <v>0</v>
      </c>
      <c r="C2306">
        <f>Profile!AP2899</f>
        <v>0</v>
      </c>
      <c r="D2306" t="str">
        <f>IF(Profile!C2897="Profile",IF(Profile!A2899="ResourceRequirement","OK","XXX"),"XXX")</f>
        <v>XXX</v>
      </c>
    </row>
    <row r="2307" spans="1:4" x14ac:dyDescent="0.45">
      <c r="A2307">
        <f>ROW()</f>
        <v>2307</v>
      </c>
      <c r="B2307" t="str">
        <f>Profile!A2898</f>
        <v>NetworkAdapter (1.2.0)</v>
      </c>
      <c r="C2307">
        <f>Profile!AP2900</f>
        <v>37</v>
      </c>
      <c r="D2307" t="str">
        <f>IF(Profile!C2898="Profile",IF(Profile!A2900="ResourceRequirement","OK","XXX"),"XXX")</f>
        <v>OK</v>
      </c>
    </row>
    <row r="2308" spans="1:4" x14ac:dyDescent="0.45">
      <c r="A2308">
        <f>ROW()</f>
        <v>2308</v>
      </c>
      <c r="B2308">
        <f>Profile!A2899</f>
        <v>0</v>
      </c>
      <c r="C2308">
        <f>Profile!AP2901</f>
        <v>0</v>
      </c>
      <c r="D2308" t="str">
        <f>IF(Profile!C2899="Profile",IF(Profile!A2901="ResourceRequirement","OK","XXX"),"XXX")</f>
        <v>XXX</v>
      </c>
    </row>
    <row r="2309" spans="1:4" x14ac:dyDescent="0.45">
      <c r="A2309">
        <f>ROW()</f>
        <v>2309</v>
      </c>
      <c r="B2309" t="str">
        <f>Profile!A2900</f>
        <v>ResourceRequirement</v>
      </c>
      <c r="C2309">
        <f>Profile!AP2902</f>
        <v>0</v>
      </c>
      <c r="D2309" t="str">
        <f>IF(Profile!C2900="Profile",IF(Profile!A2902="ResourceRequirement","OK","XXX"),"XXX")</f>
        <v>XXX</v>
      </c>
    </row>
    <row r="2310" spans="1:4" x14ac:dyDescent="0.45">
      <c r="A2310">
        <f>ROW()</f>
        <v>2310</v>
      </c>
      <c r="B2310" t="str">
        <f>Profile!A2901</f>
        <v>Resource MinVersion</v>
      </c>
      <c r="C2310">
        <f>Profile!AP2903</f>
        <v>0</v>
      </c>
      <c r="D2310" t="str">
        <f>IF(Profile!C2901="Profile",IF(Profile!A2903="ResourceRequirement","OK","XXX"),"XXX")</f>
        <v>XXX</v>
      </c>
    </row>
    <row r="2311" spans="1:4" x14ac:dyDescent="0.45">
      <c r="A2311">
        <f>ROW()</f>
        <v>2311</v>
      </c>
      <c r="B2311" t="str">
        <f>Profile!A2902</f>
        <v>Property</v>
      </c>
      <c r="C2311">
        <f>Profile!AP2904</f>
        <v>0</v>
      </c>
      <c r="D2311" t="str">
        <f>IF(Profile!C2902="Profile",IF(Profile!A2904="ResourceRequirement","OK","XXX"),"XXX")</f>
        <v>XXX</v>
      </c>
    </row>
    <row r="2312" spans="1:4" x14ac:dyDescent="0.45">
      <c r="A2312">
        <f>ROW()</f>
        <v>2312</v>
      </c>
      <c r="B2312" t="str">
        <f>Profile!A2903</f>
        <v>Actions</v>
      </c>
      <c r="C2312">
        <f>Profile!AP2905</f>
        <v>0</v>
      </c>
      <c r="D2312" t="str">
        <f>IF(Profile!C2903="Profile",IF(Profile!A2905="ResourceRequirement","OK","XXX"),"XXX")</f>
        <v>XXX</v>
      </c>
    </row>
    <row r="2313" spans="1:4" x14ac:dyDescent="0.45">
      <c r="A2313">
        <f>ROW()</f>
        <v>2313</v>
      </c>
      <c r="B2313" t="str">
        <f>Profile!A2904</f>
        <v xml:space="preserve">   #NetworkAdapter.ResetSettingsToDefault</v>
      </c>
      <c r="C2313">
        <f>Profile!AP2906</f>
        <v>0</v>
      </c>
      <c r="D2313" t="str">
        <f>IF(Profile!C2904="Profile",IF(Profile!A2906="ResourceRequirement","OK","XXX"),"XXX")</f>
        <v>XXX</v>
      </c>
    </row>
    <row r="2314" spans="1:4" x14ac:dyDescent="0.45">
      <c r="A2314">
        <f>ROW()</f>
        <v>2314</v>
      </c>
      <c r="B2314" t="str">
        <f>Profile!A2905</f>
        <v>Assembly</v>
      </c>
      <c r="C2314">
        <f>Profile!AP2907</f>
        <v>0</v>
      </c>
      <c r="D2314" t="str">
        <f>IF(Profile!C2905="Profile",IF(Profile!A2907="ResourceRequirement","OK","XXX"),"XXX")</f>
        <v>XXX</v>
      </c>
    </row>
    <row r="2315" spans="1:4" x14ac:dyDescent="0.45">
      <c r="A2315">
        <f>ROW()</f>
        <v>2315</v>
      </c>
      <c r="B2315" t="str">
        <f>Profile!A2906</f>
        <v xml:space="preserve">  @odata.id</v>
      </c>
      <c r="C2315">
        <f>Profile!AP2908</f>
        <v>0</v>
      </c>
      <c r="D2315" t="str">
        <f>IF(Profile!C2906="Profile",IF(Profile!A2908="ResourceRequirement","OK","XXX"),"XXX")</f>
        <v>XXX</v>
      </c>
    </row>
    <row r="2316" spans="1:4" x14ac:dyDescent="0.45">
      <c r="A2316">
        <f>ROW()</f>
        <v>2316</v>
      </c>
      <c r="B2316" t="str">
        <f>Profile!A2907</f>
        <v>Controllers</v>
      </c>
      <c r="C2316">
        <f>Profile!AP2909</f>
        <v>0</v>
      </c>
      <c r="D2316" t="str">
        <f>IF(Profile!C2907="Profile",IF(Profile!A2909="ResourceRequirement","OK","XXX"),"XXX")</f>
        <v>XXX</v>
      </c>
    </row>
    <row r="2317" spans="1:4" x14ac:dyDescent="0.45">
      <c r="A2317">
        <f>ROW()</f>
        <v>2317</v>
      </c>
      <c r="B2317" t="str">
        <f>Profile!A2908</f>
        <v xml:space="preserve">   ControllerCapabilities</v>
      </c>
      <c r="C2317">
        <f>Profile!AP2910</f>
        <v>0</v>
      </c>
      <c r="D2317" t="str">
        <f>IF(Profile!C2908="Profile",IF(Profile!A2910="ResourceRequirement","OK","XXX"),"XXX")</f>
        <v>XXX</v>
      </c>
    </row>
    <row r="2318" spans="1:4" x14ac:dyDescent="0.45">
      <c r="A2318">
        <f>ROW()</f>
        <v>2318</v>
      </c>
      <c r="B2318" t="str">
        <f>Profile!A2909</f>
        <v xml:space="preserve">      DataCenterBridging</v>
      </c>
      <c r="C2318">
        <f>Profile!AP2911</f>
        <v>0</v>
      </c>
      <c r="D2318" t="str">
        <f>IF(Profile!C2909="Profile",IF(Profile!A2911="ResourceRequirement","OK","XXX"),"XXX")</f>
        <v>XXX</v>
      </c>
    </row>
    <row r="2319" spans="1:4" x14ac:dyDescent="0.45">
      <c r="A2319">
        <f>ROW()</f>
        <v>2319</v>
      </c>
      <c r="B2319" t="str">
        <f>Profile!A2910</f>
        <v xml:space="preserve">         Capable</v>
      </c>
      <c r="C2319">
        <f>Profile!AP2912</f>
        <v>0</v>
      </c>
      <c r="D2319" t="str">
        <f>IF(Profile!C2910="Profile",IF(Profile!A2912="ResourceRequirement","OK","XXX"),"XXX")</f>
        <v>XXX</v>
      </c>
    </row>
    <row r="2320" spans="1:4" x14ac:dyDescent="0.45">
      <c r="A2320">
        <f>ROW()</f>
        <v>2320</v>
      </c>
      <c r="B2320" t="str">
        <f>Profile!A2911</f>
        <v xml:space="preserve">      NPAR</v>
      </c>
      <c r="C2320">
        <f>Profile!AP2913</f>
        <v>0</v>
      </c>
      <c r="D2320" t="str">
        <f>IF(Profile!C2911="Profile",IF(Profile!A2913="ResourceRequirement","OK","XXX"),"XXX")</f>
        <v>XXX</v>
      </c>
    </row>
    <row r="2321" spans="1:4" x14ac:dyDescent="0.45">
      <c r="A2321">
        <f>ROW()</f>
        <v>2321</v>
      </c>
      <c r="B2321" t="str">
        <f>Profile!A2912</f>
        <v xml:space="preserve">         NparCapable</v>
      </c>
      <c r="C2321">
        <f>Profile!AP2914</f>
        <v>0</v>
      </c>
      <c r="D2321" t="str">
        <f>IF(Profile!C2912="Profile",IF(Profile!A2914="ResourceRequirement","OK","XXX"),"XXX")</f>
        <v>XXX</v>
      </c>
    </row>
    <row r="2322" spans="1:4" x14ac:dyDescent="0.45">
      <c r="A2322">
        <f>ROW()</f>
        <v>2322</v>
      </c>
      <c r="B2322" t="str">
        <f>Profile!A2913</f>
        <v xml:space="preserve">         NparEnabled</v>
      </c>
      <c r="C2322">
        <f>Profile!AP2915</f>
        <v>0</v>
      </c>
      <c r="D2322" t="str">
        <f>IF(Profile!C2913="Profile",IF(Profile!A2915="ResourceRequirement","OK","XXX"),"XXX")</f>
        <v>XXX</v>
      </c>
    </row>
    <row r="2323" spans="1:4" x14ac:dyDescent="0.45">
      <c r="A2323">
        <f>ROW()</f>
        <v>2323</v>
      </c>
      <c r="B2323" t="str">
        <f>Profile!A2914</f>
        <v xml:space="preserve">      NPIV</v>
      </c>
      <c r="C2323">
        <f>Profile!AP2916</f>
        <v>0</v>
      </c>
      <c r="D2323" t="str">
        <f>IF(Profile!C2914="Profile",IF(Profile!A2916="ResourceRequirement","OK","XXX"),"XXX")</f>
        <v>XXX</v>
      </c>
    </row>
    <row r="2324" spans="1:4" x14ac:dyDescent="0.45">
      <c r="A2324">
        <f>ROW()</f>
        <v>2324</v>
      </c>
      <c r="B2324" t="str">
        <f>Profile!A2915</f>
        <v xml:space="preserve">         MaxDeviceLogins</v>
      </c>
      <c r="C2324">
        <f>Profile!AP2917</f>
        <v>0</v>
      </c>
      <c r="D2324" t="str">
        <f>IF(Profile!C2915="Profile",IF(Profile!A2917="ResourceRequirement","OK","XXX"),"XXX")</f>
        <v>XXX</v>
      </c>
    </row>
    <row r="2325" spans="1:4" x14ac:dyDescent="0.45">
      <c r="A2325">
        <f>ROW()</f>
        <v>2325</v>
      </c>
      <c r="B2325" t="str">
        <f>Profile!A2916</f>
        <v xml:space="preserve">         MaxPortLogins</v>
      </c>
      <c r="C2325">
        <f>Profile!AP2918</f>
        <v>0</v>
      </c>
      <c r="D2325" t="str">
        <f>IF(Profile!C2916="Profile",IF(Profile!A2918="ResourceRequirement","OK","XXX"),"XXX")</f>
        <v>XXX</v>
      </c>
    </row>
    <row r="2326" spans="1:4" x14ac:dyDescent="0.45">
      <c r="A2326">
        <f>ROW()</f>
        <v>2326</v>
      </c>
      <c r="B2326" t="str">
        <f>Profile!A2917</f>
        <v xml:space="preserve">      NetworkDeviceFunctionCount</v>
      </c>
      <c r="C2326">
        <f>Profile!AP2919</f>
        <v>0</v>
      </c>
      <c r="D2326" t="str">
        <f>IF(Profile!C2917="Profile",IF(Profile!A2919="ResourceRequirement","OK","XXX"),"XXX")</f>
        <v>XXX</v>
      </c>
    </row>
    <row r="2327" spans="1:4" x14ac:dyDescent="0.45">
      <c r="A2327">
        <f>ROW()</f>
        <v>2327</v>
      </c>
      <c r="B2327" t="str">
        <f>Profile!A2918</f>
        <v xml:space="preserve">      NetworkPortCount</v>
      </c>
      <c r="C2327">
        <f>Profile!AP2920</f>
        <v>0</v>
      </c>
      <c r="D2327" t="str">
        <f>IF(Profile!C2918="Profile",IF(Profile!A2920="ResourceRequirement","OK","XXX"),"XXX")</f>
        <v>XXX</v>
      </c>
    </row>
    <row r="2328" spans="1:4" x14ac:dyDescent="0.45">
      <c r="A2328">
        <f>ROW()</f>
        <v>2328</v>
      </c>
      <c r="B2328" t="str">
        <f>Profile!A2919</f>
        <v xml:space="preserve">      VirtualizationOffload</v>
      </c>
      <c r="C2328">
        <f>Profile!AP2921</f>
        <v>0</v>
      </c>
      <c r="D2328" t="str">
        <f>IF(Profile!C2919="Profile",IF(Profile!A2921="ResourceRequirement","OK","XXX"),"XXX")</f>
        <v>XXX</v>
      </c>
    </row>
    <row r="2329" spans="1:4" x14ac:dyDescent="0.45">
      <c r="A2329">
        <f>ROW()</f>
        <v>2329</v>
      </c>
      <c r="B2329" t="str">
        <f>Profile!A2920</f>
        <v xml:space="preserve">         SRIOV</v>
      </c>
      <c r="C2329">
        <f>Profile!AP2922</f>
        <v>0</v>
      </c>
      <c r="D2329" t="str">
        <f>IF(Profile!C2920="Profile",IF(Profile!A2922="ResourceRequirement","OK","XXX"),"XXX")</f>
        <v>XXX</v>
      </c>
    </row>
    <row r="2330" spans="1:4" x14ac:dyDescent="0.45">
      <c r="A2330">
        <f>ROW()</f>
        <v>2330</v>
      </c>
      <c r="B2330" t="str">
        <f>Profile!A2921</f>
        <v xml:space="preserve">            SRIOVVEPACapable</v>
      </c>
      <c r="C2330">
        <f>Profile!AP2923</f>
        <v>0</v>
      </c>
      <c r="D2330" t="str">
        <f>IF(Profile!C2921="Profile",IF(Profile!A2923="ResourceRequirement","OK","XXX"),"XXX")</f>
        <v>XXX</v>
      </c>
    </row>
    <row r="2331" spans="1:4" x14ac:dyDescent="0.45">
      <c r="A2331">
        <f>ROW()</f>
        <v>2331</v>
      </c>
      <c r="B2331" t="str">
        <f>Profile!A2922</f>
        <v xml:space="preserve">         VirtualFunction</v>
      </c>
      <c r="C2331">
        <f>Profile!AP2924</f>
        <v>0</v>
      </c>
      <c r="D2331" t="str">
        <f>IF(Profile!C2922="Profile",IF(Profile!A2924="ResourceRequirement","OK","XXX"),"XXX")</f>
        <v>XXX</v>
      </c>
    </row>
    <row r="2332" spans="1:4" x14ac:dyDescent="0.45">
      <c r="A2332">
        <f>ROW()</f>
        <v>2332</v>
      </c>
      <c r="B2332" t="str">
        <f>Profile!A2923</f>
        <v xml:space="preserve">            DeviceMaxCount</v>
      </c>
      <c r="C2332">
        <f>Profile!AP2925</f>
        <v>0</v>
      </c>
      <c r="D2332" t="str">
        <f>IF(Profile!C2923="Profile",IF(Profile!A2925="ResourceRequirement","OK","XXX"),"XXX")</f>
        <v>XXX</v>
      </c>
    </row>
    <row r="2333" spans="1:4" x14ac:dyDescent="0.45">
      <c r="A2333">
        <f>ROW()</f>
        <v>2333</v>
      </c>
      <c r="B2333" t="str">
        <f>Profile!A2924</f>
        <v xml:space="preserve">            MinAssignmentGroupSize</v>
      </c>
      <c r="C2333">
        <f>Profile!AP2926</f>
        <v>0</v>
      </c>
      <c r="D2333" t="str">
        <f>IF(Profile!C2924="Profile",IF(Profile!A2926="ResourceRequirement","OK","XXX"),"XXX")</f>
        <v>XXX</v>
      </c>
    </row>
    <row r="2334" spans="1:4" x14ac:dyDescent="0.45">
      <c r="A2334">
        <f>ROW()</f>
        <v>2334</v>
      </c>
      <c r="B2334" t="str">
        <f>Profile!A2925</f>
        <v xml:space="preserve">            NetworkPortMaxCount</v>
      </c>
      <c r="C2334">
        <f>Profile!AP2927</f>
        <v>0</v>
      </c>
      <c r="D2334" t="str">
        <f>IF(Profile!C2925="Profile",IF(Profile!A2927="ResourceRequirement","OK","XXX"),"XXX")</f>
        <v>XXX</v>
      </c>
    </row>
    <row r="2335" spans="1:4" x14ac:dyDescent="0.45">
      <c r="A2335">
        <f>ROW()</f>
        <v>2335</v>
      </c>
      <c r="B2335" t="str">
        <f>Profile!A2926</f>
        <v xml:space="preserve">   FirmwarePackageVersion</v>
      </c>
      <c r="C2335">
        <f>Profile!AP2928</f>
        <v>0</v>
      </c>
      <c r="D2335" t="str">
        <f>IF(Profile!C2926="Profile",IF(Profile!A2928="ResourceRequirement","OK","XXX"),"XXX")</f>
        <v>XXX</v>
      </c>
    </row>
    <row r="2336" spans="1:4" x14ac:dyDescent="0.45">
      <c r="A2336">
        <f>ROW()</f>
        <v>2336</v>
      </c>
      <c r="B2336" t="str">
        <f>Profile!A2927</f>
        <v xml:space="preserve">   Identifiers</v>
      </c>
      <c r="C2336">
        <f>Profile!AP2929</f>
        <v>0</v>
      </c>
      <c r="D2336" t="str">
        <f>IF(Profile!C2927="Profile",IF(Profile!A2929="ResourceRequirement","OK","XXX"),"XXX")</f>
        <v>XXX</v>
      </c>
    </row>
    <row r="2337" spans="1:4" x14ac:dyDescent="0.45">
      <c r="A2337">
        <f>ROW()</f>
        <v>2337</v>
      </c>
      <c r="B2337" t="str">
        <f>Profile!A2928</f>
        <v xml:space="preserve">   Links</v>
      </c>
      <c r="C2337">
        <f>Profile!AP2930</f>
        <v>0</v>
      </c>
      <c r="D2337" t="str">
        <f>IF(Profile!C2928="Profile",IF(Profile!A2930="ResourceRequirement","OK","XXX"),"XXX")</f>
        <v>XXX</v>
      </c>
    </row>
    <row r="2338" spans="1:4" x14ac:dyDescent="0.45">
      <c r="A2338">
        <f>ROW()</f>
        <v>2338</v>
      </c>
      <c r="B2338" t="str">
        <f>Profile!A2929</f>
        <v xml:space="preserve">      NetworkDeviceFunctions</v>
      </c>
      <c r="C2338">
        <f>Profile!AP2933</f>
        <v>0</v>
      </c>
      <c r="D2338" t="str">
        <f>IF(Profile!C2929="Profile",IF(Profile!A2933="ResourceRequirement","OK","XXX"),"XXX")</f>
        <v>XXX</v>
      </c>
    </row>
    <row r="2339" spans="1:4" x14ac:dyDescent="0.45">
      <c r="A2339">
        <f>ROW()</f>
        <v>2339</v>
      </c>
      <c r="B2339" t="str">
        <f>Profile!A2930</f>
        <v xml:space="preserve">         @odata.id</v>
      </c>
      <c r="C2339">
        <f>Profile!AP2934</f>
        <v>0</v>
      </c>
      <c r="D2339" t="str">
        <f>IF(Profile!C2930="Profile",IF(Profile!A2934="ResourceRequirement","OK","XXX"),"XXX")</f>
        <v>XXX</v>
      </c>
    </row>
    <row r="2340" spans="1:4" x14ac:dyDescent="0.45">
      <c r="A2340">
        <f>ROW()</f>
        <v>2340</v>
      </c>
      <c r="B2340" t="str">
        <f>Profile!A2933</f>
        <v xml:space="preserve">       Ports</v>
      </c>
      <c r="C2340">
        <f>Profile!AP2935</f>
        <v>0</v>
      </c>
      <c r="D2340" t="str">
        <f>IF(Profile!C2933="Profile",IF(Profile!A2935="ResourceRequirement","OK","XXX"),"XXX")</f>
        <v>XXX</v>
      </c>
    </row>
    <row r="2341" spans="1:4" x14ac:dyDescent="0.45">
      <c r="A2341">
        <f>ROW()</f>
        <v>2341</v>
      </c>
      <c r="B2341" t="str">
        <f>Profile!A2934</f>
        <v xml:space="preserve">          @odata.id</v>
      </c>
      <c r="C2341">
        <f>Profile!AP2936</f>
        <v>0</v>
      </c>
      <c r="D2341" t="str">
        <f>IF(Profile!C2934="Profile",IF(Profile!A2936="ResourceRequirement","OK","XXX"),"XXX")</f>
        <v>XXX</v>
      </c>
    </row>
    <row r="2342" spans="1:4" x14ac:dyDescent="0.45">
      <c r="A2342">
        <f>ROW()</f>
        <v>2342</v>
      </c>
      <c r="B2342" t="str">
        <f>Profile!A2935</f>
        <v xml:space="preserve">      Oem</v>
      </c>
      <c r="C2342">
        <f>Profile!AP2937</f>
        <v>0</v>
      </c>
      <c r="D2342" t="str">
        <f>IF(Profile!C2935="Profile",IF(Profile!A2937="ResourceRequirement","OK","XXX"),"XXX")</f>
        <v>XXX</v>
      </c>
    </row>
    <row r="2343" spans="1:4" x14ac:dyDescent="0.45">
      <c r="A2343">
        <f>ROW()</f>
        <v>2343</v>
      </c>
      <c r="B2343" t="str">
        <f>Profile!A2936</f>
        <v xml:space="preserve">      PCIeDevices</v>
      </c>
      <c r="C2343">
        <f>Profile!AP2938</f>
        <v>0</v>
      </c>
      <c r="D2343" t="str">
        <f>IF(Profile!C2936="Profile",IF(Profile!A2938="ResourceRequirement","OK","XXX"),"XXX")</f>
        <v>XXX</v>
      </c>
    </row>
    <row r="2344" spans="1:4" x14ac:dyDescent="0.45">
      <c r="A2344">
        <f>ROW()</f>
        <v>2344</v>
      </c>
      <c r="B2344" t="str">
        <f>Profile!A2937</f>
        <v xml:space="preserve">         @odata.id</v>
      </c>
      <c r="C2344">
        <f>Profile!AP2939</f>
        <v>0</v>
      </c>
      <c r="D2344" t="str">
        <f>IF(Profile!C2937="Profile",IF(Profile!A2939="ResourceRequirement","OK","XXX"),"XXX")</f>
        <v>XXX</v>
      </c>
    </row>
    <row r="2345" spans="1:4" x14ac:dyDescent="0.45">
      <c r="A2345">
        <f>ROW()</f>
        <v>2345</v>
      </c>
      <c r="B2345" t="str">
        <f>Profile!A2938</f>
        <v xml:space="preserve">   Location</v>
      </c>
      <c r="C2345">
        <f>Profile!AP2940</f>
        <v>0</v>
      </c>
      <c r="D2345" t="str">
        <f>IF(Profile!C2938="Profile",IF(Profile!A2940="ResourceRequirement","OK","XXX"),"XXX")</f>
        <v>XXX</v>
      </c>
    </row>
    <row r="2346" spans="1:4" x14ac:dyDescent="0.45">
      <c r="A2346">
        <f>ROW()</f>
        <v>2346</v>
      </c>
      <c r="B2346" t="str">
        <f>Profile!A2939</f>
        <v xml:space="preserve">   PCIeInterface</v>
      </c>
      <c r="C2346">
        <f>Profile!AP2941</f>
        <v>0</v>
      </c>
      <c r="D2346" t="str">
        <f>IF(Profile!C2939="Profile",IF(Profile!A2941="ResourceRequirement","OK","XXX"),"XXX")</f>
        <v>XXX</v>
      </c>
    </row>
    <row r="2347" spans="1:4" x14ac:dyDescent="0.45">
      <c r="A2347">
        <f>ROW()</f>
        <v>2347</v>
      </c>
      <c r="B2347" t="str">
        <f>Profile!A2940</f>
        <v xml:space="preserve">      @odata.id</v>
      </c>
      <c r="C2347">
        <f>Profile!AP2942</f>
        <v>0</v>
      </c>
      <c r="D2347" t="str">
        <f>IF(Profile!C2940="Profile",IF(Profile!A2942="ResourceRequirement","OK","XXX"),"XXX")</f>
        <v>XXX</v>
      </c>
    </row>
    <row r="2348" spans="1:4" x14ac:dyDescent="0.45">
      <c r="A2348">
        <f>ROW()</f>
        <v>2348</v>
      </c>
      <c r="B2348" t="str">
        <f>Profile!A2941</f>
        <v>Manufacturer</v>
      </c>
      <c r="C2348">
        <f>Profile!AP2943</f>
        <v>0</v>
      </c>
      <c r="D2348" t="str">
        <f>IF(Profile!C2941="Profile",IF(Profile!A2943="ResourceRequirement","OK","XXX"),"XXX")</f>
        <v>XXX</v>
      </c>
    </row>
    <row r="2349" spans="1:4" x14ac:dyDescent="0.45">
      <c r="A2349">
        <f>ROW()</f>
        <v>2349</v>
      </c>
      <c r="B2349" t="str">
        <f>Profile!A2942</f>
        <v>Model</v>
      </c>
      <c r="C2349">
        <f>Profile!AP2944</f>
        <v>0</v>
      </c>
      <c r="D2349" t="str">
        <f>IF(Profile!C2942="Profile",IF(Profile!A2944="ResourceRequirement","OK","XXX"),"XXX")</f>
        <v>XXX</v>
      </c>
    </row>
    <row r="2350" spans="1:4" x14ac:dyDescent="0.45">
      <c r="A2350">
        <f>ROW()</f>
        <v>2350</v>
      </c>
      <c r="B2350" t="str">
        <f>Profile!A2943</f>
        <v>NetworkDeviceFunctions</v>
      </c>
      <c r="C2350">
        <f>Profile!AP2947</f>
        <v>0</v>
      </c>
      <c r="D2350" t="str">
        <f>IF(Profile!C2943="Profile",IF(Profile!A2947="ResourceRequirement","OK","XXX"),"XXX")</f>
        <v>XXX</v>
      </c>
    </row>
    <row r="2351" spans="1:4" x14ac:dyDescent="0.45">
      <c r="A2351">
        <f>ROW()</f>
        <v>2351</v>
      </c>
      <c r="B2351" t="str">
        <f>Profile!A2944</f>
        <v xml:space="preserve">   @odata.id</v>
      </c>
      <c r="C2351">
        <f>Profile!AP2948</f>
        <v>0</v>
      </c>
      <c r="D2351" t="str">
        <f>IF(Profile!C2944="Profile",IF(Profile!A2948="ResourceRequirement","OK","XXX"),"XXX")</f>
        <v>XXX</v>
      </c>
    </row>
    <row r="2352" spans="1:4" x14ac:dyDescent="0.45">
      <c r="A2352">
        <f>ROW()</f>
        <v>2352</v>
      </c>
      <c r="B2352" t="str">
        <f>Profile!A2947</f>
        <v>Ports</v>
      </c>
      <c r="C2352">
        <f>Profile!AP2949</f>
        <v>0</v>
      </c>
      <c r="D2352" t="str">
        <f>IF(Profile!C2947="Profile",IF(Profile!A2949="ResourceRequirement","OK","XXX"),"XXX")</f>
        <v>XXX</v>
      </c>
    </row>
    <row r="2353" spans="1:4" x14ac:dyDescent="0.45">
      <c r="A2353">
        <f>ROW()</f>
        <v>2353</v>
      </c>
      <c r="B2353" t="str">
        <f>Profile!A2948</f>
        <v xml:space="preserve">   @odata.id</v>
      </c>
      <c r="C2353">
        <f>Profile!AP2950</f>
        <v>0</v>
      </c>
      <c r="D2353" t="str">
        <f>IF(Profile!C2948="Profile",IF(Profile!A2950="ResourceRequirement","OK","XXX"),"XXX")</f>
        <v>XXX</v>
      </c>
    </row>
    <row r="2354" spans="1:4" x14ac:dyDescent="0.45">
      <c r="A2354">
        <f>ROW()</f>
        <v>2354</v>
      </c>
      <c r="B2354" t="str">
        <f>Profile!A2949</f>
        <v>PartNumber</v>
      </c>
      <c r="C2354">
        <f>Profile!AP2951</f>
        <v>0</v>
      </c>
      <c r="D2354" t="str">
        <f>IF(Profile!C2949="Profile",IF(Profile!A2951="ResourceRequirement","OK","XXX"),"XXX")</f>
        <v>XXX</v>
      </c>
    </row>
    <row r="2355" spans="1:4" x14ac:dyDescent="0.45">
      <c r="A2355">
        <f>ROW()</f>
        <v>2355</v>
      </c>
      <c r="B2355" t="str">
        <f>Profile!A2950</f>
        <v>SKU</v>
      </c>
      <c r="C2355">
        <f>Profile!AP2952</f>
        <v>0</v>
      </c>
      <c r="D2355" t="str">
        <f>IF(Profile!C2950="Profile",IF(Profile!A2952="ResourceRequirement","OK","XXX"),"XXX")</f>
        <v>XXX</v>
      </c>
    </row>
    <row r="2356" spans="1:4" x14ac:dyDescent="0.45">
      <c r="A2356">
        <f>ROW()</f>
        <v>2356</v>
      </c>
      <c r="B2356" t="str">
        <f>Profile!A2951</f>
        <v>SerialNumber</v>
      </c>
      <c r="C2356">
        <f>Profile!AP2955</f>
        <v>0</v>
      </c>
      <c r="D2356" t="str">
        <f>IF(Profile!C2951="Profile",IF(Profile!A2955="ResourceRequirement","OK","XXX"),"XXX")</f>
        <v>XXX</v>
      </c>
    </row>
    <row r="2357" spans="1:4" x14ac:dyDescent="0.45">
      <c r="A2357">
        <f>ROW()</f>
        <v>2357</v>
      </c>
      <c r="B2357" t="str">
        <f>Profile!A2952</f>
        <v>Status</v>
      </c>
      <c r="C2357">
        <f>Profile!AP2956</f>
        <v>0</v>
      </c>
      <c r="D2357" t="str">
        <f>IF(Profile!C2952="Profile",IF(Profile!A2956="ResourceRequirement","OK","XXX"),"XXX")</f>
        <v>XXX</v>
      </c>
    </row>
    <row r="2358" spans="1:4" x14ac:dyDescent="0.45">
      <c r="A2358">
        <f>ROW()</f>
        <v>2358</v>
      </c>
      <c r="B2358" t="str">
        <f>Profile!A2955</f>
        <v>NetworkAdapter URIs</v>
      </c>
      <c r="C2358">
        <f>Profile!AP2957</f>
        <v>0</v>
      </c>
      <c r="D2358" t="str">
        <f>IF(Profile!C2955="Profile",IF(Profile!A2957="ResourceRequirement","OK","XXX"),"XXX")</f>
        <v>XXX</v>
      </c>
    </row>
    <row r="2359" spans="1:4" x14ac:dyDescent="0.45">
      <c r="A2359">
        <f>ROW()</f>
        <v>2359</v>
      </c>
      <c r="B2359" t="str">
        <f>Profile!A2956</f>
        <v>/redfish/v1/Chassis/{ChassisId}/NetworkAdapters/{NetworkAdapterId}</v>
      </c>
      <c r="C2359">
        <f>Profile!AP2958</f>
        <v>0</v>
      </c>
      <c r="D2359" t="str">
        <f>IF(Profile!C2956="Profile",IF(Profile!A2958="ResourceRequirement","OK","XXX"),"XXX")</f>
        <v>XXX</v>
      </c>
    </row>
    <row r="2360" spans="1:4" x14ac:dyDescent="0.45">
      <c r="A2360">
        <f>ROW()</f>
        <v>2360</v>
      </c>
      <c r="B2360">
        <f>Profile!A2957</f>
        <v>0</v>
      </c>
      <c r="C2360">
        <f>Profile!AP2959</f>
        <v>0</v>
      </c>
      <c r="D2360" t="str">
        <f>IF(Profile!C2957="Profile",IF(Profile!A2959="ResourceRequirement","OK","XXX"),"XXX")</f>
        <v>XXX</v>
      </c>
    </row>
    <row r="2361" spans="1:4" x14ac:dyDescent="0.45">
      <c r="A2361">
        <f>ROW()</f>
        <v>2361</v>
      </c>
      <c r="B2361" t="str">
        <f>Profile!A2958</f>
        <v>1.1.7.6               PCIeDevice</v>
      </c>
      <c r="C2361">
        <f>Profile!AP2960</f>
        <v>0</v>
      </c>
      <c r="D2361" t="str">
        <f>IF(Profile!C2958="Profile",IF(Profile!A2960="ResourceRequirement","OK","XXX"),"XXX")</f>
        <v>XXX</v>
      </c>
    </row>
    <row r="2362" spans="1:4" x14ac:dyDescent="0.45">
      <c r="A2362">
        <f>ROW()</f>
        <v>2362</v>
      </c>
      <c r="B2362" t="str">
        <f>Profile!A2959</f>
        <v>The PCIeDevice resource represents the properties of a PCIeDevice attached to a system.</v>
      </c>
      <c r="C2362">
        <f>Profile!AP2961</f>
        <v>0</v>
      </c>
      <c r="D2362" t="str">
        <f>IF(Profile!C2959="Profile",IF(Profile!A2961="ResourceRequirement","OK","XXX"),"XXX")</f>
        <v>XXX</v>
      </c>
    </row>
    <row r="2363" spans="1:4" x14ac:dyDescent="0.45">
      <c r="A2363">
        <f>ROW()</f>
        <v>2363</v>
      </c>
      <c r="B2363" t="str">
        <f>Profile!A2960</f>
        <v>Table 72: O-PAS Profile Map for the Redfish PCIeDevice Resource</v>
      </c>
      <c r="C2363">
        <f>Profile!AP2962</f>
        <v>0</v>
      </c>
      <c r="D2363" t="str">
        <f>IF(Profile!C2960="Profile",IF(Profile!A2962="ResourceRequirement","OK","XXX"),"XXX")</f>
        <v>XXX</v>
      </c>
    </row>
    <row r="2364" spans="1:4" x14ac:dyDescent="0.45">
      <c r="A2364">
        <f>ROW()</f>
        <v>2364</v>
      </c>
      <c r="B2364" t="str">
        <f>Profile!A2961</f>
        <v>PCIeDevice (1.3.0)</v>
      </c>
      <c r="C2364">
        <f>Profile!AP2963</f>
        <v>0</v>
      </c>
      <c r="D2364" t="str">
        <f>IF(Profile!C2961="Profile",IF(Profile!A2963="ResourceRequirement","OK","XXX"),"XXX")</f>
        <v>XXX</v>
      </c>
    </row>
    <row r="2365" spans="1:4" x14ac:dyDescent="0.45">
      <c r="A2365">
        <f>ROW()</f>
        <v>2365</v>
      </c>
      <c r="B2365">
        <f>Profile!A2962</f>
        <v>0</v>
      </c>
      <c r="C2365">
        <f>Profile!AP2964</f>
        <v>0</v>
      </c>
      <c r="D2365" t="str">
        <f>IF(Profile!C2962="Profile",IF(Profile!A2964="ResourceRequirement","OK","XXX"),"XXX")</f>
        <v>XXX</v>
      </c>
    </row>
    <row r="2366" spans="1:4" x14ac:dyDescent="0.45">
      <c r="A2366">
        <f>ROW()</f>
        <v>2366</v>
      </c>
      <c r="B2366" t="str">
        <f>Profile!A2963</f>
        <v>PCIeDevice (1.3.1)</v>
      </c>
      <c r="C2366">
        <f>Profile!AP2965</f>
        <v>43</v>
      </c>
      <c r="D2366" t="str">
        <f>IF(Profile!C2963="Profile",IF(Profile!A2965="ResourceRequirement","OK","XXX"),"XXX")</f>
        <v>OK</v>
      </c>
    </row>
    <row r="2367" spans="1:4" x14ac:dyDescent="0.45">
      <c r="A2367">
        <f>ROW()</f>
        <v>2367</v>
      </c>
      <c r="B2367">
        <f>Profile!A2964</f>
        <v>0</v>
      </c>
      <c r="C2367">
        <f>Profile!AP2966</f>
        <v>0</v>
      </c>
      <c r="D2367" t="str">
        <f>IF(Profile!C2964="Profile",IF(Profile!A2966="ResourceRequirement","OK","XXX"),"XXX")</f>
        <v>XXX</v>
      </c>
    </row>
    <row r="2368" spans="1:4" x14ac:dyDescent="0.45">
      <c r="A2368">
        <f>ROW()</f>
        <v>2368</v>
      </c>
      <c r="B2368" t="str">
        <f>Profile!A2965</f>
        <v>ResourceRequirement</v>
      </c>
      <c r="C2368">
        <f>Profile!AP2967</f>
        <v>0</v>
      </c>
      <c r="D2368" t="str">
        <f>IF(Profile!C2965="Profile",IF(Profile!A2967="ResourceRequirement","OK","XXX"),"XXX")</f>
        <v>XXX</v>
      </c>
    </row>
    <row r="2369" spans="1:4" x14ac:dyDescent="0.45">
      <c r="A2369">
        <f>ROW()</f>
        <v>2369</v>
      </c>
      <c r="B2369" t="str">
        <f>Profile!A2966</f>
        <v>Resource MinVersion</v>
      </c>
      <c r="C2369">
        <f>Profile!AP2968</f>
        <v>0</v>
      </c>
      <c r="D2369" t="str">
        <f>IF(Profile!C2966="Profile",IF(Profile!A2968="ResourceRequirement","OK","XXX"),"XXX")</f>
        <v>XXX</v>
      </c>
    </row>
    <row r="2370" spans="1:4" x14ac:dyDescent="0.45">
      <c r="A2370">
        <f>ROW()</f>
        <v>2370</v>
      </c>
      <c r="B2370" t="str">
        <f>Profile!A2967</f>
        <v>Property</v>
      </c>
      <c r="C2370">
        <f>Profile!AP2969</f>
        <v>0</v>
      </c>
      <c r="D2370" t="str">
        <f>IF(Profile!C2967="Profile",IF(Profile!A2969="ResourceRequirement","OK","XXX"),"XXX")</f>
        <v>XXX</v>
      </c>
    </row>
    <row r="2371" spans="1:4" x14ac:dyDescent="0.45">
      <c r="A2371">
        <f>ROW()</f>
        <v>2371</v>
      </c>
      <c r="B2371" t="str">
        <f>Profile!A2968</f>
        <v>Actions</v>
      </c>
      <c r="C2371">
        <f>Profile!AP2970</f>
        <v>0</v>
      </c>
      <c r="D2371" t="str">
        <f>IF(Profile!C2968="Profile",IF(Profile!A2970="ResourceRequirement","OK","XXX"),"XXX")</f>
        <v>XXX</v>
      </c>
    </row>
    <row r="2372" spans="1:4" x14ac:dyDescent="0.45">
      <c r="A2372">
        <f>ROW()</f>
        <v>2372</v>
      </c>
      <c r="B2372" t="str">
        <f>Profile!A2969</f>
        <v>Assembly</v>
      </c>
      <c r="C2372">
        <f>Profile!AP2971</f>
        <v>0</v>
      </c>
      <c r="D2372" t="str">
        <f>IF(Profile!C2969="Profile",IF(Profile!A2971="ResourceRequirement","OK","XXX"),"XXX")</f>
        <v>XXX</v>
      </c>
    </row>
    <row r="2373" spans="1:4" x14ac:dyDescent="0.45">
      <c r="A2373">
        <f>ROW()</f>
        <v>2373</v>
      </c>
      <c r="B2373" t="str">
        <f>Profile!A2970</f>
        <v xml:space="preserve">   @odata.id</v>
      </c>
      <c r="C2373">
        <f>Profile!AP2972</f>
        <v>0</v>
      </c>
      <c r="D2373" t="str">
        <f>IF(Profile!C2970="Profile",IF(Profile!A2972="ResourceRequirement","OK","XXX"),"XXX")</f>
        <v>XXX</v>
      </c>
    </row>
    <row r="2374" spans="1:4" x14ac:dyDescent="0.45">
      <c r="A2374">
        <f>ROW()</f>
        <v>2374</v>
      </c>
      <c r="B2374" t="str">
        <f>Profile!A2971</f>
        <v>AssetTag</v>
      </c>
      <c r="C2374">
        <f>Profile!AP2973</f>
        <v>0</v>
      </c>
      <c r="D2374" t="str">
        <f>IF(Profile!C2971="Profile",IF(Profile!A2973="ResourceRequirement","OK","XXX"),"XXX")</f>
        <v>XXX</v>
      </c>
    </row>
    <row r="2375" spans="1:4" x14ac:dyDescent="0.45">
      <c r="A2375">
        <f>ROW()</f>
        <v>2375</v>
      </c>
      <c r="B2375" t="str">
        <f>Profile!A2972</f>
        <v>DeviceType</v>
      </c>
      <c r="C2375">
        <f>Profile!AP2974</f>
        <v>0</v>
      </c>
      <c r="D2375" t="str">
        <f>IF(Profile!C2972="Profile",IF(Profile!A2974="ResourceRequirement","OK","XXX"),"XXX")</f>
        <v>XXX</v>
      </c>
    </row>
    <row r="2376" spans="1:4" x14ac:dyDescent="0.45">
      <c r="A2376">
        <f>ROW()</f>
        <v>2376</v>
      </c>
      <c r="B2376" t="str">
        <f>Profile!A2973</f>
        <v>FirmwareVersion</v>
      </c>
      <c r="C2376">
        <f>Profile!AP2975</f>
        <v>0</v>
      </c>
      <c r="D2376" t="str">
        <f>IF(Profile!C2973="Profile",IF(Profile!A2975="ResourceRequirement","OK","XXX"),"XXX")</f>
        <v>XXX</v>
      </c>
    </row>
    <row r="2377" spans="1:4" x14ac:dyDescent="0.45">
      <c r="A2377">
        <f>ROW()</f>
        <v>2377</v>
      </c>
      <c r="B2377" t="str">
        <f>Profile!A2974</f>
        <v>Links</v>
      </c>
      <c r="C2377">
        <f>Profile!AP2976</f>
        <v>0</v>
      </c>
      <c r="D2377" t="str">
        <f>IF(Profile!C2974="Profile",IF(Profile!A2976="ResourceRequirement","OK","XXX"),"XXX")</f>
        <v>XXX</v>
      </c>
    </row>
    <row r="2378" spans="1:4" x14ac:dyDescent="0.45">
      <c r="A2378">
        <f>ROW()</f>
        <v>2378</v>
      </c>
      <c r="B2378" t="str">
        <f>Profile!A2975</f>
        <v xml:space="preserve">   Chassis</v>
      </c>
      <c r="C2378">
        <f>Profile!AP2977</f>
        <v>0</v>
      </c>
      <c r="D2378" t="str">
        <f>IF(Profile!C2975="Profile",IF(Profile!A2977="ResourceRequirement","OK","XXX"),"XXX")</f>
        <v>XXX</v>
      </c>
    </row>
    <row r="2379" spans="1:4" x14ac:dyDescent="0.45">
      <c r="A2379">
        <f>ROW()</f>
        <v>2379</v>
      </c>
      <c r="B2379" t="str">
        <f>Profile!A2976</f>
        <v xml:space="preserve">      @odata.id</v>
      </c>
      <c r="C2379">
        <f>Profile!AP2978</f>
        <v>0</v>
      </c>
      <c r="D2379" t="str">
        <f>IF(Profile!C2976="Profile",IF(Profile!A2978="ResourceRequirement","OK","XXX"),"XXX")</f>
        <v>XXX</v>
      </c>
    </row>
    <row r="2380" spans="1:4" x14ac:dyDescent="0.45">
      <c r="A2380">
        <f>ROW()</f>
        <v>2380</v>
      </c>
      <c r="B2380" t="str">
        <f>Profile!A2977</f>
        <v xml:space="preserve">   Oem</v>
      </c>
      <c r="C2380">
        <f>Profile!AP2979</f>
        <v>0</v>
      </c>
      <c r="D2380" t="str">
        <f>IF(Profile!C2977="Profile",IF(Profile!A2979="ResourceRequirement","OK","XXX"),"XXX")</f>
        <v>XXX</v>
      </c>
    </row>
    <row r="2381" spans="1:4" x14ac:dyDescent="0.45">
      <c r="A2381">
        <f>ROW()</f>
        <v>2381</v>
      </c>
      <c r="B2381" t="str">
        <f>Profile!A2978</f>
        <v xml:space="preserve">   PCIeFunctions</v>
      </c>
      <c r="C2381">
        <f>Profile!AP2980</f>
        <v>0</v>
      </c>
      <c r="D2381" t="str">
        <f>IF(Profile!C2978="Profile",IF(Profile!A2980="ResourceRequirement","OK","XXX"),"XXX")</f>
        <v>XXX</v>
      </c>
    </row>
    <row r="2382" spans="1:4" x14ac:dyDescent="0.45">
      <c r="A2382">
        <f>ROW()</f>
        <v>2382</v>
      </c>
      <c r="B2382" t="str">
        <f>Profile!A2979</f>
        <v xml:space="preserve">      @odata.id</v>
      </c>
      <c r="C2382">
        <f>Profile!AP2981</f>
        <v>0</v>
      </c>
      <c r="D2382" t="str">
        <f>IF(Profile!C2979="Profile",IF(Profile!A2981="ResourceRequirement","OK","XXX"),"XXX")</f>
        <v>XXX</v>
      </c>
    </row>
    <row r="2383" spans="1:4" x14ac:dyDescent="0.45">
      <c r="A2383">
        <f>ROW()</f>
        <v>2383</v>
      </c>
      <c r="B2383" t="str">
        <f>Profile!A2980</f>
        <v>Manufacturer</v>
      </c>
      <c r="C2383">
        <f>Profile!AP2982</f>
        <v>0</v>
      </c>
      <c r="D2383" t="str">
        <f>IF(Profile!C2980="Profile",IF(Profile!A2982="ResourceRequirement","OK","XXX"),"XXX")</f>
        <v>XXX</v>
      </c>
    </row>
    <row r="2384" spans="1:4" x14ac:dyDescent="0.45">
      <c r="A2384">
        <f>ROW()</f>
        <v>2384</v>
      </c>
      <c r="B2384" t="str">
        <f>Profile!A2981</f>
        <v>Model</v>
      </c>
      <c r="C2384">
        <f>Profile!AP2983</f>
        <v>0</v>
      </c>
      <c r="D2384" t="str">
        <f>IF(Profile!C2981="Profile",IF(Profile!A2983="ResourceRequirement","OK","XXX"),"XXX")</f>
        <v>XXX</v>
      </c>
    </row>
    <row r="2385" spans="1:4" x14ac:dyDescent="0.45">
      <c r="A2385">
        <f>ROW()</f>
        <v>2385</v>
      </c>
      <c r="B2385" t="str">
        <f>Profile!A2982</f>
        <v>PartNumber</v>
      </c>
      <c r="C2385">
        <f>Profile!AP2984</f>
        <v>0</v>
      </c>
      <c r="D2385" t="str">
        <f>IF(Profile!C2982="Profile",IF(Profile!A2984="ResourceRequirement","OK","XXX"),"XXX")</f>
        <v>XXX</v>
      </c>
    </row>
    <row r="2386" spans="1:4" x14ac:dyDescent="0.45">
      <c r="A2386">
        <f>ROW()</f>
        <v>2386</v>
      </c>
      <c r="B2386" t="str">
        <f>Profile!A2983</f>
        <v>PCIeFunctions</v>
      </c>
      <c r="C2386">
        <f>Profile!AP2985</f>
        <v>0</v>
      </c>
      <c r="D2386" t="str">
        <f>IF(Profile!C2983="Profile",IF(Profile!A2985="ResourceRequirement","OK","XXX"),"XXX")</f>
        <v>XXX</v>
      </c>
    </row>
    <row r="2387" spans="1:4" x14ac:dyDescent="0.45">
      <c r="A2387">
        <f>ROW()</f>
        <v>2387</v>
      </c>
      <c r="B2387" t="str">
        <f>Profile!A2984</f>
        <v>PCIeInterface</v>
      </c>
      <c r="C2387">
        <f>Profile!AP2986</f>
        <v>0</v>
      </c>
      <c r="D2387" t="str">
        <f>IF(Profile!C2984="Profile",IF(Profile!A2986="ResourceRequirement","OK","XXX"),"XXX")</f>
        <v>XXX</v>
      </c>
    </row>
    <row r="2388" spans="1:4" x14ac:dyDescent="0.45">
      <c r="A2388">
        <f>ROW()</f>
        <v>2388</v>
      </c>
      <c r="B2388" t="str">
        <f>Profile!A2985</f>
        <v xml:space="preserve">   LanesInUse</v>
      </c>
      <c r="C2388">
        <f>Profile!AP2987</f>
        <v>0</v>
      </c>
      <c r="D2388" t="str">
        <f>IF(Profile!C2985="Profile",IF(Profile!A2987="ResourceRequirement","OK","XXX"),"XXX")</f>
        <v>XXX</v>
      </c>
    </row>
    <row r="2389" spans="1:4" x14ac:dyDescent="0.45">
      <c r="A2389">
        <f>ROW()</f>
        <v>2389</v>
      </c>
      <c r="B2389" t="str">
        <f>Profile!A2986</f>
        <v xml:space="preserve">   MaxLanes</v>
      </c>
      <c r="C2389">
        <f>Profile!AP2988</f>
        <v>0</v>
      </c>
      <c r="D2389" t="str">
        <f>IF(Profile!C2986="Profile",IF(Profile!A2988="ResourceRequirement","OK","XXX"),"XXX")</f>
        <v>XXX</v>
      </c>
    </row>
    <row r="2390" spans="1:4" x14ac:dyDescent="0.45">
      <c r="A2390">
        <f>ROW()</f>
        <v>2390</v>
      </c>
      <c r="B2390" t="str">
        <f>Profile!A2987</f>
        <v xml:space="preserve">   MaxPCIeType</v>
      </c>
      <c r="C2390">
        <f>Profile!AP2989</f>
        <v>0</v>
      </c>
      <c r="D2390" t="str">
        <f>IF(Profile!C2987="Profile",IF(Profile!A2989="ResourceRequirement","OK","XXX"),"XXX")</f>
        <v>XXX</v>
      </c>
    </row>
    <row r="2391" spans="1:4" x14ac:dyDescent="0.45">
      <c r="A2391">
        <f>ROW()</f>
        <v>2391</v>
      </c>
      <c r="B2391" t="str">
        <f>Profile!A2988</f>
        <v xml:space="preserve">   Oem</v>
      </c>
      <c r="C2391">
        <f>Profile!AP2990</f>
        <v>0</v>
      </c>
      <c r="D2391" t="str">
        <f>IF(Profile!C2988="Profile",IF(Profile!A2990="ResourceRequirement","OK","XXX"),"XXX")</f>
        <v>XXX</v>
      </c>
    </row>
    <row r="2392" spans="1:4" x14ac:dyDescent="0.45">
      <c r="A2392">
        <f>ROW()</f>
        <v>2392</v>
      </c>
      <c r="B2392" t="str">
        <f>Profile!A2989</f>
        <v xml:space="preserve">   PCIeType</v>
      </c>
      <c r="C2392">
        <f>Profile!AP2991</f>
        <v>0</v>
      </c>
      <c r="D2392" t="str">
        <f>IF(Profile!C2989="Profile",IF(Profile!A2991="ResourceRequirement","OK","XXX"),"XXX")</f>
        <v>XXX</v>
      </c>
    </row>
    <row r="2393" spans="1:4" x14ac:dyDescent="0.45">
      <c r="A2393">
        <f>ROW()</f>
        <v>2393</v>
      </c>
      <c r="B2393" t="str">
        <f>Profile!A2990</f>
        <v>SKU</v>
      </c>
      <c r="C2393">
        <f>Profile!AP2992</f>
        <v>0</v>
      </c>
      <c r="D2393" t="str">
        <f>IF(Profile!C2990="Profile",IF(Profile!A2992="ResourceRequirement","OK","XXX"),"XXX")</f>
        <v>XXX</v>
      </c>
    </row>
    <row r="2394" spans="1:4" x14ac:dyDescent="0.45">
      <c r="A2394">
        <f>ROW()</f>
        <v>2394</v>
      </c>
      <c r="B2394" t="str">
        <f>Profile!A2991</f>
        <v>SerialNumber</v>
      </c>
      <c r="C2394">
        <f>Profile!AP2995</f>
        <v>0</v>
      </c>
      <c r="D2394" t="str">
        <f>IF(Profile!C2991="Profile",IF(Profile!A2995="ResourceRequirement","OK","XXX"),"XXX")</f>
        <v>XXX</v>
      </c>
    </row>
    <row r="2395" spans="1:4" x14ac:dyDescent="0.45">
      <c r="A2395">
        <f>ROW()</f>
        <v>2395</v>
      </c>
      <c r="B2395" t="str">
        <f>Profile!A2992</f>
        <v>Status</v>
      </c>
      <c r="C2395">
        <f>Profile!AP2996</f>
        <v>0</v>
      </c>
      <c r="D2395" t="str">
        <f>IF(Profile!C2992="Profile",IF(Profile!A2996="ResourceRequirement","OK","XXX"),"XXX")</f>
        <v>XXX</v>
      </c>
    </row>
    <row r="2396" spans="1:4" x14ac:dyDescent="0.45">
      <c r="A2396">
        <f>ROW()</f>
        <v>2396</v>
      </c>
      <c r="B2396" t="str">
        <f>Profile!A2995</f>
        <v>PCIeDevice URIs</v>
      </c>
      <c r="C2396">
        <f>Profile!AP2997</f>
        <v>0</v>
      </c>
      <c r="D2396" t="str">
        <f>IF(Profile!C2995="Profile",IF(Profile!A2997="ResourceRequirement","OK","XXX"),"XXX")</f>
        <v>XXX</v>
      </c>
    </row>
    <row r="2397" spans="1:4" x14ac:dyDescent="0.45">
      <c r="A2397">
        <f>ROW()</f>
        <v>2397</v>
      </c>
      <c r="B2397" t="str">
        <f>Profile!A2996</f>
        <v>/redfish/v1/Chassis/{ChassisId}/PCIeDevices/{PCIeDeviceId}</v>
      </c>
      <c r="C2397">
        <f>Profile!AP2998</f>
        <v>0</v>
      </c>
      <c r="D2397" t="str">
        <f>IF(Profile!C2996="Profile",IF(Profile!A2998="ResourceRequirement","OK","XXX"),"XXX")</f>
        <v>XXX</v>
      </c>
    </row>
    <row r="2398" spans="1:4" x14ac:dyDescent="0.45">
      <c r="A2398">
        <f>ROW()</f>
        <v>2398</v>
      </c>
      <c r="B2398" t="str">
        <f>Profile!A2997</f>
        <v>/redfish/v1/Systems/{ComputerSystemId}/PCIeDevices/{PCIeDeviceId}</v>
      </c>
      <c r="C2398">
        <f>Profile!AP2999</f>
        <v>0</v>
      </c>
      <c r="D2398" t="str">
        <f>IF(Profile!C2997="Profile",IF(Profile!A2999="ResourceRequirement","OK","XXX"),"XXX")</f>
        <v>XXX</v>
      </c>
    </row>
    <row r="2399" spans="1:4" x14ac:dyDescent="0.45">
      <c r="A2399">
        <f>ROW()</f>
        <v>2399</v>
      </c>
      <c r="B2399">
        <f>Profile!A2998</f>
        <v>0</v>
      </c>
      <c r="C2399">
        <f>Profile!AP3000</f>
        <v>0</v>
      </c>
      <c r="D2399" t="str">
        <f>IF(Profile!C2998="Profile",IF(Profile!A3000="ResourceRequirement","OK","XXX"),"XXX")</f>
        <v>XXX</v>
      </c>
    </row>
    <row r="2400" spans="1:4" x14ac:dyDescent="0.45">
      <c r="A2400">
        <f>ROW()</f>
        <v>2400</v>
      </c>
      <c r="B2400" t="str">
        <f>Profile!A2999</f>
        <v>1.1.7.7               PCIeSlots</v>
      </c>
      <c r="C2400">
        <f>Profile!AP3001</f>
        <v>0</v>
      </c>
      <c r="D2400" t="str">
        <f>IF(Profile!C2999="Profile",IF(Profile!A3001="ResourceRequirement","OK","XXX"),"XXX")</f>
        <v>XXX</v>
      </c>
    </row>
    <row r="2401" spans="1:4" x14ac:dyDescent="0.45">
      <c r="A2401">
        <f>ROW()</f>
        <v>2401</v>
      </c>
      <c r="B2401" t="str">
        <f>Profile!A3000</f>
        <v>The PCIeSlot resource represents the PCIe slots attached to a system.</v>
      </c>
      <c r="C2401">
        <f>Profile!AP3002</f>
        <v>0</v>
      </c>
      <c r="D2401" t="str">
        <f>IF(Profile!C3000="Profile",IF(Profile!A3002="ResourceRequirement","OK","XXX"),"XXX")</f>
        <v>XXX</v>
      </c>
    </row>
    <row r="2402" spans="1:4" x14ac:dyDescent="0.45">
      <c r="A2402">
        <f>ROW()</f>
        <v>2402</v>
      </c>
      <c r="B2402" t="str">
        <f>Profile!A3001</f>
        <v>Table 73: O-PAS Profile Map for the Redfish PCIeSlots Resource</v>
      </c>
      <c r="C2402">
        <f>Profile!AP3003</f>
        <v>0</v>
      </c>
      <c r="D2402" t="str">
        <f>IF(Profile!C3001="Profile",IF(Profile!A3003="ResourceRequirement","OK","XXX"),"XXX")</f>
        <v>XXX</v>
      </c>
    </row>
    <row r="2403" spans="1:4" x14ac:dyDescent="0.45">
      <c r="A2403">
        <f>ROW()</f>
        <v>2403</v>
      </c>
      <c r="B2403" t="str">
        <f>Profile!A3002</f>
        <v>PCIeSlots (1.0.0)</v>
      </c>
      <c r="C2403">
        <f>Profile!AP3004</f>
        <v>0</v>
      </c>
      <c r="D2403" t="str">
        <f>IF(Profile!C3002="Profile",IF(Profile!A3004="ResourceRequirement","OK","XXX"),"XXX")</f>
        <v>XXX</v>
      </c>
    </row>
    <row r="2404" spans="1:4" x14ac:dyDescent="0.45">
      <c r="A2404">
        <f>ROW()</f>
        <v>2404</v>
      </c>
      <c r="B2404">
        <f>Profile!A3003</f>
        <v>0</v>
      </c>
      <c r="C2404">
        <f>Profile!AP3005</f>
        <v>0</v>
      </c>
      <c r="D2404" t="str">
        <f>IF(Profile!C3003="Profile",IF(Profile!A3005="ResourceRequirement","OK","XXX"),"XXX")</f>
        <v>XXX</v>
      </c>
    </row>
    <row r="2405" spans="1:4" x14ac:dyDescent="0.45">
      <c r="A2405">
        <f>ROW()</f>
        <v>2405</v>
      </c>
      <c r="B2405" t="str">
        <f>Profile!A3004</f>
        <v>PCIeSlots (1.1.0)</v>
      </c>
      <c r="C2405">
        <f>Profile!AP3006</f>
        <v>45</v>
      </c>
      <c r="D2405" t="str">
        <f>IF(Profile!C3004="Profile",IF(Profile!A3006="ResourceRequirement","OK","XXX"),"XXX")</f>
        <v>OK</v>
      </c>
    </row>
    <row r="2406" spans="1:4" x14ac:dyDescent="0.45">
      <c r="A2406">
        <f>ROW()</f>
        <v>2406</v>
      </c>
      <c r="B2406">
        <f>Profile!A3005</f>
        <v>0</v>
      </c>
      <c r="C2406">
        <f>Profile!AP3007</f>
        <v>0</v>
      </c>
      <c r="D2406" t="str">
        <f>IF(Profile!C3005="Profile",IF(Profile!A3007="ResourceRequirement","OK","XXX"),"XXX")</f>
        <v>XXX</v>
      </c>
    </row>
    <row r="2407" spans="1:4" x14ac:dyDescent="0.45">
      <c r="A2407">
        <f>ROW()</f>
        <v>2407</v>
      </c>
      <c r="B2407" t="str">
        <f>Profile!A3006</f>
        <v>ResourceRequirement</v>
      </c>
      <c r="C2407">
        <f>Profile!AP3008</f>
        <v>0</v>
      </c>
      <c r="D2407" t="str">
        <f>IF(Profile!C3006="Profile",IF(Profile!A3008="ResourceRequirement","OK","XXX"),"XXX")</f>
        <v>XXX</v>
      </c>
    </row>
    <row r="2408" spans="1:4" x14ac:dyDescent="0.45">
      <c r="A2408">
        <f>ROW()</f>
        <v>2408</v>
      </c>
      <c r="B2408" t="str">
        <f>Profile!A3007</f>
        <v>Resource MinVersion</v>
      </c>
      <c r="C2408">
        <f>Profile!AP3009</f>
        <v>0</v>
      </c>
      <c r="D2408" t="str">
        <f>IF(Profile!C3007="Profile",IF(Profile!A3009="ResourceRequirement","OK","XXX"),"XXX")</f>
        <v>XXX</v>
      </c>
    </row>
    <row r="2409" spans="1:4" x14ac:dyDescent="0.45">
      <c r="A2409">
        <f>ROW()</f>
        <v>2409</v>
      </c>
      <c r="B2409" t="str">
        <f>Profile!A3008</f>
        <v>Property</v>
      </c>
      <c r="C2409">
        <f>Profile!AP3010</f>
        <v>0</v>
      </c>
      <c r="D2409" t="str">
        <f>IF(Profile!C3008="Profile",IF(Profile!A3010="ResourceRequirement","OK","XXX"),"XXX")</f>
        <v>XXX</v>
      </c>
    </row>
    <row r="2410" spans="1:4" x14ac:dyDescent="0.45">
      <c r="A2410">
        <f>ROW()</f>
        <v>2410</v>
      </c>
      <c r="B2410" t="str">
        <f>Profile!A3009</f>
        <v>Actions</v>
      </c>
      <c r="C2410">
        <f>Profile!AP3011</f>
        <v>0</v>
      </c>
      <c r="D2410" t="str">
        <f>IF(Profile!C3009="Profile",IF(Profile!A3011="ResourceRequirement","OK","XXX"),"XXX")</f>
        <v>XXX</v>
      </c>
    </row>
    <row r="2411" spans="1:4" x14ac:dyDescent="0.45">
      <c r="A2411">
        <f>ROW()</f>
        <v>2411</v>
      </c>
      <c r="B2411" t="str">
        <f>Profile!A3010</f>
        <v>HotPluggable</v>
      </c>
      <c r="C2411">
        <f>Profile!AP3012</f>
        <v>0</v>
      </c>
      <c r="D2411" t="str">
        <f>IF(Profile!C3010="Profile",IF(Profile!A3012="ResourceRequirement","OK","XXX"),"XXX")</f>
        <v>XXX</v>
      </c>
    </row>
    <row r="2412" spans="1:4" x14ac:dyDescent="0.45">
      <c r="A2412">
        <f>ROW()</f>
        <v>2412</v>
      </c>
      <c r="B2412" t="str">
        <f>Profile!A3011</f>
        <v xml:space="preserve">Slots </v>
      </c>
      <c r="C2412">
        <f>Profile!AP3013</f>
        <v>0</v>
      </c>
      <c r="D2412" t="str">
        <f>IF(Profile!C3011="Profile",IF(Profile!A3013="ResourceRequirement","OK","XXX"),"XXX")</f>
        <v>XXX</v>
      </c>
    </row>
    <row r="2413" spans="1:4" x14ac:dyDescent="0.45">
      <c r="A2413">
        <f>ROW()</f>
        <v>2413</v>
      </c>
      <c r="B2413" t="str">
        <f>Profile!A3012</f>
        <v xml:space="preserve">   Lanes</v>
      </c>
      <c r="C2413">
        <f>Profile!AP3014</f>
        <v>0</v>
      </c>
      <c r="D2413" t="str">
        <f>IF(Profile!C3012="Profile",IF(Profile!A3014="ResourceRequirement","OK","XXX"),"XXX")</f>
        <v>XXX</v>
      </c>
    </row>
    <row r="2414" spans="1:4" x14ac:dyDescent="0.45">
      <c r="A2414">
        <f>ROW()</f>
        <v>2414</v>
      </c>
      <c r="B2414" t="str">
        <f>Profile!A3013</f>
        <v xml:space="preserve">   Links</v>
      </c>
      <c r="C2414">
        <f>Profile!AP3015</f>
        <v>0</v>
      </c>
      <c r="D2414" t="str">
        <f>IF(Profile!C3013="Profile",IF(Profile!A3015="ResourceRequirement","OK","XXX"),"XXX")</f>
        <v>XXX</v>
      </c>
    </row>
    <row r="2415" spans="1:4" x14ac:dyDescent="0.45">
      <c r="A2415">
        <f>ROW()</f>
        <v>2415</v>
      </c>
      <c r="B2415" t="str">
        <f>Profile!A3014</f>
        <v xml:space="preserve">      Oem</v>
      </c>
      <c r="C2415">
        <f>Profile!AP3016</f>
        <v>0</v>
      </c>
      <c r="D2415" t="str">
        <f>IF(Profile!C3014="Profile",IF(Profile!A3016="ResourceRequirement","OK","XXX"),"XXX")</f>
        <v>XXX</v>
      </c>
    </row>
    <row r="2416" spans="1:4" x14ac:dyDescent="0.45">
      <c r="A2416">
        <f>ROW()</f>
        <v>2416</v>
      </c>
      <c r="B2416" t="str">
        <f>Profile!A3015</f>
        <v xml:space="preserve">      PCIeDevice</v>
      </c>
      <c r="C2416">
        <f>Profile!AP3017</f>
        <v>0</v>
      </c>
      <c r="D2416" t="str">
        <f>IF(Profile!C3015="Profile",IF(Profile!A3017="ResourceRequirement","OK","XXX"),"XXX")</f>
        <v>XXX</v>
      </c>
    </row>
    <row r="2417" spans="1:4" x14ac:dyDescent="0.45">
      <c r="A2417">
        <f>ROW()</f>
        <v>2417</v>
      </c>
      <c r="B2417" t="str">
        <f>Profile!A3016</f>
        <v xml:space="preserve">         @odata.id</v>
      </c>
      <c r="C2417">
        <f>Profile!AP3018</f>
        <v>0</v>
      </c>
      <c r="D2417" t="str">
        <f>IF(Profile!C3016="Profile",IF(Profile!A3018="ResourceRequirement","OK","XXX"),"XXX")</f>
        <v>XXX</v>
      </c>
    </row>
    <row r="2418" spans="1:4" x14ac:dyDescent="0.45">
      <c r="A2418">
        <f>ROW()</f>
        <v>2418</v>
      </c>
      <c r="B2418" t="str">
        <f>Profile!A3017</f>
        <v xml:space="preserve">   Location</v>
      </c>
      <c r="C2418">
        <f>Profile!AP3019</f>
        <v>0</v>
      </c>
      <c r="D2418" t="str">
        <f>IF(Profile!C3017="Profile",IF(Profile!A3019="ResourceRequirement","OK","XXX"),"XXX")</f>
        <v>XXX</v>
      </c>
    </row>
    <row r="2419" spans="1:4" x14ac:dyDescent="0.45">
      <c r="A2419">
        <f>ROW()</f>
        <v>2419</v>
      </c>
      <c r="B2419" t="str">
        <f>Profile!A3018</f>
        <v xml:space="preserve">   Oem</v>
      </c>
      <c r="C2419">
        <f>Profile!AP3020</f>
        <v>0</v>
      </c>
      <c r="D2419" t="str">
        <f>IF(Profile!C3018="Profile",IF(Profile!A3020="ResourceRequirement","OK","XXX"),"XXX")</f>
        <v>XXX</v>
      </c>
    </row>
    <row r="2420" spans="1:4" x14ac:dyDescent="0.45">
      <c r="A2420">
        <f>ROW()</f>
        <v>2420</v>
      </c>
      <c r="B2420" t="str">
        <f>Profile!A3019</f>
        <v xml:space="preserve">   PCIeType</v>
      </c>
      <c r="C2420">
        <f>Profile!AP3021</f>
        <v>0</v>
      </c>
      <c r="D2420" t="str">
        <f>IF(Profile!C3019="Profile",IF(Profile!A3021="ResourceRequirement","OK","XXX"),"XXX")</f>
        <v>XXX</v>
      </c>
    </row>
    <row r="2421" spans="1:4" x14ac:dyDescent="0.45">
      <c r="A2421">
        <f>ROW()</f>
        <v>2421</v>
      </c>
      <c r="B2421" t="str">
        <f>Profile!A3020</f>
        <v xml:space="preserve">   SlotType</v>
      </c>
      <c r="C2421">
        <f>Profile!AP3024</f>
        <v>0</v>
      </c>
      <c r="D2421" t="str">
        <f>IF(Profile!C3020="Profile",IF(Profile!A3024="ResourceRequirement","OK","XXX"),"XXX")</f>
        <v>XXX</v>
      </c>
    </row>
    <row r="2422" spans="1:4" x14ac:dyDescent="0.45">
      <c r="A2422">
        <f>ROW()</f>
        <v>2422</v>
      </c>
      <c r="B2422" t="str">
        <f>Profile!A3021</f>
        <v xml:space="preserve">   Status</v>
      </c>
      <c r="C2422">
        <f>Profile!AP3025</f>
        <v>0</v>
      </c>
      <c r="D2422" t="str">
        <f>IF(Profile!C3021="Profile",IF(Profile!A3025="ResourceRequirement","OK","XXX"),"XXX")</f>
        <v>XXX</v>
      </c>
    </row>
    <row r="2423" spans="1:4" x14ac:dyDescent="0.45">
      <c r="A2423">
        <f>ROW()</f>
        <v>2423</v>
      </c>
      <c r="B2423" t="str">
        <f>Profile!A3024</f>
        <v>PCIeSlots URIs</v>
      </c>
      <c r="C2423">
        <f>Profile!AP3026</f>
        <v>0</v>
      </c>
      <c r="D2423" t="str">
        <f>IF(Profile!C3024="Profile",IF(Profile!A3026="ResourceRequirement","OK","XXX"),"XXX")</f>
        <v>XXX</v>
      </c>
    </row>
    <row r="2424" spans="1:4" x14ac:dyDescent="0.45">
      <c r="A2424">
        <f>ROW()</f>
        <v>2424</v>
      </c>
      <c r="B2424" t="str">
        <f>Profile!A3025</f>
        <v>/redfish/v1/Chassis/{ChassisId}/PCIeSlots</v>
      </c>
      <c r="C2424">
        <f>Profile!AP3027</f>
        <v>0</v>
      </c>
      <c r="D2424" t="str">
        <f>IF(Profile!C3025="Profile",IF(Profile!A3027="ResourceRequirement","OK","XXX"),"XXX")</f>
        <v>XXX</v>
      </c>
    </row>
    <row r="2425" spans="1:4" x14ac:dyDescent="0.45">
      <c r="A2425">
        <f>ROW()</f>
        <v>2425</v>
      </c>
      <c r="B2425">
        <f>Profile!A3026</f>
        <v>0</v>
      </c>
      <c r="C2425">
        <f>Profile!AP3028</f>
        <v>0</v>
      </c>
      <c r="D2425" t="str">
        <f>IF(Profile!C3026="Profile",IF(Profile!A3028="ResourceRequirement","OK","XXX"),"XXX")</f>
        <v>XXX</v>
      </c>
    </row>
    <row r="2426" spans="1:4" x14ac:dyDescent="0.45">
      <c r="A2426">
        <f>ROW()</f>
        <v>2426</v>
      </c>
      <c r="B2426" t="str">
        <f>Profile!A3027</f>
        <v>1.1.7.6               AccelerationFunction</v>
      </c>
      <c r="C2426">
        <f>Profile!AP3029</f>
        <v>0</v>
      </c>
      <c r="D2426" t="str">
        <f>IF(Profile!C3027="Profile",IF(Profile!A3029="ResourceRequirement","OK","XXX"),"XXX")</f>
        <v>XXX</v>
      </c>
    </row>
    <row r="2427" spans="1:4" x14ac:dyDescent="0.45">
      <c r="A2427">
        <f>ROW()</f>
        <v>2427</v>
      </c>
      <c r="B2427" t="str">
        <f>Profile!A3028</f>
        <v>The AccelerationFunction resource represents the properties of a AccelerationFunction attached to a system.</v>
      </c>
      <c r="C2427">
        <f>Profile!AP3030</f>
        <v>0</v>
      </c>
      <c r="D2427" t="str">
        <f>IF(Profile!C3028="Profile",IF(Profile!A3030="ResourceRequirement","OK","XXX"),"XXX")</f>
        <v>XXX</v>
      </c>
    </row>
    <row r="2428" spans="1:4" x14ac:dyDescent="0.45">
      <c r="A2428">
        <f>ROW()</f>
        <v>2428</v>
      </c>
      <c r="B2428" t="str">
        <f>Profile!A3029</f>
        <v>Table 72: O-PAS Profile Map for the Redfish AccelerationFunction Resource</v>
      </c>
      <c r="C2428">
        <f>Profile!AP3031</f>
        <v>0</v>
      </c>
      <c r="D2428" t="str">
        <f>IF(Profile!C3029="Profile",IF(Profile!A3031="ResourceRequirement","OK","XXX"),"XXX")</f>
        <v>XXX</v>
      </c>
    </row>
    <row r="2429" spans="1:4" x14ac:dyDescent="0.45">
      <c r="A2429">
        <f>ROW()</f>
        <v>2429</v>
      </c>
      <c r="B2429" t="str">
        <f>Profile!A3030</f>
        <v>AccelerationFunction (1.0.1)</v>
      </c>
      <c r="C2429">
        <f>Profile!AP3032</f>
        <v>1</v>
      </c>
      <c r="D2429" t="str">
        <f>IF(Profile!C3030="Profile",IF(Profile!A3032="ResourceRequirement","OK","XXX"),"XXX")</f>
        <v>OK</v>
      </c>
    </row>
    <row r="2430" spans="1:4" x14ac:dyDescent="0.45">
      <c r="A2430">
        <f>ROW()</f>
        <v>2430</v>
      </c>
      <c r="B2430">
        <f>Profile!A3031</f>
        <v>0</v>
      </c>
      <c r="C2430">
        <f>Profile!AP3033</f>
        <v>0</v>
      </c>
      <c r="D2430" t="str">
        <f>IF(Profile!C3031="Profile",IF(Profile!A3033="ResourceRequirement","OK","XXX"),"XXX")</f>
        <v>XXX</v>
      </c>
    </row>
    <row r="2431" spans="1:4" x14ac:dyDescent="0.45">
      <c r="A2431">
        <f>ROW()</f>
        <v>2431</v>
      </c>
      <c r="B2431" t="str">
        <f>Profile!A3032</f>
        <v>ResourceRequirement</v>
      </c>
      <c r="C2431">
        <f>Profile!AP3034</f>
        <v>0</v>
      </c>
      <c r="D2431" t="str">
        <f>IF(Profile!C3032="Profile",IF(Profile!A3034="ResourceRequirement","OK","XXX"),"XXX")</f>
        <v>XXX</v>
      </c>
    </row>
    <row r="2432" spans="1:4" x14ac:dyDescent="0.45">
      <c r="A2432">
        <f>ROW()</f>
        <v>2432</v>
      </c>
      <c r="B2432" t="str">
        <f>Profile!A3033</f>
        <v>Resource MinVersion</v>
      </c>
      <c r="C2432">
        <f>Profile!AP3035</f>
        <v>0</v>
      </c>
      <c r="D2432" t="str">
        <f>IF(Profile!C3033="Profile",IF(Profile!A3035="ResourceRequirement","OK","XXX"),"XXX")</f>
        <v>XXX</v>
      </c>
    </row>
    <row r="2433" spans="1:4" x14ac:dyDescent="0.45">
      <c r="A2433">
        <f>ROW()</f>
        <v>2433</v>
      </c>
      <c r="B2433" t="str">
        <f>Profile!A3034</f>
        <v>Property</v>
      </c>
      <c r="C2433">
        <f>Profile!AP3036</f>
        <v>0</v>
      </c>
      <c r="D2433" t="str">
        <f>IF(Profile!C3034="Profile",IF(Profile!A3036="ResourceRequirement","OK","XXX"),"XXX")</f>
        <v>XXX</v>
      </c>
    </row>
    <row r="2434" spans="1:4" x14ac:dyDescent="0.45">
      <c r="A2434">
        <f>ROW()</f>
        <v>2434</v>
      </c>
      <c r="B2434" t="str">
        <f>Profile!A3035</f>
        <v>AccelerationFunctionType</v>
      </c>
      <c r="C2434">
        <f>Profile!AP3037</f>
        <v>0</v>
      </c>
      <c r="D2434" t="str">
        <f>IF(Profile!C3035="Profile",IF(Profile!A3037="ResourceRequirement","OK","XXX"),"XXX")</f>
        <v>XXX</v>
      </c>
    </row>
    <row r="2435" spans="1:4" x14ac:dyDescent="0.45">
      <c r="A2435">
        <f>ROW()</f>
        <v>2435</v>
      </c>
      <c r="B2435" t="str">
        <f>Profile!A3036</f>
        <v>FpgaReconfigurationSlots</v>
      </c>
      <c r="C2435">
        <f>Profile!AP3038</f>
        <v>0</v>
      </c>
      <c r="D2435" t="str">
        <f>IF(Profile!C3036="Profile",IF(Profile!A3038="ResourceRequirement","OK","XXX"),"XXX")</f>
        <v>XXX</v>
      </c>
    </row>
    <row r="2436" spans="1:4" x14ac:dyDescent="0.45">
      <c r="A2436">
        <f>ROW()</f>
        <v>2436</v>
      </c>
      <c r="B2436" t="str">
        <f>Profile!A3037</f>
        <v>Links</v>
      </c>
      <c r="C2436">
        <f>Profile!AP3039</f>
        <v>0</v>
      </c>
      <c r="D2436" t="str">
        <f>IF(Profile!C3037="Profile",IF(Profile!A3039="ResourceRequirement","OK","XXX"),"XXX")</f>
        <v>XXX</v>
      </c>
    </row>
    <row r="2437" spans="1:4" x14ac:dyDescent="0.45">
      <c r="A2437">
        <f>ROW()</f>
        <v>2437</v>
      </c>
      <c r="B2437" t="str">
        <f>Profile!A3038</f>
        <v xml:space="preserve">   Endpoints</v>
      </c>
      <c r="C2437">
        <f>Profile!AP3040</f>
        <v>0</v>
      </c>
      <c r="D2437" t="str">
        <f>IF(Profile!C3038="Profile",IF(Profile!A3040="ResourceRequirement","OK","XXX"),"XXX")</f>
        <v>XXX</v>
      </c>
    </row>
    <row r="2438" spans="1:4" x14ac:dyDescent="0.45">
      <c r="A2438">
        <f>ROW()</f>
        <v>2438</v>
      </c>
      <c r="B2438" t="str">
        <f>Profile!A3039</f>
        <v xml:space="preserve">      @odata.id</v>
      </c>
      <c r="C2438">
        <f>Profile!AP3041</f>
        <v>0</v>
      </c>
      <c r="D2438" t="str">
        <f>IF(Profile!C3039="Profile",IF(Profile!A3041="ResourceRequirement","OK","XXX"),"XXX")</f>
        <v>XXX</v>
      </c>
    </row>
    <row r="2439" spans="1:4" x14ac:dyDescent="0.45">
      <c r="A2439">
        <f>ROW()</f>
        <v>2439</v>
      </c>
      <c r="B2439" t="str">
        <f>Profile!A3040</f>
        <v xml:space="preserve">   Oem</v>
      </c>
      <c r="C2439">
        <f>Profile!AP3042</f>
        <v>0</v>
      </c>
      <c r="D2439" t="str">
        <f>IF(Profile!C3040="Profile",IF(Profile!A3042="ResourceRequirement","OK","XXX"),"XXX")</f>
        <v>XXX</v>
      </c>
    </row>
    <row r="2440" spans="1:4" x14ac:dyDescent="0.45">
      <c r="A2440">
        <f>ROW()</f>
        <v>2440</v>
      </c>
      <c r="B2440" t="str">
        <f>Profile!A3041</f>
        <v xml:space="preserve">   PCIeFunctions</v>
      </c>
      <c r="C2440">
        <f>Profile!AP3043</f>
        <v>0</v>
      </c>
      <c r="D2440" t="str">
        <f>IF(Profile!C3041="Profile",IF(Profile!A3043="ResourceRequirement","OK","XXX"),"XXX")</f>
        <v>XXX</v>
      </c>
    </row>
    <row r="2441" spans="1:4" x14ac:dyDescent="0.45">
      <c r="A2441">
        <f>ROW()</f>
        <v>2441</v>
      </c>
      <c r="B2441" t="str">
        <f>Profile!A3042</f>
        <v xml:space="preserve">      @odata.id</v>
      </c>
      <c r="C2441">
        <f>Profile!AP3044</f>
        <v>0</v>
      </c>
      <c r="D2441" t="str">
        <f>IF(Profile!C3042="Profile",IF(Profile!A3044="ResourceRequirement","OK","XXX"),"XXX")</f>
        <v>XXX</v>
      </c>
    </row>
    <row r="2442" spans="1:4" x14ac:dyDescent="0.45">
      <c r="A2442">
        <f>ROW()</f>
        <v>2442</v>
      </c>
      <c r="B2442" t="str">
        <f>Profile!A3043</f>
        <v>Manufacturer</v>
      </c>
      <c r="C2442">
        <f>Profile!AP3045</f>
        <v>0</v>
      </c>
      <c r="D2442" t="str">
        <f>IF(Profile!C3043="Profile",IF(Profile!A3045="ResourceRequirement","OK","XXX"),"XXX")</f>
        <v>XXX</v>
      </c>
    </row>
    <row r="2443" spans="1:4" x14ac:dyDescent="0.45">
      <c r="A2443">
        <f>ROW()</f>
        <v>2443</v>
      </c>
      <c r="B2443" t="str">
        <f>Profile!A3044</f>
        <v>PowerWatts</v>
      </c>
      <c r="C2443">
        <f>Profile!AP3048</f>
        <v>0</v>
      </c>
      <c r="D2443" t="str">
        <f>IF(Profile!C3044="Profile",IF(Profile!A3048="ResourceRequirement","OK","XXX"),"XXX")</f>
        <v>XXX</v>
      </c>
    </row>
    <row r="2444" spans="1:4" x14ac:dyDescent="0.45">
      <c r="A2444">
        <f>ROW()</f>
        <v>2444</v>
      </c>
      <c r="B2444" t="str">
        <f>Profile!A3045</f>
        <v>Status</v>
      </c>
      <c r="C2444">
        <f>Profile!AP3049</f>
        <v>0</v>
      </c>
      <c r="D2444" t="str">
        <f>IF(Profile!C3045="Profile",IF(Profile!A3049="ResourceRequirement","OK","XXX"),"XXX")</f>
        <v>XXX</v>
      </c>
    </row>
    <row r="2445" spans="1:4" x14ac:dyDescent="0.45">
      <c r="A2445">
        <f>ROW()</f>
        <v>2445</v>
      </c>
      <c r="B2445" t="str">
        <f>Profile!A3048</f>
        <v>UUID</v>
      </c>
      <c r="C2445">
        <f>Profile!AP3050</f>
        <v>0</v>
      </c>
      <c r="D2445" t="str">
        <f>IF(Profile!C3048="Profile",IF(Profile!A3050="ResourceRequirement","OK","XXX"),"XXX")</f>
        <v>XXX</v>
      </c>
    </row>
    <row r="2446" spans="1:4" x14ac:dyDescent="0.45">
      <c r="A2446">
        <f>ROW()</f>
        <v>2446</v>
      </c>
      <c r="B2446" t="str">
        <f>Profile!A3049</f>
        <v>Version</v>
      </c>
      <c r="C2446">
        <f>Profile!AP3051</f>
        <v>0</v>
      </c>
      <c r="D2446" t="str">
        <f>IF(Profile!C3049="Profile",IF(Profile!A3051="ResourceRequirement","OK","XXX"),"XXX")</f>
        <v>XXX</v>
      </c>
    </row>
    <row r="2447" spans="1:4" x14ac:dyDescent="0.45">
      <c r="A2447">
        <f>ROW()</f>
        <v>2447</v>
      </c>
      <c r="B2447" t="str">
        <f>Profile!A3050</f>
        <v>AccelerationFunction URIs</v>
      </c>
      <c r="C2447">
        <f>Profile!AP3052</f>
        <v>0</v>
      </c>
      <c r="D2447" t="str">
        <f>IF(Profile!C3050="Profile",IF(Profile!A3052="ResourceRequirement","OK","XXX"),"XXX")</f>
        <v>XXX</v>
      </c>
    </row>
    <row r="2448" spans="1:4" x14ac:dyDescent="0.45">
      <c r="A2448">
        <f>ROW()</f>
        <v>2448</v>
      </c>
      <c r="B2448" t="str">
        <f>Profile!A3051</f>
        <v>/redfish/v1/Systems/{ComputerSystemId}/Processors/{ProcessorId}/AccelerationFunctions/{AccelerationFunctionId}</v>
      </c>
      <c r="C2448">
        <f>Profile!AP3053</f>
        <v>0</v>
      </c>
      <c r="D2448" t="str">
        <f>IF(Profile!C3051="Profile",IF(Profile!A3053="ResourceRequirement","OK","XXX"),"XXX")</f>
        <v>XXX</v>
      </c>
    </row>
    <row r="2449" spans="1:4" x14ac:dyDescent="0.45">
      <c r="A2449">
        <f>ROW()</f>
        <v>2449</v>
      </c>
      <c r="B2449">
        <f>Profile!A3052</f>
        <v>0</v>
      </c>
      <c r="C2449">
        <f>Profile!AP3054</f>
        <v>0</v>
      </c>
      <c r="D2449" t="str">
        <f>IF(Profile!C3052="Profile",IF(Profile!A3054="ResourceRequirement","OK","XXX"),"XXX")</f>
        <v>XXX</v>
      </c>
    </row>
    <row r="2450" spans="1:4" x14ac:dyDescent="0.45">
      <c r="A2450">
        <f>ROW()</f>
        <v>2450</v>
      </c>
      <c r="B2450" t="str">
        <f>Profile!A3053</f>
        <v>1.1.7.8               Power</v>
      </c>
      <c r="C2450">
        <f>Profile!AP3055</f>
        <v>0</v>
      </c>
      <c r="D2450" t="str">
        <f>IF(Profile!C3053="Profile",IF(Profile!A3055="ResourceRequirement","OK","XXX"),"XXX")</f>
        <v>XXX</v>
      </c>
    </row>
    <row r="2451" spans="1:4" x14ac:dyDescent="0.45">
      <c r="A2451">
        <f>ROW()</f>
        <v>2451</v>
      </c>
      <c r="B2451" t="str">
        <f>Profile!A3054</f>
        <v>The Power resource represents the properties for power consumption and power limiting.</v>
      </c>
      <c r="C2451">
        <f>Profile!AP3056</f>
        <v>0</v>
      </c>
      <c r="D2451" t="str">
        <f>IF(Profile!C3054="Profile",IF(Profile!A3056="ResourceRequirement","OK","XXX"),"XXX")</f>
        <v>XXX</v>
      </c>
    </row>
    <row r="2452" spans="1:4" x14ac:dyDescent="0.45">
      <c r="A2452">
        <f>ROW()</f>
        <v>2452</v>
      </c>
      <c r="B2452" t="str">
        <f>Profile!A3055</f>
        <v>Table 74: O-PAS Profile Map for the Redfish Power Resource</v>
      </c>
      <c r="C2452">
        <f>Profile!AP3057</f>
        <v>0</v>
      </c>
      <c r="D2452" t="str">
        <f>IF(Profile!C3055="Profile",IF(Profile!A3057="ResourceRequirement","OK","XXX"),"XXX")</f>
        <v>XXX</v>
      </c>
    </row>
    <row r="2453" spans="1:4" x14ac:dyDescent="0.45">
      <c r="A2453">
        <f>ROW()</f>
        <v>2453</v>
      </c>
      <c r="B2453" t="str">
        <f>Profile!A3056</f>
        <v>Power (1.5.1)</v>
      </c>
      <c r="C2453">
        <f>Profile!AP3058</f>
        <v>0</v>
      </c>
      <c r="D2453" t="str">
        <f>IF(Profile!C3056="Profile",IF(Profile!A3058="ResourceRequirement","OK","XXX"),"XXX")</f>
        <v>XXX</v>
      </c>
    </row>
    <row r="2454" spans="1:4" x14ac:dyDescent="0.45">
      <c r="A2454">
        <f>ROW()</f>
        <v>2454</v>
      </c>
      <c r="B2454">
        <f>Profile!A3057</f>
        <v>0</v>
      </c>
      <c r="C2454">
        <f>Profile!AP3059</f>
        <v>0</v>
      </c>
      <c r="D2454" t="str">
        <f>IF(Profile!C3057="Profile",IF(Profile!A3059="ResourceRequirement","OK","XXX"),"XXX")</f>
        <v>XXX</v>
      </c>
    </row>
    <row r="2455" spans="1:4" x14ac:dyDescent="0.45">
      <c r="A2455">
        <f>ROW()</f>
        <v>2455</v>
      </c>
      <c r="B2455" t="str">
        <f>Profile!A3058</f>
        <v>Power (1.5.3)</v>
      </c>
      <c r="C2455">
        <f>Profile!AP3060</f>
        <v>46</v>
      </c>
      <c r="D2455" t="str">
        <f>IF(Profile!C3058="Profile",IF(Profile!A3060="ResourceRequirement","OK","XXX"),"XXX")</f>
        <v>OK</v>
      </c>
    </row>
    <row r="2456" spans="1:4" x14ac:dyDescent="0.45">
      <c r="A2456">
        <f>ROW()</f>
        <v>2456</v>
      </c>
      <c r="B2456">
        <f>Profile!A3059</f>
        <v>0</v>
      </c>
      <c r="C2456">
        <f>Profile!AP3061</f>
        <v>0</v>
      </c>
      <c r="D2456" t="str">
        <f>IF(Profile!C3059="Profile",IF(Profile!A3061="ResourceRequirement","OK","XXX"),"XXX")</f>
        <v>XXX</v>
      </c>
    </row>
    <row r="2457" spans="1:4" x14ac:dyDescent="0.45">
      <c r="A2457">
        <f>ROW()</f>
        <v>2457</v>
      </c>
      <c r="B2457" t="str">
        <f>Profile!A3060</f>
        <v>ResourceRequirement</v>
      </c>
      <c r="C2457">
        <f>Profile!AP3062</f>
        <v>0</v>
      </c>
      <c r="D2457" t="str">
        <f>IF(Profile!C3060="Profile",IF(Profile!A3062="ResourceRequirement","OK","XXX"),"XXX")</f>
        <v>XXX</v>
      </c>
    </row>
    <row r="2458" spans="1:4" x14ac:dyDescent="0.45">
      <c r="A2458">
        <f>ROW()</f>
        <v>2458</v>
      </c>
      <c r="B2458" t="str">
        <f>Profile!A3061</f>
        <v>Resource MinVersion</v>
      </c>
      <c r="C2458">
        <f>Profile!AP3063</f>
        <v>0</v>
      </c>
      <c r="D2458" t="str">
        <f>IF(Profile!C3061="Profile",IF(Profile!A3063="ResourceRequirement","OK","XXX"),"XXX")</f>
        <v>XXX</v>
      </c>
    </row>
    <row r="2459" spans="1:4" x14ac:dyDescent="0.45">
      <c r="A2459">
        <f>ROW()</f>
        <v>2459</v>
      </c>
      <c r="B2459" t="str">
        <f>Profile!A3062</f>
        <v>Property</v>
      </c>
      <c r="C2459">
        <f>Profile!AP3064</f>
        <v>0</v>
      </c>
      <c r="D2459" t="str">
        <f>IF(Profile!C3062="Profile",IF(Profile!A3064="ResourceRequirement","OK","XXX"),"XXX")</f>
        <v>XXX</v>
      </c>
    </row>
    <row r="2460" spans="1:4" x14ac:dyDescent="0.45">
      <c r="A2460">
        <f>ROW()</f>
        <v>2460</v>
      </c>
      <c r="B2460" t="str">
        <f>Profile!A3063</f>
        <v>Actions</v>
      </c>
      <c r="C2460">
        <f>Profile!AP3065</f>
        <v>0</v>
      </c>
      <c r="D2460" t="str">
        <f>IF(Profile!C3063="Profile",IF(Profile!A3065="ResourceRequirement","OK","XXX"),"XXX")</f>
        <v>XXX</v>
      </c>
    </row>
    <row r="2461" spans="1:4" x14ac:dyDescent="0.45">
      <c r="A2461">
        <f>ROW()</f>
        <v>2461</v>
      </c>
      <c r="B2461" t="str">
        <f>Profile!A3064</f>
        <v>PowerControl</v>
      </c>
      <c r="C2461">
        <f>Profile!AP3066</f>
        <v>0</v>
      </c>
      <c r="D2461" t="str">
        <f>IF(Profile!C3064="Profile",IF(Profile!A3066="ResourceRequirement","OK","XXX"),"XXX")</f>
        <v>XXX</v>
      </c>
    </row>
    <row r="2462" spans="1:4" x14ac:dyDescent="0.45">
      <c r="A2462">
        <f>ROW()</f>
        <v>2462</v>
      </c>
      <c r="B2462" t="str">
        <f>Profile!A3065</f>
        <v xml:space="preserve">   @odata.id</v>
      </c>
      <c r="C2462">
        <f>Profile!AP3067</f>
        <v>0</v>
      </c>
      <c r="D2462" t="str">
        <f>IF(Profile!C3065="Profile",IF(Profile!A3067="ResourceRequirement","OK","XXX"),"XXX")</f>
        <v>XXX</v>
      </c>
    </row>
    <row r="2463" spans="1:4" x14ac:dyDescent="0.45">
      <c r="A2463">
        <f>ROW()</f>
        <v>2463</v>
      </c>
      <c r="B2463" t="str">
        <f>Profile!A3066</f>
        <v xml:space="preserve">   Actions</v>
      </c>
      <c r="C2463">
        <f>Profile!AP3068</f>
        <v>0</v>
      </c>
      <c r="D2463" t="str">
        <f>IF(Profile!C3066="Profile",IF(Profile!A3068="ResourceRequirement","OK","XXX"),"XXX")</f>
        <v>XXX</v>
      </c>
    </row>
    <row r="2464" spans="1:4" x14ac:dyDescent="0.45">
      <c r="A2464">
        <f>ROW()</f>
        <v>2464</v>
      </c>
      <c r="B2464" t="str">
        <f>Profile!A3067</f>
        <v xml:space="preserve">   MemberId</v>
      </c>
      <c r="C2464">
        <f>Profile!AP3069</f>
        <v>0</v>
      </c>
      <c r="D2464" t="str">
        <f>IF(Profile!C3067="Profile",IF(Profile!A3069="ResourceRequirement","OK","XXX"),"XXX")</f>
        <v>XXX</v>
      </c>
    </row>
    <row r="2465" spans="1:4" x14ac:dyDescent="0.45">
      <c r="A2465">
        <f>ROW()</f>
        <v>2465</v>
      </c>
      <c r="B2465" t="str">
        <f>Profile!A3068</f>
        <v xml:space="preserve">   Name</v>
      </c>
      <c r="C2465">
        <f>Profile!AP3070</f>
        <v>0</v>
      </c>
      <c r="D2465" t="str">
        <f>IF(Profile!C3068="Profile",IF(Profile!A3070="ResourceRequirement","OK","XXX"),"XXX")</f>
        <v>XXX</v>
      </c>
    </row>
    <row r="2466" spans="1:4" x14ac:dyDescent="0.45">
      <c r="A2466">
        <f>ROW()</f>
        <v>2466</v>
      </c>
      <c r="B2466" t="str">
        <f>Profile!A3069</f>
        <v xml:space="preserve">   Oem</v>
      </c>
      <c r="C2466">
        <f>Profile!AP3071</f>
        <v>0</v>
      </c>
      <c r="D2466" t="str">
        <f>IF(Profile!C3069="Profile",IF(Profile!A3071="ResourceRequirement","OK","XXX"),"XXX")</f>
        <v>XXX</v>
      </c>
    </row>
    <row r="2467" spans="1:4" x14ac:dyDescent="0.45">
      <c r="A2467">
        <f>ROW()</f>
        <v>2467</v>
      </c>
      <c r="B2467" t="str">
        <f>Profile!A3070</f>
        <v xml:space="preserve">   PhysicalContext</v>
      </c>
      <c r="C2467">
        <f>Profile!AP3072</f>
        <v>0</v>
      </c>
      <c r="D2467" t="str">
        <f>IF(Profile!C3070="Profile",IF(Profile!A3072="ResourceRequirement","OK","XXX"),"XXX")</f>
        <v>XXX</v>
      </c>
    </row>
    <row r="2468" spans="1:4" x14ac:dyDescent="0.45">
      <c r="A2468">
        <f>ROW()</f>
        <v>2468</v>
      </c>
      <c r="B2468" t="str">
        <f>Profile!A3071</f>
        <v xml:space="preserve">   PowerAllocatedWatts</v>
      </c>
      <c r="C2468">
        <f>Profile!AP3073</f>
        <v>0</v>
      </c>
      <c r="D2468" t="str">
        <f>IF(Profile!C3071="Profile",IF(Profile!A3073="ResourceRequirement","OK","XXX"),"XXX")</f>
        <v>XXX</v>
      </c>
    </row>
    <row r="2469" spans="1:4" x14ac:dyDescent="0.45">
      <c r="A2469">
        <f>ROW()</f>
        <v>2469</v>
      </c>
      <c r="B2469" t="str">
        <f>Profile!A3072</f>
        <v xml:space="preserve">   PowerAvailableWatts</v>
      </c>
      <c r="C2469">
        <f>Profile!AP3074</f>
        <v>0</v>
      </c>
      <c r="D2469" t="str">
        <f>IF(Profile!C3072="Profile",IF(Profile!A3074="ResourceRequirement","OK","XXX"),"XXX")</f>
        <v>XXX</v>
      </c>
    </row>
    <row r="2470" spans="1:4" x14ac:dyDescent="0.45">
      <c r="A2470">
        <f>ROW()</f>
        <v>2470</v>
      </c>
      <c r="B2470" t="str">
        <f>Profile!A3073</f>
        <v xml:space="preserve">   PowerCapacityWatts</v>
      </c>
      <c r="C2470">
        <f>Profile!AP3075</f>
        <v>0</v>
      </c>
      <c r="D2470" t="str">
        <f>IF(Profile!C3073="Profile",IF(Profile!A3075="ResourceRequirement","OK","XXX"),"XXX")</f>
        <v>XXX</v>
      </c>
    </row>
    <row r="2471" spans="1:4" x14ac:dyDescent="0.45">
      <c r="A2471">
        <f>ROW()</f>
        <v>2471</v>
      </c>
      <c r="B2471" t="str">
        <f>Profile!A3074</f>
        <v xml:space="preserve">   PowerConsumedWatts</v>
      </c>
      <c r="C2471">
        <f>Profile!AP3076</f>
        <v>0</v>
      </c>
      <c r="D2471" t="str">
        <f>IF(Profile!C3074="Profile",IF(Profile!A3076="ResourceRequirement","OK","XXX"),"XXX")</f>
        <v>XXX</v>
      </c>
    </row>
    <row r="2472" spans="1:4" x14ac:dyDescent="0.45">
      <c r="A2472">
        <f>ROW()</f>
        <v>2472</v>
      </c>
      <c r="B2472" t="str">
        <f>Profile!A3075</f>
        <v xml:space="preserve">   PowerLimit</v>
      </c>
      <c r="C2472">
        <f>Profile!AP3077</f>
        <v>0</v>
      </c>
      <c r="D2472" t="str">
        <f>IF(Profile!C3075="Profile",IF(Profile!A3077="ResourceRequirement","OK","XXX"),"XXX")</f>
        <v>XXX</v>
      </c>
    </row>
    <row r="2473" spans="1:4" x14ac:dyDescent="0.45">
      <c r="A2473">
        <f>ROW()</f>
        <v>2473</v>
      </c>
      <c r="B2473" t="str">
        <f>Profile!A3076</f>
        <v xml:space="preserve">      CorrectionInMs</v>
      </c>
      <c r="C2473">
        <f>Profile!AP3078</f>
        <v>0</v>
      </c>
      <c r="D2473" t="str">
        <f>IF(Profile!C3076="Profile",IF(Profile!A3078="ResourceRequirement","OK","XXX"),"XXX")</f>
        <v>XXX</v>
      </c>
    </row>
    <row r="2474" spans="1:4" x14ac:dyDescent="0.45">
      <c r="A2474">
        <f>ROW()</f>
        <v>2474</v>
      </c>
      <c r="B2474" t="str">
        <f>Profile!A3077</f>
        <v xml:space="preserve">      LimitException</v>
      </c>
      <c r="C2474">
        <f>Profile!AP3079</f>
        <v>0</v>
      </c>
      <c r="D2474" t="str">
        <f>IF(Profile!C3077="Profile",IF(Profile!A3079="ResourceRequirement","OK","XXX"),"XXX")</f>
        <v>XXX</v>
      </c>
    </row>
    <row r="2475" spans="1:4" x14ac:dyDescent="0.45">
      <c r="A2475">
        <f>ROW()</f>
        <v>2475</v>
      </c>
      <c r="B2475" t="str">
        <f>Profile!A3078</f>
        <v xml:space="preserve">      LimitInWatts</v>
      </c>
      <c r="C2475">
        <f>Profile!AP3080</f>
        <v>0</v>
      </c>
      <c r="D2475" t="str">
        <f>IF(Profile!C3078="Profile",IF(Profile!A3080="ResourceRequirement","OK","XXX"),"XXX")</f>
        <v>XXX</v>
      </c>
    </row>
    <row r="2476" spans="1:4" x14ac:dyDescent="0.45">
      <c r="A2476">
        <f>ROW()</f>
        <v>2476</v>
      </c>
      <c r="B2476" t="str">
        <f>Profile!A3079</f>
        <v xml:space="preserve">   PowerMetrics</v>
      </c>
      <c r="C2476">
        <f>Profile!AP3081</f>
        <v>0</v>
      </c>
      <c r="D2476" t="str">
        <f>IF(Profile!C3079="Profile",IF(Profile!A3081="ResourceRequirement","OK","XXX"),"XXX")</f>
        <v>XXX</v>
      </c>
    </row>
    <row r="2477" spans="1:4" x14ac:dyDescent="0.45">
      <c r="A2477">
        <f>ROW()</f>
        <v>2477</v>
      </c>
      <c r="B2477" t="str">
        <f>Profile!A3080</f>
        <v xml:space="preserve">      AverageConsumedWatts</v>
      </c>
      <c r="C2477">
        <f>Profile!AP3082</f>
        <v>0</v>
      </c>
      <c r="D2477" t="str">
        <f>IF(Profile!C3080="Profile",IF(Profile!A3082="ResourceRequirement","OK","XXX"),"XXX")</f>
        <v>XXX</v>
      </c>
    </row>
    <row r="2478" spans="1:4" x14ac:dyDescent="0.45">
      <c r="A2478">
        <f>ROW()</f>
        <v>2478</v>
      </c>
      <c r="B2478" t="str">
        <f>Profile!A3081</f>
        <v xml:space="preserve">      IntervalInMin</v>
      </c>
      <c r="C2478">
        <f>Profile!AP3083</f>
        <v>0</v>
      </c>
      <c r="D2478" t="str">
        <f>IF(Profile!C3081="Profile",IF(Profile!A3083="ResourceRequirement","OK","XXX"),"XXX")</f>
        <v>XXX</v>
      </c>
    </row>
    <row r="2479" spans="1:4" x14ac:dyDescent="0.45">
      <c r="A2479">
        <f>ROW()</f>
        <v>2479</v>
      </c>
      <c r="B2479" t="str">
        <f>Profile!A3082</f>
        <v xml:space="preserve">      MaxConsumedWatts</v>
      </c>
      <c r="C2479">
        <f>Profile!AP3084</f>
        <v>0</v>
      </c>
      <c r="D2479" t="str">
        <f>IF(Profile!C3082="Profile",IF(Profile!A3084="ResourceRequirement","OK","XXX"),"XXX")</f>
        <v>XXX</v>
      </c>
    </row>
    <row r="2480" spans="1:4" x14ac:dyDescent="0.45">
      <c r="A2480">
        <f>ROW()</f>
        <v>2480</v>
      </c>
      <c r="B2480" t="str">
        <f>Profile!A3083</f>
        <v xml:space="preserve">      MinConsumedWatts</v>
      </c>
      <c r="C2480">
        <f>Profile!AP3085</f>
        <v>0</v>
      </c>
      <c r="D2480" t="str">
        <f>IF(Profile!C3083="Profile",IF(Profile!A3085="ResourceRequirement","OK","XXX"),"XXX")</f>
        <v>XXX</v>
      </c>
    </row>
    <row r="2481" spans="1:4" x14ac:dyDescent="0.45">
      <c r="A2481">
        <f>ROW()</f>
        <v>2481</v>
      </c>
      <c r="B2481" t="str">
        <f>Profile!A3084</f>
        <v xml:space="preserve">   PowerRequestedWatts</v>
      </c>
      <c r="C2481">
        <f>Profile!AP3086</f>
        <v>0</v>
      </c>
      <c r="D2481" t="str">
        <f>IF(Profile!C3084="Profile",IF(Profile!A3086="ResourceRequirement","OK","XXX"),"XXX")</f>
        <v>XXX</v>
      </c>
    </row>
    <row r="2482" spans="1:4" x14ac:dyDescent="0.45">
      <c r="A2482">
        <f>ROW()</f>
        <v>2482</v>
      </c>
      <c r="B2482" t="str">
        <f>Profile!A3085</f>
        <v xml:space="preserve">   RelatedItem</v>
      </c>
      <c r="C2482">
        <f>Profile!AP3087</f>
        <v>0</v>
      </c>
      <c r="D2482" t="str">
        <f>IF(Profile!C3085="Profile",IF(Profile!A3087="ResourceRequirement","OK","XXX"),"XXX")</f>
        <v>XXX</v>
      </c>
    </row>
    <row r="2483" spans="1:4" x14ac:dyDescent="0.45">
      <c r="A2483">
        <f>ROW()</f>
        <v>2483</v>
      </c>
      <c r="B2483" t="str">
        <f>Profile!A3086</f>
        <v xml:space="preserve">      @odata.id</v>
      </c>
      <c r="C2483">
        <f>Profile!AP3090</f>
        <v>0</v>
      </c>
      <c r="D2483" t="str">
        <f>IF(Profile!C3086="Profile",IF(Profile!A3090="ResourceRequirement","OK","XXX"),"XXX")</f>
        <v>XXX</v>
      </c>
    </row>
    <row r="2484" spans="1:4" x14ac:dyDescent="0.45">
      <c r="A2484">
        <f>ROW()</f>
        <v>2484</v>
      </c>
      <c r="B2484" t="str">
        <f>Profile!A3087</f>
        <v xml:space="preserve">   Status</v>
      </c>
      <c r="C2484">
        <f>Profile!AP3091</f>
        <v>0</v>
      </c>
      <c r="D2484" t="str">
        <f>IF(Profile!C3087="Profile",IF(Profile!A3091="ResourceRequirement","OK","XXX"),"XXX")</f>
        <v>XXX</v>
      </c>
    </row>
    <row r="2485" spans="1:4" x14ac:dyDescent="0.45">
      <c r="A2485">
        <f>ROW()</f>
        <v>2485</v>
      </c>
      <c r="B2485" t="str">
        <f>Profile!A3090</f>
        <v>PowerSupplies</v>
      </c>
      <c r="C2485">
        <f>Profile!AP3092</f>
        <v>0</v>
      </c>
      <c r="D2485" t="str">
        <f>IF(Profile!C3090="Profile",IF(Profile!A3092="ResourceRequirement","OK","XXX"),"XXX")</f>
        <v>XXX</v>
      </c>
    </row>
    <row r="2486" spans="1:4" x14ac:dyDescent="0.45">
      <c r="A2486">
        <f>ROW()</f>
        <v>2486</v>
      </c>
      <c r="B2486" t="str">
        <f>Profile!A3091</f>
        <v xml:space="preserve">   @odata.id</v>
      </c>
      <c r="C2486">
        <f>Profile!AP3093</f>
        <v>0</v>
      </c>
      <c r="D2486" t="str">
        <f>IF(Profile!C3091="Profile",IF(Profile!A3093="ResourceRequirement","OK","XXX"),"XXX")</f>
        <v>XXX</v>
      </c>
    </row>
    <row r="2487" spans="1:4" x14ac:dyDescent="0.45">
      <c r="A2487">
        <f>ROW()</f>
        <v>2487</v>
      </c>
      <c r="B2487" t="str">
        <f>Profile!A3092</f>
        <v xml:space="preserve">   Actions</v>
      </c>
      <c r="C2487">
        <f>Profile!AP3094</f>
        <v>0</v>
      </c>
      <c r="D2487" t="str">
        <f>IF(Profile!C3092="Profile",IF(Profile!A3094="ResourceRequirement","OK","XXX"),"XXX")</f>
        <v>XXX</v>
      </c>
    </row>
    <row r="2488" spans="1:4" x14ac:dyDescent="0.45">
      <c r="A2488">
        <f>ROW()</f>
        <v>2488</v>
      </c>
      <c r="B2488" t="str">
        <f>Profile!A3093</f>
        <v xml:space="preserve">   Assembly</v>
      </c>
      <c r="C2488">
        <f>Profile!AP3095</f>
        <v>0</v>
      </c>
      <c r="D2488" t="str">
        <f>IF(Profile!C3093="Profile",IF(Profile!A3095="ResourceRequirement","OK","XXX"),"XXX")</f>
        <v>XXX</v>
      </c>
    </row>
    <row r="2489" spans="1:4" x14ac:dyDescent="0.45">
      <c r="A2489">
        <f>ROW()</f>
        <v>2489</v>
      </c>
      <c r="B2489" t="str">
        <f>Profile!A3094</f>
        <v xml:space="preserve">      @odata.id</v>
      </c>
      <c r="C2489">
        <f>Profile!AP3096</f>
        <v>0</v>
      </c>
      <c r="D2489" t="str">
        <f>IF(Profile!C3094="Profile",IF(Profile!A3096="ResourceRequirement","OK","XXX"),"XXX")</f>
        <v>XXX</v>
      </c>
    </row>
    <row r="2490" spans="1:4" x14ac:dyDescent="0.45">
      <c r="A2490">
        <f>ROW()</f>
        <v>2490</v>
      </c>
      <c r="B2490" t="str">
        <f>Profile!A3095</f>
        <v xml:space="preserve">   EfficiencyPercent</v>
      </c>
      <c r="C2490">
        <f>Profile!AP3097</f>
        <v>0</v>
      </c>
      <c r="D2490" t="str">
        <f>IF(Profile!C3095="Profile",IF(Profile!A3097="ResourceRequirement","OK","XXX"),"XXX")</f>
        <v>XXX</v>
      </c>
    </row>
    <row r="2491" spans="1:4" x14ac:dyDescent="0.45">
      <c r="A2491">
        <f>ROW()</f>
        <v>2491</v>
      </c>
      <c r="B2491" t="str">
        <f>Profile!A3096</f>
        <v xml:space="preserve">   FirmwareVersion</v>
      </c>
      <c r="C2491">
        <f>Profile!AP3098</f>
        <v>0</v>
      </c>
      <c r="D2491" t="str">
        <f>IF(Profile!C3096="Profile",IF(Profile!A3098="ResourceRequirement","OK","XXX"),"XXX")</f>
        <v>XXX</v>
      </c>
    </row>
    <row r="2492" spans="1:4" x14ac:dyDescent="0.45">
      <c r="A2492">
        <f>ROW()</f>
        <v>2492</v>
      </c>
      <c r="B2492" t="str">
        <f>Profile!A3097</f>
        <v xml:space="preserve">   HotPluggable</v>
      </c>
      <c r="C2492">
        <f>Profile!AP3099</f>
        <v>0</v>
      </c>
      <c r="D2492" t="str">
        <f>IF(Profile!C3097="Profile",IF(Profile!A3099="ResourceRequirement","OK","XXX"),"XXX")</f>
        <v>XXX</v>
      </c>
    </row>
    <row r="2493" spans="1:4" x14ac:dyDescent="0.45">
      <c r="A2493">
        <f>ROW()</f>
        <v>2493</v>
      </c>
      <c r="B2493" t="str">
        <f>Profile!A3098</f>
        <v xml:space="preserve">   IndicatorLED</v>
      </c>
      <c r="C2493">
        <f>Profile!AP3100</f>
        <v>0</v>
      </c>
      <c r="D2493" t="str">
        <f>IF(Profile!C3098="Profile",IF(Profile!A3100="ResourceRequirement","OK","XXX"),"XXX")</f>
        <v>XXX</v>
      </c>
    </row>
    <row r="2494" spans="1:4" x14ac:dyDescent="0.45">
      <c r="A2494">
        <f>ROW()</f>
        <v>2494</v>
      </c>
      <c r="B2494" t="str">
        <f>Profile!A3099</f>
        <v xml:space="preserve">   InputRanges</v>
      </c>
      <c r="C2494">
        <f>Profile!AP3101</f>
        <v>0</v>
      </c>
      <c r="D2494" t="str">
        <f>IF(Profile!C3099="Profile",IF(Profile!A3101="ResourceRequirement","OK","XXX"),"XXX")</f>
        <v>XXX</v>
      </c>
    </row>
    <row r="2495" spans="1:4" x14ac:dyDescent="0.45">
      <c r="A2495">
        <f>ROW()</f>
        <v>2495</v>
      </c>
      <c r="B2495" t="str">
        <f>Profile!A3100</f>
        <v xml:space="preserve">      InputType</v>
      </c>
      <c r="C2495">
        <f>Profile!AP3102</f>
        <v>0</v>
      </c>
      <c r="D2495" t="str">
        <f>IF(Profile!C3100="Profile",IF(Profile!A3102="ResourceRequirement","OK","XXX"),"XXX")</f>
        <v>XXX</v>
      </c>
    </row>
    <row r="2496" spans="1:4" x14ac:dyDescent="0.45">
      <c r="A2496">
        <f>ROW()</f>
        <v>2496</v>
      </c>
      <c r="B2496" t="str">
        <f>Profile!A3101</f>
        <v xml:space="preserve">      MaximumFrequencyHz</v>
      </c>
      <c r="C2496">
        <f>Profile!AP3103</f>
        <v>0</v>
      </c>
      <c r="D2496" t="str">
        <f>IF(Profile!C3101="Profile",IF(Profile!A3103="ResourceRequirement","OK","XXX"),"XXX")</f>
        <v>XXX</v>
      </c>
    </row>
    <row r="2497" spans="1:4" x14ac:dyDescent="0.45">
      <c r="A2497">
        <f>ROW()</f>
        <v>2497</v>
      </c>
      <c r="B2497" t="str">
        <f>Profile!A3102</f>
        <v xml:space="preserve">      MaximumVoltage</v>
      </c>
      <c r="C2497">
        <f>Profile!AP3104</f>
        <v>0</v>
      </c>
      <c r="D2497" t="str">
        <f>IF(Profile!C3102="Profile",IF(Profile!A3104="ResourceRequirement","OK","XXX"),"XXX")</f>
        <v>XXX</v>
      </c>
    </row>
    <row r="2498" spans="1:4" x14ac:dyDescent="0.45">
      <c r="A2498">
        <f>ROW()</f>
        <v>2498</v>
      </c>
      <c r="B2498" t="str">
        <f>Profile!A3103</f>
        <v xml:space="preserve">      MinimumFrequencyHz</v>
      </c>
      <c r="C2498">
        <f>Profile!AP3105</f>
        <v>0</v>
      </c>
      <c r="D2498" t="str">
        <f>IF(Profile!C3103="Profile",IF(Profile!A3105="ResourceRequirement","OK","XXX"),"XXX")</f>
        <v>XXX</v>
      </c>
    </row>
    <row r="2499" spans="1:4" x14ac:dyDescent="0.45">
      <c r="A2499">
        <f>ROW()</f>
        <v>2499</v>
      </c>
      <c r="B2499" t="str">
        <f>Profile!A3104</f>
        <v xml:space="preserve">      MinimumVoltage</v>
      </c>
      <c r="C2499">
        <f>Profile!AP3106</f>
        <v>0</v>
      </c>
      <c r="D2499" t="str">
        <f>IF(Profile!C3104="Profile",IF(Profile!A3106="ResourceRequirement","OK","XXX"),"XXX")</f>
        <v>XXX</v>
      </c>
    </row>
    <row r="2500" spans="1:4" x14ac:dyDescent="0.45">
      <c r="A2500">
        <f>ROW()</f>
        <v>2500</v>
      </c>
      <c r="B2500" t="str">
        <f>Profile!A3105</f>
        <v xml:space="preserve">      Oem</v>
      </c>
      <c r="C2500">
        <f>Profile!AP3107</f>
        <v>0</v>
      </c>
      <c r="D2500" t="str">
        <f>IF(Profile!C3105="Profile",IF(Profile!A3107="ResourceRequirement","OK","XXX"),"XXX")</f>
        <v>XXX</v>
      </c>
    </row>
    <row r="2501" spans="1:4" x14ac:dyDescent="0.45">
      <c r="A2501">
        <f>ROW()</f>
        <v>2501</v>
      </c>
      <c r="B2501" t="str">
        <f>Profile!A3106</f>
        <v xml:space="preserve">      OutputWattage</v>
      </c>
      <c r="C2501">
        <f>Profile!AP3108</f>
        <v>0</v>
      </c>
      <c r="D2501" t="str">
        <f>IF(Profile!C3106="Profile",IF(Profile!A3108="ResourceRequirement","OK","XXX"),"XXX")</f>
        <v>XXX</v>
      </c>
    </row>
    <row r="2502" spans="1:4" x14ac:dyDescent="0.45">
      <c r="A2502">
        <f>ROW()</f>
        <v>2502</v>
      </c>
      <c r="B2502" t="str">
        <f>Profile!A3107</f>
        <v xml:space="preserve">   LastPowerOutputWatts</v>
      </c>
      <c r="C2502">
        <f>Profile!AP3109</f>
        <v>0</v>
      </c>
      <c r="D2502" t="str">
        <f>IF(Profile!C3107="Profile",IF(Profile!A3109="ResourceRequirement","OK","XXX"),"XXX")</f>
        <v>XXX</v>
      </c>
    </row>
    <row r="2503" spans="1:4" x14ac:dyDescent="0.45">
      <c r="A2503">
        <f>ROW()</f>
        <v>2503</v>
      </c>
      <c r="B2503" t="str">
        <f>Profile!A3108</f>
        <v xml:space="preserve">   LineInputVoltage</v>
      </c>
      <c r="C2503">
        <f>Profile!AP3110</f>
        <v>0</v>
      </c>
      <c r="D2503" t="str">
        <f>IF(Profile!C3108="Profile",IF(Profile!A3110="ResourceRequirement","OK","XXX"),"XXX")</f>
        <v>XXX</v>
      </c>
    </row>
    <row r="2504" spans="1:4" x14ac:dyDescent="0.45">
      <c r="A2504">
        <f>ROW()</f>
        <v>2504</v>
      </c>
      <c r="B2504" t="str">
        <f>Profile!A3109</f>
        <v xml:space="preserve">   LineInputVoltageType</v>
      </c>
      <c r="C2504">
        <f>Profile!AP3111</f>
        <v>0</v>
      </c>
      <c r="D2504" t="str">
        <f>IF(Profile!C3109="Profile",IF(Profile!A3111="ResourceRequirement","OK","XXX"),"XXX")</f>
        <v>XXX</v>
      </c>
    </row>
    <row r="2505" spans="1:4" x14ac:dyDescent="0.45">
      <c r="A2505">
        <f>ROW()</f>
        <v>2505</v>
      </c>
      <c r="B2505" t="str">
        <f>Profile!A3110</f>
        <v xml:space="preserve">   Location</v>
      </c>
      <c r="C2505">
        <f>Profile!AP3112</f>
        <v>0</v>
      </c>
      <c r="D2505" t="str">
        <f>IF(Profile!C3110="Profile",IF(Profile!A3112="ResourceRequirement","OK","XXX"),"XXX")</f>
        <v>XXX</v>
      </c>
    </row>
    <row r="2506" spans="1:4" x14ac:dyDescent="0.45">
      <c r="A2506">
        <f>ROW()</f>
        <v>2506</v>
      </c>
      <c r="B2506" t="str">
        <f>Profile!A3111</f>
        <v xml:space="preserve">   Manufacturer</v>
      </c>
      <c r="C2506">
        <f>Profile!AP3113</f>
        <v>0</v>
      </c>
      <c r="D2506" t="str">
        <f>IF(Profile!C3111="Profile",IF(Profile!A3113="ResourceRequirement","OK","XXX"),"XXX")</f>
        <v>XXX</v>
      </c>
    </row>
    <row r="2507" spans="1:4" x14ac:dyDescent="0.45">
      <c r="A2507">
        <f>ROW()</f>
        <v>2507</v>
      </c>
      <c r="B2507" t="str">
        <f>Profile!A3112</f>
        <v xml:space="preserve">   MemberId</v>
      </c>
      <c r="C2507">
        <f>Profile!AP3114</f>
        <v>0</v>
      </c>
      <c r="D2507" t="str">
        <f>IF(Profile!C3112="Profile",IF(Profile!A3114="ResourceRequirement","OK","XXX"),"XXX")</f>
        <v>XXX</v>
      </c>
    </row>
    <row r="2508" spans="1:4" x14ac:dyDescent="0.45">
      <c r="A2508">
        <f>ROW()</f>
        <v>2508</v>
      </c>
      <c r="B2508" t="str">
        <f>Profile!A3113</f>
        <v xml:space="preserve">   Model</v>
      </c>
      <c r="C2508">
        <f>Profile!AP3115</f>
        <v>0</v>
      </c>
      <c r="D2508" t="str">
        <f>IF(Profile!C3113="Profile",IF(Profile!A3115="ResourceRequirement","OK","XXX"),"XXX")</f>
        <v>XXX</v>
      </c>
    </row>
    <row r="2509" spans="1:4" x14ac:dyDescent="0.45">
      <c r="A2509">
        <f>ROW()</f>
        <v>2509</v>
      </c>
      <c r="B2509" t="str">
        <f>Profile!A3114</f>
        <v xml:space="preserve">   Name</v>
      </c>
      <c r="C2509">
        <f>Profile!AP3116</f>
        <v>0</v>
      </c>
      <c r="D2509" t="str">
        <f>IF(Profile!C3114="Profile",IF(Profile!A3116="ResourceRequirement","OK","XXX"),"XXX")</f>
        <v>XXX</v>
      </c>
    </row>
    <row r="2510" spans="1:4" x14ac:dyDescent="0.45">
      <c r="A2510">
        <f>ROW()</f>
        <v>2510</v>
      </c>
      <c r="B2510" t="str">
        <f>Profile!A3115</f>
        <v xml:space="preserve">   Oem</v>
      </c>
      <c r="C2510">
        <f>Profile!AP3117</f>
        <v>0</v>
      </c>
      <c r="D2510" t="str">
        <f>IF(Profile!C3115="Profile",IF(Profile!A3117="ResourceRequirement","OK","XXX"),"XXX")</f>
        <v>XXX</v>
      </c>
    </row>
    <row r="2511" spans="1:4" x14ac:dyDescent="0.45">
      <c r="A2511">
        <f>ROW()</f>
        <v>2511</v>
      </c>
      <c r="B2511" t="str">
        <f>Profile!A3116</f>
        <v xml:space="preserve">   PartNumber</v>
      </c>
      <c r="C2511">
        <f>Profile!AP3118</f>
        <v>0</v>
      </c>
      <c r="D2511" t="str">
        <f>IF(Profile!C3116="Profile",IF(Profile!A3118="ResourceRequirement","OK","XXX"),"XXX")</f>
        <v>XXX</v>
      </c>
    </row>
    <row r="2512" spans="1:4" x14ac:dyDescent="0.45">
      <c r="A2512">
        <f>ROW()</f>
        <v>2512</v>
      </c>
      <c r="B2512" t="str">
        <f>Profile!A3117</f>
        <v xml:space="preserve">   PowerCapacityWatts</v>
      </c>
      <c r="C2512">
        <f>Profile!AP3119</f>
        <v>0</v>
      </c>
      <c r="D2512" t="str">
        <f>IF(Profile!C3117="Profile",IF(Profile!A3119="ResourceRequirement","OK","XXX"),"XXX")</f>
        <v>XXX</v>
      </c>
    </row>
    <row r="2513" spans="1:4" x14ac:dyDescent="0.45">
      <c r="A2513">
        <f>ROW()</f>
        <v>2513</v>
      </c>
      <c r="B2513" t="str">
        <f>Profile!A3118</f>
        <v xml:space="preserve">   PowerInputWatts</v>
      </c>
      <c r="C2513">
        <f>Profile!AP3120</f>
        <v>0</v>
      </c>
      <c r="D2513" t="str">
        <f>IF(Profile!C3118="Profile",IF(Profile!A3120="ResourceRequirement","OK","XXX"),"XXX")</f>
        <v>XXX</v>
      </c>
    </row>
    <row r="2514" spans="1:4" x14ac:dyDescent="0.45">
      <c r="A2514">
        <f>ROW()</f>
        <v>2514</v>
      </c>
      <c r="B2514" t="str">
        <f>Profile!A3119</f>
        <v xml:space="preserve">   PowerOutputWatts</v>
      </c>
      <c r="C2514">
        <f>Profile!AP3121</f>
        <v>0</v>
      </c>
      <c r="D2514" t="str">
        <f>IF(Profile!C3119="Profile",IF(Profile!A3121="ResourceRequirement","OK","XXX"),"XXX")</f>
        <v>XXX</v>
      </c>
    </row>
    <row r="2515" spans="1:4" x14ac:dyDescent="0.45">
      <c r="A2515">
        <f>ROW()</f>
        <v>2515</v>
      </c>
      <c r="B2515" t="str">
        <f>Profile!A3120</f>
        <v xml:space="preserve">   PowerSupplyType</v>
      </c>
      <c r="C2515">
        <f>Profile!AP3122</f>
        <v>0</v>
      </c>
      <c r="D2515" t="str">
        <f>IF(Profile!C3120="Profile",IF(Profile!A3122="ResourceRequirement","OK","XXX"),"XXX")</f>
        <v>XXX</v>
      </c>
    </row>
    <row r="2516" spans="1:4" x14ac:dyDescent="0.45">
      <c r="A2516">
        <f>ROW()</f>
        <v>2516</v>
      </c>
      <c r="B2516" t="str">
        <f>Profile!A3121</f>
        <v xml:space="preserve">   Redundancy</v>
      </c>
      <c r="C2516">
        <f>Profile!AP3123</f>
        <v>0</v>
      </c>
      <c r="D2516" t="str">
        <f>IF(Profile!C3121="Profile",IF(Profile!A3123="ResourceRequirement","OK","XXX"),"XXX")</f>
        <v>XXX</v>
      </c>
    </row>
    <row r="2517" spans="1:4" x14ac:dyDescent="0.45">
      <c r="A2517">
        <f>ROW()</f>
        <v>2517</v>
      </c>
      <c r="B2517" t="str">
        <f>Profile!A3122</f>
        <v xml:space="preserve">      @odata.id</v>
      </c>
      <c r="C2517">
        <f>Profile!AP3124</f>
        <v>0</v>
      </c>
      <c r="D2517" t="str">
        <f>IF(Profile!C3122="Profile",IF(Profile!A3124="ResourceRequirement","OK","XXX"),"XXX")</f>
        <v>XXX</v>
      </c>
    </row>
    <row r="2518" spans="1:4" x14ac:dyDescent="0.45">
      <c r="A2518">
        <f>ROW()</f>
        <v>2518</v>
      </c>
      <c r="B2518" t="str">
        <f>Profile!A3123</f>
        <v xml:space="preserve">   RelatedItem</v>
      </c>
      <c r="C2518">
        <f>Profile!AP3125</f>
        <v>0</v>
      </c>
      <c r="D2518" t="str">
        <f>IF(Profile!C3123="Profile",IF(Profile!A3125="ResourceRequirement","OK","XXX"),"XXX")</f>
        <v>XXX</v>
      </c>
    </row>
    <row r="2519" spans="1:4" x14ac:dyDescent="0.45">
      <c r="A2519">
        <f>ROW()</f>
        <v>2519</v>
      </c>
      <c r="B2519" t="str">
        <f>Profile!A3124</f>
        <v xml:space="preserve">      @odata.id</v>
      </c>
      <c r="C2519">
        <f>Profile!AP3126</f>
        <v>0</v>
      </c>
      <c r="D2519" t="str">
        <f>IF(Profile!C3124="Profile",IF(Profile!A3126="ResourceRequirement","OK","XXX"),"XXX")</f>
        <v>XXX</v>
      </c>
    </row>
    <row r="2520" spans="1:4" x14ac:dyDescent="0.45">
      <c r="A2520">
        <f>ROW()</f>
        <v>2520</v>
      </c>
      <c r="B2520" t="str">
        <f>Profile!A3125</f>
        <v xml:space="preserve">   SerialNumber</v>
      </c>
      <c r="C2520">
        <f>Profile!AP3127</f>
        <v>0</v>
      </c>
      <c r="D2520" t="str">
        <f>IF(Profile!C3125="Profile",IF(Profile!A3127="ResourceRequirement","OK","XXX"),"XXX")</f>
        <v>XXX</v>
      </c>
    </row>
    <row r="2521" spans="1:4" x14ac:dyDescent="0.45">
      <c r="A2521">
        <f>ROW()</f>
        <v>2521</v>
      </c>
      <c r="B2521" t="str">
        <f>Profile!A3126</f>
        <v xml:space="preserve">   SparePartNumber</v>
      </c>
      <c r="C2521">
        <f>Profile!AP3130</f>
        <v>0</v>
      </c>
      <c r="D2521" t="str">
        <f>IF(Profile!C3126="Profile",IF(Profile!A3130="ResourceRequirement","OK","XXX"),"XXX")</f>
        <v>XXX</v>
      </c>
    </row>
    <row r="2522" spans="1:4" x14ac:dyDescent="0.45">
      <c r="A2522">
        <f>ROW()</f>
        <v>2522</v>
      </c>
      <c r="B2522" t="str">
        <f>Profile!A3127</f>
        <v xml:space="preserve">   Status</v>
      </c>
      <c r="C2522">
        <f>Profile!AP3131</f>
        <v>0</v>
      </c>
      <c r="D2522" t="str">
        <f>IF(Profile!C3127="Profile",IF(Profile!A3131="ResourceRequirement","OK","XXX"),"XXX")</f>
        <v>XXX</v>
      </c>
    </row>
    <row r="2523" spans="1:4" x14ac:dyDescent="0.45">
      <c r="A2523">
        <f>ROW()</f>
        <v>2523</v>
      </c>
      <c r="B2523" t="str">
        <f>Profile!A3130</f>
        <v>Redundancy</v>
      </c>
      <c r="C2523">
        <f>Profile!AP3132</f>
        <v>0</v>
      </c>
      <c r="D2523" t="str">
        <f>IF(Profile!C3130="Profile",IF(Profile!A3132="ResourceRequirement","OK","XXX"),"XXX")</f>
        <v>XXX</v>
      </c>
    </row>
    <row r="2524" spans="1:4" x14ac:dyDescent="0.45">
      <c r="A2524">
        <f>ROW()</f>
        <v>2524</v>
      </c>
      <c r="B2524" t="str">
        <f>Profile!A3131</f>
        <v xml:space="preserve">   @odata.id</v>
      </c>
      <c r="C2524">
        <f>Profile!AP3133</f>
        <v>0</v>
      </c>
      <c r="D2524" t="str">
        <f>IF(Profile!C3131="Profile",IF(Profile!A3133="ResourceRequirement","OK","XXX"),"XXX")</f>
        <v>XXX</v>
      </c>
    </row>
    <row r="2525" spans="1:4" x14ac:dyDescent="0.45">
      <c r="A2525">
        <f>ROW()</f>
        <v>2525</v>
      </c>
      <c r="B2525" t="str">
        <f>Profile!A3132</f>
        <v>Voltages</v>
      </c>
      <c r="C2525">
        <f>Profile!AP3134</f>
        <v>0</v>
      </c>
      <c r="D2525" t="str">
        <f>IF(Profile!C3132="Profile",IF(Profile!A3134="ResourceRequirement","OK","XXX"),"XXX")</f>
        <v>XXX</v>
      </c>
    </row>
    <row r="2526" spans="1:4" x14ac:dyDescent="0.45">
      <c r="A2526">
        <f>ROW()</f>
        <v>2526</v>
      </c>
      <c r="B2526" t="str">
        <f>Profile!A3133</f>
        <v xml:space="preserve">   @odata.id</v>
      </c>
      <c r="C2526">
        <f>Profile!AP3135</f>
        <v>0</v>
      </c>
      <c r="D2526" t="str">
        <f>IF(Profile!C3133="Profile",IF(Profile!A3135="ResourceRequirement","OK","XXX"),"XXX")</f>
        <v>XXX</v>
      </c>
    </row>
    <row r="2527" spans="1:4" x14ac:dyDescent="0.45">
      <c r="A2527">
        <f>ROW()</f>
        <v>2527</v>
      </c>
      <c r="B2527" t="str">
        <f>Profile!A3134</f>
        <v xml:space="preserve">   Actions</v>
      </c>
      <c r="C2527">
        <f>Profile!AP3136</f>
        <v>0</v>
      </c>
      <c r="D2527" t="str">
        <f>IF(Profile!C3134="Profile",IF(Profile!A3136="ResourceRequirement","OK","XXX"),"XXX")</f>
        <v>XXX</v>
      </c>
    </row>
    <row r="2528" spans="1:4" x14ac:dyDescent="0.45">
      <c r="A2528">
        <f>ROW()</f>
        <v>2528</v>
      </c>
      <c r="B2528" t="str">
        <f>Profile!A3135</f>
        <v xml:space="preserve">   LowerThresholdCritical</v>
      </c>
      <c r="C2528">
        <f>Profile!AP3137</f>
        <v>0</v>
      </c>
      <c r="D2528" t="str">
        <f>IF(Profile!C3135="Profile",IF(Profile!A3137="ResourceRequirement","OK","XXX"),"XXX")</f>
        <v>XXX</v>
      </c>
    </row>
    <row r="2529" spans="1:4" x14ac:dyDescent="0.45">
      <c r="A2529">
        <f>ROW()</f>
        <v>2529</v>
      </c>
      <c r="B2529" t="str">
        <f>Profile!A3136</f>
        <v xml:space="preserve">   LowerThresholdFatal</v>
      </c>
      <c r="C2529">
        <f>Profile!AP3138</f>
        <v>0</v>
      </c>
      <c r="D2529" t="str">
        <f>IF(Profile!C3136="Profile",IF(Profile!A3138="ResourceRequirement","OK","XXX"),"XXX")</f>
        <v>XXX</v>
      </c>
    </row>
    <row r="2530" spans="1:4" x14ac:dyDescent="0.45">
      <c r="A2530">
        <f>ROW()</f>
        <v>2530</v>
      </c>
      <c r="B2530" t="str">
        <f>Profile!A3137</f>
        <v xml:space="preserve">   LowerThresholdNonCritical</v>
      </c>
      <c r="C2530">
        <f>Profile!AP3139</f>
        <v>0</v>
      </c>
      <c r="D2530" t="str">
        <f>IF(Profile!C3137="Profile",IF(Profile!A3139="ResourceRequirement","OK","XXX"),"XXX")</f>
        <v>XXX</v>
      </c>
    </row>
    <row r="2531" spans="1:4" x14ac:dyDescent="0.45">
      <c r="A2531">
        <f>ROW()</f>
        <v>2531</v>
      </c>
      <c r="B2531" t="str">
        <f>Profile!A3138</f>
        <v xml:space="preserve">   MaxReadingRange</v>
      </c>
      <c r="C2531">
        <f>Profile!AP3140</f>
        <v>0</v>
      </c>
      <c r="D2531" t="str">
        <f>IF(Profile!C3138="Profile",IF(Profile!A3140="ResourceRequirement","OK","XXX"),"XXX")</f>
        <v>XXX</v>
      </c>
    </row>
    <row r="2532" spans="1:4" x14ac:dyDescent="0.45">
      <c r="A2532">
        <f>ROW()</f>
        <v>2532</v>
      </c>
      <c r="B2532" t="str">
        <f>Profile!A3139</f>
        <v xml:space="preserve">   MemberId</v>
      </c>
      <c r="C2532">
        <f>Profile!AP3141</f>
        <v>0</v>
      </c>
      <c r="D2532" t="str">
        <f>IF(Profile!C3139="Profile",IF(Profile!A3141="ResourceRequirement","OK","XXX"),"XXX")</f>
        <v>XXX</v>
      </c>
    </row>
    <row r="2533" spans="1:4" x14ac:dyDescent="0.45">
      <c r="A2533">
        <f>ROW()</f>
        <v>2533</v>
      </c>
      <c r="B2533" t="str">
        <f>Profile!A3140</f>
        <v xml:space="preserve">   MinReadingRange</v>
      </c>
      <c r="C2533">
        <f>Profile!AP3142</f>
        <v>0</v>
      </c>
      <c r="D2533" t="str">
        <f>IF(Profile!C3140="Profile",IF(Profile!A3142="ResourceRequirement","OK","XXX"),"XXX")</f>
        <v>XXX</v>
      </c>
    </row>
    <row r="2534" spans="1:4" x14ac:dyDescent="0.45">
      <c r="A2534">
        <f>ROW()</f>
        <v>2534</v>
      </c>
      <c r="B2534" t="str">
        <f>Profile!A3141</f>
        <v xml:space="preserve">   Name</v>
      </c>
      <c r="C2534">
        <f>Profile!AP3143</f>
        <v>0</v>
      </c>
      <c r="D2534" t="str">
        <f>IF(Profile!C3141="Profile",IF(Profile!A3143="ResourceRequirement","OK","XXX"),"XXX")</f>
        <v>XXX</v>
      </c>
    </row>
    <row r="2535" spans="1:4" x14ac:dyDescent="0.45">
      <c r="A2535">
        <f>ROW()</f>
        <v>2535</v>
      </c>
      <c r="B2535" t="str">
        <f>Profile!A3142</f>
        <v xml:space="preserve">   Oem</v>
      </c>
      <c r="C2535">
        <f>Profile!AP3144</f>
        <v>0</v>
      </c>
      <c r="D2535" t="str">
        <f>IF(Profile!C3142="Profile",IF(Profile!A3144="ResourceRequirement","OK","XXX"),"XXX")</f>
        <v>XXX</v>
      </c>
    </row>
    <row r="2536" spans="1:4" x14ac:dyDescent="0.45">
      <c r="A2536">
        <f>ROW()</f>
        <v>2536</v>
      </c>
      <c r="B2536" t="str">
        <f>Profile!A3143</f>
        <v xml:space="preserve">   PhysicalContext</v>
      </c>
      <c r="C2536">
        <f>Profile!AP3145</f>
        <v>0</v>
      </c>
      <c r="D2536" t="str">
        <f>IF(Profile!C3143="Profile",IF(Profile!A3145="ResourceRequirement","OK","XXX"),"XXX")</f>
        <v>XXX</v>
      </c>
    </row>
    <row r="2537" spans="1:4" x14ac:dyDescent="0.45">
      <c r="A2537">
        <f>ROW()</f>
        <v>2537</v>
      </c>
      <c r="B2537" t="str">
        <f>Profile!A3144</f>
        <v xml:space="preserve">   ReadingVolts</v>
      </c>
      <c r="C2537">
        <f>Profile!AP3146</f>
        <v>0</v>
      </c>
      <c r="D2537" t="str">
        <f>IF(Profile!C3144="Profile",IF(Profile!A3146="ResourceRequirement","OK","XXX"),"XXX")</f>
        <v>XXX</v>
      </c>
    </row>
    <row r="2538" spans="1:4" x14ac:dyDescent="0.45">
      <c r="A2538">
        <f>ROW()</f>
        <v>2538</v>
      </c>
      <c r="B2538" t="str">
        <f>Profile!A3145</f>
        <v xml:space="preserve">   RelatedItem</v>
      </c>
      <c r="C2538">
        <f>Profile!AP3147</f>
        <v>0</v>
      </c>
      <c r="D2538" t="str">
        <f>IF(Profile!C3145="Profile",IF(Profile!A3147="ResourceRequirement","OK","XXX"),"XXX")</f>
        <v>XXX</v>
      </c>
    </row>
    <row r="2539" spans="1:4" x14ac:dyDescent="0.45">
      <c r="A2539">
        <f>ROW()</f>
        <v>2539</v>
      </c>
      <c r="B2539" t="str">
        <f>Profile!A3146</f>
        <v xml:space="preserve">      @odata.id</v>
      </c>
      <c r="C2539">
        <f>Profile!AP3148</f>
        <v>0</v>
      </c>
      <c r="D2539" t="str">
        <f>IF(Profile!C3146="Profile",IF(Profile!A3148="ResourceRequirement","OK","XXX"),"XXX")</f>
        <v>XXX</v>
      </c>
    </row>
    <row r="2540" spans="1:4" x14ac:dyDescent="0.45">
      <c r="A2540">
        <f>ROW()</f>
        <v>2540</v>
      </c>
      <c r="B2540" t="str">
        <f>Profile!A3147</f>
        <v xml:space="preserve">   SensorNumber</v>
      </c>
      <c r="C2540">
        <f>Profile!AP3151</f>
        <v>0</v>
      </c>
      <c r="D2540" t="str">
        <f>IF(Profile!C3147="Profile",IF(Profile!A3151="ResourceRequirement","OK","XXX"),"XXX")</f>
        <v>XXX</v>
      </c>
    </row>
    <row r="2541" spans="1:4" x14ac:dyDescent="0.45">
      <c r="A2541">
        <f>ROW()</f>
        <v>2541</v>
      </c>
      <c r="B2541" t="str">
        <f>Profile!A3148</f>
        <v xml:space="preserve">   Status</v>
      </c>
      <c r="C2541">
        <f>Profile!AP3152</f>
        <v>0</v>
      </c>
      <c r="D2541" t="str">
        <f>IF(Profile!C3148="Profile",IF(Profile!A3152="ResourceRequirement","OK","XXX"),"XXX")</f>
        <v>XXX</v>
      </c>
    </row>
    <row r="2542" spans="1:4" x14ac:dyDescent="0.45">
      <c r="A2542">
        <f>ROW()</f>
        <v>2542</v>
      </c>
      <c r="B2542" t="str">
        <f>Profile!A3151</f>
        <v xml:space="preserve">   UpperThresholdCritical</v>
      </c>
      <c r="C2542">
        <f>Profile!AP3153</f>
        <v>0</v>
      </c>
      <c r="D2542" t="str">
        <f>IF(Profile!C3151="Profile",IF(Profile!A3153="ResourceRequirement","OK","XXX"),"XXX")</f>
        <v>XXX</v>
      </c>
    </row>
    <row r="2543" spans="1:4" x14ac:dyDescent="0.45">
      <c r="A2543">
        <f>ROW()</f>
        <v>2543</v>
      </c>
      <c r="B2543" t="str">
        <f>Profile!A3152</f>
        <v xml:space="preserve">   UpperThresholdFatal</v>
      </c>
      <c r="C2543">
        <f>Profile!AP3154</f>
        <v>0</v>
      </c>
      <c r="D2543" t="str">
        <f>IF(Profile!C3152="Profile",IF(Profile!A3154="ResourceRequirement","OK","XXX"),"XXX")</f>
        <v>XXX</v>
      </c>
    </row>
    <row r="2544" spans="1:4" x14ac:dyDescent="0.45">
      <c r="A2544">
        <f>ROW()</f>
        <v>2544</v>
      </c>
      <c r="B2544" t="str">
        <f>Profile!A3153</f>
        <v xml:space="preserve">   UpperThresholdNonCritical</v>
      </c>
      <c r="C2544">
        <f>Profile!AP3155</f>
        <v>0</v>
      </c>
      <c r="D2544" t="str">
        <f>IF(Profile!C3153="Profile",IF(Profile!A3155="ResourceRequirement","OK","XXX"),"XXX")</f>
        <v>XXX</v>
      </c>
    </row>
    <row r="2545" spans="1:4" x14ac:dyDescent="0.45">
      <c r="A2545">
        <f>ROW()</f>
        <v>2545</v>
      </c>
      <c r="B2545" t="str">
        <f>Profile!A3154</f>
        <v>Power URIs</v>
      </c>
      <c r="C2545">
        <f>Profile!AP3156</f>
        <v>0</v>
      </c>
      <c r="D2545" t="str">
        <f>IF(Profile!C3154="Profile",IF(Profile!A3156="ResourceRequirement","OK","XXX"),"XXX")</f>
        <v>XXX</v>
      </c>
    </row>
    <row r="2546" spans="1:4" x14ac:dyDescent="0.45">
      <c r="A2546">
        <f>ROW()</f>
        <v>2546</v>
      </c>
      <c r="B2546" t="str">
        <f>Profile!A3155</f>
        <v>/redfish/v1/Chassis/{ChassisId}/Power</v>
      </c>
      <c r="C2546">
        <f>Profile!AP3157</f>
        <v>0</v>
      </c>
      <c r="D2546" t="str">
        <f>IF(Profile!C3155="Profile",IF(Profile!A3157="ResourceRequirement","OK","XXX"),"XXX")</f>
        <v>XXX</v>
      </c>
    </row>
    <row r="2547" spans="1:4" x14ac:dyDescent="0.45">
      <c r="A2547">
        <f>ROW()</f>
        <v>2547</v>
      </c>
      <c r="B2547">
        <f>Profile!A3156</f>
        <v>0</v>
      </c>
      <c r="C2547">
        <f>Profile!AP3158</f>
        <v>0</v>
      </c>
      <c r="D2547" t="str">
        <f>IF(Profile!C3156="Profile",IF(Profile!A3158="ResourceRequirement","OK","XXX"),"XXX")</f>
        <v>XXX</v>
      </c>
    </row>
    <row r="2548" spans="1:4" x14ac:dyDescent="0.45">
      <c r="A2548">
        <f>ROW()</f>
        <v>2548</v>
      </c>
      <c r="B2548" t="str">
        <f>Profile!A3157</f>
        <v>1.1.7.9               Thermal</v>
      </c>
      <c r="C2548">
        <f>Profile!AP3159</f>
        <v>0</v>
      </c>
      <c r="D2548" t="str">
        <f>IF(Profile!C3157="Profile",IF(Profile!A3159="ResourceRequirement","OK","XXX"),"XXX")</f>
        <v>XXX</v>
      </c>
    </row>
    <row r="2549" spans="1:4" x14ac:dyDescent="0.45">
      <c r="A2549">
        <f>ROW()</f>
        <v>2549</v>
      </c>
      <c r="B2549" t="str">
        <f>Profile!A3158</f>
        <v>The Thermal resource represents the properties for temperature and cooling.</v>
      </c>
      <c r="C2549">
        <f>Profile!AP3160</f>
        <v>0</v>
      </c>
      <c r="D2549" t="str">
        <f>IF(Profile!C3158="Profile",IF(Profile!A3160="ResourceRequirement","OK","XXX"),"XXX")</f>
        <v>XXX</v>
      </c>
    </row>
    <row r="2550" spans="1:4" x14ac:dyDescent="0.45">
      <c r="A2550">
        <f>ROW()</f>
        <v>2550</v>
      </c>
      <c r="B2550" t="str">
        <f>Profile!A3159</f>
        <v>Table 75: O-PAS Profile Map for the Redfish Thermal Resource</v>
      </c>
      <c r="C2550">
        <f>Profile!AP3161</f>
        <v>0</v>
      </c>
      <c r="D2550" t="str">
        <f>IF(Profile!C3159="Profile",IF(Profile!A3161="ResourceRequirement","OK","XXX"),"XXX")</f>
        <v>XXX</v>
      </c>
    </row>
    <row r="2551" spans="1:4" x14ac:dyDescent="0.45">
      <c r="A2551">
        <f>ROW()</f>
        <v>2551</v>
      </c>
      <c r="B2551" t="str">
        <f>Profile!A3160</f>
        <v>Thermal (1.5.0)</v>
      </c>
      <c r="C2551">
        <f>Profile!AP3162</f>
        <v>0</v>
      </c>
      <c r="D2551" t="str">
        <f>IF(Profile!C3160="Profile",IF(Profile!A3162="ResourceRequirement","OK","XXX"),"XXX")</f>
        <v>XXX</v>
      </c>
    </row>
    <row r="2552" spans="1:4" x14ac:dyDescent="0.45">
      <c r="A2552">
        <f>ROW()</f>
        <v>2552</v>
      </c>
      <c r="B2552">
        <f>Profile!A3161</f>
        <v>0</v>
      </c>
      <c r="C2552">
        <f>Profile!AP3163</f>
        <v>0</v>
      </c>
      <c r="D2552" t="str">
        <f>IF(Profile!C3161="Profile",IF(Profile!A3163="ResourceRequirement","OK","XXX"),"XXX")</f>
        <v>XXX</v>
      </c>
    </row>
    <row r="2553" spans="1:4" x14ac:dyDescent="0.45">
      <c r="A2553">
        <f>ROW()</f>
        <v>2553</v>
      </c>
      <c r="B2553" t="str">
        <f>Profile!A3162</f>
        <v>Thermal (1.5.2)</v>
      </c>
      <c r="C2553">
        <f>Profile!AP3164</f>
        <v>62</v>
      </c>
      <c r="D2553" t="str">
        <f>IF(Profile!C3162="Profile",IF(Profile!A3164="ResourceRequirement","OK","XXX"),"XXX")</f>
        <v>OK</v>
      </c>
    </row>
    <row r="2554" spans="1:4" x14ac:dyDescent="0.45">
      <c r="A2554">
        <f>ROW()</f>
        <v>2554</v>
      </c>
      <c r="B2554">
        <f>Profile!A3163</f>
        <v>0</v>
      </c>
      <c r="C2554">
        <f>Profile!AP3165</f>
        <v>0</v>
      </c>
      <c r="D2554" t="str">
        <f>IF(Profile!C3163="Profile",IF(Profile!A3165="ResourceRequirement","OK","XXX"),"XXX")</f>
        <v>XXX</v>
      </c>
    </row>
    <row r="2555" spans="1:4" x14ac:dyDescent="0.45">
      <c r="A2555">
        <f>ROW()</f>
        <v>2555</v>
      </c>
      <c r="B2555" t="str">
        <f>Profile!A3164</f>
        <v>ResourceRequirement</v>
      </c>
      <c r="C2555">
        <f>Profile!AP3166</f>
        <v>0</v>
      </c>
      <c r="D2555" t="str">
        <f>IF(Profile!C3164="Profile",IF(Profile!A3166="ResourceRequirement","OK","XXX"),"XXX")</f>
        <v>XXX</v>
      </c>
    </row>
    <row r="2556" spans="1:4" x14ac:dyDescent="0.45">
      <c r="A2556">
        <f>ROW()</f>
        <v>2556</v>
      </c>
      <c r="B2556" t="str">
        <f>Profile!A3165</f>
        <v>Resource MinVersion</v>
      </c>
      <c r="C2556">
        <f>Profile!AP3167</f>
        <v>0</v>
      </c>
      <c r="D2556" t="str">
        <f>IF(Profile!C3165="Profile",IF(Profile!A3167="ResourceRequirement","OK","XXX"),"XXX")</f>
        <v>XXX</v>
      </c>
    </row>
    <row r="2557" spans="1:4" x14ac:dyDescent="0.45">
      <c r="A2557">
        <f>ROW()</f>
        <v>2557</v>
      </c>
      <c r="B2557" t="str">
        <f>Profile!A3166</f>
        <v>Property</v>
      </c>
      <c r="C2557">
        <f>Profile!AP3168</f>
        <v>0</v>
      </c>
      <c r="D2557" t="str">
        <f>IF(Profile!C3166="Profile",IF(Profile!A3168="ResourceRequirement","OK","XXX"),"XXX")</f>
        <v>XXX</v>
      </c>
    </row>
    <row r="2558" spans="1:4" x14ac:dyDescent="0.45">
      <c r="A2558">
        <f>ROW()</f>
        <v>2558</v>
      </c>
      <c r="B2558" t="str">
        <f>Profile!A3167</f>
        <v>Actions</v>
      </c>
      <c r="C2558">
        <f>Profile!AP3169</f>
        <v>0</v>
      </c>
      <c r="D2558" t="str">
        <f>IF(Profile!C3167="Profile",IF(Profile!A3169="ResourceRequirement","OK","XXX"),"XXX")</f>
        <v>XXX</v>
      </c>
    </row>
    <row r="2559" spans="1:4" x14ac:dyDescent="0.45">
      <c r="A2559">
        <f>ROW()</f>
        <v>2559</v>
      </c>
      <c r="B2559" t="str">
        <f>Profile!A3168</f>
        <v>Fans</v>
      </c>
      <c r="C2559">
        <f>Profile!AP3170</f>
        <v>0</v>
      </c>
      <c r="D2559" t="str">
        <f>IF(Profile!C3168="Profile",IF(Profile!A3170="ResourceRequirement","OK","XXX"),"XXX")</f>
        <v>XXX</v>
      </c>
    </row>
    <row r="2560" spans="1:4" x14ac:dyDescent="0.45">
      <c r="A2560">
        <f>ROW()</f>
        <v>2560</v>
      </c>
      <c r="B2560" t="str">
        <f>Profile!A3169</f>
        <v xml:space="preserve">   @odata.id</v>
      </c>
      <c r="C2560">
        <f>Profile!AP3171</f>
        <v>0</v>
      </c>
      <c r="D2560" t="str">
        <f>IF(Profile!C3169="Profile",IF(Profile!A3171="ResourceRequirement","OK","XXX"),"XXX")</f>
        <v>XXX</v>
      </c>
    </row>
    <row r="2561" spans="1:4" x14ac:dyDescent="0.45">
      <c r="A2561">
        <f>ROW()</f>
        <v>2561</v>
      </c>
      <c r="B2561" t="str">
        <f>Profile!A3170</f>
        <v xml:space="preserve">   Actions</v>
      </c>
      <c r="C2561">
        <f>Profile!AP3172</f>
        <v>0</v>
      </c>
      <c r="D2561" t="str">
        <f>IF(Profile!C3170="Profile",IF(Profile!A3172="ResourceRequirement","OK","XXX"),"XXX")</f>
        <v>XXX</v>
      </c>
    </row>
    <row r="2562" spans="1:4" x14ac:dyDescent="0.45">
      <c r="A2562">
        <f>ROW()</f>
        <v>2562</v>
      </c>
      <c r="B2562" t="str">
        <f>Profile!A3171</f>
        <v xml:space="preserve">   Assembly</v>
      </c>
      <c r="C2562">
        <f>Profile!AP3173</f>
        <v>0</v>
      </c>
      <c r="D2562" t="str">
        <f>IF(Profile!C3171="Profile",IF(Profile!A3173="ResourceRequirement","OK","XXX"),"XXX")</f>
        <v>XXX</v>
      </c>
    </row>
    <row r="2563" spans="1:4" x14ac:dyDescent="0.45">
      <c r="A2563">
        <f>ROW()</f>
        <v>2563</v>
      </c>
      <c r="B2563" t="str">
        <f>Profile!A3172</f>
        <v xml:space="preserve">      @odata.id</v>
      </c>
      <c r="C2563">
        <f>Profile!AP3174</f>
        <v>0</v>
      </c>
      <c r="D2563" t="str">
        <f>IF(Profile!C3172="Profile",IF(Profile!A3174="ResourceRequirement","OK","XXX"),"XXX")</f>
        <v>XXX</v>
      </c>
    </row>
    <row r="2564" spans="1:4" x14ac:dyDescent="0.45">
      <c r="A2564">
        <f>ROW()</f>
        <v>2564</v>
      </c>
      <c r="B2564" t="str">
        <f>Profile!A3173</f>
        <v xml:space="preserve">   FanName</v>
      </c>
      <c r="C2564">
        <f>Profile!AP3175</f>
        <v>0</v>
      </c>
      <c r="D2564" t="str">
        <f>IF(Profile!C3173="Profile",IF(Profile!A3175="ResourceRequirement","OK","XXX"),"XXX")</f>
        <v>XXX</v>
      </c>
    </row>
    <row r="2565" spans="1:4" x14ac:dyDescent="0.45">
      <c r="A2565">
        <f>ROW()</f>
        <v>2565</v>
      </c>
      <c r="B2565" t="str">
        <f>Profile!A3174</f>
        <v xml:space="preserve">   HotPluggable</v>
      </c>
      <c r="C2565">
        <f>Profile!AP3176</f>
        <v>0</v>
      </c>
      <c r="D2565" t="str">
        <f>IF(Profile!C3174="Profile",IF(Profile!A3176="ResourceRequirement","OK","XXX"),"XXX")</f>
        <v>XXX</v>
      </c>
    </row>
    <row r="2566" spans="1:4" x14ac:dyDescent="0.45">
      <c r="A2566">
        <f>ROW()</f>
        <v>2566</v>
      </c>
      <c r="B2566" t="str">
        <f>Profile!A3175</f>
        <v xml:space="preserve">   IndicatorLED</v>
      </c>
      <c r="C2566">
        <f>Profile!AP3177</f>
        <v>0</v>
      </c>
      <c r="D2566" t="str">
        <f>IF(Profile!C3175="Profile",IF(Profile!A3177="ResourceRequirement","OK","XXX"),"XXX")</f>
        <v>XXX</v>
      </c>
    </row>
    <row r="2567" spans="1:4" x14ac:dyDescent="0.45">
      <c r="A2567">
        <f>ROW()</f>
        <v>2567</v>
      </c>
      <c r="B2567" t="str">
        <f>Profile!A3176</f>
        <v xml:space="preserve">   Location</v>
      </c>
      <c r="C2567">
        <f>Profile!AP3178</f>
        <v>0</v>
      </c>
      <c r="D2567" t="str">
        <f>IF(Profile!C3176="Profile",IF(Profile!A3178="ResourceRequirement","OK","XXX"),"XXX")</f>
        <v>XXX</v>
      </c>
    </row>
    <row r="2568" spans="1:4" x14ac:dyDescent="0.45">
      <c r="A2568">
        <f>ROW()</f>
        <v>2568</v>
      </c>
      <c r="B2568" t="str">
        <f>Profile!A3177</f>
        <v xml:space="preserve">   LowerThresholdCritical</v>
      </c>
      <c r="C2568">
        <f>Profile!AP3179</f>
        <v>0</v>
      </c>
      <c r="D2568" t="str">
        <f>IF(Profile!C3177="Profile",IF(Profile!A3179="ResourceRequirement","OK","XXX"),"XXX")</f>
        <v>XXX</v>
      </c>
    </row>
    <row r="2569" spans="1:4" x14ac:dyDescent="0.45">
      <c r="A2569">
        <f>ROW()</f>
        <v>2569</v>
      </c>
      <c r="B2569" t="str">
        <f>Profile!A3178</f>
        <v xml:space="preserve">   LowerThresholdFatal</v>
      </c>
      <c r="C2569">
        <f>Profile!AP3180</f>
        <v>0</v>
      </c>
      <c r="D2569" t="str">
        <f>IF(Profile!C3178="Profile",IF(Profile!A3180="ResourceRequirement","OK","XXX"),"XXX")</f>
        <v>XXX</v>
      </c>
    </row>
    <row r="2570" spans="1:4" x14ac:dyDescent="0.45">
      <c r="A2570">
        <f>ROW()</f>
        <v>2570</v>
      </c>
      <c r="B2570" t="str">
        <f>Profile!A3179</f>
        <v xml:space="preserve">   LowerThresholdNonCritical</v>
      </c>
      <c r="C2570">
        <f>Profile!AP3181</f>
        <v>0</v>
      </c>
      <c r="D2570" t="str">
        <f>IF(Profile!C3179="Profile",IF(Profile!A3181="ResourceRequirement","OK","XXX"),"XXX")</f>
        <v>XXX</v>
      </c>
    </row>
    <row r="2571" spans="1:4" x14ac:dyDescent="0.45">
      <c r="A2571">
        <f>ROW()</f>
        <v>2571</v>
      </c>
      <c r="B2571" t="str">
        <f>Profile!A3180</f>
        <v xml:space="preserve">   Manufacturer</v>
      </c>
      <c r="C2571">
        <f>Profile!AP3182</f>
        <v>0</v>
      </c>
      <c r="D2571" t="str">
        <f>IF(Profile!C3180="Profile",IF(Profile!A3182="ResourceRequirement","OK","XXX"),"XXX")</f>
        <v>XXX</v>
      </c>
    </row>
    <row r="2572" spans="1:4" x14ac:dyDescent="0.45">
      <c r="A2572">
        <f>ROW()</f>
        <v>2572</v>
      </c>
      <c r="B2572" t="str">
        <f>Profile!A3181</f>
        <v xml:space="preserve">   MaxReadingRange</v>
      </c>
      <c r="C2572">
        <f>Profile!AP3183</f>
        <v>0</v>
      </c>
      <c r="D2572" t="str">
        <f>IF(Profile!C3181="Profile",IF(Profile!A3183="ResourceRequirement","OK","XXX"),"XXX")</f>
        <v>XXX</v>
      </c>
    </row>
    <row r="2573" spans="1:4" x14ac:dyDescent="0.45">
      <c r="A2573">
        <f>ROW()</f>
        <v>2573</v>
      </c>
      <c r="B2573" t="str">
        <f>Profile!A3182</f>
        <v xml:space="preserve">   MemberId</v>
      </c>
      <c r="C2573">
        <f>Profile!AP3184</f>
        <v>0</v>
      </c>
      <c r="D2573" t="str">
        <f>IF(Profile!C3182="Profile",IF(Profile!A3184="ResourceRequirement","OK","XXX"),"XXX")</f>
        <v>XXX</v>
      </c>
    </row>
    <row r="2574" spans="1:4" x14ac:dyDescent="0.45">
      <c r="A2574">
        <f>ROW()</f>
        <v>2574</v>
      </c>
      <c r="B2574" t="str">
        <f>Profile!A3183</f>
        <v xml:space="preserve">   MinReadingRange</v>
      </c>
      <c r="C2574">
        <f>Profile!AP3185</f>
        <v>0</v>
      </c>
      <c r="D2574" t="str">
        <f>IF(Profile!C3183="Profile",IF(Profile!A3185="ResourceRequirement","OK","XXX"),"XXX")</f>
        <v>XXX</v>
      </c>
    </row>
    <row r="2575" spans="1:4" x14ac:dyDescent="0.45">
      <c r="A2575">
        <f>ROW()</f>
        <v>2575</v>
      </c>
      <c r="B2575" t="str">
        <f>Profile!A3184</f>
        <v xml:space="preserve">   Model</v>
      </c>
      <c r="C2575">
        <f>Profile!AP3186</f>
        <v>0</v>
      </c>
      <c r="D2575" t="str">
        <f>IF(Profile!C3184="Profile",IF(Profile!A3186="ResourceRequirement","OK","XXX"),"XXX")</f>
        <v>XXX</v>
      </c>
    </row>
    <row r="2576" spans="1:4" x14ac:dyDescent="0.45">
      <c r="A2576">
        <f>ROW()</f>
        <v>2576</v>
      </c>
      <c r="B2576" t="str">
        <f>Profile!A3185</f>
        <v xml:space="preserve">   Name</v>
      </c>
      <c r="C2576">
        <f>Profile!AP3187</f>
        <v>0</v>
      </c>
      <c r="D2576" t="str">
        <f>IF(Profile!C3185="Profile",IF(Profile!A3187="ResourceRequirement","OK","XXX"),"XXX")</f>
        <v>XXX</v>
      </c>
    </row>
    <row r="2577" spans="1:4" x14ac:dyDescent="0.45">
      <c r="A2577">
        <f>ROW()</f>
        <v>2577</v>
      </c>
      <c r="B2577" t="str">
        <f>Profile!A3186</f>
        <v xml:space="preserve">   Oem</v>
      </c>
      <c r="C2577">
        <f>Profile!AP3188</f>
        <v>0</v>
      </c>
      <c r="D2577" t="str">
        <f>IF(Profile!C3186="Profile",IF(Profile!A3188="ResourceRequirement","OK","XXX"),"XXX")</f>
        <v>XXX</v>
      </c>
    </row>
    <row r="2578" spans="1:4" x14ac:dyDescent="0.45">
      <c r="A2578">
        <f>ROW()</f>
        <v>2578</v>
      </c>
      <c r="B2578" t="str">
        <f>Profile!A3187</f>
        <v xml:space="preserve">   PartNumber</v>
      </c>
      <c r="C2578">
        <f>Profile!AP3189</f>
        <v>0</v>
      </c>
      <c r="D2578" t="str">
        <f>IF(Profile!C3187="Profile",IF(Profile!A3189="ResourceRequirement","OK","XXX"),"XXX")</f>
        <v>XXX</v>
      </c>
    </row>
    <row r="2579" spans="1:4" x14ac:dyDescent="0.45">
      <c r="A2579">
        <f>ROW()</f>
        <v>2579</v>
      </c>
      <c r="B2579" t="str">
        <f>Profile!A3188</f>
        <v xml:space="preserve">   PhysicalContext</v>
      </c>
      <c r="C2579">
        <f>Profile!AP3190</f>
        <v>0</v>
      </c>
      <c r="D2579" t="str">
        <f>IF(Profile!C3188="Profile",IF(Profile!A3190="ResourceRequirement","OK","XXX"),"XXX")</f>
        <v>XXX</v>
      </c>
    </row>
    <row r="2580" spans="1:4" x14ac:dyDescent="0.45">
      <c r="A2580">
        <f>ROW()</f>
        <v>2580</v>
      </c>
      <c r="B2580" t="str">
        <f>Profile!A3189</f>
        <v xml:space="preserve">   Reading</v>
      </c>
      <c r="C2580">
        <f>Profile!AP3191</f>
        <v>0</v>
      </c>
      <c r="D2580" t="str">
        <f>IF(Profile!C3189="Profile",IF(Profile!A3191="ResourceRequirement","OK","XXX"),"XXX")</f>
        <v>XXX</v>
      </c>
    </row>
    <row r="2581" spans="1:4" x14ac:dyDescent="0.45">
      <c r="A2581">
        <f>ROW()</f>
        <v>2581</v>
      </c>
      <c r="B2581" t="str">
        <f>Profile!A3190</f>
        <v xml:space="preserve">   ReadingUnits</v>
      </c>
      <c r="C2581">
        <f>Profile!AP3192</f>
        <v>0</v>
      </c>
      <c r="D2581" t="str">
        <f>IF(Profile!C3190="Profile",IF(Profile!A3192="ResourceRequirement","OK","XXX"),"XXX")</f>
        <v>XXX</v>
      </c>
    </row>
    <row r="2582" spans="1:4" x14ac:dyDescent="0.45">
      <c r="A2582">
        <f>ROW()</f>
        <v>2582</v>
      </c>
      <c r="B2582" t="str">
        <f>Profile!A3191</f>
        <v xml:space="preserve">   Redundancy</v>
      </c>
      <c r="C2582">
        <f>Profile!AP3193</f>
        <v>0</v>
      </c>
      <c r="D2582" t="str">
        <f>IF(Profile!C3191="Profile",IF(Profile!A3193="ResourceRequirement","OK","XXX"),"XXX")</f>
        <v>XXX</v>
      </c>
    </row>
    <row r="2583" spans="1:4" x14ac:dyDescent="0.45">
      <c r="A2583">
        <f>ROW()</f>
        <v>2583</v>
      </c>
      <c r="B2583" t="str">
        <f>Profile!A3192</f>
        <v xml:space="preserve">      @odata.id</v>
      </c>
      <c r="C2583">
        <f>Profile!AP3194</f>
        <v>0</v>
      </c>
      <c r="D2583" t="str">
        <f>IF(Profile!C3192="Profile",IF(Profile!A3194="ResourceRequirement","OK","XXX"),"XXX")</f>
        <v>XXX</v>
      </c>
    </row>
    <row r="2584" spans="1:4" x14ac:dyDescent="0.45">
      <c r="A2584">
        <f>ROW()</f>
        <v>2584</v>
      </c>
      <c r="B2584" t="str">
        <f>Profile!A3193</f>
        <v xml:space="preserve">   RelatedItem</v>
      </c>
      <c r="C2584">
        <f>Profile!AP3195</f>
        <v>0</v>
      </c>
      <c r="D2584" t="str">
        <f>IF(Profile!C3193="Profile",IF(Profile!A3195="ResourceRequirement","OK","XXX"),"XXX")</f>
        <v>XXX</v>
      </c>
    </row>
    <row r="2585" spans="1:4" x14ac:dyDescent="0.45">
      <c r="A2585">
        <f>ROW()</f>
        <v>2585</v>
      </c>
      <c r="B2585" t="str">
        <f>Profile!A3194</f>
        <v xml:space="preserve">      @odata.id</v>
      </c>
      <c r="C2585">
        <f>Profile!AP3196</f>
        <v>0</v>
      </c>
      <c r="D2585" t="str">
        <f>IF(Profile!C3194="Profile",IF(Profile!A3196="ResourceRequirement","OK","XXX"),"XXX")</f>
        <v>XXX</v>
      </c>
    </row>
    <row r="2586" spans="1:4" x14ac:dyDescent="0.45">
      <c r="A2586">
        <f>ROW()</f>
        <v>2586</v>
      </c>
      <c r="B2586" t="str">
        <f>Profile!A3195</f>
        <v xml:space="preserve">   SensorNumber</v>
      </c>
      <c r="C2586">
        <f>Profile!AP3197</f>
        <v>0</v>
      </c>
      <c r="D2586" t="str">
        <f>IF(Profile!C3195="Profile",IF(Profile!A3197="ResourceRequirement","OK","XXX"),"XXX")</f>
        <v>XXX</v>
      </c>
    </row>
    <row r="2587" spans="1:4" x14ac:dyDescent="0.45">
      <c r="A2587">
        <f>ROW()</f>
        <v>2587</v>
      </c>
      <c r="B2587" t="str">
        <f>Profile!A3196</f>
        <v xml:space="preserve">   SerialNumber</v>
      </c>
      <c r="C2587">
        <f>Profile!AP3198</f>
        <v>0</v>
      </c>
      <c r="D2587" t="str">
        <f>IF(Profile!C3196="Profile",IF(Profile!A3198="ResourceRequirement","OK","XXX"),"XXX")</f>
        <v>XXX</v>
      </c>
    </row>
    <row r="2588" spans="1:4" x14ac:dyDescent="0.45">
      <c r="A2588">
        <f>ROW()</f>
        <v>2588</v>
      </c>
      <c r="B2588" t="str">
        <f>Profile!A3197</f>
        <v xml:space="preserve">   SparePartNumber</v>
      </c>
      <c r="C2588">
        <f>Profile!AP3199</f>
        <v>0</v>
      </c>
      <c r="D2588" t="str">
        <f>IF(Profile!C3197="Profile",IF(Profile!A3199="ResourceRequirement","OK","XXX"),"XXX")</f>
        <v>XXX</v>
      </c>
    </row>
    <row r="2589" spans="1:4" x14ac:dyDescent="0.45">
      <c r="A2589">
        <f>ROW()</f>
        <v>2589</v>
      </c>
      <c r="B2589" t="str">
        <f>Profile!A3198</f>
        <v xml:space="preserve">   Status</v>
      </c>
      <c r="C2589">
        <f>Profile!AP3200</f>
        <v>0</v>
      </c>
      <c r="D2589" t="str">
        <f>IF(Profile!C3198="Profile",IF(Profile!A3200="ResourceRequirement","OK","XXX"),"XXX")</f>
        <v>XXX</v>
      </c>
    </row>
    <row r="2590" spans="1:4" x14ac:dyDescent="0.45">
      <c r="A2590">
        <f>ROW()</f>
        <v>2590</v>
      </c>
      <c r="B2590" t="str">
        <f>Profile!A3199</f>
        <v xml:space="preserve">   UpperThresholdCritical</v>
      </c>
      <c r="C2590">
        <f>Profile!AP3201</f>
        <v>0</v>
      </c>
      <c r="D2590" t="str">
        <f>IF(Profile!C3199="Profile",IF(Profile!A3201="ResourceRequirement","OK","XXX"),"XXX")</f>
        <v>XXX</v>
      </c>
    </row>
    <row r="2591" spans="1:4" x14ac:dyDescent="0.45">
      <c r="A2591">
        <f>ROW()</f>
        <v>2591</v>
      </c>
      <c r="B2591" t="str">
        <f>Profile!A3200</f>
        <v xml:space="preserve">   UpperThresholdFatal</v>
      </c>
      <c r="C2591">
        <f>Profile!AP3202</f>
        <v>0</v>
      </c>
      <c r="D2591" t="str">
        <f>IF(Profile!C3200="Profile",IF(Profile!A3202="ResourceRequirement","OK","XXX"),"XXX")</f>
        <v>XXX</v>
      </c>
    </row>
    <row r="2592" spans="1:4" x14ac:dyDescent="0.45">
      <c r="A2592">
        <f>ROW()</f>
        <v>2592</v>
      </c>
      <c r="B2592" t="str">
        <f>Profile!A3201</f>
        <v xml:space="preserve">   UpperThresholdNonCritical</v>
      </c>
      <c r="C2592">
        <f>Profile!AP3203</f>
        <v>0</v>
      </c>
      <c r="D2592" t="str">
        <f>IF(Profile!C3201="Profile",IF(Profile!A3203="ResourceRequirement","OK","XXX"),"XXX")</f>
        <v>XXX</v>
      </c>
    </row>
    <row r="2593" spans="1:4" x14ac:dyDescent="0.45">
      <c r="A2593">
        <f>ROW()</f>
        <v>2593</v>
      </c>
      <c r="B2593" t="str">
        <f>Profile!A3202</f>
        <v>Redundancy</v>
      </c>
      <c r="C2593">
        <f>Profile!AP3204</f>
        <v>0</v>
      </c>
      <c r="D2593" t="str">
        <f>IF(Profile!C3202="Profile",IF(Profile!A3204="ResourceRequirement","OK","XXX"),"XXX")</f>
        <v>XXX</v>
      </c>
    </row>
    <row r="2594" spans="1:4" x14ac:dyDescent="0.45">
      <c r="A2594">
        <f>ROW()</f>
        <v>2594</v>
      </c>
      <c r="B2594" t="str">
        <f>Profile!A3203</f>
        <v xml:space="preserve">   @odata.id</v>
      </c>
      <c r="C2594">
        <f>Profile!AP3207</f>
        <v>0</v>
      </c>
      <c r="D2594" t="str">
        <f>IF(Profile!C3203="Profile",IF(Profile!A3207="ResourceRequirement","OK","XXX"),"XXX")</f>
        <v>XXX</v>
      </c>
    </row>
    <row r="2595" spans="1:4" x14ac:dyDescent="0.45">
      <c r="A2595">
        <f>ROW()</f>
        <v>2595</v>
      </c>
      <c r="B2595" t="str">
        <f>Profile!A3204</f>
        <v>Status</v>
      </c>
      <c r="C2595">
        <f>Profile!AP3208</f>
        <v>0</v>
      </c>
      <c r="D2595" t="str">
        <f>IF(Profile!C3204="Profile",IF(Profile!A3208="ResourceRequirement","OK","XXX"),"XXX")</f>
        <v>XXX</v>
      </c>
    </row>
    <row r="2596" spans="1:4" x14ac:dyDescent="0.45">
      <c r="A2596">
        <f>ROW()</f>
        <v>2596</v>
      </c>
      <c r="B2596" t="str">
        <f>Profile!A3207</f>
        <v>Temperatures</v>
      </c>
      <c r="C2596">
        <f>Profile!AP3209</f>
        <v>0</v>
      </c>
      <c r="D2596" t="str">
        <f>IF(Profile!C3207="Profile",IF(Profile!A3209="ResourceRequirement","OK","XXX"),"XXX")</f>
        <v>XXX</v>
      </c>
    </row>
    <row r="2597" spans="1:4" x14ac:dyDescent="0.45">
      <c r="A2597">
        <f>ROW()</f>
        <v>2597</v>
      </c>
      <c r="B2597" t="str">
        <f>Profile!A3208</f>
        <v xml:space="preserve">   @odata.id</v>
      </c>
      <c r="C2597">
        <f>Profile!AP3210</f>
        <v>0</v>
      </c>
      <c r="D2597" t="str">
        <f>IF(Profile!C3208="Profile",IF(Profile!A3210="ResourceRequirement","OK","XXX"),"XXX")</f>
        <v>XXX</v>
      </c>
    </row>
    <row r="2598" spans="1:4" x14ac:dyDescent="0.45">
      <c r="A2598">
        <f>ROW()</f>
        <v>2598</v>
      </c>
      <c r="B2598" t="str">
        <f>Profile!A3209</f>
        <v xml:space="preserve">   Actions</v>
      </c>
      <c r="C2598">
        <f>Profile!AP3211</f>
        <v>0</v>
      </c>
      <c r="D2598" t="str">
        <f>IF(Profile!C3209="Profile",IF(Profile!A3211="ResourceRequirement","OK","XXX"),"XXX")</f>
        <v>XXX</v>
      </c>
    </row>
    <row r="2599" spans="1:4" x14ac:dyDescent="0.45">
      <c r="A2599">
        <f>ROW()</f>
        <v>2599</v>
      </c>
      <c r="B2599" t="str">
        <f>Profile!A3210</f>
        <v xml:space="preserve">      AdjustedMaxAllowableOperatingValue</v>
      </c>
      <c r="C2599">
        <f>Profile!AP3212</f>
        <v>0</v>
      </c>
      <c r="D2599" t="str">
        <f>IF(Profile!C3210="Profile",IF(Profile!A3212="ResourceRequirement","OK","XXX"),"XXX")</f>
        <v>XXX</v>
      </c>
    </row>
    <row r="2600" spans="1:4" x14ac:dyDescent="0.45">
      <c r="A2600">
        <f>ROW()</f>
        <v>2600</v>
      </c>
      <c r="B2600" t="str">
        <f>Profile!A3211</f>
        <v xml:space="preserve">      AdjustedMinAllowableOperatingValue</v>
      </c>
      <c r="C2600">
        <f>Profile!AP3213</f>
        <v>0</v>
      </c>
      <c r="D2600" t="str">
        <f>IF(Profile!C3211="Profile",IF(Profile!A3213="ResourceRequirement","OK","XXX"),"XXX")</f>
        <v>XXX</v>
      </c>
    </row>
    <row r="2601" spans="1:4" x14ac:dyDescent="0.45">
      <c r="A2601">
        <f>ROW()</f>
        <v>2601</v>
      </c>
      <c r="B2601" t="str">
        <f>Profile!A3212</f>
        <v xml:space="preserve">   DeltaPhysicalContext</v>
      </c>
      <c r="C2601">
        <f>Profile!AP3214</f>
        <v>0</v>
      </c>
      <c r="D2601" t="str">
        <f>IF(Profile!C3212="Profile",IF(Profile!A3214="ResourceRequirement","OK","XXX"),"XXX")</f>
        <v>XXX</v>
      </c>
    </row>
    <row r="2602" spans="1:4" x14ac:dyDescent="0.45">
      <c r="A2602">
        <f>ROW()</f>
        <v>2602</v>
      </c>
      <c r="B2602" t="str">
        <f>Profile!A3213</f>
        <v xml:space="preserve">   DeltaReadingCelsius</v>
      </c>
      <c r="C2602">
        <f>Profile!AP3215</f>
        <v>0</v>
      </c>
      <c r="D2602" t="str">
        <f>IF(Profile!C3213="Profile",IF(Profile!A3215="ResourceRequirement","OK","XXX"),"XXX")</f>
        <v>XXX</v>
      </c>
    </row>
    <row r="2603" spans="1:4" x14ac:dyDescent="0.45">
      <c r="A2603">
        <f>ROW()</f>
        <v>2603</v>
      </c>
      <c r="B2603" t="str">
        <f>Profile!A3214</f>
        <v xml:space="preserve">   LowerThresholdCritical</v>
      </c>
      <c r="C2603">
        <f>Profile!AP3216</f>
        <v>0</v>
      </c>
      <c r="D2603" t="str">
        <f>IF(Profile!C3214="Profile",IF(Profile!A3216="ResourceRequirement","OK","XXX"),"XXX")</f>
        <v>XXX</v>
      </c>
    </row>
    <row r="2604" spans="1:4" x14ac:dyDescent="0.45">
      <c r="A2604">
        <f>ROW()</f>
        <v>2604</v>
      </c>
      <c r="B2604" t="str">
        <f>Profile!A3215</f>
        <v xml:space="preserve">   LowerThresholdFatal</v>
      </c>
      <c r="C2604">
        <f>Profile!AP3217</f>
        <v>0</v>
      </c>
      <c r="D2604" t="str">
        <f>IF(Profile!C3215="Profile",IF(Profile!A3217="ResourceRequirement","OK","XXX"),"XXX")</f>
        <v>XXX</v>
      </c>
    </row>
    <row r="2605" spans="1:4" x14ac:dyDescent="0.45">
      <c r="A2605">
        <f>ROW()</f>
        <v>2605</v>
      </c>
      <c r="B2605" t="str">
        <f>Profile!A3216</f>
        <v xml:space="preserve">   LowerThresholdNonCritical</v>
      </c>
      <c r="C2605">
        <f>Profile!AP3218</f>
        <v>0</v>
      </c>
      <c r="D2605" t="str">
        <f>IF(Profile!C3216="Profile",IF(Profile!A3218="ResourceRequirement","OK","XXX"),"XXX")</f>
        <v>XXX</v>
      </c>
    </row>
    <row r="2606" spans="1:4" x14ac:dyDescent="0.45">
      <c r="A2606">
        <f>ROW()</f>
        <v>2606</v>
      </c>
      <c r="B2606" t="str">
        <f>Profile!A3217</f>
        <v xml:space="preserve">   MaxAllowableOperatingValue</v>
      </c>
      <c r="C2606">
        <f>Profile!AP3219</f>
        <v>0</v>
      </c>
      <c r="D2606" t="str">
        <f>IF(Profile!C3217="Profile",IF(Profile!A3219="ResourceRequirement","OK","XXX"),"XXX")</f>
        <v>XXX</v>
      </c>
    </row>
    <row r="2607" spans="1:4" x14ac:dyDescent="0.45">
      <c r="A2607">
        <f>ROW()</f>
        <v>2607</v>
      </c>
      <c r="B2607" t="str">
        <f>Profile!A3218</f>
        <v xml:space="preserve">   MaxReadingRangeTemp</v>
      </c>
      <c r="C2607">
        <f>Profile!AP3220</f>
        <v>0</v>
      </c>
      <c r="D2607" t="str">
        <f>IF(Profile!C3218="Profile",IF(Profile!A3220="ResourceRequirement","OK","XXX"),"XXX")</f>
        <v>XXX</v>
      </c>
    </row>
    <row r="2608" spans="1:4" x14ac:dyDescent="0.45">
      <c r="A2608">
        <f>ROW()</f>
        <v>2608</v>
      </c>
      <c r="B2608" t="str">
        <f>Profile!A3219</f>
        <v xml:space="preserve">   MemberId</v>
      </c>
      <c r="C2608">
        <f>Profile!AP3221</f>
        <v>0</v>
      </c>
      <c r="D2608" t="str">
        <f>IF(Profile!C3219="Profile",IF(Profile!A3221="ResourceRequirement","OK","XXX"),"XXX")</f>
        <v>XXX</v>
      </c>
    </row>
    <row r="2609" spans="1:4" x14ac:dyDescent="0.45">
      <c r="A2609">
        <f>ROW()</f>
        <v>2609</v>
      </c>
      <c r="B2609" t="str">
        <f>Profile!A3220</f>
        <v xml:space="preserve">   MinAllowableOperatingValue</v>
      </c>
      <c r="C2609">
        <f>Profile!AP3222</f>
        <v>0</v>
      </c>
      <c r="D2609" t="str">
        <f>IF(Profile!C3220="Profile",IF(Profile!A3222="ResourceRequirement","OK","XXX"),"XXX")</f>
        <v>XXX</v>
      </c>
    </row>
    <row r="2610" spans="1:4" x14ac:dyDescent="0.45">
      <c r="A2610">
        <f>ROW()</f>
        <v>2610</v>
      </c>
      <c r="B2610" t="str">
        <f>Profile!A3221</f>
        <v xml:space="preserve">   MinReadingRangeTemp</v>
      </c>
      <c r="C2610">
        <f>Profile!AP3223</f>
        <v>0</v>
      </c>
      <c r="D2610" t="str">
        <f>IF(Profile!C3221="Profile",IF(Profile!A3223="ResourceRequirement","OK","XXX"),"XXX")</f>
        <v>XXX</v>
      </c>
    </row>
    <row r="2611" spans="1:4" x14ac:dyDescent="0.45">
      <c r="A2611">
        <f>ROW()</f>
        <v>2611</v>
      </c>
      <c r="B2611" t="str">
        <f>Profile!A3222</f>
        <v xml:space="preserve">   Name</v>
      </c>
      <c r="C2611">
        <f>Profile!AP3224</f>
        <v>0</v>
      </c>
      <c r="D2611" t="str">
        <f>IF(Profile!C3222="Profile",IF(Profile!A3224="ResourceRequirement","OK","XXX"),"XXX")</f>
        <v>XXX</v>
      </c>
    </row>
    <row r="2612" spans="1:4" x14ac:dyDescent="0.45">
      <c r="A2612">
        <f>ROW()</f>
        <v>2612</v>
      </c>
      <c r="B2612" t="str">
        <f>Profile!A3223</f>
        <v xml:space="preserve">   Oem</v>
      </c>
      <c r="C2612">
        <f>Profile!AP3225</f>
        <v>0</v>
      </c>
      <c r="D2612" t="str">
        <f>IF(Profile!C3223="Profile",IF(Profile!A3225="ResourceRequirement","OK","XXX"),"XXX")</f>
        <v>XXX</v>
      </c>
    </row>
    <row r="2613" spans="1:4" x14ac:dyDescent="0.45">
      <c r="A2613">
        <f>ROW()</f>
        <v>2613</v>
      </c>
      <c r="B2613" t="str">
        <f>Profile!A3224</f>
        <v xml:space="preserve">   PhysicalContext</v>
      </c>
      <c r="C2613">
        <f>Profile!AP3226</f>
        <v>0</v>
      </c>
      <c r="D2613" t="str">
        <f>IF(Profile!C3224="Profile",IF(Profile!A3226="ResourceRequirement","OK","XXX"),"XXX")</f>
        <v>XXX</v>
      </c>
    </row>
    <row r="2614" spans="1:4" x14ac:dyDescent="0.45">
      <c r="A2614">
        <f>ROW()</f>
        <v>2614</v>
      </c>
      <c r="B2614" t="str">
        <f>Profile!A3225</f>
        <v xml:space="preserve">   ReadingCelsius</v>
      </c>
      <c r="C2614">
        <f>Profile!AP3227</f>
        <v>0</v>
      </c>
      <c r="D2614" t="str">
        <f>IF(Profile!C3225="Profile",IF(Profile!A3227="ResourceRequirement","OK","XXX"),"XXX")</f>
        <v>XXX</v>
      </c>
    </row>
    <row r="2615" spans="1:4" x14ac:dyDescent="0.45">
      <c r="A2615">
        <f>ROW()</f>
        <v>2615</v>
      </c>
      <c r="B2615" t="str">
        <f>Profile!A3226</f>
        <v xml:space="preserve">   RelatedItem</v>
      </c>
      <c r="C2615">
        <f>Profile!AP3228</f>
        <v>0</v>
      </c>
      <c r="D2615" t="str">
        <f>IF(Profile!C3226="Profile",IF(Profile!A3228="ResourceRequirement","OK","XXX"),"XXX")</f>
        <v>XXX</v>
      </c>
    </row>
    <row r="2616" spans="1:4" x14ac:dyDescent="0.45">
      <c r="A2616">
        <f>ROW()</f>
        <v>2616</v>
      </c>
      <c r="B2616" t="str">
        <f>Profile!A3227</f>
        <v xml:space="preserve">      @odata.id</v>
      </c>
      <c r="C2616">
        <f>Profile!AP3229</f>
        <v>0</v>
      </c>
      <c r="D2616" t="str">
        <f>IF(Profile!C3227="Profile",IF(Profile!A3229="ResourceRequirement","OK","XXX"),"XXX")</f>
        <v>XXX</v>
      </c>
    </row>
    <row r="2617" spans="1:4" x14ac:dyDescent="0.45">
      <c r="A2617">
        <f>ROW()</f>
        <v>2617</v>
      </c>
      <c r="B2617" t="str">
        <f>Profile!A3228</f>
        <v xml:space="preserve">   SensorNumber</v>
      </c>
      <c r="C2617">
        <f>Profile!AP3232</f>
        <v>0</v>
      </c>
      <c r="D2617" t="str">
        <f>IF(Profile!C3228="Profile",IF(Profile!A3232="ResourceRequirement","OK","XXX"),"XXX")</f>
        <v>XXX</v>
      </c>
    </row>
    <row r="2618" spans="1:4" x14ac:dyDescent="0.45">
      <c r="A2618">
        <f>ROW()</f>
        <v>2618</v>
      </c>
      <c r="B2618" t="str">
        <f>Profile!A3229</f>
        <v xml:space="preserve">   Status</v>
      </c>
      <c r="C2618">
        <f>Profile!AP3233</f>
        <v>0</v>
      </c>
      <c r="D2618" t="str">
        <f>IF(Profile!C3229="Profile",IF(Profile!A3233="ResourceRequirement","OK","XXX"),"XXX")</f>
        <v>XXX</v>
      </c>
    </row>
    <row r="2619" spans="1:4" x14ac:dyDescent="0.45">
      <c r="A2619">
        <f>ROW()</f>
        <v>2619</v>
      </c>
      <c r="B2619" t="str">
        <f>Profile!A3232</f>
        <v xml:space="preserve">   UpperThresholdCritical</v>
      </c>
      <c r="C2619">
        <f>Profile!AP3234</f>
        <v>0</v>
      </c>
      <c r="D2619" t="str">
        <f>IF(Profile!C3232="Profile",IF(Profile!A3234="ResourceRequirement","OK","XXX"),"XXX")</f>
        <v>XXX</v>
      </c>
    </row>
    <row r="2620" spans="1:4" x14ac:dyDescent="0.45">
      <c r="A2620">
        <f>ROW()</f>
        <v>2620</v>
      </c>
      <c r="B2620" t="str">
        <f>Profile!A3233</f>
        <v xml:space="preserve">   UpperThresholdFatal</v>
      </c>
      <c r="C2620">
        <f>Profile!AP3235</f>
        <v>0</v>
      </c>
      <c r="D2620" t="str">
        <f>IF(Profile!C3233="Profile",IF(Profile!A3235="ResourceRequirement","OK","XXX"),"XXX")</f>
        <v>XXX</v>
      </c>
    </row>
    <row r="2621" spans="1:4" x14ac:dyDescent="0.45">
      <c r="A2621">
        <f>ROW()</f>
        <v>2621</v>
      </c>
      <c r="B2621" t="str">
        <f>Profile!A3234</f>
        <v xml:space="preserve">   UpperThresholdNonCritical</v>
      </c>
      <c r="C2621">
        <f>Profile!AP3236</f>
        <v>0</v>
      </c>
      <c r="D2621" t="str">
        <f>IF(Profile!C3234="Profile",IF(Profile!A3236="ResourceRequirement","OK","XXX"),"XXX")</f>
        <v>XXX</v>
      </c>
    </row>
    <row r="2622" spans="1:4" x14ac:dyDescent="0.45">
      <c r="A2622">
        <f>ROW()</f>
        <v>2622</v>
      </c>
      <c r="B2622" t="str">
        <f>Profile!A3235</f>
        <v>Thermal URIs</v>
      </c>
      <c r="C2622">
        <f>Profile!AP3237</f>
        <v>0</v>
      </c>
      <c r="D2622" t="str">
        <f>IF(Profile!C3235="Profile",IF(Profile!A3237="ResourceRequirement","OK","XXX"),"XXX")</f>
        <v>XXX</v>
      </c>
    </row>
    <row r="2623" spans="1:4" x14ac:dyDescent="0.45">
      <c r="A2623">
        <f>ROW()</f>
        <v>2623</v>
      </c>
      <c r="B2623" t="str">
        <f>Profile!A3236</f>
        <v>/redfish/v1/Chassis/{ChassisId}/Thermal</v>
      </c>
      <c r="C2623">
        <f>Profile!AP3238</f>
        <v>0</v>
      </c>
      <c r="D2623" t="str">
        <f>IF(Profile!C3236="Profile",IF(Profile!A3238="ResourceRequirement","OK","XXX"),"XXX")</f>
        <v>XXX</v>
      </c>
    </row>
    <row r="2624" spans="1:4" x14ac:dyDescent="0.45">
      <c r="A2624">
        <f>ROW()</f>
        <v>2624</v>
      </c>
      <c r="B2624">
        <f>Profile!A3237</f>
        <v>0</v>
      </c>
      <c r="C2624">
        <f>Profile!AP3239</f>
        <v>0</v>
      </c>
      <c r="D2624" t="str">
        <f>IF(Profile!C3237="Profile",IF(Profile!A3239="ResourceRequirement","OK","XXX"),"XXX")</f>
        <v>XXX</v>
      </c>
    </row>
    <row r="2625" spans="1:4" x14ac:dyDescent="0.45">
      <c r="A2625">
        <f>ROW()</f>
        <v>2625</v>
      </c>
      <c r="B2625" t="str">
        <f>Profile!A3238</f>
        <v>1.1.8                 Security</v>
      </c>
      <c r="C2625">
        <f>Profile!AP3240</f>
        <v>0</v>
      </c>
      <c r="D2625" t="str">
        <f>IF(Profile!C3238="Profile",IF(Profile!A3240="ResourceRequirement","OK","XXX"),"XXX")</f>
        <v>XXX</v>
      </c>
    </row>
    <row r="2626" spans="1:4" x14ac:dyDescent="0.45">
      <c r="A2626">
        <f>ROW()</f>
        <v>2626</v>
      </c>
      <c r="B2626" t="str">
        <f>Profile!A3239</f>
        <v>1.1.8.1               Identifier</v>
      </c>
      <c r="C2626">
        <f>Profile!AP3241</f>
        <v>0</v>
      </c>
      <c r="D2626" t="str">
        <f>IF(Profile!C3239="Profile",IF(Profile!A3241="ResourceRequirement","OK","XXX"),"XXX")</f>
        <v>XXX</v>
      </c>
    </row>
    <row r="2627" spans="1:4" x14ac:dyDescent="0.45">
      <c r="A2627">
        <f>ROW()</f>
        <v>2627</v>
      </c>
      <c r="B2627" t="str">
        <f>Profile!A3240</f>
        <v>The Identifier object defines the properties used to identify a particular instance of a device.</v>
      </c>
      <c r="C2627">
        <f>Profile!AP3242</f>
        <v>0</v>
      </c>
      <c r="D2627" t="str">
        <f>IF(Profile!C3240="Profile",IF(Profile!A3242="ResourceRequirement","OK","XXX"),"XXX")</f>
        <v>XXX</v>
      </c>
    </row>
    <row r="2628" spans="1:4" x14ac:dyDescent="0.45">
      <c r="A2628">
        <f>ROW()</f>
        <v>2628</v>
      </c>
      <c r="B2628" t="str">
        <f>Profile!A3241</f>
        <v>Table 76: O-PAS Profile Map for the Redfish Identifier Object</v>
      </c>
      <c r="C2628">
        <f>Profile!AP3243</f>
        <v>0</v>
      </c>
      <c r="D2628" t="str">
        <f>IF(Profile!C3241="Profile",IF(Profile!A3243="ResourceRequirement","OK","XXX"),"XXX")</f>
        <v>XXX</v>
      </c>
    </row>
    <row r="2629" spans="1:4" x14ac:dyDescent="0.45">
      <c r="A2629">
        <f>ROW()</f>
        <v>2629</v>
      </c>
      <c r="B2629" t="str">
        <f>Profile!A3242</f>
        <v>Identifier</v>
      </c>
      <c r="C2629">
        <f>Profile!AP3244</f>
        <v>0</v>
      </c>
      <c r="D2629" t="str">
        <f>IF(Profile!C3242="Profile",IF(Profile!A3244="ResourceRequirement","OK","XXX"),"XXX")</f>
        <v>XXX</v>
      </c>
    </row>
    <row r="2630" spans="1:4" x14ac:dyDescent="0.45">
      <c r="A2630">
        <f>ROW()</f>
        <v>2630</v>
      </c>
      <c r="B2630">
        <f>Profile!A3243</f>
        <v>0</v>
      </c>
      <c r="C2630">
        <f>Profile!AP3245</f>
        <v>0</v>
      </c>
      <c r="D2630" t="str">
        <f>IF(Profile!C3243="Profile",IF(Profile!A3245="ResourceRequirement","OK","XXX"),"XXX")</f>
        <v>XXX</v>
      </c>
    </row>
    <row r="2631" spans="1:4" x14ac:dyDescent="0.45">
      <c r="A2631">
        <f>ROW()</f>
        <v>2631</v>
      </c>
      <c r="B2631" t="str">
        <f>Profile!A3244</f>
        <v>Property</v>
      </c>
      <c r="C2631">
        <f>Profile!AP3246</f>
        <v>0</v>
      </c>
      <c r="D2631" t="str">
        <f>IF(Profile!C3244="Profile",IF(Profile!A3246="ResourceRequirement","OK","XXX"),"XXX")</f>
        <v>XXX</v>
      </c>
    </row>
    <row r="2632" spans="1:4" x14ac:dyDescent="0.45">
      <c r="A2632">
        <f>ROW()</f>
        <v>2632</v>
      </c>
      <c r="B2632" t="str">
        <f>Profile!A3245</f>
        <v>DurableName</v>
      </c>
      <c r="C2632">
        <f>Profile!AP3247</f>
        <v>0</v>
      </c>
      <c r="D2632" t="str">
        <f>IF(Profile!C3245="Profile",IF(Profile!A3247="ResourceRequirement","OK","XXX"),"XXX")</f>
        <v>XXX</v>
      </c>
    </row>
    <row r="2633" spans="1:4" x14ac:dyDescent="0.45">
      <c r="A2633">
        <f>ROW()</f>
        <v>2633</v>
      </c>
      <c r="B2633" t="str">
        <f>Profile!A3246</f>
        <v>DurableNameFormat</v>
      </c>
      <c r="C2633">
        <f>Profile!AP3248</f>
        <v>0</v>
      </c>
      <c r="D2633" t="str">
        <f>IF(Profile!C3246="Profile",IF(Profile!A3248="ResourceRequirement","OK","XXX"),"XXX")</f>
        <v>XXX</v>
      </c>
    </row>
    <row r="2634" spans="1:4" x14ac:dyDescent="0.45">
      <c r="A2634">
        <f>ROW()</f>
        <v>2634</v>
      </c>
      <c r="B2634">
        <f>Profile!A3247</f>
        <v>0</v>
      </c>
      <c r="C2634">
        <f>Profile!AP3249</f>
        <v>0</v>
      </c>
      <c r="D2634" t="str">
        <f>IF(Profile!C3247="Profile",IF(Profile!A3249="ResourceRequirement","OK","XXX"),"XXX")</f>
        <v>XXX</v>
      </c>
    </row>
    <row r="2635" spans="1:4" x14ac:dyDescent="0.45">
      <c r="A2635">
        <f>ROW()</f>
        <v>2635</v>
      </c>
      <c r="B2635" t="str">
        <f>Profile!A3248</f>
        <v>DurableNameFormat</v>
      </c>
      <c r="C2635">
        <f>Profile!AP3250</f>
        <v>0</v>
      </c>
      <c r="D2635" t="str">
        <f>IF(Profile!C3248="Profile",IF(Profile!A3250="ResourceRequirement","OK","XXX"),"XXX")</f>
        <v>XXX</v>
      </c>
    </row>
    <row r="2636" spans="1:4" x14ac:dyDescent="0.45">
      <c r="A2636">
        <f>ROW()</f>
        <v>2636</v>
      </c>
      <c r="B2636" t="str">
        <f>Profile!A3249</f>
        <v>Values for the DurableName property which identify the format of the name.</v>
      </c>
      <c r="C2636">
        <f>Profile!AP3251</f>
        <v>0</v>
      </c>
      <c r="D2636" t="str">
        <f>IF(Profile!C3249="Profile",IF(Profile!A3251="ResourceRequirement","OK","XXX"),"XXX")</f>
        <v>XXX</v>
      </c>
    </row>
    <row r="2637" spans="1:4" x14ac:dyDescent="0.45">
      <c r="A2637">
        <f>ROW()</f>
        <v>2637</v>
      </c>
      <c r="B2637" t="str">
        <f>Profile!A3250</f>
        <v>Table 77: Redfish Identifier DurableNameFormat Values</v>
      </c>
      <c r="C2637">
        <f>Profile!AP3252</f>
        <v>0</v>
      </c>
      <c r="D2637" t="str">
        <f>IF(Profile!C3250="Profile",IF(Profile!A3252="ResourceRequirement","OK","XXX"),"XXX")</f>
        <v>XXX</v>
      </c>
    </row>
    <row r="2638" spans="1:4" x14ac:dyDescent="0.45">
      <c r="A2638">
        <f>ROW()</f>
        <v>2638</v>
      </c>
      <c r="B2638" t="str">
        <f>Profile!A3251</f>
        <v>String</v>
      </c>
      <c r="C2638">
        <f>Profile!AP3253</f>
        <v>0</v>
      </c>
      <c r="D2638" t="str">
        <f>IF(Profile!C3251="Profile",IF(Profile!A3253="ResourceRequirement","OK","XXX"),"XXX")</f>
        <v>XXX</v>
      </c>
    </row>
    <row r="2639" spans="1:4" x14ac:dyDescent="0.45">
      <c r="A2639">
        <f>ROW()</f>
        <v>2639</v>
      </c>
      <c r="B2639" t="str">
        <f>Profile!A3252</f>
        <v>EUI</v>
      </c>
      <c r="C2639">
        <f>Profile!AP3254</f>
        <v>0</v>
      </c>
      <c r="D2639" t="str">
        <f>IF(Profile!C3252="Profile",IF(Profile!A3254="ResourceRequirement","OK","XXX"),"XXX")</f>
        <v>XXX</v>
      </c>
    </row>
    <row r="2640" spans="1:4" x14ac:dyDescent="0.45">
      <c r="A2640">
        <f>ROW()</f>
        <v>2640</v>
      </c>
      <c r="B2640" t="str">
        <f>Profile!A3253</f>
        <v>FC_WWN</v>
      </c>
      <c r="C2640">
        <f>Profile!AP3255</f>
        <v>0</v>
      </c>
      <c r="D2640" t="str">
        <f>IF(Profile!C3253="Profile",IF(Profile!A3255="ResourceRequirement","OK","XXX"),"XXX")</f>
        <v>XXX</v>
      </c>
    </row>
    <row r="2641" spans="1:4" x14ac:dyDescent="0.45">
      <c r="A2641">
        <f>ROW()</f>
        <v>2641</v>
      </c>
      <c r="B2641" t="str">
        <f>Profile!A3254</f>
        <v>NAA</v>
      </c>
      <c r="C2641">
        <f>Profile!AP3256</f>
        <v>0</v>
      </c>
      <c r="D2641" t="str">
        <f>IF(Profile!C3254="Profile",IF(Profile!A3256="ResourceRequirement","OK","XXX"),"XXX")</f>
        <v>XXX</v>
      </c>
    </row>
    <row r="2642" spans="1:4" x14ac:dyDescent="0.45">
      <c r="A2642">
        <f>ROW()</f>
        <v>2642</v>
      </c>
      <c r="B2642" t="str">
        <f>Profile!A3255</f>
        <v>NQN</v>
      </c>
      <c r="C2642">
        <f>Profile!AP3257</f>
        <v>0</v>
      </c>
      <c r="D2642" t="str">
        <f>IF(Profile!C3255="Profile",IF(Profile!A3257="ResourceRequirement","OK","XXX"),"XXX")</f>
        <v>XXX</v>
      </c>
    </row>
    <row r="2643" spans="1:4" x14ac:dyDescent="0.45">
      <c r="A2643">
        <f>ROW()</f>
        <v>2643</v>
      </c>
      <c r="B2643" t="str">
        <f>Profile!A3256</f>
        <v>NSID</v>
      </c>
      <c r="C2643">
        <f>Profile!AP3258</f>
        <v>0</v>
      </c>
      <c r="D2643" t="str">
        <f>IF(Profile!C3256="Profile",IF(Profile!A3258="ResourceRequirement","OK","XXX"),"XXX")</f>
        <v>XXX</v>
      </c>
    </row>
    <row r="2644" spans="1:4" x14ac:dyDescent="0.45">
      <c r="A2644">
        <f>ROW()</f>
        <v>2644</v>
      </c>
      <c r="B2644" t="str">
        <f>Profile!A3257</f>
        <v>UUID</v>
      </c>
      <c r="C2644">
        <f>Profile!AP3259</f>
        <v>0</v>
      </c>
      <c r="D2644" t="str">
        <f>IF(Profile!C3257="Profile",IF(Profile!A3259="ResourceRequirement","OK","XXX"),"XXX")</f>
        <v>XXX</v>
      </c>
    </row>
    <row r="2645" spans="1:4" x14ac:dyDescent="0.45">
      <c r="A2645">
        <f>ROW()</f>
        <v>2645</v>
      </c>
      <c r="B2645" t="str">
        <f>Profile!A3258</f>
        <v>iQN</v>
      </c>
      <c r="C2645">
        <f>Profile!AP3260</f>
        <v>0</v>
      </c>
      <c r="D2645" t="str">
        <f>IF(Profile!C3258="Profile",IF(Profile!A3260="ResourceRequirement","OK","XXX"),"XXX")</f>
        <v>XXX</v>
      </c>
    </row>
    <row r="2646" spans="1:4" x14ac:dyDescent="0.45">
      <c r="A2646">
        <f>ROW()</f>
        <v>2646</v>
      </c>
      <c r="B2646">
        <f>Profile!A3259</f>
        <v>0</v>
      </c>
      <c r="C2646">
        <f>Profile!AP3261</f>
        <v>0</v>
      </c>
      <c r="D2646" t="str">
        <f>IF(Profile!C3259="Profile",IF(Profile!A3261="ResourceRequirement","OK","XXX"),"XXX")</f>
        <v>XXX</v>
      </c>
    </row>
    <row r="2647" spans="1:4" x14ac:dyDescent="0.45">
      <c r="A2647">
        <f>ROW()</f>
        <v>2647</v>
      </c>
      <c r="B2647" t="str">
        <f>Profile!A3260</f>
        <v>1.1.8.2               AccountService</v>
      </c>
      <c r="C2647">
        <f>Profile!AP3262</f>
        <v>0</v>
      </c>
      <c r="D2647" t="str">
        <f>IF(Profile!C3260="Profile",IF(Profile!A3262="ResourceRequirement","OK","XXX"),"XXX")</f>
        <v>XXX</v>
      </c>
    </row>
    <row r="2648" spans="1:4" x14ac:dyDescent="0.45">
      <c r="A2648">
        <f>ROW()</f>
        <v>2648</v>
      </c>
      <c r="B2648" t="str">
        <f>Profile!A3261</f>
        <v>The AccountService is used for managing user accounts.</v>
      </c>
      <c r="C2648">
        <f>Profile!AP3263</f>
        <v>0</v>
      </c>
      <c r="D2648" t="str">
        <f>IF(Profile!C3261="Profile",IF(Profile!A3263="ResourceRequirement","OK","XXX"),"XXX")</f>
        <v>XXX</v>
      </c>
    </row>
    <row r="2649" spans="1:4" x14ac:dyDescent="0.45">
      <c r="A2649">
        <f>ROW()</f>
        <v>2649</v>
      </c>
      <c r="B2649" t="str">
        <f>Profile!A3262</f>
        <v>Table 78: O-PAS Profile Map for the Redfish AccountService</v>
      </c>
      <c r="C2649">
        <f>Profile!AP3264</f>
        <v>0</v>
      </c>
      <c r="D2649" t="str">
        <f>IF(Profile!C3262="Profile",IF(Profile!A3264="ResourceRequirement","OK","XXX"),"XXX")</f>
        <v>XXX</v>
      </c>
    </row>
    <row r="2650" spans="1:4" x14ac:dyDescent="0.45">
      <c r="A2650">
        <f>ROW()</f>
        <v>2650</v>
      </c>
      <c r="B2650" t="str">
        <f>Profile!A3263</f>
        <v>AccountService (1.3.1)</v>
      </c>
      <c r="C2650">
        <f>Profile!AP3265</f>
        <v>0</v>
      </c>
      <c r="D2650" t="str">
        <f>IF(Profile!C3263="Profile",IF(Profile!A3265="ResourceRequirement","OK","XXX"),"XXX")</f>
        <v>XXX</v>
      </c>
    </row>
    <row r="2651" spans="1:4" x14ac:dyDescent="0.45">
      <c r="A2651">
        <f>ROW()</f>
        <v>2651</v>
      </c>
      <c r="B2651">
        <f>Profile!A3264</f>
        <v>0</v>
      </c>
      <c r="C2651">
        <f>Profile!AP3266</f>
        <v>0</v>
      </c>
      <c r="D2651" t="str">
        <f>IF(Profile!C3264="Profile",IF(Profile!A3266="ResourceRequirement","OK","XXX"),"XXX")</f>
        <v>XXX</v>
      </c>
    </row>
    <row r="2652" spans="1:4" x14ac:dyDescent="0.45">
      <c r="A2652">
        <f>ROW()</f>
        <v>2652</v>
      </c>
      <c r="B2652" t="str">
        <f>Profile!A3265</f>
        <v>AccountService (1.5.0)</v>
      </c>
      <c r="C2652">
        <f>Profile!AP3267</f>
        <v>2</v>
      </c>
      <c r="D2652" t="str">
        <f>IF(Profile!C3265="Profile",IF(Profile!A3267="ResourceRequirement","OK","XXX"),"XXX")</f>
        <v>OK</v>
      </c>
    </row>
    <row r="2653" spans="1:4" x14ac:dyDescent="0.45">
      <c r="A2653">
        <f>ROW()</f>
        <v>2653</v>
      </c>
      <c r="B2653">
        <f>Profile!A3266</f>
        <v>0</v>
      </c>
      <c r="C2653">
        <f>Profile!AP3268</f>
        <v>0</v>
      </c>
      <c r="D2653" t="str">
        <f>IF(Profile!C3266="Profile",IF(Profile!A3268="ResourceRequirement","OK","XXX"),"XXX")</f>
        <v>XXX</v>
      </c>
    </row>
    <row r="2654" spans="1:4" x14ac:dyDescent="0.45">
      <c r="A2654">
        <f>ROW()</f>
        <v>2654</v>
      </c>
      <c r="B2654" t="str">
        <f>Profile!A3267</f>
        <v>ResourceRequirement</v>
      </c>
      <c r="C2654">
        <f>Profile!AP3269</f>
        <v>0</v>
      </c>
      <c r="D2654" t="str">
        <f>IF(Profile!C3267="Profile",IF(Profile!A3269="ResourceRequirement","OK","XXX"),"XXX")</f>
        <v>XXX</v>
      </c>
    </row>
    <row r="2655" spans="1:4" x14ac:dyDescent="0.45">
      <c r="A2655">
        <f>ROW()</f>
        <v>2655</v>
      </c>
      <c r="B2655" t="str">
        <f>Profile!A3268</f>
        <v>Resource MinVersion</v>
      </c>
      <c r="C2655">
        <f>Profile!AP3270</f>
        <v>0</v>
      </c>
      <c r="D2655" t="str">
        <f>IF(Profile!C3268="Profile",IF(Profile!A3270="ResourceRequirement","OK","XXX"),"XXX")</f>
        <v>XXX</v>
      </c>
    </row>
    <row r="2656" spans="1:4" x14ac:dyDescent="0.45">
      <c r="A2656">
        <f>ROW()</f>
        <v>2656</v>
      </c>
      <c r="B2656" t="str">
        <f>Profile!A3269</f>
        <v>Property</v>
      </c>
      <c r="C2656">
        <f>Profile!AP3271</f>
        <v>0</v>
      </c>
      <c r="D2656" t="str">
        <f>IF(Profile!C3269="Profile",IF(Profile!A3271="ResourceRequirement","OK","XXX"),"XXX")</f>
        <v>XXX</v>
      </c>
    </row>
    <row r="2657" spans="1:4" x14ac:dyDescent="0.45">
      <c r="A2657">
        <f>ROW()</f>
        <v>2657</v>
      </c>
      <c r="B2657" t="str">
        <f>Profile!A3270</f>
        <v>AccountLockoutCounterResetAfter</v>
      </c>
      <c r="C2657">
        <f>Profile!AP3272</f>
        <v>0</v>
      </c>
      <c r="D2657" t="str">
        <f>IF(Profile!C3270="Profile",IF(Profile!A3272="ResourceRequirement","OK","XXX"),"XXX")</f>
        <v>XXX</v>
      </c>
    </row>
    <row r="2658" spans="1:4" x14ac:dyDescent="0.45">
      <c r="A2658">
        <f>ROW()</f>
        <v>2658</v>
      </c>
      <c r="B2658" t="str">
        <f>Profile!A3271</f>
        <v>AccountLockoutCounterResetEnabled</v>
      </c>
      <c r="C2658">
        <f>Profile!AP3273</f>
        <v>0</v>
      </c>
      <c r="D2658" t="str">
        <f>IF(Profile!C3271="Profile",IF(Profile!A3273="ResourceRequirement","OK","XXX"),"XXX")</f>
        <v>XXX</v>
      </c>
    </row>
    <row r="2659" spans="1:4" x14ac:dyDescent="0.45">
      <c r="A2659">
        <f>ROW()</f>
        <v>2659</v>
      </c>
      <c r="B2659" t="str">
        <f>Profile!A3272</f>
        <v>AccountLockoutDuration</v>
      </c>
      <c r="C2659">
        <f>Profile!AP3274</f>
        <v>0</v>
      </c>
      <c r="D2659" t="str">
        <f>IF(Profile!C3272="Profile",IF(Profile!A3274="ResourceRequirement","OK","XXX"),"XXX")</f>
        <v>XXX</v>
      </c>
    </row>
    <row r="2660" spans="1:4" x14ac:dyDescent="0.45">
      <c r="A2660">
        <f>ROW()</f>
        <v>2660</v>
      </c>
      <c r="B2660" t="str">
        <f>Profile!A3273</f>
        <v>AccountLockoutThreshold</v>
      </c>
      <c r="C2660">
        <f>Profile!AP3275</f>
        <v>0</v>
      </c>
      <c r="D2660" t="str">
        <f>IF(Profile!C3273="Profile",IF(Profile!A3275="ResourceRequirement","OK","XXX"),"XXX")</f>
        <v>XXX</v>
      </c>
    </row>
    <row r="2661" spans="1:4" x14ac:dyDescent="0.45">
      <c r="A2661">
        <f>ROW()</f>
        <v>2661</v>
      </c>
      <c r="B2661" t="str">
        <f>Profile!A3274</f>
        <v>Accounts</v>
      </c>
      <c r="C2661">
        <f>Profile!AP3276</f>
        <v>0</v>
      </c>
      <c r="D2661" t="str">
        <f>IF(Profile!C3274="Profile",IF(Profile!A3276="ResourceRequirement","OK","XXX"),"XXX")</f>
        <v>XXX</v>
      </c>
    </row>
    <row r="2662" spans="1:4" x14ac:dyDescent="0.45">
      <c r="A2662">
        <f>ROW()</f>
        <v>2662</v>
      </c>
      <c r="B2662" t="str">
        <f>Profile!A3275</f>
        <v xml:space="preserve">   @odata.id</v>
      </c>
      <c r="C2662">
        <f>Profile!AP3277</f>
        <v>0</v>
      </c>
      <c r="D2662" t="str">
        <f>IF(Profile!C3275="Profile",IF(Profile!A3277="ResourceRequirement","OK","XXX"),"XXX")</f>
        <v>XXX</v>
      </c>
    </row>
    <row r="2663" spans="1:4" x14ac:dyDescent="0.45">
      <c r="A2663">
        <f>ROW()</f>
        <v>2663</v>
      </c>
      <c r="B2663" t="str">
        <f>Profile!A3276</f>
        <v>Actions</v>
      </c>
      <c r="C2663">
        <f>Profile!AP3278</f>
        <v>0</v>
      </c>
      <c r="D2663" t="str">
        <f>IF(Profile!C3276="Profile",IF(Profile!A3278="ResourceRequirement","OK","XXX"),"XXX")</f>
        <v>XXX</v>
      </c>
    </row>
    <row r="2664" spans="1:4" x14ac:dyDescent="0.45">
      <c r="A2664">
        <f>ROW()</f>
        <v>2664</v>
      </c>
      <c r="B2664" t="str">
        <f>Profile!A3277</f>
        <v>ActiveDirectory</v>
      </c>
      <c r="C2664">
        <f>Profile!AP3279</f>
        <v>0</v>
      </c>
      <c r="D2664" t="str">
        <f>IF(Profile!C3277="Profile",IF(Profile!A3279="ResourceRequirement","OK","XXX"),"XXX")</f>
        <v>XXX</v>
      </c>
    </row>
    <row r="2665" spans="1:4" x14ac:dyDescent="0.45">
      <c r="A2665">
        <f>ROW()</f>
        <v>2665</v>
      </c>
      <c r="B2665" t="str">
        <f>Profile!A3278</f>
        <v xml:space="preserve">   AccountProviderType</v>
      </c>
      <c r="C2665">
        <f>Profile!AP3280</f>
        <v>0</v>
      </c>
      <c r="D2665" t="str">
        <f>IF(Profile!C3278="Profile",IF(Profile!A3280="ResourceRequirement","OK","XXX"),"XXX")</f>
        <v>XXX</v>
      </c>
    </row>
    <row r="2666" spans="1:4" x14ac:dyDescent="0.45">
      <c r="A2666">
        <f>ROW()</f>
        <v>2666</v>
      </c>
      <c r="B2666" t="str">
        <f>Profile!A3279</f>
        <v xml:space="preserve">   Authentication</v>
      </c>
      <c r="C2666">
        <f>Profile!AP3281</f>
        <v>0</v>
      </c>
      <c r="D2666" t="str">
        <f>IF(Profile!C3279="Profile",IF(Profile!A3281="ResourceRequirement","OK","XXX"),"XXX")</f>
        <v>XXX</v>
      </c>
    </row>
    <row r="2667" spans="1:4" x14ac:dyDescent="0.45">
      <c r="A2667">
        <f>ROW()</f>
        <v>2667</v>
      </c>
      <c r="B2667" t="str">
        <f>Profile!A3280</f>
        <v xml:space="preserve">      AuthenticationType</v>
      </c>
      <c r="C2667">
        <f>Profile!AP3282</f>
        <v>0</v>
      </c>
      <c r="D2667" t="str">
        <f>IF(Profile!C3280="Profile",IF(Profile!A3282="ResourceRequirement","OK","XXX"),"XXX")</f>
        <v>XXX</v>
      </c>
    </row>
    <row r="2668" spans="1:4" x14ac:dyDescent="0.45">
      <c r="A2668">
        <f>ROW()</f>
        <v>2668</v>
      </c>
      <c r="B2668" t="str">
        <f>Profile!A3281</f>
        <v xml:space="preserve">      KerberosKeytab</v>
      </c>
      <c r="C2668">
        <f>Profile!AP3283</f>
        <v>0</v>
      </c>
      <c r="D2668" t="str">
        <f>IF(Profile!C3281="Profile",IF(Profile!A3283="ResourceRequirement","OK","XXX"),"XXX")</f>
        <v>XXX</v>
      </c>
    </row>
    <row r="2669" spans="1:4" x14ac:dyDescent="0.45">
      <c r="A2669">
        <f>ROW()</f>
        <v>2669</v>
      </c>
      <c r="B2669" t="str">
        <f>Profile!A3282</f>
        <v xml:space="preserve">      Oem</v>
      </c>
      <c r="C2669">
        <f>Profile!AP3284</f>
        <v>0</v>
      </c>
      <c r="D2669" t="str">
        <f>IF(Profile!C3282="Profile",IF(Profile!A3284="ResourceRequirement","OK","XXX"),"XXX")</f>
        <v>XXX</v>
      </c>
    </row>
    <row r="2670" spans="1:4" x14ac:dyDescent="0.45">
      <c r="A2670">
        <f>ROW()</f>
        <v>2670</v>
      </c>
      <c r="B2670" t="str">
        <f>Profile!A3283</f>
        <v xml:space="preserve">      Password</v>
      </c>
      <c r="C2670">
        <f>Profile!AP3285</f>
        <v>0</v>
      </c>
      <c r="D2670" t="str">
        <f>IF(Profile!C3283="Profile",IF(Profile!A3285="ResourceRequirement","OK","XXX"),"XXX")</f>
        <v>XXX</v>
      </c>
    </row>
    <row r="2671" spans="1:4" x14ac:dyDescent="0.45">
      <c r="A2671">
        <f>ROW()</f>
        <v>2671</v>
      </c>
      <c r="B2671" t="str">
        <f>Profile!A3284</f>
        <v xml:space="preserve">      Token</v>
      </c>
      <c r="C2671">
        <f>Profile!AP3286</f>
        <v>0</v>
      </c>
      <c r="D2671" t="str">
        <f>IF(Profile!C3284="Profile",IF(Profile!A3286="ResourceRequirement","OK","XXX"),"XXX")</f>
        <v>XXX</v>
      </c>
    </row>
    <row r="2672" spans="1:4" x14ac:dyDescent="0.45">
      <c r="A2672">
        <f>ROW()</f>
        <v>2672</v>
      </c>
      <c r="B2672" t="str">
        <f>Profile!A3285</f>
        <v xml:space="preserve">      Username</v>
      </c>
      <c r="C2672">
        <f>Profile!AP3287</f>
        <v>0</v>
      </c>
      <c r="D2672" t="str">
        <f>IF(Profile!C3285="Profile",IF(Profile!A3287="ResourceRequirement","OK","XXX"),"XXX")</f>
        <v>XXX</v>
      </c>
    </row>
    <row r="2673" spans="1:4" x14ac:dyDescent="0.45">
      <c r="A2673">
        <f>ROW()</f>
        <v>2673</v>
      </c>
      <c r="B2673" t="str">
        <f>Profile!A3286</f>
        <v xml:space="preserve">   Certificates</v>
      </c>
      <c r="C2673">
        <f>Profile!AP3288</f>
        <v>0</v>
      </c>
      <c r="D2673" t="str">
        <f>IF(Profile!C3286="Profile",IF(Profile!A3288="ResourceRequirement","OK","XXX"),"XXX")</f>
        <v>XXX</v>
      </c>
    </row>
    <row r="2674" spans="1:4" x14ac:dyDescent="0.45">
      <c r="A2674">
        <f>ROW()</f>
        <v>2674</v>
      </c>
      <c r="B2674" t="str">
        <f>Profile!A3287</f>
        <v xml:space="preserve">      @odata.id</v>
      </c>
      <c r="C2674">
        <f>Profile!AP3289</f>
        <v>0</v>
      </c>
      <c r="D2674" t="str">
        <f>IF(Profile!C3287="Profile",IF(Profile!A3289="ResourceRequirement","OK","XXX"),"XXX")</f>
        <v>XXX</v>
      </c>
    </row>
    <row r="2675" spans="1:4" x14ac:dyDescent="0.45">
      <c r="A2675">
        <f>ROW()</f>
        <v>2675</v>
      </c>
      <c r="B2675" t="str">
        <f>Profile!A3288</f>
        <v xml:space="preserve">   LDAPService</v>
      </c>
      <c r="C2675">
        <f>Profile!AP3290</f>
        <v>0</v>
      </c>
      <c r="D2675" t="str">
        <f>IF(Profile!C3288="Profile",IF(Profile!A3290="ResourceRequirement","OK","XXX"),"XXX")</f>
        <v>XXX</v>
      </c>
    </row>
    <row r="2676" spans="1:4" x14ac:dyDescent="0.45">
      <c r="A2676">
        <f>ROW()</f>
        <v>2676</v>
      </c>
      <c r="B2676" t="str">
        <f>Profile!A3289</f>
        <v xml:space="preserve">      Oem</v>
      </c>
      <c r="C2676">
        <f>Profile!AP3291</f>
        <v>0</v>
      </c>
      <c r="D2676" t="str">
        <f>IF(Profile!C3289="Profile",IF(Profile!A3291="ResourceRequirement","OK","XXX"),"XXX")</f>
        <v>XXX</v>
      </c>
    </row>
    <row r="2677" spans="1:4" x14ac:dyDescent="0.45">
      <c r="A2677">
        <f>ROW()</f>
        <v>2677</v>
      </c>
      <c r="B2677" t="str">
        <f>Profile!A3290</f>
        <v xml:space="preserve">      SearchSettings</v>
      </c>
      <c r="C2677">
        <f>Profile!AP3292</f>
        <v>0</v>
      </c>
      <c r="D2677" t="str">
        <f>IF(Profile!C3290="Profile",IF(Profile!A3292="ResourceRequirement","OK","XXX"),"XXX")</f>
        <v>XXX</v>
      </c>
    </row>
    <row r="2678" spans="1:4" x14ac:dyDescent="0.45">
      <c r="A2678">
        <f>ROW()</f>
        <v>2678</v>
      </c>
      <c r="B2678" t="str">
        <f>Profile!A3291</f>
        <v xml:space="preserve">         BaseDistinguishedNames</v>
      </c>
      <c r="C2678">
        <f>Profile!AP3293</f>
        <v>0</v>
      </c>
      <c r="D2678" t="str">
        <f>IF(Profile!C3291="Profile",IF(Profile!A3293="ResourceRequirement","OK","XXX"),"XXX")</f>
        <v>XXX</v>
      </c>
    </row>
    <row r="2679" spans="1:4" x14ac:dyDescent="0.45">
      <c r="A2679">
        <f>ROW()</f>
        <v>2679</v>
      </c>
      <c r="B2679" t="str">
        <f>Profile!A3292</f>
        <v xml:space="preserve">         GroupNameAttribute</v>
      </c>
      <c r="C2679">
        <f>Profile!AP3294</f>
        <v>0</v>
      </c>
      <c r="D2679" t="str">
        <f>IF(Profile!C3292="Profile",IF(Profile!A3294="ResourceRequirement","OK","XXX"),"XXX")</f>
        <v>XXX</v>
      </c>
    </row>
    <row r="2680" spans="1:4" x14ac:dyDescent="0.45">
      <c r="A2680">
        <f>ROW()</f>
        <v>2680</v>
      </c>
      <c r="B2680" t="str">
        <f>Profile!A3293</f>
        <v xml:space="preserve">         GroupsAttribute</v>
      </c>
      <c r="C2680">
        <f>Profile!AP3295</f>
        <v>0</v>
      </c>
      <c r="D2680" t="str">
        <f>IF(Profile!C3293="Profile",IF(Profile!A3295="ResourceRequirement","OK","XXX"),"XXX")</f>
        <v>XXX</v>
      </c>
    </row>
    <row r="2681" spans="1:4" x14ac:dyDescent="0.45">
      <c r="A2681">
        <f>ROW()</f>
        <v>2681</v>
      </c>
      <c r="B2681" t="str">
        <f>Profile!A3294</f>
        <v xml:space="preserve">         UsernameAttribute</v>
      </c>
      <c r="C2681">
        <f>Profile!AP3296</f>
        <v>0</v>
      </c>
      <c r="D2681" t="str">
        <f>IF(Profile!C3294="Profile",IF(Profile!A3296="ResourceRequirement","OK","XXX"),"XXX")</f>
        <v>XXX</v>
      </c>
    </row>
    <row r="2682" spans="1:4" x14ac:dyDescent="0.45">
      <c r="A2682">
        <f>ROW()</f>
        <v>2682</v>
      </c>
      <c r="B2682" t="str">
        <f>Profile!A3295</f>
        <v xml:space="preserve">   RemoteRoleMapping</v>
      </c>
      <c r="C2682">
        <f>Profile!AP3297</f>
        <v>0</v>
      </c>
      <c r="D2682" t="str">
        <f>IF(Profile!C3295="Profile",IF(Profile!A3297="ResourceRequirement","OK","XXX"),"XXX")</f>
        <v>XXX</v>
      </c>
    </row>
    <row r="2683" spans="1:4" x14ac:dyDescent="0.45">
      <c r="A2683">
        <f>ROW()</f>
        <v>2683</v>
      </c>
      <c r="B2683" t="str">
        <f>Profile!A3296</f>
        <v xml:space="preserve">      LocalRole</v>
      </c>
      <c r="C2683">
        <f>Profile!AP3298</f>
        <v>0</v>
      </c>
      <c r="D2683" t="str">
        <f>IF(Profile!C3296="Profile",IF(Profile!A3298="ResourceRequirement","OK","XXX"),"XXX")</f>
        <v>XXX</v>
      </c>
    </row>
    <row r="2684" spans="1:4" x14ac:dyDescent="0.45">
      <c r="A2684">
        <f>ROW()</f>
        <v>2684</v>
      </c>
      <c r="B2684" t="str">
        <f>Profile!A3297</f>
        <v xml:space="preserve">      Oem</v>
      </c>
      <c r="C2684">
        <f>Profile!AP3299</f>
        <v>0</v>
      </c>
      <c r="D2684" t="str">
        <f>IF(Profile!C3297="Profile",IF(Profile!A3299="ResourceRequirement","OK","XXX"),"XXX")</f>
        <v>XXX</v>
      </c>
    </row>
    <row r="2685" spans="1:4" x14ac:dyDescent="0.45">
      <c r="A2685">
        <f>ROW()</f>
        <v>2685</v>
      </c>
      <c r="B2685" t="str">
        <f>Profile!A3298</f>
        <v xml:space="preserve">      RemoteGroup</v>
      </c>
      <c r="C2685">
        <f>Profile!AP3300</f>
        <v>0</v>
      </c>
      <c r="D2685" t="str">
        <f>IF(Profile!C3298="Profile",IF(Profile!A3300="ResourceRequirement","OK","XXX"),"XXX")</f>
        <v>XXX</v>
      </c>
    </row>
    <row r="2686" spans="1:4" x14ac:dyDescent="0.45">
      <c r="A2686">
        <f>ROW()</f>
        <v>2686</v>
      </c>
      <c r="B2686" t="str">
        <f>Profile!A3299</f>
        <v xml:space="preserve">      RemoteUser</v>
      </c>
      <c r="C2686">
        <f>Profile!AP3301</f>
        <v>0</v>
      </c>
      <c r="D2686" t="str">
        <f>IF(Profile!C3299="Profile",IF(Profile!A3301="ResourceRequirement","OK","XXX"),"XXX")</f>
        <v>XXX</v>
      </c>
    </row>
    <row r="2687" spans="1:4" x14ac:dyDescent="0.45">
      <c r="A2687">
        <f>ROW()</f>
        <v>2687</v>
      </c>
      <c r="B2687" t="str">
        <f>Profile!A3300</f>
        <v xml:space="preserve">   ServiceAddresses</v>
      </c>
      <c r="C2687">
        <f>Profile!AP3302</f>
        <v>0</v>
      </c>
      <c r="D2687" t="str">
        <f>IF(Profile!C3300="Profile",IF(Profile!A3302="ResourceRequirement","OK","XXX"),"XXX")</f>
        <v>XXX</v>
      </c>
    </row>
    <row r="2688" spans="1:4" x14ac:dyDescent="0.45">
      <c r="A2688">
        <f>ROW()</f>
        <v>2688</v>
      </c>
      <c r="B2688" t="str">
        <f>Profile!A3301</f>
        <v xml:space="preserve">   ServiceEnabled</v>
      </c>
      <c r="C2688">
        <f>Profile!AP3303</f>
        <v>0</v>
      </c>
      <c r="D2688" t="str">
        <f>IF(Profile!C3301="Profile",IF(Profile!A3303="ResourceRequirement","OK","XXX"),"XXX")</f>
        <v>XXX</v>
      </c>
    </row>
    <row r="2689" spans="1:4" x14ac:dyDescent="0.45">
      <c r="A2689">
        <f>ROW()</f>
        <v>2689</v>
      </c>
      <c r="B2689" t="str">
        <f>Profile!A3302</f>
        <v>AdditionalExternalAccountProviders</v>
      </c>
      <c r="C2689">
        <f>Profile!AP3304</f>
        <v>0</v>
      </c>
      <c r="D2689" t="str">
        <f>IF(Profile!C3302="Profile",IF(Profile!A3304="ResourceRequirement","OK","XXX"),"XXX")</f>
        <v>XXX</v>
      </c>
    </row>
    <row r="2690" spans="1:4" x14ac:dyDescent="0.45">
      <c r="A2690">
        <f>ROW()</f>
        <v>2690</v>
      </c>
      <c r="B2690" t="str">
        <f>Profile!A3303</f>
        <v xml:space="preserve">   @odata.id</v>
      </c>
      <c r="C2690">
        <f>Profile!AP3305</f>
        <v>0</v>
      </c>
      <c r="D2690" t="str">
        <f>IF(Profile!C3303="Profile",IF(Profile!A3305="ResourceRequirement","OK","XXX"),"XXX")</f>
        <v>XXX</v>
      </c>
    </row>
    <row r="2691" spans="1:4" x14ac:dyDescent="0.45">
      <c r="A2691">
        <f>ROW()</f>
        <v>2691</v>
      </c>
      <c r="B2691" t="str">
        <f>Profile!A3304</f>
        <v>AuthFailureLoggingThreshold</v>
      </c>
      <c r="C2691">
        <f>Profile!AP3306</f>
        <v>0</v>
      </c>
      <c r="D2691" t="str">
        <f>IF(Profile!C3304="Profile",IF(Profile!A3306="ResourceRequirement","OK","XXX"),"XXX")</f>
        <v>XXX</v>
      </c>
    </row>
    <row r="2692" spans="1:4" x14ac:dyDescent="0.45">
      <c r="A2692">
        <f>ROW()</f>
        <v>2692</v>
      </c>
      <c r="B2692" t="str">
        <f>Profile!A3305</f>
        <v>LDAP</v>
      </c>
      <c r="C2692">
        <f>Profile!AP3307</f>
        <v>0</v>
      </c>
      <c r="D2692" t="str">
        <f>IF(Profile!C3305="Profile",IF(Profile!A3307="ResourceRequirement","OK","XXX"),"XXX")</f>
        <v>XXX</v>
      </c>
    </row>
    <row r="2693" spans="1:4" x14ac:dyDescent="0.45">
      <c r="A2693">
        <f>ROW()</f>
        <v>2693</v>
      </c>
      <c r="B2693" t="str">
        <f>Profile!A3306</f>
        <v xml:space="preserve">   AccountProviderType</v>
      </c>
      <c r="C2693">
        <f>Profile!AP3308</f>
        <v>0</v>
      </c>
      <c r="D2693" t="str">
        <f>IF(Profile!C3306="Profile",IF(Profile!A3308="ResourceRequirement","OK","XXX"),"XXX")</f>
        <v>XXX</v>
      </c>
    </row>
    <row r="2694" spans="1:4" x14ac:dyDescent="0.45">
      <c r="A2694">
        <f>ROW()</f>
        <v>2694</v>
      </c>
      <c r="B2694" t="str">
        <f>Profile!A3307</f>
        <v xml:space="preserve">   Authentication</v>
      </c>
      <c r="C2694">
        <f>Profile!AP3309</f>
        <v>0</v>
      </c>
      <c r="D2694" t="str">
        <f>IF(Profile!C3307="Profile",IF(Profile!A3309="ResourceRequirement","OK","XXX"),"XXX")</f>
        <v>XXX</v>
      </c>
    </row>
    <row r="2695" spans="1:4" x14ac:dyDescent="0.45">
      <c r="A2695">
        <f>ROW()</f>
        <v>2695</v>
      </c>
      <c r="B2695" t="str">
        <f>Profile!A3308</f>
        <v xml:space="preserve">      AuthenticationType</v>
      </c>
      <c r="C2695">
        <f>Profile!AP3310</f>
        <v>0</v>
      </c>
      <c r="D2695" t="str">
        <f>IF(Profile!C3308="Profile",IF(Profile!A3310="ResourceRequirement","OK","XXX"),"XXX")</f>
        <v>XXX</v>
      </c>
    </row>
    <row r="2696" spans="1:4" x14ac:dyDescent="0.45">
      <c r="A2696">
        <f>ROW()</f>
        <v>2696</v>
      </c>
      <c r="B2696" t="str">
        <f>Profile!A3309</f>
        <v xml:space="preserve">      KerberosKeytab</v>
      </c>
      <c r="C2696">
        <f>Profile!AP3311</f>
        <v>0</v>
      </c>
      <c r="D2696" t="str">
        <f>IF(Profile!C3309="Profile",IF(Profile!A3311="ResourceRequirement","OK","XXX"),"XXX")</f>
        <v>XXX</v>
      </c>
    </row>
    <row r="2697" spans="1:4" x14ac:dyDescent="0.45">
      <c r="A2697">
        <f>ROW()</f>
        <v>2697</v>
      </c>
      <c r="B2697" t="str">
        <f>Profile!A3310</f>
        <v xml:space="preserve">      Oem</v>
      </c>
      <c r="C2697">
        <f>Profile!AP3312</f>
        <v>0</v>
      </c>
      <c r="D2697" t="str">
        <f>IF(Profile!C3310="Profile",IF(Profile!A3312="ResourceRequirement","OK","XXX"),"XXX")</f>
        <v>XXX</v>
      </c>
    </row>
    <row r="2698" spans="1:4" x14ac:dyDescent="0.45">
      <c r="A2698">
        <f>ROW()</f>
        <v>2698</v>
      </c>
      <c r="B2698" t="str">
        <f>Profile!A3311</f>
        <v xml:space="preserve">      Password</v>
      </c>
      <c r="C2698">
        <f>Profile!AP3313</f>
        <v>0</v>
      </c>
      <c r="D2698" t="str">
        <f>IF(Profile!C3311="Profile",IF(Profile!A3313="ResourceRequirement","OK","XXX"),"XXX")</f>
        <v>XXX</v>
      </c>
    </row>
    <row r="2699" spans="1:4" x14ac:dyDescent="0.45">
      <c r="A2699">
        <f>ROW()</f>
        <v>2699</v>
      </c>
      <c r="B2699" t="str">
        <f>Profile!A3312</f>
        <v xml:space="preserve">      Token</v>
      </c>
      <c r="C2699">
        <f>Profile!AP3314</f>
        <v>0</v>
      </c>
      <c r="D2699" t="str">
        <f>IF(Profile!C3312="Profile",IF(Profile!A3314="ResourceRequirement","OK","XXX"),"XXX")</f>
        <v>XXX</v>
      </c>
    </row>
    <row r="2700" spans="1:4" x14ac:dyDescent="0.45">
      <c r="A2700">
        <f>ROW()</f>
        <v>2700</v>
      </c>
      <c r="B2700" t="str">
        <f>Profile!A3313</f>
        <v xml:space="preserve">      Username</v>
      </c>
      <c r="C2700">
        <f>Profile!AP3315</f>
        <v>0</v>
      </c>
      <c r="D2700" t="str">
        <f>IF(Profile!C3313="Profile",IF(Profile!A3315="ResourceRequirement","OK","XXX"),"XXX")</f>
        <v>XXX</v>
      </c>
    </row>
    <row r="2701" spans="1:4" x14ac:dyDescent="0.45">
      <c r="A2701">
        <f>ROW()</f>
        <v>2701</v>
      </c>
      <c r="B2701" t="str">
        <f>Profile!A3314</f>
        <v xml:space="preserve">   Certificates</v>
      </c>
      <c r="C2701">
        <f>Profile!AP3316</f>
        <v>0</v>
      </c>
      <c r="D2701" t="str">
        <f>IF(Profile!C3314="Profile",IF(Profile!A3316="ResourceRequirement","OK","XXX"),"XXX")</f>
        <v>XXX</v>
      </c>
    </row>
    <row r="2702" spans="1:4" x14ac:dyDescent="0.45">
      <c r="A2702">
        <f>ROW()</f>
        <v>2702</v>
      </c>
      <c r="B2702" t="str">
        <f>Profile!A3315</f>
        <v xml:space="preserve">      @odata.id</v>
      </c>
      <c r="C2702">
        <f>Profile!AP3317</f>
        <v>0</v>
      </c>
      <c r="D2702" t="str">
        <f>IF(Profile!C3315="Profile",IF(Profile!A3317="ResourceRequirement","OK","XXX"),"XXX")</f>
        <v>XXX</v>
      </c>
    </row>
    <row r="2703" spans="1:4" x14ac:dyDescent="0.45">
      <c r="A2703">
        <f>ROW()</f>
        <v>2703</v>
      </c>
      <c r="B2703" t="str">
        <f>Profile!A3316</f>
        <v xml:space="preserve">   LDAPService</v>
      </c>
      <c r="C2703">
        <f>Profile!AP3318</f>
        <v>0</v>
      </c>
      <c r="D2703" t="str">
        <f>IF(Profile!C3316="Profile",IF(Profile!A3318="ResourceRequirement","OK","XXX"),"XXX")</f>
        <v>XXX</v>
      </c>
    </row>
    <row r="2704" spans="1:4" x14ac:dyDescent="0.45">
      <c r="A2704">
        <f>ROW()</f>
        <v>2704</v>
      </c>
      <c r="B2704" t="str">
        <f>Profile!A3317</f>
        <v xml:space="preserve">      Oem</v>
      </c>
      <c r="C2704">
        <f>Profile!AP3319</f>
        <v>0</v>
      </c>
      <c r="D2704" t="str">
        <f>IF(Profile!C3317="Profile",IF(Profile!A3319="ResourceRequirement","OK","XXX"),"XXX")</f>
        <v>XXX</v>
      </c>
    </row>
    <row r="2705" spans="1:4" x14ac:dyDescent="0.45">
      <c r="A2705">
        <f>ROW()</f>
        <v>2705</v>
      </c>
      <c r="B2705" t="str">
        <f>Profile!A3318</f>
        <v xml:space="preserve">      SearchSettings</v>
      </c>
      <c r="C2705">
        <f>Profile!AP3320</f>
        <v>0</v>
      </c>
      <c r="D2705" t="str">
        <f>IF(Profile!C3318="Profile",IF(Profile!A3320="ResourceRequirement","OK","XXX"),"XXX")</f>
        <v>XXX</v>
      </c>
    </row>
    <row r="2706" spans="1:4" x14ac:dyDescent="0.45">
      <c r="A2706">
        <f>ROW()</f>
        <v>2706</v>
      </c>
      <c r="B2706" t="str">
        <f>Profile!A3319</f>
        <v xml:space="preserve">         BaseDistinguishedNames</v>
      </c>
      <c r="C2706">
        <f>Profile!AP3321</f>
        <v>0</v>
      </c>
      <c r="D2706" t="str">
        <f>IF(Profile!C3319="Profile",IF(Profile!A3321="ResourceRequirement","OK","XXX"),"XXX")</f>
        <v>XXX</v>
      </c>
    </row>
    <row r="2707" spans="1:4" x14ac:dyDescent="0.45">
      <c r="A2707">
        <f>ROW()</f>
        <v>2707</v>
      </c>
      <c r="B2707" t="str">
        <f>Profile!A3320</f>
        <v xml:space="preserve">         GroupNameAttribute</v>
      </c>
      <c r="C2707">
        <f>Profile!AP3322</f>
        <v>0</v>
      </c>
      <c r="D2707" t="str">
        <f>IF(Profile!C3320="Profile",IF(Profile!A3322="ResourceRequirement","OK","XXX"),"XXX")</f>
        <v>XXX</v>
      </c>
    </row>
    <row r="2708" spans="1:4" x14ac:dyDescent="0.45">
      <c r="A2708">
        <f>ROW()</f>
        <v>2708</v>
      </c>
      <c r="B2708" t="str">
        <f>Profile!A3321</f>
        <v xml:space="preserve">         GroupsAttribute</v>
      </c>
      <c r="C2708">
        <f>Profile!AP3323</f>
        <v>0</v>
      </c>
      <c r="D2708" t="str">
        <f>IF(Profile!C3321="Profile",IF(Profile!A3323="ResourceRequirement","OK","XXX"),"XXX")</f>
        <v>XXX</v>
      </c>
    </row>
    <row r="2709" spans="1:4" x14ac:dyDescent="0.45">
      <c r="A2709">
        <f>ROW()</f>
        <v>2709</v>
      </c>
      <c r="B2709" t="str">
        <f>Profile!A3322</f>
        <v xml:space="preserve">         UsernameAttribute</v>
      </c>
      <c r="C2709">
        <f>Profile!AP3324</f>
        <v>0</v>
      </c>
      <c r="D2709" t="str">
        <f>IF(Profile!C3322="Profile",IF(Profile!A3324="ResourceRequirement","OK","XXX"),"XXX")</f>
        <v>XXX</v>
      </c>
    </row>
    <row r="2710" spans="1:4" x14ac:dyDescent="0.45">
      <c r="A2710">
        <f>ROW()</f>
        <v>2710</v>
      </c>
      <c r="B2710" t="str">
        <f>Profile!A3323</f>
        <v xml:space="preserve">   RemoteRoleMapping</v>
      </c>
      <c r="C2710">
        <f>Profile!AP3325</f>
        <v>0</v>
      </c>
      <c r="D2710" t="str">
        <f>IF(Profile!C3323="Profile",IF(Profile!A3325="ResourceRequirement","OK","XXX"),"XXX")</f>
        <v>XXX</v>
      </c>
    </row>
    <row r="2711" spans="1:4" x14ac:dyDescent="0.45">
      <c r="A2711">
        <f>ROW()</f>
        <v>2711</v>
      </c>
      <c r="B2711" t="str">
        <f>Profile!A3324</f>
        <v xml:space="preserve">      LocalRole</v>
      </c>
      <c r="C2711">
        <f>Profile!AP3326</f>
        <v>0</v>
      </c>
      <c r="D2711" t="str">
        <f>IF(Profile!C3324="Profile",IF(Profile!A3326="ResourceRequirement","OK","XXX"),"XXX")</f>
        <v>XXX</v>
      </c>
    </row>
    <row r="2712" spans="1:4" x14ac:dyDescent="0.45">
      <c r="A2712">
        <f>ROW()</f>
        <v>2712</v>
      </c>
      <c r="B2712" t="str">
        <f>Profile!A3325</f>
        <v xml:space="preserve">      Oem</v>
      </c>
      <c r="C2712">
        <f>Profile!AP3327</f>
        <v>0</v>
      </c>
      <c r="D2712" t="str">
        <f>IF(Profile!C3325="Profile",IF(Profile!A3327="ResourceRequirement","OK","XXX"),"XXX")</f>
        <v>XXX</v>
      </c>
    </row>
    <row r="2713" spans="1:4" x14ac:dyDescent="0.45">
      <c r="A2713">
        <f>ROW()</f>
        <v>2713</v>
      </c>
      <c r="B2713" t="str">
        <f>Profile!A3326</f>
        <v xml:space="preserve">      RemoteGroup</v>
      </c>
      <c r="C2713">
        <f>Profile!AP3328</f>
        <v>0</v>
      </c>
      <c r="D2713" t="str">
        <f>IF(Profile!C3326="Profile",IF(Profile!A3328="ResourceRequirement","OK","XXX"),"XXX")</f>
        <v>XXX</v>
      </c>
    </row>
    <row r="2714" spans="1:4" x14ac:dyDescent="0.45">
      <c r="A2714">
        <f>ROW()</f>
        <v>2714</v>
      </c>
      <c r="B2714" t="str">
        <f>Profile!A3327</f>
        <v xml:space="preserve">      RemoteUser</v>
      </c>
      <c r="C2714">
        <f>Profile!AP3329</f>
        <v>0</v>
      </c>
      <c r="D2714" t="str">
        <f>IF(Profile!C3327="Profile",IF(Profile!A3329="ResourceRequirement","OK","XXX"),"XXX")</f>
        <v>XXX</v>
      </c>
    </row>
    <row r="2715" spans="1:4" x14ac:dyDescent="0.45">
      <c r="A2715">
        <f>ROW()</f>
        <v>2715</v>
      </c>
      <c r="B2715" t="str">
        <f>Profile!A3328</f>
        <v xml:space="preserve">   ServiceAddresses</v>
      </c>
      <c r="C2715">
        <f>Profile!AP3330</f>
        <v>0</v>
      </c>
      <c r="D2715" t="str">
        <f>IF(Profile!C3328="Profile",IF(Profile!A3330="ResourceRequirement","OK","XXX"),"XXX")</f>
        <v>XXX</v>
      </c>
    </row>
    <row r="2716" spans="1:4" x14ac:dyDescent="0.45">
      <c r="A2716">
        <f>ROW()</f>
        <v>2716</v>
      </c>
      <c r="B2716" t="str">
        <f>Profile!A3329</f>
        <v xml:space="preserve">   ServiceEnabled</v>
      </c>
      <c r="C2716">
        <f>Profile!AP3331</f>
        <v>0</v>
      </c>
      <c r="D2716" t="str">
        <f>IF(Profile!C3329="Profile",IF(Profile!A3331="ResourceRequirement","OK","XXX"),"XXX")</f>
        <v>XXX</v>
      </c>
    </row>
    <row r="2717" spans="1:4" x14ac:dyDescent="0.45">
      <c r="A2717">
        <f>ROW()</f>
        <v>2717</v>
      </c>
      <c r="B2717" t="str">
        <f>Profile!A3330</f>
        <v>LocalAccountAuth</v>
      </c>
      <c r="C2717">
        <f>Profile!AP3332</f>
        <v>0</v>
      </c>
      <c r="D2717" t="str">
        <f>IF(Profile!C3330="Profile",IF(Profile!A3332="ResourceRequirement","OK","XXX"),"XXX")</f>
        <v>XXX</v>
      </c>
    </row>
    <row r="2718" spans="1:4" x14ac:dyDescent="0.45">
      <c r="A2718">
        <f>ROW()</f>
        <v>2718</v>
      </c>
      <c r="B2718" t="str">
        <f>Profile!A3331</f>
        <v>MaxPasswordLength</v>
      </c>
      <c r="C2718">
        <f>Profile!AP3333</f>
        <v>0</v>
      </c>
      <c r="D2718" t="str">
        <f>IF(Profile!C3331="Profile",IF(Profile!A3333="ResourceRequirement","OK","XXX"),"XXX")</f>
        <v>XXX</v>
      </c>
    </row>
    <row r="2719" spans="1:4" x14ac:dyDescent="0.45">
      <c r="A2719">
        <f>ROW()</f>
        <v>2719</v>
      </c>
      <c r="B2719" t="str">
        <f>Profile!A3332</f>
        <v>MinPasswordLength</v>
      </c>
      <c r="C2719">
        <f>Profile!AP3334</f>
        <v>0</v>
      </c>
      <c r="D2719" t="str">
        <f>IF(Profile!C3332="Profile",IF(Profile!A3334="ResourceRequirement","OK","XXX"),"XXX")</f>
        <v>XXX</v>
      </c>
    </row>
    <row r="2720" spans="1:4" x14ac:dyDescent="0.45">
      <c r="A2720">
        <f>ROW()</f>
        <v>2720</v>
      </c>
      <c r="B2720" t="str">
        <f>Profile!A3333</f>
        <v>PrivilegeMap</v>
      </c>
      <c r="C2720">
        <f>Profile!AP3335</f>
        <v>0</v>
      </c>
      <c r="D2720" t="str">
        <f>IF(Profile!C3333="Profile",IF(Profile!A3335="ResourceRequirement","OK","XXX"),"XXX")</f>
        <v>XXX</v>
      </c>
    </row>
    <row r="2721" spans="1:4" x14ac:dyDescent="0.45">
      <c r="A2721">
        <f>ROW()</f>
        <v>2721</v>
      </c>
      <c r="B2721" t="str">
        <f>Profile!A3334</f>
        <v xml:space="preserve">   @odata.id</v>
      </c>
      <c r="C2721">
        <f>Profile!AP3336</f>
        <v>0</v>
      </c>
      <c r="D2721" t="str">
        <f>IF(Profile!C3334="Profile",IF(Profile!A3336="ResourceRequirement","OK","XXX"),"XXX")</f>
        <v>XXX</v>
      </c>
    </row>
    <row r="2722" spans="1:4" x14ac:dyDescent="0.45">
      <c r="A2722">
        <f>ROW()</f>
        <v>2722</v>
      </c>
      <c r="B2722" t="str">
        <f>Profile!A3335</f>
        <v>Roles</v>
      </c>
      <c r="C2722">
        <f>Profile!AP3337</f>
        <v>0</v>
      </c>
      <c r="D2722" t="str">
        <f>IF(Profile!C3335="Profile",IF(Profile!A3337="ResourceRequirement","OK","XXX"),"XXX")</f>
        <v>XXX</v>
      </c>
    </row>
    <row r="2723" spans="1:4" x14ac:dyDescent="0.45">
      <c r="A2723">
        <f>ROW()</f>
        <v>2723</v>
      </c>
      <c r="B2723" t="str">
        <f>Profile!A3336</f>
        <v xml:space="preserve">   @odata.id</v>
      </c>
      <c r="C2723">
        <f>Profile!AP3338</f>
        <v>0</v>
      </c>
      <c r="D2723" t="str">
        <f>IF(Profile!C3336="Profile",IF(Profile!A3338="ResourceRequirement","OK","XXX"),"XXX")</f>
        <v>XXX</v>
      </c>
    </row>
    <row r="2724" spans="1:4" x14ac:dyDescent="0.45">
      <c r="A2724">
        <f>ROW()</f>
        <v>2724</v>
      </c>
      <c r="B2724" t="str">
        <f>Profile!A3337</f>
        <v>ServiceEnabled</v>
      </c>
      <c r="C2724">
        <f>Profile!AP3341</f>
        <v>0</v>
      </c>
      <c r="D2724" t="str">
        <f>IF(Profile!C3337="Profile",IF(Profile!A3341="ResourceRequirement","OK","XXX"),"XXX")</f>
        <v>XXX</v>
      </c>
    </row>
    <row r="2725" spans="1:4" x14ac:dyDescent="0.45">
      <c r="A2725">
        <f>ROW()</f>
        <v>2725</v>
      </c>
      <c r="B2725" t="str">
        <f>Profile!A3338</f>
        <v>Status</v>
      </c>
      <c r="C2725">
        <f>Profile!AP3342</f>
        <v>0</v>
      </c>
      <c r="D2725" t="str">
        <f>IF(Profile!C3338="Profile",IF(Profile!A3342="ResourceRequirement","OK","XXX"),"XXX")</f>
        <v>XXX</v>
      </c>
    </row>
    <row r="2726" spans="1:4" x14ac:dyDescent="0.45">
      <c r="A2726">
        <f>ROW()</f>
        <v>2726</v>
      </c>
      <c r="B2726" t="str">
        <f>Profile!A3341</f>
        <v>AccountService URIs:</v>
      </c>
      <c r="C2726">
        <f>Profile!AP3343</f>
        <v>0</v>
      </c>
      <c r="D2726" t="str">
        <f>IF(Profile!C3341="Profile",IF(Profile!A3343="ResourceRequirement","OK","XXX"),"XXX")</f>
        <v>XXX</v>
      </c>
    </row>
    <row r="2727" spans="1:4" x14ac:dyDescent="0.45">
      <c r="A2727">
        <f>ROW()</f>
        <v>2727</v>
      </c>
      <c r="B2727" t="str">
        <f>Profile!A3342</f>
        <v>/redfish/v1/AccountService</v>
      </c>
      <c r="C2727">
        <f>Profile!AP3344</f>
        <v>0</v>
      </c>
      <c r="D2727" t="str">
        <f>IF(Profile!C3342="Profile",IF(Profile!A3344="ResourceRequirement","OK","XXX"),"XXX")</f>
        <v>XXX</v>
      </c>
    </row>
    <row r="2728" spans="1:4" x14ac:dyDescent="0.45">
      <c r="A2728">
        <f>ROW()</f>
        <v>2728</v>
      </c>
      <c r="B2728" t="str">
        <f>Profile!A3343</f>
        <v>/redfish/v1/Managers/{ManagerId}/RemoteAccountService</v>
      </c>
      <c r="C2728">
        <f>Profile!AP3345</f>
        <v>0</v>
      </c>
      <c r="D2728" t="str">
        <f>IF(Profile!C3343="Profile",IF(Profile!A3345="ResourceRequirement","OK","XXX"),"XXX")</f>
        <v>XXX</v>
      </c>
    </row>
    <row r="2729" spans="1:4" x14ac:dyDescent="0.45">
      <c r="A2729">
        <f>ROW()</f>
        <v>2729</v>
      </c>
      <c r="B2729">
        <f>Profile!A3344</f>
        <v>0</v>
      </c>
      <c r="C2729">
        <f>Profile!AP3346</f>
        <v>0</v>
      </c>
      <c r="D2729" t="str">
        <f>IF(Profile!C3344="Profile",IF(Profile!A3346="ResourceRequirement","OK","XXX"),"XXX")</f>
        <v>XXX</v>
      </c>
    </row>
    <row r="2730" spans="1:4" x14ac:dyDescent="0.45">
      <c r="A2730">
        <f>ROW()</f>
        <v>2730</v>
      </c>
      <c r="B2730" t="str">
        <f>Profile!A3345</f>
        <v>1.1.8.3               ExternalAccountProvider</v>
      </c>
      <c r="C2730">
        <f>Profile!AP3347</f>
        <v>0</v>
      </c>
      <c r="D2730" t="str">
        <f>IF(Profile!C3345="Profile",IF(Profile!A3347="ResourceRequirement","OK","XXX"),"XXX")</f>
        <v>XXX</v>
      </c>
    </row>
    <row r="2731" spans="1:4" x14ac:dyDescent="0.45">
      <c r="A2731">
        <f>ROW()</f>
        <v>2731</v>
      </c>
      <c r="B2731" t="str">
        <f>Profile!A3346</f>
        <v>A remote service that can provide accounts for this manager to utilize for authentication.</v>
      </c>
      <c r="C2731">
        <f>Profile!AP3348</f>
        <v>0</v>
      </c>
      <c r="D2731" t="str">
        <f>IF(Profile!C3346="Profile",IF(Profile!A3348="ResourceRequirement","OK","XXX"),"XXX")</f>
        <v>XXX</v>
      </c>
    </row>
    <row r="2732" spans="1:4" x14ac:dyDescent="0.45">
      <c r="A2732">
        <f>ROW()</f>
        <v>2732</v>
      </c>
      <c r="B2732" t="str">
        <f>Profile!A3347</f>
        <v>ExternalAccountProvider is not used in the O-PAS profiles.</v>
      </c>
      <c r="C2732">
        <f>Profile!AP3349</f>
        <v>0</v>
      </c>
      <c r="D2732" t="str">
        <f>IF(Profile!C3347="Profile",IF(Profile!A3349="ResourceRequirement","OK","XXX"),"XXX")</f>
        <v>XXX</v>
      </c>
    </row>
    <row r="2733" spans="1:4" x14ac:dyDescent="0.45">
      <c r="A2733">
        <f>ROW()</f>
        <v>2733</v>
      </c>
      <c r="B2733">
        <f>Profile!A3348</f>
        <v>0</v>
      </c>
      <c r="C2733">
        <f>Profile!AP3350</f>
        <v>0</v>
      </c>
      <c r="D2733" t="str">
        <f>IF(Profile!C3348="Profile",IF(Profile!A3350="ResourceRequirement","OK","XXX"),"XXX")</f>
        <v>XXX</v>
      </c>
    </row>
    <row r="2734" spans="1:4" x14ac:dyDescent="0.45">
      <c r="A2734">
        <f>ROW()</f>
        <v>2734</v>
      </c>
      <c r="B2734" t="str">
        <f>Profile!A3349</f>
        <v>1.1.8.4               ManagerAccount</v>
      </c>
      <c r="C2734">
        <f>Profile!AP3351</f>
        <v>0</v>
      </c>
      <c r="D2734" t="str">
        <f>IF(Profile!C3349="Profile",IF(Profile!A3351="ResourceRequirement","OK","XXX"),"XXX")</f>
        <v>XXX</v>
      </c>
    </row>
    <row r="2735" spans="1:4" x14ac:dyDescent="0.45">
      <c r="A2735">
        <f>ROW()</f>
        <v>2735</v>
      </c>
      <c r="B2735" t="str">
        <f>Profile!A3350</f>
        <v>The ManagerAccount resource is used for user accounts, owned by a manager.</v>
      </c>
      <c r="C2735">
        <f>Profile!AP3352</f>
        <v>0</v>
      </c>
      <c r="D2735" t="str">
        <f>IF(Profile!C3350="Profile",IF(Profile!A3352="ResourceRequirement","OK","XXX"),"XXX")</f>
        <v>XXX</v>
      </c>
    </row>
    <row r="2736" spans="1:4" x14ac:dyDescent="0.45">
      <c r="A2736">
        <f>ROW()</f>
        <v>2736</v>
      </c>
      <c r="B2736" t="str">
        <f>Profile!A3351</f>
        <v>Table 79: O-PAS Profile Map for the Redfish ManagerAccount Resource</v>
      </c>
      <c r="C2736">
        <f>Profile!AP3353</f>
        <v>0</v>
      </c>
      <c r="D2736" t="str">
        <f>IF(Profile!C3351="Profile",IF(Profile!A3353="ResourceRequirement","OK","XXX"),"XXX")</f>
        <v>XXX</v>
      </c>
    </row>
    <row r="2737" spans="1:4" x14ac:dyDescent="0.45">
      <c r="A2737">
        <f>ROW()</f>
        <v>2737</v>
      </c>
      <c r="B2737" t="str">
        <f>Profile!A3352</f>
        <v>ManagerAccount (1.1.3)</v>
      </c>
      <c r="C2737">
        <f>Profile!AP3354</f>
        <v>0</v>
      </c>
      <c r="D2737" t="str">
        <f>IF(Profile!C3352="Profile",IF(Profile!A3354="ResourceRequirement","OK","XXX"),"XXX")</f>
        <v>XXX</v>
      </c>
    </row>
    <row r="2738" spans="1:4" x14ac:dyDescent="0.45">
      <c r="A2738">
        <f>ROW()</f>
        <v>2738</v>
      </c>
      <c r="B2738">
        <f>Profile!A3353</f>
        <v>0</v>
      </c>
      <c r="C2738">
        <f>Profile!AP3355</f>
        <v>0</v>
      </c>
      <c r="D2738" t="str">
        <f>IF(Profile!C3353="Profile",IF(Profile!A3355="ResourceRequirement","OK","XXX"),"XXX")</f>
        <v>XXX</v>
      </c>
    </row>
    <row r="2739" spans="1:4" x14ac:dyDescent="0.45">
      <c r="A2739">
        <f>ROW()</f>
        <v>2739</v>
      </c>
      <c r="B2739" t="str">
        <f>Profile!A3354</f>
        <v>ManagerAccount (1.3.0)</v>
      </c>
      <c r="C2739">
        <f>Profile!AP3356</f>
        <v>27</v>
      </c>
      <c r="D2739" t="str">
        <f>IF(Profile!C3354="Profile",IF(Profile!A3356="ResourceRequirement","OK","XXX"),"XXX")</f>
        <v>OK</v>
      </c>
    </row>
    <row r="2740" spans="1:4" x14ac:dyDescent="0.45">
      <c r="A2740">
        <f>ROW()</f>
        <v>2740</v>
      </c>
      <c r="B2740">
        <f>Profile!A3355</f>
        <v>0</v>
      </c>
      <c r="C2740">
        <f>Profile!AP3357</f>
        <v>0</v>
      </c>
      <c r="D2740" t="str">
        <f>IF(Profile!C3355="Profile",IF(Profile!A3357="ResourceRequirement","OK","XXX"),"XXX")</f>
        <v>XXX</v>
      </c>
    </row>
    <row r="2741" spans="1:4" x14ac:dyDescent="0.45">
      <c r="A2741">
        <f>ROW()</f>
        <v>2741</v>
      </c>
      <c r="B2741" t="str">
        <f>Profile!A3356</f>
        <v>ResourceRequirement</v>
      </c>
      <c r="C2741">
        <f>Profile!AP3358</f>
        <v>0</v>
      </c>
      <c r="D2741" t="str">
        <f>IF(Profile!C3356="Profile",IF(Profile!A3358="ResourceRequirement","OK","XXX"),"XXX")</f>
        <v>XXX</v>
      </c>
    </row>
    <row r="2742" spans="1:4" x14ac:dyDescent="0.45">
      <c r="A2742">
        <f>ROW()</f>
        <v>2742</v>
      </c>
      <c r="B2742" t="str">
        <f>Profile!A3357</f>
        <v>Resource MinVersion</v>
      </c>
      <c r="C2742">
        <f>Profile!AP3359</f>
        <v>0</v>
      </c>
      <c r="D2742" t="str">
        <f>IF(Profile!C3357="Profile",IF(Profile!A3359="ResourceRequirement","OK","XXX"),"XXX")</f>
        <v>XXX</v>
      </c>
    </row>
    <row r="2743" spans="1:4" x14ac:dyDescent="0.45">
      <c r="A2743">
        <f>ROW()</f>
        <v>2743</v>
      </c>
      <c r="B2743" t="str">
        <f>Profile!A3358</f>
        <v>Property</v>
      </c>
      <c r="C2743">
        <f>Profile!AP3360</f>
        <v>0</v>
      </c>
      <c r="D2743" t="str">
        <f>IF(Profile!C3358="Profile",IF(Profile!A3360="ResourceRequirement","OK","XXX"),"XXX")</f>
        <v>XXX</v>
      </c>
    </row>
    <row r="2744" spans="1:4" x14ac:dyDescent="0.45">
      <c r="A2744">
        <f>ROW()</f>
        <v>2744</v>
      </c>
      <c r="B2744" t="str">
        <f>Profile!A3359</f>
        <v>Actions</v>
      </c>
      <c r="C2744">
        <f>Profile!AP3361</f>
        <v>0</v>
      </c>
      <c r="D2744" t="str">
        <f>IF(Profile!C3359="Profile",IF(Profile!A3361="ResourceRequirement","OK","XXX"),"XXX")</f>
        <v>XXX</v>
      </c>
    </row>
    <row r="2745" spans="1:4" x14ac:dyDescent="0.45">
      <c r="A2745">
        <f>ROW()</f>
        <v>2745</v>
      </c>
      <c r="B2745" t="str">
        <f>Profile!A3360</f>
        <v>Certificates</v>
      </c>
      <c r="C2745">
        <f>Profile!AP3362</f>
        <v>0</v>
      </c>
      <c r="D2745" t="str">
        <f>IF(Profile!C3360="Profile",IF(Profile!A3362="ResourceRequirement","OK","XXX"),"XXX")</f>
        <v>XXX</v>
      </c>
    </row>
    <row r="2746" spans="1:4" x14ac:dyDescent="0.45">
      <c r="A2746">
        <f>ROW()</f>
        <v>2746</v>
      </c>
      <c r="B2746" t="str">
        <f>Profile!A3361</f>
        <v xml:space="preserve">   @odata.id</v>
      </c>
      <c r="C2746">
        <f>Profile!AP3363</f>
        <v>0</v>
      </c>
      <c r="D2746" t="str">
        <f>IF(Profile!C3361="Profile",IF(Profile!A3363="ResourceRequirement","OK","XXX"),"XXX")</f>
        <v>XXX</v>
      </c>
    </row>
    <row r="2747" spans="1:4" x14ac:dyDescent="0.45">
      <c r="A2747">
        <f>ROW()</f>
        <v>2747</v>
      </c>
      <c r="B2747" t="str">
        <f>Profile!A3362</f>
        <v>Enabled</v>
      </c>
      <c r="C2747">
        <f>Profile!AP3364</f>
        <v>0</v>
      </c>
      <c r="D2747" t="str">
        <f>IF(Profile!C3362="Profile",IF(Profile!A3364="ResourceRequirement","OK","XXX"),"XXX")</f>
        <v>XXX</v>
      </c>
    </row>
    <row r="2748" spans="1:4" x14ac:dyDescent="0.45">
      <c r="A2748">
        <f>ROW()</f>
        <v>2748</v>
      </c>
      <c r="B2748" t="str">
        <f>Profile!A3363</f>
        <v>Links</v>
      </c>
      <c r="C2748">
        <f>Profile!AP3365</f>
        <v>0</v>
      </c>
      <c r="D2748" t="str">
        <f>IF(Profile!C3363="Profile",IF(Profile!A3365="ResourceRequirement","OK","XXX"),"XXX")</f>
        <v>XXX</v>
      </c>
    </row>
    <row r="2749" spans="1:4" x14ac:dyDescent="0.45">
      <c r="A2749">
        <f>ROW()</f>
        <v>2749</v>
      </c>
      <c r="B2749" t="str">
        <f>Profile!A3364</f>
        <v xml:space="preserve">   Oem</v>
      </c>
      <c r="C2749">
        <f>Profile!AP3366</f>
        <v>0</v>
      </c>
      <c r="D2749" t="str">
        <f>IF(Profile!C3364="Profile",IF(Profile!A3366="ResourceRequirement","OK","XXX"),"XXX")</f>
        <v>XXX</v>
      </c>
    </row>
    <row r="2750" spans="1:4" x14ac:dyDescent="0.45">
      <c r="A2750">
        <f>ROW()</f>
        <v>2750</v>
      </c>
      <c r="B2750" t="str">
        <f>Profile!A3365</f>
        <v xml:space="preserve">   Role</v>
      </c>
      <c r="C2750">
        <f>Profile!AP3367</f>
        <v>0</v>
      </c>
      <c r="D2750" t="str">
        <f>IF(Profile!C3365="Profile",IF(Profile!A3367="ResourceRequirement","OK","XXX"),"XXX")</f>
        <v>XXX</v>
      </c>
    </row>
    <row r="2751" spans="1:4" x14ac:dyDescent="0.45">
      <c r="A2751">
        <f>ROW()</f>
        <v>2751</v>
      </c>
      <c r="B2751" t="str">
        <f>Profile!A3366</f>
        <v xml:space="preserve">      @odata.id</v>
      </c>
      <c r="C2751">
        <f>Profile!AP3368</f>
        <v>0</v>
      </c>
      <c r="D2751" t="str">
        <f>IF(Profile!C3366="Profile",IF(Profile!A3368="ResourceRequirement","OK","XXX"),"XXX")</f>
        <v>XXX</v>
      </c>
    </row>
    <row r="2752" spans="1:4" x14ac:dyDescent="0.45">
      <c r="A2752">
        <f>ROW()</f>
        <v>2752</v>
      </c>
      <c r="B2752" t="str">
        <f>Profile!A3367</f>
        <v>Locked</v>
      </c>
      <c r="C2752">
        <f>Profile!AP3369</f>
        <v>0</v>
      </c>
      <c r="D2752" t="str">
        <f>IF(Profile!C3367="Profile",IF(Profile!A3369="ResourceRequirement","OK","XXX"),"XXX")</f>
        <v>XXX</v>
      </c>
    </row>
    <row r="2753" spans="1:4" x14ac:dyDescent="0.45">
      <c r="A2753">
        <f>ROW()</f>
        <v>2753</v>
      </c>
      <c r="B2753" t="str">
        <f>Profile!A3368</f>
        <v>Password</v>
      </c>
      <c r="C2753">
        <f>Profile!AP3370</f>
        <v>0</v>
      </c>
      <c r="D2753" t="str">
        <f>IF(Profile!C3368="Profile",IF(Profile!A3370="ResourceRequirement","OK","XXX"),"XXX")</f>
        <v>XXX</v>
      </c>
    </row>
    <row r="2754" spans="1:4" x14ac:dyDescent="0.45">
      <c r="A2754">
        <f>ROW()</f>
        <v>2754</v>
      </c>
      <c r="B2754" t="str">
        <f>Profile!A3369</f>
        <v>PasswordChangeRequired</v>
      </c>
      <c r="C2754">
        <f>Profile!AP3371</f>
        <v>0</v>
      </c>
      <c r="D2754" t="str">
        <f>IF(Profile!C3369="Profile",IF(Profile!A3371="ResourceRequirement","OK","XXX"),"XXX")</f>
        <v>XXX</v>
      </c>
    </row>
    <row r="2755" spans="1:4" x14ac:dyDescent="0.45">
      <c r="A2755">
        <f>ROW()</f>
        <v>2755</v>
      </c>
      <c r="B2755" t="str">
        <f>Profile!A3370</f>
        <v>RoleId</v>
      </c>
      <c r="C2755">
        <f>Profile!AP3372</f>
        <v>0</v>
      </c>
      <c r="D2755" t="str">
        <f>IF(Profile!C3370="Profile",IF(Profile!A3372="ResourceRequirement","OK","XXX"),"XXX")</f>
        <v>XXX</v>
      </c>
    </row>
    <row r="2756" spans="1:4" x14ac:dyDescent="0.45">
      <c r="A2756">
        <f>ROW()</f>
        <v>2756</v>
      </c>
      <c r="B2756" t="str">
        <f>Profile!A3371</f>
        <v>UserName</v>
      </c>
      <c r="C2756">
        <f>Profile!AP3373</f>
        <v>0</v>
      </c>
      <c r="D2756" t="str">
        <f>IF(Profile!C3371="Profile",IF(Profile!A3373="ResourceRequirement","OK","XXX"),"XXX")</f>
        <v>XXX</v>
      </c>
    </row>
    <row r="2757" spans="1:4" x14ac:dyDescent="0.45">
      <c r="A2757">
        <f>ROW()</f>
        <v>2757</v>
      </c>
      <c r="B2757" t="str">
        <f>Profile!A3372</f>
        <v>ManagerAccount URIs</v>
      </c>
      <c r="C2757">
        <f>Profile!AP3374</f>
        <v>0</v>
      </c>
      <c r="D2757" t="str">
        <f>IF(Profile!C3372="Profile",IF(Profile!A3374="ResourceRequirement","OK","XXX"),"XXX")</f>
        <v>XXX</v>
      </c>
    </row>
    <row r="2758" spans="1:4" x14ac:dyDescent="0.45">
      <c r="A2758">
        <f>ROW()</f>
        <v>2758</v>
      </c>
      <c r="B2758" t="str">
        <f>Profile!A3373</f>
        <v>/redfish/v1/AccountService/Accounts/{ManagerAccountId}</v>
      </c>
      <c r="C2758">
        <f>Profile!AP3375</f>
        <v>0</v>
      </c>
      <c r="D2758" t="str">
        <f>IF(Profile!C3373="Profile",IF(Profile!A3375="ResourceRequirement","OK","XXX"),"XXX")</f>
        <v>XXX</v>
      </c>
    </row>
    <row r="2759" spans="1:4" x14ac:dyDescent="0.45">
      <c r="A2759">
        <f>ROW()</f>
        <v>2759</v>
      </c>
      <c r="B2759" t="str">
        <f>Profile!A3374</f>
        <v>/redfish/v1/Managers/{ManagerId}/RemoteAccountService/Accounts/{ManagerAccountId}</v>
      </c>
      <c r="C2759">
        <f>Profile!AP3376</f>
        <v>0</v>
      </c>
      <c r="D2759" t="str">
        <f>IF(Profile!C3374="Profile",IF(Profile!A3376="ResourceRequirement","OK","XXX"),"XXX")</f>
        <v>XXX</v>
      </c>
    </row>
    <row r="2760" spans="1:4" x14ac:dyDescent="0.45">
      <c r="A2760">
        <f>ROW()</f>
        <v>2760</v>
      </c>
      <c r="B2760">
        <f>Profile!A3375</f>
        <v>0</v>
      </c>
      <c r="C2760">
        <f>Profile!AP3377</f>
        <v>0</v>
      </c>
      <c r="D2760" t="str">
        <f>IF(Profile!C3375="Profile",IF(Profile!A3377="ResourceRequirement","OK","XXX"),"XXX")</f>
        <v>XXX</v>
      </c>
    </row>
    <row r="2761" spans="1:4" x14ac:dyDescent="0.45">
      <c r="A2761">
        <f>ROW()</f>
        <v>2761</v>
      </c>
      <c r="B2761" t="str">
        <f>Profile!A3376</f>
        <v>1.1.8.5               PrivilegeRegistry</v>
      </c>
      <c r="C2761">
        <f>Profile!AP3378</f>
        <v>0</v>
      </c>
      <c r="D2761" t="str">
        <f>IF(Profile!C3376="Profile",IF(Profile!A3378="ResourceRequirement","OK","XXX"),"XXX")</f>
        <v>XXX</v>
      </c>
    </row>
    <row r="2762" spans="1:4" x14ac:dyDescent="0.45">
      <c r="A2762">
        <f>ROW()</f>
        <v>2762</v>
      </c>
      <c r="B2762" t="str">
        <f>Profile!A3377</f>
        <v>This is the schema definition for operation to privilege mapping.</v>
      </c>
      <c r="C2762">
        <f>Profile!AP3379</f>
        <v>0</v>
      </c>
      <c r="D2762" t="str">
        <f>IF(Profile!C3377="Profile",IF(Profile!A3379="ResourceRequirement","OK","XXX"),"XXX")</f>
        <v>XXX</v>
      </c>
    </row>
    <row r="2763" spans="1:4" x14ac:dyDescent="0.45">
      <c r="A2763">
        <f>ROW()</f>
        <v>2763</v>
      </c>
      <c r="B2763" t="str">
        <f>Profile!A3378</f>
        <v>PrivilegeRegistry is not used in the O-PAS profiles.</v>
      </c>
      <c r="C2763">
        <f>Profile!AP3380</f>
        <v>0</v>
      </c>
      <c r="D2763" t="str">
        <f>IF(Profile!C3378="Profile",IF(Profile!A3380="ResourceRequirement","OK","XXX"),"XXX")</f>
        <v>XXX</v>
      </c>
    </row>
    <row r="2764" spans="1:4" x14ac:dyDescent="0.45">
      <c r="A2764">
        <f>ROW()</f>
        <v>2764</v>
      </c>
      <c r="B2764">
        <f>Profile!A3379</f>
        <v>0</v>
      </c>
      <c r="C2764">
        <f>Profile!AP3381</f>
        <v>0</v>
      </c>
      <c r="D2764" t="str">
        <f>IF(Profile!C3379="Profile",IF(Profile!A3381="ResourceRequirement","OK","XXX"),"XXX")</f>
        <v>XXX</v>
      </c>
    </row>
    <row r="2765" spans="1:4" x14ac:dyDescent="0.45">
      <c r="A2765">
        <f>ROW()</f>
        <v>2765</v>
      </c>
      <c r="B2765" t="str">
        <f>Profile!A3380</f>
        <v>1.1.8.6               Role</v>
      </c>
      <c r="C2765">
        <f>Profile!AP3382</f>
        <v>0</v>
      </c>
      <c r="D2765" t="str">
        <f>IF(Profile!C3380="Profile",IF(Profile!A3382="ResourceRequirement","OK","XXX"),"XXX")</f>
        <v>XXX</v>
      </c>
    </row>
    <row r="2766" spans="1:4" x14ac:dyDescent="0.45">
      <c r="A2766">
        <f>ROW()</f>
        <v>2766</v>
      </c>
      <c r="B2766" t="str">
        <f>Profile!A3381</f>
        <v>A Role resource is used in conjunction with a ManagerAccount.</v>
      </c>
      <c r="C2766">
        <f>Profile!AP3383</f>
        <v>0</v>
      </c>
      <c r="D2766" t="str">
        <f>IF(Profile!C3381="Profile",IF(Profile!A3383="ResourceRequirement","OK","XXX"),"XXX")</f>
        <v>XXX</v>
      </c>
    </row>
    <row r="2767" spans="1:4" x14ac:dyDescent="0.45">
      <c r="A2767">
        <f>ROW()</f>
        <v>2767</v>
      </c>
      <c r="B2767" t="str">
        <f>Profile!A3382</f>
        <v>Table 80: O-PAS Profile Map for the Redfish Role Resource</v>
      </c>
      <c r="C2767">
        <f>Profile!AP3384</f>
        <v>0</v>
      </c>
      <c r="D2767" t="str">
        <f>IF(Profile!C3382="Profile",IF(Profile!A3384="ResourceRequirement","OK","XXX"),"XXX")</f>
        <v>XXX</v>
      </c>
    </row>
    <row r="2768" spans="1:4" x14ac:dyDescent="0.45">
      <c r="A2768">
        <f>ROW()</f>
        <v>2768</v>
      </c>
      <c r="B2768" t="str">
        <f>Profile!A3383</f>
        <v>Role (1.2.2)</v>
      </c>
      <c r="C2768">
        <f>Profile!AP3385</f>
        <v>0</v>
      </c>
      <c r="D2768" t="str">
        <f>IF(Profile!C3383="Profile",IF(Profile!A3385="ResourceRequirement","OK","XXX"),"XXX")</f>
        <v>XXX</v>
      </c>
    </row>
    <row r="2769" spans="1:4" x14ac:dyDescent="0.45">
      <c r="A2769">
        <f>ROW()</f>
        <v>2769</v>
      </c>
      <c r="B2769">
        <f>Profile!A3384</f>
        <v>0</v>
      </c>
      <c r="C2769">
        <f>Profile!AP3386</f>
        <v>0</v>
      </c>
      <c r="D2769" t="str">
        <f>IF(Profile!C3384="Profile",IF(Profile!A3386="ResourceRequirement","OK","XXX"),"XXX")</f>
        <v>XXX</v>
      </c>
    </row>
    <row r="2770" spans="1:4" x14ac:dyDescent="0.45">
      <c r="A2770">
        <f>ROW()</f>
        <v>2770</v>
      </c>
      <c r="B2770" t="str">
        <f>Profile!A3385</f>
        <v>Role (1.2.3)</v>
      </c>
      <c r="C2770">
        <f>Profile!AP3387</f>
        <v>50</v>
      </c>
      <c r="D2770" t="str">
        <f>IF(Profile!C3385="Profile",IF(Profile!A3387="ResourceRequirement","OK","XXX"),"XXX")</f>
        <v>OK</v>
      </c>
    </row>
    <row r="2771" spans="1:4" x14ac:dyDescent="0.45">
      <c r="A2771">
        <f>ROW()</f>
        <v>2771</v>
      </c>
      <c r="B2771">
        <f>Profile!A3386</f>
        <v>0</v>
      </c>
      <c r="C2771">
        <f>Profile!AP3388</f>
        <v>0</v>
      </c>
      <c r="D2771" t="str">
        <f>IF(Profile!C3386="Profile",IF(Profile!A3388="ResourceRequirement","OK","XXX"),"XXX")</f>
        <v>XXX</v>
      </c>
    </row>
    <row r="2772" spans="1:4" x14ac:dyDescent="0.45">
      <c r="A2772">
        <f>ROW()</f>
        <v>2772</v>
      </c>
      <c r="B2772" t="str">
        <f>Profile!A3387</f>
        <v>ResourceRequirement</v>
      </c>
      <c r="C2772">
        <f>Profile!AP3389</f>
        <v>0</v>
      </c>
      <c r="D2772" t="str">
        <f>IF(Profile!C3387="Profile",IF(Profile!A3389="ResourceRequirement","OK","XXX"),"XXX")</f>
        <v>XXX</v>
      </c>
    </row>
    <row r="2773" spans="1:4" x14ac:dyDescent="0.45">
      <c r="A2773">
        <f>ROW()</f>
        <v>2773</v>
      </c>
      <c r="B2773" t="str">
        <f>Profile!A3388</f>
        <v>Resource MinVersion</v>
      </c>
      <c r="C2773">
        <f>Profile!AP3390</f>
        <v>0</v>
      </c>
      <c r="D2773" t="str">
        <f>IF(Profile!C3388="Profile",IF(Profile!A3390="ResourceRequirement","OK","XXX"),"XXX")</f>
        <v>XXX</v>
      </c>
    </row>
    <row r="2774" spans="1:4" x14ac:dyDescent="0.45">
      <c r="A2774">
        <f>ROW()</f>
        <v>2774</v>
      </c>
      <c r="B2774" t="str">
        <f>Profile!A3389</f>
        <v>Property</v>
      </c>
      <c r="C2774">
        <f>Profile!AP3391</f>
        <v>0</v>
      </c>
      <c r="D2774" t="str">
        <f>IF(Profile!C3389="Profile",IF(Profile!A3391="ResourceRequirement","OK","XXX"),"XXX")</f>
        <v>XXX</v>
      </c>
    </row>
    <row r="2775" spans="1:4" x14ac:dyDescent="0.45">
      <c r="A2775">
        <f>ROW()</f>
        <v>2775</v>
      </c>
      <c r="B2775" t="str">
        <f>Profile!A3390</f>
        <v>Actions</v>
      </c>
      <c r="C2775">
        <f>Profile!AP3392</f>
        <v>0</v>
      </c>
      <c r="D2775" t="str">
        <f>IF(Profile!C3390="Profile",IF(Profile!A3392="ResourceRequirement","OK","XXX"),"XXX")</f>
        <v>XXX</v>
      </c>
    </row>
    <row r="2776" spans="1:4" x14ac:dyDescent="0.45">
      <c r="A2776">
        <f>ROW()</f>
        <v>2776</v>
      </c>
      <c r="B2776" t="str">
        <f>Profile!A3391</f>
        <v>AssignedPrivileges</v>
      </c>
      <c r="C2776">
        <f>Profile!AP3393</f>
        <v>0</v>
      </c>
      <c r="D2776" t="str">
        <f>IF(Profile!C3391="Profile",IF(Profile!A3393="ResourceRequirement","OK","XXX"),"XXX")</f>
        <v>XXX</v>
      </c>
    </row>
    <row r="2777" spans="1:4" x14ac:dyDescent="0.45">
      <c r="A2777">
        <f>ROW()</f>
        <v>2777</v>
      </c>
      <c r="B2777" t="str">
        <f>Profile!A3392</f>
        <v>IsPredefined</v>
      </c>
      <c r="C2777">
        <f>Profile!AP3394</f>
        <v>0</v>
      </c>
      <c r="D2777" t="str">
        <f>IF(Profile!C3392="Profile",IF(Profile!A3394="ResourceRequirement","OK","XXX"),"XXX")</f>
        <v>XXX</v>
      </c>
    </row>
    <row r="2778" spans="1:4" x14ac:dyDescent="0.45">
      <c r="A2778">
        <f>ROW()</f>
        <v>2778</v>
      </c>
      <c r="B2778" t="str">
        <f>Profile!A3393</f>
        <v>OemPrivileges</v>
      </c>
      <c r="C2778">
        <f>Profile!AP3395</f>
        <v>0</v>
      </c>
      <c r="D2778" t="str">
        <f>IF(Profile!C3393="Profile",IF(Profile!A3395="ResourceRequirement","OK","XXX"),"XXX")</f>
        <v>XXX</v>
      </c>
    </row>
    <row r="2779" spans="1:4" x14ac:dyDescent="0.45">
      <c r="A2779">
        <f>ROW()</f>
        <v>2779</v>
      </c>
      <c r="B2779" t="str">
        <f>Profile!A3394</f>
        <v>RoleId</v>
      </c>
      <c r="C2779">
        <f>Profile!AP3396</f>
        <v>0</v>
      </c>
      <c r="D2779" t="str">
        <f>IF(Profile!C3394="Profile",IF(Profile!A3396="ResourceRequirement","OK","XXX"),"XXX")</f>
        <v>XXX</v>
      </c>
    </row>
    <row r="2780" spans="1:4" x14ac:dyDescent="0.45">
      <c r="A2780">
        <f>ROW()</f>
        <v>2780</v>
      </c>
      <c r="B2780" t="str">
        <f>Profile!A3395</f>
        <v>Role URIs</v>
      </c>
      <c r="C2780">
        <f>Profile!AP3397</f>
        <v>0</v>
      </c>
      <c r="D2780" t="str">
        <f>IF(Profile!C3395="Profile",IF(Profile!A3397="ResourceRequirement","OK","XXX"),"XXX")</f>
        <v>XXX</v>
      </c>
    </row>
    <row r="2781" spans="1:4" x14ac:dyDescent="0.45">
      <c r="A2781">
        <f>ROW()</f>
        <v>2781</v>
      </c>
      <c r="B2781" t="str">
        <f>Profile!A3396</f>
        <v>/redfish/v1/AccountService/Roles/{RoleId}</v>
      </c>
      <c r="C2781">
        <f>Profile!AP3398</f>
        <v>0</v>
      </c>
      <c r="D2781" t="str">
        <f>IF(Profile!C3396="Profile",IF(Profile!A3398="ResourceRequirement","OK","XXX"),"XXX")</f>
        <v>XXX</v>
      </c>
    </row>
    <row r="2782" spans="1:4" x14ac:dyDescent="0.45">
      <c r="A2782">
        <f>ROW()</f>
        <v>2782</v>
      </c>
      <c r="B2782" t="str">
        <f>Profile!A3397</f>
        <v>/redfish/v1/Managers/{ManagerId}/RemoteAccountService/Roles/{RoleId}</v>
      </c>
      <c r="C2782">
        <f>Profile!AP3399</f>
        <v>0</v>
      </c>
      <c r="D2782" t="str">
        <f>IF(Profile!C3397="Profile",IF(Profile!A3399="ResourceRequirement","OK","XXX"),"XXX")</f>
        <v>XXX</v>
      </c>
    </row>
    <row r="2783" spans="1:4" x14ac:dyDescent="0.45">
      <c r="A2783">
        <f>ROW()</f>
        <v>2783</v>
      </c>
      <c r="B2783">
        <f>Profile!A3398</f>
        <v>0</v>
      </c>
      <c r="C2783">
        <f>Profile!AP3400</f>
        <v>0</v>
      </c>
      <c r="D2783" t="str">
        <f>IF(Profile!C3398="Profile",IF(Profile!A3400="ResourceRequirement","OK","XXX"),"XXX")</f>
        <v>XXX</v>
      </c>
    </row>
    <row r="2784" spans="1:4" x14ac:dyDescent="0.45">
      <c r="A2784">
        <f>ROW()</f>
        <v>2784</v>
      </c>
      <c r="B2784" t="str">
        <f>Profile!A3399</f>
        <v>1.1.9.8 Certificate</v>
      </c>
      <c r="C2784">
        <f>Profile!AP3401</f>
        <v>0</v>
      </c>
      <c r="D2784" t="str">
        <f>IF(Profile!C3399="Profile",IF(Profile!A3401="ResourceRequirement","OK","XXX"),"XXX")</f>
        <v>XXX</v>
      </c>
    </row>
    <row r="2785" spans="1:4" x14ac:dyDescent="0.45">
      <c r="A2785">
        <f>ROW()</f>
        <v>2785</v>
      </c>
      <c r="B2785" t="str">
        <f>Profile!A3400</f>
        <v>The Certificate resource describes a certificate used to prove the identify of a component, account, or service.</v>
      </c>
      <c r="C2785">
        <f>Profile!AP3402</f>
        <v>0</v>
      </c>
      <c r="D2785" t="str">
        <f>IF(Profile!C3400="Profile",IF(Profile!A3402="ResourceRequirement","OK","XXX"),"XXX")</f>
        <v>XXX</v>
      </c>
    </row>
    <row r="2786" spans="1:4" x14ac:dyDescent="0.45">
      <c r="A2786">
        <f>ROW()</f>
        <v>2786</v>
      </c>
      <c r="B2786" t="str">
        <f>Profile!A3401</f>
        <v>Certificate (1.1.0)</v>
      </c>
      <c r="C2786">
        <f>Profile!AP3403</f>
        <v>5</v>
      </c>
      <c r="D2786" t="str">
        <f>IF(Profile!C3401="Profile",IF(Profile!A3403="ResourceRequirement","OK","XXX"),"XXX")</f>
        <v>OK</v>
      </c>
    </row>
    <row r="2787" spans="1:4" x14ac:dyDescent="0.45">
      <c r="A2787">
        <f>ROW()</f>
        <v>2787</v>
      </c>
      <c r="B2787">
        <f>Profile!A3402</f>
        <v>0</v>
      </c>
      <c r="C2787">
        <f>Profile!AP3404</f>
        <v>0</v>
      </c>
      <c r="D2787" t="str">
        <f>IF(Profile!C3402="Profile",IF(Profile!A3404="ResourceRequirement","OK","XXX"),"XXX")</f>
        <v>XXX</v>
      </c>
    </row>
    <row r="2788" spans="1:4" x14ac:dyDescent="0.45">
      <c r="A2788">
        <f>ROW()</f>
        <v>2788</v>
      </c>
      <c r="B2788" t="str">
        <f>Profile!A3403</f>
        <v>ResourceRequirement</v>
      </c>
      <c r="C2788">
        <f>Profile!AP3405</f>
        <v>0</v>
      </c>
      <c r="D2788" t="str">
        <f>IF(Profile!C3403="Profile",IF(Profile!A3405="ResourceRequirement","OK","XXX"),"XXX")</f>
        <v>XXX</v>
      </c>
    </row>
    <row r="2789" spans="1:4" x14ac:dyDescent="0.45">
      <c r="A2789">
        <f>ROW()</f>
        <v>2789</v>
      </c>
      <c r="B2789" t="str">
        <f>Profile!A3404</f>
        <v>Resource MinVersion</v>
      </c>
      <c r="C2789">
        <f>Profile!AP3406</f>
        <v>0</v>
      </c>
      <c r="D2789" t="str">
        <f>IF(Profile!C3404="Profile",IF(Profile!A3406="ResourceRequirement","OK","XXX"),"XXX")</f>
        <v>XXX</v>
      </c>
    </row>
    <row r="2790" spans="1:4" x14ac:dyDescent="0.45">
      <c r="A2790">
        <f>ROW()</f>
        <v>2790</v>
      </c>
      <c r="B2790" t="str">
        <f>Profile!A3405</f>
        <v>Property</v>
      </c>
      <c r="C2790">
        <f>Profile!AP3407</f>
        <v>0</v>
      </c>
      <c r="D2790" t="str">
        <f>IF(Profile!C3405="Profile",IF(Profile!A3407="ResourceRequirement","OK","XXX"),"XXX")</f>
        <v>XXX</v>
      </c>
    </row>
    <row r="2791" spans="1:4" x14ac:dyDescent="0.45">
      <c r="A2791">
        <f>ROW()</f>
        <v>2791</v>
      </c>
      <c r="B2791" t="str">
        <f>Profile!A3406</f>
        <v>Actions</v>
      </c>
      <c r="C2791">
        <f>Profile!AP3408</f>
        <v>0</v>
      </c>
      <c r="D2791" t="str">
        <f>IF(Profile!C3406="Profile",IF(Profile!A3408="ResourceRequirement","OK","XXX"),"XXX")</f>
        <v>XXX</v>
      </c>
    </row>
    <row r="2792" spans="1:4" x14ac:dyDescent="0.45">
      <c r="A2792">
        <f>ROW()</f>
        <v>2792</v>
      </c>
      <c r="B2792" t="str">
        <f>Profile!A3407</f>
        <v>CertificateString</v>
      </c>
      <c r="C2792">
        <f>Profile!AP3409</f>
        <v>0</v>
      </c>
      <c r="D2792" t="str">
        <f>IF(Profile!C3407="Profile",IF(Profile!A3409="ResourceRequirement","OK","XXX"),"XXX")</f>
        <v>XXX</v>
      </c>
    </row>
    <row r="2793" spans="1:4" x14ac:dyDescent="0.45">
      <c r="A2793">
        <f>ROW()</f>
        <v>2793</v>
      </c>
      <c r="B2793" t="str">
        <f>Profile!A3408</f>
        <v>CertificateType</v>
      </c>
      <c r="C2793">
        <f>Profile!AP3410</f>
        <v>0</v>
      </c>
      <c r="D2793" t="str">
        <f>IF(Profile!C3408="Profile",IF(Profile!A3410="ResourceRequirement","OK","XXX"),"XXX")</f>
        <v>XXX</v>
      </c>
    </row>
    <row r="2794" spans="1:4" x14ac:dyDescent="0.45">
      <c r="A2794">
        <f>ROW()</f>
        <v>2794</v>
      </c>
      <c r="B2794" t="str">
        <f>Profile!A3409</f>
        <v>Issuer</v>
      </c>
      <c r="C2794">
        <f>Profile!AP3411</f>
        <v>0</v>
      </c>
      <c r="D2794" t="str">
        <f>IF(Profile!C3409="Profile",IF(Profile!A3411="ResourceRequirement","OK","XXX"),"XXX")</f>
        <v>XXX</v>
      </c>
    </row>
    <row r="2795" spans="1:4" x14ac:dyDescent="0.45">
      <c r="A2795">
        <f>ROW()</f>
        <v>2795</v>
      </c>
      <c r="B2795" t="str">
        <f>Profile!A3410</f>
        <v xml:space="preserve">   City</v>
      </c>
      <c r="C2795">
        <f>Profile!AP3412</f>
        <v>0</v>
      </c>
      <c r="D2795" t="str">
        <f>IF(Profile!C3410="Profile",IF(Profile!A3412="ResourceRequirement","OK","XXX"),"XXX")</f>
        <v>XXX</v>
      </c>
    </row>
    <row r="2796" spans="1:4" x14ac:dyDescent="0.45">
      <c r="A2796">
        <f>ROW()</f>
        <v>2796</v>
      </c>
      <c r="B2796" t="str">
        <f>Profile!A3411</f>
        <v xml:space="preserve">   CommonName</v>
      </c>
      <c r="C2796">
        <f>Profile!AP3413</f>
        <v>0</v>
      </c>
      <c r="D2796" t="str">
        <f>IF(Profile!C3411="Profile",IF(Profile!A3413="ResourceRequirement","OK","XXX"),"XXX")</f>
        <v>XXX</v>
      </c>
    </row>
    <row r="2797" spans="1:4" x14ac:dyDescent="0.45">
      <c r="A2797">
        <f>ROW()</f>
        <v>2797</v>
      </c>
      <c r="B2797" t="str">
        <f>Profile!A3412</f>
        <v xml:space="preserve">   Country</v>
      </c>
      <c r="C2797">
        <f>Profile!AP3414</f>
        <v>0</v>
      </c>
      <c r="D2797" t="str">
        <f>IF(Profile!C3412="Profile",IF(Profile!A3414="ResourceRequirement","OK","XXX"),"XXX")</f>
        <v>XXX</v>
      </c>
    </row>
    <row r="2798" spans="1:4" x14ac:dyDescent="0.45">
      <c r="A2798">
        <f>ROW()</f>
        <v>2798</v>
      </c>
      <c r="B2798" t="str">
        <f>Profile!A3413</f>
        <v xml:space="preserve">   Email</v>
      </c>
      <c r="C2798">
        <f>Profile!AP3415</f>
        <v>0</v>
      </c>
      <c r="D2798" t="str">
        <f>IF(Profile!C3413="Profile",IF(Profile!A3415="ResourceRequirement","OK","XXX"),"XXX")</f>
        <v>XXX</v>
      </c>
    </row>
    <row r="2799" spans="1:4" x14ac:dyDescent="0.45">
      <c r="A2799">
        <f>ROW()</f>
        <v>2799</v>
      </c>
      <c r="B2799" t="str">
        <f>Profile!A3414</f>
        <v xml:space="preserve">   Organization</v>
      </c>
      <c r="C2799">
        <f>Profile!AP3416</f>
        <v>0</v>
      </c>
      <c r="D2799" t="str">
        <f>IF(Profile!C3414="Profile",IF(Profile!A3416="ResourceRequirement","OK","XXX"),"XXX")</f>
        <v>XXX</v>
      </c>
    </row>
    <row r="2800" spans="1:4" x14ac:dyDescent="0.45">
      <c r="A2800">
        <f>ROW()</f>
        <v>2800</v>
      </c>
      <c r="B2800" t="str">
        <f>Profile!A3415</f>
        <v xml:space="preserve">   OrganizationalUnit</v>
      </c>
      <c r="C2800">
        <f>Profile!AP3417</f>
        <v>0</v>
      </c>
      <c r="D2800" t="str">
        <f>IF(Profile!C3415="Profile",IF(Profile!A3417="ResourceRequirement","OK","XXX"),"XXX")</f>
        <v>XXX</v>
      </c>
    </row>
    <row r="2801" spans="1:4" x14ac:dyDescent="0.45">
      <c r="A2801">
        <f>ROW()</f>
        <v>2801</v>
      </c>
      <c r="B2801" t="str">
        <f>Profile!A3416</f>
        <v xml:space="preserve">   State</v>
      </c>
      <c r="C2801">
        <f>Profile!AP3418</f>
        <v>0</v>
      </c>
      <c r="D2801" t="str">
        <f>IF(Profile!C3416="Profile",IF(Profile!A3418="ResourceRequirement","OK","XXX"),"XXX")</f>
        <v>XXX</v>
      </c>
    </row>
    <row r="2802" spans="1:4" x14ac:dyDescent="0.45">
      <c r="A2802">
        <f>ROW()</f>
        <v>2802</v>
      </c>
      <c r="B2802" t="str">
        <f>Profile!A3417</f>
        <v>KeyUsage</v>
      </c>
      <c r="C2802">
        <f>Profile!AP3419</f>
        <v>0</v>
      </c>
      <c r="D2802" t="str">
        <f>IF(Profile!C3417="Profile",IF(Profile!A3419="ResourceRequirement","OK","XXX"),"XXX")</f>
        <v>XXX</v>
      </c>
    </row>
    <row r="2803" spans="1:4" x14ac:dyDescent="0.45">
      <c r="A2803">
        <f>ROW()</f>
        <v>2803</v>
      </c>
      <c r="B2803" t="str">
        <f>Profile!A3418</f>
        <v>Subject</v>
      </c>
      <c r="C2803">
        <f>Profile!AP3420</f>
        <v>0</v>
      </c>
      <c r="D2803" t="str">
        <f>IF(Profile!C3418="Profile",IF(Profile!A3420="ResourceRequirement","OK","XXX"),"XXX")</f>
        <v>XXX</v>
      </c>
    </row>
    <row r="2804" spans="1:4" x14ac:dyDescent="0.45">
      <c r="A2804">
        <f>ROW()</f>
        <v>2804</v>
      </c>
      <c r="B2804" t="str">
        <f>Profile!A3419</f>
        <v xml:space="preserve">   City</v>
      </c>
      <c r="C2804">
        <f>Profile!AP3421</f>
        <v>0</v>
      </c>
      <c r="D2804" t="str">
        <f>IF(Profile!C3419="Profile",IF(Profile!A3421="ResourceRequirement","OK","XXX"),"XXX")</f>
        <v>XXX</v>
      </c>
    </row>
    <row r="2805" spans="1:4" x14ac:dyDescent="0.45">
      <c r="A2805">
        <f>ROW()</f>
        <v>2805</v>
      </c>
      <c r="B2805" t="str">
        <f>Profile!A3420</f>
        <v xml:space="preserve">   CommonName</v>
      </c>
      <c r="C2805">
        <f>Profile!AP3422</f>
        <v>0</v>
      </c>
      <c r="D2805" t="str">
        <f>IF(Profile!C3420="Profile",IF(Profile!A3422="ResourceRequirement","OK","XXX"),"XXX")</f>
        <v>XXX</v>
      </c>
    </row>
    <row r="2806" spans="1:4" x14ac:dyDescent="0.45">
      <c r="A2806">
        <f>ROW()</f>
        <v>2806</v>
      </c>
      <c r="B2806" t="str">
        <f>Profile!A3421</f>
        <v xml:space="preserve">   Country</v>
      </c>
      <c r="C2806">
        <f>Profile!AP3423</f>
        <v>0</v>
      </c>
      <c r="D2806" t="str">
        <f>IF(Profile!C3421="Profile",IF(Profile!A3423="ResourceRequirement","OK","XXX"),"XXX")</f>
        <v>XXX</v>
      </c>
    </row>
    <row r="2807" spans="1:4" x14ac:dyDescent="0.45">
      <c r="A2807">
        <f>ROW()</f>
        <v>2807</v>
      </c>
      <c r="B2807" t="str">
        <f>Profile!A3422</f>
        <v xml:space="preserve">   Email</v>
      </c>
      <c r="C2807">
        <f>Profile!AP3424</f>
        <v>0</v>
      </c>
      <c r="D2807" t="str">
        <f>IF(Profile!C3422="Profile",IF(Profile!A3424="ResourceRequirement","OK","XXX"),"XXX")</f>
        <v>XXX</v>
      </c>
    </row>
    <row r="2808" spans="1:4" x14ac:dyDescent="0.45">
      <c r="A2808">
        <f>ROW()</f>
        <v>2808</v>
      </c>
      <c r="B2808" t="str">
        <f>Profile!A3423</f>
        <v xml:space="preserve">   Organization</v>
      </c>
      <c r="C2808">
        <f>Profile!AP3425</f>
        <v>0</v>
      </c>
      <c r="D2808" t="str">
        <f>IF(Profile!C3423="Profile",IF(Profile!A3425="ResourceRequirement","OK","XXX"),"XXX")</f>
        <v>XXX</v>
      </c>
    </row>
    <row r="2809" spans="1:4" x14ac:dyDescent="0.45">
      <c r="A2809">
        <f>ROW()</f>
        <v>2809</v>
      </c>
      <c r="B2809" t="str">
        <f>Profile!A3424</f>
        <v xml:space="preserve">   OrganizationalUnit</v>
      </c>
      <c r="C2809">
        <f>Profile!AP3426</f>
        <v>0</v>
      </c>
      <c r="D2809" t="str">
        <f>IF(Profile!C3424="Profile",IF(Profile!A3426="ResourceRequirement","OK","XXX"),"XXX")</f>
        <v>XXX</v>
      </c>
    </row>
    <row r="2810" spans="1:4" x14ac:dyDescent="0.45">
      <c r="A2810">
        <f>ROW()</f>
        <v>2810</v>
      </c>
      <c r="B2810" t="str">
        <f>Profile!A3425</f>
        <v xml:space="preserve">   State</v>
      </c>
      <c r="C2810">
        <f>Profile!AP3427</f>
        <v>0</v>
      </c>
      <c r="D2810" t="str">
        <f>IF(Profile!C3425="Profile",IF(Profile!A3427="ResourceRequirement","OK","XXX"),"XXX")</f>
        <v>XXX</v>
      </c>
    </row>
    <row r="2811" spans="1:4" x14ac:dyDescent="0.45">
      <c r="A2811">
        <f>ROW()</f>
        <v>2811</v>
      </c>
      <c r="B2811" t="str">
        <f>Profile!A3426</f>
        <v>ValidNotAfter</v>
      </c>
      <c r="C2811">
        <f>Profile!AP3428</f>
        <v>0</v>
      </c>
      <c r="D2811" t="str">
        <f>IF(Profile!C3426="Profile",IF(Profile!A3428="ResourceRequirement","OK","XXX"),"XXX")</f>
        <v>XXX</v>
      </c>
    </row>
    <row r="2812" spans="1:4" x14ac:dyDescent="0.45">
      <c r="A2812">
        <f>ROW()</f>
        <v>2812</v>
      </c>
      <c r="B2812" t="str">
        <f>Profile!A3427</f>
        <v>ValidNotBefore</v>
      </c>
      <c r="C2812">
        <f>Profile!AP3429</f>
        <v>0</v>
      </c>
      <c r="D2812" t="str">
        <f>IF(Profile!C3427="Profile",IF(Profile!A3429="ResourceRequirement","OK","XXX"),"XXX")</f>
        <v>XXX</v>
      </c>
    </row>
    <row r="2813" spans="1:4" x14ac:dyDescent="0.45">
      <c r="A2813">
        <f>ROW()</f>
        <v>2813</v>
      </c>
      <c r="B2813" t="str">
        <f>Profile!A3428</f>
        <v>Certificate URIs:</v>
      </c>
      <c r="C2813">
        <f>Profile!AP3430</f>
        <v>0</v>
      </c>
      <c r="D2813" t="str">
        <f>IF(Profile!C3428="Profile",IF(Profile!A3430="ResourceRequirement","OK","XXX"),"XXX")</f>
        <v>XXX</v>
      </c>
    </row>
    <row r="2814" spans="1:4" x14ac:dyDescent="0.45">
      <c r="A2814">
        <f>ROW()</f>
        <v>2814</v>
      </c>
      <c r="B2814" t="str">
        <f>Profile!A3429</f>
        <v>/redfish/v1/AccountService/Accounts/{ManagerAccountId}/Certificates/{CertificateId}</v>
      </c>
      <c r="C2814">
        <f>Profile!AP3431</f>
        <v>0</v>
      </c>
      <c r="D2814" t="str">
        <f>IF(Profile!C3429="Profile",IF(Profile!A3431="ResourceRequirement","OK","XXX"),"XXX")</f>
        <v>XXX</v>
      </c>
    </row>
    <row r="2815" spans="1:4" x14ac:dyDescent="0.45">
      <c r="A2815">
        <f>ROW()</f>
        <v>2815</v>
      </c>
      <c r="B2815" t="str">
        <f>Profile!A3430</f>
        <v>/redfish/v1/AccountService/ActiveDirectory/Certificates/{CertificateId}</v>
      </c>
      <c r="C2815">
        <f>Profile!AP3432</f>
        <v>0</v>
      </c>
      <c r="D2815" t="str">
        <f>IF(Profile!C3430="Profile",IF(Profile!A3432="ResourceRequirement","OK","XXX"),"XXX")</f>
        <v>XXX</v>
      </c>
    </row>
    <row r="2816" spans="1:4" x14ac:dyDescent="0.45">
      <c r="A2816">
        <f>ROW()</f>
        <v>2816</v>
      </c>
      <c r="B2816" t="str">
        <f>Profile!A3431</f>
        <v>/redfish/v1/AccountService/ExternalAccountProviders/{ExternalAccountProviderId}/Certificates/{CertificateId}</v>
      </c>
      <c r="C2816">
        <f>Profile!AP3433</f>
        <v>0</v>
      </c>
      <c r="D2816" t="str">
        <f>IF(Profile!C3431="Profile",IF(Profile!A3433="ResourceRequirement","OK","XXX"),"XXX")</f>
        <v>XXX</v>
      </c>
    </row>
    <row r="2817" spans="1:4" x14ac:dyDescent="0.45">
      <c r="A2817">
        <f>ROW()</f>
        <v>2817</v>
      </c>
      <c r="B2817" t="str">
        <f>Profile!A3432</f>
        <v>/redfish/v1/AccountService/LDAP/Certificates/{CertificateId}</v>
      </c>
      <c r="C2817">
        <f>Profile!AP3434</f>
        <v>0</v>
      </c>
      <c r="D2817" t="str">
        <f>IF(Profile!C3432="Profile",IF(Profile!A3434="ResourceRequirement","OK","XXX"),"XXX")</f>
        <v>XXX</v>
      </c>
    </row>
    <row r="2818" spans="1:4" x14ac:dyDescent="0.45">
      <c r="A2818">
        <f>ROW()</f>
        <v>2818</v>
      </c>
      <c r="B2818" t="str">
        <f>Profile!A3433</f>
        <v>/redfish/v1/Managers/{ManagerId}/NetworkProtocol/HTTPS/Certificates/{CertificateId}</v>
      </c>
      <c r="C2818">
        <f>Profile!AP3435</f>
        <v>0</v>
      </c>
      <c r="D2818" t="str">
        <f>IF(Profile!C3433="Profile",IF(Profile!A3435="ResourceRequirement","OK","XXX"),"XXX")</f>
        <v>XXX</v>
      </c>
    </row>
    <row r="2819" spans="1:4" x14ac:dyDescent="0.45">
      <c r="A2819">
        <f>ROW()</f>
        <v>2819</v>
      </c>
      <c r="B2819" t="str">
        <f>Profile!A3434</f>
        <v>/redfish/v1/Managers/{ManagerId}/RemoteAccountService/Accounts/{ManagerAccountId}/Certificates/{CertificateId}</v>
      </c>
      <c r="C2819">
        <f>Profile!AP3436</f>
        <v>0</v>
      </c>
      <c r="D2819" t="str">
        <f>IF(Profile!C3434="Profile",IF(Profile!A3436="ResourceRequirement","OK","XXX"),"XXX")</f>
        <v>XXX</v>
      </c>
    </row>
    <row r="2820" spans="1:4" x14ac:dyDescent="0.45">
      <c r="A2820">
        <f>ROW()</f>
        <v>2820</v>
      </c>
      <c r="B2820" t="str">
        <f>Profile!A3435</f>
        <v>/redfish/v1/Managers/{ManagerId}/RemoteAccountService/ActiveDirectory/Certificates/{CertificateId}</v>
      </c>
      <c r="C2820">
        <f>Profile!AP3437</f>
        <v>0</v>
      </c>
      <c r="D2820" t="str">
        <f>IF(Profile!C3435="Profile",IF(Profile!A3437="ResourceRequirement","OK","XXX"),"XXX")</f>
        <v>XXX</v>
      </c>
    </row>
    <row r="2821" spans="1:4" x14ac:dyDescent="0.45">
      <c r="A2821">
        <f>ROW()</f>
        <v>2821</v>
      </c>
      <c r="B2821" t="str">
        <f>Profile!A3436</f>
        <v>/redfish/v1/Managers/{ManagerId}/RemoteAccountService/ExternalAccountProviders/{ExternalAccountProviderId}/Certificates/{CertificateId}</v>
      </c>
      <c r="C2821">
        <f>Profile!AP3438</f>
        <v>0</v>
      </c>
      <c r="D2821" t="str">
        <f>IF(Profile!C3436="Profile",IF(Profile!A3438="ResourceRequirement","OK","XXX"),"XXX")</f>
        <v>XXX</v>
      </c>
    </row>
    <row r="2822" spans="1:4" x14ac:dyDescent="0.45">
      <c r="A2822">
        <f>ROW()</f>
        <v>2822</v>
      </c>
      <c r="B2822" t="str">
        <f>Profile!A3437</f>
        <v>/redfish/v1/Managers/{ManagerId}/RemoteAccountService/LDAP/Certificates/{CertificateId}</v>
      </c>
      <c r="C2822">
        <f>Profile!AP3439</f>
        <v>0</v>
      </c>
      <c r="D2822" t="str">
        <f>IF(Profile!C3437="Profile",IF(Profile!A3439="ResourceRequirement","OK","XXX"),"XXX")</f>
        <v>XXX</v>
      </c>
    </row>
    <row r="2823" spans="1:4" x14ac:dyDescent="0.45">
      <c r="A2823">
        <f>ROW()</f>
        <v>2823</v>
      </c>
      <c r="B2823">
        <f>Profile!A3438</f>
        <v>0</v>
      </c>
      <c r="C2823">
        <f>Profile!AP3440</f>
        <v>0</v>
      </c>
      <c r="D2823" t="str">
        <f>IF(Profile!C3438="Profile",IF(Profile!A3440="ResourceRequirement","OK","XXX"),"XXX")</f>
        <v>XXX</v>
      </c>
    </row>
    <row r="2824" spans="1:4" x14ac:dyDescent="0.45">
      <c r="A2824">
        <f>ROW()</f>
        <v>2824</v>
      </c>
      <c r="B2824" t="str">
        <f>Profile!A3439</f>
        <v>1.1.9.8 CertificateLocations</v>
      </c>
      <c r="C2824">
        <f>Profile!AP3441</f>
        <v>0</v>
      </c>
      <c r="D2824" t="str">
        <f>IF(Profile!C3439="Profile",IF(Profile!A3441="ResourceRequirement","OK","XXX"),"XXX")</f>
        <v>XXX</v>
      </c>
    </row>
    <row r="2825" spans="1:4" x14ac:dyDescent="0.45">
      <c r="A2825">
        <f>ROW()</f>
        <v>2825</v>
      </c>
      <c r="B2825" t="str">
        <f>Profile!A3440</f>
        <v>The CertificateLocations schema defines a resource that an administrator can use in order to locate all certificates installed on a given service.</v>
      </c>
      <c r="C2825">
        <f>Profile!AP3442</f>
        <v>0</v>
      </c>
      <c r="D2825" t="str">
        <f>IF(Profile!C3440="Profile",IF(Profile!A3442="ResourceRequirement","OK","XXX"),"XXX")</f>
        <v>XXX</v>
      </c>
    </row>
    <row r="2826" spans="1:4" x14ac:dyDescent="0.45">
      <c r="A2826">
        <f>ROW()</f>
        <v>2826</v>
      </c>
      <c r="B2826" t="str">
        <f>Profile!A3441</f>
        <v>CertificateLocations (1.0.0)</v>
      </c>
      <c r="C2826">
        <f>Profile!AP3443</f>
        <v>6</v>
      </c>
      <c r="D2826" t="str">
        <f>IF(Profile!C3441="Profile",IF(Profile!A3443="ResourceRequirement","OK","XXX"),"XXX")</f>
        <v>OK</v>
      </c>
    </row>
    <row r="2827" spans="1:4" x14ac:dyDescent="0.45">
      <c r="A2827">
        <f>ROW()</f>
        <v>2827</v>
      </c>
      <c r="B2827">
        <f>Profile!A3442</f>
        <v>0</v>
      </c>
      <c r="C2827">
        <f>Profile!AP3444</f>
        <v>0</v>
      </c>
      <c r="D2827" t="str">
        <f>IF(Profile!C3442="Profile",IF(Profile!A3444="ResourceRequirement","OK","XXX"),"XXX")</f>
        <v>XXX</v>
      </c>
    </row>
    <row r="2828" spans="1:4" x14ac:dyDescent="0.45">
      <c r="A2828">
        <f>ROW()</f>
        <v>2828</v>
      </c>
      <c r="B2828" t="str">
        <f>Profile!A3443</f>
        <v>ResourceRequirement</v>
      </c>
      <c r="C2828">
        <f>Profile!AP3445</f>
        <v>0</v>
      </c>
      <c r="D2828" t="str">
        <f>IF(Profile!C3443="Profile",IF(Profile!A3445="ResourceRequirement","OK","XXX"),"XXX")</f>
        <v>XXX</v>
      </c>
    </row>
    <row r="2829" spans="1:4" x14ac:dyDescent="0.45">
      <c r="A2829">
        <f>ROW()</f>
        <v>2829</v>
      </c>
      <c r="B2829" t="str">
        <f>Profile!A3444</f>
        <v>Resource MinVersion</v>
      </c>
      <c r="C2829">
        <f>Profile!AP3446</f>
        <v>0</v>
      </c>
      <c r="D2829" t="str">
        <f>IF(Profile!C3444="Profile",IF(Profile!A3446="ResourceRequirement","OK","XXX"),"XXX")</f>
        <v>XXX</v>
      </c>
    </row>
    <row r="2830" spans="1:4" x14ac:dyDescent="0.45">
      <c r="A2830">
        <f>ROW()</f>
        <v>2830</v>
      </c>
      <c r="B2830" t="str">
        <f>Profile!A3445</f>
        <v>Property</v>
      </c>
      <c r="C2830">
        <f>Profile!AP3447</f>
        <v>0</v>
      </c>
      <c r="D2830" t="str">
        <f>IF(Profile!C3445="Profile",IF(Profile!A3447="ResourceRequirement","OK","XXX"),"XXX")</f>
        <v>XXX</v>
      </c>
    </row>
    <row r="2831" spans="1:4" x14ac:dyDescent="0.45">
      <c r="A2831">
        <f>ROW()</f>
        <v>2831</v>
      </c>
      <c r="B2831" t="str">
        <f>Profile!A3446</f>
        <v>Actions</v>
      </c>
      <c r="C2831">
        <f>Profile!AP3448</f>
        <v>0</v>
      </c>
      <c r="D2831" t="str">
        <f>IF(Profile!C3446="Profile",IF(Profile!A3448="ResourceRequirement","OK","XXX"),"XXX")</f>
        <v>XXX</v>
      </c>
    </row>
    <row r="2832" spans="1:4" x14ac:dyDescent="0.45">
      <c r="A2832">
        <f>ROW()</f>
        <v>2832</v>
      </c>
      <c r="B2832" t="str">
        <f>Profile!A3447</f>
        <v>Links</v>
      </c>
      <c r="C2832">
        <f>Profile!AP3449</f>
        <v>0</v>
      </c>
      <c r="D2832" t="str">
        <f>IF(Profile!C3447="Profile",IF(Profile!A3449="ResourceRequirement","OK","XXX"),"XXX")</f>
        <v>XXX</v>
      </c>
    </row>
    <row r="2833" spans="1:4" x14ac:dyDescent="0.45">
      <c r="A2833">
        <f>ROW()</f>
        <v>2833</v>
      </c>
      <c r="B2833" t="str">
        <f>Profile!A3448</f>
        <v xml:space="preserve">   Certificates</v>
      </c>
      <c r="C2833">
        <f>Profile!AP3450</f>
        <v>0</v>
      </c>
      <c r="D2833" t="str">
        <f>IF(Profile!C3448="Profile",IF(Profile!A3450="ResourceRequirement","OK","XXX"),"XXX")</f>
        <v>XXX</v>
      </c>
    </row>
    <row r="2834" spans="1:4" x14ac:dyDescent="0.45">
      <c r="A2834">
        <f>ROW()</f>
        <v>2834</v>
      </c>
      <c r="B2834" t="str">
        <f>Profile!A3449</f>
        <v xml:space="preserve">      @odata.id</v>
      </c>
      <c r="C2834">
        <f>Profile!AP3451</f>
        <v>0</v>
      </c>
      <c r="D2834" t="str">
        <f>IF(Profile!C3449="Profile",IF(Profile!A3451="ResourceRequirement","OK","XXX"),"XXX")</f>
        <v>XXX</v>
      </c>
    </row>
    <row r="2835" spans="1:4" x14ac:dyDescent="0.45">
      <c r="A2835">
        <f>ROW()</f>
        <v>2835</v>
      </c>
      <c r="B2835" t="str">
        <f>Profile!A3450</f>
        <v>OEM</v>
      </c>
      <c r="C2835">
        <f>Profile!AP3452</f>
        <v>0</v>
      </c>
      <c r="D2835" t="str">
        <f>IF(Profile!C3450="Profile",IF(Profile!A3452="ResourceRequirement","OK","XXX"),"XXX")</f>
        <v>XXX</v>
      </c>
    </row>
    <row r="2836" spans="1:4" x14ac:dyDescent="0.45">
      <c r="A2836">
        <f>ROW()</f>
        <v>2836</v>
      </c>
      <c r="B2836" t="str">
        <f>Profile!A3451</f>
        <v>CertificateLocations URIs:</v>
      </c>
      <c r="C2836">
        <f>Profile!AP3453</f>
        <v>0</v>
      </c>
      <c r="D2836" t="str">
        <f>IF(Profile!C3451="Profile",IF(Profile!A3453="ResourceRequirement","OK","XXX"),"XXX")</f>
        <v>XXX</v>
      </c>
    </row>
    <row r="2837" spans="1:4" x14ac:dyDescent="0.45">
      <c r="A2837">
        <f>ROW()</f>
        <v>2837</v>
      </c>
      <c r="B2837" t="str">
        <f>Profile!A3452</f>
        <v>/redfish/v1/CertificateService/CertificateLocations</v>
      </c>
      <c r="C2837">
        <f>Profile!AP3454</f>
        <v>0</v>
      </c>
      <c r="D2837" t="str">
        <f>IF(Profile!C3452="Profile",IF(Profile!A3454="ResourceRequirement","OK","XXX"),"XXX")</f>
        <v>XXX</v>
      </c>
    </row>
    <row r="2838" spans="1:4" x14ac:dyDescent="0.45">
      <c r="A2838">
        <f>ROW()</f>
        <v>2838</v>
      </c>
      <c r="B2838">
        <f>Profile!A3453</f>
        <v>0</v>
      </c>
      <c r="C2838">
        <f>Profile!AP3455</f>
        <v>0</v>
      </c>
      <c r="D2838" t="str">
        <f>IF(Profile!C3453="Profile",IF(Profile!A3455="ResourceRequirement","OK","XXX"),"XXX")</f>
        <v>XXX</v>
      </c>
    </row>
    <row r="2839" spans="1:4" x14ac:dyDescent="0.45">
      <c r="A2839">
        <f>ROW()</f>
        <v>2839</v>
      </c>
      <c r="B2839" t="str">
        <f>Profile!A3454</f>
        <v>1.1.9.8 CertificateService</v>
      </c>
      <c r="C2839">
        <f>Profile!AP3456</f>
        <v>0</v>
      </c>
      <c r="D2839" t="str">
        <f>IF(Profile!C3454="Profile",IF(Profile!A3456="ResourceRequirement","OK","XXX"),"XXX")</f>
        <v>XXX</v>
      </c>
    </row>
    <row r="2840" spans="1:4" x14ac:dyDescent="0.45">
      <c r="A2840">
        <f>ROW()</f>
        <v>2840</v>
      </c>
      <c r="B2840" t="str">
        <f>Profile!A3455</f>
        <v>The CertificateService schema defines a Certificate Service which represents the actions available to manage certificates and links to where certificates are installed.</v>
      </c>
      <c r="C2840">
        <f>Profile!AP3457</f>
        <v>0</v>
      </c>
      <c r="D2840" t="str">
        <f>IF(Profile!C3455="Profile",IF(Profile!A3457="ResourceRequirement","OK","XXX"),"XXX")</f>
        <v>XXX</v>
      </c>
    </row>
    <row r="2841" spans="1:4" x14ac:dyDescent="0.45">
      <c r="A2841">
        <f>ROW()</f>
        <v>2841</v>
      </c>
      <c r="B2841" t="str">
        <f>Profile!A3456</f>
        <v>CertificateService (1.0.0)</v>
      </c>
      <c r="C2841">
        <f>Profile!AP3458</f>
        <v>7</v>
      </c>
      <c r="D2841" t="str">
        <f>IF(Profile!C3456="Profile",IF(Profile!A3458="ResourceRequirement","OK","XXX"),"XXX")</f>
        <v>OK</v>
      </c>
    </row>
    <row r="2842" spans="1:4" x14ac:dyDescent="0.45">
      <c r="A2842">
        <f>ROW()</f>
        <v>2842</v>
      </c>
      <c r="B2842">
        <f>Profile!A3457</f>
        <v>0</v>
      </c>
      <c r="C2842">
        <f>Profile!AP3459</f>
        <v>0</v>
      </c>
      <c r="D2842" t="str">
        <f>IF(Profile!C3457="Profile",IF(Profile!A3459="ResourceRequirement","OK","XXX"),"XXX")</f>
        <v>XXX</v>
      </c>
    </row>
    <row r="2843" spans="1:4" x14ac:dyDescent="0.45">
      <c r="A2843">
        <f>ROW()</f>
        <v>2843</v>
      </c>
      <c r="B2843" t="str">
        <f>Profile!A3458</f>
        <v>ResourceRequirement</v>
      </c>
      <c r="C2843">
        <f>Profile!AP3460</f>
        <v>0</v>
      </c>
      <c r="D2843" t="str">
        <f>IF(Profile!C3458="Profile",IF(Profile!A3460="ResourceRequirement","OK","XXX"),"XXX")</f>
        <v>XXX</v>
      </c>
    </row>
    <row r="2844" spans="1:4" x14ac:dyDescent="0.45">
      <c r="A2844">
        <f>ROW()</f>
        <v>2844</v>
      </c>
      <c r="B2844" t="str">
        <f>Profile!A3459</f>
        <v>Resource MinVersion</v>
      </c>
      <c r="C2844">
        <f>Profile!AP3461</f>
        <v>0</v>
      </c>
      <c r="D2844" t="str">
        <f>IF(Profile!C3459="Profile",IF(Profile!A3461="ResourceRequirement","OK","XXX"),"XXX")</f>
        <v>XXX</v>
      </c>
    </row>
    <row r="2845" spans="1:4" x14ac:dyDescent="0.45">
      <c r="A2845">
        <f>ROW()</f>
        <v>2845</v>
      </c>
      <c r="B2845" t="str">
        <f>Profile!A3460</f>
        <v>Property</v>
      </c>
      <c r="C2845">
        <f>Profile!AP3462</f>
        <v>0</v>
      </c>
      <c r="D2845" t="str">
        <f>IF(Profile!C3460="Profile",IF(Profile!A3462="ResourceRequirement","OK","XXX"),"XXX")</f>
        <v>XXX</v>
      </c>
    </row>
    <row r="2846" spans="1:4" x14ac:dyDescent="0.45">
      <c r="A2846">
        <f>ROW()</f>
        <v>2846</v>
      </c>
      <c r="B2846" t="str">
        <f>Profile!A3461</f>
        <v>Actions</v>
      </c>
      <c r="C2846">
        <f>Profile!AP3463</f>
        <v>0</v>
      </c>
      <c r="D2846" t="str">
        <f>IF(Profile!C3461="Profile",IF(Profile!A3463="ResourceRequirement","OK","XXX"),"XXX")</f>
        <v>XXX</v>
      </c>
    </row>
    <row r="2847" spans="1:4" x14ac:dyDescent="0.45">
      <c r="A2847">
        <f>ROW()</f>
        <v>2847</v>
      </c>
      <c r="B2847" t="str">
        <f>Profile!A3462</f>
        <v xml:space="preserve">   #CertificateService.GenerateCSR</v>
      </c>
      <c r="C2847">
        <f>Profile!AP3464</f>
        <v>0</v>
      </c>
      <c r="D2847" t="str">
        <f>IF(Profile!C3462="Profile",IF(Profile!A3464="ResourceRequirement","OK","XXX"),"XXX")</f>
        <v>XXX</v>
      </c>
    </row>
    <row r="2848" spans="1:4" x14ac:dyDescent="0.45">
      <c r="A2848">
        <f>ROW()</f>
        <v>2848</v>
      </c>
      <c r="B2848" t="str">
        <f>Profile!A3463</f>
        <v xml:space="preserve">   #CertificateService.ReplaceCertificate</v>
      </c>
      <c r="C2848">
        <f>Profile!AP3465</f>
        <v>0</v>
      </c>
      <c r="D2848" t="str">
        <f>IF(Profile!C3463="Profile",IF(Profile!A3465="ResourceRequirement","OK","XXX"),"XXX")</f>
        <v>XXX</v>
      </c>
    </row>
    <row r="2849" spans="1:4" x14ac:dyDescent="0.45">
      <c r="A2849">
        <f>ROW()</f>
        <v>2849</v>
      </c>
      <c r="B2849" t="str">
        <f>Profile!A3464</f>
        <v>CertificateLocations</v>
      </c>
      <c r="C2849">
        <f>Profile!AP3466</f>
        <v>0</v>
      </c>
      <c r="D2849" t="str">
        <f>IF(Profile!C3464="Profile",IF(Profile!A3466="ResourceRequirement","OK","XXX"),"XXX")</f>
        <v>XXX</v>
      </c>
    </row>
    <row r="2850" spans="1:4" x14ac:dyDescent="0.45">
      <c r="A2850">
        <f>ROW()</f>
        <v>2850</v>
      </c>
      <c r="B2850" t="str">
        <f>Profile!A3465</f>
        <v xml:space="preserve">   @odata.id</v>
      </c>
      <c r="C2850">
        <f>Profile!AP3467</f>
        <v>0</v>
      </c>
      <c r="D2850" t="str">
        <f>IF(Profile!C3465="Profile",IF(Profile!A3467="ResourceRequirement","OK","XXX"),"XXX")</f>
        <v>XXX</v>
      </c>
    </row>
    <row r="2851" spans="1:4" x14ac:dyDescent="0.45">
      <c r="A2851">
        <f>ROW()</f>
        <v>2851</v>
      </c>
      <c r="B2851" t="str">
        <f>Profile!A3466</f>
        <v>CertificateService URIs:</v>
      </c>
      <c r="C2851">
        <f>Profile!AP3468</f>
        <v>0</v>
      </c>
      <c r="D2851" t="str">
        <f>IF(Profile!C3466="Profile",IF(Profile!A3468="ResourceRequirement","OK","XXX"),"XXX")</f>
        <v>XXX</v>
      </c>
    </row>
    <row r="2852" spans="1:4" x14ac:dyDescent="0.45">
      <c r="A2852">
        <f>ROW()</f>
        <v>2852</v>
      </c>
      <c r="B2852" t="str">
        <f>Profile!A3467</f>
        <v>/redfish/v1/CertificateService</v>
      </c>
      <c r="C2852">
        <f>Profile!AP3469</f>
        <v>0</v>
      </c>
      <c r="D2852" t="str">
        <f>IF(Profile!C3467="Profile",IF(Profile!A3469="ResourceRequirement","OK","XXX"),"XXX")</f>
        <v>XXX</v>
      </c>
    </row>
    <row r="2853" spans="1:4" x14ac:dyDescent="0.45">
      <c r="A2853">
        <f>ROW()</f>
        <v>2853</v>
      </c>
      <c r="B2853">
        <f>Profile!A3468</f>
        <v>0</v>
      </c>
      <c r="C2853">
        <f>Profile!AP3470</f>
        <v>0</v>
      </c>
      <c r="D2853" t="str">
        <f>IF(Profile!C3468="Profile",IF(Profile!A3470="ResourceRequirement","OK","XXX"),"XXX")</f>
        <v>XXX</v>
      </c>
    </row>
    <row r="2854" spans="1:4" x14ac:dyDescent="0.45">
      <c r="A2854">
        <f>ROW()</f>
        <v>2854</v>
      </c>
      <c r="B2854" t="str">
        <f>Profile!A3469</f>
        <v>1.1.8.7               SecureBoot</v>
      </c>
      <c r="C2854">
        <f>Profile!AP3471</f>
        <v>0</v>
      </c>
      <c r="D2854" t="str">
        <f>IF(Profile!C3469="Profile",IF(Profile!A3471="ResourceRequirement","OK","XXX"),"XXX")</f>
        <v>XXX</v>
      </c>
    </row>
    <row r="2855" spans="1:4" x14ac:dyDescent="0.45">
      <c r="A2855">
        <f>ROW()</f>
        <v>2855</v>
      </c>
      <c r="B2855" t="str">
        <f>Profile!A3470</f>
        <v>The SecureBoot resource contains UEFI secure boot information. It represents properties for managing the UEFI secure boot functionality of a system.</v>
      </c>
      <c r="C2855">
        <f>Profile!AP3472</f>
        <v>0</v>
      </c>
      <c r="D2855" t="str">
        <f>IF(Profile!C3470="Profile",IF(Profile!A3472="ResourceRequirement","OK","XXX"),"XXX")</f>
        <v>XXX</v>
      </c>
    </row>
    <row r="2856" spans="1:4" x14ac:dyDescent="0.45">
      <c r="A2856">
        <f>ROW()</f>
        <v>2856</v>
      </c>
      <c r="B2856" t="str">
        <f>Profile!A3471</f>
        <v>Table 81: O-PAS Profile Map for the Redfish SecureBoot Resource</v>
      </c>
      <c r="C2856">
        <f>Profile!AP3473</f>
        <v>0</v>
      </c>
      <c r="D2856" t="str">
        <f>IF(Profile!C3471="Profile",IF(Profile!A3473="ResourceRequirement","OK","XXX"),"XXX")</f>
        <v>XXX</v>
      </c>
    </row>
    <row r="2857" spans="1:4" x14ac:dyDescent="0.45">
      <c r="A2857">
        <f>ROW()</f>
        <v>2857</v>
      </c>
      <c r="B2857" t="str">
        <f>Profile!A3472</f>
        <v>SecureBoot (1.0.4)</v>
      </c>
      <c r="C2857">
        <f>Profile!AP3474</f>
        <v>0</v>
      </c>
      <c r="D2857" t="str">
        <f>IF(Profile!C3472="Profile",IF(Profile!A3474="ResourceRequirement","OK","XXX"),"XXX")</f>
        <v>XXX</v>
      </c>
    </row>
    <row r="2858" spans="1:4" x14ac:dyDescent="0.45">
      <c r="A2858">
        <f>ROW()</f>
        <v>2858</v>
      </c>
      <c r="B2858">
        <f>Profile!A3473</f>
        <v>0</v>
      </c>
      <c r="C2858">
        <f>Profile!AP3475</f>
        <v>0</v>
      </c>
      <c r="D2858" t="str">
        <f>IF(Profile!C3473="Profile",IF(Profile!A3475="ResourceRequirement","OK","XXX"),"XXX")</f>
        <v>XXX</v>
      </c>
    </row>
    <row r="2859" spans="1:4" x14ac:dyDescent="0.45">
      <c r="A2859">
        <f>ROW()</f>
        <v>2859</v>
      </c>
      <c r="B2859" t="str">
        <f>Profile!A3474</f>
        <v>SecureBoot (1.0.4)</v>
      </c>
      <c r="C2859">
        <f>Profile!AP3476</f>
        <v>51</v>
      </c>
      <c r="D2859" t="str">
        <f>IF(Profile!C3474="Profile",IF(Profile!A3476="ResourceRequirement","OK","XXX"),"XXX")</f>
        <v>OK</v>
      </c>
    </row>
    <row r="2860" spans="1:4" x14ac:dyDescent="0.45">
      <c r="A2860">
        <f>ROW()</f>
        <v>2860</v>
      </c>
      <c r="B2860">
        <f>Profile!A3475</f>
        <v>0</v>
      </c>
      <c r="C2860">
        <f>Profile!AP3477</f>
        <v>0</v>
      </c>
      <c r="D2860" t="str">
        <f>IF(Profile!C3475="Profile",IF(Profile!A3477="ResourceRequirement","OK","XXX"),"XXX")</f>
        <v>XXX</v>
      </c>
    </row>
    <row r="2861" spans="1:4" x14ac:dyDescent="0.45">
      <c r="A2861">
        <f>ROW()</f>
        <v>2861</v>
      </c>
      <c r="B2861" t="str">
        <f>Profile!A3476</f>
        <v>ResourceRequirement</v>
      </c>
      <c r="C2861">
        <f>Profile!AP3478</f>
        <v>0</v>
      </c>
      <c r="D2861" t="str">
        <f>IF(Profile!C3476="Profile",IF(Profile!A3478="ResourceRequirement","OK","XXX"),"XXX")</f>
        <v>XXX</v>
      </c>
    </row>
    <row r="2862" spans="1:4" x14ac:dyDescent="0.45">
      <c r="A2862">
        <f>ROW()</f>
        <v>2862</v>
      </c>
      <c r="B2862" t="str">
        <f>Profile!A3477</f>
        <v>Resource MinVersion</v>
      </c>
      <c r="C2862">
        <f>Profile!AP3479</f>
        <v>0</v>
      </c>
      <c r="D2862" t="str">
        <f>IF(Profile!C3477="Profile",IF(Profile!A3479="ResourceRequirement","OK","XXX"),"XXX")</f>
        <v>XXX</v>
      </c>
    </row>
    <row r="2863" spans="1:4" x14ac:dyDescent="0.45">
      <c r="A2863">
        <f>ROW()</f>
        <v>2863</v>
      </c>
      <c r="B2863" t="str">
        <f>Profile!A3478</f>
        <v>Property</v>
      </c>
      <c r="C2863">
        <f>Profile!AP3480</f>
        <v>0</v>
      </c>
      <c r="D2863" t="str">
        <f>IF(Profile!C3478="Profile",IF(Profile!A3480="ResourceRequirement","OK","XXX"),"XXX")</f>
        <v>XXX</v>
      </c>
    </row>
    <row r="2864" spans="1:4" x14ac:dyDescent="0.45">
      <c r="A2864">
        <f>ROW()</f>
        <v>2864</v>
      </c>
      <c r="B2864" t="str">
        <f>Profile!A3479</f>
        <v>Actions</v>
      </c>
      <c r="C2864">
        <f>Profile!AP3481</f>
        <v>0</v>
      </c>
      <c r="D2864" t="str">
        <f>IF(Profile!C3479="Profile",IF(Profile!A3481="ResourceRequirement","OK","XXX"),"XXX")</f>
        <v>XXX</v>
      </c>
    </row>
    <row r="2865" spans="1:4" x14ac:dyDescent="0.45">
      <c r="A2865">
        <f>ROW()</f>
        <v>2865</v>
      </c>
      <c r="B2865" t="str">
        <f>Profile!A3480</f>
        <v xml:space="preserve">   #SecureBoot.ResetKeys</v>
      </c>
      <c r="C2865">
        <f>Profile!AP3482</f>
        <v>0</v>
      </c>
      <c r="D2865" t="str">
        <f>IF(Profile!C3480="Profile",IF(Profile!A3482="ResourceRequirement","OK","XXX"),"XXX")</f>
        <v>XXX</v>
      </c>
    </row>
    <row r="2866" spans="1:4" x14ac:dyDescent="0.45">
      <c r="A2866">
        <f>ROW()</f>
        <v>2866</v>
      </c>
      <c r="B2866" t="str">
        <f>Profile!A3481</f>
        <v>SecureBootCurrentBoot</v>
      </c>
      <c r="C2866">
        <f>Profile!AP3483</f>
        <v>0</v>
      </c>
      <c r="D2866" t="str">
        <f>IF(Profile!C3481="Profile",IF(Profile!A3483="ResourceRequirement","OK","XXX"),"XXX")</f>
        <v>XXX</v>
      </c>
    </row>
    <row r="2867" spans="1:4" x14ac:dyDescent="0.45">
      <c r="A2867">
        <f>ROW()</f>
        <v>2867</v>
      </c>
      <c r="B2867" t="str">
        <f>Profile!A3482</f>
        <v>SecureBootEnable</v>
      </c>
      <c r="C2867">
        <f>Profile!AP3484</f>
        <v>0</v>
      </c>
      <c r="D2867" t="str">
        <f>IF(Profile!C3482="Profile",IF(Profile!A3484="ResourceRequirement","OK","XXX"),"XXX")</f>
        <v>XXX</v>
      </c>
    </row>
    <row r="2868" spans="1:4" x14ac:dyDescent="0.45">
      <c r="A2868">
        <f>ROW()</f>
        <v>2868</v>
      </c>
      <c r="B2868" t="str">
        <f>Profile!A3483</f>
        <v>SecureBootMode</v>
      </c>
      <c r="C2868">
        <f>Profile!AP3485</f>
        <v>0</v>
      </c>
      <c r="D2868" t="str">
        <f>IF(Profile!C3483="Profile",IF(Profile!A3485="ResourceRequirement","OK","XXX"),"XXX")</f>
        <v>XXX</v>
      </c>
    </row>
    <row r="2869" spans="1:4" x14ac:dyDescent="0.45">
      <c r="A2869">
        <f>ROW()</f>
        <v>2869</v>
      </c>
      <c r="B2869" t="str">
        <f>Profile!A3484</f>
        <v>SecureBoot URIs</v>
      </c>
      <c r="C2869">
        <f>Profile!AP3486</f>
        <v>0</v>
      </c>
      <c r="D2869" t="str">
        <f>IF(Profile!C3484="Profile",IF(Profile!A3486="ResourceRequirement","OK","XXX"),"XXX")</f>
        <v>XXX</v>
      </c>
    </row>
    <row r="2870" spans="1:4" x14ac:dyDescent="0.45">
      <c r="A2870">
        <f>ROW()</f>
        <v>2870</v>
      </c>
      <c r="B2870" t="str">
        <f>Profile!A3485</f>
        <v>/redfish/v1/Systems/{ComputerSystemId}/SecureBoot</v>
      </c>
      <c r="C2870">
        <f>Profile!AP3487</f>
        <v>0</v>
      </c>
      <c r="D2870" t="str">
        <f>IF(Profile!C3485="Profile",IF(Profile!A3487="ResourceRequirement","OK","XXX"),"XXX")</f>
        <v>XXX</v>
      </c>
    </row>
    <row r="2871" spans="1:4" x14ac:dyDescent="0.45">
      <c r="A2871">
        <f>ROW()</f>
        <v>2871</v>
      </c>
      <c r="B2871">
        <f>Profile!A3486</f>
        <v>0</v>
      </c>
      <c r="C2871">
        <f>Profile!AP3488</f>
        <v>0</v>
      </c>
      <c r="D2871" t="str">
        <f>IF(Profile!C3486="Profile",IF(Profile!A3488="ResourceRequirement","OK","XXX"),"XXX")</f>
        <v>XXX</v>
      </c>
    </row>
    <row r="2872" spans="1:4" x14ac:dyDescent="0.45">
      <c r="A2872">
        <f>ROW()</f>
        <v>2872</v>
      </c>
      <c r="B2872" t="str">
        <f>Profile!A3487</f>
        <v>1.1.9.1 OperatingSystem</v>
      </c>
      <c r="C2872">
        <f>Profile!AP3489</f>
        <v>0</v>
      </c>
      <c r="D2872" t="str">
        <f>IF(Profile!C3487="Profile",IF(Profile!A3489="ResourceRequirement","OK","XXX"),"XXX")</f>
        <v>XXX</v>
      </c>
    </row>
    <row r="2873" spans="1:4" x14ac:dyDescent="0.45">
      <c r="A2873">
        <f>ROW()</f>
        <v>2873</v>
      </c>
      <c r="B2873" t="str">
        <f>Profile!A3488</f>
        <v>Resource defining in-band operating characteristics, capabilities, and metrics.</v>
      </c>
      <c r="C2873">
        <f>Profile!AP3490</f>
        <v>0</v>
      </c>
      <c r="D2873" t="str">
        <f>IF(Profile!C3488="Profile",IF(Profile!A3490="ResourceRequirement","OK","XXX"),"XXX")</f>
        <v>XXX</v>
      </c>
    </row>
    <row r="2874" spans="1:4" x14ac:dyDescent="0.45">
      <c r="A2874">
        <f>ROW()</f>
        <v>2874</v>
      </c>
      <c r="B2874" t="str">
        <f>Profile!A3489</f>
        <v>OperatingSystem (1.0.0)</v>
      </c>
      <c r="C2874">
        <f>Profile!AP3491</f>
        <v>41</v>
      </c>
      <c r="D2874" t="str">
        <f>IF(Profile!C3489="Profile",IF(Profile!A3491="ResourceRequirement","OK","XXX"),"XXX")</f>
        <v>OK</v>
      </c>
    </row>
    <row r="2875" spans="1:4" x14ac:dyDescent="0.45">
      <c r="A2875">
        <f>ROW()</f>
        <v>2875</v>
      </c>
      <c r="B2875">
        <f>Profile!A3490</f>
        <v>0</v>
      </c>
      <c r="C2875">
        <f>Profile!AP3492</f>
        <v>0</v>
      </c>
      <c r="D2875" t="str">
        <f>IF(Profile!C3490="Profile",IF(Profile!A3492="ResourceRequirement","OK","XXX"),"XXX")</f>
        <v>XXX</v>
      </c>
    </row>
    <row r="2876" spans="1:4" x14ac:dyDescent="0.45">
      <c r="A2876">
        <f>ROW()</f>
        <v>2876</v>
      </c>
      <c r="B2876" t="str">
        <f>Profile!A3491</f>
        <v>ResourceRequirement</v>
      </c>
      <c r="C2876">
        <f>Profile!AP3493</f>
        <v>0</v>
      </c>
      <c r="D2876" t="str">
        <f>IF(Profile!C3491="Profile",IF(Profile!A3493="ResourceRequirement","OK","XXX"),"XXX")</f>
        <v>XXX</v>
      </c>
    </row>
    <row r="2877" spans="1:4" x14ac:dyDescent="0.45">
      <c r="A2877">
        <f>ROW()</f>
        <v>2877</v>
      </c>
      <c r="B2877" t="str">
        <f>Profile!A3492</f>
        <v>Resource MinVersion</v>
      </c>
      <c r="C2877">
        <f>Profile!AP3494</f>
        <v>0</v>
      </c>
      <c r="D2877" t="str">
        <f>IF(Profile!C3492="Profile",IF(Profile!A3494="ResourceRequirement","OK","XXX"),"XXX")</f>
        <v>XXX</v>
      </c>
    </row>
    <row r="2878" spans="1:4" x14ac:dyDescent="0.45">
      <c r="A2878">
        <f>ROW()</f>
        <v>2878</v>
      </c>
      <c r="B2878" t="str">
        <f>Profile!A3493</f>
        <v>Property</v>
      </c>
      <c r="C2878">
        <f>Profile!AP3495</f>
        <v>0</v>
      </c>
      <c r="D2878" t="str">
        <f>IF(Profile!C3493="Profile",IF(Profile!A3495="ResourceRequirement","OK","XXX"),"XXX")</f>
        <v>XXX</v>
      </c>
    </row>
    <row r="2879" spans="1:4" x14ac:dyDescent="0.45">
      <c r="A2879">
        <f>ROW()</f>
        <v>2879</v>
      </c>
      <c r="B2879" t="str">
        <f>Profile!A3494</f>
        <v>Actions</v>
      </c>
      <c r="C2879">
        <f>Profile!AP3496</f>
        <v>0</v>
      </c>
      <c r="D2879" t="str">
        <f>IF(Profile!C3494="Profile",IF(Profile!A3496="ResourceRequirement","OK","XXX"),"XXX")</f>
        <v>XXX</v>
      </c>
    </row>
    <row r="2880" spans="1:4" x14ac:dyDescent="0.45">
      <c r="A2880">
        <f>ROW()</f>
        <v>2880</v>
      </c>
      <c r="B2880" t="str">
        <f>Profile!A3495</f>
        <v>Hostname</v>
      </c>
      <c r="C2880">
        <f>Profile!AP3497</f>
        <v>0</v>
      </c>
      <c r="D2880" t="str">
        <f>IF(Profile!C3495="Profile",IF(Profile!A3497="ResourceRequirement","OK","XXX"),"XXX")</f>
        <v>XXX</v>
      </c>
    </row>
    <row r="2881" spans="1:4" x14ac:dyDescent="0.45">
      <c r="A2881">
        <f>ROW()</f>
        <v>2881</v>
      </c>
      <c r="B2881" t="str">
        <f>Profile!A3496</f>
        <v>LastBootTime</v>
      </c>
      <c r="C2881">
        <f>Profile!AP3498</f>
        <v>0</v>
      </c>
      <c r="D2881" t="str">
        <f>IF(Profile!C3496="Profile",IF(Profile!A3498="ResourceRequirement","OK","XXX"),"XXX")</f>
        <v>XXX</v>
      </c>
    </row>
    <row r="2882" spans="1:4" x14ac:dyDescent="0.45">
      <c r="A2882">
        <f>ROW()</f>
        <v>2882</v>
      </c>
      <c r="B2882" t="str">
        <f>Profile!A3497</f>
        <v>AccumulatedRunTime</v>
      </c>
      <c r="C2882">
        <f>Profile!AP3499</f>
        <v>0</v>
      </c>
      <c r="D2882" t="str">
        <f>IF(Profile!C3497="Profile",IF(Profile!A3499="ResourceRequirement","OK","XXX"),"XXX")</f>
        <v>XXX</v>
      </c>
    </row>
    <row r="2883" spans="1:4" x14ac:dyDescent="0.45">
      <c r="A2883">
        <f>ROW()</f>
        <v>2883</v>
      </c>
      <c r="B2883" t="str">
        <f>Profile!A3498</f>
        <v>KernelName</v>
      </c>
      <c r="C2883">
        <f>Profile!AP3501</f>
        <v>0</v>
      </c>
      <c r="D2883" t="str">
        <f>IF(Profile!C3498="Profile",IF(Profile!A3501="ResourceRequirement","OK","XXX"),"XXX")</f>
        <v>XXX</v>
      </c>
    </row>
    <row r="2884" spans="1:4" x14ac:dyDescent="0.45">
      <c r="A2884">
        <f>ROW()</f>
        <v>2884</v>
      </c>
      <c r="B2884" t="str">
        <f>Profile!A3499</f>
        <v>KernelRelease</v>
      </c>
      <c r="C2884">
        <f>Profile!AP3504</f>
        <v>0</v>
      </c>
      <c r="D2884" t="str">
        <f>IF(Profile!C3499="Profile",IF(Profile!A3504="ResourceRequirement","OK","XXX"),"XXX")</f>
        <v>XXX</v>
      </c>
    </row>
    <row r="2885" spans="1:4" x14ac:dyDescent="0.45">
      <c r="A2885">
        <f>ROW()</f>
        <v>2885</v>
      </c>
      <c r="B2885" t="str">
        <f>Profile!A3501</f>
        <v>RealTimeOS</v>
      </c>
      <c r="C2885">
        <f>Profile!AP3505</f>
        <v>0</v>
      </c>
      <c r="D2885" t="str">
        <f>IF(Profile!C3501="Profile",IF(Profile!A3505="ResourceRequirement","OK","XXX"),"XXX")</f>
        <v>XXX</v>
      </c>
    </row>
    <row r="2886" spans="1:4" x14ac:dyDescent="0.45">
      <c r="A2886">
        <f>ROW()</f>
        <v>2886</v>
      </c>
      <c r="B2886" t="str">
        <f>Profile!A3504</f>
        <v>ProcessorArchitecture</v>
      </c>
      <c r="C2886">
        <f>Profile!AP3506</f>
        <v>0</v>
      </c>
      <c r="D2886" t="str">
        <f>IF(Profile!C3504="Profile",IF(Profile!A3506="ResourceRequirement","OK","XXX"),"XXX")</f>
        <v>XXX</v>
      </c>
    </row>
    <row r="2887" spans="1:4" x14ac:dyDescent="0.45">
      <c r="A2887">
        <f>ROW()</f>
        <v>2887</v>
      </c>
      <c r="B2887" t="str">
        <f>Profile!A3505</f>
        <v>OperatingSystemName</v>
      </c>
      <c r="C2887">
        <f>Profile!AP3507</f>
        <v>0</v>
      </c>
      <c r="D2887" t="str">
        <f>IF(Profile!C3505="Profile",IF(Profile!A3507="ResourceRequirement","OK","XXX"),"XXX")</f>
        <v>XXX</v>
      </c>
    </row>
    <row r="2888" spans="1:4" x14ac:dyDescent="0.45">
      <c r="A2888">
        <f>ROW()</f>
        <v>2888</v>
      </c>
      <c r="B2888" t="str">
        <f>Profile!A3506</f>
        <v>EnvironmentAttributeRegistry</v>
      </c>
      <c r="C2888">
        <f>Profile!AP3508</f>
        <v>0</v>
      </c>
      <c r="D2888" t="str">
        <f>IF(Profile!C3506="Profile",IF(Profile!A3508="ResourceRequirement","OK","XXX"),"XXX")</f>
        <v>XXX</v>
      </c>
    </row>
    <row r="2889" spans="1:4" x14ac:dyDescent="0.45">
      <c r="A2889">
        <f>ROW()</f>
        <v>2889</v>
      </c>
      <c r="B2889" t="str">
        <f>Profile!A3507</f>
        <v>EnvironmentAttributes</v>
      </c>
      <c r="C2889">
        <f>Profile!AP3509</f>
        <v>0</v>
      </c>
      <c r="D2889" t="str">
        <f>IF(Profile!C3507="Profile",IF(Profile!A3509="ResourceRequirement","OK","XXX"),"XXX")</f>
        <v>XXX</v>
      </c>
    </row>
    <row r="2890" spans="1:4" x14ac:dyDescent="0.45">
      <c r="A2890">
        <f>ROW()</f>
        <v>2890</v>
      </c>
      <c r="B2890" t="str">
        <f>Profile!A3508</f>
        <v xml:space="preserve">   AttributeName</v>
      </c>
      <c r="C2890">
        <f>Profile!AP3510</f>
        <v>0</v>
      </c>
      <c r="D2890" t="str">
        <f>IF(Profile!C3508="Profile",IF(Profile!A3510="ResourceRequirement","OK","XXX"),"XXX")</f>
        <v>XXX</v>
      </c>
    </row>
    <row r="2891" spans="1:4" x14ac:dyDescent="0.45">
      <c r="A2891">
        <f>ROW()</f>
        <v>2891</v>
      </c>
      <c r="B2891" t="str">
        <f>Profile!A3509</f>
        <v xml:space="preserve">   CurrentValue</v>
      </c>
      <c r="C2891">
        <f>Profile!AP3511</f>
        <v>0</v>
      </c>
      <c r="D2891" t="str">
        <f>IF(Profile!C3509="Profile",IF(Profile!A3511="ResourceRequirement","OK","XXX"),"XXX")</f>
        <v>XXX</v>
      </c>
    </row>
    <row r="2892" spans="1:4" x14ac:dyDescent="0.45">
      <c r="A2892">
        <f>ROW()</f>
        <v>2892</v>
      </c>
      <c r="B2892" t="str">
        <f>Profile!A3510</f>
        <v>OSConfigItems</v>
      </c>
      <c r="C2892">
        <f>Profile!AP3512</f>
        <v>0</v>
      </c>
      <c r="D2892" t="str">
        <f>IF(Profile!C3510="Profile",IF(Profile!A3512="ResourceRequirement","OK","XXX"),"XXX")</f>
        <v>XXX</v>
      </c>
    </row>
    <row r="2893" spans="1:4" x14ac:dyDescent="0.45">
      <c r="A2893">
        <f>ROW()</f>
        <v>2893</v>
      </c>
      <c r="B2893" t="str">
        <f>Profile!A3511</f>
        <v xml:space="preserve">   @odata.id</v>
      </c>
      <c r="C2893">
        <f>Profile!AP3513</f>
        <v>0</v>
      </c>
      <c r="D2893" t="str">
        <f>IF(Profile!C3511="Profile",IF(Profile!A3513="ResourceRequirement","OK","XXX"),"XXX")</f>
        <v>XXX</v>
      </c>
    </row>
    <row r="2894" spans="1:4" x14ac:dyDescent="0.45">
      <c r="A2894">
        <f>ROW()</f>
        <v>2894</v>
      </c>
      <c r="B2894" t="str">
        <f>Profile!A3512</f>
        <v>OSOpaqueFiles</v>
      </c>
      <c r="C2894">
        <f>Profile!AP3514</f>
        <v>0</v>
      </c>
      <c r="D2894" t="str">
        <f>IF(Profile!C3512="Profile",IF(Profile!A3514="ResourceRequirement","OK","XXX"),"XXX")</f>
        <v>XXX</v>
      </c>
    </row>
    <row r="2895" spans="1:4" x14ac:dyDescent="0.45">
      <c r="A2895">
        <f>ROW()</f>
        <v>2895</v>
      </c>
      <c r="B2895" t="str">
        <f>Profile!A3513</f>
        <v xml:space="preserve">   @odata.id</v>
      </c>
      <c r="C2895">
        <f>Profile!AP3515</f>
        <v>0</v>
      </c>
      <c r="D2895" t="str">
        <f>IF(Profile!C3513="Profile",IF(Profile!A3515="ResourceRequirement","OK","XXX"),"XXX")</f>
        <v>XXX</v>
      </c>
    </row>
    <row r="2896" spans="1:4" x14ac:dyDescent="0.45">
      <c r="A2896">
        <f>ROW()</f>
        <v>2896</v>
      </c>
      <c r="B2896" t="str">
        <f>Profile!A3514</f>
        <v>Metrics</v>
      </c>
      <c r="C2896">
        <f>Profile!AP3516</f>
        <v>0</v>
      </c>
      <c r="D2896" t="str">
        <f>IF(Profile!C3514="Profile",IF(Profile!A3516="ResourceRequirement","OK","XXX"),"XXX")</f>
        <v>XXX</v>
      </c>
    </row>
    <row r="2897" spans="1:4" x14ac:dyDescent="0.45">
      <c r="A2897">
        <f>ROW()</f>
        <v>2897</v>
      </c>
      <c r="B2897" t="str">
        <f>Profile!A3515</f>
        <v xml:space="preserve">   @odata.id</v>
      </c>
      <c r="C2897">
        <f>Profile!AP3517</f>
        <v>0</v>
      </c>
      <c r="D2897" t="str">
        <f>IF(Profile!C3515="Profile",IF(Profile!A3517="ResourceRequirement","OK","XXX"),"XXX")</f>
        <v>XXX</v>
      </c>
    </row>
    <row r="2898" spans="1:4" x14ac:dyDescent="0.45">
      <c r="A2898">
        <f>ROW()</f>
        <v>2898</v>
      </c>
      <c r="B2898" t="str">
        <f>Profile!A3516</f>
        <v>OperatingSystemType</v>
      </c>
      <c r="C2898">
        <f>Profile!AP3518</f>
        <v>0</v>
      </c>
      <c r="D2898" t="str">
        <f>IF(Profile!C3516="Profile",IF(Profile!A3518="ResourceRequirement","OK","XXX"),"XXX")</f>
        <v>XXX</v>
      </c>
    </row>
    <row r="2899" spans="1:4" x14ac:dyDescent="0.45">
      <c r="A2899">
        <f>ROW()</f>
        <v>2899</v>
      </c>
      <c r="B2899" t="str">
        <f>Profile!A3517</f>
        <v>MemorySummaryStats</v>
      </c>
      <c r="C2899">
        <f>Profile!AP3519</f>
        <v>0</v>
      </c>
      <c r="D2899" t="str">
        <f>IF(Profile!C3517="Profile",IF(Profile!A3519="ResourceRequirement","OK","XXX"),"XXX")</f>
        <v>XXX</v>
      </c>
    </row>
    <row r="2900" spans="1:4" x14ac:dyDescent="0.45">
      <c r="A2900">
        <f>ROW()</f>
        <v>2900</v>
      </c>
      <c r="B2900" t="str">
        <f>Profile!A3518</f>
        <v xml:space="preserve">   @odata.id</v>
      </c>
      <c r="C2900">
        <f>Profile!AP3520</f>
        <v>0</v>
      </c>
      <c r="D2900" t="str">
        <f>IF(Profile!C3518="Profile",IF(Profile!A3520="ResourceRequirement","OK","XXX"),"XXX")</f>
        <v>XXX</v>
      </c>
    </row>
    <row r="2901" spans="1:4" x14ac:dyDescent="0.45">
      <c r="A2901">
        <f>ROW()</f>
        <v>2901</v>
      </c>
      <c r="B2901" t="str">
        <f>Profile!A3519</f>
        <v>ProcessorStats</v>
      </c>
      <c r="C2901">
        <f>Profile!AP3521</f>
        <v>0</v>
      </c>
      <c r="D2901" t="str">
        <f>IF(Profile!C3519="Profile",IF(Profile!A3521="ResourceRequirement","OK","XXX"),"XXX")</f>
        <v>XXX</v>
      </c>
    </row>
    <row r="2902" spans="1:4" x14ac:dyDescent="0.45">
      <c r="A2902">
        <f>ROW()</f>
        <v>2902</v>
      </c>
      <c r="B2902" t="str">
        <f>Profile!A3520</f>
        <v xml:space="preserve">   @odata.id</v>
      </c>
      <c r="C2902">
        <f>Profile!AP3522</f>
        <v>0</v>
      </c>
      <c r="D2902" t="str">
        <f>IF(Profile!C3520="Profile",IF(Profile!A3522="ResourceRequirement","OK","XXX"),"XXX")</f>
        <v>XXX</v>
      </c>
    </row>
    <row r="2903" spans="1:4" x14ac:dyDescent="0.45">
      <c r="A2903">
        <f>ROW()</f>
        <v>2903</v>
      </c>
      <c r="B2903" t="str">
        <f>Profile!A3521</f>
        <v>VolumePartitionStats</v>
      </c>
      <c r="C2903">
        <f>Profile!AP3523</f>
        <v>0</v>
      </c>
      <c r="D2903" t="str">
        <f>IF(Profile!C3521="Profile",IF(Profile!A3523="ResourceRequirement","OK","XXX"),"XXX")</f>
        <v>XXX</v>
      </c>
    </row>
    <row r="2904" spans="1:4" x14ac:dyDescent="0.45">
      <c r="A2904">
        <f>ROW()</f>
        <v>2904</v>
      </c>
      <c r="B2904" t="str">
        <f>Profile!A3522</f>
        <v xml:space="preserve">   @odata.id</v>
      </c>
      <c r="C2904">
        <f>Profile!AP3524</f>
        <v>0</v>
      </c>
      <c r="D2904" t="str">
        <f>IF(Profile!C3522="Profile",IF(Profile!A3524="ResourceRequirement","OK","XXX"),"XXX")</f>
        <v>XXX</v>
      </c>
    </row>
    <row r="2905" spans="1:4" x14ac:dyDescent="0.45">
      <c r="A2905">
        <f>ROW()</f>
        <v>2905</v>
      </c>
      <c r="B2905" t="str">
        <f>Profile!A3523</f>
        <v>EthernetInterfaceStatistics</v>
      </c>
      <c r="C2905">
        <f>Profile!AP3525</f>
        <v>0</v>
      </c>
      <c r="D2905" t="str">
        <f>IF(Profile!C3523="Profile",IF(Profile!A3525="ResourceRequirement","OK","XXX"),"XXX")</f>
        <v>XXX</v>
      </c>
    </row>
    <row r="2906" spans="1:4" x14ac:dyDescent="0.45">
      <c r="A2906">
        <f>ROW()</f>
        <v>2906</v>
      </c>
      <c r="B2906" t="str">
        <f>Profile!A3524</f>
        <v xml:space="preserve">   @odata.id</v>
      </c>
      <c r="C2906">
        <f>Profile!AP3526</f>
        <v>0</v>
      </c>
      <c r="D2906" t="str">
        <f>IF(Profile!C3524="Profile",IF(Profile!A3526="ResourceRequirement","OK","XXX"),"XXX")</f>
        <v>XXX</v>
      </c>
    </row>
    <row r="2907" spans="1:4" x14ac:dyDescent="0.45">
      <c r="A2907">
        <f>ROW()</f>
        <v>2907</v>
      </c>
      <c r="B2907" t="str">
        <f>Profile!A3525</f>
        <v>Status</v>
      </c>
      <c r="C2907">
        <f>Profile!AP3527</f>
        <v>0</v>
      </c>
      <c r="D2907" t="str">
        <f>IF(Profile!C3525="Profile",IF(Profile!A3527="ResourceRequirement","OK","XXX"),"XXX")</f>
        <v>XXX</v>
      </c>
    </row>
    <row r="2908" spans="1:4" x14ac:dyDescent="0.45">
      <c r="A2908">
        <f>ROW()</f>
        <v>2908</v>
      </c>
      <c r="B2908" t="str">
        <f>Profile!A3526</f>
        <v xml:space="preserve">   Health</v>
      </c>
      <c r="C2908">
        <f>Profile!AP3528</f>
        <v>0</v>
      </c>
      <c r="D2908" t="str">
        <f>IF(Profile!C3526="Profile",IF(Profile!A3528="ResourceRequirement","OK","XXX"),"XXX")</f>
        <v>XXX</v>
      </c>
    </row>
    <row r="2909" spans="1:4" x14ac:dyDescent="0.45">
      <c r="A2909">
        <f>ROW()</f>
        <v>2909</v>
      </c>
      <c r="B2909" t="str">
        <f>Profile!A3527</f>
        <v xml:space="preserve">  HealthRollup</v>
      </c>
      <c r="C2909">
        <f>Profile!AP3529</f>
        <v>0</v>
      </c>
      <c r="D2909" t="str">
        <f>IF(Profile!C3527="Profile",IF(Profile!A3529="ResourceRequirement","OK","XXX"),"XXX")</f>
        <v>XXX</v>
      </c>
    </row>
    <row r="2910" spans="1:4" x14ac:dyDescent="0.45">
      <c r="A2910">
        <f>ROW()</f>
        <v>2910</v>
      </c>
      <c r="B2910" t="str">
        <f>Profile!A3528</f>
        <v xml:space="preserve">  State</v>
      </c>
      <c r="C2910">
        <f>Profile!AP3530</f>
        <v>0</v>
      </c>
      <c r="D2910" t="str">
        <f>IF(Profile!C3528="Profile",IF(Profile!A3530="ResourceRequirement","OK","XXX"),"XXX")</f>
        <v>XXX</v>
      </c>
    </row>
    <row r="2911" spans="1:4" x14ac:dyDescent="0.45">
      <c r="A2911">
        <f>ROW()</f>
        <v>2911</v>
      </c>
      <c r="B2911" t="str">
        <f>Profile!A3529</f>
        <v>LogServices</v>
      </c>
      <c r="C2911">
        <f>Profile!AP3531</f>
        <v>0</v>
      </c>
      <c r="D2911" t="str">
        <f>IF(Profile!C3529="Profile",IF(Profile!A3531="ResourceRequirement","OK","XXX"),"XXX")</f>
        <v>XXX</v>
      </c>
    </row>
    <row r="2912" spans="1:4" x14ac:dyDescent="0.45">
      <c r="A2912">
        <f>ROW()</f>
        <v>2912</v>
      </c>
      <c r="B2912" t="str">
        <f>Profile!A3530</f>
        <v xml:space="preserve">   @odata.id</v>
      </c>
      <c r="C2912">
        <f>Profile!AP3532</f>
        <v>0</v>
      </c>
      <c r="D2912" t="str">
        <f>IF(Profile!C3530="Profile",IF(Profile!A3532="ResourceRequirement","OK","XXX"),"XXX")</f>
        <v>XXX</v>
      </c>
    </row>
    <row r="2913" spans="1:4" x14ac:dyDescent="0.45">
      <c r="A2913">
        <f>ROW()</f>
        <v>2913</v>
      </c>
      <c r="B2913" t="str">
        <f>Profile!A3531</f>
        <v>MetricsAgents</v>
      </c>
      <c r="C2913">
        <f>Profile!AP3533</f>
        <v>0</v>
      </c>
      <c r="D2913" t="str">
        <f>IF(Profile!C3531="Profile",IF(Profile!A3533="ResourceRequirement","OK","XXX"),"XXX")</f>
        <v>XXX</v>
      </c>
    </row>
    <row r="2914" spans="1:4" x14ac:dyDescent="0.45">
      <c r="A2914">
        <f>ROW()</f>
        <v>2914</v>
      </c>
      <c r="B2914" t="str">
        <f>Profile!A3532</f>
        <v xml:space="preserve">   @odata.id</v>
      </c>
      <c r="C2914">
        <f>Profile!AP3534</f>
        <v>0</v>
      </c>
      <c r="D2914" t="str">
        <f>IF(Profile!C3532="Profile",IF(Profile!A3534="ResourceRequirement","OK","XXX"),"XXX")</f>
        <v>XXX</v>
      </c>
    </row>
    <row r="2915" spans="1:4" x14ac:dyDescent="0.45">
      <c r="A2915">
        <f>ROW()</f>
        <v>2915</v>
      </c>
      <c r="B2915" t="str">
        <f>Profile!A3533</f>
        <v>RemoteLoggingAgents</v>
      </c>
      <c r="C2915">
        <f>Profile!AP3535</f>
        <v>0</v>
      </c>
      <c r="D2915" t="str">
        <f>IF(Profile!C3533="Profile",IF(Profile!A3535="ResourceRequirement","OK","XXX"),"XXX")</f>
        <v>XXX</v>
      </c>
    </row>
    <row r="2916" spans="1:4" x14ac:dyDescent="0.45">
      <c r="A2916">
        <f>ROW()</f>
        <v>2916</v>
      </c>
      <c r="B2916" t="str">
        <f>Profile!A3534</f>
        <v xml:space="preserve">   @odata.id</v>
      </c>
      <c r="C2916">
        <f>Profile!AP3536</f>
        <v>0</v>
      </c>
      <c r="D2916" t="str">
        <f>IF(Profile!C3534="Profile",IF(Profile!A3536="ResourceRequirement","OK","XXX"),"XXX")</f>
        <v>XXX</v>
      </c>
    </row>
    <row r="2917" spans="1:4" x14ac:dyDescent="0.45">
      <c r="A2917">
        <f>ROW()</f>
        <v>2917</v>
      </c>
      <c r="B2917" t="str">
        <f>Profile!A3535</f>
        <v>Applications</v>
      </c>
      <c r="C2917">
        <f>Profile!AP3537</f>
        <v>0</v>
      </c>
      <c r="D2917" t="str">
        <f>IF(Profile!C3535="Profile",IF(Profile!A3537="ResourceRequirement","OK","XXX"),"XXX")</f>
        <v>XXX</v>
      </c>
    </row>
    <row r="2918" spans="1:4" x14ac:dyDescent="0.45">
      <c r="A2918">
        <f>ROW()</f>
        <v>2918</v>
      </c>
      <c r="B2918" t="str">
        <f>Profile!A3536</f>
        <v xml:space="preserve">   @odata.id</v>
      </c>
      <c r="C2918">
        <f>Profile!AP3538</f>
        <v>0</v>
      </c>
      <c r="D2918" t="str">
        <f>IF(Profile!C3536="Profile",IF(Profile!A3538="ResourceRequirement","OK","XXX"),"XXX")</f>
        <v>XXX</v>
      </c>
    </row>
    <row r="2919" spans="1:4" x14ac:dyDescent="0.45">
      <c r="A2919">
        <f>ROW()</f>
        <v>2919</v>
      </c>
      <c r="B2919" t="str">
        <f>Profile!A3537</f>
        <v>VirtualMachineEngine</v>
      </c>
      <c r="C2919">
        <f>Profile!AP3539</f>
        <v>0</v>
      </c>
      <c r="D2919" t="str">
        <f>IF(Profile!C3537="Profile",IF(Profile!A3539="ResourceRequirement","OK","XXX"),"XXX")</f>
        <v>XXX</v>
      </c>
    </row>
    <row r="2920" spans="1:4" x14ac:dyDescent="0.45">
      <c r="A2920">
        <f>ROW()</f>
        <v>2920</v>
      </c>
      <c r="B2920" t="str">
        <f>Profile!A3538</f>
        <v xml:space="preserve">   Type</v>
      </c>
      <c r="C2920">
        <f>Profile!AP3540</f>
        <v>0</v>
      </c>
      <c r="D2920" t="str">
        <f>IF(Profile!C3538="Profile",IF(Profile!A3540="ResourceRequirement","OK","XXX"),"XXX")</f>
        <v>XXX</v>
      </c>
    </row>
    <row r="2921" spans="1:4" x14ac:dyDescent="0.45">
      <c r="A2921">
        <f>ROW()</f>
        <v>2921</v>
      </c>
      <c r="B2921" t="str">
        <f>Profile!A3539</f>
        <v xml:space="preserve">   Version</v>
      </c>
      <c r="C2921">
        <f>Profile!AP3541</f>
        <v>0</v>
      </c>
      <c r="D2921" t="str">
        <f>IF(Profile!C3539="Profile",IF(Profile!A3541="ResourceRequirement","OK","XXX"),"XXX")</f>
        <v>XXX</v>
      </c>
    </row>
    <row r="2922" spans="1:4" x14ac:dyDescent="0.45">
      <c r="A2922">
        <f>ROW()</f>
        <v>2922</v>
      </c>
      <c r="B2922" t="str">
        <f>Profile!A3540</f>
        <v xml:space="preserve">   ImageTypesSupported</v>
      </c>
      <c r="C2922">
        <f>Profile!AP3542</f>
        <v>0</v>
      </c>
      <c r="D2922" t="str">
        <f>IF(Profile!C3540="Profile",IF(Profile!A3542="ResourceRequirement","OK","XXX"),"XXX")</f>
        <v>XXX</v>
      </c>
    </row>
    <row r="2923" spans="1:4" x14ac:dyDescent="0.45">
      <c r="A2923">
        <f>ROW()</f>
        <v>2923</v>
      </c>
      <c r="B2923" t="str">
        <f>Profile!A3541</f>
        <v xml:space="preserve">   ServiceApiUrl</v>
      </c>
      <c r="C2923">
        <f>Profile!AP3543</f>
        <v>0</v>
      </c>
      <c r="D2923" t="str">
        <f>IF(Profile!C3541="Profile",IF(Profile!A3543="ResourceRequirement","OK","XXX"),"XXX")</f>
        <v>XXX</v>
      </c>
    </row>
    <row r="2924" spans="1:4" x14ac:dyDescent="0.45">
      <c r="A2924">
        <f>ROW()</f>
        <v>2924</v>
      </c>
      <c r="B2924" t="str">
        <f>Profile!A3542</f>
        <v>VirtualMachines</v>
      </c>
      <c r="C2924">
        <f>Profile!AP3544</f>
        <v>0</v>
      </c>
      <c r="D2924" t="str">
        <f>IF(Profile!C3542="Profile",IF(Profile!A3544="ResourceRequirement","OK","XXX"),"XXX")</f>
        <v>XXX</v>
      </c>
    </row>
    <row r="2925" spans="1:4" x14ac:dyDescent="0.45">
      <c r="A2925">
        <f>ROW()</f>
        <v>2925</v>
      </c>
      <c r="B2925" t="str">
        <f>Profile!A3543</f>
        <v xml:space="preserve">   @odata.id</v>
      </c>
      <c r="C2925">
        <f>Profile!AP3545</f>
        <v>0</v>
      </c>
      <c r="D2925" t="str">
        <f>IF(Profile!C3543="Profile",IF(Profile!A3545="ResourceRequirement","OK","XXX"),"XXX")</f>
        <v>XXX</v>
      </c>
    </row>
    <row r="2926" spans="1:4" x14ac:dyDescent="0.45">
      <c r="A2926">
        <f>ROW()</f>
        <v>2926</v>
      </c>
      <c r="B2926" t="str">
        <f>Profile!A3544</f>
        <v>ContainerEngine</v>
      </c>
      <c r="C2926">
        <f>Profile!AP3546</f>
        <v>0</v>
      </c>
      <c r="D2926" t="str">
        <f>IF(Profile!C3544="Profile",IF(Profile!A3546="ResourceRequirement","OK","XXX"),"XXX")</f>
        <v>XXX</v>
      </c>
    </row>
    <row r="2927" spans="1:4" x14ac:dyDescent="0.45">
      <c r="A2927">
        <f>ROW()</f>
        <v>2927</v>
      </c>
      <c r="B2927" t="str">
        <f>Profile!A3545</f>
        <v xml:space="preserve">   Type</v>
      </c>
      <c r="C2927">
        <f>Profile!AP3547</f>
        <v>0</v>
      </c>
      <c r="D2927" t="str">
        <f>IF(Profile!C3545="Profile",IF(Profile!A3547="ResourceRequirement","OK","XXX"),"XXX")</f>
        <v>XXX</v>
      </c>
    </row>
    <row r="2928" spans="1:4" x14ac:dyDescent="0.45">
      <c r="A2928">
        <f>ROW()</f>
        <v>2928</v>
      </c>
      <c r="B2928" t="str">
        <f>Profile!A3546</f>
        <v xml:space="preserve">   Version</v>
      </c>
      <c r="C2928">
        <f>Profile!AP3548</f>
        <v>0</v>
      </c>
      <c r="D2928" t="str">
        <f>IF(Profile!C3546="Profile",IF(Profile!A3548="ResourceRequirement","OK","XXX"),"XXX")</f>
        <v>XXX</v>
      </c>
    </row>
    <row r="2929" spans="1:4" x14ac:dyDescent="0.45">
      <c r="A2929">
        <f>ROW()</f>
        <v>2929</v>
      </c>
      <c r="B2929" t="str">
        <f>Profile!A3547</f>
        <v xml:space="preserve">   ContainerTypesSupported</v>
      </c>
      <c r="C2929">
        <f>Profile!AP3549</f>
        <v>0</v>
      </c>
      <c r="D2929" t="str">
        <f>IF(Profile!C3547="Profile",IF(Profile!A3549="ResourceRequirement","OK","XXX"),"XXX")</f>
        <v>XXX</v>
      </c>
    </row>
    <row r="2930" spans="1:4" x14ac:dyDescent="0.45">
      <c r="A2930">
        <f>ROW()</f>
        <v>2930</v>
      </c>
      <c r="B2930" t="str">
        <f>Profile!A3548</f>
        <v xml:space="preserve">   ImageTypesSupported</v>
      </c>
      <c r="C2930">
        <f>Profile!AP3550</f>
        <v>0</v>
      </c>
      <c r="D2930" t="str">
        <f>IF(Profile!C3548="Profile",IF(Profile!A3550="ResourceRequirement","OK","XXX"),"XXX")</f>
        <v>XXX</v>
      </c>
    </row>
    <row r="2931" spans="1:4" x14ac:dyDescent="0.45">
      <c r="A2931">
        <f>ROW()</f>
        <v>2931</v>
      </c>
      <c r="B2931" t="str">
        <f>Profile!A3549</f>
        <v xml:space="preserve">   ServiceApiUrl</v>
      </c>
      <c r="C2931">
        <f>Profile!AP3551</f>
        <v>0</v>
      </c>
      <c r="D2931" t="str">
        <f>IF(Profile!C3549="Profile",IF(Profile!A3551="ResourceRequirement","OK","XXX"),"XXX")</f>
        <v>XXX</v>
      </c>
    </row>
    <row r="2932" spans="1:4" x14ac:dyDescent="0.45">
      <c r="A2932">
        <f>ROW()</f>
        <v>2932</v>
      </c>
      <c r="B2932" t="str">
        <f>Profile!A3550</f>
        <v>Containers</v>
      </c>
      <c r="C2932">
        <f>Profile!AP3552</f>
        <v>0</v>
      </c>
      <c r="D2932" t="str">
        <f>IF(Profile!C3550="Profile",IF(Profile!A3552="ResourceRequirement","OK","XXX"),"XXX")</f>
        <v>XXX</v>
      </c>
    </row>
    <row r="2933" spans="1:4" x14ac:dyDescent="0.45">
      <c r="A2933">
        <f>ROW()</f>
        <v>2933</v>
      </c>
      <c r="B2933" t="str">
        <f>Profile!A3551</f>
        <v xml:space="preserve">   @odata.id</v>
      </c>
      <c r="C2933">
        <f>Profile!AP3553</f>
        <v>0</v>
      </c>
      <c r="D2933" t="str">
        <f>IF(Profile!C3551="Profile",IF(Profile!A3553="ResourceRequirement","OK","XXX"),"XXX")</f>
        <v>XXX</v>
      </c>
    </row>
    <row r="2934" spans="1:4" x14ac:dyDescent="0.45">
      <c r="A2934">
        <f>ROW()</f>
        <v>2934</v>
      </c>
      <c r="B2934" t="str">
        <f>Profile!A3552</f>
        <v>Links</v>
      </c>
      <c r="C2934">
        <f>Profile!AP3554</f>
        <v>0</v>
      </c>
      <c r="D2934" t="str">
        <f>IF(Profile!C3552="Profile",IF(Profile!A3554="ResourceRequirement","OK","XXX"),"XXX")</f>
        <v>XXX</v>
      </c>
    </row>
    <row r="2935" spans="1:4" x14ac:dyDescent="0.45">
      <c r="A2935">
        <f>ROW()</f>
        <v>2935</v>
      </c>
      <c r="B2935" t="str">
        <f>Profile!A3553</f>
        <v xml:space="preserve">   Memory</v>
      </c>
      <c r="C2935">
        <f>Profile!AP3555</f>
        <v>0</v>
      </c>
      <c r="D2935" t="str">
        <f>IF(Profile!C3553="Profile",IF(Profile!A3555="ResourceRequirement","OK","XXX"),"XXX")</f>
        <v>XXX</v>
      </c>
    </row>
    <row r="2936" spans="1:4" x14ac:dyDescent="0.45">
      <c r="A2936">
        <f>ROW()</f>
        <v>2936</v>
      </c>
      <c r="B2936" t="str">
        <f>Profile!A3554</f>
        <v xml:space="preserve">      @odata.id</v>
      </c>
      <c r="C2936">
        <f>Profile!AP3556</f>
        <v>0</v>
      </c>
      <c r="D2936" t="str">
        <f>IF(Profile!C3554="Profile",IF(Profile!A3556="ResourceRequirement","OK","XXX"),"XXX")</f>
        <v>XXX</v>
      </c>
    </row>
    <row r="2937" spans="1:4" x14ac:dyDescent="0.45">
      <c r="A2937">
        <f>ROW()</f>
        <v>2937</v>
      </c>
      <c r="B2937" t="str">
        <f>Profile!A3555</f>
        <v xml:space="preserve">   Processors</v>
      </c>
      <c r="C2937">
        <f>Profile!AP3557</f>
        <v>0</v>
      </c>
      <c r="D2937" t="str">
        <f>IF(Profile!C3555="Profile",IF(Profile!A3557="ResourceRequirement","OK","XXX"),"XXX")</f>
        <v>XXX</v>
      </c>
    </row>
    <row r="2938" spans="1:4" x14ac:dyDescent="0.45">
      <c r="A2938">
        <f>ROW()</f>
        <v>2938</v>
      </c>
      <c r="B2938" t="str">
        <f>Profile!A3556</f>
        <v xml:space="preserve">      @odata.id</v>
      </c>
      <c r="C2938">
        <f>Profile!AP3558</f>
        <v>0</v>
      </c>
      <c r="D2938" t="str">
        <f>IF(Profile!C3556="Profile",IF(Profile!A3558="ResourceRequirement","OK","XXX"),"XXX")</f>
        <v>XXX</v>
      </c>
    </row>
    <row r="2939" spans="1:4" x14ac:dyDescent="0.45">
      <c r="A2939">
        <f>ROW()</f>
        <v>2939</v>
      </c>
      <c r="B2939" t="str">
        <f>Profile!A3557</f>
        <v xml:space="preserve">   SimpleStorage</v>
      </c>
      <c r="C2939">
        <f>Profile!AP3559</f>
        <v>0</v>
      </c>
      <c r="D2939" t="str">
        <f>IF(Profile!C3557="Profile",IF(Profile!A3559="ResourceRequirement","OK","XXX"),"XXX")</f>
        <v>XXX</v>
      </c>
    </row>
    <row r="2940" spans="1:4" x14ac:dyDescent="0.45">
      <c r="A2940">
        <f>ROW()</f>
        <v>2940</v>
      </c>
      <c r="B2940" t="str">
        <f>Profile!A3558</f>
        <v xml:space="preserve">      @odata.id</v>
      </c>
      <c r="C2940">
        <f>Profile!AP3560</f>
        <v>0</v>
      </c>
      <c r="D2940" t="str">
        <f>IF(Profile!C3558="Profile",IF(Profile!A3560="ResourceRequirement","OK","XXX"),"XXX")</f>
        <v>XXX</v>
      </c>
    </row>
    <row r="2941" spans="1:4" x14ac:dyDescent="0.45">
      <c r="A2941">
        <f>ROW()</f>
        <v>2941</v>
      </c>
      <c r="B2941" t="str">
        <f>Profile!A3559</f>
        <v xml:space="preserve">   Storage</v>
      </c>
      <c r="C2941">
        <f>Profile!AP3561</f>
        <v>0</v>
      </c>
      <c r="D2941" t="str">
        <f>IF(Profile!C3559="Profile",IF(Profile!A3561="ResourceRequirement","OK","XXX"),"XXX")</f>
        <v>XXX</v>
      </c>
    </row>
    <row r="2942" spans="1:4" x14ac:dyDescent="0.45">
      <c r="A2942">
        <f>ROW()</f>
        <v>2942</v>
      </c>
      <c r="B2942" t="str">
        <f>Profile!A3560</f>
        <v xml:space="preserve">      @odata.id</v>
      </c>
      <c r="C2942">
        <f>Profile!AP3562</f>
        <v>0</v>
      </c>
      <c r="D2942" t="str">
        <f>IF(Profile!C3560="Profile",IF(Profile!A3562="ResourceRequirement","OK","XXX"),"XXX")</f>
        <v>XXX</v>
      </c>
    </row>
    <row r="2943" spans="1:4" x14ac:dyDescent="0.45">
      <c r="A2943">
        <f>ROW()</f>
        <v>2943</v>
      </c>
      <c r="B2943" t="str">
        <f>Profile!A3561</f>
        <v xml:space="preserve">   Volumes</v>
      </c>
      <c r="C2943">
        <f>Profile!AP3563</f>
        <v>0</v>
      </c>
      <c r="D2943" t="str">
        <f>IF(Profile!C3561="Profile",IF(Profile!A3563="ResourceRequirement","OK","XXX"),"XXX")</f>
        <v>XXX</v>
      </c>
    </row>
    <row r="2944" spans="1:4" x14ac:dyDescent="0.45">
      <c r="A2944">
        <f>ROW()</f>
        <v>2944</v>
      </c>
      <c r="B2944" t="str">
        <f>Profile!A3562</f>
        <v xml:space="preserve">      @odata.id</v>
      </c>
      <c r="C2944">
        <f>Profile!AP3564</f>
        <v>0</v>
      </c>
      <c r="D2944" t="str">
        <f>IF(Profile!C3562="Profile",IF(Profile!A3564="ResourceRequirement","OK","XXX"),"XXX")</f>
        <v>XXX</v>
      </c>
    </row>
    <row r="2945" spans="1:4" x14ac:dyDescent="0.45">
      <c r="A2945">
        <f>ROW()</f>
        <v>2945</v>
      </c>
      <c r="B2945" t="str">
        <f>Profile!A3563</f>
        <v xml:space="preserve">   EthernetInterfaces</v>
      </c>
      <c r="C2945">
        <f>Profile!AP3565</f>
        <v>0</v>
      </c>
      <c r="D2945" t="str">
        <f>IF(Profile!C3563="Profile",IF(Profile!A3565="ResourceRequirement","OK","XXX"),"XXX")</f>
        <v>XXX</v>
      </c>
    </row>
    <row r="2946" spans="1:4" x14ac:dyDescent="0.45">
      <c r="A2946">
        <f>ROW()</f>
        <v>2946</v>
      </c>
      <c r="B2946" t="str">
        <f>Profile!A3564</f>
        <v xml:space="preserve">      @odata.id</v>
      </c>
      <c r="C2946">
        <f>Profile!AP3566</f>
        <v>0</v>
      </c>
      <c r="D2946" t="str">
        <f>IF(Profile!C3564="Profile",IF(Profile!A3566="ResourceRequirement","OK","XXX"),"XXX")</f>
        <v>XXX</v>
      </c>
    </row>
    <row r="2947" spans="1:4" x14ac:dyDescent="0.45">
      <c r="A2947">
        <f>ROW()</f>
        <v>2947</v>
      </c>
      <c r="B2947" t="str">
        <f>Profile!A3565</f>
        <v xml:space="preserve">   Oem</v>
      </c>
      <c r="C2947">
        <f>Profile!AP3567</f>
        <v>0</v>
      </c>
      <c r="D2947" t="str">
        <f>IF(Profile!C3565="Profile",IF(Profile!A3567="ResourceRequirement","OK","XXX"),"XXX")</f>
        <v>XXX</v>
      </c>
    </row>
    <row r="2948" spans="1:4" x14ac:dyDescent="0.45">
      <c r="A2948">
        <f>ROW()</f>
        <v>2948</v>
      </c>
      <c r="B2948" t="str">
        <f>Profile!A3566</f>
        <v>OperatingSystem URIs</v>
      </c>
      <c r="C2948">
        <f>Profile!AP3568</f>
        <v>0</v>
      </c>
      <c r="D2948" t="str">
        <f>IF(Profile!C3566="Profile",IF(Profile!A3568="ResourceRequirement","OK","XXX"),"XXX")</f>
        <v>XXX</v>
      </c>
    </row>
    <row r="2949" spans="1:4" x14ac:dyDescent="0.45">
      <c r="A2949">
        <f>ROW()</f>
        <v>2949</v>
      </c>
      <c r="B2949" t="str">
        <f>Profile!A3567</f>
        <v>/redfish/v1/Systems/{ComputerSystemId}/OperatingSystem</v>
      </c>
      <c r="C2949">
        <f>Profile!AP3569</f>
        <v>0</v>
      </c>
      <c r="D2949" t="str">
        <f>IF(Profile!C3567="Profile",IF(Profile!A3569="ResourceRequirement","OK","XXX"),"XXX")</f>
        <v>XXX</v>
      </c>
    </row>
    <row r="2950" spans="1:4" x14ac:dyDescent="0.45">
      <c r="A2950">
        <f>ROW()</f>
        <v>2950</v>
      </c>
      <c r="B2950">
        <f>Profile!A3568</f>
        <v>0</v>
      </c>
      <c r="C2950">
        <f>Profile!AP3570</f>
        <v>0</v>
      </c>
      <c r="D2950" t="str">
        <f>IF(Profile!C3568="Profile",IF(Profile!A3570="ResourceRequirement","OK","XXX"),"XXX")</f>
        <v>XXX</v>
      </c>
    </row>
    <row r="2951" spans="1:4" x14ac:dyDescent="0.45">
      <c r="A2951">
        <f>ROW()</f>
        <v>2951</v>
      </c>
      <c r="B2951" t="str">
        <f>Profile!A3569</f>
        <v>1.1.9.1 OperatingSystemMetrics</v>
      </c>
      <c r="C2951">
        <f>Profile!AP3571</f>
        <v>0</v>
      </c>
      <c r="D2951" t="str">
        <f>IF(Profile!C3569="Profile",IF(Profile!A3571="ResourceRequirement","OK","XXX"),"XXX")</f>
        <v>XXX</v>
      </c>
    </row>
    <row r="2952" spans="1:4" x14ac:dyDescent="0.45">
      <c r="A2952">
        <f>ROW()</f>
        <v>2952</v>
      </c>
      <c r="B2952" t="str">
        <f>Profile!A3570</f>
        <v>Resource defining in-band operating system metrics.</v>
      </c>
      <c r="C2952">
        <f>Profile!AP3572</f>
        <v>0</v>
      </c>
      <c r="D2952" t="str">
        <f>IF(Profile!C3570="Profile",IF(Profile!A3572="ResourceRequirement","OK","XXX"),"XXX")</f>
        <v>XXX</v>
      </c>
    </row>
    <row r="2953" spans="1:4" x14ac:dyDescent="0.45">
      <c r="A2953">
        <f>ROW()</f>
        <v>2953</v>
      </c>
      <c r="B2953" t="str">
        <f>Profile!A3571</f>
        <v>OperatingSystemMetrics (1.0.0)</v>
      </c>
      <c r="C2953">
        <f>Profile!AP3573</f>
        <v>42</v>
      </c>
      <c r="D2953" t="str">
        <f>IF(Profile!C3571="Profile",IF(Profile!A3573="ResourceRequirement","OK","XXX"),"XXX")</f>
        <v>OK</v>
      </c>
    </row>
    <row r="2954" spans="1:4" x14ac:dyDescent="0.45">
      <c r="A2954">
        <f>ROW()</f>
        <v>2954</v>
      </c>
      <c r="B2954">
        <f>Profile!A3572</f>
        <v>0</v>
      </c>
      <c r="C2954">
        <f>Profile!AP3574</f>
        <v>0</v>
      </c>
      <c r="D2954" t="str">
        <f>IF(Profile!C3572="Profile",IF(Profile!A3574="ResourceRequirement","OK","XXX"),"XXX")</f>
        <v>XXX</v>
      </c>
    </row>
    <row r="2955" spans="1:4" x14ac:dyDescent="0.45">
      <c r="A2955">
        <f>ROW()</f>
        <v>2955</v>
      </c>
      <c r="B2955" t="str">
        <f>Profile!A3573</f>
        <v>ResourceRequirement</v>
      </c>
      <c r="C2955">
        <f>Profile!AP3575</f>
        <v>0</v>
      </c>
      <c r="D2955" t="str">
        <f>IF(Profile!C3573="Profile",IF(Profile!A3575="ResourceRequirement","OK","XXX"),"XXX")</f>
        <v>XXX</v>
      </c>
    </row>
    <row r="2956" spans="1:4" x14ac:dyDescent="0.45">
      <c r="A2956">
        <f>ROW()</f>
        <v>2956</v>
      </c>
      <c r="B2956" t="str">
        <f>Profile!A3574</f>
        <v>Resource MinVersion</v>
      </c>
      <c r="C2956">
        <f>Profile!AP3576</f>
        <v>0</v>
      </c>
      <c r="D2956" t="str">
        <f>IF(Profile!C3574="Profile",IF(Profile!A3576="ResourceRequirement","OK","XXX"),"XXX")</f>
        <v>XXX</v>
      </c>
    </row>
    <row r="2957" spans="1:4" x14ac:dyDescent="0.45">
      <c r="A2957">
        <f>ROW()</f>
        <v>2957</v>
      </c>
      <c r="B2957" t="str">
        <f>Profile!A3575</f>
        <v>Property</v>
      </c>
      <c r="C2957">
        <f>Profile!AP3577</f>
        <v>0</v>
      </c>
      <c r="D2957" t="str">
        <f>IF(Profile!C3575="Profile",IF(Profile!A3577="ResourceRequirement","OK","XXX"),"XXX")</f>
        <v>XXX</v>
      </c>
    </row>
    <row r="2958" spans="1:4" x14ac:dyDescent="0.45">
      <c r="A2958">
        <f>ROW()</f>
        <v>2958</v>
      </c>
      <c r="B2958" t="str">
        <f>Profile!A3576</f>
        <v>Actions</v>
      </c>
      <c r="C2958">
        <f>Profile!AP3578</f>
        <v>0</v>
      </c>
      <c r="D2958" t="str">
        <f>IF(Profile!C3576="Profile",IF(Profile!A3578="ResourceRequirement","OK","XXX"),"XXX")</f>
        <v>XXX</v>
      </c>
    </row>
    <row r="2959" spans="1:4" x14ac:dyDescent="0.45">
      <c r="A2959">
        <f>ROW()</f>
        <v>2959</v>
      </c>
      <c r="B2959" t="str">
        <f>Profile!A3577</f>
        <v>ServiceEnabled</v>
      </c>
      <c r="C2959">
        <f>Profile!AP3579</f>
        <v>0</v>
      </c>
      <c r="D2959" t="str">
        <f>IF(Profile!C3577="Profile",IF(Profile!A3579="ResourceRequirement","OK","XXX"),"XXX")</f>
        <v>XXX</v>
      </c>
    </row>
    <row r="2960" spans="1:4" x14ac:dyDescent="0.45">
      <c r="A2960">
        <f>ROW()</f>
        <v>2960</v>
      </c>
      <c r="B2960" t="str">
        <f>Profile!A3578</f>
        <v>MetricsTimestamp</v>
      </c>
      <c r="C2960">
        <f>Profile!AP3580</f>
        <v>0</v>
      </c>
      <c r="D2960" t="str">
        <f>IF(Profile!C3578="Profile",IF(Profile!A3580="ResourceRequirement","OK","XXX"),"XXX")</f>
        <v>XXX</v>
      </c>
    </row>
    <row r="2961" spans="1:4" x14ac:dyDescent="0.45">
      <c r="A2961">
        <f>ROW()</f>
        <v>2961</v>
      </c>
      <c r="B2961" t="str">
        <f>Profile!A3579</f>
        <v>MemoryMetrics</v>
      </c>
      <c r="C2961">
        <f>Profile!AP3581</f>
        <v>0</v>
      </c>
      <c r="D2961" t="str">
        <f>IF(Profile!C3579="Profile",IF(Profile!A3581="ResourceRequirement","OK","XXX"),"XXX")</f>
        <v>XXX</v>
      </c>
    </row>
    <row r="2962" spans="1:4" x14ac:dyDescent="0.45">
      <c r="A2962">
        <f>ROW()</f>
        <v>2962</v>
      </c>
      <c r="B2962" t="str">
        <f>Profile!A3580</f>
        <v xml:space="preserve">   @odata.id</v>
      </c>
      <c r="C2962">
        <f>Profile!AP3582</f>
        <v>0</v>
      </c>
      <c r="D2962" t="str">
        <f>IF(Profile!C3580="Profile",IF(Profile!A3582="ResourceRequirement","OK","XXX"),"XXX")</f>
        <v>XXX</v>
      </c>
    </row>
    <row r="2963" spans="1:4" x14ac:dyDescent="0.45">
      <c r="A2963">
        <f>ROW()</f>
        <v>2963</v>
      </c>
      <c r="B2963" t="str">
        <f>Profile!A3581</f>
        <v xml:space="preserve">   MemberId</v>
      </c>
      <c r="C2963">
        <f>Profile!AP3583</f>
        <v>0</v>
      </c>
      <c r="D2963" t="str">
        <f>IF(Profile!C3581="Profile",IF(Profile!A3583="ResourceRequirement","OK","XXX"),"XXX")</f>
        <v>XXX</v>
      </c>
    </row>
    <row r="2964" spans="1:4" x14ac:dyDescent="0.45">
      <c r="A2964">
        <f>ROW()</f>
        <v>2964</v>
      </c>
      <c r="B2964" t="str">
        <f>Profile!A3582</f>
        <v xml:space="preserve">   Name</v>
      </c>
      <c r="C2964">
        <f>Profile!AP3584</f>
        <v>0</v>
      </c>
      <c r="D2964" t="str">
        <f>IF(Profile!C3582="Profile",IF(Profile!A3584="ResourceRequirement","OK","XXX"),"XXX")</f>
        <v>XXX</v>
      </c>
    </row>
    <row r="2965" spans="1:4" x14ac:dyDescent="0.45">
      <c r="A2965">
        <f>ROW()</f>
        <v>2965</v>
      </c>
      <c r="B2965" t="str">
        <f>Profile!A3583</f>
        <v xml:space="preserve">   ServiceEnabled</v>
      </c>
      <c r="C2965">
        <f>Profile!AP3585</f>
        <v>0</v>
      </c>
      <c r="D2965" t="str">
        <f>IF(Profile!C3583="Profile",IF(Profile!A3585="ResourceRequirement","OK","XXX"),"XXX")</f>
        <v>XXX</v>
      </c>
    </row>
    <row r="2966" spans="1:4" x14ac:dyDescent="0.45">
      <c r="A2966">
        <f>ROW()</f>
        <v>2966</v>
      </c>
      <c r="B2966" t="str">
        <f>Profile!A3584</f>
        <v xml:space="preserve">   TotalMemoryBytes</v>
      </c>
      <c r="C2966">
        <f>Profile!AP3586</f>
        <v>0</v>
      </c>
      <c r="D2966" t="str">
        <f>IF(Profile!C3584="Profile",IF(Profile!A3586="ResourceRequirement","OK","XXX"),"XXX")</f>
        <v>XXX</v>
      </c>
    </row>
    <row r="2967" spans="1:4" x14ac:dyDescent="0.45">
      <c r="A2967">
        <f>ROW()</f>
        <v>2967</v>
      </c>
      <c r="B2967" t="str">
        <f>Profile!A3585</f>
        <v xml:space="preserve">   IsPersistent</v>
      </c>
      <c r="C2967">
        <f>Profile!AP3587</f>
        <v>0</v>
      </c>
      <c r="D2967" t="str">
        <f>IF(Profile!C3585="Profile",IF(Profile!A3587="ResourceRequirement","OK","XXX"),"XXX")</f>
        <v>XXX</v>
      </c>
    </row>
    <row r="2968" spans="1:4" x14ac:dyDescent="0.45">
      <c r="A2968">
        <f>ROW()</f>
        <v>2968</v>
      </c>
      <c r="B2968" t="str">
        <f>Profile!A3586</f>
        <v xml:space="preserve">   MemFreeBytes</v>
      </c>
      <c r="C2968">
        <f>Profile!AP3588</f>
        <v>0</v>
      </c>
      <c r="D2968" t="str">
        <f>IF(Profile!C3586="Profile",IF(Profile!A3588="ResourceRequirement","OK","XXX"),"XXX")</f>
        <v>XXX</v>
      </c>
    </row>
    <row r="2969" spans="1:4" x14ac:dyDescent="0.45">
      <c r="A2969">
        <f>ROW()</f>
        <v>2969</v>
      </c>
      <c r="B2969" t="str">
        <f>Profile!A3587</f>
        <v xml:space="preserve">   MemAvailableBytes</v>
      </c>
      <c r="C2969">
        <f>Profile!AP3589</f>
        <v>0</v>
      </c>
      <c r="D2969" t="str">
        <f>IF(Profile!C3587="Profile",IF(Profile!A3589="ResourceRequirement","OK","XXX"),"XXX")</f>
        <v>XXX</v>
      </c>
    </row>
    <row r="2970" spans="1:4" x14ac:dyDescent="0.45">
      <c r="A2970">
        <f>ROW()</f>
        <v>2970</v>
      </c>
      <c r="B2970" t="str">
        <f>Profile!A3588</f>
        <v xml:space="preserve">   BuffersBytes</v>
      </c>
      <c r="C2970">
        <f>Profile!AP3590</f>
        <v>0</v>
      </c>
      <c r="D2970" t="str">
        <f>IF(Profile!C3588="Profile",IF(Profile!A3590="ResourceRequirement","OK","XXX"),"XXX")</f>
        <v>XXX</v>
      </c>
    </row>
    <row r="2971" spans="1:4" x14ac:dyDescent="0.45">
      <c r="A2971">
        <f>ROW()</f>
        <v>2971</v>
      </c>
      <c r="B2971" t="str">
        <f>Profile!A3589</f>
        <v xml:space="preserve">   CachedBytes</v>
      </c>
      <c r="C2971">
        <f>Profile!AP3591</f>
        <v>0</v>
      </c>
      <c r="D2971" t="str">
        <f>IF(Profile!C3589="Profile",IF(Profile!A3591="ResourceRequirement","OK","XXX"),"XXX")</f>
        <v>XXX</v>
      </c>
    </row>
    <row r="2972" spans="1:4" x14ac:dyDescent="0.45">
      <c r="A2972">
        <f>ROW()</f>
        <v>2972</v>
      </c>
      <c r="B2972" t="str">
        <f>Profile!A3590</f>
        <v xml:space="preserve">   HugepagesTotal</v>
      </c>
      <c r="C2972">
        <f>Profile!AP3592</f>
        <v>0</v>
      </c>
      <c r="D2972" t="str">
        <f>IF(Profile!C3590="Profile",IF(Profile!A3592="ResourceRequirement","OK","XXX"),"XXX")</f>
        <v>XXX</v>
      </c>
    </row>
    <row r="2973" spans="1:4" x14ac:dyDescent="0.45">
      <c r="A2973">
        <f>ROW()</f>
        <v>2973</v>
      </c>
      <c r="B2973" t="str">
        <f>Profile!A3591</f>
        <v xml:space="preserve">   HugepagesFree</v>
      </c>
      <c r="C2973">
        <f>Profile!AP3593</f>
        <v>0</v>
      </c>
      <c r="D2973" t="str">
        <f>IF(Profile!C3591="Profile",IF(Profile!A3593="ResourceRequirement","OK","XXX"),"XXX")</f>
        <v>XXX</v>
      </c>
    </row>
    <row r="2974" spans="1:4" x14ac:dyDescent="0.45">
      <c r="A2974">
        <f>ROW()</f>
        <v>2974</v>
      </c>
      <c r="B2974" t="str">
        <f>Profile!A3592</f>
        <v xml:space="preserve">   HugepageSizeBytes</v>
      </c>
      <c r="C2974">
        <f>Profile!AP3594</f>
        <v>0</v>
      </c>
      <c r="D2974" t="str">
        <f>IF(Profile!C3592="Profile",IF(Profile!A3594="ResourceRequirement","OK","XXX"),"XXX")</f>
        <v>XXX</v>
      </c>
    </row>
    <row r="2975" spans="1:4" x14ac:dyDescent="0.45">
      <c r="A2975">
        <f>ROW()</f>
        <v>2975</v>
      </c>
      <c r="B2975" t="str">
        <f>Profile!A3593</f>
        <v>ProcessorMetrics</v>
      </c>
      <c r="C2975">
        <f>Profile!AP3595</f>
        <v>0</v>
      </c>
      <c r="D2975" t="str">
        <f>IF(Profile!C3593="Profile",IF(Profile!A3595="ResourceRequirement","OK","XXX"),"XXX")</f>
        <v>XXX</v>
      </c>
    </row>
    <row r="2976" spans="1:4" x14ac:dyDescent="0.45">
      <c r="A2976">
        <f>ROW()</f>
        <v>2976</v>
      </c>
      <c r="B2976" t="str">
        <f>Profile!A3594</f>
        <v xml:space="preserve">   @odata.id</v>
      </c>
      <c r="C2976">
        <f>Profile!AP3596</f>
        <v>0</v>
      </c>
      <c r="D2976" t="str">
        <f>IF(Profile!C3594="Profile",IF(Profile!A3596="ResourceRequirement","OK","XXX"),"XXX")</f>
        <v>XXX</v>
      </c>
    </row>
    <row r="2977" spans="1:4" x14ac:dyDescent="0.45">
      <c r="A2977">
        <f>ROW()</f>
        <v>2977</v>
      </c>
      <c r="B2977" t="str">
        <f>Profile!A3595</f>
        <v xml:space="preserve">   MemberId</v>
      </c>
      <c r="C2977">
        <f>Profile!AP3597</f>
        <v>0</v>
      </c>
      <c r="D2977" t="str">
        <f>IF(Profile!C3595="Profile",IF(Profile!A3597="ResourceRequirement","OK","XXX"),"XXX")</f>
        <v>XXX</v>
      </c>
    </row>
    <row r="2978" spans="1:4" x14ac:dyDescent="0.45">
      <c r="A2978">
        <f>ROW()</f>
        <v>2978</v>
      </c>
      <c r="B2978" t="str">
        <f>Profile!A3596</f>
        <v xml:space="preserve">   Name</v>
      </c>
      <c r="C2978">
        <f>Profile!AP3600</f>
        <v>0</v>
      </c>
      <c r="D2978" t="str">
        <f>IF(Profile!C3596="Profile",IF(Profile!A3600="ResourceRequirement","OK","XXX"),"XXX")</f>
        <v>XXX</v>
      </c>
    </row>
    <row r="2979" spans="1:4" x14ac:dyDescent="0.45">
      <c r="A2979">
        <f>ROW()</f>
        <v>2979</v>
      </c>
      <c r="B2979" t="str">
        <f>Profile!A3597</f>
        <v xml:space="preserve">   ServiceEnabled</v>
      </c>
      <c r="C2979">
        <f>Profile!AP3601</f>
        <v>0</v>
      </c>
      <c r="D2979" t="str">
        <f>IF(Profile!C3597="Profile",IF(Profile!A3601="ResourceRequirement","OK","XXX"),"XXX")</f>
        <v>XXX</v>
      </c>
    </row>
    <row r="2980" spans="1:4" x14ac:dyDescent="0.45">
      <c r="A2980">
        <f>ROW()</f>
        <v>2980</v>
      </c>
      <c r="B2980" t="str">
        <f>Profile!A3600</f>
        <v xml:space="preserve">   LogicalProcessorCount</v>
      </c>
      <c r="C2980">
        <f>Profile!AP3602</f>
        <v>0</v>
      </c>
      <c r="D2980" t="str">
        <f>IF(Profile!C3600="Profile",IF(Profile!A3602="ResourceRequirement","OK","XXX"),"XXX")</f>
        <v>XXX</v>
      </c>
    </row>
    <row r="2981" spans="1:4" x14ac:dyDescent="0.45">
      <c r="A2981">
        <f>ROW()</f>
        <v>2981</v>
      </c>
      <c r="B2981" t="str">
        <f>Profile!A3601</f>
        <v xml:space="preserve">   AllocatedCores</v>
      </c>
      <c r="C2981">
        <f>Profile!AP3603</f>
        <v>0</v>
      </c>
      <c r="D2981" t="str">
        <f>IF(Profile!C3601="Profile",IF(Profile!A3603="ResourceRequirement","OK","XXX"),"XXX")</f>
        <v>XXX</v>
      </c>
    </row>
    <row r="2982" spans="1:4" x14ac:dyDescent="0.45">
      <c r="A2982">
        <f>ROW()</f>
        <v>2982</v>
      </c>
      <c r="B2982" t="str">
        <f>Profile!A3602</f>
        <v xml:space="preserve">   SharedCores</v>
      </c>
      <c r="C2982">
        <f>Profile!AP3604</f>
        <v>0</v>
      </c>
      <c r="D2982" t="str">
        <f>IF(Profile!C3602="Profile",IF(Profile!A3604="ResourceRequirement","OK","XXX"),"XXX")</f>
        <v>XXX</v>
      </c>
    </row>
    <row r="2983" spans="1:4" x14ac:dyDescent="0.45">
      <c r="A2983">
        <f>ROW()</f>
        <v>2983</v>
      </c>
      <c r="B2983" t="str">
        <f>Profile!A3603</f>
        <v xml:space="preserve">   CpuLoadPct1m</v>
      </c>
      <c r="C2983">
        <f>Profile!AP3605</f>
        <v>0</v>
      </c>
      <c r="D2983" t="str">
        <f>IF(Profile!C3603="Profile",IF(Profile!A3605="ResourceRequirement","OK","XXX"),"XXX")</f>
        <v>XXX</v>
      </c>
    </row>
    <row r="2984" spans="1:4" x14ac:dyDescent="0.45">
      <c r="A2984">
        <f>ROW()</f>
        <v>2984</v>
      </c>
      <c r="B2984" t="str">
        <f>Profile!A3604</f>
        <v xml:space="preserve">   CpuLoadPct5m</v>
      </c>
      <c r="C2984">
        <f>Profile!AP3606</f>
        <v>0</v>
      </c>
      <c r="D2984" t="str">
        <f>IF(Profile!C3604="Profile",IF(Profile!A3606="ResourceRequirement","OK","XXX"),"XXX")</f>
        <v>XXX</v>
      </c>
    </row>
    <row r="2985" spans="1:4" x14ac:dyDescent="0.45">
      <c r="A2985">
        <f>ROW()</f>
        <v>2985</v>
      </c>
      <c r="B2985" t="str">
        <f>Profile!A3605</f>
        <v xml:space="preserve">   CpuLoadPct15m</v>
      </c>
      <c r="C2985">
        <f>Profile!AP3607</f>
        <v>0</v>
      </c>
      <c r="D2985" t="str">
        <f>IF(Profile!C3605="Profile",IF(Profile!A3607="ResourceRequirement","OK","XXX"),"XXX")</f>
        <v>XXX</v>
      </c>
    </row>
    <row r="2986" spans="1:4" x14ac:dyDescent="0.45">
      <c r="A2986">
        <f>ROW()</f>
        <v>2986</v>
      </c>
      <c r="B2986" t="str">
        <f>Profile!A3606</f>
        <v xml:space="preserve">   CpuUtilPctUser</v>
      </c>
      <c r="C2986">
        <f>Profile!AP3608</f>
        <v>0</v>
      </c>
      <c r="D2986" t="str">
        <f>IF(Profile!C3606="Profile",IF(Profile!A3608="ResourceRequirement","OK","XXX"),"XXX")</f>
        <v>XXX</v>
      </c>
    </row>
    <row r="2987" spans="1:4" x14ac:dyDescent="0.45">
      <c r="A2987">
        <f>ROW()</f>
        <v>2987</v>
      </c>
      <c r="B2987" t="str">
        <f>Profile!A3607</f>
        <v xml:space="preserve">   CpuUtilPctSystem</v>
      </c>
      <c r="C2987">
        <f>Profile!AP3609</f>
        <v>0</v>
      </c>
      <c r="D2987" t="str">
        <f>IF(Profile!C3607="Profile",IF(Profile!A3609="ResourceRequirement","OK","XXX"),"XXX")</f>
        <v>XXX</v>
      </c>
    </row>
    <row r="2988" spans="1:4" x14ac:dyDescent="0.45">
      <c r="A2988">
        <f>ROW()</f>
        <v>2988</v>
      </c>
      <c r="B2988" t="str">
        <f>Profile!A3608</f>
        <v xml:space="preserve">   CpuUtilPctIdle</v>
      </c>
      <c r="C2988">
        <f>Profile!AP3610</f>
        <v>0</v>
      </c>
      <c r="D2988" t="str">
        <f>IF(Profile!C3608="Profile",IF(Profile!A3610="ResourceRequirement","OK","XXX"),"XXX")</f>
        <v>XXX</v>
      </c>
    </row>
    <row r="2989" spans="1:4" x14ac:dyDescent="0.45">
      <c r="A2989">
        <f>ROW()</f>
        <v>2989</v>
      </c>
      <c r="B2989" t="str">
        <f>Profile!A3609</f>
        <v xml:space="preserve">   CpuUtilPctIoWait</v>
      </c>
      <c r="C2989">
        <f>Profile!AP3611</f>
        <v>0</v>
      </c>
      <c r="D2989" t="str">
        <f>IF(Profile!C3609="Profile",IF(Profile!A3611="ResourceRequirement","OK","XXX"),"XXX")</f>
        <v>XXX</v>
      </c>
    </row>
    <row r="2990" spans="1:4" x14ac:dyDescent="0.45">
      <c r="A2990">
        <f>ROW()</f>
        <v>2990</v>
      </c>
      <c r="B2990" t="str">
        <f>Profile!A3610</f>
        <v>VolumePartitionMetrics</v>
      </c>
      <c r="C2990">
        <f>Profile!AP3612</f>
        <v>0</v>
      </c>
      <c r="D2990" t="str">
        <f>IF(Profile!C3610="Profile",IF(Profile!A3612="ResourceRequirement","OK","XXX"),"XXX")</f>
        <v>XXX</v>
      </c>
    </row>
    <row r="2991" spans="1:4" x14ac:dyDescent="0.45">
      <c r="A2991">
        <f>ROW()</f>
        <v>2991</v>
      </c>
      <c r="B2991" t="str">
        <f>Profile!A3611</f>
        <v xml:space="preserve">   @odata.id</v>
      </c>
      <c r="C2991">
        <f>Profile!AP3613</f>
        <v>0</v>
      </c>
      <c r="D2991" t="str">
        <f>IF(Profile!C3611="Profile",IF(Profile!A3613="ResourceRequirement","OK","XXX"),"XXX")</f>
        <v>XXX</v>
      </c>
    </row>
    <row r="2992" spans="1:4" x14ac:dyDescent="0.45">
      <c r="A2992">
        <f>ROW()</f>
        <v>2992</v>
      </c>
      <c r="B2992" t="str">
        <f>Profile!A3612</f>
        <v xml:space="preserve">   MemberId</v>
      </c>
      <c r="C2992">
        <f>Profile!AP3614</f>
        <v>0</v>
      </c>
      <c r="D2992" t="str">
        <f>IF(Profile!C3612="Profile",IF(Profile!A3614="ResourceRequirement","OK","XXX"),"XXX")</f>
        <v>XXX</v>
      </c>
    </row>
    <row r="2993" spans="1:4" x14ac:dyDescent="0.45">
      <c r="A2993">
        <f>ROW()</f>
        <v>2993</v>
      </c>
      <c r="B2993" t="str">
        <f>Profile!A3613</f>
        <v xml:space="preserve">   Name</v>
      </c>
      <c r="C2993">
        <f>Profile!AP3615</f>
        <v>0</v>
      </c>
      <c r="D2993" t="str">
        <f>IF(Profile!C3613="Profile",IF(Profile!A3615="ResourceRequirement","OK","XXX"),"XXX")</f>
        <v>XXX</v>
      </c>
    </row>
    <row r="2994" spans="1:4" x14ac:dyDescent="0.45">
      <c r="A2994">
        <f>ROW()</f>
        <v>2994</v>
      </c>
      <c r="B2994" t="str">
        <f>Profile!A3614</f>
        <v xml:space="preserve">   ServiceEnabled</v>
      </c>
      <c r="C2994">
        <f>Profile!AP3616</f>
        <v>0</v>
      </c>
      <c r="D2994" t="str">
        <f>IF(Profile!C3614="Profile",IF(Profile!A3616="ResourceRequirement","OK","XXX"),"XXX")</f>
        <v>XXX</v>
      </c>
    </row>
    <row r="2995" spans="1:4" x14ac:dyDescent="0.45">
      <c r="A2995">
        <f>ROW()</f>
        <v>2995</v>
      </c>
      <c r="B2995" t="str">
        <f>Profile!A3615</f>
        <v xml:space="preserve">   CapacityBytes</v>
      </c>
      <c r="C2995">
        <f>Profile!AP3617</f>
        <v>0</v>
      </c>
      <c r="D2995" t="str">
        <f>IF(Profile!C3615="Profile",IF(Profile!A3617="ResourceRequirement","OK","XXX"),"XXX")</f>
        <v>XXX</v>
      </c>
    </row>
    <row r="2996" spans="1:4" x14ac:dyDescent="0.45">
      <c r="A2996">
        <f>ROW()</f>
        <v>2996</v>
      </c>
      <c r="B2996" t="str">
        <f>Profile!A3616</f>
        <v xml:space="preserve">   DiskFreeBytes</v>
      </c>
      <c r="C2996">
        <f>Profile!AP3618</f>
        <v>0</v>
      </c>
      <c r="D2996" t="str">
        <f>IF(Profile!C3616="Profile",IF(Profile!A3618="ResourceRequirement","OK","XXX"),"XXX")</f>
        <v>XXX</v>
      </c>
    </row>
    <row r="2997" spans="1:4" x14ac:dyDescent="0.45">
      <c r="A2997">
        <f>ROW()</f>
        <v>2997</v>
      </c>
      <c r="B2997" t="str">
        <f>Profile!A3617</f>
        <v xml:space="preserve">   DiskUsedBytes</v>
      </c>
      <c r="C2997">
        <f>Profile!AP3619</f>
        <v>0</v>
      </c>
      <c r="D2997" t="str">
        <f>IF(Profile!C3617="Profile",IF(Profile!A3619="ResourceRequirement","OK","XXX"),"XXX")</f>
        <v>XXX</v>
      </c>
    </row>
    <row r="2998" spans="1:4" x14ac:dyDescent="0.45">
      <c r="A2998">
        <f>ROW()</f>
        <v>2998</v>
      </c>
      <c r="B2998" t="str">
        <f>Profile!A3618</f>
        <v xml:space="preserve">   DiskIopsRead</v>
      </c>
      <c r="C2998">
        <f>Profile!AP3620</f>
        <v>0</v>
      </c>
      <c r="D2998" t="str">
        <f>IF(Profile!C3618="Profile",IF(Profile!A3620="ResourceRequirement","OK","XXX"),"XXX")</f>
        <v>XXX</v>
      </c>
    </row>
    <row r="2999" spans="1:4" x14ac:dyDescent="0.45">
      <c r="A2999">
        <f>ROW()</f>
        <v>2999</v>
      </c>
      <c r="B2999" t="str">
        <f>Profile!A3619</f>
        <v xml:space="preserve">   DiskIopsWrite</v>
      </c>
      <c r="C2999">
        <f>Profile!AP3621</f>
        <v>0</v>
      </c>
      <c r="D2999" t="str">
        <f>IF(Profile!C3619="Profile",IF(Profile!A3621="ResourceRequirement","OK","XXX"),"XXX")</f>
        <v>XXX</v>
      </c>
    </row>
    <row r="3000" spans="1:4" x14ac:dyDescent="0.45">
      <c r="A3000">
        <f>ROW()</f>
        <v>3000</v>
      </c>
      <c r="B3000" t="str">
        <f>Profile!A3620</f>
        <v xml:space="preserve">   DiskKbpsRead</v>
      </c>
      <c r="C3000">
        <f>Profile!AP3622</f>
        <v>0</v>
      </c>
      <c r="D3000" t="str">
        <f>IF(Profile!C3620="Profile",IF(Profile!A3622="ResourceRequirement","OK","XXX"),"XXX")</f>
        <v>XXX</v>
      </c>
    </row>
    <row r="3001" spans="1:4" x14ac:dyDescent="0.45">
      <c r="A3001">
        <f>ROW()</f>
        <v>3001</v>
      </c>
      <c r="B3001" t="str">
        <f>Profile!A3621</f>
        <v xml:space="preserve">   DiskKbpsWrite</v>
      </c>
      <c r="C3001">
        <f>Profile!AP3623</f>
        <v>0</v>
      </c>
      <c r="D3001" t="str">
        <f>IF(Profile!C3621="Profile",IF(Profile!A3623="ResourceRequirement","OK","XXX"),"XXX")</f>
        <v>XXX</v>
      </c>
    </row>
    <row r="3002" spans="1:4" x14ac:dyDescent="0.45">
      <c r="A3002">
        <f>ROW()</f>
        <v>3002</v>
      </c>
      <c r="B3002" t="str">
        <f>Profile!A3622</f>
        <v xml:space="preserve">   DiskPctUtilization</v>
      </c>
      <c r="C3002">
        <f>Profile!AP3624</f>
        <v>0</v>
      </c>
      <c r="D3002" t="str">
        <f>IF(Profile!C3622="Profile",IF(Profile!A3624="ResourceRequirement","OK","XXX"),"XXX")</f>
        <v>XXX</v>
      </c>
    </row>
    <row r="3003" spans="1:4" x14ac:dyDescent="0.45">
      <c r="A3003">
        <f>ROW()</f>
        <v>3003</v>
      </c>
      <c r="B3003" t="str">
        <f>Profile!A3623</f>
        <v xml:space="preserve">   DiskServiceTimeMs</v>
      </c>
      <c r="C3003">
        <f>Profile!AP3625</f>
        <v>0</v>
      </c>
      <c r="D3003" t="str">
        <f>IF(Profile!C3623="Profile",IF(Profile!A3625="ResourceRequirement","OK","XXX"),"XXX")</f>
        <v>XXX</v>
      </c>
    </row>
    <row r="3004" spans="1:4" x14ac:dyDescent="0.45">
      <c r="A3004">
        <f>ROW()</f>
        <v>3004</v>
      </c>
      <c r="B3004" t="str">
        <f>Profile!A3624</f>
        <v xml:space="preserve">   RelatedItem</v>
      </c>
      <c r="C3004">
        <f>Profile!AP3626</f>
        <v>0</v>
      </c>
      <c r="D3004" t="str">
        <f>IF(Profile!C3624="Profile",IF(Profile!A3626="ResourceRequirement","OK","XXX"),"XXX")</f>
        <v>XXX</v>
      </c>
    </row>
    <row r="3005" spans="1:4" x14ac:dyDescent="0.45">
      <c r="A3005">
        <f>ROW()</f>
        <v>3005</v>
      </c>
      <c r="B3005" t="str">
        <f>Profile!A3625</f>
        <v>EthernetInterfaceMetrics</v>
      </c>
      <c r="C3005">
        <f>Profile!AP3627</f>
        <v>0</v>
      </c>
      <c r="D3005" t="str">
        <f>IF(Profile!C3625="Profile",IF(Profile!A3627="ResourceRequirement","OK","XXX"),"XXX")</f>
        <v>XXX</v>
      </c>
    </row>
    <row r="3006" spans="1:4" x14ac:dyDescent="0.45">
      <c r="A3006">
        <f>ROW()</f>
        <v>3006</v>
      </c>
      <c r="B3006" t="str">
        <f>Profile!A3626</f>
        <v xml:space="preserve">   @odata.id</v>
      </c>
      <c r="C3006">
        <f>Profile!AP3628</f>
        <v>0</v>
      </c>
      <c r="D3006" t="str">
        <f>IF(Profile!C3626="Profile",IF(Profile!A3628="ResourceRequirement","OK","XXX"),"XXX")</f>
        <v>XXX</v>
      </c>
    </row>
    <row r="3007" spans="1:4" x14ac:dyDescent="0.45">
      <c r="A3007">
        <f>ROW()</f>
        <v>3007</v>
      </c>
      <c r="B3007" t="str">
        <f>Profile!A3627</f>
        <v xml:space="preserve">   MemberId</v>
      </c>
      <c r="C3007">
        <f>Profile!AP3629</f>
        <v>0</v>
      </c>
      <c r="D3007" t="str">
        <f>IF(Profile!C3627="Profile",IF(Profile!A3629="ResourceRequirement","OK","XXX"),"XXX")</f>
        <v>XXX</v>
      </c>
    </row>
    <row r="3008" spans="1:4" x14ac:dyDescent="0.45">
      <c r="A3008">
        <f>ROW()</f>
        <v>3008</v>
      </c>
      <c r="B3008" t="str">
        <f>Profile!A3628</f>
        <v xml:space="preserve">   Name</v>
      </c>
      <c r="C3008">
        <f>Profile!AP3630</f>
        <v>0</v>
      </c>
      <c r="D3008" t="str">
        <f>IF(Profile!C3628="Profile",IF(Profile!A3630="ResourceRequirement","OK","XXX"),"XXX")</f>
        <v>XXX</v>
      </c>
    </row>
    <row r="3009" spans="1:4" x14ac:dyDescent="0.45">
      <c r="A3009">
        <f>ROW()</f>
        <v>3009</v>
      </c>
      <c r="B3009" t="str">
        <f>Profile!A3629</f>
        <v xml:space="preserve">   ServiceEnabled</v>
      </c>
      <c r="C3009">
        <f>Profile!AP3631</f>
        <v>0</v>
      </c>
      <c r="D3009" t="str">
        <f>IF(Profile!C3629="Profile",IF(Profile!A3631="ResourceRequirement","OK","XXX"),"XXX")</f>
        <v>XXX</v>
      </c>
    </row>
    <row r="3010" spans="1:4" x14ac:dyDescent="0.45">
      <c r="A3010">
        <f>ROW()</f>
        <v>3010</v>
      </c>
      <c r="B3010" t="str">
        <f>Profile!A3630</f>
        <v xml:space="preserve">   LinkSpeed</v>
      </c>
      <c r="C3010">
        <f>Profile!AP3632</f>
        <v>0</v>
      </c>
      <c r="D3010" t="str">
        <f>IF(Profile!C3630="Profile",IF(Profile!A3632="ResourceRequirement","OK","XXX"),"XXX")</f>
        <v>XXX</v>
      </c>
    </row>
    <row r="3011" spans="1:4" x14ac:dyDescent="0.45">
      <c r="A3011">
        <f>ROW()</f>
        <v>3011</v>
      </c>
      <c r="B3011" t="str">
        <f>Profile!A3631</f>
        <v xml:space="preserve">   RxPacketsPerSecond</v>
      </c>
      <c r="C3011">
        <f>Profile!AP3633</f>
        <v>0</v>
      </c>
      <c r="D3011" t="str">
        <f>IF(Profile!C3631="Profile",IF(Profile!A3633="ResourceRequirement","OK","XXX"),"XXX")</f>
        <v>XXX</v>
      </c>
    </row>
    <row r="3012" spans="1:4" x14ac:dyDescent="0.45">
      <c r="A3012">
        <f>ROW()</f>
        <v>3012</v>
      </c>
      <c r="B3012" t="str">
        <f>Profile!A3632</f>
        <v xml:space="preserve">   TxPacketsPerSecond</v>
      </c>
      <c r="C3012">
        <f>Profile!AP3634</f>
        <v>0</v>
      </c>
      <c r="D3012" t="str">
        <f>IF(Profile!C3632="Profile",IF(Profile!A3634="ResourceRequirement","OK","XXX"),"XXX")</f>
        <v>XXX</v>
      </c>
    </row>
    <row r="3013" spans="1:4" x14ac:dyDescent="0.45">
      <c r="A3013">
        <f>ROW()</f>
        <v>3013</v>
      </c>
      <c r="B3013" t="str">
        <f>Profile!A3633</f>
        <v xml:space="preserve">   RxBytesPerSecond</v>
      </c>
      <c r="C3013">
        <f>Profile!AP3635</f>
        <v>0</v>
      </c>
      <c r="D3013" t="str">
        <f>IF(Profile!C3633="Profile",IF(Profile!A3635="ResourceRequirement","OK","XXX"),"XXX")</f>
        <v>XXX</v>
      </c>
    </row>
    <row r="3014" spans="1:4" x14ac:dyDescent="0.45">
      <c r="A3014">
        <f>ROW()</f>
        <v>3014</v>
      </c>
      <c r="B3014" t="str">
        <f>Profile!A3634</f>
        <v xml:space="preserve">   TxBytesPerSecond</v>
      </c>
      <c r="C3014">
        <f>Profile!AP3636</f>
        <v>0</v>
      </c>
      <c r="D3014" t="str">
        <f>IF(Profile!C3634="Profile",IF(Profile!A3636="ResourceRequirement","OK","XXX"),"XXX")</f>
        <v>XXX</v>
      </c>
    </row>
    <row r="3015" spans="1:4" x14ac:dyDescent="0.45">
      <c r="A3015">
        <f>ROW()</f>
        <v>3015</v>
      </c>
      <c r="B3015" t="str">
        <f>Profile!A3635</f>
        <v xml:space="preserve">   RxErrors</v>
      </c>
      <c r="C3015">
        <f>Profile!AP3637</f>
        <v>0</v>
      </c>
      <c r="D3015" t="str">
        <f>IF(Profile!C3635="Profile",IF(Profile!A3637="ResourceRequirement","OK","XXX"),"XXX")</f>
        <v>XXX</v>
      </c>
    </row>
    <row r="3016" spans="1:4" x14ac:dyDescent="0.45">
      <c r="A3016">
        <f>ROW()</f>
        <v>3016</v>
      </c>
      <c r="B3016" t="str">
        <f>Profile!A3636</f>
        <v xml:space="preserve">   TxErrors</v>
      </c>
      <c r="C3016">
        <f>Profile!AP3638</f>
        <v>0</v>
      </c>
      <c r="D3016" t="str">
        <f>IF(Profile!C3636="Profile",IF(Profile!A3638="ResourceRequirement","OK","XXX"),"XXX")</f>
        <v>XXX</v>
      </c>
    </row>
    <row r="3017" spans="1:4" x14ac:dyDescent="0.45">
      <c r="A3017">
        <f>ROW()</f>
        <v>3017</v>
      </c>
      <c r="B3017" t="str">
        <f>Profile!A3637</f>
        <v xml:space="preserve">   DroppedPackets</v>
      </c>
      <c r="C3017">
        <f>Profile!AP3639</f>
        <v>0</v>
      </c>
      <c r="D3017" t="str">
        <f>IF(Profile!C3637="Profile",IF(Profile!A3639="ResourceRequirement","OK","XXX"),"XXX")</f>
        <v>XXX</v>
      </c>
    </row>
    <row r="3018" spans="1:4" x14ac:dyDescent="0.45">
      <c r="A3018">
        <f>ROW()</f>
        <v>3018</v>
      </c>
      <c r="B3018" t="str">
        <f>Profile!A3638</f>
        <v xml:space="preserve">   RelatedItem</v>
      </c>
      <c r="C3018">
        <f>Profile!AP3640</f>
        <v>0</v>
      </c>
      <c r="D3018" t="str">
        <f>IF(Profile!C3638="Profile",IF(Profile!A3640="ResourceRequirement","OK","XXX"),"XXX")</f>
        <v>XXX</v>
      </c>
    </row>
    <row r="3019" spans="1:4" x14ac:dyDescent="0.45">
      <c r="A3019">
        <f>ROW()</f>
        <v>3019</v>
      </c>
      <c r="B3019" t="str">
        <f>Profile!A3639</f>
        <v>Oem</v>
      </c>
      <c r="C3019">
        <f>Profile!AP3641</f>
        <v>0</v>
      </c>
      <c r="D3019" t="str">
        <f>IF(Profile!C3639="Profile",IF(Profile!A3641="ResourceRequirement","OK","XXX"),"XXX")</f>
        <v>XXX</v>
      </c>
    </row>
    <row r="3020" spans="1:4" x14ac:dyDescent="0.45">
      <c r="A3020">
        <f>ROW()</f>
        <v>3020</v>
      </c>
      <c r="B3020" t="str">
        <f>Profile!A3640</f>
        <v>OperatingSystemMetrics URIs</v>
      </c>
      <c r="C3020">
        <f>Profile!AP3642</f>
        <v>0</v>
      </c>
      <c r="D3020" t="str">
        <f>IF(Profile!C3640="Profile",IF(Profile!A3642="ResourceRequirement","OK","XXX"),"XXX")</f>
        <v>XXX</v>
      </c>
    </row>
    <row r="3021" spans="1:4" x14ac:dyDescent="0.45">
      <c r="A3021">
        <f>ROW()</f>
        <v>3021</v>
      </c>
      <c r="B3021" t="str">
        <f>Profile!A3641</f>
        <v>/redfish/v1/Systems/{ComputerSystemId}/OperatingSystem/OperatingSystemMetrics</v>
      </c>
      <c r="C3021">
        <f>Profile!AP3643</f>
        <v>0</v>
      </c>
      <c r="D3021" t="str">
        <f>IF(Profile!C3641="Profile",IF(Profile!A3643="ResourceRequirement","OK","XXX"),"XXX")</f>
        <v>XXX</v>
      </c>
    </row>
    <row r="3022" spans="1:4" x14ac:dyDescent="0.45">
      <c r="A3022">
        <f>ROW()</f>
        <v>3022</v>
      </c>
      <c r="B3022">
        <f>Profile!A3642</f>
        <v>0</v>
      </c>
      <c r="C3022">
        <f>Profile!AP3644</f>
        <v>0</v>
      </c>
      <c r="D3022" t="str">
        <f>IF(Profile!C3642="Profile",IF(Profile!A3644="ResourceRequirement","OK","XXX"),"XXX")</f>
        <v>XXX</v>
      </c>
    </row>
    <row r="3023" spans="1:4" x14ac:dyDescent="0.45">
      <c r="A3023">
        <f>ROW()</f>
        <v>3023</v>
      </c>
      <c r="B3023" t="str">
        <f>Profile!A3643</f>
        <v>1.1.1.3               MetricsAgentCollection</v>
      </c>
      <c r="C3023">
        <f>Profile!AP3645</f>
        <v>0</v>
      </c>
      <c r="D3023" t="str">
        <f>IF(Profile!C3643="Profile",IF(Profile!A3645="ResourceRequirement","OK","XXX"),"XXX")</f>
        <v>XXX</v>
      </c>
    </row>
    <row r="3024" spans="1:4" x14ac:dyDescent="0.45">
      <c r="A3024">
        <f>ROW()</f>
        <v>3024</v>
      </c>
      <c r="B3024" t="str">
        <f>Profile!A3644</f>
        <v>A MetricsAgentCollection is a collection of MetricsAgent Resources running on a node.</v>
      </c>
      <c r="C3024">
        <f>Profile!AP3646</f>
        <v>0</v>
      </c>
      <c r="D3024" t="str">
        <f>IF(Profile!C3644="Profile",IF(Profile!A3646="ResourceRequirement","OK","XXX"),"XXX")</f>
        <v>XXX</v>
      </c>
    </row>
    <row r="3025" spans="1:4" x14ac:dyDescent="0.45">
      <c r="A3025">
        <f>ROW()</f>
        <v>3025</v>
      </c>
      <c r="B3025" t="str">
        <f>Profile!A3645</f>
        <v>MetricsAgentCollection (1.0.0)</v>
      </c>
      <c r="C3025">
        <f>Profile!AP3647</f>
        <v>0</v>
      </c>
      <c r="D3025" t="str">
        <f>IF(Profile!C3645="Profile",IF(Profile!A3647="ResourceRequirement","OK","XXX"),"XXX")</f>
        <v>OK</v>
      </c>
    </row>
    <row r="3026" spans="1:4" x14ac:dyDescent="0.45">
      <c r="A3026">
        <f>ROW()</f>
        <v>3026</v>
      </c>
      <c r="B3026">
        <f>Profile!A3646</f>
        <v>0</v>
      </c>
      <c r="C3026">
        <f>Profile!AP3648</f>
        <v>0</v>
      </c>
      <c r="D3026" t="str">
        <f>IF(Profile!C3646="Profile",IF(Profile!A3648="ResourceRequirement","OK","XXX"),"XXX")</f>
        <v>XXX</v>
      </c>
    </row>
    <row r="3027" spans="1:4" x14ac:dyDescent="0.45">
      <c r="A3027">
        <f>ROW()</f>
        <v>3027</v>
      </c>
      <c r="B3027" t="str">
        <f>Profile!A3647</f>
        <v>ResourceRequirement</v>
      </c>
      <c r="C3027">
        <f>Profile!AP3649</f>
        <v>0</v>
      </c>
      <c r="D3027" t="str">
        <f>IF(Profile!C3647="Profile",IF(Profile!A3649="ResourceRequirement","OK","XXX"),"XXX")</f>
        <v>XXX</v>
      </c>
    </row>
    <row r="3028" spans="1:4" x14ac:dyDescent="0.45">
      <c r="A3028">
        <f>ROW()</f>
        <v>3028</v>
      </c>
      <c r="B3028" t="str">
        <f>Profile!A3648</f>
        <v>Property</v>
      </c>
      <c r="C3028">
        <f>Profile!AP3650</f>
        <v>0</v>
      </c>
      <c r="D3028" t="str">
        <f>IF(Profile!C3648="Profile",IF(Profile!A3650="ResourceRequirement","OK","XXX"),"XXX")</f>
        <v>XXX</v>
      </c>
    </row>
    <row r="3029" spans="1:4" x14ac:dyDescent="0.45">
      <c r="A3029">
        <f>ROW()</f>
        <v>3029</v>
      </c>
      <c r="B3029" t="str">
        <f>Profile!A3649</f>
        <v>Members</v>
      </c>
      <c r="C3029">
        <f>Profile!AP3651</f>
        <v>0</v>
      </c>
      <c r="D3029" t="str">
        <f>IF(Profile!C3649="Profile",IF(Profile!A3651="ResourceRequirement","OK","XXX"),"XXX")</f>
        <v>XXX</v>
      </c>
    </row>
    <row r="3030" spans="1:4" x14ac:dyDescent="0.45">
      <c r="A3030">
        <f>ROW()</f>
        <v>3030</v>
      </c>
      <c r="B3030" t="str">
        <f>Profile!A3650</f>
        <v xml:space="preserve">   @odata.id</v>
      </c>
      <c r="C3030">
        <f>Profile!AP3652</f>
        <v>0</v>
      </c>
      <c r="D3030" t="str">
        <f>IF(Profile!C3650="Profile",IF(Profile!A3652="ResourceRequirement","OK","XXX"),"XXX")</f>
        <v>XXX</v>
      </c>
    </row>
    <row r="3031" spans="1:4" x14ac:dyDescent="0.45">
      <c r="A3031">
        <f>ROW()</f>
        <v>3031</v>
      </c>
      <c r="B3031" t="str">
        <f>Profile!A3651</f>
        <v>MetricsAgentCollection URIs</v>
      </c>
      <c r="C3031">
        <f>Profile!AP3653</f>
        <v>0</v>
      </c>
      <c r="D3031" t="str">
        <f>IF(Profile!C3651="Profile",IF(Profile!A3653="ResourceRequirement","OK","XXX"),"XXX")</f>
        <v>XXX</v>
      </c>
    </row>
    <row r="3032" spans="1:4" x14ac:dyDescent="0.45">
      <c r="A3032">
        <f>ROW()</f>
        <v>3032</v>
      </c>
      <c r="B3032" t="str">
        <f>Profile!A3652</f>
        <v>/redfish/v1/Systems/{ComputerSystemId}/OperatingSystem/MetricsAgents</v>
      </c>
      <c r="C3032">
        <f>Profile!AP3654</f>
        <v>0</v>
      </c>
      <c r="D3032" t="str">
        <f>IF(Profile!C3652="Profile",IF(Profile!A3654="ResourceRequirement","OK","XXX"),"XXX")</f>
        <v>XXX</v>
      </c>
    </row>
    <row r="3033" spans="1:4" x14ac:dyDescent="0.45">
      <c r="A3033">
        <f>ROW()</f>
        <v>3033</v>
      </c>
      <c r="B3033">
        <f>Profile!A3653</f>
        <v>0</v>
      </c>
      <c r="C3033">
        <f>Profile!AP3655</f>
        <v>0</v>
      </c>
      <c r="D3033" t="str">
        <f>IF(Profile!C3653="Profile",IF(Profile!A3655="ResourceRequirement","OK","XXX"),"XXX")</f>
        <v>XXX</v>
      </c>
    </row>
    <row r="3034" spans="1:4" x14ac:dyDescent="0.45">
      <c r="A3034">
        <f>ROW()</f>
        <v>3034</v>
      </c>
      <c r="B3034" t="str">
        <f>Profile!A3654</f>
        <v>1.1.9.5 MetricsAgent</v>
      </c>
      <c r="C3034">
        <f>Profile!AP3656</f>
        <v>0</v>
      </c>
      <c r="D3034" t="str">
        <f>IF(Profile!C3654="Profile",IF(Profile!A3656="ResourceRequirement","OK","XXX"),"XXX")</f>
        <v>XXX</v>
      </c>
    </row>
    <row r="3035" spans="1:4" x14ac:dyDescent="0.45">
      <c r="A3035">
        <f>ROW()</f>
        <v>3035</v>
      </c>
      <c r="B3035" t="str">
        <f>Profile!A3655</f>
        <v>Resource to expose third-party or open sources metrics agent running on the platform; for example, NAGIOS, Prometheus Node Exporter, etc.</v>
      </c>
      <c r="C3035">
        <f>Profile!AP3657</f>
        <v>0</v>
      </c>
      <c r="D3035" t="str">
        <f>IF(Profile!C3655="Profile",IF(Profile!A3657="ResourceRequirement","OK","XXX"),"XXX")</f>
        <v>XXX</v>
      </c>
    </row>
    <row r="3036" spans="1:4" x14ac:dyDescent="0.45">
      <c r="A3036">
        <f>ROW()</f>
        <v>3036</v>
      </c>
      <c r="B3036" t="str">
        <f>Profile!A3656</f>
        <v>MetricsAgent (1.0.0)</v>
      </c>
      <c r="C3036">
        <f>Profile!AP3658</f>
        <v>36</v>
      </c>
      <c r="D3036" t="str">
        <f>IF(Profile!C3656="Profile",IF(Profile!A3658="ResourceRequirement","OK","XXX"),"XXX")</f>
        <v>OK</v>
      </c>
    </row>
    <row r="3037" spans="1:4" x14ac:dyDescent="0.45">
      <c r="A3037">
        <f>ROW()</f>
        <v>3037</v>
      </c>
      <c r="B3037">
        <f>Profile!A3657</f>
        <v>0</v>
      </c>
      <c r="C3037">
        <f>Profile!AP3659</f>
        <v>0</v>
      </c>
      <c r="D3037" t="str">
        <f>IF(Profile!C3657="Profile",IF(Profile!A3659="ResourceRequirement","OK","XXX"),"XXX")</f>
        <v>XXX</v>
      </c>
    </row>
    <row r="3038" spans="1:4" x14ac:dyDescent="0.45">
      <c r="A3038">
        <f>ROW()</f>
        <v>3038</v>
      </c>
      <c r="B3038" t="str">
        <f>Profile!A3658</f>
        <v>ResourceRequirement</v>
      </c>
      <c r="C3038">
        <f>Profile!AP3660</f>
        <v>0</v>
      </c>
      <c r="D3038" t="str">
        <f>IF(Profile!C3658="Profile",IF(Profile!A3660="ResourceRequirement","OK","XXX"),"XXX")</f>
        <v>XXX</v>
      </c>
    </row>
    <row r="3039" spans="1:4" x14ac:dyDescent="0.45">
      <c r="A3039">
        <f>ROW()</f>
        <v>3039</v>
      </c>
      <c r="B3039" t="str">
        <f>Profile!A3659</f>
        <v>Resource MinVersion</v>
      </c>
      <c r="C3039">
        <f>Profile!AP3661</f>
        <v>0</v>
      </c>
      <c r="D3039" t="str">
        <f>IF(Profile!C3659="Profile",IF(Profile!A3661="ResourceRequirement","OK","XXX"),"XXX")</f>
        <v>XXX</v>
      </c>
    </row>
    <row r="3040" spans="1:4" x14ac:dyDescent="0.45">
      <c r="A3040">
        <f>ROW()</f>
        <v>3040</v>
      </c>
      <c r="B3040" t="str">
        <f>Profile!A3660</f>
        <v>Property</v>
      </c>
      <c r="C3040">
        <f>Profile!AP3662</f>
        <v>0</v>
      </c>
      <c r="D3040" t="str">
        <f>IF(Profile!C3660="Profile",IF(Profile!A3662="ResourceRequirement","OK","XXX"),"XXX")</f>
        <v>XXX</v>
      </c>
    </row>
    <row r="3041" spans="1:4" x14ac:dyDescent="0.45">
      <c r="A3041">
        <f>ROW()</f>
        <v>3041</v>
      </c>
      <c r="B3041" t="str">
        <f>Profile!A3661</f>
        <v>Actions</v>
      </c>
      <c r="C3041">
        <f>Profile!AP3663</f>
        <v>0</v>
      </c>
      <c r="D3041" t="str">
        <f>IF(Profile!C3661="Profile",IF(Profile!A3663="ResourceRequirement","OK","XXX"),"XXX")</f>
        <v>XXX</v>
      </c>
    </row>
    <row r="3042" spans="1:4" x14ac:dyDescent="0.45">
      <c r="A3042">
        <f>ROW()</f>
        <v>3042</v>
      </c>
      <c r="B3042" t="str">
        <f>Profile!A3662</f>
        <v>MetricsAgentName</v>
      </c>
      <c r="C3042">
        <f>Profile!AP3664</f>
        <v>0</v>
      </c>
      <c r="D3042" t="str">
        <f>IF(Profile!C3662="Profile",IF(Profile!A3664="ResourceRequirement","OK","XXX"),"XXX")</f>
        <v>XXX</v>
      </c>
    </row>
    <row r="3043" spans="1:4" x14ac:dyDescent="0.45">
      <c r="A3043">
        <f>ROW()</f>
        <v>3043</v>
      </c>
      <c r="B3043" t="str">
        <f>Profile!A3663</f>
        <v>MetricsAgentProtocol</v>
      </c>
      <c r="C3043">
        <f>Profile!AP3665</f>
        <v>0</v>
      </c>
      <c r="D3043" t="str">
        <f>IF(Profile!C3663="Profile",IF(Profile!A3665="ResourceRequirement","OK","XXX"),"XXX")</f>
        <v>XXX</v>
      </c>
    </row>
    <row r="3044" spans="1:4" x14ac:dyDescent="0.45">
      <c r="A3044">
        <f>ROW()</f>
        <v>3044</v>
      </c>
      <c r="B3044" t="str">
        <f>Profile!A3664</f>
        <v>PushUri</v>
      </c>
      <c r="C3044">
        <f>Profile!AP3666</f>
        <v>0</v>
      </c>
      <c r="D3044" t="str">
        <f>IF(Profile!C3664="Profile",IF(Profile!A3666="ResourceRequirement","OK","XXX"),"XXX")</f>
        <v>XXX</v>
      </c>
    </row>
    <row r="3045" spans="1:4" x14ac:dyDescent="0.45">
      <c r="A3045">
        <f>ROW()</f>
        <v>3045</v>
      </c>
      <c r="B3045" t="str">
        <f>Profile!A3665</f>
        <v>PullUri</v>
      </c>
      <c r="C3045">
        <f>Profile!AP3667</f>
        <v>0</v>
      </c>
      <c r="D3045" t="str">
        <f>IF(Profile!C3665="Profile",IF(Profile!A3667="ResourceRequirement","OK","XXX"),"XXX")</f>
        <v>XXX</v>
      </c>
    </row>
    <row r="3046" spans="1:4" x14ac:dyDescent="0.45">
      <c r="A3046">
        <f>ROW()</f>
        <v>3046</v>
      </c>
      <c r="B3046" t="str">
        <f>Profile!A3666</f>
        <v>ServiceEnabled</v>
      </c>
      <c r="C3046">
        <f>Profile!AP3670</f>
        <v>0</v>
      </c>
      <c r="D3046" t="str">
        <f>IF(Profile!C3666="Profile",IF(Profile!A3670="ResourceRequirement","OK","XXX"),"XXX")</f>
        <v>XXX</v>
      </c>
    </row>
    <row r="3047" spans="1:4" x14ac:dyDescent="0.45">
      <c r="A3047">
        <f>ROW()</f>
        <v>3047</v>
      </c>
      <c r="B3047" t="str">
        <f>Profile!A3667</f>
        <v>Status</v>
      </c>
      <c r="C3047">
        <f>Profile!AP3671</f>
        <v>0</v>
      </c>
      <c r="D3047" t="str">
        <f>IF(Profile!C3667="Profile",IF(Profile!A3671="ResourceRequirement","OK","XXX"),"XXX")</f>
        <v>XXX</v>
      </c>
    </row>
    <row r="3048" spans="1:4" x14ac:dyDescent="0.45">
      <c r="A3048">
        <f>ROW()</f>
        <v>3048</v>
      </c>
      <c r="B3048" t="str">
        <f>Profile!A3670</f>
        <v>MetricsAgent URIs</v>
      </c>
      <c r="C3048">
        <f>Profile!AP3672</f>
        <v>0</v>
      </c>
      <c r="D3048" t="str">
        <f>IF(Profile!C3670="Profile",IF(Profile!A3672="ResourceRequirement","OK","XXX"),"XXX")</f>
        <v>XXX</v>
      </c>
    </row>
    <row r="3049" spans="1:4" x14ac:dyDescent="0.45">
      <c r="A3049">
        <f>ROW()</f>
        <v>3049</v>
      </c>
      <c r="B3049" t="str">
        <f>Profile!A3671</f>
        <v>/redfish/v1/Systems/{ComputerSystemId}/OperatingSystem/MetricsAgents/{MetricsAgentId}</v>
      </c>
      <c r="C3049">
        <f>Profile!AP3673</f>
        <v>0</v>
      </c>
      <c r="D3049" t="str">
        <f>IF(Profile!C3671="Profile",IF(Profile!A3673="ResourceRequirement","OK","XXX"),"XXX")</f>
        <v>XXX</v>
      </c>
    </row>
    <row r="3050" spans="1:4" x14ac:dyDescent="0.45">
      <c r="A3050">
        <f>ROW()</f>
        <v>3050</v>
      </c>
      <c r="B3050">
        <f>Profile!A3672</f>
        <v>0</v>
      </c>
      <c r="C3050">
        <f>Profile!AP3674</f>
        <v>0</v>
      </c>
      <c r="D3050" t="str">
        <f>IF(Profile!C3672="Profile",IF(Profile!A3674="ResourceRequirement","OK","XXX"),"XXX")</f>
        <v>XXX</v>
      </c>
    </row>
    <row r="3051" spans="1:4" x14ac:dyDescent="0.45">
      <c r="A3051">
        <f>ROW()</f>
        <v>3051</v>
      </c>
      <c r="B3051" t="str">
        <f>Profile!A3673</f>
        <v>1.1.9.1 OSOpaqueFileCollection</v>
      </c>
      <c r="C3051">
        <f>Profile!AP3675</f>
        <v>0</v>
      </c>
      <c r="D3051" t="str">
        <f>IF(Profile!C3673="Profile",IF(Profile!A3675="ResourceRequirement","OK","XXX"),"XXX")</f>
        <v>XXX</v>
      </c>
    </row>
    <row r="3052" spans="1:4" x14ac:dyDescent="0.45">
      <c r="A3052">
        <f>ROW()</f>
        <v>3052</v>
      </c>
      <c r="B3052" t="str">
        <f>Profile!A3674</f>
        <v>Collection of key/value configuration items</v>
      </c>
      <c r="C3052">
        <f>Profile!AP3676</f>
        <v>0</v>
      </c>
      <c r="D3052" t="str">
        <f>IF(Profile!C3674="Profile",IF(Profile!A3676="ResourceRequirement","OK","XXX"),"XXX")</f>
        <v>XXX</v>
      </c>
    </row>
    <row r="3053" spans="1:4" x14ac:dyDescent="0.45">
      <c r="A3053">
        <f>ROW()</f>
        <v>3053</v>
      </c>
      <c r="B3053" t="str">
        <f>Profile!A3675</f>
        <v>OSOpaqueFileCollection (1.0.0)</v>
      </c>
      <c r="C3053">
        <f>Profile!AP3677</f>
        <v>0</v>
      </c>
      <c r="D3053" t="str">
        <f>IF(Profile!C3675="Profile",IF(Profile!A3677="ResourceRequirement","OK","XXX"),"XXX")</f>
        <v>OK</v>
      </c>
    </row>
    <row r="3054" spans="1:4" x14ac:dyDescent="0.45">
      <c r="A3054">
        <f>ROW()</f>
        <v>3054</v>
      </c>
      <c r="B3054">
        <f>Profile!A3676</f>
        <v>0</v>
      </c>
      <c r="C3054">
        <f>Profile!AP3678</f>
        <v>0</v>
      </c>
      <c r="D3054" t="str">
        <f>IF(Profile!C3676="Profile",IF(Profile!A3678="ResourceRequirement","OK","XXX"),"XXX")</f>
        <v>XXX</v>
      </c>
    </row>
    <row r="3055" spans="1:4" x14ac:dyDescent="0.45">
      <c r="A3055">
        <f>ROW()</f>
        <v>3055</v>
      </c>
      <c r="B3055" t="str">
        <f>Profile!A3677</f>
        <v>ResourceRequirement</v>
      </c>
      <c r="C3055">
        <f>Profile!AP3679</f>
        <v>0</v>
      </c>
      <c r="D3055" t="str">
        <f>IF(Profile!C3677="Profile",IF(Profile!A3679="ResourceRequirement","OK","XXX"),"XXX")</f>
        <v>XXX</v>
      </c>
    </row>
    <row r="3056" spans="1:4" x14ac:dyDescent="0.45">
      <c r="A3056">
        <f>ROW()</f>
        <v>3056</v>
      </c>
      <c r="B3056" t="str">
        <f>Profile!A3678</f>
        <v>Resource MinVersion</v>
      </c>
      <c r="C3056">
        <f>Profile!AP3680</f>
        <v>0</v>
      </c>
      <c r="D3056" t="str">
        <f>IF(Profile!C3678="Profile",IF(Profile!A3680="ResourceRequirement","OK","XXX"),"XXX")</f>
        <v>XXX</v>
      </c>
    </row>
    <row r="3057" spans="1:4" x14ac:dyDescent="0.45">
      <c r="A3057">
        <f>ROW()</f>
        <v>3057</v>
      </c>
      <c r="B3057" t="str">
        <f>Profile!A3679</f>
        <v>Property</v>
      </c>
      <c r="C3057">
        <f>Profile!AP3681</f>
        <v>0</v>
      </c>
      <c r="D3057" t="str">
        <f>IF(Profile!C3679="Profile",IF(Profile!A3681="ResourceRequirement","OK","XXX"),"XXX")</f>
        <v>XXX</v>
      </c>
    </row>
    <row r="3058" spans="1:4" x14ac:dyDescent="0.45">
      <c r="A3058">
        <f>ROW()</f>
        <v>3058</v>
      </c>
      <c r="B3058" t="str">
        <f>Profile!A3680</f>
        <v>OSOpaqueFiles</v>
      </c>
      <c r="C3058">
        <f>Profile!AP3682</f>
        <v>0</v>
      </c>
      <c r="D3058" t="str">
        <f>IF(Profile!C3680="Profile",IF(Profile!A3682="ResourceRequirement","OK","XXX"),"XXX")</f>
        <v>XXX</v>
      </c>
    </row>
    <row r="3059" spans="1:4" x14ac:dyDescent="0.45">
      <c r="A3059">
        <f>ROW()</f>
        <v>3059</v>
      </c>
      <c r="B3059" t="str">
        <f>Profile!A3681</f>
        <v xml:space="preserve">   @odata.id</v>
      </c>
      <c r="C3059">
        <f>Profile!AP3683</f>
        <v>0</v>
      </c>
      <c r="D3059" t="str">
        <f>IF(Profile!C3681="Profile",IF(Profile!A3683="ResourceRequirement","OK","XXX"),"XXX")</f>
        <v>XXX</v>
      </c>
    </row>
    <row r="3060" spans="1:4" x14ac:dyDescent="0.45">
      <c r="A3060">
        <f>ROW()</f>
        <v>3060</v>
      </c>
      <c r="B3060" t="str">
        <f>Profile!A3682</f>
        <v>OSOpaqueFileCollection URIs</v>
      </c>
      <c r="C3060">
        <f>Profile!AP3684</f>
        <v>0</v>
      </c>
      <c r="D3060" t="str">
        <f>IF(Profile!C3682="Profile",IF(Profile!A3684="ResourceRequirement","OK","XXX"),"XXX")</f>
        <v>XXX</v>
      </c>
    </row>
    <row r="3061" spans="1:4" x14ac:dyDescent="0.45">
      <c r="A3061">
        <f>ROW()</f>
        <v>3061</v>
      </c>
      <c r="B3061" t="str">
        <f>Profile!A3683</f>
        <v>/redfish/v1/Systems/{ComputerSystemId}/OperatingSystem/OSOpaqueFiles/{OSOpaqueFileId}</v>
      </c>
      <c r="C3061">
        <f>Profile!AP3685</f>
        <v>0</v>
      </c>
      <c r="D3061" t="str">
        <f>IF(Profile!C3683="Profile",IF(Profile!A3685="ResourceRequirement","OK","XXX"),"XXX")</f>
        <v>XXX</v>
      </c>
    </row>
    <row r="3062" spans="1:4" x14ac:dyDescent="0.45">
      <c r="A3062">
        <f>ROW()</f>
        <v>3062</v>
      </c>
      <c r="B3062">
        <f>Profile!A3684</f>
        <v>0</v>
      </c>
      <c r="C3062">
        <f>Profile!AP3686</f>
        <v>0</v>
      </c>
      <c r="D3062" t="str">
        <f>IF(Profile!C3684="Profile",IF(Profile!A3686="ResourceRequirement","OK","XXX"),"XXX")</f>
        <v>XXX</v>
      </c>
    </row>
    <row r="3063" spans="1:4" x14ac:dyDescent="0.45">
      <c r="A3063">
        <f>ROW()</f>
        <v>3063</v>
      </c>
      <c r="B3063" t="str">
        <f>Profile!A3685</f>
        <v>1.1.9.5 OSOpaqueFile</v>
      </c>
      <c r="C3063">
        <f>Profile!AP3687</f>
        <v>0</v>
      </c>
      <c r="D3063" t="str">
        <f>IF(Profile!C3685="Profile",IF(Profile!A3687="ResourceRequirement","OK","XXX"),"XXX")</f>
        <v>XXX</v>
      </c>
    </row>
    <row r="3064" spans="1:4" x14ac:dyDescent="0.45">
      <c r="A3064">
        <f>ROW()</f>
        <v>3064</v>
      </c>
      <c r="B3064" t="str">
        <f>Profile!A3686</f>
        <v>Collection of key/value pairs that can be used for configuration that is not in information model (user can create and delete). Intent is that resource allows the user to pass arbitrary configuration items or even commands.</v>
      </c>
      <c r="C3064">
        <f>Profile!AP3688</f>
        <v>0</v>
      </c>
      <c r="D3064" t="str">
        <f>IF(Profile!C3686="Profile",IF(Profile!A3688="ResourceRequirement","OK","XXX"),"XXX")</f>
        <v>XXX</v>
      </c>
    </row>
    <row r="3065" spans="1:4" x14ac:dyDescent="0.45">
      <c r="A3065">
        <f>ROW()</f>
        <v>3065</v>
      </c>
      <c r="B3065" t="str">
        <f>Profile!A3687</f>
        <v>OSOpaqueFile (1.0.0)</v>
      </c>
      <c r="C3065">
        <f>Profile!AP3689</f>
        <v>0</v>
      </c>
      <c r="D3065" t="str">
        <f>IF(Profile!C3687="Profile",IF(Profile!A3689="ResourceRequirement","OK","XXX"),"XXX")</f>
        <v>OK</v>
      </c>
    </row>
    <row r="3066" spans="1:4" x14ac:dyDescent="0.45">
      <c r="A3066">
        <f>ROW()</f>
        <v>3066</v>
      </c>
      <c r="B3066">
        <f>Profile!A3688</f>
        <v>0</v>
      </c>
      <c r="C3066">
        <f>Profile!AP3690</f>
        <v>0</v>
      </c>
      <c r="D3066" t="str">
        <f>IF(Profile!C3688="Profile",IF(Profile!A3690="ResourceRequirement","OK","XXX"),"XXX")</f>
        <v>XXX</v>
      </c>
    </row>
    <row r="3067" spans="1:4" x14ac:dyDescent="0.45">
      <c r="A3067">
        <f>ROW()</f>
        <v>3067</v>
      </c>
      <c r="B3067" t="str">
        <f>Profile!A3689</f>
        <v>ResourceRequirement</v>
      </c>
      <c r="C3067">
        <f>Profile!AP3691</f>
        <v>0</v>
      </c>
      <c r="D3067" t="str">
        <f>IF(Profile!C3689="Profile",IF(Profile!A3691="ResourceRequirement","OK","XXX"),"XXX")</f>
        <v>XXX</v>
      </c>
    </row>
    <row r="3068" spans="1:4" x14ac:dyDescent="0.45">
      <c r="A3068">
        <f>ROW()</f>
        <v>3068</v>
      </c>
      <c r="B3068" t="str">
        <f>Profile!A3690</f>
        <v>Resource MinVersion</v>
      </c>
      <c r="C3068">
        <f>Profile!AP3692</f>
        <v>0</v>
      </c>
      <c r="D3068" t="str">
        <f>IF(Profile!C3690="Profile",IF(Profile!A3692="ResourceRequirement","OK","XXX"),"XXX")</f>
        <v>XXX</v>
      </c>
    </row>
    <row r="3069" spans="1:4" x14ac:dyDescent="0.45">
      <c r="A3069">
        <f>ROW()</f>
        <v>3069</v>
      </c>
      <c r="B3069" t="str">
        <f>Profile!A3691</f>
        <v>Property</v>
      </c>
      <c r="C3069">
        <f>Profile!AP3693</f>
        <v>0</v>
      </c>
      <c r="D3069" t="str">
        <f>IF(Profile!C3691="Profile",IF(Profile!A3693="ResourceRequirement","OK","XXX"),"XXX")</f>
        <v>XXX</v>
      </c>
    </row>
    <row r="3070" spans="1:4" x14ac:dyDescent="0.45">
      <c r="A3070">
        <f>ROW()</f>
        <v>3070</v>
      </c>
      <c r="B3070" t="str">
        <f>Profile!A3692</f>
        <v>Filename</v>
      </c>
      <c r="C3070">
        <f>Profile!AP3694</f>
        <v>0</v>
      </c>
      <c r="D3070" t="str">
        <f>IF(Profile!C3692="Profile",IF(Profile!A3694="ResourceRequirement","OK","XXX"),"XXX")</f>
        <v>XXX</v>
      </c>
    </row>
    <row r="3071" spans="1:4" x14ac:dyDescent="0.45">
      <c r="A3071">
        <f>ROW()</f>
        <v>3071</v>
      </c>
      <c r="B3071" t="str">
        <f>Profile!A3693</f>
        <v>FileVersion</v>
      </c>
      <c r="C3071">
        <f>Profile!AP3695</f>
        <v>0</v>
      </c>
      <c r="D3071" t="str">
        <f>IF(Profile!C3693="Profile",IF(Profile!A3695="ResourceRequirement","OK","XXX"),"XXX")</f>
        <v>XXX</v>
      </c>
    </row>
    <row r="3072" spans="1:4" x14ac:dyDescent="0.45">
      <c r="A3072">
        <f>ROW()</f>
        <v>3072</v>
      </c>
      <c r="B3072" t="str">
        <f>Profile!A3694</f>
        <v>FileHash</v>
      </c>
      <c r="C3072">
        <f>Profile!AP3696</f>
        <v>0</v>
      </c>
      <c r="D3072" t="str">
        <f>IF(Profile!C3694="Profile",IF(Profile!A3696="ResourceRequirement","OK","XXX"),"XXX")</f>
        <v>XXX</v>
      </c>
    </row>
    <row r="3073" spans="1:4" x14ac:dyDescent="0.45">
      <c r="A3073">
        <f>ROW()</f>
        <v>3073</v>
      </c>
      <c r="B3073" t="str">
        <f>Profile!A3695</f>
        <v>FileSize</v>
      </c>
      <c r="C3073">
        <f>Profile!AP3697</f>
        <v>0</v>
      </c>
      <c r="D3073" t="str">
        <f>IF(Profile!C3695="Profile",IF(Profile!A3697="ResourceRequirement","OK","XXX"),"XXX")</f>
        <v>XXX</v>
      </c>
    </row>
    <row r="3074" spans="1:4" x14ac:dyDescent="0.45">
      <c r="A3074">
        <f>ROW()</f>
        <v>3074</v>
      </c>
      <c r="B3074" t="str">
        <f>Profile!A3696</f>
        <v>OSOpaqueFile URIs</v>
      </c>
      <c r="C3074">
        <f>Profile!AP3698</f>
        <v>0</v>
      </c>
      <c r="D3074" t="str">
        <f>IF(Profile!C3696="Profile",IF(Profile!A3698="ResourceRequirement","OK","XXX"),"XXX")</f>
        <v>XXX</v>
      </c>
    </row>
    <row r="3075" spans="1:4" x14ac:dyDescent="0.45">
      <c r="A3075">
        <f>ROW()</f>
        <v>3075</v>
      </c>
      <c r="B3075" t="str">
        <f>Profile!A3697</f>
        <v>/redfish/v1/Systems/{ComputerSystemId}/OperatingSystem/OSOpaqueFile/{OSOpaqueFilesId}</v>
      </c>
      <c r="C3075">
        <f>Profile!AP3699</f>
        <v>0</v>
      </c>
      <c r="D3075" t="str">
        <f>IF(Profile!C3697="Profile",IF(Profile!A3699="ResourceRequirement","OK","XXX"),"XXX")</f>
        <v>XXX</v>
      </c>
    </row>
    <row r="3076" spans="1:4" x14ac:dyDescent="0.45">
      <c r="A3076">
        <f>ROW()</f>
        <v>3076</v>
      </c>
      <c r="B3076">
        <f>Profile!A3698</f>
        <v>0</v>
      </c>
      <c r="C3076">
        <f>Profile!AP3700</f>
        <v>0</v>
      </c>
      <c r="D3076" t="str">
        <f>IF(Profile!C3698="Profile",IF(Profile!A3700="ResourceRequirement","OK","XXX"),"XXX")</f>
        <v>XXX</v>
      </c>
    </row>
    <row r="3077" spans="1:4" x14ac:dyDescent="0.45">
      <c r="A3077">
        <f>ROW()</f>
        <v>3077</v>
      </c>
      <c r="B3077" t="str">
        <f>Profile!A3699</f>
        <v>1.1.9.5 OSOpaqueFileService</v>
      </c>
      <c r="C3077">
        <f>Profile!AP3701</f>
        <v>0</v>
      </c>
      <c r="D3077" t="str">
        <f>IF(Profile!C3699="Profile",IF(Profile!A3701="ResourceRequirement","OK","XXX"),"XXX")</f>
        <v>XXX</v>
      </c>
    </row>
    <row r="3078" spans="1:4" x14ac:dyDescent="0.45">
      <c r="A3078">
        <f>ROW()</f>
        <v>3078</v>
      </c>
      <c r="B3078" t="str">
        <f>Profile!A3700</f>
        <v>Collection of opaque OS configuration files that can be used for configuration that is not in information model (user can create and delete). Intent is that the node will understand what to do with the file</v>
      </c>
      <c r="C3078">
        <f>Profile!AP3702</f>
        <v>0</v>
      </c>
      <c r="D3078" t="str">
        <f>IF(Profile!C3700="Profile",IF(Profile!A3702="ResourceRequirement","OK","XXX"),"XXX")</f>
        <v>XXX</v>
      </c>
    </row>
    <row r="3079" spans="1:4" x14ac:dyDescent="0.45">
      <c r="A3079">
        <f>ROW()</f>
        <v>3079</v>
      </c>
      <c r="B3079" t="str">
        <f>Profile!A3701</f>
        <v>OSOpaqueFileService (1.0.0)</v>
      </c>
      <c r="C3079">
        <f>Profile!AP3703</f>
        <v>0</v>
      </c>
      <c r="D3079" t="str">
        <f>IF(Profile!C3701="Profile",IF(Profile!A3703="ResourceRequirement","OK","XXX"),"XXX")</f>
        <v>OK</v>
      </c>
    </row>
    <row r="3080" spans="1:4" x14ac:dyDescent="0.45">
      <c r="A3080">
        <f>ROW()</f>
        <v>3080</v>
      </c>
      <c r="B3080">
        <f>Profile!A3702</f>
        <v>0</v>
      </c>
      <c r="C3080">
        <f>Profile!AP3704</f>
        <v>0</v>
      </c>
      <c r="D3080" t="str">
        <f>IF(Profile!C3702="Profile",IF(Profile!A3704="ResourceRequirement","OK","XXX"),"XXX")</f>
        <v>XXX</v>
      </c>
    </row>
    <row r="3081" spans="1:4" x14ac:dyDescent="0.45">
      <c r="A3081">
        <f>ROW()</f>
        <v>3081</v>
      </c>
      <c r="B3081" t="str">
        <f>Profile!A3703</f>
        <v>ResourceRequirement</v>
      </c>
      <c r="C3081">
        <f>Profile!AP3705</f>
        <v>0</v>
      </c>
      <c r="D3081" t="str">
        <f>IF(Profile!C3703="Profile",IF(Profile!A3705="ResourceRequirement","OK","XXX"),"XXX")</f>
        <v>XXX</v>
      </c>
    </row>
    <row r="3082" spans="1:4" x14ac:dyDescent="0.45">
      <c r="A3082">
        <f>ROW()</f>
        <v>3082</v>
      </c>
      <c r="B3082" t="str">
        <f>Profile!A3704</f>
        <v>Resource MinVersion</v>
      </c>
      <c r="C3082">
        <f>Profile!AP3706</f>
        <v>0</v>
      </c>
      <c r="D3082" t="str">
        <f>IF(Profile!C3704="Profile",IF(Profile!A3706="ResourceRequirement","OK","XXX"),"XXX")</f>
        <v>XXX</v>
      </c>
    </row>
    <row r="3083" spans="1:4" x14ac:dyDescent="0.45">
      <c r="A3083">
        <f>ROW()</f>
        <v>3083</v>
      </c>
      <c r="B3083" t="str">
        <f>Profile!A3705</f>
        <v>Property</v>
      </c>
      <c r="C3083">
        <f>Profile!AP3707</f>
        <v>0</v>
      </c>
      <c r="D3083" t="str">
        <f>IF(Profile!C3705="Profile",IF(Profile!A3707="ResourceRequirement","OK","XXX"),"XXX")</f>
        <v>XXX</v>
      </c>
    </row>
    <row r="3084" spans="1:4" x14ac:dyDescent="0.45">
      <c r="A3084">
        <f>ROW()</f>
        <v>3084</v>
      </c>
      <c r="B3084" t="str">
        <f>Profile!A3706</f>
        <v>Actions</v>
      </c>
      <c r="C3084">
        <f>Profile!AP3708</f>
        <v>0</v>
      </c>
      <c r="D3084" t="str">
        <f>IF(Profile!C3706="Profile",IF(Profile!A3708="ResourceRequirement","OK","XXX"),"XXX")</f>
        <v>XXX</v>
      </c>
    </row>
    <row r="3085" spans="1:4" x14ac:dyDescent="0.45">
      <c r="A3085">
        <f>ROW()</f>
        <v>3085</v>
      </c>
      <c r="B3085" t="str">
        <f>Profile!A3707</f>
        <v xml:space="preserve">   #UpdateService.DownloadOpaqueFile</v>
      </c>
      <c r="C3085">
        <f>Profile!AP3709</f>
        <v>0</v>
      </c>
      <c r="D3085" t="str">
        <f>IF(Profile!C3707="Profile",IF(Profile!A3709="ResourceRequirement","OK","XXX"),"XXX")</f>
        <v>XXX</v>
      </c>
    </row>
    <row r="3086" spans="1:4" x14ac:dyDescent="0.45">
      <c r="A3086">
        <f>ROW()</f>
        <v>3086</v>
      </c>
      <c r="B3086" t="str">
        <f>Profile!A3708</f>
        <v xml:space="preserve">   #UpdateService.DeleteOpaqueFile</v>
      </c>
      <c r="C3086">
        <f>Profile!AP3710</f>
        <v>0</v>
      </c>
      <c r="D3086" t="str">
        <f>IF(Profile!C3708="Profile",IF(Profile!A3710="ResourceRequirement","OK","XXX"),"XXX")</f>
        <v>XXX</v>
      </c>
    </row>
    <row r="3087" spans="1:4" x14ac:dyDescent="0.45">
      <c r="A3087">
        <f>ROW()</f>
        <v>3087</v>
      </c>
      <c r="B3087" t="str">
        <f>Profile!A3709</f>
        <v xml:space="preserve">   #UpdateService.UploadOpaqueFile</v>
      </c>
      <c r="C3087">
        <f>Profile!AP3711</f>
        <v>0</v>
      </c>
      <c r="D3087" t="str">
        <f>IF(Profile!C3709="Profile",IF(Profile!A3711="ResourceRequirement","OK","XXX"),"XXX")</f>
        <v>XXX</v>
      </c>
    </row>
    <row r="3088" spans="1:4" x14ac:dyDescent="0.45">
      <c r="A3088">
        <f>ROW()</f>
        <v>3088</v>
      </c>
      <c r="B3088" t="str">
        <f>Profile!A3710</f>
        <v>OpaqueFiles</v>
      </c>
      <c r="C3088">
        <f>Profile!AP3712</f>
        <v>0</v>
      </c>
      <c r="D3088" t="str">
        <f>IF(Profile!C3710="Profile",IF(Profile!A3712="ResourceRequirement","OK","XXX"),"XXX")</f>
        <v>XXX</v>
      </c>
    </row>
    <row r="3089" spans="1:4" x14ac:dyDescent="0.45">
      <c r="A3089">
        <f>ROW()</f>
        <v>3089</v>
      </c>
      <c r="B3089" t="str">
        <f>Profile!A3711</f>
        <v xml:space="preserve">   @odata.id</v>
      </c>
      <c r="C3089">
        <f>Profile!AP3713</f>
        <v>0</v>
      </c>
      <c r="D3089" t="str">
        <f>IF(Profile!C3711="Profile",IF(Profile!A3713="ResourceRequirement","OK","XXX"),"XXX")</f>
        <v>XXX</v>
      </c>
    </row>
    <row r="3090" spans="1:4" x14ac:dyDescent="0.45">
      <c r="A3090">
        <f>ROW()</f>
        <v>3090</v>
      </c>
      <c r="B3090" t="str">
        <f>Profile!A3712</f>
        <v>ServiceEnabled</v>
      </c>
      <c r="C3090">
        <f>Profile!AP3716</f>
        <v>0</v>
      </c>
      <c r="D3090" t="str">
        <f>IF(Profile!C3712="Profile",IF(Profile!A3716="ResourceRequirement","OK","XXX"),"XXX")</f>
        <v>XXX</v>
      </c>
    </row>
    <row r="3091" spans="1:4" x14ac:dyDescent="0.45">
      <c r="A3091">
        <f>ROW()</f>
        <v>3091</v>
      </c>
      <c r="B3091" t="str">
        <f>Profile!A3713</f>
        <v>Status</v>
      </c>
      <c r="C3091">
        <f>Profile!AP3717</f>
        <v>0</v>
      </c>
      <c r="D3091" t="str">
        <f>IF(Profile!C3713="Profile",IF(Profile!A3717="ResourceRequirement","OK","XXX"),"XXX")</f>
        <v>XXX</v>
      </c>
    </row>
    <row r="3092" spans="1:4" x14ac:dyDescent="0.45">
      <c r="A3092">
        <f>ROW()</f>
        <v>3092</v>
      </c>
      <c r="B3092" t="str">
        <f>Profile!A3716</f>
        <v>OSOpaqueFileService URIs</v>
      </c>
      <c r="C3092">
        <f>Profile!AP3718</f>
        <v>0</v>
      </c>
      <c r="D3092" t="str">
        <f>IF(Profile!C3716="Profile",IF(Profile!A3718="ResourceRequirement","OK","XXX"),"XXX")</f>
        <v>XXX</v>
      </c>
    </row>
    <row r="3093" spans="1:4" x14ac:dyDescent="0.45">
      <c r="A3093">
        <f>ROW()</f>
        <v>3093</v>
      </c>
      <c r="B3093" t="str">
        <f>Profile!A3717</f>
        <v>/redfish/v1/Systems/{ComputerSystemId}/OperatingSystem/OSOpaqueFileService/{OSOpaqueFileServicesId}</v>
      </c>
      <c r="C3093">
        <f>Profile!AP3719</f>
        <v>0</v>
      </c>
      <c r="D3093" t="str">
        <f>IF(Profile!C3717="Profile",IF(Profile!A3719="ResourceRequirement","OK","XXX"),"XXX")</f>
        <v>XXX</v>
      </c>
    </row>
    <row r="3094" spans="1:4" x14ac:dyDescent="0.45">
      <c r="A3094">
        <f>ROW()</f>
        <v>3094</v>
      </c>
      <c r="B3094">
        <f>Profile!A3718</f>
        <v>0</v>
      </c>
      <c r="C3094">
        <f>Profile!AP3720</f>
        <v>0</v>
      </c>
      <c r="D3094" t="str">
        <f>IF(Profile!C3718="Profile",IF(Profile!A3720="ResourceRequirement","OK","XXX"),"XXX")</f>
        <v>XXX</v>
      </c>
    </row>
    <row r="3095" spans="1:4" x14ac:dyDescent="0.45">
      <c r="A3095">
        <f>ROW()</f>
        <v>3095</v>
      </c>
      <c r="B3095" t="str">
        <f>Profile!A3719</f>
        <v>1.1.1.3               RemoteLoggingAgentCollection</v>
      </c>
      <c r="C3095">
        <f>Profile!AP3721</f>
        <v>0</v>
      </c>
      <c r="D3095" t="str">
        <f>IF(Profile!C3719="Profile",IF(Profile!A3721="ResourceRequirement","OK","XXX"),"XXX")</f>
        <v>XXX</v>
      </c>
    </row>
    <row r="3096" spans="1:4" x14ac:dyDescent="0.45">
      <c r="A3096">
        <f>ROW()</f>
        <v>3096</v>
      </c>
      <c r="B3096" t="str">
        <f>Profile!A3720</f>
        <v>A RemoteLoggingAgentCollection is a collection of RemoteLoggingAgent Resources running on a node.</v>
      </c>
      <c r="C3096">
        <f>Profile!AP3722</f>
        <v>0</v>
      </c>
      <c r="D3096" t="str">
        <f>IF(Profile!C3720="Profile",IF(Profile!A3722="ResourceRequirement","OK","XXX"),"XXX")</f>
        <v>XXX</v>
      </c>
    </row>
    <row r="3097" spans="1:4" x14ac:dyDescent="0.45">
      <c r="A3097">
        <f>ROW()</f>
        <v>3097</v>
      </c>
      <c r="B3097" t="str">
        <f>Profile!A3721</f>
        <v>RemoteLoggingAgentCollection (1.0.0)</v>
      </c>
      <c r="C3097">
        <f>Profile!AP3723</f>
        <v>0</v>
      </c>
      <c r="D3097" t="str">
        <f>IF(Profile!C3721="Profile",IF(Profile!A3723="ResourceRequirement","OK","XXX"),"XXX")</f>
        <v>OK</v>
      </c>
    </row>
    <row r="3098" spans="1:4" x14ac:dyDescent="0.45">
      <c r="A3098">
        <f>ROW()</f>
        <v>3098</v>
      </c>
      <c r="B3098">
        <f>Profile!A3722</f>
        <v>0</v>
      </c>
      <c r="C3098">
        <f>Profile!AP3724</f>
        <v>0</v>
      </c>
      <c r="D3098" t="str">
        <f>IF(Profile!C3722="Profile",IF(Profile!A3724="ResourceRequirement","OK","XXX"),"XXX")</f>
        <v>XXX</v>
      </c>
    </row>
    <row r="3099" spans="1:4" x14ac:dyDescent="0.45">
      <c r="A3099">
        <f>ROW()</f>
        <v>3099</v>
      </c>
      <c r="B3099" t="str">
        <f>Profile!A3723</f>
        <v>ResourceRequirement</v>
      </c>
      <c r="C3099">
        <f>Profile!AP3725</f>
        <v>0</v>
      </c>
      <c r="D3099" t="str">
        <f>IF(Profile!C3723="Profile",IF(Profile!A3725="ResourceRequirement","OK","XXX"),"XXX")</f>
        <v>XXX</v>
      </c>
    </row>
    <row r="3100" spans="1:4" x14ac:dyDescent="0.45">
      <c r="A3100">
        <f>ROW()</f>
        <v>3100</v>
      </c>
      <c r="B3100" t="str">
        <f>Profile!A3724</f>
        <v>Property</v>
      </c>
      <c r="C3100">
        <f>Profile!AP3726</f>
        <v>0</v>
      </c>
      <c r="D3100" t="str">
        <f>IF(Profile!C3724="Profile",IF(Profile!A3726="ResourceRequirement","OK","XXX"),"XXX")</f>
        <v>XXX</v>
      </c>
    </row>
    <row r="3101" spans="1:4" x14ac:dyDescent="0.45">
      <c r="A3101">
        <f>ROW()</f>
        <v>3101</v>
      </c>
      <c r="B3101" t="str">
        <f>Profile!A3725</f>
        <v>Members</v>
      </c>
      <c r="C3101">
        <f>Profile!AP3727</f>
        <v>0</v>
      </c>
      <c r="D3101" t="str">
        <f>IF(Profile!C3725="Profile",IF(Profile!A3727="ResourceRequirement","OK","XXX"),"XXX")</f>
        <v>XXX</v>
      </c>
    </row>
    <row r="3102" spans="1:4" x14ac:dyDescent="0.45">
      <c r="A3102">
        <f>ROW()</f>
        <v>3102</v>
      </c>
      <c r="B3102" t="str">
        <f>Profile!A3726</f>
        <v xml:space="preserve">   @odata.id</v>
      </c>
      <c r="C3102">
        <f>Profile!AP3728</f>
        <v>0</v>
      </c>
      <c r="D3102" t="str">
        <f>IF(Profile!C3726="Profile",IF(Profile!A3728="ResourceRequirement","OK","XXX"),"XXX")</f>
        <v>XXX</v>
      </c>
    </row>
    <row r="3103" spans="1:4" x14ac:dyDescent="0.45">
      <c r="A3103">
        <f>ROW()</f>
        <v>3103</v>
      </c>
      <c r="B3103" t="str">
        <f>Profile!A3727</f>
        <v>RemoteLoggingAgentCollection URIs</v>
      </c>
      <c r="C3103">
        <f>Profile!AP3729</f>
        <v>0</v>
      </c>
      <c r="D3103" t="str">
        <f>IF(Profile!C3727="Profile",IF(Profile!A3729="ResourceRequirement","OK","XXX"),"XXX")</f>
        <v>XXX</v>
      </c>
    </row>
    <row r="3104" spans="1:4" x14ac:dyDescent="0.45">
      <c r="A3104">
        <f>ROW()</f>
        <v>3104</v>
      </c>
      <c r="B3104" t="str">
        <f>Profile!A3728</f>
        <v>/redfish/v1/Systems/{ComputerSystemId}/OperatingSystem/RemoteLoggingAgents</v>
      </c>
      <c r="C3104">
        <f>Profile!AP3730</f>
        <v>0</v>
      </c>
      <c r="D3104" t="str">
        <f>IF(Profile!C3728="Profile",IF(Profile!A3730="ResourceRequirement","OK","XXX"),"XXX")</f>
        <v>XXX</v>
      </c>
    </row>
    <row r="3105" spans="1:4" x14ac:dyDescent="0.45">
      <c r="A3105">
        <f>ROW()</f>
        <v>3105</v>
      </c>
      <c r="B3105">
        <f>Profile!A3729</f>
        <v>0</v>
      </c>
      <c r="C3105">
        <f>Profile!AP3731</f>
        <v>0</v>
      </c>
      <c r="D3105" t="str">
        <f>IF(Profile!C3729="Profile",IF(Profile!A3731="ResourceRequirement","OK","XXX"),"XXX")</f>
        <v>XXX</v>
      </c>
    </row>
    <row r="3106" spans="1:4" x14ac:dyDescent="0.45">
      <c r="A3106">
        <f>ROW()</f>
        <v>3106</v>
      </c>
      <c r="B3106" t="str">
        <f>Profile!A3730</f>
        <v>1.1.9.5 RemoteLoggingAgent</v>
      </c>
      <c r="C3106">
        <f>Profile!AP3732</f>
        <v>0</v>
      </c>
      <c r="D3106" t="str">
        <f>IF(Profile!C3730="Profile",IF(Profile!A3732="ResourceRequirement","OK","XXX"),"XXX")</f>
        <v>XXX</v>
      </c>
    </row>
    <row r="3107" spans="1:4" x14ac:dyDescent="0.45">
      <c r="A3107">
        <f>ROW()</f>
        <v>3107</v>
      </c>
      <c r="B3107" t="str">
        <f>Profile!A3731</f>
        <v>Resource to expose remote logging capabilities supported by the platform; for example, syslog, logstash, fluentd, etc.</v>
      </c>
      <c r="C3107">
        <f>Profile!AP3733</f>
        <v>0</v>
      </c>
      <c r="D3107" t="str">
        <f>IF(Profile!C3731="Profile",IF(Profile!A3733="ResourceRequirement","OK","XXX"),"XXX")</f>
        <v>XXX</v>
      </c>
    </row>
    <row r="3108" spans="1:4" x14ac:dyDescent="0.45">
      <c r="A3108">
        <f>ROW()</f>
        <v>3108</v>
      </c>
      <c r="B3108" t="str">
        <f>Profile!A3732</f>
        <v>RemoteLoggingAgent (1.0.0)</v>
      </c>
      <c r="C3108">
        <f>Profile!AP3734</f>
        <v>49</v>
      </c>
      <c r="D3108" t="str">
        <f>IF(Profile!C3732="Profile",IF(Profile!A3734="ResourceRequirement","OK","XXX"),"XXX")</f>
        <v>OK</v>
      </c>
    </row>
    <row r="3109" spans="1:4" x14ac:dyDescent="0.45">
      <c r="A3109">
        <f>ROW()</f>
        <v>3109</v>
      </c>
      <c r="B3109">
        <f>Profile!A3733</f>
        <v>0</v>
      </c>
      <c r="C3109">
        <f>Profile!AP3735</f>
        <v>0</v>
      </c>
      <c r="D3109" t="str">
        <f>IF(Profile!C3733="Profile",IF(Profile!A3735="ResourceRequirement","OK","XXX"),"XXX")</f>
        <v>XXX</v>
      </c>
    </row>
    <row r="3110" spans="1:4" x14ac:dyDescent="0.45">
      <c r="A3110">
        <f>ROW()</f>
        <v>3110</v>
      </c>
      <c r="B3110" t="str">
        <f>Profile!A3734</f>
        <v>ResourceRequirement</v>
      </c>
      <c r="C3110">
        <f>Profile!AP3736</f>
        <v>0</v>
      </c>
      <c r="D3110" t="str">
        <f>IF(Profile!C3734="Profile",IF(Profile!A3736="ResourceRequirement","OK","XXX"),"XXX")</f>
        <v>XXX</v>
      </c>
    </row>
    <row r="3111" spans="1:4" x14ac:dyDescent="0.45">
      <c r="A3111">
        <f>ROW()</f>
        <v>3111</v>
      </c>
      <c r="B3111" t="str">
        <f>Profile!A3735</f>
        <v>Resource MinVersion</v>
      </c>
      <c r="C3111">
        <f>Profile!AP3737</f>
        <v>0</v>
      </c>
      <c r="D3111" t="str">
        <f>IF(Profile!C3735="Profile",IF(Profile!A3737="ResourceRequirement","OK","XXX"),"XXX")</f>
        <v>XXX</v>
      </c>
    </row>
    <row r="3112" spans="1:4" x14ac:dyDescent="0.45">
      <c r="A3112">
        <f>ROW()</f>
        <v>3112</v>
      </c>
      <c r="B3112" t="str">
        <f>Profile!A3736</f>
        <v>Property</v>
      </c>
      <c r="C3112">
        <f>Profile!AP3738</f>
        <v>0</v>
      </c>
      <c r="D3112" t="str">
        <f>IF(Profile!C3736="Profile",IF(Profile!A3738="ResourceRequirement","OK","XXX"),"XXX")</f>
        <v>XXX</v>
      </c>
    </row>
    <row r="3113" spans="1:4" x14ac:dyDescent="0.45">
      <c r="A3113">
        <f>ROW()</f>
        <v>3113</v>
      </c>
      <c r="B3113" t="str">
        <f>Profile!A3737</f>
        <v>Actions</v>
      </c>
      <c r="C3113">
        <f>Profile!AP3739</f>
        <v>0</v>
      </c>
      <c r="D3113" t="str">
        <f>IF(Profile!C3737="Profile",IF(Profile!A3739="ResourceRequirement","OK","XXX"),"XXX")</f>
        <v>XXX</v>
      </c>
    </row>
    <row r="3114" spans="1:4" x14ac:dyDescent="0.45">
      <c r="A3114">
        <f>ROW()</f>
        <v>3114</v>
      </c>
      <c r="B3114" t="str">
        <f>Profile!A3738</f>
        <v>RemoteLoggingAgentName</v>
      </c>
      <c r="C3114">
        <f>Profile!AP3740</f>
        <v>0</v>
      </c>
      <c r="D3114" t="str">
        <f>IF(Profile!C3738="Profile",IF(Profile!A3740="ResourceRequirement","OK","XXX"),"XXX")</f>
        <v>XXX</v>
      </c>
    </row>
    <row r="3115" spans="1:4" x14ac:dyDescent="0.45">
      <c r="A3115">
        <f>ROW()</f>
        <v>3115</v>
      </c>
      <c r="B3115" t="str">
        <f>Profile!A3739</f>
        <v>RemoteLoggingAgentProtocol</v>
      </c>
      <c r="C3115">
        <f>Profile!AP3741</f>
        <v>0</v>
      </c>
      <c r="D3115" t="str">
        <f>IF(Profile!C3739="Profile",IF(Profile!A3741="ResourceRequirement","OK","XXX"),"XXX")</f>
        <v>XXX</v>
      </c>
    </row>
    <row r="3116" spans="1:4" x14ac:dyDescent="0.45">
      <c r="A3116">
        <f>ROW()</f>
        <v>3116</v>
      </c>
      <c r="B3116" t="str">
        <f>Profile!A3740</f>
        <v>PushUri</v>
      </c>
      <c r="C3116">
        <f>Profile!AP3742</f>
        <v>0</v>
      </c>
      <c r="D3116" t="str">
        <f>IF(Profile!C3740="Profile",IF(Profile!A3742="ResourceRequirement","OK","XXX"),"XXX")</f>
        <v>XXX</v>
      </c>
    </row>
    <row r="3117" spans="1:4" x14ac:dyDescent="0.45">
      <c r="A3117">
        <f>ROW()</f>
        <v>3117</v>
      </c>
      <c r="B3117" t="str">
        <f>Profile!A3741</f>
        <v>ServiceEnabled</v>
      </c>
      <c r="C3117">
        <f>Profile!AP3745</f>
        <v>0</v>
      </c>
      <c r="D3117" t="str">
        <f>IF(Profile!C3741="Profile",IF(Profile!A3745="ResourceRequirement","OK","XXX"),"XXX")</f>
        <v>XXX</v>
      </c>
    </row>
    <row r="3118" spans="1:4" x14ac:dyDescent="0.45">
      <c r="A3118">
        <f>ROW()</f>
        <v>3118</v>
      </c>
      <c r="B3118" t="str">
        <f>Profile!A3742</f>
        <v>Status</v>
      </c>
      <c r="C3118">
        <f>Profile!AP3746</f>
        <v>0</v>
      </c>
      <c r="D3118" t="str">
        <f>IF(Profile!C3742="Profile",IF(Profile!A3746="ResourceRequirement","OK","XXX"),"XXX")</f>
        <v>XXX</v>
      </c>
    </row>
    <row r="3119" spans="1:4" x14ac:dyDescent="0.45">
      <c r="A3119">
        <f>ROW()</f>
        <v>3119</v>
      </c>
      <c r="B3119" t="str">
        <f>Profile!A3745</f>
        <v>RemoteLoggingAgent URIs</v>
      </c>
      <c r="C3119">
        <f>Profile!AP3747</f>
        <v>0</v>
      </c>
      <c r="D3119" t="str">
        <f>IF(Profile!C3745="Profile",IF(Profile!A3747="ResourceRequirement","OK","XXX"),"XXX")</f>
        <v>XXX</v>
      </c>
    </row>
    <row r="3120" spans="1:4" x14ac:dyDescent="0.45">
      <c r="A3120">
        <f>ROW()</f>
        <v>3120</v>
      </c>
      <c r="B3120" t="str">
        <f>Profile!A3746</f>
        <v>/redfish/v1/Systems/{ComputerSystemId}/OperatingSystem/RemoteLoggingAgents/{RemoteLoggingAgentId}</v>
      </c>
      <c r="C3120">
        <f>Profile!AP3748</f>
        <v>0</v>
      </c>
      <c r="D3120" t="str">
        <f>IF(Profile!C3746="Profile",IF(Profile!A3748="ResourceRequirement","OK","XXX"),"XXX")</f>
        <v>XXX</v>
      </c>
    </row>
    <row r="3121" spans="1:4" x14ac:dyDescent="0.45">
      <c r="A3121">
        <f>ROW()</f>
        <v>3121</v>
      </c>
      <c r="B3121">
        <f>Profile!A3747</f>
        <v>0</v>
      </c>
      <c r="C3121">
        <f>Profile!AP3749</f>
        <v>0</v>
      </c>
      <c r="D3121" t="str">
        <f>IF(Profile!C3747="Profile",IF(Profile!A3749="ResourceRequirement","OK","XXX"),"XXX")</f>
        <v>XXX</v>
      </c>
    </row>
    <row r="3122" spans="1:4" x14ac:dyDescent="0.45">
      <c r="A3122">
        <f>ROW()</f>
        <v>3122</v>
      </c>
      <c r="B3122" t="str">
        <f>Profile!A3748</f>
        <v>1.1.1.3               ApplicationCollection</v>
      </c>
      <c r="C3122">
        <f>Profile!AP3750</f>
        <v>0</v>
      </c>
      <c r="D3122" t="str">
        <f>IF(Profile!C3748="Profile",IF(Profile!A3750="ResourceRequirement","OK","XXX"),"XXX")</f>
        <v>XXX</v>
      </c>
    </row>
    <row r="3123" spans="1:4" x14ac:dyDescent="0.45">
      <c r="A3123">
        <f>ROW()</f>
        <v>3123</v>
      </c>
      <c r="B3123" t="str">
        <f>Profile!A3749</f>
        <v>An ApplicationCollection is a collection of Application Resources running on a node.</v>
      </c>
      <c r="C3123">
        <f>Profile!AP3751</f>
        <v>0</v>
      </c>
      <c r="D3123" t="str">
        <f>IF(Profile!C3749="Profile",IF(Profile!A3751="ResourceRequirement","OK","XXX"),"XXX")</f>
        <v>XXX</v>
      </c>
    </row>
    <row r="3124" spans="1:4" x14ac:dyDescent="0.45">
      <c r="A3124">
        <f>ROW()</f>
        <v>3124</v>
      </c>
      <c r="B3124" t="str">
        <f>Profile!A3750</f>
        <v>ApplicationCollection (1.0.0)</v>
      </c>
      <c r="C3124">
        <f>Profile!AP3752</f>
        <v>0</v>
      </c>
      <c r="D3124" t="str">
        <f>IF(Profile!C3750="Profile",IF(Profile!A3752="ResourceRequirement","OK","XXX"),"XXX")</f>
        <v>OK</v>
      </c>
    </row>
    <row r="3125" spans="1:4" x14ac:dyDescent="0.45">
      <c r="A3125">
        <f>ROW()</f>
        <v>3125</v>
      </c>
      <c r="B3125">
        <f>Profile!A3751</f>
        <v>0</v>
      </c>
      <c r="C3125">
        <f>Profile!AP3753</f>
        <v>0</v>
      </c>
      <c r="D3125" t="str">
        <f>IF(Profile!C3751="Profile",IF(Profile!A3753="ResourceRequirement","OK","XXX"),"XXX")</f>
        <v>XXX</v>
      </c>
    </row>
    <row r="3126" spans="1:4" x14ac:dyDescent="0.45">
      <c r="A3126">
        <f>ROW()</f>
        <v>3126</v>
      </c>
      <c r="B3126" t="str">
        <f>Profile!A3752</f>
        <v>ResourceRequirement</v>
      </c>
      <c r="C3126">
        <f>Profile!AP3754</f>
        <v>0</v>
      </c>
      <c r="D3126" t="str">
        <f>IF(Profile!C3752="Profile",IF(Profile!A3754="ResourceRequirement","OK","XXX"),"XXX")</f>
        <v>XXX</v>
      </c>
    </row>
    <row r="3127" spans="1:4" x14ac:dyDescent="0.45">
      <c r="A3127">
        <f>ROW()</f>
        <v>3127</v>
      </c>
      <c r="B3127" t="str">
        <f>Profile!A3753</f>
        <v>Property</v>
      </c>
      <c r="C3127">
        <f>Profile!AP3755</f>
        <v>0</v>
      </c>
      <c r="D3127" t="str">
        <f>IF(Profile!C3753="Profile",IF(Profile!A3755="ResourceRequirement","OK","XXX"),"XXX")</f>
        <v>XXX</v>
      </c>
    </row>
    <row r="3128" spans="1:4" x14ac:dyDescent="0.45">
      <c r="A3128">
        <f>ROW()</f>
        <v>3128</v>
      </c>
      <c r="B3128" t="str">
        <f>Profile!A3754</f>
        <v>Members</v>
      </c>
      <c r="C3128">
        <f>Profile!AP3756</f>
        <v>0</v>
      </c>
      <c r="D3128" t="str">
        <f>IF(Profile!C3754="Profile",IF(Profile!A3756="ResourceRequirement","OK","XXX"),"XXX")</f>
        <v>XXX</v>
      </c>
    </row>
    <row r="3129" spans="1:4" x14ac:dyDescent="0.45">
      <c r="A3129">
        <f>ROW()</f>
        <v>3129</v>
      </c>
      <c r="B3129" t="str">
        <f>Profile!A3755</f>
        <v xml:space="preserve">   @odata.id</v>
      </c>
      <c r="C3129">
        <f>Profile!AP3757</f>
        <v>0</v>
      </c>
      <c r="D3129" t="str">
        <f>IF(Profile!C3755="Profile",IF(Profile!A3757="ResourceRequirement","OK","XXX"),"XXX")</f>
        <v>XXX</v>
      </c>
    </row>
    <row r="3130" spans="1:4" x14ac:dyDescent="0.45">
      <c r="A3130">
        <f>ROW()</f>
        <v>3130</v>
      </c>
      <c r="B3130" t="str">
        <f>Profile!A3756</f>
        <v>ApplicationCollection URIs</v>
      </c>
      <c r="C3130">
        <f>Profile!AP3758</f>
        <v>0</v>
      </c>
      <c r="D3130" t="str">
        <f>IF(Profile!C3756="Profile",IF(Profile!A3758="ResourceRequirement","OK","XXX"),"XXX")</f>
        <v>XXX</v>
      </c>
    </row>
    <row r="3131" spans="1:4" x14ac:dyDescent="0.45">
      <c r="A3131">
        <f>ROW()</f>
        <v>3131</v>
      </c>
      <c r="B3131" t="str">
        <f>Profile!A3757</f>
        <v>/redfish/v1/Systems/{ComputerSystemId}/OperatingSystem/Applications</v>
      </c>
      <c r="C3131">
        <f>Profile!AP3759</f>
        <v>0</v>
      </c>
      <c r="D3131" t="str">
        <f>IF(Profile!C3757="Profile",IF(Profile!A3759="ResourceRequirement","OK","XXX"),"XXX")</f>
        <v>XXX</v>
      </c>
    </row>
    <row r="3132" spans="1:4" x14ac:dyDescent="0.45">
      <c r="A3132">
        <f>ROW()</f>
        <v>3132</v>
      </c>
      <c r="B3132">
        <f>Profile!A3758</f>
        <v>0</v>
      </c>
      <c r="C3132">
        <f>Profile!AP3760</f>
        <v>0</v>
      </c>
      <c r="D3132" t="str">
        <f>IF(Profile!C3758="Profile",IF(Profile!A3760="ResourceRequirement","OK","XXX"),"XXX")</f>
        <v>XXX</v>
      </c>
    </row>
    <row r="3133" spans="1:4" x14ac:dyDescent="0.45">
      <c r="A3133">
        <f>ROW()</f>
        <v>3133</v>
      </c>
      <c r="B3133" t="str">
        <f>Profile!A3759</f>
        <v>1.1.9.6 Application</v>
      </c>
      <c r="C3133">
        <f>Profile!AP3761</f>
        <v>0</v>
      </c>
      <c r="D3133" t="str">
        <f>IF(Profile!C3759="Profile",IF(Profile!A3761="ResourceRequirement","OK","XXX"),"XXX")</f>
        <v>XXX</v>
      </c>
    </row>
    <row r="3134" spans="1:4" x14ac:dyDescent="0.45">
      <c r="A3134">
        <f>ROW()</f>
        <v>3134</v>
      </c>
      <c r="B3134" t="str">
        <f>Profile!A3760</f>
        <v>This is a resource for the platform to expose key applications on the platform, usually because it is important to know externally; for example, an O-PAS Function Block Execution Engine, Alarm Engine, or I/O Services Engine. Expect this may be a pointer to things like the Execution Engine environment, in which case it needs to provide sufficient information to determine capabilities.</v>
      </c>
      <c r="C3134">
        <f>Profile!AP3762</f>
        <v>0</v>
      </c>
      <c r="D3134" t="str">
        <f>IF(Profile!C3760="Profile",IF(Profile!A3762="ResourceRequirement","OK","XXX"),"XXX")</f>
        <v>XXX</v>
      </c>
    </row>
    <row r="3135" spans="1:4" x14ac:dyDescent="0.45">
      <c r="A3135">
        <f>ROW()</f>
        <v>3135</v>
      </c>
      <c r="B3135" t="str">
        <f>Profile!A3761</f>
        <v>Application (1.0.0)</v>
      </c>
      <c r="C3135">
        <f>Profile!AP3763</f>
        <v>3</v>
      </c>
      <c r="D3135" t="str">
        <f>IF(Profile!C3761="Profile",IF(Profile!A3763="ResourceRequirement","OK","XXX"),"XXX")</f>
        <v>OK</v>
      </c>
    </row>
    <row r="3136" spans="1:4" x14ac:dyDescent="0.45">
      <c r="A3136">
        <f>ROW()</f>
        <v>3136</v>
      </c>
      <c r="B3136">
        <f>Profile!A3762</f>
        <v>0</v>
      </c>
      <c r="C3136">
        <f>Profile!AP3764</f>
        <v>0</v>
      </c>
      <c r="D3136" t="str">
        <f>IF(Profile!C3762="Profile",IF(Profile!A3764="ResourceRequirement","OK","XXX"),"XXX")</f>
        <v>XXX</v>
      </c>
    </row>
    <row r="3137" spans="1:4" x14ac:dyDescent="0.45">
      <c r="A3137">
        <f>ROW()</f>
        <v>3137</v>
      </c>
      <c r="B3137" t="str">
        <f>Profile!A3763</f>
        <v>ResourceRequirement</v>
      </c>
      <c r="C3137">
        <f>Profile!AP3765</f>
        <v>0</v>
      </c>
      <c r="D3137" t="str">
        <f>IF(Profile!C3763="Profile",IF(Profile!A3765="ResourceRequirement","OK","XXX"),"XXX")</f>
        <v>XXX</v>
      </c>
    </row>
    <row r="3138" spans="1:4" x14ac:dyDescent="0.45">
      <c r="A3138">
        <f>ROW()</f>
        <v>3138</v>
      </c>
      <c r="B3138" t="str">
        <f>Profile!A3764</f>
        <v>Resource MinVersion</v>
      </c>
      <c r="C3138">
        <f>Profile!AP3766</f>
        <v>0</v>
      </c>
      <c r="D3138" t="str">
        <f>IF(Profile!C3764="Profile",IF(Profile!A3766="ResourceRequirement","OK","XXX"),"XXX")</f>
        <v>XXX</v>
      </c>
    </row>
    <row r="3139" spans="1:4" x14ac:dyDescent="0.45">
      <c r="A3139">
        <f>ROW()</f>
        <v>3139</v>
      </c>
      <c r="B3139" t="str">
        <f>Profile!A3765</f>
        <v>Property</v>
      </c>
      <c r="C3139">
        <f>Profile!AP3767</f>
        <v>0</v>
      </c>
      <c r="D3139" t="str">
        <f>IF(Profile!C3765="Profile",IF(Profile!A3767="ResourceRequirement","OK","XXX"),"XXX")</f>
        <v>XXX</v>
      </c>
    </row>
    <row r="3140" spans="1:4" x14ac:dyDescent="0.45">
      <c r="A3140">
        <f>ROW()</f>
        <v>3140</v>
      </c>
      <c r="B3140" t="str">
        <f>Profile!A3766</f>
        <v>Actions</v>
      </c>
      <c r="C3140">
        <f>Profile!AP3768</f>
        <v>0</v>
      </c>
      <c r="D3140" t="str">
        <f>IF(Profile!C3766="Profile",IF(Profile!A3768="ResourceRequirement","OK","XXX"),"XXX")</f>
        <v>XXX</v>
      </c>
    </row>
    <row r="3141" spans="1:4" x14ac:dyDescent="0.45">
      <c r="A3141">
        <f>ROW()</f>
        <v>3141</v>
      </c>
      <c r="B3141" t="str">
        <f>Profile!A3767</f>
        <v xml:space="preserve">   #Application.Reset</v>
      </c>
      <c r="C3141">
        <f>Profile!AP3769</f>
        <v>0</v>
      </c>
      <c r="D3141" t="str">
        <f>IF(Profile!C3767="Profile",IF(Profile!A3769="ResourceRequirement","OK","XXX"),"XXX")</f>
        <v>XXX</v>
      </c>
    </row>
    <row r="3142" spans="1:4" x14ac:dyDescent="0.45">
      <c r="A3142">
        <f>ROW()</f>
        <v>3142</v>
      </c>
      <c r="B3142" t="str">
        <f>Profile!A3768</f>
        <v xml:space="preserve">   #Application.Start</v>
      </c>
      <c r="C3142">
        <f>Profile!AP3770</f>
        <v>0</v>
      </c>
      <c r="D3142" t="str">
        <f>IF(Profile!C3768="Profile",IF(Profile!A3770="ResourceRequirement","OK","XXX"),"XXX")</f>
        <v>XXX</v>
      </c>
    </row>
    <row r="3143" spans="1:4" x14ac:dyDescent="0.45">
      <c r="A3143">
        <f>ROW()</f>
        <v>3143</v>
      </c>
      <c r="B3143" t="str">
        <f>Profile!A3769</f>
        <v xml:space="preserve">   #Application.Stop</v>
      </c>
      <c r="C3143">
        <f>Profile!AP3771</f>
        <v>0</v>
      </c>
      <c r="D3143" t="str">
        <f>IF(Profile!C3769="Profile",IF(Profile!A3771="ResourceRequirement","OK","XXX"),"XXX")</f>
        <v>XXX</v>
      </c>
    </row>
    <row r="3144" spans="1:4" x14ac:dyDescent="0.45">
      <c r="A3144">
        <f>ROW()</f>
        <v>3144</v>
      </c>
      <c r="B3144" t="str">
        <f>Profile!A3770</f>
        <v>CreateTime</v>
      </c>
      <c r="C3144">
        <f>Profile!AP3772</f>
        <v>0</v>
      </c>
      <c r="D3144" t="str">
        <f>IF(Profile!C3770="Profile",IF(Profile!A3772="ResourceRequirement","OK","XXX"),"XXX")</f>
        <v>XXX</v>
      </c>
    </row>
    <row r="3145" spans="1:4" x14ac:dyDescent="0.45">
      <c r="A3145">
        <f>ROW()</f>
        <v>3145</v>
      </c>
      <c r="B3145" t="str">
        <f>Profile!A3771</f>
        <v>ApplicationName</v>
      </c>
      <c r="C3145">
        <f>Profile!AP3773</f>
        <v>0</v>
      </c>
      <c r="D3145" t="str">
        <f>IF(Profile!C3771="Profile",IF(Profile!A3773="ResourceRequirement","OK","XXX"),"XXX")</f>
        <v>XXX</v>
      </c>
    </row>
    <row r="3146" spans="1:4" x14ac:dyDescent="0.45">
      <c r="A3146">
        <f>ROW()</f>
        <v>3146</v>
      </c>
      <c r="B3146" t="str">
        <f>Profile!A3772</f>
        <v>Version</v>
      </c>
      <c r="C3146">
        <f>Profile!AP3774</f>
        <v>0</v>
      </c>
      <c r="D3146" t="str">
        <f>IF(Profile!C3772="Profile",IF(Profile!A3774="ResourceRequirement","OK","XXX"),"XXX")</f>
        <v>XXX</v>
      </c>
    </row>
    <row r="3147" spans="1:4" x14ac:dyDescent="0.45">
      <c r="A3147">
        <f>ROW()</f>
        <v>3147</v>
      </c>
      <c r="B3147" t="str">
        <f>Profile!A3773</f>
        <v>Vendor</v>
      </c>
      <c r="C3147">
        <f>Profile!AP3775</f>
        <v>0</v>
      </c>
      <c r="D3147" t="str">
        <f>IF(Profile!C3773="Profile",IF(Profile!A3775="ResourceRequirement","OK","XXX"),"XXX")</f>
        <v>XXX</v>
      </c>
    </row>
    <row r="3148" spans="1:4" x14ac:dyDescent="0.45">
      <c r="A3148">
        <f>ROW()</f>
        <v>3148</v>
      </c>
      <c r="B3148" t="str">
        <f>Profile!A3774</f>
        <v>ApplicationState</v>
      </c>
      <c r="C3148">
        <f>Profile!AP3776</f>
        <v>0</v>
      </c>
      <c r="D3148" t="str">
        <f>IF(Profile!C3774="Profile",IF(Profile!A3776="ResourceRequirement","OK","XXX"),"XXX")</f>
        <v>XXX</v>
      </c>
    </row>
    <row r="3149" spans="1:4" x14ac:dyDescent="0.45">
      <c r="A3149">
        <f>ROW()</f>
        <v>3149</v>
      </c>
      <c r="B3149" t="str">
        <f>Profile!A3775</f>
        <v>Oem</v>
      </c>
      <c r="C3149">
        <f>Profile!AP3779</f>
        <v>0</v>
      </c>
      <c r="D3149" t="str">
        <f>IF(Profile!C3775="Profile",IF(Profile!A3779="ResourceRequirement","OK","XXX"),"XXX")</f>
        <v>XXX</v>
      </c>
    </row>
    <row r="3150" spans="1:4" x14ac:dyDescent="0.45">
      <c r="A3150">
        <f>ROW()</f>
        <v>3150</v>
      </c>
      <c r="B3150" t="str">
        <f>Profile!A3776</f>
        <v>Status</v>
      </c>
      <c r="C3150">
        <f>Profile!AP3780</f>
        <v>0</v>
      </c>
      <c r="D3150" t="str">
        <f>IF(Profile!C3776="Profile",IF(Profile!A3780="ResourceRequirement","OK","XXX"),"XXX")</f>
        <v>XXX</v>
      </c>
    </row>
    <row r="3151" spans="1:4" x14ac:dyDescent="0.45">
      <c r="A3151">
        <f>ROW()</f>
        <v>3151</v>
      </c>
      <c r="B3151" t="str">
        <f>Profile!A3779</f>
        <v>Application URIs</v>
      </c>
      <c r="C3151">
        <f>Profile!AP3781</f>
        <v>0</v>
      </c>
      <c r="D3151" t="str">
        <f>IF(Profile!C3779="Profile",IF(Profile!A3781="ResourceRequirement","OK","XXX"),"XXX")</f>
        <v>XXX</v>
      </c>
    </row>
    <row r="3152" spans="1:4" x14ac:dyDescent="0.45">
      <c r="A3152">
        <f>ROW()</f>
        <v>3152</v>
      </c>
      <c r="B3152" t="str">
        <f>Profile!A3780</f>
        <v>/redfish/v1/Systems/{ComputerSystemId}/OperatingSystem/Applications/{ApplicationId}</v>
      </c>
      <c r="C3152">
        <f>Profile!AP3782</f>
        <v>0</v>
      </c>
      <c r="D3152" t="str">
        <f>IF(Profile!C3780="Profile",IF(Profile!A3782="ResourceRequirement","OK","XXX"),"XXX")</f>
        <v>XXX</v>
      </c>
    </row>
    <row r="3153" spans="1:4" x14ac:dyDescent="0.45">
      <c r="A3153">
        <f>ROW()</f>
        <v>3153</v>
      </c>
      <c r="B3153">
        <f>Profile!A3781</f>
        <v>0</v>
      </c>
      <c r="C3153">
        <f>Profile!AP3783</f>
        <v>0</v>
      </c>
      <c r="D3153" t="str">
        <f>IF(Profile!C3781="Profile",IF(Profile!A3783="ResourceRequirement","OK","XXX"),"XXX")</f>
        <v>XXX</v>
      </c>
    </row>
    <row r="3154" spans="1:4" x14ac:dyDescent="0.45">
      <c r="A3154">
        <f>ROW()</f>
        <v>3154</v>
      </c>
      <c r="B3154" t="str">
        <f>Profile!A3782</f>
        <v>1.1.1.3               VirtualMachineCollection</v>
      </c>
      <c r="C3154">
        <f>Profile!AP3784</f>
        <v>0</v>
      </c>
      <c r="D3154" t="str">
        <f>IF(Profile!C3782="Profile",IF(Profile!A3784="ResourceRequirement","OK","XXX"),"XXX")</f>
        <v>XXX</v>
      </c>
    </row>
    <row r="3155" spans="1:4" x14ac:dyDescent="0.45">
      <c r="A3155">
        <f>ROW()</f>
        <v>3155</v>
      </c>
      <c r="B3155" t="str">
        <f>Profile!A3783</f>
        <v>A VirtualMachineCollection is a collection of VirtualMachine Resources running on a node.</v>
      </c>
      <c r="C3155">
        <f>Profile!AP3785</f>
        <v>0</v>
      </c>
      <c r="D3155" t="str">
        <f>IF(Profile!C3783="Profile",IF(Profile!A3785="ResourceRequirement","OK","XXX"),"XXX")</f>
        <v>XXX</v>
      </c>
    </row>
    <row r="3156" spans="1:4" x14ac:dyDescent="0.45">
      <c r="A3156">
        <f>ROW()</f>
        <v>3156</v>
      </c>
      <c r="B3156" t="str">
        <f>Profile!A3784</f>
        <v>VirtualMachineCollection (1.0.0)</v>
      </c>
      <c r="C3156">
        <f>Profile!AP3786</f>
        <v>0</v>
      </c>
      <c r="D3156" t="str">
        <f>IF(Profile!C3784="Profile",IF(Profile!A3786="ResourceRequirement","OK","XXX"),"XXX")</f>
        <v>OK</v>
      </c>
    </row>
    <row r="3157" spans="1:4" x14ac:dyDescent="0.45">
      <c r="A3157">
        <f>ROW()</f>
        <v>3157</v>
      </c>
      <c r="B3157">
        <f>Profile!A3785</f>
        <v>0</v>
      </c>
      <c r="C3157">
        <f>Profile!AP3787</f>
        <v>0</v>
      </c>
      <c r="D3157" t="str">
        <f>IF(Profile!C3785="Profile",IF(Profile!A3787="ResourceRequirement","OK","XXX"),"XXX")</f>
        <v>XXX</v>
      </c>
    </row>
    <row r="3158" spans="1:4" x14ac:dyDescent="0.45">
      <c r="A3158">
        <f>ROW()</f>
        <v>3158</v>
      </c>
      <c r="B3158" t="str">
        <f>Profile!A3786</f>
        <v>ResourceRequirement</v>
      </c>
      <c r="C3158">
        <f>Profile!AP3788</f>
        <v>0</v>
      </c>
      <c r="D3158" t="str">
        <f>IF(Profile!C3786="Profile",IF(Profile!A3788="ResourceRequirement","OK","XXX"),"XXX")</f>
        <v>XXX</v>
      </c>
    </row>
    <row r="3159" spans="1:4" x14ac:dyDescent="0.45">
      <c r="A3159">
        <f>ROW()</f>
        <v>3159</v>
      </c>
      <c r="B3159" t="str">
        <f>Profile!A3787</f>
        <v>Property</v>
      </c>
      <c r="C3159">
        <f>Profile!AP3789</f>
        <v>0</v>
      </c>
      <c r="D3159" t="str">
        <f>IF(Profile!C3787="Profile",IF(Profile!A3789="ResourceRequirement","OK","XXX"),"XXX")</f>
        <v>XXX</v>
      </c>
    </row>
    <row r="3160" spans="1:4" x14ac:dyDescent="0.45">
      <c r="A3160">
        <f>ROW()</f>
        <v>3160</v>
      </c>
      <c r="B3160" t="str">
        <f>Profile!A3788</f>
        <v>Members</v>
      </c>
      <c r="C3160">
        <f>Profile!AP3790</f>
        <v>0</v>
      </c>
      <c r="D3160" t="str">
        <f>IF(Profile!C3788="Profile",IF(Profile!A3790="ResourceRequirement","OK","XXX"),"XXX")</f>
        <v>XXX</v>
      </c>
    </row>
    <row r="3161" spans="1:4" x14ac:dyDescent="0.45">
      <c r="A3161">
        <f>ROW()</f>
        <v>3161</v>
      </c>
      <c r="B3161" t="str">
        <f>Profile!A3789</f>
        <v xml:space="preserve">   @odata.id</v>
      </c>
      <c r="C3161">
        <f>Profile!AP3791</f>
        <v>0</v>
      </c>
      <c r="D3161" t="str">
        <f>IF(Profile!C3789="Profile",IF(Profile!A3791="ResourceRequirement","OK","XXX"),"XXX")</f>
        <v>XXX</v>
      </c>
    </row>
    <row r="3162" spans="1:4" x14ac:dyDescent="0.45">
      <c r="A3162">
        <f>ROW()</f>
        <v>3162</v>
      </c>
      <c r="B3162" t="str">
        <f>Profile!A3790</f>
        <v>VirtualMachineCollection URIs</v>
      </c>
      <c r="C3162">
        <f>Profile!AP3792</f>
        <v>0</v>
      </c>
      <c r="D3162" t="str">
        <f>IF(Profile!C3790="Profile",IF(Profile!A3792="ResourceRequirement","OK","XXX"),"XXX")</f>
        <v>XXX</v>
      </c>
    </row>
    <row r="3163" spans="1:4" x14ac:dyDescent="0.45">
      <c r="A3163">
        <f>ROW()</f>
        <v>3163</v>
      </c>
      <c r="B3163" t="str">
        <f>Profile!A3791</f>
        <v>/redfish/v1/Systems/{ComputerSystemId}/OperatingSystem/VirtualMachines</v>
      </c>
      <c r="C3163">
        <f>Profile!AP3793</f>
        <v>0</v>
      </c>
      <c r="D3163" t="str">
        <f>IF(Profile!C3791="Profile",IF(Profile!A3793="ResourceRequirement","OK","XXX"),"XXX")</f>
        <v>XXX</v>
      </c>
    </row>
    <row r="3164" spans="1:4" x14ac:dyDescent="0.45">
      <c r="A3164">
        <f>ROW()</f>
        <v>3164</v>
      </c>
      <c r="B3164">
        <f>Profile!A3792</f>
        <v>0</v>
      </c>
      <c r="C3164">
        <f>Profile!AP3794</f>
        <v>0</v>
      </c>
      <c r="D3164" t="str">
        <f>IF(Profile!C3792="Profile",IF(Profile!A3794="ResourceRequirement","OK","XXX"),"XXX")</f>
        <v>XXX</v>
      </c>
    </row>
    <row r="3165" spans="1:4" x14ac:dyDescent="0.45">
      <c r="A3165">
        <f>ROW()</f>
        <v>3165</v>
      </c>
      <c r="B3165" t="str">
        <f>Profile!A3793</f>
        <v>1.1.9.7 VirtualMachine</v>
      </c>
      <c r="C3165">
        <f>Profile!AP3795</f>
        <v>0</v>
      </c>
      <c r="D3165" t="str">
        <f>IF(Profile!C3793="Profile",IF(Profile!A3795="ResourceRequirement","OK","XXX"),"XXX")</f>
        <v>XXX</v>
      </c>
    </row>
    <row r="3166" spans="1:4" x14ac:dyDescent="0.45">
      <c r="A3166">
        <f>ROW()</f>
        <v>3166</v>
      </c>
      <c r="B3166" t="str">
        <f>Profile!A3794</f>
        <v>This resource describes a virtual machine running on the device from the host perspective. Note that the VM may be statically provisioned or dynamically orchestrated.</v>
      </c>
      <c r="C3166">
        <f>Profile!AP3796</f>
        <v>0</v>
      </c>
      <c r="D3166" t="str">
        <f>IF(Profile!C3794="Profile",IF(Profile!A3796="ResourceRequirement","OK","XXX"),"XXX")</f>
        <v>XXX</v>
      </c>
    </row>
    <row r="3167" spans="1:4" x14ac:dyDescent="0.45">
      <c r="A3167">
        <f>ROW()</f>
        <v>3167</v>
      </c>
      <c r="B3167" t="str">
        <f>Profile!A3795</f>
        <v>VirtualMachine (1.0.0)</v>
      </c>
      <c r="C3167">
        <f>Profile!AP3797</f>
        <v>65</v>
      </c>
      <c r="D3167" t="str">
        <f>IF(Profile!C3795="Profile",IF(Profile!A3797="ResourceRequirement","OK","XXX"),"XXX")</f>
        <v>OK</v>
      </c>
    </row>
    <row r="3168" spans="1:4" x14ac:dyDescent="0.45">
      <c r="A3168">
        <f>ROW()</f>
        <v>3168</v>
      </c>
      <c r="B3168">
        <f>Profile!A3796</f>
        <v>0</v>
      </c>
      <c r="C3168">
        <f>Profile!AP3798</f>
        <v>0</v>
      </c>
      <c r="D3168" t="str">
        <f>IF(Profile!C3796="Profile",IF(Profile!A3798="ResourceRequirement","OK","XXX"),"XXX")</f>
        <v>XXX</v>
      </c>
    </row>
    <row r="3169" spans="1:4" x14ac:dyDescent="0.45">
      <c r="A3169">
        <f>ROW()</f>
        <v>3169</v>
      </c>
      <c r="B3169" t="str">
        <f>Profile!A3797</f>
        <v>ResourceRequirement</v>
      </c>
      <c r="C3169">
        <f>Profile!AP3799</f>
        <v>0</v>
      </c>
      <c r="D3169" t="str">
        <f>IF(Profile!C3797="Profile",IF(Profile!A3799="ResourceRequirement","OK","XXX"),"XXX")</f>
        <v>XXX</v>
      </c>
    </row>
    <row r="3170" spans="1:4" x14ac:dyDescent="0.45">
      <c r="A3170">
        <f>ROW()</f>
        <v>3170</v>
      </c>
      <c r="B3170" t="str">
        <f>Profile!A3798</f>
        <v>Resource MinVersion</v>
      </c>
      <c r="C3170">
        <f>Profile!AP3800</f>
        <v>0</v>
      </c>
      <c r="D3170" t="str">
        <f>IF(Profile!C3798="Profile",IF(Profile!A3800="ResourceRequirement","OK","XXX"),"XXX")</f>
        <v>XXX</v>
      </c>
    </row>
    <row r="3171" spans="1:4" x14ac:dyDescent="0.45">
      <c r="A3171">
        <f>ROW()</f>
        <v>3171</v>
      </c>
      <c r="B3171" t="str">
        <f>Profile!A3799</f>
        <v>Property</v>
      </c>
      <c r="C3171">
        <f>Profile!AP3801</f>
        <v>0</v>
      </c>
      <c r="D3171" t="str">
        <f>IF(Profile!C3799="Profile",IF(Profile!A3801="ResourceRequirement","OK","XXX"),"XXX")</f>
        <v>XXX</v>
      </c>
    </row>
    <row r="3172" spans="1:4" x14ac:dyDescent="0.45">
      <c r="A3172">
        <f>ROW()</f>
        <v>3172</v>
      </c>
      <c r="B3172" t="str">
        <f>Profile!A3800</f>
        <v>Actions</v>
      </c>
      <c r="C3172">
        <f>Profile!AP3802</f>
        <v>0</v>
      </c>
      <c r="D3172" t="str">
        <f>IF(Profile!C3800="Profile",IF(Profile!A3802="ResourceRequirement","OK","XXX"),"XXX")</f>
        <v>XXX</v>
      </c>
    </row>
    <row r="3173" spans="1:4" x14ac:dyDescent="0.45">
      <c r="A3173">
        <f>ROW()</f>
        <v>3173</v>
      </c>
      <c r="B3173" t="str">
        <f>Profile!A3801</f>
        <v xml:space="preserve">   #VirtualMachine.Activate</v>
      </c>
      <c r="C3173">
        <f>Profile!AP3803</f>
        <v>0</v>
      </c>
      <c r="D3173" t="str">
        <f>IF(Profile!C3801="Profile",IF(Profile!A3803="ResourceRequirement","OK","XXX"),"XXX")</f>
        <v>XXX</v>
      </c>
    </row>
    <row r="3174" spans="1:4" x14ac:dyDescent="0.45">
      <c r="A3174">
        <f>ROW()</f>
        <v>3174</v>
      </c>
      <c r="B3174" t="str">
        <f>Profile!A3802</f>
        <v xml:space="preserve">   #VirtualMachine.Pause</v>
      </c>
      <c r="C3174">
        <f>Profile!AP3804</f>
        <v>0</v>
      </c>
      <c r="D3174" t="str">
        <f>IF(Profile!C3802="Profile",IF(Profile!A3804="ResourceRequirement","OK","XXX"),"XXX")</f>
        <v>XXX</v>
      </c>
    </row>
    <row r="3175" spans="1:4" x14ac:dyDescent="0.45">
      <c r="A3175">
        <f>ROW()</f>
        <v>3175</v>
      </c>
      <c r="B3175" t="str">
        <f>Profile!A3803</f>
        <v xml:space="preserve">   #VirtualMachine.Reboot</v>
      </c>
      <c r="C3175">
        <f>Profile!AP3805</f>
        <v>0</v>
      </c>
      <c r="D3175" t="str">
        <f>IF(Profile!C3803="Profile",IF(Profile!A3805="ResourceRequirement","OK","XXX"),"XXX")</f>
        <v>XXX</v>
      </c>
    </row>
    <row r="3176" spans="1:4" x14ac:dyDescent="0.45">
      <c r="A3176">
        <f>ROW()</f>
        <v>3176</v>
      </c>
      <c r="B3176" t="str">
        <f>Profile!A3804</f>
        <v xml:space="preserve">   #VirtualMachine.Reset</v>
      </c>
      <c r="C3176">
        <f>Profile!AP3806</f>
        <v>0</v>
      </c>
      <c r="D3176" t="str">
        <f>IF(Profile!C3804="Profile",IF(Profile!A3806="ResourceRequirement","OK","XXX"),"XXX")</f>
        <v>XXX</v>
      </c>
    </row>
    <row r="3177" spans="1:4" x14ac:dyDescent="0.45">
      <c r="A3177">
        <f>ROW()</f>
        <v>3177</v>
      </c>
      <c r="B3177" t="str">
        <f>Profile!A3805</f>
        <v xml:space="preserve">   #VirtualMachine.Suspend</v>
      </c>
      <c r="C3177">
        <f>Profile!AP3807</f>
        <v>0</v>
      </c>
      <c r="D3177" t="str">
        <f>IF(Profile!C3805="Profile",IF(Profile!A3807="ResourceRequirement","OK","XXX"),"XXX")</f>
        <v>XXX</v>
      </c>
    </row>
    <row r="3178" spans="1:4" x14ac:dyDescent="0.45">
      <c r="A3178">
        <f>ROW()</f>
        <v>3178</v>
      </c>
      <c r="B3178" t="str">
        <f>Profile!A3806</f>
        <v xml:space="preserve">   #VirtualMachine.Shutdown</v>
      </c>
      <c r="C3178">
        <f>Profile!AP3808</f>
        <v>0</v>
      </c>
      <c r="D3178" t="str">
        <f>IF(Profile!C3806="Profile",IF(Profile!A3808="ResourceRequirement","OK","XXX"),"XXX")</f>
        <v>XXX</v>
      </c>
    </row>
    <row r="3179" spans="1:4" x14ac:dyDescent="0.45">
      <c r="A3179">
        <f>ROW()</f>
        <v>3179</v>
      </c>
      <c r="B3179" t="str">
        <f>Profile!A3807</f>
        <v>CreateTime</v>
      </c>
      <c r="C3179">
        <f>Profile!AP3809</f>
        <v>0</v>
      </c>
      <c r="D3179" t="str">
        <f>IF(Profile!C3807="Profile",IF(Profile!A3809="ResourceRequirement","OK","XXX"),"XXX")</f>
        <v>XXX</v>
      </c>
    </row>
    <row r="3180" spans="1:4" x14ac:dyDescent="0.45">
      <c r="A3180">
        <f>ROW()</f>
        <v>3180</v>
      </c>
      <c r="B3180" t="str">
        <f>Profile!A3808</f>
        <v>VmName</v>
      </c>
      <c r="C3180">
        <f>Profile!AP3810</f>
        <v>0</v>
      </c>
      <c r="D3180" t="str">
        <f>IF(Profile!C3808="Profile",IF(Profile!A3810="ResourceRequirement","OK","XXX"),"XXX")</f>
        <v>XXX</v>
      </c>
    </row>
    <row r="3181" spans="1:4" x14ac:dyDescent="0.45">
      <c r="A3181">
        <f>ROW()</f>
        <v>3181</v>
      </c>
      <c r="B3181" t="str">
        <f>Profile!A3809</f>
        <v>VmType</v>
      </c>
      <c r="C3181">
        <f>Profile!AP3811</f>
        <v>0</v>
      </c>
      <c r="D3181" t="str">
        <f>IF(Profile!C3809="Profile",IF(Profile!A3811="ResourceRequirement","OK","XXX"),"XXX")</f>
        <v>XXX</v>
      </c>
    </row>
    <row r="3182" spans="1:4" x14ac:dyDescent="0.45">
      <c r="A3182">
        <f>ROW()</f>
        <v>3182</v>
      </c>
      <c r="B3182" t="str">
        <f>Profile!A3810</f>
        <v>Images</v>
      </c>
      <c r="C3182">
        <f>Profile!AP3812</f>
        <v>0</v>
      </c>
      <c r="D3182" t="str">
        <f>IF(Profile!C3810="Profile",IF(Profile!A3812="ResourceRequirement","OK","XXX"),"XXX")</f>
        <v>XXX</v>
      </c>
    </row>
    <row r="3183" spans="1:4" x14ac:dyDescent="0.45">
      <c r="A3183">
        <f>ROW()</f>
        <v>3183</v>
      </c>
      <c r="B3183" t="str">
        <f>Profile!A3811</f>
        <v xml:space="preserve">   @odata.id</v>
      </c>
      <c r="C3183">
        <f>Profile!AP3813</f>
        <v>0</v>
      </c>
      <c r="D3183" t="str">
        <f>IF(Profile!C3811="Profile",IF(Profile!A3813="ResourceRequirement","OK","XXX"),"XXX")</f>
        <v>XXX</v>
      </c>
    </row>
    <row r="3184" spans="1:4" x14ac:dyDescent="0.45">
      <c r="A3184">
        <f>ROW()</f>
        <v>3184</v>
      </c>
      <c r="B3184" t="str">
        <f>Profile!A3812</f>
        <v xml:space="preserve">   MemberId</v>
      </c>
      <c r="C3184">
        <f>Profile!AP3814</f>
        <v>0</v>
      </c>
      <c r="D3184" t="str">
        <f>IF(Profile!C3812="Profile",IF(Profile!A3814="ResourceRequirement","OK","XXX"),"XXX")</f>
        <v>XXX</v>
      </c>
    </row>
    <row r="3185" spans="1:4" x14ac:dyDescent="0.45">
      <c r="A3185">
        <f>ROW()</f>
        <v>3185</v>
      </c>
      <c r="B3185" t="str">
        <f>Profile!A3813</f>
        <v xml:space="preserve">   Name</v>
      </c>
      <c r="C3185">
        <f>Profile!AP3815</f>
        <v>0</v>
      </c>
      <c r="D3185" t="str">
        <f>IF(Profile!C3813="Profile",IF(Profile!A3815="ResourceRequirement","OK","XXX"),"XXX")</f>
        <v>XXX</v>
      </c>
    </row>
    <row r="3186" spans="1:4" x14ac:dyDescent="0.45">
      <c r="A3186">
        <f>ROW()</f>
        <v>3186</v>
      </c>
      <c r="B3186" t="str">
        <f>Profile!A3814</f>
        <v xml:space="preserve">   ImageName</v>
      </c>
      <c r="C3186">
        <f>Profile!AP3816</f>
        <v>0</v>
      </c>
      <c r="D3186" t="str">
        <f>IF(Profile!C3814="Profile",IF(Profile!A3816="ResourceRequirement","OK","XXX"),"XXX")</f>
        <v>XXX</v>
      </c>
    </row>
    <row r="3187" spans="1:4" x14ac:dyDescent="0.45">
      <c r="A3187">
        <f>ROW()</f>
        <v>3187</v>
      </c>
      <c r="B3187" t="str">
        <f>Profile!A3815</f>
        <v xml:space="preserve">   ImageId</v>
      </c>
      <c r="C3187">
        <f>Profile!AP3817</f>
        <v>0</v>
      </c>
      <c r="D3187" t="str">
        <f>IF(Profile!C3815="Profile",IF(Profile!A3817="ResourceRequirement","OK","XXX"),"XXX")</f>
        <v>XXX</v>
      </c>
    </row>
    <row r="3188" spans="1:4" x14ac:dyDescent="0.45">
      <c r="A3188">
        <f>ROW()</f>
        <v>3188</v>
      </c>
      <c r="B3188" t="str">
        <f>Profile!A3816</f>
        <v xml:space="preserve">   ImageHash</v>
      </c>
      <c r="C3188">
        <f>Profile!AP3818</f>
        <v>0</v>
      </c>
      <c r="D3188" t="str">
        <f>IF(Profile!C3816="Profile",IF(Profile!A3818="ResourceRequirement","OK","XXX"),"XXX")</f>
        <v>XXX</v>
      </c>
    </row>
    <row r="3189" spans="1:4" x14ac:dyDescent="0.45">
      <c r="A3189">
        <f>ROW()</f>
        <v>3189</v>
      </c>
      <c r="B3189" t="str">
        <f>Profile!A3817</f>
        <v xml:space="preserve">   ImageSizeBytes</v>
      </c>
      <c r="C3189">
        <f>Profile!AP3819</f>
        <v>0</v>
      </c>
      <c r="D3189" t="str">
        <f>IF(Profile!C3817="Profile",IF(Profile!A3819="ResourceRequirement","OK","XXX"),"XXX")</f>
        <v>XXX</v>
      </c>
    </row>
    <row r="3190" spans="1:4" x14ac:dyDescent="0.45">
      <c r="A3190">
        <f>ROW()</f>
        <v>3190</v>
      </c>
      <c r="B3190" t="str">
        <f>Profile!A3818</f>
        <v xml:space="preserve">   ImageType</v>
      </c>
      <c r="C3190">
        <f>Profile!AP3820</f>
        <v>0</v>
      </c>
      <c r="D3190" t="str">
        <f>IF(Profile!C3818="Profile",IF(Profile!A3820="ResourceRequirement","OK","XXX"),"XXX")</f>
        <v>XXX</v>
      </c>
    </row>
    <row r="3191" spans="1:4" x14ac:dyDescent="0.45">
      <c r="A3191">
        <f>ROW()</f>
        <v>3191</v>
      </c>
      <c r="B3191" t="str">
        <f>Profile!A3819</f>
        <v>CpuCores</v>
      </c>
      <c r="C3191">
        <f>Profile!AP3821</f>
        <v>0</v>
      </c>
      <c r="D3191" t="str">
        <f>IF(Profile!C3819="Profile",IF(Profile!A3821="ResourceRequirement","OK","XXX"),"XXX")</f>
        <v>XXX</v>
      </c>
    </row>
    <row r="3192" spans="1:4" x14ac:dyDescent="0.45">
      <c r="A3192">
        <f>ROW()</f>
        <v>3192</v>
      </c>
      <c r="B3192" t="str">
        <f>Profile!A3820</f>
        <v>PinnedCores</v>
      </c>
      <c r="C3192">
        <f>Profile!AP3822</f>
        <v>0</v>
      </c>
      <c r="D3192" t="str">
        <f>IF(Profile!C3820="Profile",IF(Profile!A3822="ResourceRequirement","OK","XXX"),"XXX")</f>
        <v>XXX</v>
      </c>
    </row>
    <row r="3193" spans="1:4" x14ac:dyDescent="0.45">
      <c r="A3193">
        <f>ROW()</f>
        <v>3193</v>
      </c>
      <c r="B3193" t="str">
        <f>Profile!A3821</f>
        <v>MemoryBytes</v>
      </c>
      <c r="C3193">
        <f>Profile!AP3823</f>
        <v>0</v>
      </c>
      <c r="D3193" t="str">
        <f>IF(Profile!C3821="Profile",IF(Profile!A3823="ResourceRequirement","OK","XXX"),"XXX")</f>
        <v>XXX</v>
      </c>
    </row>
    <row r="3194" spans="1:4" x14ac:dyDescent="0.45">
      <c r="A3194">
        <f>ROW()</f>
        <v>3194</v>
      </c>
      <c r="B3194" t="str">
        <f>Profile!A3822</f>
        <v>MemoryShared</v>
      </c>
      <c r="C3194">
        <f>Profile!AP3824</f>
        <v>0</v>
      </c>
      <c r="D3194" t="str">
        <f>IF(Profile!C3822="Profile",IF(Profile!A3824="ResourceRequirement","OK","XXX"),"XXX")</f>
        <v>XXX</v>
      </c>
    </row>
    <row r="3195" spans="1:4" x14ac:dyDescent="0.45">
      <c r="A3195">
        <f>ROW()</f>
        <v>3195</v>
      </c>
      <c r="B3195" t="str">
        <f>Profile!A3823</f>
        <v>Volumes</v>
      </c>
      <c r="C3195">
        <f>Profile!AP3825</f>
        <v>0</v>
      </c>
      <c r="D3195" t="str">
        <f>IF(Profile!C3823="Profile",IF(Profile!A3825="ResourceRequirement","OK","XXX"),"XXX")</f>
        <v>XXX</v>
      </c>
    </row>
    <row r="3196" spans="1:4" x14ac:dyDescent="0.45">
      <c r="A3196">
        <f>ROW()</f>
        <v>3196</v>
      </c>
      <c r="B3196" t="str">
        <f>Profile!A3824</f>
        <v xml:space="preserve">   @odata.id</v>
      </c>
      <c r="C3196">
        <f>Profile!AP3826</f>
        <v>0</v>
      </c>
      <c r="D3196" t="str">
        <f>IF(Profile!C3824="Profile",IF(Profile!A3826="ResourceRequirement","OK","XXX"),"XXX")</f>
        <v>XXX</v>
      </c>
    </row>
    <row r="3197" spans="1:4" x14ac:dyDescent="0.45">
      <c r="A3197">
        <f>ROW()</f>
        <v>3197</v>
      </c>
      <c r="B3197" t="str">
        <f>Profile!A3825</f>
        <v xml:space="preserve">   MemberId</v>
      </c>
      <c r="C3197">
        <f>Profile!AP3827</f>
        <v>0</v>
      </c>
      <c r="D3197" t="str">
        <f>IF(Profile!C3825="Profile",IF(Profile!A3827="ResourceRequirement","OK","XXX"),"XXX")</f>
        <v>XXX</v>
      </c>
    </row>
    <row r="3198" spans="1:4" x14ac:dyDescent="0.45">
      <c r="A3198">
        <f>ROW()</f>
        <v>3198</v>
      </c>
      <c r="B3198" t="str">
        <f>Profile!A3826</f>
        <v xml:space="preserve">   Name</v>
      </c>
      <c r="C3198">
        <f>Profile!AP3828</f>
        <v>0</v>
      </c>
      <c r="D3198" t="str">
        <f>IF(Profile!C3826="Profile",IF(Profile!A3828="ResourceRequirement","OK","XXX"),"XXX")</f>
        <v>XXX</v>
      </c>
    </row>
    <row r="3199" spans="1:4" x14ac:dyDescent="0.45">
      <c r="A3199">
        <f>ROW()</f>
        <v>3199</v>
      </c>
      <c r="B3199" t="str">
        <f>Profile!A3827</f>
        <v xml:space="preserve">   VolumeName</v>
      </c>
      <c r="C3199">
        <f>Profile!AP3829</f>
        <v>0</v>
      </c>
      <c r="D3199" t="str">
        <f>IF(Profile!C3827="Profile",IF(Profile!A3829="ResourceRequirement","OK","XXX"),"XXX")</f>
        <v>XXX</v>
      </c>
    </row>
    <row r="3200" spans="1:4" x14ac:dyDescent="0.45">
      <c r="A3200">
        <f>ROW()</f>
        <v>3200</v>
      </c>
      <c r="B3200" t="str">
        <f>Profile!A3828</f>
        <v xml:space="preserve">   VolumeId</v>
      </c>
      <c r="C3200">
        <f>Profile!AP3830</f>
        <v>0</v>
      </c>
      <c r="D3200" t="str">
        <f>IF(Profile!C3828="Profile",IF(Profile!A3830="ResourceRequirement","OK","XXX"),"XXX")</f>
        <v>XXX</v>
      </c>
    </row>
    <row r="3201" spans="1:4" x14ac:dyDescent="0.45">
      <c r="A3201">
        <f>ROW()</f>
        <v>3201</v>
      </c>
      <c r="B3201" t="str">
        <f>Profile!A3829</f>
        <v xml:space="preserve">   VolumeDevice</v>
      </c>
      <c r="C3201">
        <f>Profile!AP3831</f>
        <v>0</v>
      </c>
      <c r="D3201" t="str">
        <f>IF(Profile!C3829="Profile",IF(Profile!A3831="ResourceRequirement","OK","XXX"),"XXX")</f>
        <v>XXX</v>
      </c>
    </row>
    <row r="3202" spans="1:4" x14ac:dyDescent="0.45">
      <c r="A3202">
        <f>ROW()</f>
        <v>3202</v>
      </c>
      <c r="B3202" t="str">
        <f>Profile!A3830</f>
        <v xml:space="preserve">   CapacityBytes</v>
      </c>
      <c r="C3202">
        <f>Profile!AP3832</f>
        <v>0</v>
      </c>
      <c r="D3202" t="str">
        <f>IF(Profile!C3830="Profile",IF(Profile!A3832="ResourceRequirement","OK","XXX"),"XXX")</f>
        <v>XXX</v>
      </c>
    </row>
    <row r="3203" spans="1:4" x14ac:dyDescent="0.45">
      <c r="A3203">
        <f>ROW()</f>
        <v>3203</v>
      </c>
      <c r="B3203" t="str">
        <f>Profile!A3831</f>
        <v xml:space="preserve">   RelatedItem</v>
      </c>
      <c r="C3203">
        <f>Profile!AP3833</f>
        <v>0</v>
      </c>
      <c r="D3203" t="str">
        <f>IF(Profile!C3831="Profile",IF(Profile!A3833="ResourceRequirement","OK","XXX"),"XXX")</f>
        <v>XXX</v>
      </c>
    </row>
    <row r="3204" spans="1:4" x14ac:dyDescent="0.45">
      <c r="A3204">
        <f>ROW()</f>
        <v>3204</v>
      </c>
      <c r="B3204" t="str">
        <f>Profile!A3832</f>
        <v>NetworkInterfaces</v>
      </c>
      <c r="C3204">
        <f>Profile!AP3834</f>
        <v>0</v>
      </c>
      <c r="D3204" t="str">
        <f>IF(Profile!C3832="Profile",IF(Profile!A3834="ResourceRequirement","OK","XXX"),"XXX")</f>
        <v>XXX</v>
      </c>
    </row>
    <row r="3205" spans="1:4" x14ac:dyDescent="0.45">
      <c r="A3205">
        <f>ROW()</f>
        <v>3205</v>
      </c>
      <c r="B3205" t="str">
        <f>Profile!A3833</f>
        <v xml:space="preserve">   @odata.id</v>
      </c>
      <c r="C3205">
        <f>Profile!AP3835</f>
        <v>0</v>
      </c>
      <c r="D3205" t="str">
        <f>IF(Profile!C3833="Profile",IF(Profile!A3835="ResourceRequirement","OK","XXX"),"XXX")</f>
        <v>XXX</v>
      </c>
    </row>
    <row r="3206" spans="1:4" x14ac:dyDescent="0.45">
      <c r="A3206">
        <f>ROW()</f>
        <v>3206</v>
      </c>
      <c r="B3206" t="str">
        <f>Profile!A3834</f>
        <v xml:space="preserve">   MemberId</v>
      </c>
      <c r="C3206">
        <f>Profile!AP3836</f>
        <v>0</v>
      </c>
      <c r="D3206" t="str">
        <f>IF(Profile!C3834="Profile",IF(Profile!A3836="ResourceRequirement","OK","XXX"),"XXX")</f>
        <v>XXX</v>
      </c>
    </row>
    <row r="3207" spans="1:4" x14ac:dyDescent="0.45">
      <c r="A3207">
        <f>ROW()</f>
        <v>3207</v>
      </c>
      <c r="B3207" t="str">
        <f>Profile!A3835</f>
        <v xml:space="preserve">   Name</v>
      </c>
      <c r="C3207">
        <f>Profile!AP3837</f>
        <v>0</v>
      </c>
      <c r="D3207" t="str">
        <f>IF(Profile!C3835="Profile",IF(Profile!A3837="ResourceRequirement","OK","XXX"),"XXX")</f>
        <v>XXX</v>
      </c>
    </row>
    <row r="3208" spans="1:4" x14ac:dyDescent="0.45">
      <c r="A3208">
        <f>ROW()</f>
        <v>3208</v>
      </c>
      <c r="B3208" t="str">
        <f>Profile!A3836</f>
        <v xml:space="preserve">   InterfaceName</v>
      </c>
      <c r="C3208">
        <f>Profile!AP3838</f>
        <v>0</v>
      </c>
      <c r="D3208" t="str">
        <f>IF(Profile!C3836="Profile",IF(Profile!A3838="ResourceRequirement","OK","XXX"),"XXX")</f>
        <v>XXX</v>
      </c>
    </row>
    <row r="3209" spans="1:4" x14ac:dyDescent="0.45">
      <c r="A3209">
        <f>ROW()</f>
        <v>3209</v>
      </c>
      <c r="B3209" t="str">
        <f>Profile!A3837</f>
        <v xml:space="preserve">   InterfaceType</v>
      </c>
      <c r="C3209">
        <f>Profile!AP3839</f>
        <v>0</v>
      </c>
      <c r="D3209" t="str">
        <f>IF(Profile!C3837="Profile",IF(Profile!A3839="ResourceRequirement","OK","XXX"),"XXX")</f>
        <v>XXX</v>
      </c>
    </row>
    <row r="3210" spans="1:4" x14ac:dyDescent="0.45">
      <c r="A3210">
        <f>ROW()</f>
        <v>3210</v>
      </c>
      <c r="B3210" t="str">
        <f>Profile!A3838</f>
        <v xml:space="preserve">   Network</v>
      </c>
      <c r="C3210">
        <f>Profile!AP3840</f>
        <v>0</v>
      </c>
      <c r="D3210" t="str">
        <f>IF(Profile!C3838="Profile",IF(Profile!A3840="ResourceRequirement","OK","XXX"),"XXX")</f>
        <v>XXX</v>
      </c>
    </row>
    <row r="3211" spans="1:4" x14ac:dyDescent="0.45">
      <c r="A3211">
        <f>ROW()</f>
        <v>3211</v>
      </c>
      <c r="B3211" t="str">
        <f>Profile!A3839</f>
        <v xml:space="preserve">   Subnet</v>
      </c>
      <c r="C3211">
        <f>Profile!AP3841</f>
        <v>0</v>
      </c>
      <c r="D3211" t="str">
        <f>IF(Profile!C3839="Profile",IF(Profile!A3841="ResourceRequirement","OK","XXX"),"XXX")</f>
        <v>XXX</v>
      </c>
    </row>
    <row r="3212" spans="1:4" x14ac:dyDescent="0.45">
      <c r="A3212">
        <f>ROW()</f>
        <v>3212</v>
      </c>
      <c r="B3212" t="str">
        <f>Profile!A3840</f>
        <v xml:space="preserve">   SubnetCidr</v>
      </c>
      <c r="C3212">
        <f>Profile!AP3842</f>
        <v>0</v>
      </c>
      <c r="D3212" t="str">
        <f>IF(Profile!C3840="Profile",IF(Profile!A3842="ResourceRequirement","OK","XXX"),"XXX")</f>
        <v>XXX</v>
      </c>
    </row>
    <row r="3213" spans="1:4" x14ac:dyDescent="0.45">
      <c r="A3213">
        <f>ROW()</f>
        <v>3213</v>
      </c>
      <c r="B3213" t="str">
        <f>Profile!A3841</f>
        <v xml:space="preserve">   IPAddresses</v>
      </c>
      <c r="C3213">
        <f>Profile!AP3843</f>
        <v>0</v>
      </c>
      <c r="D3213" t="str">
        <f>IF(Profile!C3841="Profile",IF(Profile!A3843="ResourceRequirement","OK","XXX"),"XXX")</f>
        <v>XXX</v>
      </c>
    </row>
    <row r="3214" spans="1:4" x14ac:dyDescent="0.45">
      <c r="A3214">
        <f>ROW()</f>
        <v>3214</v>
      </c>
      <c r="B3214" t="str">
        <f>Profile!A3842</f>
        <v xml:space="preserve">   DnsServers</v>
      </c>
      <c r="C3214">
        <f>Profile!AP3844</f>
        <v>0</v>
      </c>
      <c r="D3214" t="str">
        <f>IF(Profile!C3842="Profile",IF(Profile!A3844="ResourceRequirement","OK","XXX"),"XXX")</f>
        <v>XXX</v>
      </c>
    </row>
    <row r="3215" spans="1:4" x14ac:dyDescent="0.45">
      <c r="A3215">
        <f>ROW()</f>
        <v>3215</v>
      </c>
      <c r="B3215" t="str">
        <f>Profile!A3843</f>
        <v xml:space="preserve">   Gateway</v>
      </c>
      <c r="C3215">
        <f>Profile!AP3845</f>
        <v>0</v>
      </c>
      <c r="D3215" t="str">
        <f>IF(Profile!C3843="Profile",IF(Profile!A3845="ResourceRequirement","OK","XXX"),"XXX")</f>
        <v>XXX</v>
      </c>
    </row>
    <row r="3216" spans="1:4" x14ac:dyDescent="0.45">
      <c r="A3216">
        <f>ROW()</f>
        <v>3216</v>
      </c>
      <c r="B3216" t="str">
        <f>Profile!A3844</f>
        <v xml:space="preserve">   PortId</v>
      </c>
      <c r="C3216">
        <f>Profile!AP3846</f>
        <v>0</v>
      </c>
      <c r="D3216" t="str">
        <f>IF(Profile!C3844="Profile",IF(Profile!A3846="ResourceRequirement","OK","XXX"),"XXX")</f>
        <v>XXX</v>
      </c>
    </row>
    <row r="3217" spans="1:4" x14ac:dyDescent="0.45">
      <c r="A3217">
        <f>ROW()</f>
        <v>3217</v>
      </c>
      <c r="B3217" t="str">
        <f>Profile!A3845</f>
        <v xml:space="preserve">   RelatedItem</v>
      </c>
      <c r="C3217">
        <f>Profile!AP3847</f>
        <v>0</v>
      </c>
      <c r="D3217" t="str">
        <f>IF(Profile!C3845="Profile",IF(Profile!A3847="ResourceRequirement","OK","XXX"),"XXX")</f>
        <v>XXX</v>
      </c>
    </row>
    <row r="3218" spans="1:4" x14ac:dyDescent="0.45">
      <c r="A3218">
        <f>ROW()</f>
        <v>3218</v>
      </c>
      <c r="B3218" t="str">
        <f>Profile!A3846</f>
        <v>Devices</v>
      </c>
      <c r="C3218">
        <f>Profile!AP3848</f>
        <v>0</v>
      </c>
      <c r="D3218" t="str">
        <f>IF(Profile!C3846="Profile",IF(Profile!A3848="ResourceRequirement","OK","XXX"),"XXX")</f>
        <v>XXX</v>
      </c>
    </row>
    <row r="3219" spans="1:4" x14ac:dyDescent="0.45">
      <c r="A3219">
        <f>ROW()</f>
        <v>3219</v>
      </c>
      <c r="B3219" t="str">
        <f>Profile!A3847</f>
        <v xml:space="preserve">   @odata.id</v>
      </c>
      <c r="C3219">
        <f>Profile!AP3849</f>
        <v>0</v>
      </c>
      <c r="D3219" t="str">
        <f>IF(Profile!C3847="Profile",IF(Profile!A3849="ResourceRequirement","OK","XXX"),"XXX")</f>
        <v>XXX</v>
      </c>
    </row>
    <row r="3220" spans="1:4" x14ac:dyDescent="0.45">
      <c r="A3220">
        <f>ROW()</f>
        <v>3220</v>
      </c>
      <c r="B3220" t="str">
        <f>Profile!A3848</f>
        <v xml:space="preserve">   MemberId</v>
      </c>
      <c r="C3220">
        <f>Profile!AP3850</f>
        <v>0</v>
      </c>
      <c r="D3220" t="str">
        <f>IF(Profile!C3848="Profile",IF(Profile!A3850="ResourceRequirement","OK","XXX"),"XXX")</f>
        <v>XXX</v>
      </c>
    </row>
    <row r="3221" spans="1:4" x14ac:dyDescent="0.45">
      <c r="A3221">
        <f>ROW()</f>
        <v>3221</v>
      </c>
      <c r="B3221" t="str">
        <f>Profile!A3849</f>
        <v xml:space="preserve">   Name</v>
      </c>
      <c r="C3221">
        <f>Profile!AP3851</f>
        <v>0</v>
      </c>
      <c r="D3221" t="str">
        <f>IF(Profile!C3849="Profile",IF(Profile!A3851="ResourceRequirement","OK","XXX"),"XXX")</f>
        <v>XXX</v>
      </c>
    </row>
    <row r="3222" spans="1:4" x14ac:dyDescent="0.45">
      <c r="A3222">
        <f>ROW()</f>
        <v>3222</v>
      </c>
      <c r="B3222" t="str">
        <f>Profile!A3850</f>
        <v xml:space="preserve">   DeviceName</v>
      </c>
      <c r="C3222">
        <f>Profile!AP3852</f>
        <v>0</v>
      </c>
      <c r="D3222" t="str">
        <f>IF(Profile!C3850="Profile",IF(Profile!A3852="ResourceRequirement","OK","XXX"),"XXX")</f>
        <v>XXX</v>
      </c>
    </row>
    <row r="3223" spans="1:4" x14ac:dyDescent="0.45">
      <c r="A3223">
        <f>ROW()</f>
        <v>3223</v>
      </c>
      <c r="B3223" t="str">
        <f>Profile!A3851</f>
        <v xml:space="preserve">   DeviceType</v>
      </c>
      <c r="C3223">
        <f>Profile!AP3853</f>
        <v>0</v>
      </c>
      <c r="D3223" t="str">
        <f>IF(Profile!C3851="Profile",IF(Profile!A3853="ResourceRequirement","OK","XXX"),"XXX")</f>
        <v>XXX</v>
      </c>
    </row>
    <row r="3224" spans="1:4" x14ac:dyDescent="0.45">
      <c r="A3224">
        <f>ROW()</f>
        <v>3224</v>
      </c>
      <c r="B3224" t="str">
        <f>Profile!A3852</f>
        <v xml:space="preserve">   DeviceInfo</v>
      </c>
      <c r="C3224">
        <f>Profile!AP3854</f>
        <v>0</v>
      </c>
      <c r="D3224" t="str">
        <f>IF(Profile!C3852="Profile",IF(Profile!A3854="ResourceRequirement","OK","XXX"),"XXX")</f>
        <v>XXX</v>
      </c>
    </row>
    <row r="3225" spans="1:4" x14ac:dyDescent="0.45">
      <c r="A3225">
        <f>ROW()</f>
        <v>3225</v>
      </c>
      <c r="B3225" t="str">
        <f>Profile!A3853</f>
        <v xml:space="preserve">   RelatedItem</v>
      </c>
      <c r="C3225">
        <f>Profile!AP3855</f>
        <v>0</v>
      </c>
      <c r="D3225" t="str">
        <f>IF(Profile!C3853="Profile",IF(Profile!A3855="ResourceRequirement","OK","XXX"),"XXX")</f>
        <v>XXX</v>
      </c>
    </row>
    <row r="3226" spans="1:4" x14ac:dyDescent="0.45">
      <c r="A3226">
        <f>ROW()</f>
        <v>3226</v>
      </c>
      <c r="B3226" t="str">
        <f>Profile!A3854</f>
        <v>VmFeatures</v>
      </c>
      <c r="C3226">
        <f>Profile!AP3856</f>
        <v>0</v>
      </c>
      <c r="D3226" t="str">
        <f>IF(Profile!C3854="Profile",IF(Profile!A3856="ResourceRequirement","OK","XXX"),"XXX")</f>
        <v>XXX</v>
      </c>
    </row>
    <row r="3227" spans="1:4" x14ac:dyDescent="0.45">
      <c r="A3227">
        <f>ROW()</f>
        <v>3227</v>
      </c>
      <c r="B3227" t="str">
        <f>Profile!A3855</f>
        <v>VmState</v>
      </c>
      <c r="C3227">
        <f>Profile!AP3857</f>
        <v>0</v>
      </c>
      <c r="D3227" t="str">
        <f>IF(Profile!C3855="Profile",IF(Profile!A3857="ResourceRequirement","OK","XXX"),"XXX")</f>
        <v>XXX</v>
      </c>
    </row>
    <row r="3228" spans="1:4" x14ac:dyDescent="0.45">
      <c r="A3228">
        <f>ROW()</f>
        <v>3228</v>
      </c>
      <c r="B3228" t="str">
        <f>Profile!A3856</f>
        <v>ManagementUri</v>
      </c>
      <c r="C3228">
        <f>Profile!AP3858</f>
        <v>0</v>
      </c>
      <c r="D3228" t="str">
        <f>IF(Profile!C3856="Profile",IF(Profile!A3858="ResourceRequirement","OK","XXX"),"XXX")</f>
        <v>XXX</v>
      </c>
    </row>
    <row r="3229" spans="1:4" x14ac:dyDescent="0.45">
      <c r="A3229">
        <f>ROW()</f>
        <v>3229</v>
      </c>
      <c r="B3229" t="str">
        <f>Profile!A3857</f>
        <v xml:space="preserve">CorrelationID </v>
      </c>
      <c r="C3229">
        <f>Profile!AP3859</f>
        <v>0</v>
      </c>
      <c r="D3229" t="str">
        <f>IF(Profile!C3857="Profile",IF(Profile!A3859="ResourceRequirement","OK","XXX"),"XXX")</f>
        <v>XXX</v>
      </c>
    </row>
    <row r="3230" spans="1:4" x14ac:dyDescent="0.45">
      <c r="A3230">
        <f>ROW()</f>
        <v>3230</v>
      </c>
      <c r="B3230" t="str">
        <f>Profile!A3858</f>
        <v>Oem</v>
      </c>
      <c r="C3230">
        <f>Profile!AP3862</f>
        <v>0</v>
      </c>
      <c r="D3230" t="str">
        <f>IF(Profile!C3858="Profile",IF(Profile!A3862="ResourceRequirement","OK","XXX"),"XXX")</f>
        <v>XXX</v>
      </c>
    </row>
    <row r="3231" spans="1:4" x14ac:dyDescent="0.45">
      <c r="A3231">
        <f>ROW()</f>
        <v>3231</v>
      </c>
      <c r="B3231" t="str">
        <f>Profile!A3859</f>
        <v>Status</v>
      </c>
      <c r="C3231">
        <f>Profile!AP3863</f>
        <v>0</v>
      </c>
      <c r="D3231" t="str">
        <f>IF(Profile!C3859="Profile",IF(Profile!A3863="ResourceRequirement","OK","XXX"),"XXX")</f>
        <v>XXX</v>
      </c>
    </row>
    <row r="3232" spans="1:4" x14ac:dyDescent="0.45">
      <c r="A3232">
        <f>ROW()</f>
        <v>3232</v>
      </c>
      <c r="B3232" t="str">
        <f>Profile!A3862</f>
        <v>VirtualMachine URIs</v>
      </c>
      <c r="C3232">
        <f>Profile!AP3864</f>
        <v>0</v>
      </c>
      <c r="D3232" t="str">
        <f>IF(Profile!C3862="Profile",IF(Profile!A3864="ResourceRequirement","OK","XXX"),"XXX")</f>
        <v>XXX</v>
      </c>
    </row>
    <row r="3233" spans="1:4" x14ac:dyDescent="0.45">
      <c r="A3233">
        <f>ROW()</f>
        <v>3233</v>
      </c>
      <c r="B3233" t="str">
        <f>Profile!A3863</f>
        <v>/redfish/v1/Systems/{ComputerSystemId}/OperatingSystem/VirtualMachines/{VirtualMachineId}</v>
      </c>
      <c r="C3233">
        <f>Profile!AP3865</f>
        <v>0</v>
      </c>
      <c r="D3233" t="str">
        <f>IF(Profile!C3863="Profile",IF(Profile!A3865="ResourceRequirement","OK","XXX"),"XXX")</f>
        <v>XXX</v>
      </c>
    </row>
    <row r="3234" spans="1:4" x14ac:dyDescent="0.45">
      <c r="A3234">
        <f>ROW()</f>
        <v>3234</v>
      </c>
      <c r="B3234">
        <f>Profile!A3864</f>
        <v>0</v>
      </c>
      <c r="C3234">
        <f>Profile!AP3866</f>
        <v>0</v>
      </c>
      <c r="D3234" t="str">
        <f>IF(Profile!C3864="Profile",IF(Profile!A3866="ResourceRequirement","OK","XXX"),"XXX")</f>
        <v>XXX</v>
      </c>
    </row>
    <row r="3235" spans="1:4" x14ac:dyDescent="0.45">
      <c r="A3235">
        <f>ROW()</f>
        <v>3235</v>
      </c>
      <c r="B3235" t="str">
        <f>Profile!A3865</f>
        <v>1.1.1.3               ContainerCollection</v>
      </c>
      <c r="C3235">
        <f>Profile!AP3867</f>
        <v>0</v>
      </c>
      <c r="D3235" t="str">
        <f>IF(Profile!C3865="Profile",IF(Profile!A3867="ResourceRequirement","OK","XXX"),"XXX")</f>
        <v>XXX</v>
      </c>
    </row>
    <row r="3236" spans="1:4" x14ac:dyDescent="0.45">
      <c r="A3236">
        <f>ROW()</f>
        <v>3236</v>
      </c>
      <c r="B3236" t="str">
        <f>Profile!A3866</f>
        <v>A ContainerCollection is a collection of Container Resources running on a node.</v>
      </c>
      <c r="C3236">
        <f>Profile!AP3868</f>
        <v>0</v>
      </c>
      <c r="D3236" t="str">
        <f>IF(Profile!C3866="Profile",IF(Profile!A3868="ResourceRequirement","OK","XXX"),"XXX")</f>
        <v>XXX</v>
      </c>
    </row>
    <row r="3237" spans="1:4" x14ac:dyDescent="0.45">
      <c r="A3237">
        <f>ROW()</f>
        <v>3237</v>
      </c>
      <c r="B3237" t="str">
        <f>Profile!A3867</f>
        <v>ContainerCollection (1.0.0)</v>
      </c>
      <c r="C3237">
        <f>Profile!AP3869</f>
        <v>0</v>
      </c>
      <c r="D3237" t="str">
        <f>IF(Profile!C3867="Profile",IF(Profile!A3869="ResourceRequirement","OK","XXX"),"XXX")</f>
        <v>OK</v>
      </c>
    </row>
    <row r="3238" spans="1:4" x14ac:dyDescent="0.45">
      <c r="A3238">
        <f>ROW()</f>
        <v>3238</v>
      </c>
      <c r="B3238">
        <f>Profile!A3868</f>
        <v>0</v>
      </c>
      <c r="C3238">
        <f>Profile!AP3870</f>
        <v>0</v>
      </c>
      <c r="D3238" t="str">
        <f>IF(Profile!C3868="Profile",IF(Profile!A3870="ResourceRequirement","OK","XXX"),"XXX")</f>
        <v>XXX</v>
      </c>
    </row>
    <row r="3239" spans="1:4" x14ac:dyDescent="0.45">
      <c r="A3239">
        <f>ROW()</f>
        <v>3239</v>
      </c>
      <c r="B3239" t="str">
        <f>Profile!A3869</f>
        <v>ResourceRequirement</v>
      </c>
      <c r="C3239">
        <f>Profile!AP3871</f>
        <v>0</v>
      </c>
      <c r="D3239" t="str">
        <f>IF(Profile!C3869="Profile",IF(Profile!A3871="ResourceRequirement","OK","XXX"),"XXX")</f>
        <v>XXX</v>
      </c>
    </row>
    <row r="3240" spans="1:4" x14ac:dyDescent="0.45">
      <c r="A3240">
        <f>ROW()</f>
        <v>3240</v>
      </c>
      <c r="B3240" t="str">
        <f>Profile!A3870</f>
        <v>Property</v>
      </c>
      <c r="C3240">
        <f>Profile!AP3872</f>
        <v>0</v>
      </c>
      <c r="D3240" t="str">
        <f>IF(Profile!C3870="Profile",IF(Profile!A3872="ResourceRequirement","OK","XXX"),"XXX")</f>
        <v>XXX</v>
      </c>
    </row>
    <row r="3241" spans="1:4" x14ac:dyDescent="0.45">
      <c r="A3241">
        <f>ROW()</f>
        <v>3241</v>
      </c>
      <c r="B3241" t="str">
        <f>Profile!A3871</f>
        <v>Members</v>
      </c>
      <c r="C3241">
        <f>Profile!AP3873</f>
        <v>0</v>
      </c>
      <c r="D3241" t="str">
        <f>IF(Profile!C3871="Profile",IF(Profile!A3873="ResourceRequirement","OK","XXX"),"XXX")</f>
        <v>XXX</v>
      </c>
    </row>
    <row r="3242" spans="1:4" x14ac:dyDescent="0.45">
      <c r="A3242">
        <f>ROW()</f>
        <v>3242</v>
      </c>
      <c r="B3242" t="str">
        <f>Profile!A3872</f>
        <v xml:space="preserve">   @odata.id</v>
      </c>
      <c r="C3242">
        <f>Profile!AP3874</f>
        <v>0</v>
      </c>
      <c r="D3242" t="str">
        <f>IF(Profile!C3872="Profile",IF(Profile!A3874="ResourceRequirement","OK","XXX"),"XXX")</f>
        <v>XXX</v>
      </c>
    </row>
    <row r="3243" spans="1:4" x14ac:dyDescent="0.45">
      <c r="A3243">
        <f>ROW()</f>
        <v>3243</v>
      </c>
      <c r="B3243" t="str">
        <f>Profile!A3873</f>
        <v>ContainerCollection URIs</v>
      </c>
      <c r="C3243">
        <f>Profile!AP3875</f>
        <v>0</v>
      </c>
      <c r="D3243" t="str">
        <f>IF(Profile!C3873="Profile",IF(Profile!A3875="ResourceRequirement","OK","XXX"),"XXX")</f>
        <v>XXX</v>
      </c>
    </row>
    <row r="3244" spans="1:4" x14ac:dyDescent="0.45">
      <c r="A3244">
        <f>ROW()</f>
        <v>3244</v>
      </c>
      <c r="B3244" t="str">
        <f>Profile!A3874</f>
        <v>/redfish/v1/Systems/{ComputerSystemId}/OperatingSystem/Containers</v>
      </c>
      <c r="C3244">
        <f>Profile!AP3876</f>
        <v>0</v>
      </c>
      <c r="D3244" t="str">
        <f>IF(Profile!C3874="Profile",IF(Profile!A3876="ResourceRequirement","OK","XXX"),"XXX")</f>
        <v>XXX</v>
      </c>
    </row>
    <row r="3245" spans="1:4" x14ac:dyDescent="0.45">
      <c r="A3245">
        <f>ROW()</f>
        <v>3245</v>
      </c>
      <c r="B3245">
        <f>Profile!A3875</f>
        <v>0</v>
      </c>
      <c r="C3245">
        <f>Profile!AP3877</f>
        <v>0</v>
      </c>
      <c r="D3245" t="str">
        <f>IF(Profile!C3875="Profile",IF(Profile!A3877="ResourceRequirement","OK","XXX"),"XXX")</f>
        <v>XXX</v>
      </c>
    </row>
    <row r="3246" spans="1:4" x14ac:dyDescent="0.45">
      <c r="A3246">
        <f>ROW()</f>
        <v>3246</v>
      </c>
      <c r="B3246" t="str">
        <f>Profile!A3876</f>
        <v>1.1.9.8 Container</v>
      </c>
      <c r="C3246">
        <f>Profile!AP3878</f>
        <v>0</v>
      </c>
      <c r="D3246" t="str">
        <f>IF(Profile!C3876="Profile",IF(Profile!A3878="ResourceRequirement","OK","XXX"),"XXX")</f>
        <v>XXX</v>
      </c>
    </row>
    <row r="3247" spans="1:4" x14ac:dyDescent="0.45">
      <c r="A3247">
        <f>ROW()</f>
        <v>3247</v>
      </c>
      <c r="B3247" t="str">
        <f>Profile!A3877</f>
        <v>This resource describes a container running on the device. Note that the container may be statically provisioned or dynamically orchestrated.</v>
      </c>
      <c r="C3247">
        <f>Profile!AP3879</f>
        <v>0</v>
      </c>
      <c r="D3247" t="str">
        <f>IF(Profile!C3877="Profile",IF(Profile!A3879="ResourceRequirement","OK","XXX"),"XXX")</f>
        <v>XXX</v>
      </c>
    </row>
    <row r="3248" spans="1:4" x14ac:dyDescent="0.45">
      <c r="A3248">
        <f>ROW()</f>
        <v>3248</v>
      </c>
      <c r="B3248" t="str">
        <f>Profile!A3878</f>
        <v>Container (1.0.0)</v>
      </c>
      <c r="C3248">
        <f>Profile!AP3880</f>
        <v>10</v>
      </c>
      <c r="D3248" t="str">
        <f>IF(Profile!C3878="Profile",IF(Profile!A3880="ResourceRequirement","OK","XXX"),"XXX")</f>
        <v>OK</v>
      </c>
    </row>
    <row r="3249" spans="1:4" x14ac:dyDescent="0.45">
      <c r="A3249">
        <f>ROW()</f>
        <v>3249</v>
      </c>
      <c r="B3249">
        <f>Profile!A3879</f>
        <v>0</v>
      </c>
      <c r="C3249">
        <f>Profile!AP3881</f>
        <v>0</v>
      </c>
      <c r="D3249" t="str">
        <f>IF(Profile!C3879="Profile",IF(Profile!A3881="ResourceRequirement","OK","XXX"),"XXX")</f>
        <v>XXX</v>
      </c>
    </row>
    <row r="3250" spans="1:4" x14ac:dyDescent="0.45">
      <c r="A3250">
        <f>ROW()</f>
        <v>3250</v>
      </c>
      <c r="B3250" t="str">
        <f>Profile!A3880</f>
        <v>ResourceRequirement</v>
      </c>
      <c r="C3250">
        <f>Profile!AP3882</f>
        <v>0</v>
      </c>
      <c r="D3250" t="str">
        <f>IF(Profile!C3880="Profile",IF(Profile!A3882="ResourceRequirement","OK","XXX"),"XXX")</f>
        <v>XXX</v>
      </c>
    </row>
    <row r="3251" spans="1:4" x14ac:dyDescent="0.45">
      <c r="A3251">
        <f>ROW()</f>
        <v>3251</v>
      </c>
      <c r="B3251" t="str">
        <f>Profile!A3881</f>
        <v>Resource MinVersion</v>
      </c>
      <c r="C3251">
        <f>Profile!AP3883</f>
        <v>0</v>
      </c>
      <c r="D3251" t="str">
        <f>IF(Profile!C3881="Profile",IF(Profile!A3883="ResourceRequirement","OK","XXX"),"XXX")</f>
        <v>XXX</v>
      </c>
    </row>
    <row r="3252" spans="1:4" x14ac:dyDescent="0.45">
      <c r="A3252">
        <f>ROW()</f>
        <v>3252</v>
      </c>
      <c r="B3252" t="str">
        <f>Profile!A3882</f>
        <v>Property</v>
      </c>
      <c r="C3252">
        <f>Profile!AP3884</f>
        <v>0</v>
      </c>
      <c r="D3252" t="str">
        <f>IF(Profile!C3882="Profile",IF(Profile!A3884="ResourceRequirement","OK","XXX"),"XXX")</f>
        <v>XXX</v>
      </c>
    </row>
    <row r="3253" spans="1:4" x14ac:dyDescent="0.45">
      <c r="A3253">
        <f>ROW()</f>
        <v>3253</v>
      </c>
      <c r="B3253" t="str">
        <f>Profile!A3883</f>
        <v>Actions</v>
      </c>
      <c r="C3253">
        <f>Profile!AP3885</f>
        <v>0</v>
      </c>
      <c r="D3253" t="str">
        <f>IF(Profile!C3883="Profile",IF(Profile!A3885="ResourceRequirement","OK","XXX"),"XXX")</f>
        <v>XXX</v>
      </c>
    </row>
    <row r="3254" spans="1:4" x14ac:dyDescent="0.45">
      <c r="A3254">
        <f>ROW()</f>
        <v>3254</v>
      </c>
      <c r="B3254" t="str">
        <f>Profile!A3884</f>
        <v xml:space="preserve">   #Container.Reset</v>
      </c>
      <c r="C3254">
        <f>Profile!AP3886</f>
        <v>0</v>
      </c>
      <c r="D3254" t="str">
        <f>IF(Profile!C3884="Profile",IF(Profile!A3886="ResourceRequirement","OK","XXX"),"XXX")</f>
        <v>XXX</v>
      </c>
    </row>
    <row r="3255" spans="1:4" x14ac:dyDescent="0.45">
      <c r="A3255">
        <f>ROW()</f>
        <v>3255</v>
      </c>
      <c r="B3255" t="str">
        <f>Profile!A3885</f>
        <v xml:space="preserve">   #Container.Start</v>
      </c>
      <c r="C3255">
        <f>Profile!AP3887</f>
        <v>0</v>
      </c>
      <c r="D3255" t="str">
        <f>IF(Profile!C3885="Profile",IF(Profile!A3887="ResourceRequirement","OK","XXX"),"XXX")</f>
        <v>XXX</v>
      </c>
    </row>
    <row r="3256" spans="1:4" x14ac:dyDescent="0.45">
      <c r="A3256">
        <f>ROW()</f>
        <v>3256</v>
      </c>
      <c r="B3256" t="str">
        <f>Profile!A3886</f>
        <v xml:space="preserve">   #Container.Stop</v>
      </c>
      <c r="C3256">
        <f>Profile!AP3888</f>
        <v>0</v>
      </c>
      <c r="D3256" t="str">
        <f>IF(Profile!C3886="Profile",IF(Profile!A3888="ResourceRequirement","OK","XXX"),"XXX")</f>
        <v>XXX</v>
      </c>
    </row>
    <row r="3257" spans="1:4" x14ac:dyDescent="0.45">
      <c r="A3257">
        <f>ROW()</f>
        <v>3257</v>
      </c>
      <c r="B3257" t="str">
        <f>Profile!A3887</f>
        <v>ContainerName</v>
      </c>
      <c r="C3257">
        <f>Profile!AP3889</f>
        <v>0</v>
      </c>
      <c r="D3257" t="str">
        <f>IF(Profile!C3887="Profile",IF(Profile!A3889="ResourceRequirement","OK","XXX"),"XXX")</f>
        <v>XXX</v>
      </c>
    </row>
    <row r="3258" spans="1:4" x14ac:dyDescent="0.45">
      <c r="A3258">
        <f>ROW()</f>
        <v>3258</v>
      </c>
      <c r="B3258" t="str">
        <f>Profile!A3888</f>
        <v>CreateTime</v>
      </c>
      <c r="C3258">
        <f>Profile!AP3890</f>
        <v>0</v>
      </c>
      <c r="D3258" t="str">
        <f>IF(Profile!C3888="Profile",IF(Profile!A3890="ResourceRequirement","OK","XXX"),"XXX")</f>
        <v>XXX</v>
      </c>
    </row>
    <row r="3259" spans="1:4" x14ac:dyDescent="0.45">
      <c r="A3259">
        <f>ROW()</f>
        <v>3259</v>
      </c>
      <c r="B3259" t="str">
        <f>Profile!A3889</f>
        <v>ContainerType</v>
      </c>
      <c r="C3259">
        <f>Profile!AP3891</f>
        <v>0</v>
      </c>
      <c r="D3259" t="str">
        <f>IF(Profile!C3889="Profile",IF(Profile!A3891="ResourceRequirement","OK","XXX"),"XXX")</f>
        <v>XXX</v>
      </c>
    </row>
    <row r="3260" spans="1:4" x14ac:dyDescent="0.45">
      <c r="A3260">
        <f>ROW()</f>
        <v>3260</v>
      </c>
      <c r="B3260" t="str">
        <f>Profile!A3890</f>
        <v>Images</v>
      </c>
      <c r="C3260">
        <f>Profile!AP3892</f>
        <v>0</v>
      </c>
      <c r="D3260" t="str">
        <f>IF(Profile!C3890="Profile",IF(Profile!A3892="ResourceRequirement","OK","XXX"),"XXX")</f>
        <v>XXX</v>
      </c>
    </row>
    <row r="3261" spans="1:4" x14ac:dyDescent="0.45">
      <c r="A3261">
        <f>ROW()</f>
        <v>3261</v>
      </c>
      <c r="B3261" t="str">
        <f>Profile!A3891</f>
        <v xml:space="preserve">   @odata.id</v>
      </c>
      <c r="C3261">
        <f>Profile!AP3893</f>
        <v>0</v>
      </c>
      <c r="D3261" t="str">
        <f>IF(Profile!C3891="Profile",IF(Profile!A3893="ResourceRequirement","OK","XXX"),"XXX")</f>
        <v>XXX</v>
      </c>
    </row>
    <row r="3262" spans="1:4" x14ac:dyDescent="0.45">
      <c r="A3262">
        <f>ROW()</f>
        <v>3262</v>
      </c>
      <c r="B3262" t="str">
        <f>Profile!A3892</f>
        <v xml:space="preserve">   MemberId</v>
      </c>
      <c r="C3262">
        <f>Profile!AP3894</f>
        <v>0</v>
      </c>
      <c r="D3262" t="str">
        <f>IF(Profile!C3892="Profile",IF(Profile!A3894="ResourceRequirement","OK","XXX"),"XXX")</f>
        <v>XXX</v>
      </c>
    </row>
    <row r="3263" spans="1:4" x14ac:dyDescent="0.45">
      <c r="A3263">
        <f>ROW()</f>
        <v>3263</v>
      </c>
      <c r="B3263" t="str">
        <f>Profile!A3893</f>
        <v xml:space="preserve">   Name</v>
      </c>
      <c r="C3263">
        <f>Profile!AP3895</f>
        <v>0</v>
      </c>
      <c r="D3263" t="str">
        <f>IF(Profile!C3893="Profile",IF(Profile!A3895="ResourceRequirement","OK","XXX"),"XXX")</f>
        <v>XXX</v>
      </c>
    </row>
    <row r="3264" spans="1:4" x14ac:dyDescent="0.45">
      <c r="A3264">
        <f>ROW()</f>
        <v>3264</v>
      </c>
      <c r="B3264" t="str">
        <f>Profile!A3894</f>
        <v xml:space="preserve">   ImageName</v>
      </c>
      <c r="C3264">
        <f>Profile!AP3896</f>
        <v>0</v>
      </c>
      <c r="D3264" t="str">
        <f>IF(Profile!C3894="Profile",IF(Profile!A3896="ResourceRequirement","OK","XXX"),"XXX")</f>
        <v>XXX</v>
      </c>
    </row>
    <row r="3265" spans="1:4" x14ac:dyDescent="0.45">
      <c r="A3265">
        <f>ROW()</f>
        <v>3265</v>
      </c>
      <c r="B3265" t="str">
        <f>Profile!A3895</f>
        <v xml:space="preserve">   ImageHash</v>
      </c>
      <c r="C3265">
        <f>Profile!AP3897</f>
        <v>0</v>
      </c>
      <c r="D3265" t="str">
        <f>IF(Profile!C3895="Profile",IF(Profile!A3897="ResourceRequirement","OK","XXX"),"XXX")</f>
        <v>XXX</v>
      </c>
    </row>
    <row r="3266" spans="1:4" x14ac:dyDescent="0.45">
      <c r="A3266">
        <f>ROW()</f>
        <v>3266</v>
      </c>
      <c r="B3266" t="str">
        <f>Profile!A3896</f>
        <v xml:space="preserve">   ImageVersion</v>
      </c>
      <c r="C3266">
        <f>Profile!AP3898</f>
        <v>0</v>
      </c>
      <c r="D3266" t="str">
        <f>IF(Profile!C3896="Profile",IF(Profile!A3898="ResourceRequirement","OK","XXX"),"XXX")</f>
        <v>XXX</v>
      </c>
    </row>
    <row r="3267" spans="1:4" x14ac:dyDescent="0.45">
      <c r="A3267">
        <f>ROW()</f>
        <v>3267</v>
      </c>
      <c r="B3267" t="str">
        <f>Profile!A3897</f>
        <v xml:space="preserve">   ImageSizeBytes</v>
      </c>
      <c r="C3267">
        <f>Profile!AP3899</f>
        <v>0</v>
      </c>
      <c r="D3267" t="str">
        <f>IF(Profile!C3897="Profile",IF(Profile!A3899="ResourceRequirement","OK","XXX"),"XXX")</f>
        <v>XXX</v>
      </c>
    </row>
    <row r="3268" spans="1:4" x14ac:dyDescent="0.45">
      <c r="A3268">
        <f>ROW()</f>
        <v>3268</v>
      </c>
      <c r="B3268" t="str">
        <f>Profile!A3898</f>
        <v xml:space="preserve">   ImageType</v>
      </c>
      <c r="C3268">
        <f>Profile!AP3900</f>
        <v>0</v>
      </c>
      <c r="D3268" t="str">
        <f>IF(Profile!C3898="Profile",IF(Profile!A3900="ResourceRequirement","OK","XXX"),"XXX")</f>
        <v>XXX</v>
      </c>
    </row>
    <row r="3269" spans="1:4" x14ac:dyDescent="0.45">
      <c r="A3269">
        <f>ROW()</f>
        <v>3269</v>
      </c>
      <c r="B3269" t="str">
        <f>Profile!A3899</f>
        <v>CpuCores</v>
      </c>
      <c r="C3269">
        <f>Profile!AP3901</f>
        <v>0</v>
      </c>
      <c r="D3269" t="str">
        <f>IF(Profile!C3899="Profile",IF(Profile!A3901="ResourceRequirement","OK","XXX"),"XXX")</f>
        <v>XXX</v>
      </c>
    </row>
    <row r="3270" spans="1:4" x14ac:dyDescent="0.45">
      <c r="A3270">
        <f>ROW()</f>
        <v>3270</v>
      </c>
      <c r="B3270" t="str">
        <f>Profile!A3900</f>
        <v>MemoryBytes</v>
      </c>
      <c r="C3270">
        <f>Profile!AP3902</f>
        <v>0</v>
      </c>
      <c r="D3270" t="str">
        <f>IF(Profile!C3900="Profile",IF(Profile!A3902="ResourceRequirement","OK","XXX"),"XXX")</f>
        <v>XXX</v>
      </c>
    </row>
    <row r="3271" spans="1:4" x14ac:dyDescent="0.45">
      <c r="A3271">
        <f>ROW()</f>
        <v>3271</v>
      </c>
      <c r="B3271" t="str">
        <f>Profile!A3901</f>
        <v>StorageLimitBytes</v>
      </c>
      <c r="C3271">
        <f>Profile!AP3903</f>
        <v>0</v>
      </c>
      <c r="D3271" t="str">
        <f>IF(Profile!C3901="Profile",IF(Profile!A3903="ResourceRequirement","OK","XXX"),"XXX")</f>
        <v>XXX</v>
      </c>
    </row>
    <row r="3272" spans="1:4" x14ac:dyDescent="0.45">
      <c r="A3272">
        <f>ROW()</f>
        <v>3272</v>
      </c>
      <c r="B3272" t="str">
        <f>Profile!A3902</f>
        <v>ContainerState</v>
      </c>
      <c r="C3272">
        <f>Profile!AP3904</f>
        <v>0</v>
      </c>
      <c r="D3272" t="str">
        <f>IF(Profile!C3902="Profile",IF(Profile!A3904="ResourceRequirement","OK","XXX"),"XXX")</f>
        <v>XXX</v>
      </c>
    </row>
    <row r="3273" spans="1:4" x14ac:dyDescent="0.45">
      <c r="A3273">
        <f>ROW()</f>
        <v>3273</v>
      </c>
      <c r="B3273" t="str">
        <f>Profile!A3903</f>
        <v>Volumes</v>
      </c>
      <c r="C3273">
        <f>Profile!AP3905</f>
        <v>0</v>
      </c>
      <c r="D3273" t="str">
        <f>IF(Profile!C3903="Profile",IF(Profile!A3905="ResourceRequirement","OK","XXX"),"XXX")</f>
        <v>XXX</v>
      </c>
    </row>
    <row r="3274" spans="1:4" x14ac:dyDescent="0.45">
      <c r="A3274">
        <f>ROW()</f>
        <v>3274</v>
      </c>
      <c r="B3274" t="str">
        <f>Profile!A3904</f>
        <v xml:space="preserve">   @odata.id</v>
      </c>
      <c r="C3274">
        <f>Profile!AP3906</f>
        <v>0</v>
      </c>
      <c r="D3274" t="str">
        <f>IF(Profile!C3904="Profile",IF(Profile!A3906="ResourceRequirement","OK","XXX"),"XXX")</f>
        <v>XXX</v>
      </c>
    </row>
    <row r="3275" spans="1:4" x14ac:dyDescent="0.45">
      <c r="A3275">
        <f>ROW()</f>
        <v>3275</v>
      </c>
      <c r="B3275" t="str">
        <f>Profile!A3905</f>
        <v xml:space="preserve">   MemberId</v>
      </c>
      <c r="C3275">
        <f>Profile!AP3907</f>
        <v>0</v>
      </c>
      <c r="D3275" t="str">
        <f>IF(Profile!C3905="Profile",IF(Profile!A3907="ResourceRequirement","OK","XXX"),"XXX")</f>
        <v>XXX</v>
      </c>
    </row>
    <row r="3276" spans="1:4" x14ac:dyDescent="0.45">
      <c r="A3276">
        <f>ROW()</f>
        <v>3276</v>
      </c>
      <c r="B3276" t="str">
        <f>Profile!A3906</f>
        <v xml:space="preserve">   Name</v>
      </c>
      <c r="C3276">
        <f>Profile!AP3908</f>
        <v>0</v>
      </c>
      <c r="D3276" t="str">
        <f>IF(Profile!C3906="Profile",IF(Profile!A3908="ResourceRequirement","OK","XXX"),"XXX")</f>
        <v>XXX</v>
      </c>
    </row>
    <row r="3277" spans="1:4" x14ac:dyDescent="0.45">
      <c r="A3277">
        <f>ROW()</f>
        <v>3277</v>
      </c>
      <c r="B3277" t="str">
        <f>Profile!A3907</f>
        <v xml:space="preserve">   VolumeName</v>
      </c>
      <c r="C3277">
        <f>Profile!AP3909</f>
        <v>0</v>
      </c>
      <c r="D3277" t="str">
        <f>IF(Profile!C3907="Profile",IF(Profile!A3909="ResourceRequirement","OK","XXX"),"XXX")</f>
        <v>XXX</v>
      </c>
    </row>
    <row r="3278" spans="1:4" x14ac:dyDescent="0.45">
      <c r="A3278">
        <f>ROW()</f>
        <v>3278</v>
      </c>
      <c r="B3278" t="str">
        <f>Profile!A3908</f>
        <v xml:space="preserve">   Path</v>
      </c>
      <c r="C3278">
        <f>Profile!AP3910</f>
        <v>0</v>
      </c>
      <c r="D3278" t="str">
        <f>IF(Profile!C3908="Profile",IF(Profile!A3910="ResourceRequirement","OK","XXX"),"XXX")</f>
        <v>XXX</v>
      </c>
    </row>
    <row r="3279" spans="1:4" x14ac:dyDescent="0.45">
      <c r="A3279">
        <f>ROW()</f>
        <v>3279</v>
      </c>
      <c r="B3279" t="str">
        <f>Profile!A3909</f>
        <v xml:space="preserve">   HostPath</v>
      </c>
      <c r="C3279">
        <f>Profile!AP3911</f>
        <v>0</v>
      </c>
      <c r="D3279" t="str">
        <f>IF(Profile!C3909="Profile",IF(Profile!A3911="ResourceRequirement","OK","XXX"),"XXX")</f>
        <v>XXX</v>
      </c>
    </row>
    <row r="3280" spans="1:4" x14ac:dyDescent="0.45">
      <c r="A3280">
        <f>ROW()</f>
        <v>3280</v>
      </c>
      <c r="B3280" t="str">
        <f>Profile!A3910</f>
        <v xml:space="preserve">   CapacityBytes</v>
      </c>
      <c r="C3280">
        <f>Profile!AP3912</f>
        <v>0</v>
      </c>
      <c r="D3280" t="str">
        <f>IF(Profile!C3910="Profile",IF(Profile!A3912="ResourceRequirement","OK","XXX"),"XXX")</f>
        <v>XXX</v>
      </c>
    </row>
    <row r="3281" spans="1:4" x14ac:dyDescent="0.45">
      <c r="A3281">
        <f>ROW()</f>
        <v>3281</v>
      </c>
      <c r="B3281" t="str">
        <f>Profile!A3911</f>
        <v xml:space="preserve">   RelatedItem</v>
      </c>
      <c r="C3281">
        <f>Profile!AP3913</f>
        <v>0</v>
      </c>
      <c r="D3281" t="str">
        <f>IF(Profile!C3911="Profile",IF(Profile!A3913="ResourceRequirement","OK","XXX"),"XXX")</f>
        <v>XXX</v>
      </c>
    </row>
    <row r="3282" spans="1:4" x14ac:dyDescent="0.45">
      <c r="A3282">
        <f>ROW()</f>
        <v>3282</v>
      </c>
      <c r="B3282" t="str">
        <f>Profile!A3912</f>
        <v>Devices</v>
      </c>
      <c r="C3282">
        <f>Profile!AP3914</f>
        <v>0</v>
      </c>
      <c r="D3282" t="str">
        <f>IF(Profile!C3912="Profile",IF(Profile!A3914="ResourceRequirement","OK","XXX"),"XXX")</f>
        <v>XXX</v>
      </c>
    </row>
    <row r="3283" spans="1:4" x14ac:dyDescent="0.45">
      <c r="A3283">
        <f>ROW()</f>
        <v>3283</v>
      </c>
      <c r="B3283" t="str">
        <f>Profile!A3913</f>
        <v xml:space="preserve">   @odata.id</v>
      </c>
      <c r="C3283">
        <f>Profile!AP3915</f>
        <v>0</v>
      </c>
      <c r="D3283" t="str">
        <f>IF(Profile!C3913="Profile",IF(Profile!A3915="ResourceRequirement","OK","XXX"),"XXX")</f>
        <v>XXX</v>
      </c>
    </row>
    <row r="3284" spans="1:4" x14ac:dyDescent="0.45">
      <c r="A3284">
        <f>ROW()</f>
        <v>3284</v>
      </c>
      <c r="B3284" t="str">
        <f>Profile!A3914</f>
        <v xml:space="preserve">   MemberId</v>
      </c>
      <c r="C3284">
        <f>Profile!AP3916</f>
        <v>0</v>
      </c>
      <c r="D3284" t="str">
        <f>IF(Profile!C3914="Profile",IF(Profile!A3916="ResourceRequirement","OK","XXX"),"XXX")</f>
        <v>XXX</v>
      </c>
    </row>
    <row r="3285" spans="1:4" x14ac:dyDescent="0.45">
      <c r="A3285">
        <f>ROW()</f>
        <v>3285</v>
      </c>
      <c r="B3285" t="str">
        <f>Profile!A3915</f>
        <v xml:space="preserve">   Name</v>
      </c>
      <c r="C3285">
        <f>Profile!AP3917</f>
        <v>0</v>
      </c>
      <c r="D3285" t="str">
        <f>IF(Profile!C3915="Profile",IF(Profile!A3917="ResourceRequirement","OK","XXX"),"XXX")</f>
        <v>XXX</v>
      </c>
    </row>
    <row r="3286" spans="1:4" x14ac:dyDescent="0.45">
      <c r="A3286">
        <f>ROW()</f>
        <v>3286</v>
      </c>
      <c r="B3286" t="str">
        <f>Profile!A3916</f>
        <v xml:space="preserve">   DeviceName</v>
      </c>
      <c r="C3286">
        <f>Profile!AP3918</f>
        <v>0</v>
      </c>
      <c r="D3286" t="str">
        <f>IF(Profile!C3916="Profile",IF(Profile!A3918="ResourceRequirement","OK","XXX"),"XXX")</f>
        <v>XXX</v>
      </c>
    </row>
    <row r="3287" spans="1:4" x14ac:dyDescent="0.45">
      <c r="A3287">
        <f>ROW()</f>
        <v>3287</v>
      </c>
      <c r="B3287" t="str">
        <f>Profile!A3917</f>
        <v xml:space="preserve">   DeviceType</v>
      </c>
      <c r="C3287">
        <f>Profile!AP3919</f>
        <v>0</v>
      </c>
      <c r="D3287" t="str">
        <f>IF(Profile!C3917="Profile",IF(Profile!A3919="ResourceRequirement","OK","XXX"),"XXX")</f>
        <v>XXX</v>
      </c>
    </row>
    <row r="3288" spans="1:4" x14ac:dyDescent="0.45">
      <c r="A3288">
        <f>ROW()</f>
        <v>3288</v>
      </c>
      <c r="B3288" t="str">
        <f>Profile!A3918</f>
        <v xml:space="preserve">   DeviceInfo</v>
      </c>
      <c r="C3288">
        <f>Profile!AP3920</f>
        <v>0</v>
      </c>
      <c r="D3288" t="str">
        <f>IF(Profile!C3918="Profile",IF(Profile!A3920="ResourceRequirement","OK","XXX"),"XXX")</f>
        <v>XXX</v>
      </c>
    </row>
    <row r="3289" spans="1:4" x14ac:dyDescent="0.45">
      <c r="A3289">
        <f>ROW()</f>
        <v>3289</v>
      </c>
      <c r="B3289" t="str">
        <f>Profile!A3919</f>
        <v xml:space="preserve">   RelatedItem</v>
      </c>
      <c r="C3289">
        <f>Profile!AP3921</f>
        <v>0</v>
      </c>
      <c r="D3289" t="str">
        <f>IF(Profile!C3919="Profile",IF(Profile!A3921="ResourceRequirement","OK","XXX"),"XXX")</f>
        <v>XXX</v>
      </c>
    </row>
    <row r="3290" spans="1:4" x14ac:dyDescent="0.45">
      <c r="A3290">
        <f>ROW()</f>
        <v>3290</v>
      </c>
      <c r="B3290" t="str">
        <f>Profile!A3920</f>
        <v>NetworkInterfaces</v>
      </c>
      <c r="C3290">
        <f>Profile!AP3922</f>
        <v>0</v>
      </c>
      <c r="D3290" t="str">
        <f>IF(Profile!C3920="Profile",IF(Profile!A3922="ResourceRequirement","OK","XXX"),"XXX")</f>
        <v>XXX</v>
      </c>
    </row>
    <row r="3291" spans="1:4" x14ac:dyDescent="0.45">
      <c r="A3291">
        <f>ROW()</f>
        <v>3291</v>
      </c>
      <c r="B3291" t="str">
        <f>Profile!A3921</f>
        <v xml:space="preserve">   @odata.id</v>
      </c>
      <c r="C3291">
        <f>Profile!AP3923</f>
        <v>0</v>
      </c>
      <c r="D3291" t="str">
        <f>IF(Profile!C3921="Profile",IF(Profile!A3923="ResourceRequirement","OK","XXX"),"XXX")</f>
        <v>XXX</v>
      </c>
    </row>
    <row r="3292" spans="1:4" x14ac:dyDescent="0.45">
      <c r="A3292">
        <f>ROW()</f>
        <v>3292</v>
      </c>
      <c r="B3292" t="str">
        <f>Profile!A3922</f>
        <v xml:space="preserve">   MemberId</v>
      </c>
      <c r="C3292">
        <f>Profile!AP3924</f>
        <v>0</v>
      </c>
      <c r="D3292" t="str">
        <f>IF(Profile!C3922="Profile",IF(Profile!A3924="ResourceRequirement","OK","XXX"),"XXX")</f>
        <v>XXX</v>
      </c>
    </row>
    <row r="3293" spans="1:4" x14ac:dyDescent="0.45">
      <c r="A3293">
        <f>ROW()</f>
        <v>3293</v>
      </c>
      <c r="B3293" t="str">
        <f>Profile!A3923</f>
        <v xml:space="preserve">   Name</v>
      </c>
      <c r="C3293">
        <f>Profile!AP3925</f>
        <v>0</v>
      </c>
      <c r="D3293" t="str">
        <f>IF(Profile!C3923="Profile",IF(Profile!A3925="ResourceRequirement","OK","XXX"),"XXX")</f>
        <v>XXX</v>
      </c>
    </row>
    <row r="3294" spans="1:4" x14ac:dyDescent="0.45">
      <c r="A3294">
        <f>ROW()</f>
        <v>3294</v>
      </c>
      <c r="B3294" t="str">
        <f>Profile!A3924</f>
        <v xml:space="preserve">   InterfaceName</v>
      </c>
      <c r="C3294">
        <f>Profile!AP3926</f>
        <v>0</v>
      </c>
      <c r="D3294" t="str">
        <f>IF(Profile!C3924="Profile",IF(Profile!A3926="ResourceRequirement","OK","XXX"),"XXX")</f>
        <v>XXX</v>
      </c>
    </row>
    <row r="3295" spans="1:4" x14ac:dyDescent="0.45">
      <c r="A3295">
        <f>ROW()</f>
        <v>3295</v>
      </c>
      <c r="B3295" t="str">
        <f>Profile!A3925</f>
        <v xml:space="preserve">   InterfaceType</v>
      </c>
      <c r="C3295">
        <f>Profile!AP3927</f>
        <v>0</v>
      </c>
      <c r="D3295" t="str">
        <f>IF(Profile!C3925="Profile",IF(Profile!A3927="ResourceRequirement","OK","XXX"),"XXX")</f>
        <v>XXX</v>
      </c>
    </row>
    <row r="3296" spans="1:4" x14ac:dyDescent="0.45">
      <c r="A3296">
        <f>ROW()</f>
        <v>3296</v>
      </c>
      <c r="B3296" t="str">
        <f>Profile!A3926</f>
        <v xml:space="preserve">   Network</v>
      </c>
      <c r="C3296">
        <f>Profile!AP3928</f>
        <v>0</v>
      </c>
      <c r="D3296" t="str">
        <f>IF(Profile!C3926="Profile",IF(Profile!A3928="ResourceRequirement","OK","XXX"),"XXX")</f>
        <v>XXX</v>
      </c>
    </row>
    <row r="3297" spans="1:4" x14ac:dyDescent="0.45">
      <c r="A3297">
        <f>ROW()</f>
        <v>3297</v>
      </c>
      <c r="B3297" t="str">
        <f>Profile!A3927</f>
        <v xml:space="preserve">   Subnet</v>
      </c>
      <c r="C3297">
        <f>Profile!AP3929</f>
        <v>0</v>
      </c>
      <c r="D3297" t="str">
        <f>IF(Profile!C3927="Profile",IF(Profile!A3929="ResourceRequirement","OK","XXX"),"XXX")</f>
        <v>XXX</v>
      </c>
    </row>
    <row r="3298" spans="1:4" x14ac:dyDescent="0.45">
      <c r="A3298">
        <f>ROW()</f>
        <v>3298</v>
      </c>
      <c r="B3298" t="str">
        <f>Profile!A3928</f>
        <v xml:space="preserve">   SubnetCidr</v>
      </c>
      <c r="C3298">
        <f>Profile!AP3930</f>
        <v>0</v>
      </c>
      <c r="D3298" t="str">
        <f>IF(Profile!C3928="Profile",IF(Profile!A3930="ResourceRequirement","OK","XXX"),"XXX")</f>
        <v>XXX</v>
      </c>
    </row>
    <row r="3299" spans="1:4" x14ac:dyDescent="0.45">
      <c r="A3299">
        <f>ROW()</f>
        <v>3299</v>
      </c>
      <c r="B3299" t="str">
        <f>Profile!A3929</f>
        <v xml:space="preserve">   IPAddresses</v>
      </c>
      <c r="C3299">
        <f>Profile!AP3931</f>
        <v>0</v>
      </c>
      <c r="D3299" t="str">
        <f>IF(Profile!C3929="Profile",IF(Profile!A3931="ResourceRequirement","OK","XXX"),"XXX")</f>
        <v>XXX</v>
      </c>
    </row>
    <row r="3300" spans="1:4" x14ac:dyDescent="0.45">
      <c r="A3300">
        <f>ROW()</f>
        <v>3300</v>
      </c>
      <c r="B3300" t="str">
        <f>Profile!A3930</f>
        <v xml:space="preserve">   DnsServers</v>
      </c>
      <c r="C3300">
        <f>Profile!AP3932</f>
        <v>0</v>
      </c>
      <c r="D3300" t="str">
        <f>IF(Profile!C3930="Profile",IF(Profile!A3932="ResourceRequirement","OK","XXX"),"XXX")</f>
        <v>XXX</v>
      </c>
    </row>
    <row r="3301" spans="1:4" x14ac:dyDescent="0.45">
      <c r="A3301">
        <f>ROW()</f>
        <v>3301</v>
      </c>
      <c r="B3301" t="str">
        <f>Profile!A3931</f>
        <v xml:space="preserve">   Gateway</v>
      </c>
      <c r="C3301">
        <f>Profile!AP3933</f>
        <v>0</v>
      </c>
      <c r="D3301" t="str">
        <f>IF(Profile!C3931="Profile",IF(Profile!A3933="ResourceRequirement","OK","XXX"),"XXX")</f>
        <v>XXX</v>
      </c>
    </row>
    <row r="3302" spans="1:4" x14ac:dyDescent="0.45">
      <c r="A3302">
        <f>ROW()</f>
        <v>3302</v>
      </c>
      <c r="B3302" t="str">
        <f>Profile!A3932</f>
        <v xml:space="preserve">   RelatedItem</v>
      </c>
      <c r="C3302">
        <f>Profile!AP3934</f>
        <v>0</v>
      </c>
      <c r="D3302" t="str">
        <f>IF(Profile!C3932="Profile",IF(Profile!A3934="ResourceRequirement","OK","XXX"),"XXX")</f>
        <v>XXX</v>
      </c>
    </row>
    <row r="3303" spans="1:4" x14ac:dyDescent="0.45">
      <c r="A3303">
        <f>ROW()</f>
        <v>3303</v>
      </c>
      <c r="B3303" t="str">
        <f>Profile!A3933</f>
        <v>ManagementUri</v>
      </c>
      <c r="C3303">
        <f>Profile!AP3935</f>
        <v>0</v>
      </c>
      <c r="D3303" t="str">
        <f>IF(Profile!C3933="Profile",IF(Profile!A3935="ResourceRequirement","OK","XXX"),"XXX")</f>
        <v>XXX</v>
      </c>
    </row>
    <row r="3304" spans="1:4" x14ac:dyDescent="0.45">
      <c r="A3304">
        <f>ROW()</f>
        <v>3304</v>
      </c>
      <c r="B3304" t="str">
        <f>Profile!A3934</f>
        <v xml:space="preserve">CorrelationID </v>
      </c>
      <c r="C3304">
        <f>Profile!AP3936</f>
        <v>0</v>
      </c>
      <c r="D3304" t="str">
        <f>IF(Profile!C3934="Profile",IF(Profile!A3936="ResourceRequirement","OK","XXX"),"XXX")</f>
        <v>XXX</v>
      </c>
    </row>
    <row r="3305" spans="1:4" x14ac:dyDescent="0.45">
      <c r="A3305">
        <f>ROW()</f>
        <v>3305</v>
      </c>
      <c r="B3305" t="str">
        <f>Profile!A3935</f>
        <v>Oem</v>
      </c>
      <c r="C3305">
        <f>Profile!AP3939</f>
        <v>0</v>
      </c>
      <c r="D3305" t="str">
        <f>IF(Profile!C3935="Profile",IF(Profile!A3939="ResourceRequirement","OK","XXX"),"XXX")</f>
        <v>XXX</v>
      </c>
    </row>
    <row r="3306" spans="1:4" x14ac:dyDescent="0.45">
      <c r="A3306">
        <f>ROW()</f>
        <v>3306</v>
      </c>
      <c r="B3306" t="str">
        <f>Profile!A3936</f>
        <v>Status</v>
      </c>
      <c r="C3306">
        <f>Profile!AP3940</f>
        <v>0</v>
      </c>
      <c r="D3306" t="str">
        <f>IF(Profile!C3936="Profile",IF(Profile!A3940="ResourceRequirement","OK","XXX"),"XXX")</f>
        <v>XXX</v>
      </c>
    </row>
    <row r="3307" spans="1:4" x14ac:dyDescent="0.45">
      <c r="A3307">
        <f>ROW()</f>
        <v>3307</v>
      </c>
      <c r="B3307" t="str">
        <f>Profile!A3939</f>
        <v>Container URIs</v>
      </c>
      <c r="C3307">
        <f>Profile!AP3941</f>
        <v>0</v>
      </c>
      <c r="D3307" t="str">
        <f>IF(Profile!C3939="Profile",IF(Profile!A3941="ResourceRequirement","OK","XXX"),"XXX")</f>
        <v>XXX</v>
      </c>
    </row>
    <row r="3308" spans="1:4" x14ac:dyDescent="0.45">
      <c r="A3308">
        <f>ROW()</f>
        <v>3308</v>
      </c>
      <c r="B3308" t="str">
        <f>Profile!A3940</f>
        <v>/redfish/v1/Systems/{ComputerSystemId}/OperatingSystem/Containers/{ContainerId}</v>
      </c>
      <c r="C3308">
        <f>Profile!AP3942</f>
        <v>0</v>
      </c>
      <c r="D3308" t="str">
        <f>IF(Profile!C3940="Profile",IF(Profile!A3942="ResourceRequirement","OK","XXX"),"XXX")</f>
        <v>XXX</v>
      </c>
    </row>
    <row r="3309" spans="1:4" x14ac:dyDescent="0.45">
      <c r="A3309">
        <f>ROW()</f>
        <v>3309</v>
      </c>
      <c r="B3309">
        <f>Profile!A3941</f>
        <v>0</v>
      </c>
      <c r="C3309">
        <f>Profile!AP3943</f>
        <v>0</v>
      </c>
      <c r="D3309" t="str">
        <f>IF(Profile!C3941="Profile",IF(Profile!A3943="ResourceRequirement","OK","XXX"),"XXX")</f>
        <v>XXX</v>
      </c>
    </row>
    <row r="3310" spans="1:4" x14ac:dyDescent="0.45">
      <c r="A3310">
        <f>ROW()</f>
        <v>3310</v>
      </c>
      <c r="B3310" t="str">
        <f>Profile!A3942</f>
        <v>1.1.9.8 DistributedControlNode</v>
      </c>
      <c r="C3310">
        <f>Profile!AP3944</f>
        <v>0</v>
      </c>
      <c r="D3310" t="str">
        <f>IF(Profile!C3942="Profile",IF(Profile!A3944="ResourceRequirement","OK","XXX"),"XXX")</f>
        <v>XXX</v>
      </c>
    </row>
    <row r="3311" spans="1:4" x14ac:dyDescent="0.45">
      <c r="A3311">
        <f>ROW()</f>
        <v>3311</v>
      </c>
      <c r="B3311" t="str">
        <f>Profile!A3943</f>
        <v>Resource to describe an O-PAS Distributed Control Node.</v>
      </c>
      <c r="C3311">
        <f>Profile!AP3945</f>
        <v>0</v>
      </c>
      <c r="D3311" t="str">
        <f>IF(Profile!C3943="Profile",IF(Profile!A3945="ResourceRequirement","OK","XXX"),"XXX")</f>
        <v>XXX</v>
      </c>
    </row>
    <row r="3312" spans="1:4" x14ac:dyDescent="0.45">
      <c r="A3312">
        <f>ROW()</f>
        <v>3312</v>
      </c>
      <c r="B3312" t="str">
        <f>Profile!A3944</f>
        <v>DistributedControlNode (1.0.0)</v>
      </c>
      <c r="C3312">
        <f>Profile!AP3946</f>
        <v>15</v>
      </c>
      <c r="D3312" t="str">
        <f>IF(Profile!C3944="Profile",IF(Profile!A3946="ResourceRequirement","OK","XXX"),"XXX")</f>
        <v>OK</v>
      </c>
    </row>
    <row r="3313" spans="1:4" x14ac:dyDescent="0.45">
      <c r="A3313">
        <f>ROW()</f>
        <v>3313</v>
      </c>
      <c r="B3313">
        <f>Profile!A3945</f>
        <v>0</v>
      </c>
      <c r="C3313">
        <f>Profile!AP3947</f>
        <v>0</v>
      </c>
      <c r="D3313" t="str">
        <f>IF(Profile!C3945="Profile",IF(Profile!A3947="ResourceRequirement","OK","XXX"),"XXX")</f>
        <v>XXX</v>
      </c>
    </row>
    <row r="3314" spans="1:4" x14ac:dyDescent="0.45">
      <c r="A3314">
        <f>ROW()</f>
        <v>3314</v>
      </c>
      <c r="B3314" t="str">
        <f>Profile!A3946</f>
        <v>ResourceRequirement</v>
      </c>
      <c r="C3314">
        <f>Profile!AP3948</f>
        <v>0</v>
      </c>
      <c r="D3314" t="str">
        <f>IF(Profile!C3946="Profile",IF(Profile!A3948="ResourceRequirement","OK","XXX"),"XXX")</f>
        <v>XXX</v>
      </c>
    </row>
    <row r="3315" spans="1:4" x14ac:dyDescent="0.45">
      <c r="A3315">
        <f>ROW()</f>
        <v>3315</v>
      </c>
      <c r="B3315" t="str">
        <f>Profile!A3947</f>
        <v>Resource MinVersion</v>
      </c>
      <c r="C3315">
        <f>Profile!AP3949</f>
        <v>0</v>
      </c>
      <c r="D3315" t="str">
        <f>IF(Profile!C3947="Profile",IF(Profile!A3949="ResourceRequirement","OK","XXX"),"XXX")</f>
        <v>XXX</v>
      </c>
    </row>
    <row r="3316" spans="1:4" x14ac:dyDescent="0.45">
      <c r="A3316">
        <f>ROW()</f>
        <v>3316</v>
      </c>
      <c r="B3316" t="str">
        <f>Profile!A3948</f>
        <v>Property</v>
      </c>
      <c r="C3316">
        <f>Profile!AP3951</f>
        <v>0</v>
      </c>
      <c r="D3316" t="str">
        <f>IF(Profile!C3948="Profile",IF(Profile!A3951="ResourceRequirement","OK","XXX"),"XXX")</f>
        <v>XXX</v>
      </c>
    </row>
    <row r="3317" spans="1:4" x14ac:dyDescent="0.45">
      <c r="A3317">
        <f>ROW()</f>
        <v>3317</v>
      </c>
      <c r="B3317" t="str">
        <f>Profile!A3949</f>
        <v>Actions</v>
      </c>
      <c r="C3317">
        <f>Profile!AP3968</f>
        <v>0</v>
      </c>
      <c r="D3317" t="str">
        <f>IF(Profile!C3949="Profile",IF(Profile!A3968="ResourceRequirement","OK","XXX"),"XXX")</f>
        <v>XXX</v>
      </c>
    </row>
    <row r="3318" spans="1:4" x14ac:dyDescent="0.45">
      <c r="A3318">
        <f>ROW()</f>
        <v>3318</v>
      </c>
      <c r="B3318" t="str">
        <f>Profile!A3951</f>
        <v>OPCUAServerURI</v>
      </c>
      <c r="C3318">
        <f>Profile!AP3969</f>
        <v>0</v>
      </c>
      <c r="D3318" t="str">
        <f>IF(Profile!C3951="Profile",IF(Profile!A3969="ResourceRequirement","OK","XXX"),"XXX")</f>
        <v>XXX</v>
      </c>
    </row>
    <row r="3319" spans="1:4" x14ac:dyDescent="0.45">
      <c r="A3319">
        <f>ROW()</f>
        <v>3319</v>
      </c>
      <c r="B3319" t="str">
        <f>Profile!A3968</f>
        <v>OPASCompatibility</v>
      </c>
      <c r="C3319">
        <f>Profile!AP3970</f>
        <v>0</v>
      </c>
      <c r="D3319" t="str">
        <f>IF(Profile!C3968="Profile",IF(Profile!A3970="ResourceRequirement","OK","XXX"),"XXX")</f>
        <v>XXX</v>
      </c>
    </row>
    <row r="3320" spans="1:4" x14ac:dyDescent="0.45">
      <c r="A3320">
        <f>ROW()</f>
        <v>3320</v>
      </c>
      <c r="B3320" t="str">
        <f>Profile!A3969</f>
        <v xml:space="preserve">   @odata.id</v>
      </c>
      <c r="C3320">
        <f>Profile!AP3971</f>
        <v>0</v>
      </c>
      <c r="D3320" t="str">
        <f>IF(Profile!C3969="Profile",IF(Profile!A3971="ResourceRequirement","OK","XXX"),"XXX")</f>
        <v>XXX</v>
      </c>
    </row>
    <row r="3321" spans="1:4" x14ac:dyDescent="0.45">
      <c r="A3321">
        <f>ROW()</f>
        <v>3321</v>
      </c>
      <c r="B3321" t="str">
        <f>Profile!A3970</f>
        <v xml:space="preserve">   MemberId</v>
      </c>
      <c r="C3321">
        <f>Profile!AP3972</f>
        <v>0</v>
      </c>
      <c r="D3321" t="str">
        <f>IF(Profile!C3970="Profile",IF(Profile!A3972="ResourceRequirement","OK","XXX"),"XXX")</f>
        <v>XXX</v>
      </c>
    </row>
    <row r="3322" spans="1:4" x14ac:dyDescent="0.45">
      <c r="A3322">
        <f>ROW()</f>
        <v>3322</v>
      </c>
      <c r="B3322" t="str">
        <f>Profile!A3971</f>
        <v xml:space="preserve">   Name</v>
      </c>
      <c r="C3322">
        <f>Profile!AP3973</f>
        <v>0</v>
      </c>
      <c r="D3322" t="str">
        <f>IF(Profile!C3971="Profile",IF(Profile!A3973="ResourceRequirement","OK","XXX"),"XXX")</f>
        <v>XXX</v>
      </c>
    </row>
    <row r="3323" spans="1:4" x14ac:dyDescent="0.45">
      <c r="A3323">
        <f>ROW()</f>
        <v>3323</v>
      </c>
      <c r="B3323" t="str">
        <f>Profile!A3972</f>
        <v xml:space="preserve">   OPASProfile</v>
      </c>
      <c r="C3323">
        <f>Profile!AP3974</f>
        <v>0</v>
      </c>
      <c r="D3323" t="str">
        <f>IF(Profile!C3972="Profile",IF(Profile!A3974="ResourceRequirement","OK","XXX"),"XXX")</f>
        <v>XXX</v>
      </c>
    </row>
    <row r="3324" spans="1:4" x14ac:dyDescent="0.45">
      <c r="A3324">
        <f>ROW()</f>
        <v>3324</v>
      </c>
      <c r="B3324" t="str">
        <f>Profile!A3973</f>
        <v xml:space="preserve">   OPASVersion</v>
      </c>
      <c r="C3324">
        <f>Profile!AP3975</f>
        <v>0</v>
      </c>
      <c r="D3324" t="str">
        <f>IF(Profile!C3973="Profile",IF(Profile!A3975="ResourceRequirement","OK","XXX"),"XXX")</f>
        <v>XXX</v>
      </c>
    </row>
    <row r="3325" spans="1:4" x14ac:dyDescent="0.45">
      <c r="A3325">
        <f>ROW()</f>
        <v>3325</v>
      </c>
      <c r="B3325" t="str">
        <f>Profile!A3974</f>
        <v xml:space="preserve">   OPASCertificationStatus</v>
      </c>
      <c r="C3325">
        <f>Profile!AP3976</f>
        <v>0</v>
      </c>
      <c r="D3325" t="str">
        <f>IF(Profile!C3974="Profile",IF(Profile!A3976="ResourceRequirement","OK","XXX"),"XXX")</f>
        <v>XXX</v>
      </c>
    </row>
    <row r="3326" spans="1:4" x14ac:dyDescent="0.45">
      <c r="A3326">
        <f>ROW()</f>
        <v>3326</v>
      </c>
      <c r="B3326" t="str">
        <f>Profile!A3975</f>
        <v xml:space="preserve">   OPASOptionalFeatureList</v>
      </c>
      <c r="C3326">
        <f>Profile!AP3977</f>
        <v>0</v>
      </c>
      <c r="D3326" t="str">
        <f>IF(Profile!C3975="Profile",IF(Profile!A3977="ResourceRequirement","OK","XXX"),"XXX")</f>
        <v>XXX</v>
      </c>
    </row>
    <row r="3327" spans="1:4" x14ac:dyDescent="0.45">
      <c r="A3327">
        <f>ROW()</f>
        <v>3327</v>
      </c>
      <c r="B3327" t="str">
        <f>Profile!A3976</f>
        <v>ProductRatings</v>
      </c>
      <c r="C3327">
        <f>Profile!AP3978</f>
        <v>0</v>
      </c>
      <c r="D3327" t="str">
        <f>IF(Profile!C3976="Profile",IF(Profile!A3978="ResourceRequirement","OK","XXX"),"XXX")</f>
        <v>XXX</v>
      </c>
    </row>
    <row r="3328" spans="1:4" x14ac:dyDescent="0.45">
      <c r="A3328">
        <f>ROW()</f>
        <v>3328</v>
      </c>
      <c r="B3328" t="str">
        <f>Profile!A3977</f>
        <v xml:space="preserve">   MaxRatedTemperatureCelsius</v>
      </c>
      <c r="C3328">
        <f>Profile!AP3979</f>
        <v>0</v>
      </c>
      <c r="D3328" t="str">
        <f>IF(Profile!C3977="Profile",IF(Profile!A3979="ResourceRequirement","OK","XXX"),"XXX")</f>
        <v>XXX</v>
      </c>
    </row>
    <row r="3329" spans="1:4" x14ac:dyDescent="0.45">
      <c r="A3329">
        <f>ROW()</f>
        <v>3329</v>
      </c>
      <c r="B3329" t="str">
        <f>Profile!A3978</f>
        <v xml:space="preserve">   MinRatedTemperatureCelsius</v>
      </c>
      <c r="C3329">
        <f>Profile!AP3980</f>
        <v>0</v>
      </c>
      <c r="D3329" t="str">
        <f>IF(Profile!C3978="Profile",IF(Profile!A3980="ResourceRequirement","OK","XXX"),"XXX")</f>
        <v>XXX</v>
      </c>
    </row>
    <row r="3330" spans="1:4" x14ac:dyDescent="0.45">
      <c r="A3330">
        <f>ROW()</f>
        <v>3330</v>
      </c>
      <c r="B3330" t="str">
        <f>Profile!A3979</f>
        <v xml:space="preserve">   MaxRatedHumidityPct</v>
      </c>
      <c r="C3330">
        <f>Profile!AP3981</f>
        <v>0</v>
      </c>
      <c r="D3330" t="str">
        <f>IF(Profile!C3979="Profile",IF(Profile!A3981="ResourceRequirement","OK","XXX"),"XXX")</f>
        <v>XXX</v>
      </c>
    </row>
    <row r="3331" spans="1:4" x14ac:dyDescent="0.45">
      <c r="A3331">
        <f>ROW()</f>
        <v>3331</v>
      </c>
      <c r="B3331" t="str">
        <f>Profile!A3980</f>
        <v xml:space="preserve">   MinRatedHumidityPct</v>
      </c>
      <c r="C3331">
        <f>Profile!AP3982</f>
        <v>0</v>
      </c>
      <c r="D3331" t="str">
        <f>IF(Profile!C3980="Profile",IF(Profile!A3982="ResourceRequirement","OK","XXX"),"XXX")</f>
        <v>XXX</v>
      </c>
    </row>
    <row r="3332" spans="1:4" x14ac:dyDescent="0.45">
      <c r="A3332">
        <f>ROW()</f>
        <v>3332</v>
      </c>
      <c r="B3332" t="str">
        <f>Profile!A3981</f>
        <v xml:space="preserve">   IngressProtection</v>
      </c>
      <c r="C3332">
        <f>Profile!AP3983</f>
        <v>0</v>
      </c>
      <c r="D3332" t="str">
        <f>IF(Profile!C3981="Profile",IF(Profile!A3983="ResourceRequirement","OK","XXX"),"XXX")</f>
        <v>XXX</v>
      </c>
    </row>
    <row r="3333" spans="1:4" x14ac:dyDescent="0.45">
      <c r="A3333">
        <f>ROW()</f>
        <v>3333</v>
      </c>
      <c r="B3333" t="str">
        <f>Profile!A3982</f>
        <v xml:space="preserve">   OutdoorRated</v>
      </c>
      <c r="C3333">
        <f>Profile!AP3984</f>
        <v>0</v>
      </c>
      <c r="D3333" t="str">
        <f>IF(Profile!C3982="Profile",IF(Profile!A3984="ResourceRequirement","OK","XXX"),"XXX")</f>
        <v>XXX</v>
      </c>
    </row>
    <row r="3334" spans="1:4" x14ac:dyDescent="0.45">
      <c r="A3334">
        <f>ROW()</f>
        <v>3334</v>
      </c>
      <c r="B3334" t="str">
        <f>Profile!A3983</f>
        <v xml:space="preserve">   HazardousAreaClassification</v>
      </c>
      <c r="C3334">
        <f>Profile!AP3985</f>
        <v>0</v>
      </c>
      <c r="D3334" t="str">
        <f>IF(Profile!C3983="Profile",IF(Profile!A3985="ResourceRequirement","OK","XXX"),"XXX")</f>
        <v>XXX</v>
      </c>
    </row>
    <row r="3335" spans="1:4" x14ac:dyDescent="0.45">
      <c r="A3335">
        <f>ROW()</f>
        <v>3335</v>
      </c>
      <c r="B3335" t="str">
        <f>Profile!A3984</f>
        <v>Batteries</v>
      </c>
      <c r="C3335">
        <f>Profile!AP3986</f>
        <v>0</v>
      </c>
      <c r="D3335" t="str">
        <f>IF(Profile!C3984="Profile",IF(Profile!A3986="ResourceRequirement","OK","XXX"),"XXX")</f>
        <v>XXX</v>
      </c>
    </row>
    <row r="3336" spans="1:4" x14ac:dyDescent="0.45">
      <c r="A3336">
        <f>ROW()</f>
        <v>3336</v>
      </c>
      <c r="B3336" t="str">
        <f>Profile!A3985</f>
        <v xml:space="preserve">   BatteryDescription</v>
      </c>
      <c r="C3336">
        <f>Profile!AP3987</f>
        <v>0</v>
      </c>
      <c r="D3336" t="str">
        <f>IF(Profile!C3985="Profile",IF(Profile!A3987="ResourceRequirement","OK","XXX"),"XXX")</f>
        <v>XXX</v>
      </c>
    </row>
    <row r="3337" spans="1:4" x14ac:dyDescent="0.45">
      <c r="A3337">
        <f>ROW()</f>
        <v>3337</v>
      </c>
      <c r="B3337" t="str">
        <f>Profile!A3986</f>
        <v xml:space="preserve">   PercentCharged</v>
      </c>
      <c r="C3337">
        <f>Profile!AP3988</f>
        <v>0</v>
      </c>
      <c r="D3337" t="str">
        <f>IF(Profile!C3986="Profile",IF(Profile!A3988="ResourceRequirement","OK","XXX"),"XXX")</f>
        <v>XXX</v>
      </c>
    </row>
    <row r="3338" spans="1:4" x14ac:dyDescent="0.45">
      <c r="A3338">
        <f>ROW()</f>
        <v>3338</v>
      </c>
      <c r="B3338" t="str">
        <f>Profile!A3987</f>
        <v xml:space="preserve">   RemainingTime</v>
      </c>
      <c r="C3338">
        <f>Profile!AP3989</f>
        <v>0</v>
      </c>
      <c r="D3338" t="str">
        <f>IF(Profile!C3987="Profile",IF(Profile!A3989="ResourceRequirement","OK","XXX"),"XXX")</f>
        <v>XXX</v>
      </c>
    </row>
    <row r="3339" spans="1:4" x14ac:dyDescent="0.45">
      <c r="A3339">
        <f>ROW()</f>
        <v>3339</v>
      </c>
      <c r="B3339" t="str">
        <f>Profile!A3988</f>
        <v>ExecutionEngines</v>
      </c>
      <c r="C3339">
        <f>Profile!AP3996</f>
        <v>0</v>
      </c>
      <c r="D3339" t="str">
        <f>IF(Profile!C3988="Profile",IF(Profile!A3996="ResourceRequirement","OK","XXX"),"XXX")</f>
        <v>XXX</v>
      </c>
    </row>
    <row r="3340" spans="1:4" x14ac:dyDescent="0.45">
      <c r="A3340">
        <f>ROW()</f>
        <v>3340</v>
      </c>
      <c r="B3340" t="str">
        <f>Profile!A3989</f>
        <v xml:space="preserve">   @odata.id</v>
      </c>
      <c r="C3340">
        <f>Profile!AP3997</f>
        <v>0</v>
      </c>
      <c r="D3340" t="str">
        <f>IF(Profile!C3989="Profile",IF(Profile!A3997="ResourceRequirement","OK","XXX"),"XXX")</f>
        <v>XXX</v>
      </c>
    </row>
    <row r="3341" spans="1:4" x14ac:dyDescent="0.45">
      <c r="A3341">
        <f>ROW()</f>
        <v>3341</v>
      </c>
      <c r="B3341" t="str">
        <f>Profile!A3996</f>
        <v>IONetworks</v>
      </c>
      <c r="C3341">
        <f>Profile!AP3998</f>
        <v>0</v>
      </c>
      <c r="D3341" t="str">
        <f>IF(Profile!C3996="Profile",IF(Profile!A3998="ResourceRequirement","OK","XXX"),"XXX")</f>
        <v>XXX</v>
      </c>
    </row>
    <row r="3342" spans="1:4" x14ac:dyDescent="0.45">
      <c r="A3342">
        <f>ROW()</f>
        <v>3342</v>
      </c>
      <c r="B3342" t="str">
        <f>Profile!A3997</f>
        <v xml:space="preserve">   @odata.id</v>
      </c>
      <c r="C3342">
        <f>Profile!AP3999</f>
        <v>0</v>
      </c>
      <c r="D3342" t="str">
        <f>IF(Profile!C3997="Profile",IF(Profile!A3999="ResourceRequirement","OK","XXX"),"XXX")</f>
        <v>XXX</v>
      </c>
    </row>
    <row r="3343" spans="1:4" x14ac:dyDescent="0.45">
      <c r="A3343">
        <f>ROW()</f>
        <v>3343</v>
      </c>
      <c r="B3343" t="str">
        <f>Profile!A3998</f>
        <v>IOBusses</v>
      </c>
      <c r="C3343">
        <f>Profile!AP4000</f>
        <v>0</v>
      </c>
      <c r="D3343" t="str">
        <f>IF(Profile!C3998="Profile",IF(Profile!A4000="ResourceRequirement","OK","XXX"),"XXX")</f>
        <v>XXX</v>
      </c>
    </row>
    <row r="3344" spans="1:4" x14ac:dyDescent="0.45">
      <c r="A3344">
        <f>ROW()</f>
        <v>3344</v>
      </c>
      <c r="B3344" t="str">
        <f>Profile!A3999</f>
        <v xml:space="preserve">   @odata.id</v>
      </c>
      <c r="C3344">
        <f>Profile!AP4001</f>
        <v>0</v>
      </c>
      <c r="D3344" t="str">
        <f>IF(Profile!C3999="Profile",IF(Profile!A4001="ResourceRequirement","OK","XXX"),"XXX")</f>
        <v>XXX</v>
      </c>
    </row>
    <row r="3345" spans="1:4" x14ac:dyDescent="0.45">
      <c r="A3345">
        <f>ROW()</f>
        <v>3345</v>
      </c>
      <c r="B3345" t="str">
        <f>Profile!A4000</f>
        <v>IOModules</v>
      </c>
      <c r="C3345">
        <f>Profile!AP4002</f>
        <v>0</v>
      </c>
      <c r="D3345" t="str">
        <f>IF(Profile!C4000="Profile",IF(Profile!A4002="ResourceRequirement","OK","XXX"),"XXX")</f>
        <v>XXX</v>
      </c>
    </row>
    <row r="3346" spans="1:4" x14ac:dyDescent="0.45">
      <c r="A3346">
        <f>ROW()</f>
        <v>3346</v>
      </c>
      <c r="B3346" t="str">
        <f>Profile!A4001</f>
        <v xml:space="preserve">   @odata.id</v>
      </c>
      <c r="C3346">
        <f>Profile!AP4003</f>
        <v>0</v>
      </c>
      <c r="D3346" t="str">
        <f>IF(Profile!C4001="Profile",IF(Profile!A4003="ResourceRequirement","OK","XXX"),"XXX")</f>
        <v>XXX</v>
      </c>
    </row>
    <row r="3347" spans="1:4" x14ac:dyDescent="0.45">
      <c r="A3347">
        <f>ROW()</f>
        <v>3347</v>
      </c>
      <c r="B3347" t="str">
        <f>Profile!A4002</f>
        <v>OpasIOSubsystems</v>
      </c>
      <c r="C3347">
        <f>Profile!AP4004</f>
        <v>0</v>
      </c>
      <c r="D3347" t="str">
        <f>IF(Profile!C4002="Profile",IF(Profile!A4004="ResourceRequirement","OK","XXX"),"XXX")</f>
        <v>XXX</v>
      </c>
    </row>
    <row r="3348" spans="1:4" x14ac:dyDescent="0.45">
      <c r="A3348">
        <f>ROW()</f>
        <v>3348</v>
      </c>
      <c r="B3348" t="str">
        <f>Profile!A4003</f>
        <v xml:space="preserve">   @odata.id</v>
      </c>
      <c r="C3348">
        <f>Profile!AP4005</f>
        <v>0</v>
      </c>
      <c r="D3348" t="str">
        <f>IF(Profile!C4003="Profile",IF(Profile!A4005="ResourceRequirement","OK","XXX"),"XXX")</f>
        <v>XXX</v>
      </c>
    </row>
    <row r="3349" spans="1:4" x14ac:dyDescent="0.45">
      <c r="A3349">
        <f>ROW()</f>
        <v>3349</v>
      </c>
      <c r="B3349" t="str">
        <f>Profile!A4004</f>
        <v>NonOpasIOSubsystems</v>
      </c>
      <c r="C3349">
        <f>Profile!AP4006</f>
        <v>0</v>
      </c>
      <c r="D3349" t="str">
        <f>IF(Profile!C4004="Profile",IF(Profile!A4006="ResourceRequirement","OK","XXX"),"XXX")</f>
        <v>XXX</v>
      </c>
    </row>
    <row r="3350" spans="1:4" x14ac:dyDescent="0.45">
      <c r="A3350">
        <f>ROW()</f>
        <v>3350</v>
      </c>
      <c r="B3350" t="str">
        <f>Profile!A4005</f>
        <v xml:space="preserve">   @odata.id</v>
      </c>
      <c r="C3350">
        <f>Profile!AP4007</f>
        <v>0</v>
      </c>
      <c r="D3350" t="str">
        <f>IF(Profile!C4005="Profile",IF(Profile!A4007="ResourceRequirement","OK","XXX"),"XXX")</f>
        <v>XXX</v>
      </c>
    </row>
    <row r="3351" spans="1:4" x14ac:dyDescent="0.45">
      <c r="A3351">
        <f>ROW()</f>
        <v>3351</v>
      </c>
      <c r="B3351" t="str">
        <f>Profile!A4006</f>
        <v>IOModules</v>
      </c>
      <c r="C3351">
        <f>Profile!AP4008</f>
        <v>0</v>
      </c>
      <c r="D3351" t="str">
        <f>IF(Profile!C4006="Profile",IF(Profile!A4008="ResourceRequirement","OK","XXX"),"XXX")</f>
        <v>XXX</v>
      </c>
    </row>
    <row r="3352" spans="1:4" x14ac:dyDescent="0.45">
      <c r="A3352">
        <f>ROW()</f>
        <v>3352</v>
      </c>
      <c r="B3352" t="str">
        <f>Profile!A4007</f>
        <v xml:space="preserve">   @odata.id</v>
      </c>
      <c r="C3352">
        <f>Profile!AP4009</f>
        <v>0</v>
      </c>
      <c r="D3352" t="str">
        <f>IF(Profile!C4007="Profile",IF(Profile!A4009="ResourceRequirement","OK","XXX"),"XXX")</f>
        <v>XXX</v>
      </c>
    </row>
    <row r="3353" spans="1:4" x14ac:dyDescent="0.45">
      <c r="A3353">
        <f>ROW()</f>
        <v>3353</v>
      </c>
      <c r="B3353" t="str">
        <f>Profile!A4008</f>
        <v xml:space="preserve">   MemberId</v>
      </c>
      <c r="C3353">
        <f>Profile!AP4010</f>
        <v>0</v>
      </c>
      <c r="D3353" t="str">
        <f>IF(Profile!C4008="Profile",IF(Profile!A4010="ResourceRequirement","OK","XXX"),"XXX")</f>
        <v>XXX</v>
      </c>
    </row>
    <row r="3354" spans="1:4" x14ac:dyDescent="0.45">
      <c r="A3354">
        <f>ROW()</f>
        <v>3354</v>
      </c>
      <c r="B3354" t="str">
        <f>Profile!A4009</f>
        <v xml:space="preserve">   Name</v>
      </c>
      <c r="C3354">
        <f>Profile!AP4011</f>
        <v>0</v>
      </c>
      <c r="D3354" t="str">
        <f>IF(Profile!C4009="Profile",IF(Profile!A4011="ResourceRequirement","OK","XXX"),"XXX")</f>
        <v>XXX</v>
      </c>
    </row>
    <row r="3355" spans="1:4" x14ac:dyDescent="0.45">
      <c r="A3355">
        <f>ROW()</f>
        <v>3355</v>
      </c>
      <c r="B3355" t="str">
        <f>Profile!A4010</f>
        <v xml:space="preserve">   ModuleName</v>
      </c>
      <c r="C3355">
        <f>Profile!AP4012</f>
        <v>0</v>
      </c>
      <c r="D3355" t="str">
        <f>IF(Profile!C4010="Profile",IF(Profile!A4012="ResourceRequirement","OK","XXX"),"XXX")</f>
        <v>XXX</v>
      </c>
    </row>
    <row r="3356" spans="1:4" x14ac:dyDescent="0.45">
      <c r="A3356">
        <f>ROW()</f>
        <v>3356</v>
      </c>
      <c r="B3356" t="str">
        <f>Profile!A4011</f>
        <v xml:space="preserve">   ManufactureDate</v>
      </c>
      <c r="C3356">
        <f>Profile!AP4013</f>
        <v>0</v>
      </c>
      <c r="D3356" t="str">
        <f>IF(Profile!C4011="Profile",IF(Profile!A4013="ResourceRequirement","OK","XXX"),"XXX")</f>
        <v>XXX</v>
      </c>
    </row>
    <row r="3357" spans="1:4" x14ac:dyDescent="0.45">
      <c r="A3357">
        <f>ROW()</f>
        <v>3357</v>
      </c>
      <c r="B3357" t="str">
        <f>Profile!A4012</f>
        <v xml:space="preserve">   IOChannels</v>
      </c>
      <c r="C3357">
        <f>Profile!AP4014</f>
        <v>0</v>
      </c>
      <c r="D3357" t="str">
        <f>IF(Profile!C4012="Profile",IF(Profile!A4014="ResourceRequirement","OK","XXX"),"XXX")</f>
        <v>XXX</v>
      </c>
    </row>
    <row r="3358" spans="1:4" x14ac:dyDescent="0.45">
      <c r="A3358">
        <f>ROW()</f>
        <v>3358</v>
      </c>
      <c r="B3358" t="str">
        <f>Profile!A4013</f>
        <v xml:space="preserve">      @odata.id</v>
      </c>
      <c r="C3358">
        <f>Profile!AP4015</f>
        <v>0</v>
      </c>
      <c r="D3358" t="str">
        <f>IF(Profile!C4013="Profile",IF(Profile!A4015="ResourceRequirement","OK","XXX"),"XXX")</f>
        <v>XXX</v>
      </c>
    </row>
    <row r="3359" spans="1:4" x14ac:dyDescent="0.45">
      <c r="A3359">
        <f>ROW()</f>
        <v>3359</v>
      </c>
      <c r="B3359" t="str">
        <f>Profile!A4014</f>
        <v xml:space="preserve">      MemberId</v>
      </c>
      <c r="C3359">
        <f>Profile!AP4016</f>
        <v>0</v>
      </c>
      <c r="D3359" t="str">
        <f>IF(Profile!C4014="Profile",IF(Profile!A4016="ResourceRequirement","OK","XXX"),"XXX")</f>
        <v>XXX</v>
      </c>
    </row>
    <row r="3360" spans="1:4" x14ac:dyDescent="0.45">
      <c r="A3360">
        <f>ROW()</f>
        <v>3360</v>
      </c>
      <c r="B3360" t="str">
        <f>Profile!A4015</f>
        <v xml:space="preserve">      Name</v>
      </c>
      <c r="C3360">
        <f>Profile!AP4017</f>
        <v>0</v>
      </c>
      <c r="D3360" t="str">
        <f>IF(Profile!C4015="Profile",IF(Profile!A4017="ResourceRequirement","OK","XXX"),"XXX")</f>
        <v>XXX</v>
      </c>
    </row>
    <row r="3361" spans="1:4" x14ac:dyDescent="0.45">
      <c r="A3361">
        <f>ROW()</f>
        <v>3361</v>
      </c>
      <c r="B3361" t="str">
        <f>Profile!A4016</f>
        <v xml:space="preserve">      ChannelName</v>
      </c>
      <c r="C3361">
        <f>Profile!AP4018</f>
        <v>0</v>
      </c>
      <c r="D3361" t="str">
        <f>IF(Profile!C4016="Profile",IF(Profile!A4018="ResourceRequirement","OK","XXX"),"XXX")</f>
        <v>XXX</v>
      </c>
    </row>
    <row r="3362" spans="1:4" x14ac:dyDescent="0.45">
      <c r="A3362">
        <f>ROW()</f>
        <v>3362</v>
      </c>
      <c r="B3362" t="str">
        <f>Profile!A4017</f>
        <v xml:space="preserve">      SignalType</v>
      </c>
      <c r="C3362">
        <f>Profile!AP4019</f>
        <v>0</v>
      </c>
      <c r="D3362" t="str">
        <f>IF(Profile!C4017="Profile",IF(Profile!A4019="ResourceRequirement","OK","XXX"),"XXX")</f>
        <v>XXX</v>
      </c>
    </row>
    <row r="3363" spans="1:4" x14ac:dyDescent="0.45">
      <c r="A3363">
        <f>ROW()</f>
        <v>3363</v>
      </c>
      <c r="B3363" t="str">
        <f>Profile!A4018</f>
        <v xml:space="preserve">      SignalRange</v>
      </c>
      <c r="C3363">
        <f>Profile!AP4020</f>
        <v>0</v>
      </c>
      <c r="D3363" t="str">
        <f>IF(Profile!C4018="Profile",IF(Profile!A4020="ResourceRequirement","OK","XXX"),"XXX")</f>
        <v>XXX</v>
      </c>
    </row>
    <row r="3364" spans="1:4" x14ac:dyDescent="0.45">
      <c r="A3364">
        <f>ROW()</f>
        <v>3364</v>
      </c>
      <c r="B3364" t="str">
        <f>Profile!A4019</f>
        <v xml:space="preserve">      ChannelDiagnostics</v>
      </c>
      <c r="C3364">
        <f>Profile!AP4021</f>
        <v>0</v>
      </c>
      <c r="D3364" t="str">
        <f>IF(Profile!C4019="Profile",IF(Profile!A4021="ResourceRequirement","OK","XXX"),"XXX")</f>
        <v>XXX</v>
      </c>
    </row>
    <row r="3365" spans="1:4" x14ac:dyDescent="0.45">
      <c r="A3365">
        <f>ROW()</f>
        <v>3365</v>
      </c>
      <c r="B3365" t="str">
        <f>Profile!A4020</f>
        <v xml:space="preserve">         OutOfRangeNamur</v>
      </c>
      <c r="C3365">
        <f>Profile!AP4022</f>
        <v>0</v>
      </c>
      <c r="D3365" t="str">
        <f>IF(Profile!C4020="Profile",IF(Profile!A4022="ResourceRequirement","OK","XXX"),"XXX")</f>
        <v>XXX</v>
      </c>
    </row>
    <row r="3366" spans="1:4" x14ac:dyDescent="0.45">
      <c r="A3366">
        <f>ROW()</f>
        <v>3366</v>
      </c>
      <c r="B3366" t="str">
        <f>Profile!A4021</f>
        <v xml:space="preserve">         ContinuitySupport</v>
      </c>
      <c r="C3366">
        <f>Profile!AP4023</f>
        <v>0</v>
      </c>
      <c r="D3366" t="str">
        <f>IF(Profile!C4021="Profile",IF(Profile!A4023="ResourceRequirement","OK","XXX"),"XXX")</f>
        <v>XXX</v>
      </c>
    </row>
    <row r="3367" spans="1:4" x14ac:dyDescent="0.45">
      <c r="A3367">
        <f>ROW()</f>
        <v>3367</v>
      </c>
      <c r="B3367" t="str">
        <f>Profile!A4022</f>
        <v xml:space="preserve">         ContinuityOK</v>
      </c>
      <c r="C3367">
        <f>Profile!AP4024</f>
        <v>0</v>
      </c>
      <c r="D3367" t="str">
        <f>IF(Profile!C4022="Profile",IF(Profile!A4024="ResourceRequirement","OK","XXX"),"XXX")</f>
        <v>XXX</v>
      </c>
    </row>
    <row r="3368" spans="1:4" x14ac:dyDescent="0.45">
      <c r="A3368">
        <f>ROW()</f>
        <v>3368</v>
      </c>
      <c r="B3368" t="str">
        <f>Profile!A4023</f>
        <v xml:space="preserve">         SensorTestPossible</v>
      </c>
      <c r="C3368">
        <f>Profile!AP4025</f>
        <v>0</v>
      </c>
      <c r="D3368" t="str">
        <f>IF(Profile!C4023="Profile",IF(Profile!A4025="ResourceRequirement","OK","XXX"),"XXX")</f>
        <v>XXX</v>
      </c>
    </row>
    <row r="3369" spans="1:4" x14ac:dyDescent="0.45">
      <c r="A3369">
        <f>ROW()</f>
        <v>3369</v>
      </c>
      <c r="B3369" t="str">
        <f>Profile!A4024</f>
        <v xml:space="preserve">         SensorTestOK</v>
      </c>
      <c r="C3369">
        <f>Profile!AP4026</f>
        <v>0</v>
      </c>
      <c r="D3369" t="str">
        <f>IF(Profile!C4024="Profile",IF(Profile!A4026="ResourceRequirement","OK","XXX"),"XXX")</f>
        <v>XXX</v>
      </c>
    </row>
    <row r="3370" spans="1:4" x14ac:dyDescent="0.45">
      <c r="A3370">
        <f>ROW()</f>
        <v>3370</v>
      </c>
      <c r="B3370" t="str">
        <f>Profile!A4025</f>
        <v xml:space="preserve">      Hart</v>
      </c>
      <c r="C3370">
        <f>Profile!AP4027</f>
        <v>0</v>
      </c>
      <c r="D3370" t="str">
        <f>IF(Profile!C4025="Profile",IF(Profile!A4027="ResourceRequirement","OK","XXX"),"XXX")</f>
        <v>XXX</v>
      </c>
    </row>
    <row r="3371" spans="1:4" x14ac:dyDescent="0.45">
      <c r="A3371">
        <f>ROW()</f>
        <v>3371</v>
      </c>
      <c r="B3371" t="str">
        <f>Profile!A4026</f>
        <v xml:space="preserve">         HartVersion</v>
      </c>
      <c r="C3371">
        <f>Profile!AP4028</f>
        <v>0</v>
      </c>
      <c r="D3371" t="str">
        <f>IF(Profile!C4026="Profile",IF(Profile!A4028="ResourceRequirement","OK","XXX"),"XXX")</f>
        <v>XXX</v>
      </c>
    </row>
    <row r="3372" spans="1:4" x14ac:dyDescent="0.45">
      <c r="A3372">
        <f>ROW()</f>
        <v>3372</v>
      </c>
      <c r="B3372" t="str">
        <f>Profile!A4027</f>
        <v xml:space="preserve">         DeviceName</v>
      </c>
      <c r="C3372">
        <f>Profile!AP4029</f>
        <v>0</v>
      </c>
      <c r="D3372" t="str">
        <f>IF(Profile!C4027="Profile",IF(Profile!A4029="ResourceRequirement","OK","XXX"),"XXX")</f>
        <v>XXX</v>
      </c>
    </row>
    <row r="3373" spans="1:4" x14ac:dyDescent="0.45">
      <c r="A3373">
        <f>ROW()</f>
        <v>3373</v>
      </c>
      <c r="B3373" t="str">
        <f>Profile!A4028</f>
        <v xml:space="preserve">         LongTag</v>
      </c>
      <c r="C3373">
        <f>Profile!AP4030</f>
        <v>0</v>
      </c>
      <c r="D3373" t="str">
        <f>IF(Profile!C4028="Profile",IF(Profile!A4030="ResourceRequirement","OK","XXX"),"XXX")</f>
        <v>XXX</v>
      </c>
    </row>
    <row r="3374" spans="1:4" x14ac:dyDescent="0.45">
      <c r="A3374">
        <f>ROW()</f>
        <v>3374</v>
      </c>
      <c r="B3374" t="str">
        <f>Profile!A4029</f>
        <v xml:space="preserve">         ShortTag</v>
      </c>
      <c r="C3374">
        <f>Profile!AP4031</f>
        <v>0</v>
      </c>
      <c r="D3374" t="str">
        <f>IF(Profile!C4029="Profile",IF(Profile!A4031="ResourceRequirement","OK","XXX"),"XXX")</f>
        <v>XXX</v>
      </c>
    </row>
    <row r="3375" spans="1:4" x14ac:dyDescent="0.45">
      <c r="A3375">
        <f>ROW()</f>
        <v>3375</v>
      </c>
      <c r="B3375" t="str">
        <f>Profile!A4030</f>
        <v xml:space="preserve">         ErrorBitSet</v>
      </c>
      <c r="C3375">
        <f>Profile!AP4032</f>
        <v>0</v>
      </c>
      <c r="D3375" t="str">
        <f>IF(Profile!C4030="Profile",IF(Profile!A4032="ResourceRequirement","OK","XXX"),"XXX")</f>
        <v>XXX</v>
      </c>
    </row>
    <row r="3376" spans="1:4" x14ac:dyDescent="0.45">
      <c r="A3376">
        <f>ROW()</f>
        <v>3376</v>
      </c>
      <c r="B3376" t="str">
        <f>Profile!A4031</f>
        <v xml:space="preserve">         MoreStatusAvailableBitSet</v>
      </c>
      <c r="C3376">
        <f>Profile!AP4033</f>
        <v>0</v>
      </c>
      <c r="D3376" t="str">
        <f>IF(Profile!C4031="Profile",IF(Profile!A4033="ResourceRequirement","OK","XXX"),"XXX")</f>
        <v>XXX</v>
      </c>
    </row>
    <row r="3377" spans="1:4" x14ac:dyDescent="0.45">
      <c r="A3377">
        <f>ROW()</f>
        <v>3377</v>
      </c>
      <c r="B3377" t="str">
        <f>Profile!A4032</f>
        <v>Oem</v>
      </c>
      <c r="C3377">
        <f>Profile!AP4034</f>
        <v>0</v>
      </c>
      <c r="D3377" t="str">
        <f>IF(Profile!C4032="Profile",IF(Profile!A4034="ResourceRequirement","OK","XXX"),"XXX")</f>
        <v>XXX</v>
      </c>
    </row>
    <row r="3378" spans="1:4" x14ac:dyDescent="0.45">
      <c r="A3378">
        <f>ROW()</f>
        <v>3378</v>
      </c>
      <c r="B3378" t="str">
        <f>Profile!A4033</f>
        <v>Component URIs</v>
      </c>
      <c r="C3378">
        <f>Profile!AP4035</f>
        <v>0</v>
      </c>
      <c r="D3378" t="str">
        <f>IF(Profile!C4033="Profile",IF(Profile!A4035="ResourceRequirement","OK","XXX"),"XXX")</f>
        <v>XXX</v>
      </c>
    </row>
    <row r="3379" spans="1:4" x14ac:dyDescent="0.45">
      <c r="A3379">
        <f>ROW()</f>
        <v>3379</v>
      </c>
      <c r="B3379" t="str">
        <f>Profile!A4034</f>
        <v>/redfish/v1/Systems/{ComputerSystemId}/HostedServices/DistributedControlNodeServices</v>
      </c>
      <c r="C3379">
        <f>Profile!AP4036</f>
        <v>0</v>
      </c>
      <c r="D3379" t="str">
        <f>IF(Profile!C4034="Profile",IF(Profile!A4036="ResourceRequirement","OK","XXX"),"XXX")</f>
        <v>XXX</v>
      </c>
    </row>
    <row r="3380" spans="1:4" x14ac:dyDescent="0.45">
      <c r="A3380">
        <f>ROW()</f>
        <v>3380</v>
      </c>
      <c r="B3380">
        <f>Profile!A4035</f>
        <v>0</v>
      </c>
      <c r="C3380">
        <f>Profile!AP4037</f>
        <v>0</v>
      </c>
      <c r="D3380" t="str">
        <f>IF(Profile!C4035="Profile",IF(Profile!A4037="ResourceRequirement","OK","XXX"),"XXX")</f>
        <v>XXX</v>
      </c>
    </row>
    <row r="3381" spans="1:4" x14ac:dyDescent="0.45">
      <c r="A3381">
        <f>ROW()</f>
        <v>3381</v>
      </c>
      <c r="B3381" t="str">
        <f>Profile!A4036</f>
        <v>1.1.1.3               DCNExecutionEngineCollection</v>
      </c>
      <c r="C3381">
        <f>Profile!AP4038</f>
        <v>0</v>
      </c>
      <c r="D3381" t="str">
        <f>IF(Profile!C4036="Profile",IF(Profile!A4038="ResourceRequirement","OK","XXX"),"XXX")</f>
        <v>XXX</v>
      </c>
    </row>
    <row r="3382" spans="1:4" x14ac:dyDescent="0.45">
      <c r="A3382">
        <f>ROW()</f>
        <v>3382</v>
      </c>
      <c r="B3382" t="str">
        <f>Profile!A4037</f>
        <v>A DCNExecutionEngineCollection is a collection of DCNExecutionEngine Resources running on a node.</v>
      </c>
      <c r="C3382">
        <f>Profile!AP4039</f>
        <v>0</v>
      </c>
      <c r="D3382" t="str">
        <f>IF(Profile!C4037="Profile",IF(Profile!A4039="ResourceRequirement","OK","XXX"),"XXX")</f>
        <v>XXX</v>
      </c>
    </row>
    <row r="3383" spans="1:4" x14ac:dyDescent="0.45">
      <c r="A3383">
        <f>ROW()</f>
        <v>3383</v>
      </c>
      <c r="B3383" t="str">
        <f>Profile!A4038</f>
        <v>DCNExecutionEngineCollection (1.0.0)</v>
      </c>
      <c r="C3383">
        <f>Profile!AP4040</f>
        <v>0</v>
      </c>
      <c r="D3383" t="str">
        <f>IF(Profile!C4038="Profile",IF(Profile!A4040="ResourceRequirement","OK","XXX"),"XXX")</f>
        <v>OK</v>
      </c>
    </row>
    <row r="3384" spans="1:4" x14ac:dyDescent="0.45">
      <c r="A3384">
        <f>ROW()</f>
        <v>3384</v>
      </c>
      <c r="B3384">
        <f>Profile!A4039</f>
        <v>0</v>
      </c>
      <c r="C3384">
        <f>Profile!AP4041</f>
        <v>0</v>
      </c>
      <c r="D3384" t="str">
        <f>IF(Profile!C4039="Profile",IF(Profile!A4041="ResourceRequirement","OK","XXX"),"XXX")</f>
        <v>XXX</v>
      </c>
    </row>
    <row r="3385" spans="1:4" x14ac:dyDescent="0.45">
      <c r="A3385">
        <f>ROW()</f>
        <v>3385</v>
      </c>
      <c r="B3385" t="str">
        <f>Profile!A4040</f>
        <v>ResourceRequirement</v>
      </c>
      <c r="C3385">
        <f>Profile!AP4042</f>
        <v>0</v>
      </c>
      <c r="D3385" t="str">
        <f>IF(Profile!C4040="Profile",IF(Profile!A4042="ResourceRequirement","OK","XXX"),"XXX")</f>
        <v>XXX</v>
      </c>
    </row>
    <row r="3386" spans="1:4" x14ac:dyDescent="0.45">
      <c r="A3386">
        <f>ROW()</f>
        <v>3386</v>
      </c>
      <c r="B3386" t="str">
        <f>Profile!A4041</f>
        <v>Property</v>
      </c>
      <c r="C3386">
        <f>Profile!AP4043</f>
        <v>0</v>
      </c>
      <c r="D3386" t="str">
        <f>IF(Profile!C4041="Profile",IF(Profile!A4043="ResourceRequirement","OK","XXX"),"XXX")</f>
        <v>XXX</v>
      </c>
    </row>
    <row r="3387" spans="1:4" x14ac:dyDescent="0.45">
      <c r="A3387">
        <f>ROW()</f>
        <v>3387</v>
      </c>
      <c r="B3387" t="str">
        <f>Profile!A4042</f>
        <v>Members</v>
      </c>
      <c r="C3387">
        <f>Profile!AP4044</f>
        <v>0</v>
      </c>
      <c r="D3387" t="str">
        <f>IF(Profile!C4042="Profile",IF(Profile!A4044="ResourceRequirement","OK","XXX"),"XXX")</f>
        <v>XXX</v>
      </c>
    </row>
    <row r="3388" spans="1:4" x14ac:dyDescent="0.45">
      <c r="A3388">
        <f>ROW()</f>
        <v>3388</v>
      </c>
      <c r="B3388" t="str">
        <f>Profile!A4043</f>
        <v xml:space="preserve">   @odata.id</v>
      </c>
      <c r="C3388">
        <f>Profile!AP4045</f>
        <v>0</v>
      </c>
      <c r="D3388" t="str">
        <f>IF(Profile!C4043="Profile",IF(Profile!A4045="ResourceRequirement","OK","XXX"),"XXX")</f>
        <v>XXX</v>
      </c>
    </row>
    <row r="3389" spans="1:4" x14ac:dyDescent="0.45">
      <c r="A3389">
        <f>ROW()</f>
        <v>3389</v>
      </c>
      <c r="B3389" t="str">
        <f>Profile!A4044</f>
        <v>DCNExecutionEngineCollection URIs</v>
      </c>
      <c r="C3389">
        <f>Profile!AP4046</f>
        <v>0</v>
      </c>
      <c r="D3389" t="str">
        <f>IF(Profile!C4044="Profile",IF(Profile!A4046="ResourceRequirement","OK","XXX"),"XXX")</f>
        <v>XXX</v>
      </c>
    </row>
    <row r="3390" spans="1:4" x14ac:dyDescent="0.45">
      <c r="A3390">
        <f>ROW()</f>
        <v>3390</v>
      </c>
      <c r="B3390" t="str">
        <f>Profile!A4045</f>
        <v>/redfish/v1/Systems/{ComputerSystemId}/HostedServices/DistributedControlNodeServices/ExecutionEngines</v>
      </c>
      <c r="C3390">
        <f>Profile!AP4047</f>
        <v>0</v>
      </c>
      <c r="D3390" t="str">
        <f>IF(Profile!C4045="Profile",IF(Profile!A4047="ResourceRequirement","OK","XXX"),"XXX")</f>
        <v>XXX</v>
      </c>
    </row>
    <row r="3391" spans="1:4" x14ac:dyDescent="0.45">
      <c r="A3391">
        <f>ROW()</f>
        <v>3391</v>
      </c>
      <c r="B3391">
        <f>Profile!A4046</f>
        <v>0</v>
      </c>
      <c r="C3391">
        <f>Profile!AP4048</f>
        <v>0</v>
      </c>
      <c r="D3391" t="str">
        <f>IF(Profile!C4046="Profile",IF(Profile!A4048="ResourceRequirement","OK","XXX"),"XXX")</f>
        <v>XXX</v>
      </c>
    </row>
    <row r="3392" spans="1:4" x14ac:dyDescent="0.45">
      <c r="A3392">
        <f>ROW()</f>
        <v>3392</v>
      </c>
      <c r="B3392" t="str">
        <f>Profile!A4047</f>
        <v>1.1.9.8 DCNExecutionEngine</v>
      </c>
      <c r="C3392">
        <f>Profile!AP4049</f>
        <v>0</v>
      </c>
      <c r="D3392" t="str">
        <f>IF(Profile!C4047="Profile",IF(Profile!A4049="ResourceRequirement","OK","XXX"),"XXX")</f>
        <v>XXX</v>
      </c>
    </row>
    <row r="3393" spans="1:4" x14ac:dyDescent="0.45">
      <c r="A3393">
        <f>ROW()</f>
        <v>3393</v>
      </c>
      <c r="B3393" t="str">
        <f>Profile!A4048</f>
        <v>Resource describing attributes of a DCN Execution Engine environment on an O-PAS DCN.</v>
      </c>
      <c r="C3393">
        <f>Profile!AP4050</f>
        <v>0</v>
      </c>
      <c r="D3393" t="str">
        <f>IF(Profile!C4048="Profile",IF(Profile!A4050="ResourceRequirement","OK","XXX"),"XXX")</f>
        <v>XXX</v>
      </c>
    </row>
    <row r="3394" spans="1:4" x14ac:dyDescent="0.45">
      <c r="A3394">
        <f>ROW()</f>
        <v>3394</v>
      </c>
      <c r="B3394" t="str">
        <f>Profile!A4049</f>
        <v>DCNExecutionEngine (1.0.0)</v>
      </c>
      <c r="C3394">
        <f>Profile!AP4051</f>
        <v>11</v>
      </c>
      <c r="D3394" t="str">
        <f>IF(Profile!C4049="Profile",IF(Profile!A4051="ResourceRequirement","OK","XXX"),"XXX")</f>
        <v>OK</v>
      </c>
    </row>
    <row r="3395" spans="1:4" x14ac:dyDescent="0.45">
      <c r="A3395">
        <f>ROW()</f>
        <v>3395</v>
      </c>
      <c r="B3395">
        <f>Profile!A4050</f>
        <v>0</v>
      </c>
      <c r="C3395">
        <f>Profile!AP4052</f>
        <v>0</v>
      </c>
      <c r="D3395" t="str">
        <f>IF(Profile!C4050="Profile",IF(Profile!A4052="ResourceRequirement","OK","XXX"),"XXX")</f>
        <v>XXX</v>
      </c>
    </row>
    <row r="3396" spans="1:4" x14ac:dyDescent="0.45">
      <c r="A3396">
        <f>ROW()</f>
        <v>3396</v>
      </c>
      <c r="B3396" t="str">
        <f>Profile!A4051</f>
        <v>ResourceRequirement</v>
      </c>
      <c r="C3396">
        <f>Profile!AP4053</f>
        <v>0</v>
      </c>
      <c r="D3396" t="str">
        <f>IF(Profile!C4051="Profile",IF(Profile!A4053="ResourceRequirement","OK","XXX"),"XXX")</f>
        <v>XXX</v>
      </c>
    </row>
    <row r="3397" spans="1:4" x14ac:dyDescent="0.45">
      <c r="A3397">
        <f>ROW()</f>
        <v>3397</v>
      </c>
      <c r="B3397" t="str">
        <f>Profile!A4052</f>
        <v>Resource MinVersion</v>
      </c>
      <c r="C3397">
        <f>Profile!AP4054</f>
        <v>0</v>
      </c>
      <c r="D3397" t="str">
        <f>IF(Profile!C4052="Profile",IF(Profile!A4054="ResourceRequirement","OK","XXX"),"XXX")</f>
        <v>XXX</v>
      </c>
    </row>
    <row r="3398" spans="1:4" x14ac:dyDescent="0.45">
      <c r="A3398">
        <f>ROW()</f>
        <v>3398</v>
      </c>
      <c r="B3398" t="str">
        <f>Profile!A4053</f>
        <v>Property</v>
      </c>
      <c r="C3398">
        <f>Profile!AP4055</f>
        <v>0</v>
      </c>
      <c r="D3398" t="str">
        <f>IF(Profile!C4053="Profile",IF(Profile!A4055="ResourceRequirement","OK","XXX"),"XXX")</f>
        <v>XXX</v>
      </c>
    </row>
    <row r="3399" spans="1:4" x14ac:dyDescent="0.45">
      <c r="A3399">
        <f>ROW()</f>
        <v>3399</v>
      </c>
      <c r="B3399" t="str">
        <f>Profile!A4054</f>
        <v>Actions</v>
      </c>
      <c r="C3399">
        <f>Profile!AP4056</f>
        <v>0</v>
      </c>
      <c r="D3399" t="str">
        <f>IF(Profile!C4054="Profile",IF(Profile!A4056="ResourceRequirement","OK","XXX"),"XXX")</f>
        <v>XXX</v>
      </c>
    </row>
    <row r="3400" spans="1:4" x14ac:dyDescent="0.45">
      <c r="A3400">
        <f>ROW()</f>
        <v>3400</v>
      </c>
      <c r="B3400" t="str">
        <f>Profile!A4055</f>
        <v xml:space="preserve">   #DCNExecutionEngine.Reset</v>
      </c>
      <c r="C3400">
        <f>Profile!AP4057</f>
        <v>0</v>
      </c>
      <c r="D3400" t="str">
        <f>IF(Profile!C4055="Profile",IF(Profile!A4057="ResourceRequirement","OK","XXX"),"XXX")</f>
        <v>XXX</v>
      </c>
    </row>
    <row r="3401" spans="1:4" x14ac:dyDescent="0.45">
      <c r="A3401">
        <f>ROW()</f>
        <v>3401</v>
      </c>
      <c r="B3401" t="str">
        <f>Profile!A4056</f>
        <v xml:space="preserve">   #DCNExecutionEngine.Start</v>
      </c>
      <c r="C3401">
        <f>Profile!AP4058</f>
        <v>0</v>
      </c>
      <c r="D3401" t="str">
        <f>IF(Profile!C4056="Profile",IF(Profile!A4058="ResourceRequirement","OK","XXX"),"XXX")</f>
        <v>XXX</v>
      </c>
    </row>
    <row r="3402" spans="1:4" x14ac:dyDescent="0.45">
      <c r="A3402">
        <f>ROW()</f>
        <v>3402</v>
      </c>
      <c r="B3402" t="str">
        <f>Profile!A4057</f>
        <v xml:space="preserve">   #DCNExecutionEngine.Stop</v>
      </c>
      <c r="C3402">
        <f>Profile!AP4059</f>
        <v>0</v>
      </c>
      <c r="D3402" t="str">
        <f>IF(Profile!C4057="Profile",IF(Profile!A4059="ResourceRequirement","OK","XXX"),"XXX")</f>
        <v>XXX</v>
      </c>
    </row>
    <row r="3403" spans="1:4" x14ac:dyDescent="0.45">
      <c r="A3403">
        <f>ROW()</f>
        <v>3403</v>
      </c>
      <c r="B3403" t="str">
        <f>Profile!A4058</f>
        <v xml:space="preserve">   #DCNExecutionEngine.Swap</v>
      </c>
      <c r="C3403">
        <f>Profile!AP4060</f>
        <v>0</v>
      </c>
      <c r="D3403" t="str">
        <f>IF(Profile!C4058="Profile",IF(Profile!A4060="ResourceRequirement","OK","XXX"),"XXX")</f>
        <v>XXX</v>
      </c>
    </row>
    <row r="3404" spans="1:4" x14ac:dyDescent="0.45">
      <c r="A3404">
        <f>ROW()</f>
        <v>3404</v>
      </c>
      <c r="B3404" t="str">
        <f>Profile!A4059</f>
        <v>Vendor</v>
      </c>
      <c r="C3404">
        <f>Profile!AP4061</f>
        <v>0</v>
      </c>
      <c r="D3404" t="str">
        <f>IF(Profile!C4059="Profile",IF(Profile!A4061="ResourceRequirement","OK","XXX"),"XXX")</f>
        <v>XXX</v>
      </c>
    </row>
    <row r="3405" spans="1:4" x14ac:dyDescent="0.45">
      <c r="A3405">
        <f>ROW()</f>
        <v>3405</v>
      </c>
      <c r="B3405" t="str">
        <f>Profile!A4060</f>
        <v>ProductName</v>
      </c>
      <c r="C3405">
        <f>Profile!AP4062</f>
        <v>0</v>
      </c>
      <c r="D3405" t="str">
        <f>IF(Profile!C4060="Profile",IF(Profile!A4062="ResourceRequirement","OK","XXX"),"XXX")</f>
        <v>XXX</v>
      </c>
    </row>
    <row r="3406" spans="1:4" x14ac:dyDescent="0.45">
      <c r="A3406">
        <f>ROW()</f>
        <v>3406</v>
      </c>
      <c r="B3406" t="str">
        <f>Profile!A4061</f>
        <v>Version</v>
      </c>
      <c r="C3406">
        <f>Profile!AP4063</f>
        <v>0</v>
      </c>
      <c r="D3406" t="str">
        <f>IF(Profile!C4061="Profile",IF(Profile!A4063="ResourceRequirement","OK","XXX"),"XXX")</f>
        <v>XXX</v>
      </c>
    </row>
    <row r="3407" spans="1:4" x14ac:dyDescent="0.45">
      <c r="A3407">
        <f>ROW()</f>
        <v>3407</v>
      </c>
      <c r="B3407" t="str">
        <f>Profile!A4062</f>
        <v>ExecutionEngineRole</v>
      </c>
      <c r="C3407">
        <f>Profile!AP4064</f>
        <v>0</v>
      </c>
      <c r="D3407" t="str">
        <f>IF(Profile!C4062="Profile",IF(Profile!A4064="ResourceRequirement","OK","XXX"),"XXX")</f>
        <v>XXX</v>
      </c>
    </row>
    <row r="3408" spans="1:4" x14ac:dyDescent="0.45">
      <c r="A3408">
        <f>ROW()</f>
        <v>3408</v>
      </c>
      <c r="B3408" t="str">
        <f>Profile!A4063</f>
        <v>FunctionBlocks</v>
      </c>
      <c r="C3408">
        <f>Profile!AP4065</f>
        <v>0</v>
      </c>
      <c r="D3408" t="str">
        <f>IF(Profile!C4063="Profile",IF(Profile!A4065="ResourceRequirement","OK","XXX"),"XXX")</f>
        <v>XXX</v>
      </c>
    </row>
    <row r="3409" spans="1:4" x14ac:dyDescent="0.45">
      <c r="A3409">
        <f>ROW()</f>
        <v>3409</v>
      </c>
      <c r="B3409" t="str">
        <f>Profile!A4064</f>
        <v xml:space="preserve">   @odata.id</v>
      </c>
      <c r="C3409">
        <f>Profile!AP4066</f>
        <v>0</v>
      </c>
      <c r="D3409" t="str">
        <f>IF(Profile!C4064="Profile",IF(Profile!A4066="ResourceRequirement","OK","XXX"),"XXX")</f>
        <v>XXX</v>
      </c>
    </row>
    <row r="3410" spans="1:4" x14ac:dyDescent="0.45">
      <c r="A3410">
        <f>ROW()</f>
        <v>3410</v>
      </c>
      <c r="B3410" t="str">
        <f>Profile!A4065</f>
        <v xml:space="preserve">   MemberId</v>
      </c>
      <c r="C3410">
        <f>Profile!AP4067</f>
        <v>0</v>
      </c>
      <c r="D3410" t="str">
        <f>IF(Profile!C4065="Profile",IF(Profile!A4067="ResourceRequirement","OK","XXX"),"XXX")</f>
        <v>XXX</v>
      </c>
    </row>
    <row r="3411" spans="1:4" x14ac:dyDescent="0.45">
      <c r="A3411">
        <f>ROW()</f>
        <v>3411</v>
      </c>
      <c r="B3411" t="str">
        <f>Profile!A4066</f>
        <v xml:space="preserve">   Name</v>
      </c>
      <c r="C3411">
        <f>Profile!AP4068</f>
        <v>0</v>
      </c>
      <c r="D3411" t="str">
        <f>IF(Profile!C4066="Profile",IF(Profile!A4068="ResourceRequirement","OK","XXX"),"XXX")</f>
        <v>XXX</v>
      </c>
    </row>
    <row r="3412" spans="1:4" x14ac:dyDescent="0.45">
      <c r="A3412">
        <f>ROW()</f>
        <v>3412</v>
      </c>
      <c r="B3412" t="str">
        <f>Profile!A4067</f>
        <v xml:space="preserve">   FunctionBlockName</v>
      </c>
      <c r="C3412">
        <f>Profile!AP4069</f>
        <v>0</v>
      </c>
      <c r="D3412" t="str">
        <f>IF(Profile!C4067="Profile",IF(Profile!A4069="ResourceRequirement","OK","XXX"),"XXX")</f>
        <v>XXX</v>
      </c>
    </row>
    <row r="3413" spans="1:4" x14ac:dyDescent="0.45">
      <c r="A3413">
        <f>ROW()</f>
        <v>3413</v>
      </c>
      <c r="B3413" t="str">
        <f>Profile!A4068</f>
        <v xml:space="preserve">   Version</v>
      </c>
      <c r="C3413">
        <f>Profile!AP4070</f>
        <v>0</v>
      </c>
      <c r="D3413" t="str">
        <f>IF(Profile!C4068="Profile",IF(Profile!A4070="ResourceRequirement","OK","XXX"),"XXX")</f>
        <v>XXX</v>
      </c>
    </row>
    <row r="3414" spans="1:4" x14ac:dyDescent="0.45">
      <c r="A3414">
        <f>ROW()</f>
        <v>3414</v>
      </c>
      <c r="B3414" t="str">
        <f>Profile!A4069</f>
        <v xml:space="preserve">   FunctionBlockState</v>
      </c>
      <c r="C3414">
        <f>Profile!AP4071</f>
        <v>0</v>
      </c>
      <c r="D3414" t="str">
        <f>IF(Profile!C4069="Profile",IF(Profile!A4071="ResourceRequirement","OK","XXX"),"XXX")</f>
        <v>XXX</v>
      </c>
    </row>
    <row r="3415" spans="1:4" x14ac:dyDescent="0.45">
      <c r="A3415">
        <f>ROW()</f>
        <v>3415</v>
      </c>
      <c r="B3415" t="str">
        <f>Profile!A4070</f>
        <v>Oem</v>
      </c>
      <c r="C3415">
        <f>Profile!AP4074</f>
        <v>0</v>
      </c>
      <c r="D3415" t="str">
        <f>IF(Profile!C4070="Profile",IF(Profile!A4074="ResourceRequirement","OK","XXX"),"XXX")</f>
        <v>XXX</v>
      </c>
    </row>
    <row r="3416" spans="1:4" x14ac:dyDescent="0.45">
      <c r="A3416">
        <f>ROW()</f>
        <v>3416</v>
      </c>
      <c r="B3416" t="str">
        <f>Profile!A4071</f>
        <v>Status</v>
      </c>
      <c r="C3416">
        <f>Profile!AP4075</f>
        <v>0</v>
      </c>
      <c r="D3416" t="str">
        <f>IF(Profile!C4071="Profile",IF(Profile!A4075="ResourceRequirement","OK","XXX"),"XXX")</f>
        <v>XXX</v>
      </c>
    </row>
    <row r="3417" spans="1:4" x14ac:dyDescent="0.45">
      <c r="A3417">
        <f>ROW()</f>
        <v>3417</v>
      </c>
      <c r="B3417" t="str">
        <f>Profile!A4074</f>
        <v>ExecutionEngineMetrics</v>
      </c>
      <c r="C3417">
        <f>Profile!AP4076</f>
        <v>0</v>
      </c>
      <c r="D3417" t="str">
        <f>IF(Profile!C4074="Profile",IF(Profile!A4076="ResourceRequirement","OK","XXX"),"XXX")</f>
        <v>XXX</v>
      </c>
    </row>
    <row r="3418" spans="1:4" x14ac:dyDescent="0.45">
      <c r="A3418">
        <f>ROW()</f>
        <v>3418</v>
      </c>
      <c r="B3418" t="str">
        <f>Profile!A4075</f>
        <v xml:space="preserve">   @odata.id</v>
      </c>
      <c r="C3418">
        <f>Profile!AP4077</f>
        <v>0</v>
      </c>
      <c r="D3418" t="str">
        <f>IF(Profile!C4075="Profile",IF(Profile!A4077="ResourceRequirement","OK","XXX"),"XXX")</f>
        <v>XXX</v>
      </c>
    </row>
    <row r="3419" spans="1:4" x14ac:dyDescent="0.45">
      <c r="A3419">
        <f>ROW()</f>
        <v>3419</v>
      </c>
      <c r="B3419" t="str">
        <f>Profile!A4076</f>
        <v>DCNExecutionEngine URIs</v>
      </c>
      <c r="C3419">
        <f>Profile!AP4078</f>
        <v>0</v>
      </c>
      <c r="D3419" t="str">
        <f>IF(Profile!C4076="Profile",IF(Profile!A4078="ResourceRequirement","OK","XXX"),"XXX")</f>
        <v>XXX</v>
      </c>
    </row>
    <row r="3420" spans="1:4" x14ac:dyDescent="0.45">
      <c r="A3420">
        <f>ROW()</f>
        <v>3420</v>
      </c>
      <c r="B3420" t="str">
        <f>Profile!A4077</f>
        <v>/redfish/v1/Systems/{ComputerSystemId}/HostedServices/DistributedControlNodeServices/ExecutionEngines/{ExecutionEngineId}</v>
      </c>
      <c r="C3420">
        <f>Profile!AP4185</f>
        <v>0</v>
      </c>
      <c r="D3420" t="str">
        <f>IF(Profile!C4077="Profile",IF(Profile!A4185="ResourceRequirement","OK","XXX"),"XXX")</f>
        <v>XXX</v>
      </c>
    </row>
    <row r="3421" spans="1:4" x14ac:dyDescent="0.45">
      <c r="A3421">
        <f>ROW()</f>
        <v>3421</v>
      </c>
      <c r="B3421">
        <f>Profile!A4078</f>
        <v>0</v>
      </c>
      <c r="C3421">
        <f>Profile!AP4186</f>
        <v>0</v>
      </c>
      <c r="D3421" t="str">
        <f>IF(Profile!C4078="Profile",IF(Profile!A4186="ResourceRequirement","OK","XXX"),"XXX")</f>
        <v>XXX</v>
      </c>
    </row>
    <row r="3422" spans="1:4" x14ac:dyDescent="0.45">
      <c r="A3422">
        <f>ROW()</f>
        <v>3422</v>
      </c>
      <c r="B3422" t="str">
        <f>Profile!A4185</f>
        <v>1.1.9.8 DCNExecutionEngineMetrics</v>
      </c>
      <c r="C3422">
        <f>Profile!AP4187</f>
        <v>0</v>
      </c>
      <c r="D3422" t="str">
        <f>IF(Profile!C4185="Profile",IF(Profile!A4187="ResourceRequirement","OK","XXX"),"XXX")</f>
        <v>XXX</v>
      </c>
    </row>
    <row r="3423" spans="1:4" x14ac:dyDescent="0.45">
      <c r="A3423">
        <f>ROW()</f>
        <v>3423</v>
      </c>
      <c r="B3423" t="str">
        <f>Profile!A4186</f>
        <v>Resource describing metrics for an Execution Engine environment on an O-PAS DCN.</v>
      </c>
      <c r="C3423">
        <f>Profile!AP4188</f>
        <v>0</v>
      </c>
      <c r="D3423" t="str">
        <f>IF(Profile!C4186="Profile",IF(Profile!A4188="ResourceRequirement","OK","XXX"),"XXX")</f>
        <v>XXX</v>
      </c>
    </row>
    <row r="3424" spans="1:4" x14ac:dyDescent="0.45">
      <c r="A3424">
        <f>ROW()</f>
        <v>3424</v>
      </c>
      <c r="B3424" t="str">
        <f>Profile!A4187</f>
        <v>DCNExecutionEngineMetrics (1.0.0)</v>
      </c>
      <c r="C3424">
        <f>Profile!AP4189</f>
        <v>12</v>
      </c>
      <c r="D3424" t="str">
        <f>IF(Profile!C4187="Profile",IF(Profile!A4189="ResourceRequirement","OK","XXX"),"XXX")</f>
        <v>OK</v>
      </c>
    </row>
    <row r="3425" spans="1:4" x14ac:dyDescent="0.45">
      <c r="A3425">
        <f>ROW()</f>
        <v>3425</v>
      </c>
      <c r="B3425">
        <f>Profile!A4188</f>
        <v>0</v>
      </c>
      <c r="C3425">
        <f>Profile!AP4190</f>
        <v>0</v>
      </c>
      <c r="D3425" t="str">
        <f>IF(Profile!C4188="Profile",IF(Profile!A4190="ResourceRequirement","OK","XXX"),"XXX")</f>
        <v>XXX</v>
      </c>
    </row>
    <row r="3426" spans="1:4" x14ac:dyDescent="0.45">
      <c r="A3426">
        <f>ROW()</f>
        <v>3426</v>
      </c>
      <c r="B3426" t="str">
        <f>Profile!A4189</f>
        <v>ResourceRequirement</v>
      </c>
      <c r="C3426">
        <f>Profile!AP4191</f>
        <v>0</v>
      </c>
      <c r="D3426" t="str">
        <f>IF(Profile!C4189="Profile",IF(Profile!A4191="ResourceRequirement","OK","XXX"),"XXX")</f>
        <v>XXX</v>
      </c>
    </row>
    <row r="3427" spans="1:4" x14ac:dyDescent="0.45">
      <c r="A3427">
        <f>ROW()</f>
        <v>3427</v>
      </c>
      <c r="B3427" t="str">
        <f>Profile!A4190</f>
        <v>Resource MinVersion</v>
      </c>
      <c r="C3427">
        <f>Profile!AP4192</f>
        <v>0</v>
      </c>
      <c r="D3427" t="str">
        <f>IF(Profile!C4190="Profile",IF(Profile!A4192="ResourceRequirement","OK","XXX"),"XXX")</f>
        <v>XXX</v>
      </c>
    </row>
    <row r="3428" spans="1:4" x14ac:dyDescent="0.45">
      <c r="A3428">
        <f>ROW()</f>
        <v>3428</v>
      </c>
      <c r="B3428" t="str">
        <f>Profile!A4191</f>
        <v>Property</v>
      </c>
      <c r="C3428">
        <f>Profile!AP4193</f>
        <v>0</v>
      </c>
      <c r="D3428" t="str">
        <f>IF(Profile!C4191="Profile",IF(Profile!A4193="ResourceRequirement","OK","XXX"),"XXX")</f>
        <v>XXX</v>
      </c>
    </row>
    <row r="3429" spans="1:4" x14ac:dyDescent="0.45">
      <c r="A3429">
        <f>ROW()</f>
        <v>3429</v>
      </c>
      <c r="B3429" t="str">
        <f>Profile!A4192</f>
        <v>Actions</v>
      </c>
      <c r="C3429">
        <f>Profile!AP4194</f>
        <v>0</v>
      </c>
      <c r="D3429" t="str">
        <f>IF(Profile!C4192="Profile",IF(Profile!A4194="ResourceRequirement","OK","XXX"),"XXX")</f>
        <v>XXX</v>
      </c>
    </row>
    <row r="3430" spans="1:4" x14ac:dyDescent="0.45">
      <c r="A3430">
        <f>ROW()</f>
        <v>3430</v>
      </c>
      <c r="B3430" t="str">
        <f>Profile!A4193</f>
        <v>ServiceEnabled</v>
      </c>
      <c r="C3430">
        <f>Profile!AP4195</f>
        <v>0</v>
      </c>
      <c r="D3430" t="str">
        <f>IF(Profile!C4193="Profile",IF(Profile!A4195="ResourceRequirement","OK","XXX"),"XXX")</f>
        <v>XXX</v>
      </c>
    </row>
    <row r="3431" spans="1:4" x14ac:dyDescent="0.45">
      <c r="A3431">
        <f>ROW()</f>
        <v>3431</v>
      </c>
      <c r="B3431" t="str">
        <f>Profile!A4194</f>
        <v>MetricsTimestamp</v>
      </c>
      <c r="C3431">
        <f>Profile!AP4196</f>
        <v>0</v>
      </c>
      <c r="D3431" t="str">
        <f>IF(Profile!C4194="Profile",IF(Profile!A4196="ResourceRequirement","OK","XXX"),"XXX")</f>
        <v>XXX</v>
      </c>
    </row>
    <row r="3432" spans="1:4" x14ac:dyDescent="0.45">
      <c r="A3432">
        <f>ROW()</f>
        <v>3432</v>
      </c>
      <c r="B3432" t="str">
        <f>Profile!A4195</f>
        <v>ExecutionEngineState</v>
      </c>
      <c r="C3432">
        <f>Profile!AP4197</f>
        <v>0</v>
      </c>
      <c r="D3432" t="str">
        <f>IF(Profile!C4195="Profile",IF(Profile!A4197="ResourceRequirement","OK","XXX"),"XXX")</f>
        <v>XXX</v>
      </c>
    </row>
    <row r="3433" spans="1:4" x14ac:dyDescent="0.45">
      <c r="A3433">
        <f>ROW()</f>
        <v>3433</v>
      </c>
      <c r="B3433" t="str">
        <f>Profile!A4196</f>
        <v>ConnectionState</v>
      </c>
      <c r="C3433">
        <f>Profile!AP4198</f>
        <v>0</v>
      </c>
      <c r="D3433" t="str">
        <f>IF(Profile!C4196="Profile",IF(Profile!A4198="ResourceRequirement","OK","XXX"),"XXX")</f>
        <v>XXX</v>
      </c>
    </row>
    <row r="3434" spans="1:4" x14ac:dyDescent="0.45">
      <c r="A3434">
        <f>ROW()</f>
        <v>3434</v>
      </c>
      <c r="B3434" t="str">
        <f>Profile!A4197</f>
        <v>BaseCycleTimeMs</v>
      </c>
      <c r="C3434">
        <f>Profile!AP4199</f>
        <v>0</v>
      </c>
      <c r="D3434" t="str">
        <f>IF(Profile!C4197="Profile",IF(Profile!A4199="ResourceRequirement","OK","XXX"),"XXX")</f>
        <v>XXX</v>
      </c>
    </row>
    <row r="3435" spans="1:4" x14ac:dyDescent="0.45">
      <c r="A3435">
        <f>ROW()</f>
        <v>3435</v>
      </c>
      <c r="B3435" t="str">
        <f>Profile!A4198</f>
        <v>BaseCycleTimeMinMs</v>
      </c>
      <c r="C3435">
        <f>Profile!AP4200</f>
        <v>0</v>
      </c>
      <c r="D3435" t="str">
        <f>IF(Profile!C4198="Profile",IF(Profile!A4200="ResourceRequirement","OK","XXX"),"XXX")</f>
        <v>XXX</v>
      </c>
    </row>
    <row r="3436" spans="1:4" x14ac:dyDescent="0.45">
      <c r="A3436">
        <f>ROW()</f>
        <v>3436</v>
      </c>
      <c r="B3436" t="str">
        <f>Profile!A4199</f>
        <v>BaseCycleTimeMaxMs</v>
      </c>
      <c r="C3436">
        <f>Profile!AP4201</f>
        <v>0</v>
      </c>
      <c r="D3436" t="str">
        <f>IF(Profile!C4199="Profile",IF(Profile!A4201="ResourceRequirement","OK","XXX"),"XXX")</f>
        <v>XXX</v>
      </c>
    </row>
    <row r="3437" spans="1:4" x14ac:dyDescent="0.45">
      <c r="A3437">
        <f>ROW()</f>
        <v>3437</v>
      </c>
      <c r="B3437" t="str">
        <f>Profile!A4200</f>
        <v>SystemCycleAverageMs</v>
      </c>
      <c r="C3437">
        <f>Profile!AP4202</f>
        <v>0</v>
      </c>
      <c r="D3437" t="str">
        <f>IF(Profile!C4200="Profile",IF(Profile!A4202="ResourceRequirement","OK","XXX"),"XXX")</f>
        <v>XXX</v>
      </c>
    </row>
    <row r="3438" spans="1:4" x14ac:dyDescent="0.45">
      <c r="A3438">
        <f>ROW()</f>
        <v>3438</v>
      </c>
      <c r="B3438" t="str">
        <f>Profile!A4201</f>
        <v>SystemCycleMinMs</v>
      </c>
      <c r="C3438">
        <f>Profile!AP4203</f>
        <v>0</v>
      </c>
      <c r="D3438" t="str">
        <f>IF(Profile!C4201="Profile",IF(Profile!A4203="ResourceRequirement","OK","XXX"),"XXX")</f>
        <v>XXX</v>
      </c>
    </row>
    <row r="3439" spans="1:4" x14ac:dyDescent="0.45">
      <c r="A3439">
        <f>ROW()</f>
        <v>3439</v>
      </c>
      <c r="B3439" t="str">
        <f>Profile!A4202</f>
        <v>SystemCycleMaxMs</v>
      </c>
      <c r="C3439">
        <f>Profile!AP4204</f>
        <v>0</v>
      </c>
      <c r="D3439" t="str">
        <f>IF(Profile!C4202="Profile",IF(Profile!A4204="ResourceRequirement","OK","XXX"),"XXX")</f>
        <v>XXX</v>
      </c>
    </row>
    <row r="3440" spans="1:4" x14ac:dyDescent="0.45">
      <c r="A3440">
        <f>ROW()</f>
        <v>3440</v>
      </c>
      <c r="B3440" t="str">
        <f>Profile!A4203</f>
        <v>CpuLoadPctIo</v>
      </c>
      <c r="C3440">
        <f>Profile!AP4205</f>
        <v>0</v>
      </c>
      <c r="D3440" t="str">
        <f>IF(Profile!C4203="Profile",IF(Profile!A4205="ResourceRequirement","OK","XXX"),"XXX")</f>
        <v>XXX</v>
      </c>
    </row>
    <row r="3441" spans="1:4" x14ac:dyDescent="0.45">
      <c r="A3441">
        <f>ROW()</f>
        <v>3441</v>
      </c>
      <c r="B3441" t="str">
        <f>Profile!A4204</f>
        <v>CpuLoadPctFailsafe</v>
      </c>
      <c r="C3441">
        <f>Profile!AP4206</f>
        <v>0</v>
      </c>
      <c r="D3441" t="str">
        <f>IF(Profile!C4204="Profile",IF(Profile!A4206="ResourceRequirement","OK","XXX"),"XXX")</f>
        <v>XXX</v>
      </c>
    </row>
    <row r="3442" spans="1:4" x14ac:dyDescent="0.45">
      <c r="A3442">
        <f>ROW()</f>
        <v>3442</v>
      </c>
      <c r="B3442" t="str">
        <f>Profile!A4205</f>
        <v>CpuLoadPctProgram</v>
      </c>
      <c r="C3442">
        <f>Profile!AP4207</f>
        <v>0</v>
      </c>
      <c r="D3442" t="str">
        <f>IF(Profile!C4205="Profile",IF(Profile!A4207="ResourceRequirement","OK","XXX"),"XXX")</f>
        <v>XXX</v>
      </c>
    </row>
    <row r="3443" spans="1:4" x14ac:dyDescent="0.45">
      <c r="A3443">
        <f>ROW()</f>
        <v>3443</v>
      </c>
      <c r="B3443" t="str">
        <f>Profile!A4206</f>
        <v>CpuLoadPctTotal</v>
      </c>
      <c r="C3443">
        <f>Profile!AP4208</f>
        <v>0</v>
      </c>
      <c r="D3443" t="str">
        <f>IF(Profile!C4206="Profile",IF(Profile!A4208="ResourceRequirement","OK","XXX"),"XXX")</f>
        <v>XXX</v>
      </c>
    </row>
    <row r="3444" spans="1:4" x14ac:dyDescent="0.45">
      <c r="A3444">
        <f>ROW()</f>
        <v>3444</v>
      </c>
      <c r="B3444" t="str">
        <f>Profile!A4207</f>
        <v>CpuLoadPctAverage</v>
      </c>
      <c r="C3444">
        <f>Profile!AP4209</f>
        <v>0</v>
      </c>
      <c r="D3444" t="str">
        <f>IF(Profile!C4207="Profile",IF(Profile!A4209="ResourceRequirement","OK","XXX"),"XXX")</f>
        <v>XXX</v>
      </c>
    </row>
    <row r="3445" spans="1:4" x14ac:dyDescent="0.45">
      <c r="A3445">
        <f>ROW()</f>
        <v>3445</v>
      </c>
      <c r="B3445" t="str">
        <f>Profile!A4208</f>
        <v>CpuLoadPctMin</v>
      </c>
      <c r="C3445">
        <f>Profile!AP4210</f>
        <v>0</v>
      </c>
      <c r="D3445" t="str">
        <f>IF(Profile!C4208="Profile",IF(Profile!A4210="ResourceRequirement","OK","XXX"),"XXX")</f>
        <v>XXX</v>
      </c>
    </row>
    <row r="3446" spans="1:4" x14ac:dyDescent="0.45">
      <c r="A3446">
        <f>ROW()</f>
        <v>3446</v>
      </c>
      <c r="B3446" t="str">
        <f>Profile!A4209</f>
        <v>CpuLoadPctMax</v>
      </c>
      <c r="C3446">
        <f>Profile!AP4211</f>
        <v>0</v>
      </c>
      <c r="D3446" t="str">
        <f>IF(Profile!C4209="Profile",IF(Profile!A4211="ResourceRequirement","OK","XXX"),"XXX")</f>
        <v>XXX</v>
      </c>
    </row>
    <row r="3447" spans="1:4" x14ac:dyDescent="0.45">
      <c r="A3447">
        <f>ROW()</f>
        <v>3447</v>
      </c>
      <c r="B3447" t="str">
        <f>Profile!A4210</f>
        <v>SystemFault</v>
      </c>
      <c r="C3447">
        <f>Profile!AP4212</f>
        <v>0</v>
      </c>
      <c r="D3447" t="str">
        <f>IF(Profile!C4210="Profile",IF(Profile!A4212="ResourceRequirement","OK","XXX"),"XXX")</f>
        <v>XXX</v>
      </c>
    </row>
    <row r="3448" spans="1:4" x14ac:dyDescent="0.45">
      <c r="A3448">
        <f>ROW()</f>
        <v>3448</v>
      </c>
      <c r="B3448" t="str">
        <f>Profile!A4211</f>
        <v>CommunicationFault</v>
      </c>
      <c r="C3448">
        <f>Profile!AP4213</f>
        <v>0</v>
      </c>
      <c r="D3448" t="str">
        <f>IF(Profile!C4211="Profile",IF(Profile!A4213="ResourceRequirement","OK","XXX"),"XXX")</f>
        <v>XXX</v>
      </c>
    </row>
    <row r="3449" spans="1:4" x14ac:dyDescent="0.45">
      <c r="A3449">
        <f>ROW()</f>
        <v>3449</v>
      </c>
      <c r="B3449" t="str">
        <f>Profile!A4212</f>
        <v>InternalErrorIndex</v>
      </c>
      <c r="C3449">
        <f>Profile!AP4214</f>
        <v>0</v>
      </c>
      <c r="D3449" t="str">
        <f>IF(Profile!C4212="Profile",IF(Profile!A4214="ResourceRequirement","OK","XXX"),"XXX")</f>
        <v>XXX</v>
      </c>
    </row>
    <row r="3450" spans="1:4" x14ac:dyDescent="0.45">
      <c r="A3450">
        <f>ROW()</f>
        <v>3450</v>
      </c>
      <c r="B3450" t="str">
        <f>Profile!A4213</f>
        <v>TimeSyncError</v>
      </c>
      <c r="C3450">
        <f>Profile!AP4215</f>
        <v>0</v>
      </c>
      <c r="D3450" t="str">
        <f>IF(Profile!C4213="Profile",IF(Profile!A4215="ResourceRequirement","OK","XXX"),"XXX")</f>
        <v>XXX</v>
      </c>
    </row>
    <row r="3451" spans="1:4" x14ac:dyDescent="0.45">
      <c r="A3451">
        <f>ROW()</f>
        <v>3451</v>
      </c>
      <c r="B3451" t="str">
        <f>Profile!A4214</f>
        <v>FunctionBlockMetrics</v>
      </c>
      <c r="C3451">
        <f>Profile!AP4216</f>
        <v>0</v>
      </c>
      <c r="D3451" t="str">
        <f>IF(Profile!C4214="Profile",IF(Profile!A4216="ResourceRequirement","OK","XXX"),"XXX")</f>
        <v>XXX</v>
      </c>
    </row>
    <row r="3452" spans="1:4" x14ac:dyDescent="0.45">
      <c r="A3452">
        <f>ROW()</f>
        <v>3452</v>
      </c>
      <c r="B3452" t="str">
        <f>Profile!A4215</f>
        <v xml:space="preserve">   @odata.id</v>
      </c>
      <c r="C3452">
        <f>Profile!AP4217</f>
        <v>0</v>
      </c>
      <c r="D3452" t="str">
        <f>IF(Profile!C4215="Profile",IF(Profile!A4217="ResourceRequirement","OK","XXX"),"XXX")</f>
        <v>XXX</v>
      </c>
    </row>
    <row r="3453" spans="1:4" x14ac:dyDescent="0.45">
      <c r="A3453">
        <f>ROW()</f>
        <v>3453</v>
      </c>
      <c r="B3453" t="str">
        <f>Profile!A4216</f>
        <v xml:space="preserve">   MemberId</v>
      </c>
      <c r="C3453">
        <f>Profile!AP4218</f>
        <v>0</v>
      </c>
      <c r="D3453" t="str">
        <f>IF(Profile!C4216="Profile",IF(Profile!A4218="ResourceRequirement","OK","XXX"),"XXX")</f>
        <v>XXX</v>
      </c>
    </row>
    <row r="3454" spans="1:4" x14ac:dyDescent="0.45">
      <c r="A3454">
        <f>ROW()</f>
        <v>3454</v>
      </c>
      <c r="B3454" t="str">
        <f>Profile!A4217</f>
        <v xml:space="preserve">   Name</v>
      </c>
      <c r="C3454">
        <f>Profile!AP4219</f>
        <v>0</v>
      </c>
      <c r="D3454" t="str">
        <f>IF(Profile!C4217="Profile",IF(Profile!A4219="ResourceRequirement","OK","XXX"),"XXX")</f>
        <v>XXX</v>
      </c>
    </row>
    <row r="3455" spans="1:4" x14ac:dyDescent="0.45">
      <c r="A3455">
        <f>ROW()</f>
        <v>3455</v>
      </c>
      <c r="B3455" t="str">
        <f>Profile!A4218</f>
        <v xml:space="preserve">   FunctionBlockName</v>
      </c>
      <c r="C3455">
        <f>Profile!AP4220</f>
        <v>0</v>
      </c>
      <c r="D3455" t="str">
        <f>IF(Profile!C4218="Profile",IF(Profile!A4220="ResourceRequirement","OK","XXX"),"XXX")</f>
        <v>XXX</v>
      </c>
    </row>
    <row r="3456" spans="1:4" x14ac:dyDescent="0.45">
      <c r="A3456">
        <f>ROW()</f>
        <v>3456</v>
      </c>
      <c r="B3456" t="str">
        <f>Profile!A4219</f>
        <v xml:space="preserve">   SystemUtilizationPct</v>
      </c>
      <c r="C3456">
        <f>Profile!AP4221</f>
        <v>0</v>
      </c>
      <c r="D3456" t="str">
        <f>IF(Profile!C4219="Profile",IF(Profile!A4221="ResourceRequirement","OK","XXX"),"XXX")</f>
        <v>XXX</v>
      </c>
    </row>
    <row r="3457" spans="1:4" x14ac:dyDescent="0.45">
      <c r="A3457">
        <f>ROW()</f>
        <v>3457</v>
      </c>
      <c r="B3457" t="str">
        <f>Profile!A4220</f>
        <v xml:space="preserve">   CommunicationCycleLoadPct</v>
      </c>
      <c r="C3457">
        <f>Profile!AP4222</f>
        <v>0</v>
      </c>
      <c r="D3457" t="str">
        <f>IF(Profile!C4220="Profile",IF(Profile!A4222="ResourceRequirement","OK","XXX"),"XXX")</f>
        <v>XXX</v>
      </c>
    </row>
    <row r="3458" spans="1:4" x14ac:dyDescent="0.45">
      <c r="A3458">
        <f>ROW()</f>
        <v>3458</v>
      </c>
      <c r="B3458" t="str">
        <f>Profile!A4221</f>
        <v xml:space="preserve">   SystemIdleCapacityPct</v>
      </c>
      <c r="C3458">
        <f>Profile!AP4223</f>
        <v>0</v>
      </c>
      <c r="D3458" t="str">
        <f>IF(Profile!C4221="Profile",IF(Profile!A4223="ResourceRequirement","OK","XXX"),"XXX")</f>
        <v>XXX</v>
      </c>
    </row>
    <row r="3459" spans="1:4" x14ac:dyDescent="0.45">
      <c r="A3459">
        <f>ROW()</f>
        <v>3459</v>
      </c>
      <c r="B3459" t="str">
        <f>Profile!A4222</f>
        <v xml:space="preserve">   MinNetRuntimeMs</v>
      </c>
      <c r="C3459">
        <f>Profile!AP4224</f>
        <v>0</v>
      </c>
      <c r="D3459" t="str">
        <f>IF(Profile!C4222="Profile",IF(Profile!A4224="ResourceRequirement","OK","XXX"),"XXX")</f>
        <v>XXX</v>
      </c>
    </row>
    <row r="3460" spans="1:4" x14ac:dyDescent="0.45">
      <c r="A3460">
        <f>ROW()</f>
        <v>3460</v>
      </c>
      <c r="B3460" t="str">
        <f>Profile!A4223</f>
        <v xml:space="preserve">   MinGrossRuntimeMs</v>
      </c>
      <c r="C3460">
        <f>Profile!AP4225</f>
        <v>0</v>
      </c>
      <c r="D3460" t="str">
        <f>IF(Profile!C4223="Profile",IF(Profile!A4225="ResourceRequirement","OK","XXX"),"XXX")</f>
        <v>XXX</v>
      </c>
    </row>
    <row r="3461" spans="1:4" x14ac:dyDescent="0.45">
      <c r="A3461">
        <f>ROW()</f>
        <v>3461</v>
      </c>
      <c r="B3461" t="str">
        <f>Profile!A4224</f>
        <v xml:space="preserve">   MaxNetRuntimeMs</v>
      </c>
      <c r="C3461">
        <f>Profile!AP4226</f>
        <v>0</v>
      </c>
      <c r="D3461" t="str">
        <f>IF(Profile!C4224="Profile",IF(Profile!A4226="ResourceRequirement","OK","XXX"),"XXX")</f>
        <v>XXX</v>
      </c>
    </row>
    <row r="3462" spans="1:4" x14ac:dyDescent="0.45">
      <c r="A3462">
        <f>ROW()</f>
        <v>3462</v>
      </c>
      <c r="B3462" t="str">
        <f>Profile!A4225</f>
        <v xml:space="preserve">   MaxGrossRuntimeMs</v>
      </c>
      <c r="C3462">
        <f>Profile!AP4227</f>
        <v>0</v>
      </c>
      <c r="D3462" t="str">
        <f>IF(Profile!C4225="Profile",IF(Profile!A4227="ResourceRequirement","OK","XXX"),"XXX")</f>
        <v>XXX</v>
      </c>
    </row>
    <row r="3463" spans="1:4" x14ac:dyDescent="0.45">
      <c r="A3463">
        <f>ROW()</f>
        <v>3463</v>
      </c>
      <c r="B3463" t="str">
        <f>Profile!A4226</f>
        <v xml:space="preserve">   AverageNetRuntimeMs</v>
      </c>
      <c r="C3463">
        <f>Profile!AP4228</f>
        <v>0</v>
      </c>
      <c r="D3463" t="str">
        <f>IF(Profile!C4226="Profile",IF(Profile!A4228="ResourceRequirement","OK","XXX"),"XXX")</f>
        <v>XXX</v>
      </c>
    </row>
    <row r="3464" spans="1:4" x14ac:dyDescent="0.45">
      <c r="A3464">
        <f>ROW()</f>
        <v>3464</v>
      </c>
      <c r="B3464" t="str">
        <f>Profile!A4227</f>
        <v xml:space="preserve">   AverageGrossRuntimeMs</v>
      </c>
      <c r="C3464">
        <f>Profile!AP4229</f>
        <v>0</v>
      </c>
      <c r="D3464" t="str">
        <f>IF(Profile!C4227="Profile",IF(Profile!A4229="ResourceRequirement","OK","XXX"),"XXX")</f>
        <v>XXX</v>
      </c>
    </row>
    <row r="3465" spans="1:4" x14ac:dyDescent="0.45">
      <c r="A3465">
        <f>ROW()</f>
        <v>3465</v>
      </c>
      <c r="B3465" t="str">
        <f>Profile!A4228</f>
        <v>Oem</v>
      </c>
      <c r="C3465">
        <f>Profile!AP4230</f>
        <v>0</v>
      </c>
      <c r="D3465" t="str">
        <f>IF(Profile!C4228="Profile",IF(Profile!A4230="ResourceRequirement","OK","XXX"),"XXX")</f>
        <v>XXX</v>
      </c>
    </row>
    <row r="3466" spans="1:4" x14ac:dyDescent="0.45">
      <c r="A3466">
        <f>ROW()</f>
        <v>3466</v>
      </c>
      <c r="B3466" t="str">
        <f>Profile!A4229</f>
        <v>DCNExecutionEngineMetrics URIs</v>
      </c>
      <c r="C3466">
        <f>Profile!AP4231</f>
        <v>0</v>
      </c>
      <c r="D3466" t="str">
        <f>IF(Profile!C4229="Profile",IF(Profile!A4231="ResourceRequirement","OK","XXX"),"XXX")</f>
        <v>XXX</v>
      </c>
    </row>
    <row r="3467" spans="1:4" x14ac:dyDescent="0.45">
      <c r="A3467">
        <f>ROW()</f>
        <v>3467</v>
      </c>
      <c r="B3467" t="str">
        <f>Profile!A4230</f>
        <v>/redfish/v1/Systems/{ComputerSystemId}/HostedServices/DistributedControlNodeServices/ExecutionEngines/{ExecutionEngineId}/DCNExecutionEngineMetrics</v>
      </c>
      <c r="C3467">
        <f>Profile!AP4232</f>
        <v>0</v>
      </c>
      <c r="D3467" t="str">
        <f>IF(Profile!C4230="Profile",IF(Profile!A4232="ResourceRequirement","OK","XXX"),"XXX")</f>
        <v>XXX</v>
      </c>
    </row>
    <row r="3468" spans="1:4" x14ac:dyDescent="0.45">
      <c r="A3468">
        <f>ROW()</f>
        <v>3468</v>
      </c>
      <c r="B3468">
        <f>Profile!A4231</f>
        <v>0</v>
      </c>
      <c r="C3468">
        <f>Profile!AP4233</f>
        <v>0</v>
      </c>
      <c r="D3468" t="str">
        <f>IF(Profile!C4231="Profile",IF(Profile!A4233="ResourceRequirement","OK","XXX"),"XXX")</f>
        <v>XXX</v>
      </c>
    </row>
    <row r="3469" spans="1:4" x14ac:dyDescent="0.45">
      <c r="A3469">
        <f>ROW()</f>
        <v>3469</v>
      </c>
      <c r="B3469" t="str">
        <f>Profile!A4232</f>
        <v>1.1.1.3               DCNIONetworkCollection</v>
      </c>
      <c r="C3469">
        <f>Profile!AP4234</f>
        <v>0</v>
      </c>
      <c r="D3469" t="str">
        <f>IF(Profile!C4232="Profile",IF(Profile!A4234="ResourceRequirement","OK","XXX"),"XXX")</f>
        <v>XXX</v>
      </c>
    </row>
    <row r="3470" spans="1:4" x14ac:dyDescent="0.45">
      <c r="A3470">
        <f>ROW()</f>
        <v>3470</v>
      </c>
      <c r="B3470" t="str">
        <f>Profile!A4233</f>
        <v>A DCNIONetworkCollection is a collection of DCNIONetwork Resources running on a node.
For additional detail on I/O Networks and DCN Physical Topology, see O-PAS Part 7 – Physical Platform.</v>
      </c>
      <c r="C3470">
        <f>Profile!AP4235</f>
        <v>0</v>
      </c>
      <c r="D3470" t="str">
        <f>IF(Profile!C4233="Profile",IF(Profile!A4235="ResourceRequirement","OK","XXX"),"XXX")</f>
        <v>XXX</v>
      </c>
    </row>
    <row r="3471" spans="1:4" x14ac:dyDescent="0.45">
      <c r="A3471">
        <f>ROW()</f>
        <v>3471</v>
      </c>
      <c r="B3471" t="str">
        <f>Profile!A4234</f>
        <v>DCNIONetworkCollection (1.0.0)</v>
      </c>
      <c r="C3471">
        <f>Profile!AP4236</f>
        <v>0</v>
      </c>
      <c r="D3471" t="str">
        <f>IF(Profile!C4234="Profile",IF(Profile!A4236="ResourceRequirement","OK","XXX"),"XXX")</f>
        <v>OK</v>
      </c>
    </row>
    <row r="3472" spans="1:4" x14ac:dyDescent="0.45">
      <c r="A3472">
        <f>ROW()</f>
        <v>3472</v>
      </c>
      <c r="B3472">
        <f>Profile!A4235</f>
        <v>0</v>
      </c>
      <c r="C3472">
        <f>Profile!AP4237</f>
        <v>0</v>
      </c>
      <c r="D3472" t="str">
        <f>IF(Profile!C4235="Profile",IF(Profile!A4237="ResourceRequirement","OK","XXX"),"XXX")</f>
        <v>XXX</v>
      </c>
    </row>
    <row r="3473" spans="1:4" x14ac:dyDescent="0.45">
      <c r="A3473">
        <f>ROW()</f>
        <v>3473</v>
      </c>
      <c r="B3473" t="str">
        <f>Profile!A4236</f>
        <v>ResourceRequirement</v>
      </c>
      <c r="C3473">
        <f>Profile!AP4238</f>
        <v>0</v>
      </c>
      <c r="D3473" t="str">
        <f>IF(Profile!C4236="Profile",IF(Profile!A4238="ResourceRequirement","OK","XXX"),"XXX")</f>
        <v>XXX</v>
      </c>
    </row>
    <row r="3474" spans="1:4" x14ac:dyDescent="0.45">
      <c r="A3474">
        <f>ROW()</f>
        <v>3474</v>
      </c>
      <c r="B3474" t="str">
        <f>Profile!A4237</f>
        <v>Property</v>
      </c>
      <c r="C3474">
        <f>Profile!AP4239</f>
        <v>0</v>
      </c>
      <c r="D3474" t="str">
        <f>IF(Profile!C4237="Profile",IF(Profile!A4239="ResourceRequirement","OK","XXX"),"XXX")</f>
        <v>XXX</v>
      </c>
    </row>
    <row r="3475" spans="1:4" x14ac:dyDescent="0.45">
      <c r="A3475">
        <f>ROW()</f>
        <v>3475</v>
      </c>
      <c r="B3475" t="str">
        <f>Profile!A4238</f>
        <v>Members</v>
      </c>
      <c r="C3475">
        <f>Profile!AP4240</f>
        <v>0</v>
      </c>
      <c r="D3475" t="str">
        <f>IF(Profile!C4238="Profile",IF(Profile!A4240="ResourceRequirement","OK","XXX"),"XXX")</f>
        <v>XXX</v>
      </c>
    </row>
    <row r="3476" spans="1:4" x14ac:dyDescent="0.45">
      <c r="A3476">
        <f>ROW()</f>
        <v>3476</v>
      </c>
      <c r="B3476" t="str">
        <f>Profile!A4239</f>
        <v xml:space="preserve">   @odata.id</v>
      </c>
      <c r="C3476">
        <f>Profile!AP4241</f>
        <v>0</v>
      </c>
      <c r="D3476" t="str">
        <f>IF(Profile!C4239="Profile",IF(Profile!A4241="ResourceRequirement","OK","XXX"),"XXX")</f>
        <v>XXX</v>
      </c>
    </row>
    <row r="3477" spans="1:4" x14ac:dyDescent="0.45">
      <c r="A3477">
        <f>ROW()</f>
        <v>3477</v>
      </c>
      <c r="B3477" t="str">
        <f>Profile!A4240</f>
        <v>DCNIONetworkCollection URIs</v>
      </c>
      <c r="C3477">
        <f>Profile!AP4242</f>
        <v>0</v>
      </c>
      <c r="D3477" t="str">
        <f>IF(Profile!C4240="Profile",IF(Profile!A4242="ResourceRequirement","OK","XXX"),"XXX")</f>
        <v>XXX</v>
      </c>
    </row>
    <row r="3478" spans="1:4" x14ac:dyDescent="0.45">
      <c r="A3478">
        <f>ROW()</f>
        <v>3478</v>
      </c>
      <c r="B3478" t="str">
        <f>Profile!A4241</f>
        <v>/redfish/v1/Systems/{ComputerSystemId}/HostedServices/DistributedControlNodeServices/IONetworks</v>
      </c>
      <c r="C3478">
        <f>Profile!AP4243</f>
        <v>0</v>
      </c>
      <c r="D3478" t="str">
        <f>IF(Profile!C4241="Profile",IF(Profile!A4243="ResourceRequirement","OK","XXX"),"XXX")</f>
        <v>XXX</v>
      </c>
    </row>
    <row r="3479" spans="1:4" x14ac:dyDescent="0.45">
      <c r="A3479">
        <f>ROW()</f>
        <v>3479</v>
      </c>
      <c r="B3479">
        <f>Profile!A4242</f>
        <v>0</v>
      </c>
      <c r="C3479">
        <f>Profile!AP4244</f>
        <v>0</v>
      </c>
      <c r="D3479" t="str">
        <f>IF(Profile!C4242="Profile",IF(Profile!A4244="ResourceRequirement","OK","XXX"),"XXX")</f>
        <v>XXX</v>
      </c>
    </row>
    <row r="3480" spans="1:4" x14ac:dyDescent="0.45">
      <c r="A3480">
        <f>ROW()</f>
        <v>3480</v>
      </c>
      <c r="B3480" t="str">
        <f>Profile!A4243</f>
        <v>1.1.9.8 DCNIONetwork</v>
      </c>
      <c r="C3480">
        <f>Profile!AP4245</f>
        <v>0</v>
      </c>
      <c r="D3480" t="str">
        <f>IF(Profile!C4243="Profile",IF(Profile!A4245="ResourceRequirement","OK","XXX"),"XXX")</f>
        <v>XXX</v>
      </c>
    </row>
    <row r="3481" spans="1:4" x14ac:dyDescent="0.45">
      <c r="A3481">
        <f>ROW()</f>
        <v>3481</v>
      </c>
      <c r="B3481" t="str">
        <f>Profile!A4244</f>
        <v>Resource describing an O-PAS DCN IONetwork.
For additional detail on I/O Networks and DCN Physical Topology, see O-PAS Part 7 – Physical Platform.</v>
      </c>
      <c r="C3481">
        <f>Profile!AP4246</f>
        <v>0</v>
      </c>
      <c r="D3481" t="str">
        <f>IF(Profile!C4244="Profile",IF(Profile!A4246="ResourceRequirement","OK","XXX"),"XXX")</f>
        <v>XXX</v>
      </c>
    </row>
    <row r="3482" spans="1:4" x14ac:dyDescent="0.45">
      <c r="A3482">
        <f>ROW()</f>
        <v>3482</v>
      </c>
      <c r="B3482" t="str">
        <f>Profile!A4245</f>
        <v>DCNIONetwork (1.0.0)</v>
      </c>
      <c r="C3482">
        <f>Profile!AP4247</f>
        <v>0</v>
      </c>
      <c r="D3482" t="str">
        <f>IF(Profile!C4245="Profile",IF(Profile!A4247="ResourceRequirement","OK","XXX"),"XXX")</f>
        <v>OK</v>
      </c>
    </row>
    <row r="3483" spans="1:4" x14ac:dyDescent="0.45">
      <c r="A3483">
        <f>ROW()</f>
        <v>3483</v>
      </c>
      <c r="B3483">
        <f>Profile!A4246</f>
        <v>0</v>
      </c>
      <c r="C3483">
        <f>Profile!AP4248</f>
        <v>0</v>
      </c>
      <c r="D3483" t="str">
        <f>IF(Profile!C4246="Profile",IF(Profile!A4248="ResourceRequirement","OK","XXX"),"XXX")</f>
        <v>XXX</v>
      </c>
    </row>
    <row r="3484" spans="1:4" x14ac:dyDescent="0.45">
      <c r="A3484">
        <f>ROW()</f>
        <v>3484</v>
      </c>
      <c r="B3484" t="str">
        <f>Profile!A4247</f>
        <v>ResourceRequirement</v>
      </c>
      <c r="C3484">
        <f>Profile!AP4249</f>
        <v>0</v>
      </c>
      <c r="D3484" t="str">
        <f>IF(Profile!C4247="Profile",IF(Profile!A4249="ResourceRequirement","OK","XXX"),"XXX")</f>
        <v>XXX</v>
      </c>
    </row>
    <row r="3485" spans="1:4" x14ac:dyDescent="0.45">
      <c r="A3485">
        <f>ROW()</f>
        <v>3485</v>
      </c>
      <c r="B3485" t="str">
        <f>Profile!A4248</f>
        <v>Resource MinVersion</v>
      </c>
      <c r="C3485">
        <f>Profile!AP4250</f>
        <v>0</v>
      </c>
      <c r="D3485" t="str">
        <f>IF(Profile!C4248="Profile",IF(Profile!A4250="ResourceRequirement","OK","XXX"),"XXX")</f>
        <v>XXX</v>
      </c>
    </row>
    <row r="3486" spans="1:4" x14ac:dyDescent="0.45">
      <c r="A3486">
        <f>ROW()</f>
        <v>3486</v>
      </c>
      <c r="B3486" t="str">
        <f>Profile!A4249</f>
        <v>Property</v>
      </c>
      <c r="C3486">
        <f>Profile!AP4251</f>
        <v>0</v>
      </c>
      <c r="D3486" t="str">
        <f>IF(Profile!C4249="Profile",IF(Profile!A4251="ResourceRequirement","OK","XXX"),"XXX")</f>
        <v>XXX</v>
      </c>
    </row>
    <row r="3487" spans="1:4" x14ac:dyDescent="0.45">
      <c r="A3487">
        <f>ROW()</f>
        <v>3487</v>
      </c>
      <c r="B3487" t="str">
        <f>Profile!A4250</f>
        <v>Actions</v>
      </c>
      <c r="C3487">
        <f>Profile!AP4252</f>
        <v>0</v>
      </c>
      <c r="D3487" t="str">
        <f>IF(Profile!C4250="Profile",IF(Profile!A4252="ResourceRequirement","OK","XXX"),"XXX")</f>
        <v>XXX</v>
      </c>
    </row>
    <row r="3488" spans="1:4" x14ac:dyDescent="0.45">
      <c r="A3488">
        <f>ROW()</f>
        <v>3488</v>
      </c>
      <c r="B3488" t="str">
        <f>Profile!A4251</f>
        <v>NetworkName</v>
      </c>
      <c r="C3488">
        <f>Profile!AP4253</f>
        <v>0</v>
      </c>
      <c r="D3488" t="str">
        <f>IF(Profile!C4251="Profile",IF(Profile!A4253="ResourceRequirement","OK","XXX"),"XXX")</f>
        <v>XXX</v>
      </c>
    </row>
    <row r="3489" spans="1:4" x14ac:dyDescent="0.45">
      <c r="A3489">
        <f>ROW()</f>
        <v>3489</v>
      </c>
      <c r="B3489" t="str">
        <f>Profile!A4252</f>
        <v>NetworkPath</v>
      </c>
      <c r="C3489">
        <f>Profile!AP4254</f>
        <v>0</v>
      </c>
      <c r="D3489" t="str">
        <f>IF(Profile!C4252="Profile",IF(Profile!A4254="ResourceRequirement","OK","XXX"),"XXX")</f>
        <v>XXX</v>
      </c>
    </row>
    <row r="3490" spans="1:4" x14ac:dyDescent="0.45">
      <c r="A3490">
        <f>ROW()</f>
        <v>3490</v>
      </c>
      <c r="B3490" t="str">
        <f>Profile!A4253</f>
        <v>NetworkType</v>
      </c>
      <c r="C3490">
        <f>Profile!AP4255</f>
        <v>0</v>
      </c>
      <c r="D3490" t="str">
        <f>IF(Profile!C4253="Profile",IF(Profile!A4255="ResourceRequirement","OK","XXX"),"XXX")</f>
        <v>XXX</v>
      </c>
    </row>
    <row r="3491" spans="1:4" x14ac:dyDescent="0.45">
      <c r="A3491">
        <f>ROW()</f>
        <v>3491</v>
      </c>
      <c r="B3491" t="str">
        <f>Profile!A4254</f>
        <v>CommStatus</v>
      </c>
      <c r="C3491">
        <f>Profile!AP4256</f>
        <v>0</v>
      </c>
      <c r="D3491" t="str">
        <f>IF(Profile!C4254="Profile",IF(Profile!A4256="ResourceRequirement","OK","XXX"),"XXX")</f>
        <v>XXX</v>
      </c>
    </row>
    <row r="3492" spans="1:4" x14ac:dyDescent="0.45">
      <c r="A3492">
        <f>ROW()</f>
        <v>3492</v>
      </c>
      <c r="B3492" t="str">
        <f>Profile!A4255</f>
        <v>HeadUnits</v>
      </c>
      <c r="C3492">
        <f>Profile!AP4257</f>
        <v>0</v>
      </c>
      <c r="D3492" t="str">
        <f>IF(Profile!C4255="Profile",IF(Profile!A4257="ResourceRequirement","OK","XXX"),"XXX")</f>
        <v>XXX</v>
      </c>
    </row>
    <row r="3493" spans="1:4" x14ac:dyDescent="0.45">
      <c r="A3493">
        <f>ROW()</f>
        <v>3493</v>
      </c>
      <c r="B3493" t="str">
        <f>Profile!A4256</f>
        <v xml:space="preserve">   @odata.id</v>
      </c>
      <c r="C3493">
        <f>Profile!AP4258</f>
        <v>0</v>
      </c>
      <c r="D3493" t="str">
        <f>IF(Profile!C4256="Profile",IF(Profile!A4258="ResourceRequirement","OK","XXX"),"XXX")</f>
        <v>XXX</v>
      </c>
    </row>
    <row r="3494" spans="1:4" x14ac:dyDescent="0.45">
      <c r="A3494">
        <f>ROW()</f>
        <v>3494</v>
      </c>
      <c r="B3494" t="str">
        <f>Profile!A4257</f>
        <v>Oem</v>
      </c>
      <c r="C3494">
        <f>Profile!AP4259</f>
        <v>0</v>
      </c>
      <c r="D3494" t="str">
        <f>IF(Profile!C4257="Profile",IF(Profile!A4259="ResourceRequirement","OK","XXX"),"XXX")</f>
        <v>XXX</v>
      </c>
    </row>
    <row r="3495" spans="1:4" x14ac:dyDescent="0.45">
      <c r="A3495">
        <f>ROW()</f>
        <v>3495</v>
      </c>
      <c r="B3495" t="str">
        <f>Profile!A4258</f>
        <v>DCNIONetwork URIs</v>
      </c>
      <c r="C3495">
        <f>Profile!AP4260</f>
        <v>0</v>
      </c>
      <c r="D3495" t="str">
        <f>IF(Profile!C4258="Profile",IF(Profile!A4260="ResourceRequirement","OK","XXX"),"XXX")</f>
        <v>XXX</v>
      </c>
    </row>
    <row r="3496" spans="1:4" x14ac:dyDescent="0.45">
      <c r="A3496">
        <f>ROW()</f>
        <v>3496</v>
      </c>
      <c r="B3496" t="str">
        <f>Profile!A4259</f>
        <v>/redfish/v1/Systems/{ComputerSystemId}/HostedServices/DistributedControlNodeServices/IONetworks/{IONetworkId}</v>
      </c>
      <c r="C3496">
        <f>Profile!AP4261</f>
        <v>0</v>
      </c>
      <c r="D3496" t="str">
        <f>IF(Profile!C4259="Profile",IF(Profile!A4261="ResourceRequirement","OK","XXX"),"XXX")</f>
        <v>XXX</v>
      </c>
    </row>
    <row r="3497" spans="1:4" x14ac:dyDescent="0.45">
      <c r="A3497">
        <f>ROW()</f>
        <v>3497</v>
      </c>
      <c r="B3497">
        <f>Profile!A4260</f>
        <v>0</v>
      </c>
      <c r="C3497">
        <f>Profile!AP4262</f>
        <v>0</v>
      </c>
      <c r="D3497" t="str">
        <f>IF(Profile!C4260="Profile",IF(Profile!A4262="ResourceRequirement","OK","XXX"),"XXX")</f>
        <v>XXX</v>
      </c>
    </row>
    <row r="3498" spans="1:4" x14ac:dyDescent="0.45">
      <c r="A3498">
        <f>ROW()</f>
        <v>3498</v>
      </c>
      <c r="B3498" t="str">
        <f>Profile!A4261</f>
        <v>1.1.1.3               DCNHeadUnitCollection</v>
      </c>
      <c r="C3498">
        <f>Profile!AP4263</f>
        <v>0</v>
      </c>
      <c r="D3498" t="str">
        <f>IF(Profile!C4261="Profile",IF(Profile!A4263="ResourceRequirement","OK","XXX"),"XXX")</f>
        <v>XXX</v>
      </c>
    </row>
    <row r="3499" spans="1:4" x14ac:dyDescent="0.45">
      <c r="A3499">
        <f>ROW()</f>
        <v>3499</v>
      </c>
      <c r="B3499" t="str">
        <f>Profile!A4262</f>
        <v>A DCNHeadUnitCollection is a collection of DCNHeadUnit Resources running on a node.
For additional detail on I/O Head Units and DCN Physical Topology, see O-PAS Part 7 – Physical Platform.</v>
      </c>
      <c r="C3499">
        <f>Profile!AP4264</f>
        <v>0</v>
      </c>
      <c r="D3499" t="str">
        <f>IF(Profile!C4262="Profile",IF(Profile!A4264="ResourceRequirement","OK","XXX"),"XXX")</f>
        <v>XXX</v>
      </c>
    </row>
    <row r="3500" spans="1:4" x14ac:dyDescent="0.45">
      <c r="A3500">
        <f>ROW()</f>
        <v>3500</v>
      </c>
      <c r="B3500" t="str">
        <f>Profile!A4263</f>
        <v>DCNHeadUnitCollection (1.0.0)</v>
      </c>
      <c r="C3500">
        <f>Profile!AP4265</f>
        <v>0</v>
      </c>
      <c r="D3500" t="str">
        <f>IF(Profile!C4263="Profile",IF(Profile!A4265="ResourceRequirement","OK","XXX"),"XXX")</f>
        <v>OK</v>
      </c>
    </row>
    <row r="3501" spans="1:4" x14ac:dyDescent="0.45">
      <c r="A3501">
        <f>ROW()</f>
        <v>3501</v>
      </c>
      <c r="B3501">
        <f>Profile!A4264</f>
        <v>0</v>
      </c>
      <c r="C3501">
        <f>Profile!AP4266</f>
        <v>0</v>
      </c>
      <c r="D3501" t="str">
        <f>IF(Profile!C4264="Profile",IF(Profile!A4266="ResourceRequirement","OK","XXX"),"XXX")</f>
        <v>XXX</v>
      </c>
    </row>
    <row r="3502" spans="1:4" x14ac:dyDescent="0.45">
      <c r="A3502">
        <f>ROW()</f>
        <v>3502</v>
      </c>
      <c r="B3502" t="str">
        <f>Profile!A4265</f>
        <v>ResourceRequirement</v>
      </c>
      <c r="C3502">
        <f>Profile!AP4267</f>
        <v>0</v>
      </c>
      <c r="D3502" t="str">
        <f>IF(Profile!C4265="Profile",IF(Profile!A4267="ResourceRequirement","OK","XXX"),"XXX")</f>
        <v>XXX</v>
      </c>
    </row>
    <row r="3503" spans="1:4" x14ac:dyDescent="0.45">
      <c r="A3503">
        <f>ROW()</f>
        <v>3503</v>
      </c>
      <c r="B3503" t="str">
        <f>Profile!A4266</f>
        <v>Property</v>
      </c>
      <c r="C3503">
        <f>Profile!AP4268</f>
        <v>0</v>
      </c>
      <c r="D3503" t="str">
        <f>IF(Profile!C4266="Profile",IF(Profile!A4268="ResourceRequirement","OK","XXX"),"XXX")</f>
        <v>XXX</v>
      </c>
    </row>
    <row r="3504" spans="1:4" x14ac:dyDescent="0.45">
      <c r="A3504">
        <f>ROW()</f>
        <v>3504</v>
      </c>
      <c r="B3504" t="str">
        <f>Profile!A4267</f>
        <v>Members</v>
      </c>
      <c r="C3504">
        <f>Profile!AP4269</f>
        <v>0</v>
      </c>
      <c r="D3504" t="str">
        <f>IF(Profile!C4267="Profile",IF(Profile!A4269="ResourceRequirement","OK","XXX"),"XXX")</f>
        <v>XXX</v>
      </c>
    </row>
    <row r="3505" spans="1:4" x14ac:dyDescent="0.45">
      <c r="A3505">
        <f>ROW()</f>
        <v>3505</v>
      </c>
      <c r="B3505" t="str">
        <f>Profile!A4268</f>
        <v xml:space="preserve">   @odata.id</v>
      </c>
      <c r="C3505">
        <f>Profile!AP4270</f>
        <v>0</v>
      </c>
      <c r="D3505" t="str">
        <f>IF(Profile!C4268="Profile",IF(Profile!A4270="ResourceRequirement","OK","XXX"),"XXX")</f>
        <v>XXX</v>
      </c>
    </row>
    <row r="3506" spans="1:4" x14ac:dyDescent="0.45">
      <c r="A3506">
        <f>ROW()</f>
        <v>3506</v>
      </c>
      <c r="B3506" t="str">
        <f>Profile!A4269</f>
        <v>DCNHeadUnitCollection URIs</v>
      </c>
      <c r="C3506">
        <f>Profile!AP4271</f>
        <v>0</v>
      </c>
      <c r="D3506" t="str">
        <f>IF(Profile!C4269="Profile",IF(Profile!A4271="ResourceRequirement","OK","XXX"),"XXX")</f>
        <v>XXX</v>
      </c>
    </row>
    <row r="3507" spans="1:4" x14ac:dyDescent="0.45">
      <c r="A3507">
        <f>ROW()</f>
        <v>3507</v>
      </c>
      <c r="B3507" t="str">
        <f>Profile!A4270</f>
        <v>/redfish/v1/Systems/{ComputerSystemId}/HostedServices/DistributedControlNodeServices/HeadUnits</v>
      </c>
      <c r="C3507">
        <f>Profile!AP4272</f>
        <v>0</v>
      </c>
      <c r="D3507" t="str">
        <f>IF(Profile!C4270="Profile",IF(Profile!A4272="ResourceRequirement","OK","XXX"),"XXX")</f>
        <v>XXX</v>
      </c>
    </row>
    <row r="3508" spans="1:4" x14ac:dyDescent="0.45">
      <c r="A3508">
        <f>ROW()</f>
        <v>3508</v>
      </c>
      <c r="B3508">
        <f>Profile!A4271</f>
        <v>0</v>
      </c>
      <c r="C3508">
        <f>Profile!AP4273</f>
        <v>0</v>
      </c>
      <c r="D3508" t="str">
        <f>IF(Profile!C4271="Profile",IF(Profile!A4273="ResourceRequirement","OK","XXX"),"XXX")</f>
        <v>XXX</v>
      </c>
    </row>
    <row r="3509" spans="1:4" x14ac:dyDescent="0.45">
      <c r="A3509">
        <f>ROW()</f>
        <v>3509</v>
      </c>
      <c r="B3509" t="str">
        <f>Profile!A4272</f>
        <v>1.1.9.8 DCNHeadUnit</v>
      </c>
      <c r="C3509">
        <f>Profile!AP4274</f>
        <v>0</v>
      </c>
      <c r="D3509" t="str">
        <f>IF(Profile!C4272="Profile",IF(Profile!A4274="ResourceRequirement","OK","XXX"),"XXX")</f>
        <v>XXX</v>
      </c>
    </row>
    <row r="3510" spans="1:4" x14ac:dyDescent="0.45">
      <c r="A3510">
        <f>ROW()</f>
        <v>3510</v>
      </c>
      <c r="B3510" t="str">
        <f>Profile!A4273</f>
        <v>Resource describing an O-PAS DCN HeadUnit (I/O and HART®). 
For additional detail on Head Units and DCN Physical Topology, see O-PAS Part 7 – Physical Platform.</v>
      </c>
      <c r="C3510">
        <f>Profile!AP4275</f>
        <v>0</v>
      </c>
      <c r="D3510" t="str">
        <f>IF(Profile!C4273="Profile",IF(Profile!A4275="ResourceRequirement","OK","XXX"),"XXX")</f>
        <v>XXX</v>
      </c>
    </row>
    <row r="3511" spans="1:4" x14ac:dyDescent="0.45">
      <c r="A3511">
        <f>ROW()</f>
        <v>3511</v>
      </c>
      <c r="B3511" t="str">
        <f>Profile!A4274</f>
        <v>DCNHeadUnit (1.0.0)</v>
      </c>
      <c r="C3511">
        <f>Profile!AP4276</f>
        <v>0</v>
      </c>
      <c r="D3511" t="str">
        <f>IF(Profile!C4274="Profile",IF(Profile!A4276="ResourceRequirement","OK","XXX"),"XXX")</f>
        <v>OK</v>
      </c>
    </row>
    <row r="3512" spans="1:4" x14ac:dyDescent="0.45">
      <c r="A3512">
        <f>ROW()</f>
        <v>3512</v>
      </c>
      <c r="B3512">
        <f>Profile!A4275</f>
        <v>0</v>
      </c>
      <c r="C3512">
        <f>Profile!AP4277</f>
        <v>0</v>
      </c>
      <c r="D3512" t="str">
        <f>IF(Profile!C4275="Profile",IF(Profile!A4277="ResourceRequirement","OK","XXX"),"XXX")</f>
        <v>XXX</v>
      </c>
    </row>
    <row r="3513" spans="1:4" x14ac:dyDescent="0.45">
      <c r="A3513">
        <f>ROW()</f>
        <v>3513</v>
      </c>
      <c r="B3513" t="str">
        <f>Profile!A4276</f>
        <v>ResourceRequirement</v>
      </c>
      <c r="C3513">
        <f>Profile!AP4278</f>
        <v>0</v>
      </c>
      <c r="D3513" t="str">
        <f>IF(Profile!C4276="Profile",IF(Profile!A4278="ResourceRequirement","OK","XXX"),"XXX")</f>
        <v>XXX</v>
      </c>
    </row>
    <row r="3514" spans="1:4" x14ac:dyDescent="0.45">
      <c r="A3514">
        <f>ROW()</f>
        <v>3514</v>
      </c>
      <c r="B3514" t="str">
        <f>Profile!A4277</f>
        <v>Resource MinVersion</v>
      </c>
      <c r="C3514">
        <f>Profile!AP4279</f>
        <v>0</v>
      </c>
      <c r="D3514" t="str">
        <f>IF(Profile!C4277="Profile",IF(Profile!A4279="ResourceRequirement","OK","XXX"),"XXX")</f>
        <v>XXX</v>
      </c>
    </row>
    <row r="3515" spans="1:4" x14ac:dyDescent="0.45">
      <c r="A3515">
        <f>ROW()</f>
        <v>3515</v>
      </c>
      <c r="B3515" t="str">
        <f>Profile!A4278</f>
        <v>Property</v>
      </c>
      <c r="C3515">
        <f>Profile!AP4280</f>
        <v>0</v>
      </c>
      <c r="D3515" t="str">
        <f>IF(Profile!C4278="Profile",IF(Profile!A4280="ResourceRequirement","OK","XXX"),"XXX")</f>
        <v>XXX</v>
      </c>
    </row>
    <row r="3516" spans="1:4" x14ac:dyDescent="0.45">
      <c r="A3516">
        <f>ROW()</f>
        <v>3516</v>
      </c>
      <c r="B3516" t="str">
        <f>Profile!A4279</f>
        <v>Actions</v>
      </c>
      <c r="C3516">
        <f>Profile!AP4281</f>
        <v>0</v>
      </c>
      <c r="D3516" t="str">
        <f>IF(Profile!C4279="Profile",IF(Profile!A4281="ResourceRequirement","OK","XXX"),"XXX")</f>
        <v>XXX</v>
      </c>
    </row>
    <row r="3517" spans="1:4" x14ac:dyDescent="0.45">
      <c r="A3517">
        <f>ROW()</f>
        <v>3517</v>
      </c>
      <c r="B3517" t="str">
        <f>Profile!A4280</f>
        <v>HeadUnitName</v>
      </c>
      <c r="C3517">
        <f>Profile!AP4282</f>
        <v>0</v>
      </c>
      <c r="D3517" t="str">
        <f>IF(Profile!C4280="Profile",IF(Profile!A4282="ResourceRequirement","OK","XXX"),"XXX")</f>
        <v>XXX</v>
      </c>
    </row>
    <row r="3518" spans="1:4" x14ac:dyDescent="0.45">
      <c r="A3518">
        <f>ROW()</f>
        <v>3518</v>
      </c>
      <c r="B3518" t="str">
        <f>Profile!A4281</f>
        <v>HeadUnitPath</v>
      </c>
      <c r="C3518">
        <f>Profile!AP4283</f>
        <v>0</v>
      </c>
      <c r="D3518" t="str">
        <f>IF(Profile!C4281="Profile",IF(Profile!A4283="ResourceRequirement","OK","XXX"),"XXX")</f>
        <v>XXX</v>
      </c>
    </row>
    <row r="3519" spans="1:4" x14ac:dyDescent="0.45">
      <c r="A3519">
        <f>ROW()</f>
        <v>3519</v>
      </c>
      <c r="B3519" t="str">
        <f>Profile!A4282</f>
        <v>CommStatus</v>
      </c>
      <c r="C3519">
        <f>Profile!AP4284</f>
        <v>0</v>
      </c>
      <c r="D3519" t="str">
        <f>IF(Profile!C4282="Profile",IF(Profile!A4284="ResourceRequirement","OK","XXX"),"XXX")</f>
        <v>XXX</v>
      </c>
    </row>
    <row r="3520" spans="1:4" x14ac:dyDescent="0.45">
      <c r="A3520">
        <f>ROW()</f>
        <v>3520</v>
      </c>
      <c r="B3520" t="str">
        <f>Profile!A4283</f>
        <v>IOBusses</v>
      </c>
      <c r="C3520">
        <f>Profile!AP4285</f>
        <v>0</v>
      </c>
      <c r="D3520" t="str">
        <f>IF(Profile!C4283="Profile",IF(Profile!A4285="ResourceRequirement","OK","XXX"),"XXX")</f>
        <v>XXX</v>
      </c>
    </row>
    <row r="3521" spans="1:4" x14ac:dyDescent="0.45">
      <c r="A3521">
        <f>ROW()</f>
        <v>3521</v>
      </c>
      <c r="B3521" t="str">
        <f>Profile!A4284</f>
        <v xml:space="preserve">   @odata.id</v>
      </c>
      <c r="C3521">
        <f>Profile!AP4286</f>
        <v>0</v>
      </c>
      <c r="D3521" t="str">
        <f>IF(Profile!C4284="Profile",IF(Profile!A4286="ResourceRequirement","OK","XXX"),"XXX")</f>
        <v>XXX</v>
      </c>
    </row>
    <row r="3522" spans="1:4" x14ac:dyDescent="0.45">
      <c r="A3522">
        <f>ROW()</f>
        <v>3522</v>
      </c>
      <c r="B3522" t="str">
        <f>Profile!A4285</f>
        <v>IOModules</v>
      </c>
      <c r="C3522">
        <f>Profile!AP4287</f>
        <v>0</v>
      </c>
      <c r="D3522" t="str">
        <f>IF(Profile!C4285="Profile",IF(Profile!A4287="ResourceRequirement","OK","XXX"),"XXX")</f>
        <v>XXX</v>
      </c>
    </row>
    <row r="3523" spans="1:4" x14ac:dyDescent="0.45">
      <c r="A3523">
        <f>ROW()</f>
        <v>3523</v>
      </c>
      <c r="B3523" t="str">
        <f>Profile!A4286</f>
        <v xml:space="preserve">   @odata.id</v>
      </c>
      <c r="C3523">
        <f>Profile!AP4288</f>
        <v>0</v>
      </c>
      <c r="D3523" t="str">
        <f>IF(Profile!C4286="Profile",IF(Profile!A4288="ResourceRequirement","OK","XXX"),"XXX")</f>
        <v>XXX</v>
      </c>
    </row>
    <row r="3524" spans="1:4" x14ac:dyDescent="0.45">
      <c r="A3524">
        <f>ROW()</f>
        <v>3524</v>
      </c>
      <c r="B3524" t="str">
        <f>Profile!A4287</f>
        <v>OpasIOSubsystems</v>
      </c>
      <c r="C3524">
        <f>Profile!AP4289</f>
        <v>0</v>
      </c>
      <c r="D3524" t="str">
        <f>IF(Profile!C4287="Profile",IF(Profile!A4289="ResourceRequirement","OK","XXX"),"XXX")</f>
        <v>XXX</v>
      </c>
    </row>
    <row r="3525" spans="1:4" x14ac:dyDescent="0.45">
      <c r="A3525">
        <f>ROW()</f>
        <v>3525</v>
      </c>
      <c r="B3525" t="str">
        <f>Profile!A4288</f>
        <v xml:space="preserve">   @odata.id</v>
      </c>
      <c r="C3525">
        <f>Profile!AP4290</f>
        <v>0</v>
      </c>
      <c r="D3525" t="str">
        <f>IF(Profile!C4288="Profile",IF(Profile!A4290="ResourceRequirement","OK","XXX"),"XXX")</f>
        <v>XXX</v>
      </c>
    </row>
    <row r="3526" spans="1:4" x14ac:dyDescent="0.45">
      <c r="A3526">
        <f>ROW()</f>
        <v>3526</v>
      </c>
      <c r="B3526" t="str">
        <f>Profile!A4289</f>
        <v>NonOpasIOSubsystems</v>
      </c>
      <c r="C3526">
        <f>Profile!AP4291</f>
        <v>0</v>
      </c>
      <c r="D3526" t="str">
        <f>IF(Profile!C4289="Profile",IF(Profile!A4291="ResourceRequirement","OK","XXX"),"XXX")</f>
        <v>XXX</v>
      </c>
    </row>
    <row r="3527" spans="1:4" x14ac:dyDescent="0.45">
      <c r="A3527">
        <f>ROW()</f>
        <v>3527</v>
      </c>
      <c r="B3527" t="str">
        <f>Profile!A4290</f>
        <v xml:space="preserve">   @odata.id</v>
      </c>
      <c r="C3527">
        <f>Profile!AP4292</f>
        <v>0</v>
      </c>
      <c r="D3527" t="str">
        <f>IF(Profile!C4290="Profile",IF(Profile!A4292="ResourceRequirement","OK","XXX"),"XXX")</f>
        <v>XXX</v>
      </c>
    </row>
    <row r="3528" spans="1:4" x14ac:dyDescent="0.45">
      <c r="A3528">
        <f>ROW()</f>
        <v>3528</v>
      </c>
      <c r="B3528" t="str">
        <f>Profile!A4291</f>
        <v>Oem</v>
      </c>
      <c r="C3528">
        <f>Profile!AP4293</f>
        <v>0</v>
      </c>
      <c r="D3528" t="str">
        <f>IF(Profile!C4291="Profile",IF(Profile!A4293="ResourceRequirement","OK","XXX"),"XXX")</f>
        <v>XXX</v>
      </c>
    </row>
    <row r="3529" spans="1:4" x14ac:dyDescent="0.45">
      <c r="A3529">
        <f>ROW()</f>
        <v>3529</v>
      </c>
      <c r="B3529" t="str">
        <f>Profile!A4292</f>
        <v>DCNHeadUnit URIs</v>
      </c>
      <c r="C3529">
        <f>Profile!AP4294</f>
        <v>0</v>
      </c>
      <c r="D3529" t="str">
        <f>IF(Profile!C4292="Profile",IF(Profile!A4294="ResourceRequirement","OK","XXX"),"XXX")</f>
        <v>XXX</v>
      </c>
    </row>
    <row r="3530" spans="1:4" x14ac:dyDescent="0.45">
      <c r="A3530">
        <f>ROW()</f>
        <v>3530</v>
      </c>
      <c r="B3530" t="str">
        <f>Profile!A4293</f>
        <v>/redfish/v1/Systems/{ComputerSystemId}/HostedServices/DistributedControlNodeServices/HeadUnits/{HeadUnitId}</v>
      </c>
      <c r="C3530">
        <f>Profile!AP4295</f>
        <v>0</v>
      </c>
      <c r="D3530" t="str">
        <f>IF(Profile!C4293="Profile",IF(Profile!A4295="ResourceRequirement","OK","XXX"),"XXX")</f>
        <v>XXX</v>
      </c>
    </row>
    <row r="3531" spans="1:4" x14ac:dyDescent="0.45">
      <c r="A3531">
        <f>ROW()</f>
        <v>3531</v>
      </c>
      <c r="B3531">
        <f>Profile!A4294</f>
        <v>0</v>
      </c>
      <c r="C3531">
        <f>Profile!AP4296</f>
        <v>0</v>
      </c>
      <c r="D3531" t="str">
        <f>IF(Profile!C4294="Profile",IF(Profile!A4296="ResourceRequirement","OK","XXX"),"XXX")</f>
        <v>XXX</v>
      </c>
    </row>
    <row r="3532" spans="1:4" x14ac:dyDescent="0.45">
      <c r="A3532">
        <f>ROW()</f>
        <v>3532</v>
      </c>
      <c r="B3532" t="str">
        <f>Profile!A4295</f>
        <v>1.1.1.3               DCNIOBusCollection</v>
      </c>
      <c r="C3532">
        <f>Profile!AP4297</f>
        <v>0</v>
      </c>
      <c r="D3532" t="str">
        <f>IF(Profile!C4295="Profile",IF(Profile!A4297="ResourceRequirement","OK","XXX"),"XXX")</f>
        <v>XXX</v>
      </c>
    </row>
    <row r="3533" spans="1:4" x14ac:dyDescent="0.45">
      <c r="A3533">
        <f>ROW()</f>
        <v>3533</v>
      </c>
      <c r="B3533" t="str">
        <f>Profile!A4296</f>
        <v>A DCNIOBusCollection is a collection of DCNIOBus Resources running on a node.
For additional detail on I/O Busses and DCN Physical Topology, see O-PAS Part 7 – Physical Platform.</v>
      </c>
      <c r="C3533">
        <f>Profile!AP4298</f>
        <v>0</v>
      </c>
      <c r="D3533" t="str">
        <f>IF(Profile!C4296="Profile",IF(Profile!A4298="ResourceRequirement","OK","XXX"),"XXX")</f>
        <v>XXX</v>
      </c>
    </row>
    <row r="3534" spans="1:4" x14ac:dyDescent="0.45">
      <c r="A3534">
        <f>ROW()</f>
        <v>3534</v>
      </c>
      <c r="B3534" t="str">
        <f>Profile!A4297</f>
        <v>DCNIOBusCollection (1.0.0)</v>
      </c>
      <c r="C3534">
        <f>Profile!AP4299</f>
        <v>0</v>
      </c>
      <c r="D3534" t="str">
        <f>IF(Profile!C4297="Profile",IF(Profile!A4299="ResourceRequirement","OK","XXX"),"XXX")</f>
        <v>OK</v>
      </c>
    </row>
    <row r="3535" spans="1:4" x14ac:dyDescent="0.45">
      <c r="A3535">
        <f>ROW()</f>
        <v>3535</v>
      </c>
      <c r="B3535">
        <f>Profile!A4298</f>
        <v>0</v>
      </c>
      <c r="C3535">
        <f>Profile!AP4300</f>
        <v>0</v>
      </c>
      <c r="D3535" t="str">
        <f>IF(Profile!C4298="Profile",IF(Profile!A4300="ResourceRequirement","OK","XXX"),"XXX")</f>
        <v>XXX</v>
      </c>
    </row>
    <row r="3536" spans="1:4" x14ac:dyDescent="0.45">
      <c r="A3536">
        <f>ROW()</f>
        <v>3536</v>
      </c>
      <c r="B3536" t="str">
        <f>Profile!A4299</f>
        <v>ResourceRequirement</v>
      </c>
      <c r="C3536">
        <f>Profile!AP4301</f>
        <v>0</v>
      </c>
      <c r="D3536" t="str">
        <f>IF(Profile!C4299="Profile",IF(Profile!A4301="ResourceRequirement","OK","XXX"),"XXX")</f>
        <v>XXX</v>
      </c>
    </row>
    <row r="3537" spans="1:4" x14ac:dyDescent="0.45">
      <c r="A3537">
        <f>ROW()</f>
        <v>3537</v>
      </c>
      <c r="B3537" t="str">
        <f>Profile!A4300</f>
        <v>Property</v>
      </c>
      <c r="C3537">
        <f>Profile!AP4302</f>
        <v>0</v>
      </c>
      <c r="D3537" t="str">
        <f>IF(Profile!C4300="Profile",IF(Profile!A4302="ResourceRequirement","OK","XXX"),"XXX")</f>
        <v>XXX</v>
      </c>
    </row>
    <row r="3538" spans="1:4" x14ac:dyDescent="0.45">
      <c r="A3538">
        <f>ROW()</f>
        <v>3538</v>
      </c>
      <c r="B3538" t="str">
        <f>Profile!A4301</f>
        <v>Members</v>
      </c>
      <c r="C3538">
        <f>Profile!AP4303</f>
        <v>0</v>
      </c>
      <c r="D3538" t="str">
        <f>IF(Profile!C4301="Profile",IF(Profile!A4303="ResourceRequirement","OK","XXX"),"XXX")</f>
        <v>XXX</v>
      </c>
    </row>
    <row r="3539" spans="1:4" x14ac:dyDescent="0.45">
      <c r="A3539">
        <f>ROW()</f>
        <v>3539</v>
      </c>
      <c r="B3539" t="str">
        <f>Profile!A4302</f>
        <v xml:space="preserve">   @odata.id</v>
      </c>
      <c r="C3539">
        <f>Profile!AP4304</f>
        <v>0</v>
      </c>
      <c r="D3539" t="str">
        <f>IF(Profile!C4302="Profile",IF(Profile!A4304="ResourceRequirement","OK","XXX"),"XXX")</f>
        <v>XXX</v>
      </c>
    </row>
    <row r="3540" spans="1:4" x14ac:dyDescent="0.45">
      <c r="A3540">
        <f>ROW()</f>
        <v>3540</v>
      </c>
      <c r="B3540" t="str">
        <f>Profile!A4303</f>
        <v>DCNIOBusCollection URIs</v>
      </c>
      <c r="C3540">
        <f>Profile!AP4305</f>
        <v>0</v>
      </c>
      <c r="D3540" t="str">
        <f>IF(Profile!C4303="Profile",IF(Profile!A4305="ResourceRequirement","OK","XXX"),"XXX")</f>
        <v>XXX</v>
      </c>
    </row>
    <row r="3541" spans="1:4" x14ac:dyDescent="0.45">
      <c r="A3541">
        <f>ROW()</f>
        <v>3541</v>
      </c>
      <c r="B3541" t="str">
        <f>Profile!A4304</f>
        <v>/redfish/v1/Systems/{ComputerSystemId}HostedServices/DistributedControlNodeServices/IOBusses</v>
      </c>
      <c r="C3541">
        <f>Profile!AP4306</f>
        <v>0</v>
      </c>
      <c r="D3541" t="str">
        <f>IF(Profile!C4304="Profile",IF(Profile!A4306="ResourceRequirement","OK","XXX"),"XXX")</f>
        <v>XXX</v>
      </c>
    </row>
    <row r="3542" spans="1:4" x14ac:dyDescent="0.45">
      <c r="A3542">
        <f>ROW()</f>
        <v>3542</v>
      </c>
      <c r="B3542">
        <f>Profile!A4305</f>
        <v>0</v>
      </c>
      <c r="C3542">
        <f>Profile!AP4307</f>
        <v>0</v>
      </c>
      <c r="D3542" t="str">
        <f>IF(Profile!C4305="Profile",IF(Profile!A4307="ResourceRequirement","OK","XXX"),"XXX")</f>
        <v>XXX</v>
      </c>
    </row>
    <row r="3543" spans="1:4" x14ac:dyDescent="0.45">
      <c r="A3543">
        <f>ROW()</f>
        <v>3543</v>
      </c>
      <c r="B3543" t="str">
        <f>Profile!A4306</f>
        <v>1.1.9.8 DCNIOBus</v>
      </c>
      <c r="C3543">
        <f>Profile!AP4308</f>
        <v>0</v>
      </c>
      <c r="D3543" t="str">
        <f>IF(Profile!C4306="Profile",IF(Profile!A4308="ResourceRequirement","OK","XXX"),"XXX")</f>
        <v>XXX</v>
      </c>
    </row>
    <row r="3544" spans="1:4" x14ac:dyDescent="0.45">
      <c r="A3544">
        <f>ROW()</f>
        <v>3544</v>
      </c>
      <c r="B3544" t="str">
        <f>Profile!A4307</f>
        <v>Resource describing an O-PAS DCN Bus (I/O and HART®).
For additional detail on I/O Busses and DCN Physical Topology, see O-PAS Part 7 – Physical Platform.</v>
      </c>
      <c r="C3544">
        <f>Profile!AP4309</f>
        <v>0</v>
      </c>
      <c r="D3544" t="str">
        <f>IF(Profile!C4307="Profile",IF(Profile!A4309="ResourceRequirement","OK","XXX"),"XXX")</f>
        <v>XXX</v>
      </c>
    </row>
    <row r="3545" spans="1:4" x14ac:dyDescent="0.45">
      <c r="A3545">
        <f>ROW()</f>
        <v>3545</v>
      </c>
      <c r="B3545" t="str">
        <f>Profile!A4308</f>
        <v>DCNIOBus (1.0.0)</v>
      </c>
      <c r="C3545">
        <f>Profile!AP4310</f>
        <v>0</v>
      </c>
      <c r="D3545" t="str">
        <f>IF(Profile!C4308="Profile",IF(Profile!A4310="ResourceRequirement","OK","XXX"),"XXX")</f>
        <v>OK</v>
      </c>
    </row>
    <row r="3546" spans="1:4" x14ac:dyDescent="0.45">
      <c r="A3546">
        <f>ROW()</f>
        <v>3546</v>
      </c>
      <c r="B3546">
        <f>Profile!A4309</f>
        <v>0</v>
      </c>
      <c r="C3546">
        <f>Profile!AP4311</f>
        <v>0</v>
      </c>
      <c r="D3546" t="str">
        <f>IF(Profile!C4309="Profile",IF(Profile!A4311="ResourceRequirement","OK","XXX"),"XXX")</f>
        <v>XXX</v>
      </c>
    </row>
    <row r="3547" spans="1:4" x14ac:dyDescent="0.45">
      <c r="A3547">
        <f>ROW()</f>
        <v>3547</v>
      </c>
      <c r="B3547" t="str">
        <f>Profile!A4310</f>
        <v>ResourceRequirement</v>
      </c>
      <c r="C3547">
        <f>Profile!AP4312</f>
        <v>0</v>
      </c>
      <c r="D3547" t="str">
        <f>IF(Profile!C4310="Profile",IF(Profile!A4312="ResourceRequirement","OK","XXX"),"XXX")</f>
        <v>XXX</v>
      </c>
    </row>
    <row r="3548" spans="1:4" x14ac:dyDescent="0.45">
      <c r="A3548">
        <f>ROW()</f>
        <v>3548</v>
      </c>
      <c r="B3548" t="str">
        <f>Profile!A4311</f>
        <v>Resource MinVersion</v>
      </c>
      <c r="C3548">
        <f>Profile!AP4313</f>
        <v>0</v>
      </c>
      <c r="D3548" t="str">
        <f>IF(Profile!C4311="Profile",IF(Profile!A4313="ResourceRequirement","OK","XXX"),"XXX")</f>
        <v>XXX</v>
      </c>
    </row>
    <row r="3549" spans="1:4" x14ac:dyDescent="0.45">
      <c r="A3549">
        <f>ROW()</f>
        <v>3549</v>
      </c>
      <c r="B3549" t="str">
        <f>Profile!A4312</f>
        <v>Property</v>
      </c>
      <c r="C3549">
        <f>Profile!AP4314</f>
        <v>0</v>
      </c>
      <c r="D3549" t="str">
        <f>IF(Profile!C4312="Profile",IF(Profile!A4314="ResourceRequirement","OK","XXX"),"XXX")</f>
        <v>XXX</v>
      </c>
    </row>
    <row r="3550" spans="1:4" x14ac:dyDescent="0.45">
      <c r="A3550">
        <f>ROW()</f>
        <v>3550</v>
      </c>
      <c r="B3550" t="str">
        <f>Profile!A4313</f>
        <v>Actions</v>
      </c>
      <c r="C3550">
        <f>Profile!AP4315</f>
        <v>0</v>
      </c>
      <c r="D3550" t="str">
        <f>IF(Profile!C4313="Profile",IF(Profile!A4315="ResourceRequirement","OK","XXX"),"XXX")</f>
        <v>XXX</v>
      </c>
    </row>
    <row r="3551" spans="1:4" x14ac:dyDescent="0.45">
      <c r="A3551">
        <f>ROW()</f>
        <v>3551</v>
      </c>
      <c r="B3551" t="str">
        <f>Profile!A4314</f>
        <v>BusName</v>
      </c>
      <c r="C3551">
        <f>Profile!AP4316</f>
        <v>0</v>
      </c>
      <c r="D3551" t="str">
        <f>IF(Profile!C4314="Profile",IF(Profile!A4316="ResourceRequirement","OK","XXX"),"XXX")</f>
        <v>XXX</v>
      </c>
    </row>
    <row r="3552" spans="1:4" x14ac:dyDescent="0.45">
      <c r="A3552">
        <f>ROW()</f>
        <v>3552</v>
      </c>
      <c r="B3552" t="str">
        <f>Profile!A4315</f>
        <v>BusPath</v>
      </c>
      <c r="C3552">
        <f>Profile!AP4317</f>
        <v>0</v>
      </c>
      <c r="D3552" t="str">
        <f>IF(Profile!C4315="Profile",IF(Profile!A4317="ResourceRequirement","OK","XXX"),"XXX")</f>
        <v>XXX</v>
      </c>
    </row>
    <row r="3553" spans="1:4" x14ac:dyDescent="0.45">
      <c r="A3553">
        <f>ROW()</f>
        <v>3553</v>
      </c>
      <c r="B3553" t="str">
        <f>Profile!A4316</f>
        <v>BusType</v>
      </c>
      <c r="C3553">
        <f>Profile!AP4318</f>
        <v>0</v>
      </c>
      <c r="D3553" t="str">
        <f>IF(Profile!C4316="Profile",IF(Profile!A4318="ResourceRequirement","OK","XXX"),"XXX")</f>
        <v>XXX</v>
      </c>
    </row>
    <row r="3554" spans="1:4" x14ac:dyDescent="0.45">
      <c r="A3554">
        <f>ROW()</f>
        <v>3554</v>
      </c>
      <c r="B3554" t="str">
        <f>Profile!A4317</f>
        <v>CommStatus</v>
      </c>
      <c r="C3554">
        <f>Profile!AP4319</f>
        <v>0</v>
      </c>
      <c r="D3554" t="str">
        <f>IF(Profile!C4317="Profile",IF(Profile!A4319="ResourceRequirement","OK","XXX"),"XXX")</f>
        <v>XXX</v>
      </c>
    </row>
    <row r="3555" spans="1:4" x14ac:dyDescent="0.45">
      <c r="A3555">
        <f>ROW()</f>
        <v>3555</v>
      </c>
      <c r="B3555" t="str">
        <f>Profile!A4318</f>
        <v>IOModules</v>
      </c>
      <c r="C3555">
        <f>Profile!AP4320</f>
        <v>0</v>
      </c>
      <c r="D3555" t="str">
        <f>IF(Profile!C4318="Profile",IF(Profile!A4320="ResourceRequirement","OK","XXX"),"XXX")</f>
        <v>XXX</v>
      </c>
    </row>
    <row r="3556" spans="1:4" x14ac:dyDescent="0.45">
      <c r="A3556">
        <f>ROW()</f>
        <v>3556</v>
      </c>
      <c r="B3556" t="str">
        <f>Profile!A4319</f>
        <v>IOModules</v>
      </c>
      <c r="C3556">
        <f>Profile!AP4321</f>
        <v>0</v>
      </c>
      <c r="D3556" t="str">
        <f>IF(Profile!C4319="Profile",IF(Profile!A4321="ResourceRequirement","OK","XXX"),"XXX")</f>
        <v>XXX</v>
      </c>
    </row>
    <row r="3557" spans="1:4" x14ac:dyDescent="0.45">
      <c r="A3557">
        <f>ROW()</f>
        <v>3557</v>
      </c>
      <c r="B3557" t="str">
        <f>Profile!A4320</f>
        <v xml:space="preserve">   @odata.id</v>
      </c>
      <c r="C3557">
        <f>Profile!AP4322</f>
        <v>0</v>
      </c>
      <c r="D3557" t="str">
        <f>IF(Profile!C4320="Profile",IF(Profile!A4322="ResourceRequirement","OK","XXX"),"XXX")</f>
        <v>XXX</v>
      </c>
    </row>
    <row r="3558" spans="1:4" x14ac:dyDescent="0.45">
      <c r="A3558">
        <f>ROW()</f>
        <v>3558</v>
      </c>
      <c r="B3558" t="str">
        <f>Profile!A4321</f>
        <v xml:space="preserve">   MemberId</v>
      </c>
      <c r="C3558">
        <f>Profile!AP4323</f>
        <v>0</v>
      </c>
      <c r="D3558" t="str">
        <f>IF(Profile!C4321="Profile",IF(Profile!A4323="ResourceRequirement","OK","XXX"),"XXX")</f>
        <v>XXX</v>
      </c>
    </row>
    <row r="3559" spans="1:4" x14ac:dyDescent="0.45">
      <c r="A3559">
        <f>ROW()</f>
        <v>3559</v>
      </c>
      <c r="B3559" t="str">
        <f>Profile!A4322</f>
        <v xml:space="preserve">   Name</v>
      </c>
      <c r="C3559">
        <f>Profile!AP4324</f>
        <v>0</v>
      </c>
      <c r="D3559" t="str">
        <f>IF(Profile!C4322="Profile",IF(Profile!A4324="ResourceRequirement","OK","XXX"),"XXX")</f>
        <v>XXX</v>
      </c>
    </row>
    <row r="3560" spans="1:4" x14ac:dyDescent="0.45">
      <c r="A3560">
        <f>ROW()</f>
        <v>3560</v>
      </c>
      <c r="B3560" t="str">
        <f>Profile!A4323</f>
        <v xml:space="preserve">   ModuleName</v>
      </c>
      <c r="C3560">
        <f>Profile!AP4325</f>
        <v>0</v>
      </c>
      <c r="D3560" t="str">
        <f>IF(Profile!C4323="Profile",IF(Profile!A4325="ResourceRequirement","OK","XXX"),"XXX")</f>
        <v>XXX</v>
      </c>
    </row>
    <row r="3561" spans="1:4" x14ac:dyDescent="0.45">
      <c r="A3561">
        <f>ROW()</f>
        <v>3561</v>
      </c>
      <c r="B3561" t="str">
        <f>Profile!A4324</f>
        <v xml:space="preserve">   ManufactureDate</v>
      </c>
      <c r="C3561">
        <f>Profile!AP4326</f>
        <v>0</v>
      </c>
      <c r="D3561" t="str">
        <f>IF(Profile!C4324="Profile",IF(Profile!A4326="ResourceRequirement","OK","XXX"),"XXX")</f>
        <v>XXX</v>
      </c>
    </row>
    <row r="3562" spans="1:4" x14ac:dyDescent="0.45">
      <c r="A3562">
        <f>ROW()</f>
        <v>3562</v>
      </c>
      <c r="B3562" t="str">
        <f>Profile!A4325</f>
        <v xml:space="preserve">   IOChannels</v>
      </c>
      <c r="C3562">
        <f>Profile!AP4327</f>
        <v>0</v>
      </c>
      <c r="D3562" t="str">
        <f>IF(Profile!C4325="Profile",IF(Profile!A4327="ResourceRequirement","OK","XXX"),"XXX")</f>
        <v>XXX</v>
      </c>
    </row>
    <row r="3563" spans="1:4" x14ac:dyDescent="0.45">
      <c r="A3563">
        <f>ROW()</f>
        <v>3563</v>
      </c>
      <c r="B3563" t="str">
        <f>Profile!A4326</f>
        <v xml:space="preserve">      @odata.id</v>
      </c>
      <c r="C3563">
        <f>Profile!AP4328</f>
        <v>0</v>
      </c>
      <c r="D3563" t="str">
        <f>IF(Profile!C4326="Profile",IF(Profile!A4328="ResourceRequirement","OK","XXX"),"XXX")</f>
        <v>XXX</v>
      </c>
    </row>
    <row r="3564" spans="1:4" x14ac:dyDescent="0.45">
      <c r="A3564">
        <f>ROW()</f>
        <v>3564</v>
      </c>
      <c r="B3564" t="str">
        <f>Profile!A4327</f>
        <v xml:space="preserve">      MemberId</v>
      </c>
      <c r="C3564">
        <f>Profile!AP4329</f>
        <v>0</v>
      </c>
      <c r="D3564" t="str">
        <f>IF(Profile!C4327="Profile",IF(Profile!A4329="ResourceRequirement","OK","XXX"),"XXX")</f>
        <v>XXX</v>
      </c>
    </row>
    <row r="3565" spans="1:4" x14ac:dyDescent="0.45">
      <c r="A3565">
        <f>ROW()</f>
        <v>3565</v>
      </c>
      <c r="B3565" t="str">
        <f>Profile!A4328</f>
        <v xml:space="preserve">      Name</v>
      </c>
      <c r="C3565">
        <f>Profile!AP4330</f>
        <v>0</v>
      </c>
      <c r="D3565" t="str">
        <f>IF(Profile!C4328="Profile",IF(Profile!A4330="ResourceRequirement","OK","XXX"),"XXX")</f>
        <v>XXX</v>
      </c>
    </row>
    <row r="3566" spans="1:4" x14ac:dyDescent="0.45">
      <c r="A3566">
        <f>ROW()</f>
        <v>3566</v>
      </c>
      <c r="B3566" t="str">
        <f>Profile!A4329</f>
        <v xml:space="preserve">      ChannelName</v>
      </c>
      <c r="C3566">
        <f>Profile!AP4331</f>
        <v>0</v>
      </c>
      <c r="D3566" t="str">
        <f>IF(Profile!C4329="Profile",IF(Profile!A4331="ResourceRequirement","OK","XXX"),"XXX")</f>
        <v>XXX</v>
      </c>
    </row>
    <row r="3567" spans="1:4" x14ac:dyDescent="0.45">
      <c r="A3567">
        <f>ROW()</f>
        <v>3567</v>
      </c>
      <c r="B3567" t="str">
        <f>Profile!A4330</f>
        <v xml:space="preserve">      SignalType</v>
      </c>
      <c r="C3567">
        <f>Profile!AP4332</f>
        <v>0</v>
      </c>
      <c r="D3567" t="str">
        <f>IF(Profile!C4330="Profile",IF(Profile!A4332="ResourceRequirement","OK","XXX"),"XXX")</f>
        <v>XXX</v>
      </c>
    </row>
    <row r="3568" spans="1:4" x14ac:dyDescent="0.45">
      <c r="A3568">
        <f>ROW()</f>
        <v>3568</v>
      </c>
      <c r="B3568" t="str">
        <f>Profile!A4331</f>
        <v xml:space="preserve">      SignalRange</v>
      </c>
      <c r="C3568">
        <f>Profile!AP4333</f>
        <v>0</v>
      </c>
      <c r="D3568" t="str">
        <f>IF(Profile!C4331="Profile",IF(Profile!A4333="ResourceRequirement","OK","XXX"),"XXX")</f>
        <v>XXX</v>
      </c>
    </row>
    <row r="3569" spans="1:4" x14ac:dyDescent="0.45">
      <c r="A3569">
        <f>ROW()</f>
        <v>3569</v>
      </c>
      <c r="B3569" t="str">
        <f>Profile!A4332</f>
        <v xml:space="preserve">      ChannelDiagnostics</v>
      </c>
      <c r="C3569">
        <f>Profile!AP4334</f>
        <v>0</v>
      </c>
      <c r="D3569" t="str">
        <f>IF(Profile!C4332="Profile",IF(Profile!A4334="ResourceRequirement","OK","XXX"),"XXX")</f>
        <v>XXX</v>
      </c>
    </row>
    <row r="3570" spans="1:4" x14ac:dyDescent="0.45">
      <c r="A3570">
        <f>ROW()</f>
        <v>3570</v>
      </c>
      <c r="B3570" t="str">
        <f>Profile!A4333</f>
        <v xml:space="preserve">         OutOfRangeNamur</v>
      </c>
      <c r="C3570">
        <f>Profile!AP4335</f>
        <v>0</v>
      </c>
      <c r="D3570" t="str">
        <f>IF(Profile!C4333="Profile",IF(Profile!A4335="ResourceRequirement","OK","XXX"),"XXX")</f>
        <v>XXX</v>
      </c>
    </row>
    <row r="3571" spans="1:4" x14ac:dyDescent="0.45">
      <c r="A3571">
        <f>ROW()</f>
        <v>3571</v>
      </c>
      <c r="B3571" t="str">
        <f>Profile!A4334</f>
        <v xml:space="preserve">         ContinuitySupport</v>
      </c>
      <c r="C3571">
        <f>Profile!AP4336</f>
        <v>0</v>
      </c>
      <c r="D3571" t="str">
        <f>IF(Profile!C4334="Profile",IF(Profile!A4336="ResourceRequirement","OK","XXX"),"XXX")</f>
        <v>XXX</v>
      </c>
    </row>
    <row r="3572" spans="1:4" x14ac:dyDescent="0.45">
      <c r="A3572">
        <f>ROW()</f>
        <v>3572</v>
      </c>
      <c r="B3572" t="str">
        <f>Profile!A4335</f>
        <v xml:space="preserve">         ContinuityOK</v>
      </c>
      <c r="C3572">
        <f>Profile!AP4337</f>
        <v>0</v>
      </c>
      <c r="D3572" t="str">
        <f>IF(Profile!C4335="Profile",IF(Profile!A4337="ResourceRequirement","OK","XXX"),"XXX")</f>
        <v>XXX</v>
      </c>
    </row>
    <row r="3573" spans="1:4" x14ac:dyDescent="0.45">
      <c r="A3573">
        <f>ROW()</f>
        <v>3573</v>
      </c>
      <c r="B3573" t="str">
        <f>Profile!A4336</f>
        <v xml:space="preserve">         SensorTestPossible</v>
      </c>
      <c r="C3573">
        <f>Profile!AP4338</f>
        <v>0</v>
      </c>
      <c r="D3573" t="str">
        <f>IF(Profile!C4336="Profile",IF(Profile!A4338="ResourceRequirement","OK","XXX"),"XXX")</f>
        <v>XXX</v>
      </c>
    </row>
    <row r="3574" spans="1:4" x14ac:dyDescent="0.45">
      <c r="A3574">
        <f>ROW()</f>
        <v>3574</v>
      </c>
      <c r="B3574" t="str">
        <f>Profile!A4337</f>
        <v xml:space="preserve">         SensorTestOK</v>
      </c>
      <c r="C3574">
        <f>Profile!AP4339</f>
        <v>0</v>
      </c>
      <c r="D3574" t="str">
        <f>IF(Profile!C4337="Profile",IF(Profile!A4339="ResourceRequirement","OK","XXX"),"XXX")</f>
        <v>XXX</v>
      </c>
    </row>
    <row r="3575" spans="1:4" x14ac:dyDescent="0.45">
      <c r="A3575">
        <f>ROW()</f>
        <v>3575</v>
      </c>
      <c r="B3575" t="str">
        <f>Profile!A4338</f>
        <v xml:space="preserve">      Hart</v>
      </c>
      <c r="C3575">
        <f>Profile!AP4340</f>
        <v>0</v>
      </c>
      <c r="D3575" t="str">
        <f>IF(Profile!C4338="Profile",IF(Profile!A4340="ResourceRequirement","OK","XXX"),"XXX")</f>
        <v>XXX</v>
      </c>
    </row>
    <row r="3576" spans="1:4" x14ac:dyDescent="0.45">
      <c r="A3576">
        <f>ROW()</f>
        <v>3576</v>
      </c>
      <c r="B3576" t="str">
        <f>Profile!A4339</f>
        <v xml:space="preserve">         HartVersion</v>
      </c>
      <c r="C3576">
        <f>Profile!AP4341</f>
        <v>0</v>
      </c>
      <c r="D3576" t="str">
        <f>IF(Profile!C4339="Profile",IF(Profile!A4341="ResourceRequirement","OK","XXX"),"XXX")</f>
        <v>XXX</v>
      </c>
    </row>
    <row r="3577" spans="1:4" x14ac:dyDescent="0.45">
      <c r="A3577">
        <f>ROW()</f>
        <v>3577</v>
      </c>
      <c r="B3577" t="str">
        <f>Profile!A4340</f>
        <v xml:space="preserve">         LongTag</v>
      </c>
      <c r="C3577">
        <f>Profile!AP4342</f>
        <v>0</v>
      </c>
      <c r="D3577" t="str">
        <f>IF(Profile!C4340="Profile",IF(Profile!A4342="ResourceRequirement","OK","XXX"),"XXX")</f>
        <v>XXX</v>
      </c>
    </row>
    <row r="3578" spans="1:4" x14ac:dyDescent="0.45">
      <c r="A3578">
        <f>ROW()</f>
        <v>3578</v>
      </c>
      <c r="B3578" t="str">
        <f>Profile!A4341</f>
        <v xml:space="preserve">         ShortTag</v>
      </c>
      <c r="C3578">
        <f>Profile!AP4343</f>
        <v>0</v>
      </c>
      <c r="D3578" t="str">
        <f>IF(Profile!C4341="Profile",IF(Profile!A4343="ResourceRequirement","OK","XXX"),"XXX")</f>
        <v>XXX</v>
      </c>
    </row>
    <row r="3579" spans="1:4" x14ac:dyDescent="0.45">
      <c r="A3579">
        <f>ROW()</f>
        <v>3579</v>
      </c>
      <c r="B3579" t="str">
        <f>Profile!A4342</f>
        <v xml:space="preserve">         ErrorBitSet</v>
      </c>
      <c r="C3579">
        <f>Profile!AP4344</f>
        <v>0</v>
      </c>
      <c r="D3579" t="str">
        <f>IF(Profile!C4342="Profile",IF(Profile!A4344="ResourceRequirement","OK","XXX"),"XXX")</f>
        <v>XXX</v>
      </c>
    </row>
    <row r="3580" spans="1:4" x14ac:dyDescent="0.45">
      <c r="A3580">
        <f>ROW()</f>
        <v>3580</v>
      </c>
      <c r="B3580" t="str">
        <f>Profile!A4343</f>
        <v xml:space="preserve">         MoreStatusAvailableBitSet</v>
      </c>
      <c r="C3580">
        <f>Profile!AP4345</f>
        <v>0</v>
      </c>
      <c r="D3580" t="str">
        <f>IF(Profile!C4343="Profile",IF(Profile!A4345="ResourceRequirement","OK","XXX"),"XXX")</f>
        <v>XXX</v>
      </c>
    </row>
    <row r="3581" spans="1:4" x14ac:dyDescent="0.45">
      <c r="A3581">
        <f>ROW()</f>
        <v>3581</v>
      </c>
      <c r="B3581" t="str">
        <f>Profile!A4344</f>
        <v>Oem</v>
      </c>
      <c r="C3581">
        <f>Profile!AP4346</f>
        <v>0</v>
      </c>
      <c r="D3581" t="str">
        <f>IF(Profile!C4344="Profile",IF(Profile!A4346="ResourceRequirement","OK","XXX"),"XXX")</f>
        <v>XXX</v>
      </c>
    </row>
    <row r="3582" spans="1:4" x14ac:dyDescent="0.45">
      <c r="A3582">
        <f>ROW()</f>
        <v>3582</v>
      </c>
      <c r="B3582" t="str">
        <f>Profile!A4345</f>
        <v>DCNIOBus URIs</v>
      </c>
      <c r="C3582">
        <f>Profile!AP4347</f>
        <v>0</v>
      </c>
      <c r="D3582" t="str">
        <f>IF(Profile!C4345="Profile",IF(Profile!A4347="ResourceRequirement","OK","XXX"),"XXX")</f>
        <v>XXX</v>
      </c>
    </row>
    <row r="3583" spans="1:4" x14ac:dyDescent="0.45">
      <c r="A3583">
        <f>ROW()</f>
        <v>3583</v>
      </c>
      <c r="B3583" t="str">
        <f>Profile!A4346</f>
        <v>/redfish/v1/Systems/{ComputerSystemId}/HostedServices/DistributedControlNodeServices/IOBusses/{BusId}</v>
      </c>
      <c r="C3583">
        <f>Profile!AP4348</f>
        <v>0</v>
      </c>
      <c r="D3583" t="str">
        <f>IF(Profile!C4346="Profile",IF(Profile!A4348="ResourceRequirement","OK","XXX"),"XXX")</f>
        <v>XXX</v>
      </c>
    </row>
    <row r="3584" spans="1:4" x14ac:dyDescent="0.45">
      <c r="A3584">
        <f>ROW()</f>
        <v>3584</v>
      </c>
      <c r="B3584">
        <f>Profile!A4347</f>
        <v>0</v>
      </c>
      <c r="C3584">
        <f>Profile!AP4349</f>
        <v>0</v>
      </c>
      <c r="D3584" t="str">
        <f>IF(Profile!C4347="Profile",IF(Profile!A4349="ResourceRequirement","OK","XXX"),"XXX")</f>
        <v>XXX</v>
      </c>
    </row>
    <row r="3585" spans="1:4" x14ac:dyDescent="0.45">
      <c r="A3585">
        <f>ROW()</f>
        <v>3585</v>
      </c>
      <c r="B3585" t="str">
        <f>Profile!A4348</f>
        <v>1.1.1.3               DCNIOModuleCollection</v>
      </c>
      <c r="C3585">
        <f>Profile!AP4350</f>
        <v>0</v>
      </c>
      <c r="D3585" t="str">
        <f>IF(Profile!C4348="Profile",IF(Profile!A4350="ResourceRequirement","OK","XXX"),"XXX")</f>
        <v>XXX</v>
      </c>
    </row>
    <row r="3586" spans="1:4" x14ac:dyDescent="0.45">
      <c r="A3586">
        <f>ROW()</f>
        <v>3586</v>
      </c>
      <c r="B3586" t="str">
        <f>Profile!A4349</f>
        <v>A DCNIOModuleCollection is a collection of DCNDevice Resources running on a node.
For additional detail on I/O Modules and DCN Physical Topology, see O-PAS Part 7 – Physical Platform.</v>
      </c>
      <c r="C3586">
        <f>Profile!AP4351</f>
        <v>0</v>
      </c>
      <c r="D3586" t="str">
        <f>IF(Profile!C4349="Profile",IF(Profile!A4351="ResourceRequirement","OK","XXX"),"XXX")</f>
        <v>XXX</v>
      </c>
    </row>
    <row r="3587" spans="1:4" x14ac:dyDescent="0.45">
      <c r="A3587">
        <f>ROW()</f>
        <v>3587</v>
      </c>
      <c r="B3587" t="str">
        <f>Profile!A4350</f>
        <v>DCNIOModuleCollection (1.0.0)</v>
      </c>
      <c r="C3587">
        <f>Profile!AP4352</f>
        <v>0</v>
      </c>
      <c r="D3587" t="str">
        <f>IF(Profile!C4350="Profile",IF(Profile!A4352="ResourceRequirement","OK","XXX"),"XXX")</f>
        <v>OK</v>
      </c>
    </row>
    <row r="3588" spans="1:4" x14ac:dyDescent="0.45">
      <c r="A3588">
        <f>ROW()</f>
        <v>3588</v>
      </c>
      <c r="B3588">
        <f>Profile!A4351</f>
        <v>0</v>
      </c>
      <c r="C3588">
        <f>Profile!AP4353</f>
        <v>0</v>
      </c>
      <c r="D3588" t="str">
        <f>IF(Profile!C4351="Profile",IF(Profile!A4353="ResourceRequirement","OK","XXX"),"XXX")</f>
        <v>XXX</v>
      </c>
    </row>
    <row r="3589" spans="1:4" x14ac:dyDescent="0.45">
      <c r="A3589">
        <f>ROW()</f>
        <v>3589</v>
      </c>
      <c r="B3589" t="str">
        <f>Profile!A4352</f>
        <v>ResourceRequirement</v>
      </c>
      <c r="C3589">
        <f>Profile!AP4354</f>
        <v>0</v>
      </c>
      <c r="D3589" t="str">
        <f>IF(Profile!C4352="Profile",IF(Profile!A4354="ResourceRequirement","OK","XXX"),"XXX")</f>
        <v>XXX</v>
      </c>
    </row>
    <row r="3590" spans="1:4" x14ac:dyDescent="0.45">
      <c r="A3590">
        <f>ROW()</f>
        <v>3590</v>
      </c>
      <c r="B3590" t="str">
        <f>Profile!A4353</f>
        <v>Property</v>
      </c>
      <c r="C3590">
        <f>Profile!AP4355</f>
        <v>0</v>
      </c>
      <c r="D3590" t="str">
        <f>IF(Profile!C4353="Profile",IF(Profile!A4355="ResourceRequirement","OK","XXX"),"XXX")</f>
        <v>XXX</v>
      </c>
    </row>
    <row r="3591" spans="1:4" x14ac:dyDescent="0.45">
      <c r="A3591">
        <f>ROW()</f>
        <v>3591</v>
      </c>
      <c r="B3591" t="str">
        <f>Profile!A4354</f>
        <v>Members</v>
      </c>
      <c r="C3591">
        <f>Profile!AP4356</f>
        <v>0</v>
      </c>
      <c r="D3591" t="str">
        <f>IF(Profile!C4354="Profile",IF(Profile!A4356="ResourceRequirement","OK","XXX"),"XXX")</f>
        <v>XXX</v>
      </c>
    </row>
    <row r="3592" spans="1:4" x14ac:dyDescent="0.45">
      <c r="A3592">
        <f>ROW()</f>
        <v>3592</v>
      </c>
      <c r="B3592" t="str">
        <f>Profile!A4355</f>
        <v xml:space="preserve">   @odata.id</v>
      </c>
      <c r="C3592">
        <f>Profile!AP4357</f>
        <v>0</v>
      </c>
      <c r="D3592" t="str">
        <f>IF(Profile!C4355="Profile",IF(Profile!A4357="ResourceRequirement","OK","XXX"),"XXX")</f>
        <v>XXX</v>
      </c>
    </row>
    <row r="3593" spans="1:4" x14ac:dyDescent="0.45">
      <c r="A3593">
        <f>ROW()</f>
        <v>3593</v>
      </c>
      <c r="B3593" t="str">
        <f>Profile!A4356</f>
        <v>DCNIOModuleCollection URIs</v>
      </c>
      <c r="C3593">
        <f>Profile!AP4358</f>
        <v>0</v>
      </c>
      <c r="D3593" t="str">
        <f>IF(Profile!C4356="Profile",IF(Profile!A4358="ResourceRequirement","OK","XXX"),"XXX")</f>
        <v>XXX</v>
      </c>
    </row>
    <row r="3594" spans="1:4" x14ac:dyDescent="0.45">
      <c r="A3594">
        <f>ROW()</f>
        <v>3594</v>
      </c>
      <c r="B3594" t="str">
        <f>Profile!A4357</f>
        <v>/redfish/v1/Systems/{ComputerSystemId}/HostedServices/DistributedControlNodeServices/IOModules /redfish/v1/Systems/{ComputerSystemId}/HostedServices/DistributedControlNodeServices/IOBusses/{BusId}/IOModules</v>
      </c>
      <c r="C3594">
        <f>Profile!AP4359</f>
        <v>0</v>
      </c>
      <c r="D3594" t="str">
        <f>IF(Profile!C4357="Profile",IF(Profile!A4359="ResourceRequirement","OK","XXX"),"XXX")</f>
        <v>XXX</v>
      </c>
    </row>
    <row r="3595" spans="1:4" x14ac:dyDescent="0.45">
      <c r="A3595">
        <f>ROW()</f>
        <v>3595</v>
      </c>
      <c r="B3595">
        <f>Profile!A4358</f>
        <v>0</v>
      </c>
      <c r="C3595">
        <f>Profile!AP4360</f>
        <v>0</v>
      </c>
      <c r="D3595" t="str">
        <f>IF(Profile!C4358="Profile",IF(Profile!A4360="ResourceRequirement","OK","XXX"),"XXX")</f>
        <v>XXX</v>
      </c>
    </row>
    <row r="3596" spans="1:4" x14ac:dyDescent="0.45">
      <c r="A3596">
        <f>ROW()</f>
        <v>3596</v>
      </c>
      <c r="B3596" t="str">
        <f>Profile!A4359</f>
        <v>1.1.9.8 DCNIOModule</v>
      </c>
      <c r="C3596">
        <f>Profile!AP4361</f>
        <v>0</v>
      </c>
      <c r="D3596" t="str">
        <f>IF(Profile!C4359="Profile",IF(Profile!A4361="ResourceRequirement","OK","XXX"),"XXX")</f>
        <v>XXX</v>
      </c>
    </row>
    <row r="3597" spans="1:4" x14ac:dyDescent="0.45">
      <c r="A3597">
        <f>ROW()</f>
        <v>3597</v>
      </c>
      <c r="B3597" t="str">
        <f>Profile!A4360</f>
        <v>Resource to describe a IOModule connected to an O-PAS DCN directly or on a DCN Bus.
For additional detail on I/O Modules and DCN Physical Topology, see O-PAS Part 7 – Physical Platform.</v>
      </c>
      <c r="C3597">
        <f>Profile!AP4362</f>
        <v>0</v>
      </c>
      <c r="D3597" t="str">
        <f>IF(Profile!C4360="Profile",IF(Profile!A4362="ResourceRequirement","OK","XXX"),"XXX")</f>
        <v>XXX</v>
      </c>
    </row>
    <row r="3598" spans="1:4" x14ac:dyDescent="0.45">
      <c r="A3598">
        <f>ROW()</f>
        <v>3598</v>
      </c>
      <c r="B3598" t="str">
        <f>Profile!A4361</f>
        <v>DCNIOModule (1.0.0)</v>
      </c>
      <c r="C3598">
        <f>Profile!AP4363</f>
        <v>0</v>
      </c>
      <c r="D3598" t="str">
        <f>IF(Profile!C4361="Profile",IF(Profile!A4363="ResourceRequirement","OK","XXX"),"XXX")</f>
        <v>OK</v>
      </c>
    </row>
    <row r="3599" spans="1:4" x14ac:dyDescent="0.45">
      <c r="A3599">
        <f>ROW()</f>
        <v>3599</v>
      </c>
      <c r="B3599">
        <f>Profile!A4362</f>
        <v>0</v>
      </c>
      <c r="C3599">
        <f>Profile!AP4364</f>
        <v>0</v>
      </c>
      <c r="D3599" t="str">
        <f>IF(Profile!C4362="Profile",IF(Profile!A4364="ResourceRequirement","OK","XXX"),"XXX")</f>
        <v>XXX</v>
      </c>
    </row>
    <row r="3600" spans="1:4" x14ac:dyDescent="0.45">
      <c r="A3600">
        <f>ROW()</f>
        <v>3600</v>
      </c>
      <c r="B3600" t="str">
        <f>Profile!A4363</f>
        <v>ResourceRequirement</v>
      </c>
      <c r="C3600">
        <f>Profile!AP4365</f>
        <v>0</v>
      </c>
      <c r="D3600" t="str">
        <f>IF(Profile!C4363="Profile",IF(Profile!A4365="ResourceRequirement","OK","XXX"),"XXX")</f>
        <v>XXX</v>
      </c>
    </row>
    <row r="3601" spans="1:4" x14ac:dyDescent="0.45">
      <c r="A3601">
        <f>ROW()</f>
        <v>3601</v>
      </c>
      <c r="B3601" t="str">
        <f>Profile!A4364</f>
        <v>Resource MinVersion</v>
      </c>
      <c r="C3601">
        <f>Profile!AP4366</f>
        <v>0</v>
      </c>
      <c r="D3601" t="str">
        <f>IF(Profile!C4364="Profile",IF(Profile!A4366="ResourceRequirement","OK","XXX"),"XXX")</f>
        <v>XXX</v>
      </c>
    </row>
    <row r="3602" spans="1:4" x14ac:dyDescent="0.45">
      <c r="A3602">
        <f>ROW()</f>
        <v>3602</v>
      </c>
      <c r="B3602" t="str">
        <f>Profile!A4365</f>
        <v>Property</v>
      </c>
      <c r="C3602">
        <f>Profile!AP4367</f>
        <v>0</v>
      </c>
      <c r="D3602" t="str">
        <f>IF(Profile!C4365="Profile",IF(Profile!A4367="ResourceRequirement","OK","XXX"),"XXX")</f>
        <v>XXX</v>
      </c>
    </row>
    <row r="3603" spans="1:4" x14ac:dyDescent="0.45">
      <c r="A3603">
        <f>ROW()</f>
        <v>3603</v>
      </c>
      <c r="B3603" t="str">
        <f>Profile!A4366</f>
        <v>Actions</v>
      </c>
      <c r="C3603">
        <f>Profile!AP4368</f>
        <v>0</v>
      </c>
      <c r="D3603" t="str">
        <f>IF(Profile!C4366="Profile",IF(Profile!A4368="ResourceRequirement","OK","XXX"),"XXX")</f>
        <v>XXX</v>
      </c>
    </row>
    <row r="3604" spans="1:4" x14ac:dyDescent="0.45">
      <c r="A3604">
        <f>ROW()</f>
        <v>3604</v>
      </c>
      <c r="B3604" t="str">
        <f>Profile!A4367</f>
        <v>ModuleName</v>
      </c>
      <c r="C3604">
        <f>Profile!AP4369</f>
        <v>0</v>
      </c>
      <c r="D3604" t="str">
        <f>IF(Profile!C4367="Profile",IF(Profile!A4369="ResourceRequirement","OK","XXX"),"XXX")</f>
        <v>XXX</v>
      </c>
    </row>
    <row r="3605" spans="1:4" x14ac:dyDescent="0.45">
      <c r="A3605">
        <f>ROW()</f>
        <v>3605</v>
      </c>
      <c r="B3605" t="str">
        <f>Profile!A4368</f>
        <v>ModulePath</v>
      </c>
      <c r="C3605">
        <f>Profile!AP4370</f>
        <v>0</v>
      </c>
      <c r="D3605" t="str">
        <f>IF(Profile!C4368="Profile",IF(Profile!A4370="ResourceRequirement","OK","XXX"),"XXX")</f>
        <v>XXX</v>
      </c>
    </row>
    <row r="3606" spans="1:4" x14ac:dyDescent="0.45">
      <c r="A3606">
        <f>ROW()</f>
        <v>3606</v>
      </c>
      <c r="B3606" t="str">
        <f>Profile!A4369</f>
        <v>CommStatus</v>
      </c>
      <c r="C3606">
        <f>Profile!AP4371</f>
        <v>0</v>
      </c>
      <c r="D3606" t="str">
        <f>IF(Profile!C4369="Profile",IF(Profile!A4371="ResourceRequirement","OK","XXX"),"XXX")</f>
        <v>XXX</v>
      </c>
    </row>
    <row r="3607" spans="1:4" x14ac:dyDescent="0.45">
      <c r="A3607">
        <f>ROW()</f>
        <v>3607</v>
      </c>
      <c r="B3607" t="str">
        <f>Profile!A4370</f>
        <v>ManufactureDate</v>
      </c>
      <c r="C3607">
        <f>Profile!AP4372</f>
        <v>0</v>
      </c>
      <c r="D3607" t="str">
        <f>IF(Profile!C4370="Profile",IF(Profile!A4372="ResourceRequirement","OK","XXX"),"XXX")</f>
        <v>XXX</v>
      </c>
    </row>
    <row r="3608" spans="1:4" x14ac:dyDescent="0.45">
      <c r="A3608">
        <f>ROW()</f>
        <v>3608</v>
      </c>
      <c r="B3608" t="str">
        <f>Profile!A4371</f>
        <v>IOChannels</v>
      </c>
      <c r="C3608">
        <f>Profile!AP4373</f>
        <v>0</v>
      </c>
      <c r="D3608" t="str">
        <f>IF(Profile!C4371="Profile",IF(Profile!A4373="ResourceRequirement","OK","XXX"),"XXX")</f>
        <v>XXX</v>
      </c>
    </row>
    <row r="3609" spans="1:4" x14ac:dyDescent="0.45">
      <c r="A3609">
        <f>ROW()</f>
        <v>3609</v>
      </c>
      <c r="B3609" t="str">
        <f>Profile!A4372</f>
        <v xml:space="preserve">   @odata.id</v>
      </c>
      <c r="C3609">
        <f>Profile!AP4374</f>
        <v>0</v>
      </c>
      <c r="D3609" t="str">
        <f>IF(Profile!C4372="Profile",IF(Profile!A4374="ResourceRequirement","OK","XXX"),"XXX")</f>
        <v>XXX</v>
      </c>
    </row>
    <row r="3610" spans="1:4" x14ac:dyDescent="0.45">
      <c r="A3610">
        <f>ROW()</f>
        <v>3610</v>
      </c>
      <c r="B3610" t="str">
        <f>Profile!A4373</f>
        <v xml:space="preserve">   MemberId</v>
      </c>
      <c r="C3610">
        <f>Profile!AP4375</f>
        <v>0</v>
      </c>
      <c r="D3610" t="str">
        <f>IF(Profile!C4373="Profile",IF(Profile!A4375="ResourceRequirement","OK","XXX"),"XXX")</f>
        <v>XXX</v>
      </c>
    </row>
    <row r="3611" spans="1:4" x14ac:dyDescent="0.45">
      <c r="A3611">
        <f>ROW()</f>
        <v>3611</v>
      </c>
      <c r="B3611" t="str">
        <f>Profile!A4374</f>
        <v xml:space="preserve">   Name</v>
      </c>
      <c r="C3611">
        <f>Profile!AP4376</f>
        <v>0</v>
      </c>
      <c r="D3611" t="str">
        <f>IF(Profile!C4374="Profile",IF(Profile!A4376="ResourceRequirement","OK","XXX"),"XXX")</f>
        <v>XXX</v>
      </c>
    </row>
    <row r="3612" spans="1:4" x14ac:dyDescent="0.45">
      <c r="A3612">
        <f>ROW()</f>
        <v>3612</v>
      </c>
      <c r="B3612" t="str">
        <f>Profile!A4375</f>
        <v xml:space="preserve">   ChannelName</v>
      </c>
      <c r="C3612">
        <f>Profile!AP4377</f>
        <v>0</v>
      </c>
      <c r="D3612" t="str">
        <f>IF(Profile!C4375="Profile",IF(Profile!A4377="ResourceRequirement","OK","XXX"),"XXX")</f>
        <v>XXX</v>
      </c>
    </row>
    <row r="3613" spans="1:4" x14ac:dyDescent="0.45">
      <c r="A3613">
        <f>ROW()</f>
        <v>3613</v>
      </c>
      <c r="B3613" t="str">
        <f>Profile!A4376</f>
        <v xml:space="preserve">   ChannelPath</v>
      </c>
      <c r="C3613">
        <f>Profile!AP4378</f>
        <v>0</v>
      </c>
      <c r="D3613" t="str">
        <f>IF(Profile!C4376="Profile",IF(Profile!A4378="ResourceRequirement","OK","XXX"),"XXX")</f>
        <v>XXX</v>
      </c>
    </row>
    <row r="3614" spans="1:4" x14ac:dyDescent="0.45">
      <c r="A3614">
        <f>ROW()</f>
        <v>3614</v>
      </c>
      <c r="B3614" t="str">
        <f>Profile!A4377</f>
        <v xml:space="preserve">   CommStatus</v>
      </c>
      <c r="C3614">
        <f>Profile!AP4379</f>
        <v>0</v>
      </c>
      <c r="D3614" t="str">
        <f>IF(Profile!C4377="Profile",IF(Profile!A4379="ResourceRequirement","OK","XXX"),"XXX")</f>
        <v>XXX</v>
      </c>
    </row>
    <row r="3615" spans="1:4" x14ac:dyDescent="0.45">
      <c r="A3615">
        <f>ROW()</f>
        <v>3615</v>
      </c>
      <c r="B3615" t="str">
        <f>Profile!A4378</f>
        <v xml:space="preserve">   SignalType</v>
      </c>
      <c r="C3615">
        <f>Profile!AP4380</f>
        <v>0</v>
      </c>
      <c r="D3615" t="str">
        <f>IF(Profile!C4378="Profile",IF(Profile!A4380="ResourceRequirement","OK","XXX"),"XXX")</f>
        <v>XXX</v>
      </c>
    </row>
    <row r="3616" spans="1:4" x14ac:dyDescent="0.45">
      <c r="A3616">
        <f>ROW()</f>
        <v>3616</v>
      </c>
      <c r="B3616" t="str">
        <f>Profile!A4379</f>
        <v xml:space="preserve">   SignalRange</v>
      </c>
      <c r="C3616">
        <f>Profile!AP4381</f>
        <v>0</v>
      </c>
      <c r="D3616" t="str">
        <f>IF(Profile!C4379="Profile",IF(Profile!A4381="ResourceRequirement","OK","XXX"),"XXX")</f>
        <v>XXX</v>
      </c>
    </row>
    <row r="3617" spans="1:4" x14ac:dyDescent="0.45">
      <c r="A3617">
        <f>ROW()</f>
        <v>3617</v>
      </c>
      <c r="B3617" t="str">
        <f>Profile!A4380</f>
        <v xml:space="preserve">   ChannelDiagnostics</v>
      </c>
      <c r="C3617">
        <f>Profile!AP4382</f>
        <v>0</v>
      </c>
      <c r="D3617" t="str">
        <f>IF(Profile!C4380="Profile",IF(Profile!A4382="ResourceRequirement","OK","XXX"),"XXX")</f>
        <v>XXX</v>
      </c>
    </row>
    <row r="3618" spans="1:4" x14ac:dyDescent="0.45">
      <c r="A3618">
        <f>ROW()</f>
        <v>3618</v>
      </c>
      <c r="B3618" t="str">
        <f>Profile!A4381</f>
        <v xml:space="preserve">      OutOfRangeNamur</v>
      </c>
      <c r="C3618">
        <f>Profile!AP4383</f>
        <v>0</v>
      </c>
      <c r="D3618" t="str">
        <f>IF(Profile!C4381="Profile",IF(Profile!A4383="ResourceRequirement","OK","XXX"),"XXX")</f>
        <v>XXX</v>
      </c>
    </row>
    <row r="3619" spans="1:4" x14ac:dyDescent="0.45">
      <c r="A3619">
        <f>ROW()</f>
        <v>3619</v>
      </c>
      <c r="B3619" t="str">
        <f>Profile!A4382</f>
        <v xml:space="preserve">      ContinuitySupport</v>
      </c>
      <c r="C3619">
        <f>Profile!AP4384</f>
        <v>0</v>
      </c>
      <c r="D3619" t="str">
        <f>IF(Profile!C4382="Profile",IF(Profile!A4384="ResourceRequirement","OK","XXX"),"XXX")</f>
        <v>XXX</v>
      </c>
    </row>
    <row r="3620" spans="1:4" x14ac:dyDescent="0.45">
      <c r="A3620">
        <f>ROW()</f>
        <v>3620</v>
      </c>
      <c r="B3620" t="str">
        <f>Profile!A4383</f>
        <v xml:space="preserve">      ContinuityOK</v>
      </c>
      <c r="C3620">
        <f>Profile!AP4385</f>
        <v>0</v>
      </c>
      <c r="D3620" t="str">
        <f>IF(Profile!C4383="Profile",IF(Profile!A4385="ResourceRequirement","OK","XXX"),"XXX")</f>
        <v>XXX</v>
      </c>
    </row>
    <row r="3621" spans="1:4" x14ac:dyDescent="0.45">
      <c r="A3621">
        <f>ROW()</f>
        <v>3621</v>
      </c>
      <c r="B3621" t="str">
        <f>Profile!A4384</f>
        <v xml:space="preserve">      SensorTestPossible</v>
      </c>
      <c r="C3621">
        <f>Profile!AP4386</f>
        <v>0</v>
      </c>
      <c r="D3621" t="str">
        <f>IF(Profile!C4384="Profile",IF(Profile!A4386="ResourceRequirement","OK","XXX"),"XXX")</f>
        <v>XXX</v>
      </c>
    </row>
    <row r="3622" spans="1:4" x14ac:dyDescent="0.45">
      <c r="A3622">
        <f>ROW()</f>
        <v>3622</v>
      </c>
      <c r="B3622" t="str">
        <f>Profile!A4385</f>
        <v xml:space="preserve">      SensorTestOK</v>
      </c>
      <c r="C3622">
        <f>Profile!AP4387</f>
        <v>0</v>
      </c>
      <c r="D3622" t="str">
        <f>IF(Profile!C4385="Profile",IF(Profile!A4387="ResourceRequirement","OK","XXX"),"XXX")</f>
        <v>XXX</v>
      </c>
    </row>
    <row r="3623" spans="1:4" x14ac:dyDescent="0.45">
      <c r="A3623">
        <f>ROW()</f>
        <v>3623</v>
      </c>
      <c r="B3623" t="str">
        <f>Profile!A4386</f>
        <v xml:space="preserve">   Hart</v>
      </c>
      <c r="C3623">
        <f>Profile!AP4388</f>
        <v>0</v>
      </c>
      <c r="D3623" t="str">
        <f>IF(Profile!C4386="Profile",IF(Profile!A4388="ResourceRequirement","OK","XXX"),"XXX")</f>
        <v>XXX</v>
      </c>
    </row>
    <row r="3624" spans="1:4" x14ac:dyDescent="0.45">
      <c r="A3624">
        <f>ROW()</f>
        <v>3624</v>
      </c>
      <c r="B3624" t="str">
        <f>Profile!A4387</f>
        <v xml:space="preserve">      HartVersion</v>
      </c>
      <c r="C3624">
        <f>Profile!AP4389</f>
        <v>0</v>
      </c>
      <c r="D3624" t="str">
        <f>IF(Profile!C4387="Profile",IF(Profile!A4389="ResourceRequirement","OK","XXX"),"XXX")</f>
        <v>XXX</v>
      </c>
    </row>
    <row r="3625" spans="1:4" x14ac:dyDescent="0.45">
      <c r="A3625">
        <f>ROW()</f>
        <v>3625</v>
      </c>
      <c r="B3625" t="str">
        <f>Profile!A4388</f>
        <v xml:space="preserve">      LongTag</v>
      </c>
      <c r="C3625">
        <f>Profile!AP4390</f>
        <v>0</v>
      </c>
      <c r="D3625" t="str">
        <f>IF(Profile!C4388="Profile",IF(Profile!A4390="ResourceRequirement","OK","XXX"),"XXX")</f>
        <v>XXX</v>
      </c>
    </row>
    <row r="3626" spans="1:4" x14ac:dyDescent="0.45">
      <c r="A3626">
        <f>ROW()</f>
        <v>3626</v>
      </c>
      <c r="B3626" t="str">
        <f>Profile!A4389</f>
        <v xml:space="preserve">      ShortTag</v>
      </c>
      <c r="C3626">
        <f>Profile!AP4391</f>
        <v>0</v>
      </c>
      <c r="D3626" t="str">
        <f>IF(Profile!C4389="Profile",IF(Profile!A4391="ResourceRequirement","OK","XXX"),"XXX")</f>
        <v>XXX</v>
      </c>
    </row>
    <row r="3627" spans="1:4" x14ac:dyDescent="0.45">
      <c r="A3627">
        <f>ROW()</f>
        <v>3627</v>
      </c>
      <c r="B3627" t="str">
        <f>Profile!A4390</f>
        <v xml:space="preserve">      ErrorBitSet</v>
      </c>
      <c r="C3627">
        <f>Profile!AP4392</f>
        <v>0</v>
      </c>
      <c r="D3627" t="str">
        <f>IF(Profile!C4390="Profile",IF(Profile!A4392="ResourceRequirement","OK","XXX"),"XXX")</f>
        <v>XXX</v>
      </c>
    </row>
    <row r="3628" spans="1:4" x14ac:dyDescent="0.45">
      <c r="A3628">
        <f>ROW()</f>
        <v>3628</v>
      </c>
      <c r="B3628" t="str">
        <f>Profile!A4391</f>
        <v xml:space="preserve">      MoreStatusAvailableBitSet</v>
      </c>
      <c r="C3628">
        <f>Profile!AP4393</f>
        <v>0</v>
      </c>
      <c r="D3628" t="str">
        <f>IF(Profile!C4391="Profile",IF(Profile!A4393="ResourceRequirement","OK","XXX"),"XXX")</f>
        <v>XXX</v>
      </c>
    </row>
    <row r="3629" spans="1:4" x14ac:dyDescent="0.45">
      <c r="A3629">
        <f>ROW()</f>
        <v>3629</v>
      </c>
      <c r="B3629" t="str">
        <f>Profile!A4392</f>
        <v>Oem</v>
      </c>
      <c r="C3629">
        <f>Profile!AP4394</f>
        <v>0</v>
      </c>
      <c r="D3629" t="str">
        <f>IF(Profile!C4392="Profile",IF(Profile!A4394="ResourceRequirement","OK","XXX"),"XXX")</f>
        <v>XXX</v>
      </c>
    </row>
    <row r="3630" spans="1:4" x14ac:dyDescent="0.45">
      <c r="A3630">
        <f>ROW()</f>
        <v>3630</v>
      </c>
      <c r="B3630" t="str">
        <f>Profile!A4393</f>
        <v>DCNIOModule URIs</v>
      </c>
      <c r="C3630">
        <f>Profile!AP4395</f>
        <v>0</v>
      </c>
      <c r="D3630" t="str">
        <f>IF(Profile!C4393="Profile",IF(Profile!A4395="ResourceRequirement","OK","XXX"),"XXX")</f>
        <v>XXX</v>
      </c>
    </row>
    <row r="3631" spans="1:4" x14ac:dyDescent="0.45">
      <c r="A3631">
        <f>ROW()</f>
        <v>3631</v>
      </c>
      <c r="B3631" t="str">
        <f>Profile!A4394</f>
        <v>/redfish/v1/Systems/{ComputerSystemId}/HostedServices/DistributedControlNodeServices/IOModules/{IOModuleId} /redfish/v1/Systems/{ComputerSystemId}/HostedServices/DistributedControlNodeServices/IOBusses/{BusId}/IOModules/{IOModuleId}</v>
      </c>
      <c r="C3631">
        <f>Profile!AP4396</f>
        <v>0</v>
      </c>
      <c r="D3631" t="str">
        <f>IF(Profile!C4394="Profile",IF(Profile!A4396="ResourceRequirement","OK","XXX"),"XXX")</f>
        <v>XXX</v>
      </c>
    </row>
    <row r="3632" spans="1:4" x14ac:dyDescent="0.45">
      <c r="A3632">
        <f>ROW()</f>
        <v>3632</v>
      </c>
      <c r="B3632">
        <f>Profile!A4395</f>
        <v>0</v>
      </c>
      <c r="C3632">
        <f>Profile!AP4397</f>
        <v>0</v>
      </c>
      <c r="D3632" t="str">
        <f>IF(Profile!C4395="Profile",IF(Profile!A4397="ResourceRequirement","OK","XXX"),"XXX")</f>
        <v>XXX</v>
      </c>
    </row>
    <row r="3633" spans="1:4" x14ac:dyDescent="0.45">
      <c r="A3633">
        <f>ROW()</f>
        <v>3633</v>
      </c>
      <c r="B3633" t="str">
        <f>Profile!A4396</f>
        <v>1.1.1.3               DCNOpasIOSubsystemCollection</v>
      </c>
      <c r="C3633">
        <f>Profile!AP4398</f>
        <v>0</v>
      </c>
      <c r="D3633" t="str">
        <f>IF(Profile!C4396="Profile",IF(Profile!A4398="ResourceRequirement","OK","XXX"),"XXX")</f>
        <v>XXX</v>
      </c>
    </row>
    <row r="3634" spans="1:4" x14ac:dyDescent="0.45">
      <c r="A3634">
        <f>ROW()</f>
        <v>3634</v>
      </c>
      <c r="B3634" t="str">
        <f>Profile!A4397</f>
        <v>A DCNOpasIOSubsystemCollection is a collection of DCN O-PAS I/O Subsystem Resources running on a node.
This resource contains minimal detail in this version and will be defined in further detail in O-PAS Version 3.0 For additional detail on Proprietary System and DCN Physical Topology, see O-PAS Part 7 – Physical Platform.
Additional properties and attributes will be added to this resource in O-PAS Version 3.</v>
      </c>
      <c r="C3634">
        <f>Profile!AP4399</f>
        <v>0</v>
      </c>
      <c r="D3634" t="str">
        <f>IF(Profile!C4397="Profile",IF(Profile!A4399="ResourceRequirement","OK","XXX"),"XXX")</f>
        <v>XXX</v>
      </c>
    </row>
    <row r="3635" spans="1:4" x14ac:dyDescent="0.45">
      <c r="A3635">
        <f>ROW()</f>
        <v>3635</v>
      </c>
      <c r="B3635" t="str">
        <f>Profile!A4398</f>
        <v>DCNOpasIOSubsystemCollection (1.0.0)</v>
      </c>
      <c r="C3635">
        <f>Profile!AP4400</f>
        <v>0</v>
      </c>
      <c r="D3635" t="str">
        <f>IF(Profile!C4398="Profile",IF(Profile!A4400="ResourceRequirement","OK","XXX"),"XXX")</f>
        <v>OK</v>
      </c>
    </row>
    <row r="3636" spans="1:4" x14ac:dyDescent="0.45">
      <c r="A3636">
        <f>ROW()</f>
        <v>3636</v>
      </c>
      <c r="B3636">
        <f>Profile!A4399</f>
        <v>0</v>
      </c>
      <c r="C3636">
        <f>Profile!AP4401</f>
        <v>0</v>
      </c>
      <c r="D3636" t="str">
        <f>IF(Profile!C4399="Profile",IF(Profile!A4401="ResourceRequirement","OK","XXX"),"XXX")</f>
        <v>XXX</v>
      </c>
    </row>
    <row r="3637" spans="1:4" x14ac:dyDescent="0.45">
      <c r="A3637">
        <f>ROW()</f>
        <v>3637</v>
      </c>
      <c r="B3637" t="str">
        <f>Profile!A4400</f>
        <v>ResourceRequirement</v>
      </c>
      <c r="C3637">
        <f>Profile!AP4402</f>
        <v>0</v>
      </c>
      <c r="D3637" t="str">
        <f>IF(Profile!C4400="Profile",IF(Profile!A4402="ResourceRequirement","OK","XXX"),"XXX")</f>
        <v>XXX</v>
      </c>
    </row>
    <row r="3638" spans="1:4" x14ac:dyDescent="0.45">
      <c r="A3638">
        <f>ROW()</f>
        <v>3638</v>
      </c>
      <c r="B3638" t="str">
        <f>Profile!A4401</f>
        <v>Property</v>
      </c>
      <c r="C3638">
        <f>Profile!AP4403</f>
        <v>0</v>
      </c>
      <c r="D3638" t="str">
        <f>IF(Profile!C4401="Profile",IF(Profile!A4403="ResourceRequirement","OK","XXX"),"XXX")</f>
        <v>XXX</v>
      </c>
    </row>
    <row r="3639" spans="1:4" x14ac:dyDescent="0.45">
      <c r="A3639">
        <f>ROW()</f>
        <v>3639</v>
      </c>
      <c r="B3639" t="str">
        <f>Profile!A4402</f>
        <v>Members</v>
      </c>
      <c r="C3639">
        <f>Profile!AP4404</f>
        <v>0</v>
      </c>
      <c r="D3639" t="str">
        <f>IF(Profile!C4402="Profile",IF(Profile!A4404="ResourceRequirement","OK","XXX"),"XXX")</f>
        <v>XXX</v>
      </c>
    </row>
    <row r="3640" spans="1:4" x14ac:dyDescent="0.45">
      <c r="A3640">
        <f>ROW()</f>
        <v>3640</v>
      </c>
      <c r="B3640" t="str">
        <f>Profile!A4403</f>
        <v xml:space="preserve">   @odata.id</v>
      </c>
      <c r="C3640">
        <f>Profile!AP4405</f>
        <v>0</v>
      </c>
      <c r="D3640" t="str">
        <f>IF(Profile!C4403="Profile",IF(Profile!A4405="ResourceRequirement","OK","XXX"),"XXX")</f>
        <v>XXX</v>
      </c>
    </row>
    <row r="3641" spans="1:4" x14ac:dyDescent="0.45">
      <c r="A3641">
        <f>ROW()</f>
        <v>3641</v>
      </c>
      <c r="B3641" t="str">
        <f>Profile!A4404</f>
        <v>DCNOpasIOSubsystemCollection URIs</v>
      </c>
      <c r="C3641">
        <f>Profile!AP4406</f>
        <v>0</v>
      </c>
      <c r="D3641" t="str">
        <f>IF(Profile!C4404="Profile",IF(Profile!A4406="ResourceRequirement","OK","XXX"),"XXX")</f>
        <v>XXX</v>
      </c>
    </row>
    <row r="3642" spans="1:4" x14ac:dyDescent="0.45">
      <c r="A3642">
        <f>ROW()</f>
        <v>3642</v>
      </c>
      <c r="B3642" t="str">
        <f>Profile!A4405</f>
        <v>/redfish/v1/Systems/{ComputerSystemId}/HostedServices/DistributedControlNodeServices/OpasIOSubsystems</v>
      </c>
      <c r="C3642">
        <f>Profile!AP4407</f>
        <v>0</v>
      </c>
      <c r="D3642" t="str">
        <f>IF(Profile!C4405="Profile",IF(Profile!A4407="ResourceRequirement","OK","XXX"),"XXX")</f>
        <v>XXX</v>
      </c>
    </row>
    <row r="3643" spans="1:4" x14ac:dyDescent="0.45">
      <c r="A3643">
        <f>ROW()</f>
        <v>3643</v>
      </c>
      <c r="B3643">
        <f>Profile!A4406</f>
        <v>0</v>
      </c>
      <c r="C3643">
        <f>Profile!AP4408</f>
        <v>0</v>
      </c>
      <c r="D3643" t="str">
        <f>IF(Profile!C4406="Profile",IF(Profile!A4408="ResourceRequirement","OK","XXX"),"XXX")</f>
        <v>XXX</v>
      </c>
    </row>
    <row r="3644" spans="1:4" x14ac:dyDescent="0.45">
      <c r="A3644">
        <f>ROW()</f>
        <v>3644</v>
      </c>
      <c r="B3644" t="str">
        <f>Profile!A4407</f>
        <v>1.1.9.8 DCNOpasIOSubsystem</v>
      </c>
      <c r="C3644">
        <f>Profile!AP4409</f>
        <v>0</v>
      </c>
      <c r="D3644" t="str">
        <f>IF(Profile!C4407="Profile",IF(Profile!A4409="ResourceRequirement","OK","XXX"),"XXX")</f>
        <v>XXX</v>
      </c>
    </row>
    <row r="3645" spans="1:4" x14ac:dyDescent="0.45">
      <c r="A3645">
        <f>ROW()</f>
        <v>3645</v>
      </c>
      <c r="B3645" t="str">
        <f>Profile!A4408</f>
        <v>Resource to describe a southbound O-PAS I/O Subsystem connected to an O-PAS DCN.
For additional detail on O-PAS I/O Subsystems and DCN Physical Topology, see O-PAS Part 7 – Physical Platform.
Additional properties and attributes will be added to this resource in O-PAS Version 3.</v>
      </c>
      <c r="C3645">
        <f>Profile!AP4410</f>
        <v>0</v>
      </c>
      <c r="D3645" t="str">
        <f>IF(Profile!C4408="Profile",IF(Profile!A4410="ResourceRequirement","OK","XXX"),"XXX")</f>
        <v>XXX</v>
      </c>
    </row>
    <row r="3646" spans="1:4" x14ac:dyDescent="0.45">
      <c r="A3646">
        <f>ROW()</f>
        <v>3646</v>
      </c>
      <c r="B3646" t="str">
        <f>Profile!A4409</f>
        <v>DCNOpasIOSubsystem (1.0.0)</v>
      </c>
      <c r="C3646">
        <f>Profile!AP4411</f>
        <v>14</v>
      </c>
      <c r="D3646" t="str">
        <f>IF(Profile!C4409="Profile",IF(Profile!A4411="ResourceRequirement","OK","XXX"),"XXX")</f>
        <v>OK</v>
      </c>
    </row>
    <row r="3647" spans="1:4" x14ac:dyDescent="0.45">
      <c r="A3647">
        <f>ROW()</f>
        <v>3647</v>
      </c>
      <c r="B3647">
        <f>Profile!A4410</f>
        <v>0</v>
      </c>
      <c r="C3647">
        <f>Profile!AP4412</f>
        <v>0</v>
      </c>
      <c r="D3647" t="str">
        <f>IF(Profile!C4410="Profile",IF(Profile!A4412="ResourceRequirement","OK","XXX"),"XXX")</f>
        <v>XXX</v>
      </c>
    </row>
    <row r="3648" spans="1:4" x14ac:dyDescent="0.45">
      <c r="A3648">
        <f>ROW()</f>
        <v>3648</v>
      </c>
      <c r="B3648" t="str">
        <f>Profile!A4411</f>
        <v>ResourceRequirement</v>
      </c>
      <c r="C3648">
        <f>Profile!AP4413</f>
        <v>0</v>
      </c>
      <c r="D3648" t="str">
        <f>IF(Profile!C4411="Profile",IF(Profile!A4413="ResourceRequirement","OK","XXX"),"XXX")</f>
        <v>XXX</v>
      </c>
    </row>
    <row r="3649" spans="1:4" x14ac:dyDescent="0.45">
      <c r="A3649">
        <f>ROW()</f>
        <v>3649</v>
      </c>
      <c r="B3649" t="str">
        <f>Profile!A4412</f>
        <v>Resource MinVersion</v>
      </c>
      <c r="C3649">
        <f>Profile!AP4414</f>
        <v>0</v>
      </c>
      <c r="D3649" t="str">
        <f>IF(Profile!C4412="Profile",IF(Profile!A4414="ResourceRequirement","OK","XXX"),"XXX")</f>
        <v>XXX</v>
      </c>
    </row>
    <row r="3650" spans="1:4" x14ac:dyDescent="0.45">
      <c r="A3650">
        <f>ROW()</f>
        <v>3650</v>
      </c>
      <c r="B3650" t="str">
        <f>Profile!A4413</f>
        <v>Property</v>
      </c>
      <c r="C3650">
        <f>Profile!AP4415</f>
        <v>0</v>
      </c>
      <c r="D3650" t="str">
        <f>IF(Profile!C4413="Profile",IF(Profile!A4415="ResourceRequirement","OK","XXX"),"XXX")</f>
        <v>XXX</v>
      </c>
    </row>
    <row r="3651" spans="1:4" x14ac:dyDescent="0.45">
      <c r="A3651">
        <f>ROW()</f>
        <v>3651</v>
      </c>
      <c r="B3651" t="str">
        <f>Profile!A4414</f>
        <v>Actions</v>
      </c>
      <c r="C3651">
        <f>Profile!AP4416</f>
        <v>0</v>
      </c>
      <c r="D3651" t="str">
        <f>IF(Profile!C4414="Profile",IF(Profile!A4416="ResourceRequirement","OK","XXX"),"XXX")</f>
        <v>XXX</v>
      </c>
    </row>
    <row r="3652" spans="1:4" x14ac:dyDescent="0.45">
      <c r="A3652">
        <f>ROW()</f>
        <v>3652</v>
      </c>
      <c r="B3652" t="str">
        <f>Profile!A4415</f>
        <v>SubsystemName</v>
      </c>
      <c r="C3652">
        <f>Profile!AP4417</f>
        <v>0</v>
      </c>
      <c r="D3652" t="str">
        <f>IF(Profile!C4415="Profile",IF(Profile!A4417="ResourceRequirement","OK","XXX"),"XXX")</f>
        <v>XXX</v>
      </c>
    </row>
    <row r="3653" spans="1:4" x14ac:dyDescent="0.45">
      <c r="A3653">
        <f>ROW()</f>
        <v>3653</v>
      </c>
      <c r="B3653" t="str">
        <f>Profile!A4416</f>
        <v>SubsystemPath</v>
      </c>
      <c r="C3653">
        <f>Profile!AP4418</f>
        <v>0</v>
      </c>
      <c r="D3653" t="str">
        <f>IF(Profile!C4416="Profile",IF(Profile!A4418="ResourceRequirement","OK","XXX"),"XXX")</f>
        <v>XXX</v>
      </c>
    </row>
    <row r="3654" spans="1:4" x14ac:dyDescent="0.45">
      <c r="A3654">
        <f>ROW()</f>
        <v>3654</v>
      </c>
      <c r="B3654" t="str">
        <f>Profile!A4417</f>
        <v>InterfaceType</v>
      </c>
      <c r="C3654">
        <f>Profile!AP4419</f>
        <v>0</v>
      </c>
      <c r="D3654" t="str">
        <f>IF(Profile!C4417="Profile",IF(Profile!A4419="ResourceRequirement","OK","XXX"),"XXX")</f>
        <v>XXX</v>
      </c>
    </row>
    <row r="3655" spans="1:4" x14ac:dyDescent="0.45">
      <c r="A3655">
        <f>ROW()</f>
        <v>3655</v>
      </c>
      <c r="B3655" t="str">
        <f>Profile!A4418</f>
        <v>RelatedItem</v>
      </c>
      <c r="C3655">
        <f>Profile!AP4420</f>
        <v>0</v>
      </c>
      <c r="D3655" t="str">
        <f>IF(Profile!C4418="Profile",IF(Profile!A4420="ResourceRequirement","OK","XXX"),"XXX")</f>
        <v>XXX</v>
      </c>
    </row>
    <row r="3656" spans="1:4" x14ac:dyDescent="0.45">
      <c r="A3656">
        <f>ROW()</f>
        <v>3656</v>
      </c>
      <c r="B3656" t="str">
        <f>Profile!A4419</f>
        <v>CommStatus</v>
      </c>
      <c r="C3656">
        <f>Profile!AP4421</f>
        <v>0</v>
      </c>
      <c r="D3656" t="str">
        <f>IF(Profile!C4419="Profile",IF(Profile!A4421="ResourceRequirement","OK","XXX"),"XXX")</f>
        <v>XXX</v>
      </c>
    </row>
    <row r="3657" spans="1:4" x14ac:dyDescent="0.45">
      <c r="A3657">
        <f>ROW()</f>
        <v>3657</v>
      </c>
      <c r="B3657" t="str">
        <f>Profile!A4420</f>
        <v>Devices</v>
      </c>
      <c r="C3657">
        <f>Profile!AP4422</f>
        <v>0</v>
      </c>
      <c r="D3657" t="str">
        <f>IF(Profile!C4420="Profile",IF(Profile!A4422="ResourceRequirement","OK","XXX"),"XXX")</f>
        <v>XXX</v>
      </c>
    </row>
    <row r="3658" spans="1:4" x14ac:dyDescent="0.45">
      <c r="A3658">
        <f>ROW()</f>
        <v>3658</v>
      </c>
      <c r="B3658" t="str">
        <f>Profile!A4421</f>
        <v xml:space="preserve">   @odata.id</v>
      </c>
      <c r="C3658">
        <f>Profile!AP4423</f>
        <v>0</v>
      </c>
      <c r="D3658" t="str">
        <f>IF(Profile!C4421="Profile",IF(Profile!A4423="ResourceRequirement","OK","XXX"),"XXX")</f>
        <v>XXX</v>
      </c>
    </row>
    <row r="3659" spans="1:4" x14ac:dyDescent="0.45">
      <c r="A3659">
        <f>ROW()</f>
        <v>3659</v>
      </c>
      <c r="B3659" t="str">
        <f>Profile!A4422</f>
        <v xml:space="preserve">   MemberId</v>
      </c>
      <c r="C3659">
        <f>Profile!AP4424</f>
        <v>0</v>
      </c>
      <c r="D3659" t="str">
        <f>IF(Profile!C4422="Profile",IF(Profile!A4424="ResourceRequirement","OK","XXX"),"XXX")</f>
        <v>XXX</v>
      </c>
    </row>
    <row r="3660" spans="1:4" x14ac:dyDescent="0.45">
      <c r="A3660">
        <f>ROW()</f>
        <v>3660</v>
      </c>
      <c r="B3660" t="str">
        <f>Profile!A4423</f>
        <v xml:space="preserve">   Name</v>
      </c>
      <c r="C3660">
        <f>Profile!AP4425</f>
        <v>0</v>
      </c>
      <c r="D3660" t="str">
        <f>IF(Profile!C4423="Profile",IF(Profile!A4425="ResourceRequirement","OK","XXX"),"XXX")</f>
        <v>XXX</v>
      </c>
    </row>
    <row r="3661" spans="1:4" x14ac:dyDescent="0.45">
      <c r="A3661">
        <f>ROW()</f>
        <v>3661</v>
      </c>
      <c r="B3661" t="str">
        <f>Profile!A4424</f>
        <v xml:space="preserve">   DeviceName</v>
      </c>
      <c r="C3661">
        <f>Profile!AP4426</f>
        <v>0</v>
      </c>
      <c r="D3661" t="str">
        <f>IF(Profile!C4424="Profile",IF(Profile!A4426="ResourceRequirement","OK","XXX"),"XXX")</f>
        <v>XXX</v>
      </c>
    </row>
    <row r="3662" spans="1:4" x14ac:dyDescent="0.45">
      <c r="A3662">
        <f>ROW()</f>
        <v>3662</v>
      </c>
      <c r="B3662" t="str">
        <f>Profile!A4425</f>
        <v xml:space="preserve">   DevicePath</v>
      </c>
      <c r="C3662">
        <f>Profile!AP4427</f>
        <v>0</v>
      </c>
      <c r="D3662" t="str">
        <f>IF(Profile!C4425="Profile",IF(Profile!A4427="ResourceRequirement","OK","XXX"),"XXX")</f>
        <v>XXX</v>
      </c>
    </row>
    <row r="3663" spans="1:4" x14ac:dyDescent="0.45">
      <c r="A3663">
        <f>ROW()</f>
        <v>3663</v>
      </c>
      <c r="B3663" t="str">
        <f>Profile!A4426</f>
        <v xml:space="preserve">   CommStatus</v>
      </c>
      <c r="C3663">
        <f>Profile!AP4428</f>
        <v>0</v>
      </c>
      <c r="D3663" t="str">
        <f>IF(Profile!C4426="Profile",IF(Profile!A4428="ResourceRequirement","OK","XXX"),"XXX")</f>
        <v>XXX</v>
      </c>
    </row>
    <row r="3664" spans="1:4" x14ac:dyDescent="0.45">
      <c r="A3664">
        <f>ROW()</f>
        <v>3664</v>
      </c>
      <c r="B3664" t="str">
        <f>Profile!A4427</f>
        <v xml:space="preserve">   ServiceRequiredNow</v>
      </c>
      <c r="C3664">
        <f>Profile!AP4429</f>
        <v>0</v>
      </c>
      <c r="D3664" t="str">
        <f>IF(Profile!C4427="Profile",IF(Profile!A4429="ResourceRequirement","OK","XXX"),"XXX")</f>
        <v>XXX</v>
      </c>
    </row>
    <row r="3665" spans="1:4" x14ac:dyDescent="0.45">
      <c r="A3665">
        <f>ROW()</f>
        <v>3665</v>
      </c>
      <c r="B3665" t="str">
        <f>Profile!A4428</f>
        <v xml:space="preserve">   ServiceRequiredSoon</v>
      </c>
      <c r="C3665">
        <f>Profile!AP4430</f>
        <v>0</v>
      </c>
      <c r="D3665" t="str">
        <f>IF(Profile!C4428="Profile",IF(Profile!A4430="ResourceRequirement","OK","XXX"),"XXX")</f>
        <v>XXX</v>
      </c>
    </row>
    <row r="3666" spans="1:4" x14ac:dyDescent="0.45">
      <c r="A3666">
        <f>ROW()</f>
        <v>3666</v>
      </c>
      <c r="B3666" t="str">
        <f>Profile!A4429</f>
        <v>Oem</v>
      </c>
      <c r="C3666">
        <f>Profile!AP4431</f>
        <v>0</v>
      </c>
      <c r="D3666" t="str">
        <f>IF(Profile!C4429="Profile",IF(Profile!A4431="ResourceRequirement","OK","XXX"),"XXX")</f>
        <v>XXX</v>
      </c>
    </row>
    <row r="3667" spans="1:4" x14ac:dyDescent="0.45">
      <c r="A3667">
        <f>ROW()</f>
        <v>3667</v>
      </c>
      <c r="B3667" t="str">
        <f>Profile!A4430</f>
        <v>DCNOpasIOSubsystem URIs</v>
      </c>
      <c r="C3667">
        <f>Profile!AP4432</f>
        <v>0</v>
      </c>
      <c r="D3667" t="str">
        <f>IF(Profile!C4430="Profile",IF(Profile!A4432="ResourceRequirement","OK","XXX"),"XXX")</f>
        <v>XXX</v>
      </c>
    </row>
    <row r="3668" spans="1:4" x14ac:dyDescent="0.45">
      <c r="A3668">
        <f>ROW()</f>
        <v>3668</v>
      </c>
      <c r="B3668" t="str">
        <f>Profile!A4431</f>
        <v>/redfish/v1/Systems/{ComputerSystemId}/HostedServices/DistributedControlNodeServices/OpasIOSubsystems/{OpasIOSubsystemId}</v>
      </c>
      <c r="C3668">
        <f>Profile!AP4433</f>
        <v>0</v>
      </c>
      <c r="D3668" t="str">
        <f>IF(Profile!C4431="Profile",IF(Profile!A4433="ResourceRequirement","OK","XXX"),"XXX")</f>
        <v>XXX</v>
      </c>
    </row>
    <row r="3669" spans="1:4" x14ac:dyDescent="0.45">
      <c r="A3669">
        <f>ROW()</f>
        <v>3669</v>
      </c>
      <c r="B3669">
        <f>Profile!A4432</f>
        <v>0</v>
      </c>
      <c r="C3669">
        <f>Profile!AP4434</f>
        <v>0</v>
      </c>
      <c r="D3669" t="str">
        <f>IF(Profile!C4432="Profile",IF(Profile!A4434="ResourceRequirement","OK","XXX"),"XXX")</f>
        <v>XXX</v>
      </c>
    </row>
    <row r="3670" spans="1:4" x14ac:dyDescent="0.45">
      <c r="A3670">
        <f>ROW()</f>
        <v>3670</v>
      </c>
      <c r="B3670" t="str">
        <f>Profile!A4433</f>
        <v>1.1.1.3               DCNNonOpasIOSubsystemCollection</v>
      </c>
      <c r="C3670">
        <f>Profile!AP4435</f>
        <v>0</v>
      </c>
      <c r="D3670" t="str">
        <f>IF(Profile!C4433="Profile",IF(Profile!A4435="ResourceRequirement","OK","XXX"),"XXX")</f>
        <v>XXX</v>
      </c>
    </row>
    <row r="3671" spans="1:4" x14ac:dyDescent="0.45">
      <c r="A3671">
        <f>ROW()</f>
        <v>3671</v>
      </c>
      <c r="B3671" t="str">
        <f>Profile!A4434</f>
        <v>A DCNNonOpasIOSubsystemCollection is a collection of DCN Non-O-PAS I/O Subsystem Resources running on a node.
For additional detail on Proprietary System and DCN Physical Topology, see O-PAS Part 7 – Physical Platform.</v>
      </c>
      <c r="C3671">
        <f>Profile!AP4436</f>
        <v>0</v>
      </c>
      <c r="D3671" t="str">
        <f>IF(Profile!C4434="Profile",IF(Profile!A4436="ResourceRequirement","OK","XXX"),"XXX")</f>
        <v>XXX</v>
      </c>
    </row>
    <row r="3672" spans="1:4" x14ac:dyDescent="0.45">
      <c r="A3672">
        <f>ROW()</f>
        <v>3672</v>
      </c>
      <c r="B3672" t="str">
        <f>Profile!A4435</f>
        <v>DCNNonOpasIOSubsystemCollection (1.0.0)</v>
      </c>
      <c r="C3672">
        <f>Profile!AP4437</f>
        <v>0</v>
      </c>
      <c r="D3672" t="str">
        <f>IF(Profile!C4435="Profile",IF(Profile!A4437="ResourceRequirement","OK","XXX"),"XXX")</f>
        <v>OK</v>
      </c>
    </row>
    <row r="3673" spans="1:4" x14ac:dyDescent="0.45">
      <c r="A3673">
        <f>ROW()</f>
        <v>3673</v>
      </c>
      <c r="B3673">
        <f>Profile!A4436</f>
        <v>0</v>
      </c>
      <c r="C3673">
        <f>Profile!AP4438</f>
        <v>0</v>
      </c>
      <c r="D3673" t="str">
        <f>IF(Profile!C4436="Profile",IF(Profile!A4438="ResourceRequirement","OK","XXX"),"XXX")</f>
        <v>XXX</v>
      </c>
    </row>
    <row r="3674" spans="1:4" x14ac:dyDescent="0.45">
      <c r="A3674">
        <f>ROW()</f>
        <v>3674</v>
      </c>
      <c r="B3674" t="str">
        <f>Profile!A4437</f>
        <v>ResourceRequirement</v>
      </c>
      <c r="C3674">
        <f>Profile!AP4439</f>
        <v>0</v>
      </c>
      <c r="D3674" t="str">
        <f>IF(Profile!C4437="Profile",IF(Profile!A4439="ResourceRequirement","OK","XXX"),"XXX")</f>
        <v>XXX</v>
      </c>
    </row>
    <row r="3675" spans="1:4" x14ac:dyDescent="0.45">
      <c r="A3675">
        <f>ROW()</f>
        <v>3675</v>
      </c>
      <c r="B3675" t="str">
        <f>Profile!A4438</f>
        <v>Property</v>
      </c>
      <c r="C3675">
        <f>Profile!AP4440</f>
        <v>0</v>
      </c>
      <c r="D3675" t="str">
        <f>IF(Profile!C4438="Profile",IF(Profile!A4440="ResourceRequirement","OK","XXX"),"XXX")</f>
        <v>XXX</v>
      </c>
    </row>
    <row r="3676" spans="1:4" x14ac:dyDescent="0.45">
      <c r="A3676">
        <f>ROW()</f>
        <v>3676</v>
      </c>
      <c r="B3676" t="str">
        <f>Profile!A4439</f>
        <v>Members</v>
      </c>
      <c r="C3676">
        <f>Profile!AP4441</f>
        <v>0</v>
      </c>
      <c r="D3676" t="str">
        <f>IF(Profile!C4439="Profile",IF(Profile!A4441="ResourceRequirement","OK","XXX"),"XXX")</f>
        <v>XXX</v>
      </c>
    </row>
    <row r="3677" spans="1:4" x14ac:dyDescent="0.45">
      <c r="A3677">
        <f>ROW()</f>
        <v>3677</v>
      </c>
      <c r="B3677" t="str">
        <f>Profile!A4440</f>
        <v xml:space="preserve">   @odata.id</v>
      </c>
      <c r="C3677">
        <f>Profile!AP4442</f>
        <v>0</v>
      </c>
      <c r="D3677" t="str">
        <f>IF(Profile!C4440="Profile",IF(Profile!A4442="ResourceRequirement","OK","XXX"),"XXX")</f>
        <v>XXX</v>
      </c>
    </row>
    <row r="3678" spans="1:4" x14ac:dyDescent="0.45">
      <c r="A3678">
        <f>ROW()</f>
        <v>3678</v>
      </c>
      <c r="B3678" t="str">
        <f>Profile!A4441</f>
        <v>DCNNonOpasIOSubsystemCollection URIs</v>
      </c>
      <c r="C3678">
        <f>Profile!AP4443</f>
        <v>0</v>
      </c>
      <c r="D3678" t="str">
        <f>IF(Profile!C4441="Profile",IF(Profile!A4443="ResourceRequirement","OK","XXX"),"XXX")</f>
        <v>XXX</v>
      </c>
    </row>
    <row r="3679" spans="1:4" x14ac:dyDescent="0.45">
      <c r="A3679">
        <f>ROW()</f>
        <v>3679</v>
      </c>
      <c r="B3679" t="str">
        <f>Profile!A4442</f>
        <v>/redfish/v1/Systems/{ComputerSystemId}/HostedServices/DistributedControlNodeServices/NonOpasIOSubsystems</v>
      </c>
      <c r="C3679">
        <f>Profile!AP4444</f>
        <v>0</v>
      </c>
      <c r="D3679" t="str">
        <f>IF(Profile!C4442="Profile",IF(Profile!A4444="ResourceRequirement","OK","XXX"),"XXX")</f>
        <v>XXX</v>
      </c>
    </row>
    <row r="3680" spans="1:4" x14ac:dyDescent="0.45">
      <c r="A3680">
        <f>ROW()</f>
        <v>3680</v>
      </c>
      <c r="B3680">
        <f>Profile!A4443</f>
        <v>0</v>
      </c>
      <c r="C3680">
        <f>Profile!AP4445</f>
        <v>0</v>
      </c>
      <c r="D3680" t="str">
        <f>IF(Profile!C4443="Profile",IF(Profile!A4445="ResourceRequirement","OK","XXX"),"XXX")</f>
        <v>XXX</v>
      </c>
    </row>
    <row r="3681" spans="1:4" x14ac:dyDescent="0.45">
      <c r="A3681">
        <f>ROW()</f>
        <v>3681</v>
      </c>
      <c r="B3681" t="str">
        <f>Profile!A4444</f>
        <v>1.1.9.8 DCNNonOpasIOSubsystem</v>
      </c>
      <c r="C3681">
        <f>Profile!AP4446</f>
        <v>0</v>
      </c>
      <c r="D3681" t="str">
        <f>IF(Profile!C4444="Profile",IF(Profile!A4446="ResourceRequirement","OK","XXX"),"XXX")</f>
        <v>XXX</v>
      </c>
    </row>
    <row r="3682" spans="1:4" x14ac:dyDescent="0.45">
      <c r="A3682">
        <f>ROW()</f>
        <v>3682</v>
      </c>
      <c r="B3682" t="str">
        <f>Profile!A4445</f>
        <v>Resource to describe a southbound Non-O-PAS I/O Subsystem connected to an O-PAS DCN.
For additional detail on Non-O-PAS I/O Subsystems and DCN Physical Topology, see O-PAS Part 7 – Physical Platform.</v>
      </c>
      <c r="C3682">
        <f>Profile!AP4447</f>
        <v>0</v>
      </c>
      <c r="D3682" t="str">
        <f>IF(Profile!C4445="Profile",IF(Profile!A4447="ResourceRequirement","OK","XXX"),"XXX")</f>
        <v>XXX</v>
      </c>
    </row>
    <row r="3683" spans="1:4" x14ac:dyDescent="0.45">
      <c r="A3683">
        <f>ROW()</f>
        <v>3683</v>
      </c>
      <c r="B3683" t="str">
        <f>Profile!A4446</f>
        <v>DCNNonOpasIOSubsystem (1.0.0)</v>
      </c>
      <c r="C3683">
        <f>Profile!AP4448</f>
        <v>13</v>
      </c>
      <c r="D3683" t="str">
        <f>IF(Profile!C4446="Profile",IF(Profile!A4448="ResourceRequirement","OK","XXX"),"XXX")</f>
        <v>OK</v>
      </c>
    </row>
    <row r="3684" spans="1:4" x14ac:dyDescent="0.45">
      <c r="A3684">
        <f>ROW()</f>
        <v>3684</v>
      </c>
      <c r="B3684">
        <f>Profile!A4447</f>
        <v>0</v>
      </c>
      <c r="C3684">
        <f>Profile!AP4449</f>
        <v>0</v>
      </c>
      <c r="D3684" t="str">
        <f>IF(Profile!C4447="Profile",IF(Profile!A4449="ResourceRequirement","OK","XXX"),"XXX")</f>
        <v>XXX</v>
      </c>
    </row>
    <row r="3685" spans="1:4" x14ac:dyDescent="0.45">
      <c r="A3685">
        <f>ROW()</f>
        <v>3685</v>
      </c>
      <c r="B3685" t="str">
        <f>Profile!A4448</f>
        <v>ResourceRequirement</v>
      </c>
      <c r="C3685">
        <f>Profile!AP4450</f>
        <v>0</v>
      </c>
      <c r="D3685" t="str">
        <f>IF(Profile!C4448="Profile",IF(Profile!A4450="ResourceRequirement","OK","XXX"),"XXX")</f>
        <v>XXX</v>
      </c>
    </row>
    <row r="3686" spans="1:4" x14ac:dyDescent="0.45">
      <c r="A3686">
        <f>ROW()</f>
        <v>3686</v>
      </c>
      <c r="B3686" t="str">
        <f>Profile!A4449</f>
        <v>Resource MinVersion</v>
      </c>
      <c r="C3686">
        <f>Profile!AP4451</f>
        <v>0</v>
      </c>
      <c r="D3686" t="str">
        <f>IF(Profile!C4449="Profile",IF(Profile!A4451="ResourceRequirement","OK","XXX"),"XXX")</f>
        <v>XXX</v>
      </c>
    </row>
    <row r="3687" spans="1:4" x14ac:dyDescent="0.45">
      <c r="A3687">
        <f>ROW()</f>
        <v>3687</v>
      </c>
      <c r="B3687" t="str">
        <f>Profile!A4450</f>
        <v>Property</v>
      </c>
      <c r="C3687">
        <f>Profile!AP4452</f>
        <v>0</v>
      </c>
      <c r="D3687" t="str">
        <f>IF(Profile!C4450="Profile",IF(Profile!A4452="ResourceRequirement","OK","XXX"),"XXX")</f>
        <v>XXX</v>
      </c>
    </row>
    <row r="3688" spans="1:4" x14ac:dyDescent="0.45">
      <c r="A3688">
        <f>ROW()</f>
        <v>3688</v>
      </c>
      <c r="B3688" t="str">
        <f>Profile!A4451</f>
        <v>Actions</v>
      </c>
      <c r="C3688">
        <f>Profile!AP4453</f>
        <v>0</v>
      </c>
      <c r="D3688" t="str">
        <f>IF(Profile!C4451="Profile",IF(Profile!A4453="ResourceRequirement","OK","XXX"),"XXX")</f>
        <v>XXX</v>
      </c>
    </row>
    <row r="3689" spans="1:4" x14ac:dyDescent="0.45">
      <c r="A3689">
        <f>ROW()</f>
        <v>3689</v>
      </c>
      <c r="B3689" t="str">
        <f>Profile!A4452</f>
        <v>SubsystemName</v>
      </c>
      <c r="C3689">
        <f>Profile!AP4454</f>
        <v>0</v>
      </c>
      <c r="D3689" t="str">
        <f>IF(Profile!C4452="Profile",IF(Profile!A4454="ResourceRequirement","OK","XXX"),"XXX")</f>
        <v>XXX</v>
      </c>
    </row>
    <row r="3690" spans="1:4" x14ac:dyDescent="0.45">
      <c r="A3690">
        <f>ROW()</f>
        <v>3690</v>
      </c>
      <c r="B3690" t="str">
        <f>Profile!A4453</f>
        <v>SubsystemPath</v>
      </c>
      <c r="C3690">
        <f>Profile!AP4455</f>
        <v>0</v>
      </c>
      <c r="D3690" t="str">
        <f>IF(Profile!C4453="Profile",IF(Profile!A4455="ResourceRequirement","OK","XXX"),"XXX")</f>
        <v>XXX</v>
      </c>
    </row>
    <row r="3691" spans="1:4" x14ac:dyDescent="0.45">
      <c r="A3691">
        <f>ROW()</f>
        <v>3691</v>
      </c>
      <c r="B3691" t="str">
        <f>Profile!A4454</f>
        <v>InterfaceType</v>
      </c>
      <c r="C3691">
        <f>Profile!AP4456</f>
        <v>0</v>
      </c>
      <c r="D3691" t="str">
        <f>IF(Profile!C4454="Profile",IF(Profile!A4456="ResourceRequirement","OK","XXX"),"XXX")</f>
        <v>XXX</v>
      </c>
    </row>
    <row r="3692" spans="1:4" x14ac:dyDescent="0.45">
      <c r="A3692">
        <f>ROW()</f>
        <v>3692</v>
      </c>
      <c r="B3692" t="str">
        <f>Profile!A4455</f>
        <v>RelatedItem</v>
      </c>
      <c r="C3692">
        <f>Profile!AP4457</f>
        <v>0</v>
      </c>
      <c r="D3692" t="str">
        <f>IF(Profile!C4455="Profile",IF(Profile!A4457="ResourceRequirement","OK","XXX"),"XXX")</f>
        <v>XXX</v>
      </c>
    </row>
    <row r="3693" spans="1:4" x14ac:dyDescent="0.45">
      <c r="A3693">
        <f>ROW()</f>
        <v>3693</v>
      </c>
      <c r="B3693" t="str">
        <f>Profile!A4456</f>
        <v>CommStatus</v>
      </c>
      <c r="C3693">
        <f>Profile!AP4458</f>
        <v>0</v>
      </c>
      <c r="D3693" t="str">
        <f>IF(Profile!C4456="Profile",IF(Profile!A4458="ResourceRequirement","OK","XXX"),"XXX")</f>
        <v>XXX</v>
      </c>
    </row>
    <row r="3694" spans="1:4" x14ac:dyDescent="0.45">
      <c r="A3694">
        <f>ROW()</f>
        <v>3694</v>
      </c>
      <c r="B3694" t="str">
        <f>Profile!A4457</f>
        <v>Devices</v>
      </c>
      <c r="C3694">
        <f>Profile!AP4459</f>
        <v>0</v>
      </c>
      <c r="D3694" t="str">
        <f>IF(Profile!C4457="Profile",IF(Profile!A4459="ResourceRequirement","OK","XXX"),"XXX")</f>
        <v>XXX</v>
      </c>
    </row>
    <row r="3695" spans="1:4" x14ac:dyDescent="0.45">
      <c r="A3695">
        <f>ROW()</f>
        <v>3695</v>
      </c>
      <c r="B3695" t="str">
        <f>Profile!A4458</f>
        <v xml:space="preserve">   @odata.id</v>
      </c>
      <c r="C3695">
        <f>Profile!AP4460</f>
        <v>0</v>
      </c>
      <c r="D3695" t="str">
        <f>IF(Profile!C4458="Profile",IF(Profile!A4460="ResourceRequirement","OK","XXX"),"XXX")</f>
        <v>XXX</v>
      </c>
    </row>
    <row r="3696" spans="1:4" x14ac:dyDescent="0.45">
      <c r="A3696">
        <f>ROW()</f>
        <v>3696</v>
      </c>
      <c r="B3696" t="str">
        <f>Profile!A4459</f>
        <v xml:space="preserve">   MemberId</v>
      </c>
      <c r="C3696">
        <f>Profile!AP4461</f>
        <v>0</v>
      </c>
      <c r="D3696" t="str">
        <f>IF(Profile!C4459="Profile",IF(Profile!A4461="ResourceRequirement","OK","XXX"),"XXX")</f>
        <v>XXX</v>
      </c>
    </row>
    <row r="3697" spans="1:4" x14ac:dyDescent="0.45">
      <c r="A3697">
        <f>ROW()</f>
        <v>3697</v>
      </c>
      <c r="B3697" t="str">
        <f>Profile!A4460</f>
        <v xml:space="preserve">   Name</v>
      </c>
      <c r="C3697">
        <f>Profile!AP4462</f>
        <v>0</v>
      </c>
      <c r="D3697" t="str">
        <f>IF(Profile!C4460="Profile",IF(Profile!A4462="ResourceRequirement","OK","XXX"),"XXX")</f>
        <v>XXX</v>
      </c>
    </row>
    <row r="3698" spans="1:4" x14ac:dyDescent="0.45">
      <c r="A3698">
        <f>ROW()</f>
        <v>3698</v>
      </c>
      <c r="B3698" t="str">
        <f>Profile!A4461</f>
        <v xml:space="preserve">   DeviceName</v>
      </c>
      <c r="C3698">
        <f>Profile!AP4463</f>
        <v>0</v>
      </c>
      <c r="D3698" t="str">
        <f>IF(Profile!C4461="Profile",IF(Profile!A4463="ResourceRequirement","OK","XXX"),"XXX")</f>
        <v>XXX</v>
      </c>
    </row>
    <row r="3699" spans="1:4" x14ac:dyDescent="0.45">
      <c r="A3699">
        <f>ROW()</f>
        <v>3699</v>
      </c>
      <c r="B3699" t="str">
        <f>Profile!A4462</f>
        <v xml:space="preserve">   DevicePath</v>
      </c>
      <c r="C3699">
        <f>Profile!AP4464</f>
        <v>0</v>
      </c>
      <c r="D3699" t="str">
        <f>IF(Profile!C4462="Profile",IF(Profile!A4464="ResourceRequirement","OK","XXX"),"XXX")</f>
        <v>XXX</v>
      </c>
    </row>
    <row r="3700" spans="1:4" x14ac:dyDescent="0.45">
      <c r="A3700">
        <f>ROW()</f>
        <v>3700</v>
      </c>
      <c r="B3700" t="str">
        <f>Profile!A4463</f>
        <v xml:space="preserve">   CommStatus</v>
      </c>
      <c r="C3700">
        <f>Profile!AP4465</f>
        <v>0</v>
      </c>
      <c r="D3700" t="str">
        <f>IF(Profile!C4463="Profile",IF(Profile!A4465="ResourceRequirement","OK","XXX"),"XXX")</f>
        <v>XXX</v>
      </c>
    </row>
    <row r="3701" spans="1:4" x14ac:dyDescent="0.45">
      <c r="A3701">
        <f>ROW()</f>
        <v>3701</v>
      </c>
      <c r="B3701" t="str">
        <f>Profile!A4464</f>
        <v xml:space="preserve">   ServiceRequiredNow</v>
      </c>
      <c r="C3701">
        <f>Profile!AP4466</f>
        <v>0</v>
      </c>
      <c r="D3701" t="str">
        <f>IF(Profile!C4464="Profile",IF(Profile!A4466="ResourceRequirement","OK","XXX"),"XXX")</f>
        <v>XXX</v>
      </c>
    </row>
    <row r="3702" spans="1:4" x14ac:dyDescent="0.45">
      <c r="A3702">
        <f>ROW()</f>
        <v>3702</v>
      </c>
      <c r="B3702" t="str">
        <f>Profile!A4465</f>
        <v xml:space="preserve">   ServiceRequiredSoon</v>
      </c>
      <c r="C3702">
        <f>Profile!AP4467</f>
        <v>0</v>
      </c>
      <c r="D3702" t="str">
        <f>IF(Profile!C4465="Profile",IF(Profile!A4467="ResourceRequirement","OK","XXX"),"XXX")</f>
        <v>XXX</v>
      </c>
    </row>
    <row r="3703" spans="1:4" x14ac:dyDescent="0.45">
      <c r="A3703">
        <f>ROW()</f>
        <v>3703</v>
      </c>
      <c r="B3703" t="str">
        <f>Profile!A4466</f>
        <v>Oem</v>
      </c>
      <c r="C3703">
        <f>Profile!AP4468</f>
        <v>0</v>
      </c>
      <c r="D3703" t="str">
        <f>IF(Profile!C4466="Profile",IF(Profile!A4468="ResourceRequirement","OK","XXX"),"XXX")</f>
        <v>XXX</v>
      </c>
    </row>
    <row r="3704" spans="1:4" x14ac:dyDescent="0.45">
      <c r="A3704">
        <f>ROW()</f>
        <v>3704</v>
      </c>
      <c r="B3704" t="str">
        <f>Profile!A4467</f>
        <v>DCNNonOpasIOSubsystem URIs</v>
      </c>
      <c r="C3704">
        <f>Profile!AP4469</f>
        <v>0</v>
      </c>
      <c r="D3704" t="str">
        <f>IF(Profile!C4467="Profile",IF(Profile!A4469="ResourceRequirement","OK","XXX"),"XXX")</f>
        <v>XXX</v>
      </c>
    </row>
    <row r="3705" spans="1:4" x14ac:dyDescent="0.45">
      <c r="A3705">
        <f>ROW()</f>
        <v>3705</v>
      </c>
      <c r="B3705" t="str">
        <f>Profile!A4468</f>
        <v>/redfish/v1/Systems/{ComputerSystemId}/HostedServices/DistributedControlNodeServices/NonOpasIOSubsystems/{NonOpasIOSubsystemId}</v>
      </c>
      <c r="C3705">
        <f>Profile!AP4470</f>
        <v>0</v>
      </c>
      <c r="D3705" t="str">
        <f>IF(Profile!C4468="Profile",IF(Profile!A4470="ResourceRequirement","OK","XXX"),"XXX")</f>
        <v>XXX</v>
      </c>
    </row>
    <row r="3706" spans="1:4" x14ac:dyDescent="0.45">
      <c r="A3706">
        <f>ROW()</f>
        <v>3706</v>
      </c>
      <c r="B3706">
        <f>Profile!A4469</f>
        <v>0</v>
      </c>
      <c r="C3706">
        <f>Profile!AP4471</f>
        <v>0</v>
      </c>
      <c r="D3706" t="str">
        <f>IF(Profile!C4469="Profile",IF(Profile!A4471="ResourceRequirement","OK","XXX"),"XXX")</f>
        <v>XXX</v>
      </c>
    </row>
    <row r="3707" spans="1:4" x14ac:dyDescent="0.45">
      <c r="A3707">
        <f>ROW()</f>
        <v>3707</v>
      </c>
      <c r="B3707" t="str">
        <f>Profile!A4470</f>
        <v>1.1.1.3               DCNSubsystemCollection</v>
      </c>
      <c r="C3707">
        <f>Profile!AP4472</f>
        <v>0</v>
      </c>
      <c r="D3707" t="str">
        <f>IF(Profile!C4470="Profile",IF(Profile!A4472="ResourceRequirement","OK","XXX"),"XXX")</f>
        <v>XXX</v>
      </c>
    </row>
    <row r="3708" spans="1:4" x14ac:dyDescent="0.45">
      <c r="A3708">
        <f>ROW()</f>
        <v>3708</v>
      </c>
      <c r="B3708" t="str">
        <f>Profile!A4471</f>
        <v>A DCNSubsystemCollection is a collection of DCNSubsystem Resources running on a node.</v>
      </c>
      <c r="C3708">
        <f>Profile!AP4473</f>
        <v>0</v>
      </c>
      <c r="D3708" t="str">
        <f>IF(Profile!C4471="Profile",IF(Profile!A4473="ResourceRequirement","OK","XXX"),"XXX")</f>
        <v>XXX</v>
      </c>
    </row>
    <row r="3709" spans="1:4" x14ac:dyDescent="0.45">
      <c r="A3709">
        <f>ROW()</f>
        <v>3709</v>
      </c>
      <c r="B3709" t="str">
        <f>Profile!A4472</f>
        <v>DCNSubsystemCollection (1.0.0)</v>
      </c>
      <c r="C3709">
        <f>Profile!AP4474</f>
        <v>0</v>
      </c>
      <c r="D3709" t="str">
        <f>IF(Profile!C4472="Profile",IF(Profile!A4474="ResourceRequirement","OK","XXX"),"XXX")</f>
        <v>OK</v>
      </c>
    </row>
    <row r="3710" spans="1:4" x14ac:dyDescent="0.45">
      <c r="A3710">
        <f>ROW()</f>
        <v>3710</v>
      </c>
      <c r="B3710">
        <f>Profile!A4473</f>
        <v>0</v>
      </c>
      <c r="C3710">
        <f>Profile!AP4475</f>
        <v>0</v>
      </c>
      <c r="D3710" t="str">
        <f>IF(Profile!C4473="Profile",IF(Profile!A4475="ResourceRequirement","OK","XXX"),"XXX")</f>
        <v>XXX</v>
      </c>
    </row>
    <row r="3711" spans="1:4" x14ac:dyDescent="0.45">
      <c r="A3711">
        <f>ROW()</f>
        <v>3711</v>
      </c>
      <c r="B3711" t="str">
        <f>Profile!A4474</f>
        <v>ResourceRequirement</v>
      </c>
      <c r="C3711">
        <f>Profile!AP4476</f>
        <v>0</v>
      </c>
      <c r="D3711" t="str">
        <f>IF(Profile!C4474="Profile",IF(Profile!A4476="ResourceRequirement","OK","XXX"),"XXX")</f>
        <v>XXX</v>
      </c>
    </row>
    <row r="3712" spans="1:4" x14ac:dyDescent="0.45">
      <c r="A3712">
        <f>ROW()</f>
        <v>3712</v>
      </c>
      <c r="B3712" t="str">
        <f>Profile!A4475</f>
        <v>Property</v>
      </c>
      <c r="C3712">
        <f>Profile!AP4477</f>
        <v>0</v>
      </c>
      <c r="D3712" t="str">
        <f>IF(Profile!C4475="Profile",IF(Profile!A4477="ResourceRequirement","OK","XXX"),"XXX")</f>
        <v>XXX</v>
      </c>
    </row>
    <row r="3713" spans="1:4" x14ac:dyDescent="0.45">
      <c r="A3713">
        <f>ROW()</f>
        <v>3713</v>
      </c>
      <c r="B3713" t="str">
        <f>Profile!A4476</f>
        <v>Members</v>
      </c>
      <c r="C3713">
        <f>Profile!AP4478</f>
        <v>0</v>
      </c>
      <c r="D3713" t="str">
        <f>IF(Profile!C4476="Profile",IF(Profile!A4478="ResourceRequirement","OK","XXX"),"XXX")</f>
        <v>XXX</v>
      </c>
    </row>
    <row r="3714" spans="1:4" x14ac:dyDescent="0.45">
      <c r="A3714">
        <f>ROW()</f>
        <v>3714</v>
      </c>
      <c r="B3714" t="str">
        <f>Profile!A4477</f>
        <v xml:space="preserve">   @odata.id</v>
      </c>
      <c r="C3714">
        <f>Profile!AP4479</f>
        <v>0</v>
      </c>
      <c r="D3714" t="str">
        <f>IF(Profile!C4477="Profile",IF(Profile!A4479="ResourceRequirement","OK","XXX"),"XXX")</f>
        <v>XXX</v>
      </c>
    </row>
    <row r="3715" spans="1:4" x14ac:dyDescent="0.45">
      <c r="A3715">
        <f>ROW()</f>
        <v>3715</v>
      </c>
      <c r="B3715" t="str">
        <f>Profile!A4478</f>
        <v>DCNSubsystemCollection URIs</v>
      </c>
      <c r="C3715">
        <f>Profile!AP4480</f>
        <v>0</v>
      </c>
      <c r="D3715" t="str">
        <f>IF(Profile!C4478="Profile",IF(Profile!A4480="ResourceRequirement","OK","XXX"),"XXX")</f>
        <v>XXX</v>
      </c>
    </row>
    <row r="3716" spans="1:4" x14ac:dyDescent="0.45">
      <c r="A3716">
        <f>ROW()</f>
        <v>3716</v>
      </c>
      <c r="B3716" t="str">
        <f>Profile!A4479</f>
        <v>/redfish/v1/Systems/{ComputerSystemId}/HostedServices/DistributedControlNodeServices/Subsystems</v>
      </c>
      <c r="C3716">
        <f>Profile!AP4481</f>
        <v>0</v>
      </c>
      <c r="D3716" t="str">
        <f>IF(Profile!C4479="Profile",IF(Profile!A4481="ResourceRequirement","OK","XXX"),"XXX")</f>
        <v>XXX</v>
      </c>
    </row>
    <row r="3717" spans="1:4" x14ac:dyDescent="0.45">
      <c r="A3717">
        <f>ROW()</f>
        <v>3717</v>
      </c>
      <c r="B3717">
        <f>Profile!A4480</f>
        <v>0</v>
      </c>
      <c r="C3717">
        <f>Profile!AP4482</f>
        <v>0</v>
      </c>
      <c r="D3717" t="str">
        <f>IF(Profile!C4480="Profile",IF(Profile!A4482="ResourceRequirement","OK","XXX"),"XXX")</f>
        <v>XXX</v>
      </c>
    </row>
    <row r="3718" spans="1:4" x14ac:dyDescent="0.45">
      <c r="A3718">
        <f>ROW()</f>
        <v>3718</v>
      </c>
      <c r="B3718" t="str">
        <f>Profile!A4481</f>
        <v>1.1.9.8 DCNSubsystem</v>
      </c>
      <c r="C3718">
        <f>Profile!AP4483</f>
        <v>0</v>
      </c>
      <c r="D3718" t="str">
        <f>IF(Profile!C4481="Profile",IF(Profile!A4483="ResourceRequirement","OK","XXX"),"XXX")</f>
        <v>XXX</v>
      </c>
    </row>
    <row r="3719" spans="1:4" x14ac:dyDescent="0.45">
      <c r="A3719">
        <f>ROW()</f>
        <v>3719</v>
      </c>
      <c r="B3719" t="str">
        <f>Profile!A4482</f>
        <v>Resource to describe a southbound subsystem connected to an O-PAS DCN.
Note:  This resource definition is preliminary and intended to show the direction of the system management model for interfaces and devices attached to DCNs.  The properties within are subject to change in updates to this standard.</v>
      </c>
      <c r="C3719">
        <f>Profile!AP4484</f>
        <v>0</v>
      </c>
      <c r="D3719" t="str">
        <f>IF(Profile!C4482="Profile",IF(Profile!A4484="ResourceRequirement","OK","XXX"),"XXX")</f>
        <v>XXX</v>
      </c>
    </row>
    <row r="3720" spans="1:4" x14ac:dyDescent="0.45">
      <c r="A3720">
        <f>ROW()</f>
        <v>3720</v>
      </c>
      <c r="B3720" t="str">
        <f>Profile!A4483</f>
        <v>DCNSubsystem (1.0.0)</v>
      </c>
      <c r="C3720">
        <f>Profile!AP4485</f>
        <v>0</v>
      </c>
      <c r="D3720" t="str">
        <f>IF(Profile!C4483="Profile",IF(Profile!A4485="ResourceRequirement","OK","XXX"),"XXX")</f>
        <v>OK</v>
      </c>
    </row>
    <row r="3721" spans="1:4" x14ac:dyDescent="0.45">
      <c r="A3721">
        <f>ROW()</f>
        <v>3721</v>
      </c>
      <c r="B3721">
        <f>Profile!A4484</f>
        <v>0</v>
      </c>
      <c r="C3721">
        <f>Profile!AP4486</f>
        <v>0</v>
      </c>
      <c r="D3721" t="str">
        <f>IF(Profile!C4484="Profile",IF(Profile!A4486="ResourceRequirement","OK","XXX"),"XXX")</f>
        <v>XXX</v>
      </c>
    </row>
    <row r="3722" spans="1:4" x14ac:dyDescent="0.45">
      <c r="A3722">
        <f>ROW()</f>
        <v>3722</v>
      </c>
      <c r="B3722" t="str">
        <f>Profile!A4485</f>
        <v>ResourceRequirement</v>
      </c>
      <c r="C3722">
        <f>Profile!AP4487</f>
        <v>0</v>
      </c>
      <c r="D3722" t="str">
        <f>IF(Profile!C4485="Profile",IF(Profile!A4487="ResourceRequirement","OK","XXX"),"XXX")</f>
        <v>XXX</v>
      </c>
    </row>
    <row r="3723" spans="1:4" x14ac:dyDescent="0.45">
      <c r="A3723">
        <f>ROW()</f>
        <v>3723</v>
      </c>
      <c r="B3723" t="str">
        <f>Profile!A4486</f>
        <v>Resource MinVersion</v>
      </c>
      <c r="C3723">
        <f>Profile!AP4488</f>
        <v>0</v>
      </c>
      <c r="D3723" t="str">
        <f>IF(Profile!C4486="Profile",IF(Profile!A4488="ResourceRequirement","OK","XXX"),"XXX")</f>
        <v>XXX</v>
      </c>
    </row>
    <row r="3724" spans="1:4" x14ac:dyDescent="0.45">
      <c r="A3724">
        <f>ROW()</f>
        <v>3724</v>
      </c>
      <c r="B3724" t="str">
        <f>Profile!A4487</f>
        <v>Property</v>
      </c>
      <c r="C3724">
        <f>Profile!AP4489</f>
        <v>0</v>
      </c>
      <c r="D3724" t="str">
        <f>IF(Profile!C4487="Profile",IF(Profile!A4489="ResourceRequirement","OK","XXX"),"XXX")</f>
        <v>XXX</v>
      </c>
    </row>
    <row r="3725" spans="1:4" x14ac:dyDescent="0.45">
      <c r="A3725">
        <f>ROW()</f>
        <v>3725</v>
      </c>
      <c r="B3725" t="str">
        <f>Profile!A4488</f>
        <v>Actions</v>
      </c>
      <c r="C3725">
        <f>Profile!AP4490</f>
        <v>0</v>
      </c>
      <c r="D3725" t="str">
        <f>IF(Profile!C4488="Profile",IF(Profile!A4490="ResourceRequirement","OK","XXX"),"XXX")</f>
        <v>XXX</v>
      </c>
    </row>
    <row r="3726" spans="1:4" x14ac:dyDescent="0.45">
      <c r="A3726">
        <f>ROW()</f>
        <v>3726</v>
      </c>
      <c r="B3726" t="str">
        <f>Profile!A4489</f>
        <v>SubsystemName</v>
      </c>
      <c r="C3726">
        <f>Profile!AP4491</f>
        <v>0</v>
      </c>
      <c r="D3726" t="str">
        <f>IF(Profile!C4489="Profile",IF(Profile!A4491="ResourceRequirement","OK","XXX"),"XXX")</f>
        <v>XXX</v>
      </c>
    </row>
    <row r="3727" spans="1:4" x14ac:dyDescent="0.45">
      <c r="A3727">
        <f>ROW()</f>
        <v>3727</v>
      </c>
      <c r="B3727" t="str">
        <f>Profile!A4490</f>
        <v>SubsystemType</v>
      </c>
      <c r="C3727">
        <f>Profile!AP4492</f>
        <v>0</v>
      </c>
      <c r="D3727" t="str">
        <f>IF(Profile!C4490="Profile",IF(Profile!A4492="ResourceRequirement","OK","XXX"),"XXX")</f>
        <v>XXX</v>
      </c>
    </row>
    <row r="3728" spans="1:4" x14ac:dyDescent="0.45">
      <c r="A3728">
        <f>ROW()</f>
        <v>3728</v>
      </c>
      <c r="B3728" t="str">
        <f>Profile!A4491</f>
        <v>Devices</v>
      </c>
      <c r="C3728">
        <f>Profile!AP4493</f>
        <v>0</v>
      </c>
      <c r="D3728" t="str">
        <f>IF(Profile!C4491="Profile",IF(Profile!A4493="ResourceRequirement","OK","XXX"),"XXX")</f>
        <v>XXX</v>
      </c>
    </row>
    <row r="3729" spans="1:4" x14ac:dyDescent="0.45">
      <c r="A3729">
        <f>ROW()</f>
        <v>3729</v>
      </c>
      <c r="B3729" t="str">
        <f>Profile!A4492</f>
        <v xml:space="preserve">   @odata.id</v>
      </c>
      <c r="C3729">
        <f>Profile!AP4494</f>
        <v>0</v>
      </c>
      <c r="D3729" t="str">
        <f>IF(Profile!C4492="Profile",IF(Profile!A4494="ResourceRequirement","OK","XXX"),"XXX")</f>
        <v>XXX</v>
      </c>
    </row>
    <row r="3730" spans="1:4" x14ac:dyDescent="0.45">
      <c r="A3730">
        <f>ROW()</f>
        <v>3730</v>
      </c>
      <c r="B3730" t="str">
        <f>Profile!A4493</f>
        <v>Oem</v>
      </c>
      <c r="C3730">
        <f>Profile!AP4495</f>
        <v>0</v>
      </c>
      <c r="D3730" t="str">
        <f>IF(Profile!C4493="Profile",IF(Profile!A4495="ResourceRequirement","OK","XXX"),"XXX")</f>
        <v>XXX</v>
      </c>
    </row>
    <row r="3731" spans="1:4" x14ac:dyDescent="0.45">
      <c r="A3731">
        <f>ROW()</f>
        <v>3731</v>
      </c>
      <c r="B3731" t="str">
        <f>Profile!A4494</f>
        <v>DCNSubsystem URIs</v>
      </c>
      <c r="C3731">
        <f>Profile!AP4496</f>
        <v>0</v>
      </c>
      <c r="D3731" t="str">
        <f>IF(Profile!C4494="Profile",IF(Profile!A4496="ResourceRequirement","OK","XXX"),"XXX")</f>
        <v>XXX</v>
      </c>
    </row>
    <row r="3732" spans="1:4" x14ac:dyDescent="0.45">
      <c r="A3732">
        <f>ROW()</f>
        <v>3732</v>
      </c>
      <c r="B3732" t="str">
        <f>Profile!A4495</f>
        <v>/redfish/v1/Systems/{ComputerSystemId}/HostedServices/DistributedControlNodeServices/Subsystems/{SubsystemId}</v>
      </c>
      <c r="C3732">
        <f>Profile!AP4497</f>
        <v>0</v>
      </c>
      <c r="D3732" t="str">
        <f>IF(Profile!C4495="Profile",IF(Profile!A4497="ResourceRequirement","OK","XXX"),"XXX")</f>
        <v>XXX</v>
      </c>
    </row>
    <row r="3733" spans="1:4" x14ac:dyDescent="0.45">
      <c r="A3733">
        <f>ROW()</f>
        <v>3733</v>
      </c>
      <c r="B3733">
        <f>Profile!A4496</f>
        <v>0</v>
      </c>
      <c r="C3733">
        <f>Profile!AP4498</f>
        <v>0</v>
      </c>
      <c r="D3733" t="str">
        <f>IF(Profile!C4496="Profile",IF(Profile!A4498="ResourceRequirement","OK","XXX"),"XXX")</f>
        <v>XXX</v>
      </c>
    </row>
    <row r="3734" spans="1:4" x14ac:dyDescent="0.45">
      <c r="A3734">
        <f>ROW()</f>
        <v>3734</v>
      </c>
      <c r="B3734" t="str">
        <f>Profile!A4497</f>
        <v>1.1.1.3               DCNDeviceCollection</v>
      </c>
      <c r="C3734">
        <f>Profile!AP4499</f>
        <v>0</v>
      </c>
      <c r="D3734" t="str">
        <f>IF(Profile!C4497="Profile",IF(Profile!A4499="ResourceRequirement","OK","XXX"),"XXX")</f>
        <v>XXX</v>
      </c>
    </row>
    <row r="3735" spans="1:4" x14ac:dyDescent="0.45">
      <c r="A3735">
        <f>ROW()</f>
        <v>3735</v>
      </c>
      <c r="B3735" t="str">
        <f>Profile!A4498</f>
        <v>A DCNDeviceCollection is a collection of DCNDevice Resources running on a node.</v>
      </c>
      <c r="C3735">
        <f>Profile!AP4500</f>
        <v>0</v>
      </c>
      <c r="D3735" t="str">
        <f>IF(Profile!C4498="Profile",IF(Profile!A4500="ResourceRequirement","OK","XXX"),"XXX")</f>
        <v>XXX</v>
      </c>
    </row>
    <row r="3736" spans="1:4" x14ac:dyDescent="0.45">
      <c r="A3736">
        <f>ROW()</f>
        <v>3736</v>
      </c>
      <c r="B3736" t="str">
        <f>Profile!A4499</f>
        <v>DCNDeviceCollection (1.0.0)</v>
      </c>
      <c r="C3736">
        <f>Profile!AP4501</f>
        <v>0</v>
      </c>
      <c r="D3736" t="str">
        <f>IF(Profile!C4499="Profile",IF(Profile!A4501="ResourceRequirement","OK","XXX"),"XXX")</f>
        <v>OK</v>
      </c>
    </row>
    <row r="3737" spans="1:4" x14ac:dyDescent="0.45">
      <c r="A3737">
        <f>ROW()</f>
        <v>3737</v>
      </c>
      <c r="B3737">
        <f>Profile!A4500</f>
        <v>0</v>
      </c>
      <c r="C3737">
        <f>Profile!AP4502</f>
        <v>0</v>
      </c>
      <c r="D3737" t="str">
        <f>IF(Profile!C4500="Profile",IF(Profile!A4502="ResourceRequirement","OK","XXX"),"XXX")</f>
        <v>XXX</v>
      </c>
    </row>
    <row r="3738" spans="1:4" x14ac:dyDescent="0.45">
      <c r="A3738">
        <f>ROW()</f>
        <v>3738</v>
      </c>
      <c r="B3738" t="str">
        <f>Profile!A4501</f>
        <v>ResourceRequirement</v>
      </c>
      <c r="C3738">
        <f>Profile!AP4503</f>
        <v>0</v>
      </c>
      <c r="D3738" t="str">
        <f>IF(Profile!C4501="Profile",IF(Profile!A4503="ResourceRequirement","OK","XXX"),"XXX")</f>
        <v>XXX</v>
      </c>
    </row>
    <row r="3739" spans="1:4" x14ac:dyDescent="0.45">
      <c r="A3739">
        <f>ROW()</f>
        <v>3739</v>
      </c>
      <c r="B3739" t="str">
        <f>Profile!A4502</f>
        <v>Property</v>
      </c>
      <c r="C3739">
        <f>Profile!AP4504</f>
        <v>0</v>
      </c>
      <c r="D3739" t="str">
        <f>IF(Profile!C4502="Profile",IF(Profile!A4504="ResourceRequirement","OK","XXX"),"XXX")</f>
        <v>XXX</v>
      </c>
    </row>
    <row r="3740" spans="1:4" x14ac:dyDescent="0.45">
      <c r="A3740">
        <f>ROW()</f>
        <v>3740</v>
      </c>
      <c r="B3740" t="str">
        <f>Profile!A4503</f>
        <v>Members</v>
      </c>
      <c r="C3740">
        <f>Profile!AP4505</f>
        <v>0</v>
      </c>
      <c r="D3740" t="str">
        <f>IF(Profile!C4503="Profile",IF(Profile!A4505="ResourceRequirement","OK","XXX"),"XXX")</f>
        <v>XXX</v>
      </c>
    </row>
    <row r="3741" spans="1:4" x14ac:dyDescent="0.45">
      <c r="A3741">
        <f>ROW()</f>
        <v>3741</v>
      </c>
      <c r="B3741" t="str">
        <f>Profile!A4504</f>
        <v xml:space="preserve">   @odata.id</v>
      </c>
      <c r="C3741">
        <f>Profile!AP4506</f>
        <v>0</v>
      </c>
      <c r="D3741" t="str">
        <f>IF(Profile!C4504="Profile",IF(Profile!A4506="ResourceRequirement","OK","XXX"),"XXX")</f>
        <v>XXX</v>
      </c>
    </row>
    <row r="3742" spans="1:4" x14ac:dyDescent="0.45">
      <c r="A3742">
        <f>ROW()</f>
        <v>3742</v>
      </c>
      <c r="B3742" t="str">
        <f>Profile!A4505</f>
        <v>DCNDeviceCollection URIs</v>
      </c>
      <c r="C3742">
        <f>Profile!AP4507</f>
        <v>0</v>
      </c>
      <c r="D3742" t="str">
        <f>IF(Profile!C4505="Profile",IF(Profile!A4507="ResourceRequirement","OK","XXX"),"XXX")</f>
        <v>XXX</v>
      </c>
    </row>
    <row r="3743" spans="1:4" x14ac:dyDescent="0.45">
      <c r="A3743">
        <f>ROW()</f>
        <v>3743</v>
      </c>
      <c r="B3743" t="str">
        <f>Profile!A4506</f>
        <v>/redfish/v1/Systems/{ComputerSystemId}/HostedServices/DistributedControlNodeServices/Subsystems/{SubsystemId}/Devices</v>
      </c>
      <c r="C3743">
        <f>Profile!AP4508</f>
        <v>0</v>
      </c>
      <c r="D3743" t="str">
        <f>IF(Profile!C4506="Profile",IF(Profile!A4508="ResourceRequirement","OK","XXX"),"XXX")</f>
        <v>XXX</v>
      </c>
    </row>
    <row r="3744" spans="1:4" x14ac:dyDescent="0.45">
      <c r="A3744">
        <f>ROW()</f>
        <v>3744</v>
      </c>
      <c r="B3744">
        <f>Profile!A4507</f>
        <v>0</v>
      </c>
      <c r="C3744">
        <f>Profile!AP4509</f>
        <v>0</v>
      </c>
      <c r="D3744" t="str">
        <f>IF(Profile!C4507="Profile",IF(Profile!A4509="ResourceRequirement","OK","XXX"),"XXX")</f>
        <v>XXX</v>
      </c>
    </row>
    <row r="3745" spans="1:4" x14ac:dyDescent="0.45">
      <c r="A3745">
        <f>ROW()</f>
        <v>3745</v>
      </c>
      <c r="B3745" t="str">
        <f>Profile!A4508</f>
        <v>1.1.9.8 DCNDevice</v>
      </c>
      <c r="C3745">
        <f>Profile!AP4510</f>
        <v>0</v>
      </c>
      <c r="D3745" t="str">
        <f>IF(Profile!C4508="Profile",IF(Profile!A4510="ResourceRequirement","OK","XXX"),"XXX")</f>
        <v>XXX</v>
      </c>
    </row>
    <row r="3746" spans="1:4" x14ac:dyDescent="0.45">
      <c r="A3746">
        <f>ROW()</f>
        <v>3746</v>
      </c>
      <c r="B3746" t="str">
        <f>Profile!A4509</f>
        <v>Resource to describe a device connected to an O-PAS DCN subsystem.
Note:  This resource definition is preliminary and intended to show the direction of the system management model for interfaces and devices attached to DCNs.  The properties within are subject to change in updates to this standard.</v>
      </c>
      <c r="C3746">
        <f>Profile!AP4511</f>
        <v>0</v>
      </c>
      <c r="D3746" t="str">
        <f>IF(Profile!C4509="Profile",IF(Profile!A4511="ResourceRequirement","OK","XXX"),"XXX")</f>
        <v>XXX</v>
      </c>
    </row>
    <row r="3747" spans="1:4" x14ac:dyDescent="0.45">
      <c r="A3747">
        <f>ROW()</f>
        <v>3747</v>
      </c>
      <c r="B3747" t="str">
        <f>Profile!A4510</f>
        <v>DCNDevice (1.0.0)</v>
      </c>
      <c r="C3747">
        <f>Profile!AP4512</f>
        <v>0</v>
      </c>
      <c r="D3747" t="str">
        <f>IF(Profile!C4510="Profile",IF(Profile!A4512="ResourceRequirement","OK","XXX"),"XXX")</f>
        <v>OK</v>
      </c>
    </row>
    <row r="3748" spans="1:4" x14ac:dyDescent="0.45">
      <c r="A3748">
        <f>ROW()</f>
        <v>3748</v>
      </c>
      <c r="B3748">
        <f>Profile!A4511</f>
        <v>0</v>
      </c>
      <c r="C3748">
        <f>Profile!AP4513</f>
        <v>0</v>
      </c>
      <c r="D3748" t="str">
        <f>IF(Profile!C4511="Profile",IF(Profile!A4513="ResourceRequirement","OK","XXX"),"XXX")</f>
        <v>XXX</v>
      </c>
    </row>
    <row r="3749" spans="1:4" x14ac:dyDescent="0.45">
      <c r="A3749">
        <f>ROW()</f>
        <v>3749</v>
      </c>
      <c r="B3749" t="str">
        <f>Profile!A4512</f>
        <v>ResourceRequirement</v>
      </c>
      <c r="C3749">
        <f>Profile!AP4514</f>
        <v>0</v>
      </c>
      <c r="D3749" t="str">
        <f>IF(Profile!C4512="Profile",IF(Profile!A4514="ResourceRequirement","OK","XXX"),"XXX")</f>
        <v>XXX</v>
      </c>
    </row>
    <row r="3750" spans="1:4" x14ac:dyDescent="0.45">
      <c r="A3750">
        <f>ROW()</f>
        <v>3750</v>
      </c>
      <c r="B3750" t="str">
        <f>Profile!A4513</f>
        <v>Resource MinVersion</v>
      </c>
      <c r="C3750">
        <f>Profile!AP4515</f>
        <v>0</v>
      </c>
      <c r="D3750" t="str">
        <f>IF(Profile!C4513="Profile",IF(Profile!A4515="ResourceRequirement","OK","XXX"),"XXX")</f>
        <v>XXX</v>
      </c>
    </row>
    <row r="3751" spans="1:4" x14ac:dyDescent="0.45">
      <c r="A3751">
        <f>ROW()</f>
        <v>3751</v>
      </c>
      <c r="B3751" t="str">
        <f>Profile!A4514</f>
        <v>Property</v>
      </c>
      <c r="C3751">
        <f>Profile!AP4516</f>
        <v>0</v>
      </c>
      <c r="D3751" t="str">
        <f>IF(Profile!C4514="Profile",IF(Profile!A4516="ResourceRequirement","OK","XXX"),"XXX")</f>
        <v>XXX</v>
      </c>
    </row>
    <row r="3752" spans="1:4" x14ac:dyDescent="0.45">
      <c r="A3752">
        <f>ROW()</f>
        <v>3752</v>
      </c>
      <c r="B3752" t="str">
        <f>Profile!A4515</f>
        <v>Actions</v>
      </c>
      <c r="C3752">
        <f>Profile!AP4517</f>
        <v>0</v>
      </c>
      <c r="D3752" t="str">
        <f>IF(Profile!C4515="Profile",IF(Profile!A4517="ResourceRequirement","OK","XXX"),"XXX")</f>
        <v>XXX</v>
      </c>
    </row>
    <row r="3753" spans="1:4" x14ac:dyDescent="0.45">
      <c r="A3753">
        <f>ROW()</f>
        <v>3753</v>
      </c>
      <c r="B3753" t="str">
        <f>Profile!A4516</f>
        <v>DeviceName</v>
      </c>
      <c r="C3753">
        <f>Profile!AP4518</f>
        <v>0</v>
      </c>
      <c r="D3753" t="str">
        <f>IF(Profile!C4516="Profile",IF(Profile!A4518="ResourceRequirement","OK","XXX"),"XXX")</f>
        <v>XXX</v>
      </c>
    </row>
    <row r="3754" spans="1:4" x14ac:dyDescent="0.45">
      <c r="A3754">
        <f>ROW()</f>
        <v>3754</v>
      </c>
      <c r="B3754" t="str">
        <f>Profile!A4517</f>
        <v>InComm</v>
      </c>
      <c r="C3754">
        <f>Profile!AP4519</f>
        <v>0</v>
      </c>
      <c r="D3754" t="str">
        <f>IF(Profile!C4517="Profile",IF(Profile!A4519="ResourceRequirement","OK","XXX"),"XXX")</f>
        <v>XXX</v>
      </c>
    </row>
    <row r="3755" spans="1:4" x14ac:dyDescent="0.45">
      <c r="A3755">
        <f>ROW()</f>
        <v>3755</v>
      </c>
      <c r="B3755" t="str">
        <f>Profile!A4518</f>
        <v>ServiceIndication</v>
      </c>
      <c r="C3755">
        <f>Profile!AP4520</f>
        <v>0</v>
      </c>
      <c r="D3755" t="str">
        <f>IF(Profile!C4518="Profile",IF(Profile!A4520="ResourceRequirement","OK","XXX"),"XXX")</f>
        <v>XXX</v>
      </c>
    </row>
    <row r="3756" spans="1:4" x14ac:dyDescent="0.45">
      <c r="A3756">
        <f>ROW()</f>
        <v>3756</v>
      </c>
      <c r="B3756" t="str">
        <f>Profile!A4519</f>
        <v>ServiceRequiredNow</v>
      </c>
      <c r="C3756">
        <f>Profile!AP4521</f>
        <v>0</v>
      </c>
      <c r="D3756" t="str">
        <f>IF(Profile!C4519="Profile",IF(Profile!A4521="ResourceRequirement","OK","XXX"),"XXX")</f>
        <v>XXX</v>
      </c>
    </row>
    <row r="3757" spans="1:4" x14ac:dyDescent="0.45">
      <c r="A3757">
        <f>ROW()</f>
        <v>3757</v>
      </c>
      <c r="B3757" t="str">
        <f>Profile!A4520</f>
        <v>ServiceRequiredSoon</v>
      </c>
      <c r="C3757">
        <f>Profile!AP4522</f>
        <v>0</v>
      </c>
      <c r="D3757" t="str">
        <f>IF(Profile!C4520="Profile",IF(Profile!A4522="ResourceRequirement","OK","XXX"),"XXX")</f>
        <v>XXX</v>
      </c>
    </row>
    <row r="3758" spans="1:4" x14ac:dyDescent="0.45">
      <c r="A3758">
        <f>ROW()</f>
        <v>3758</v>
      </c>
      <c r="B3758" t="str">
        <f>Profile!A4521</f>
        <v>StatusNamur</v>
      </c>
      <c r="C3758">
        <f>Profile!AP4523</f>
        <v>0</v>
      </c>
      <c r="D3758" t="str">
        <f>IF(Profile!C4521="Profile",IF(Profile!A4523="ResourceRequirement","OK","XXX"),"XXX")</f>
        <v>XXX</v>
      </c>
    </row>
    <row r="3759" spans="1:4" x14ac:dyDescent="0.45">
      <c r="A3759">
        <f>ROW()</f>
        <v>3759</v>
      </c>
      <c r="B3759" t="str">
        <f>Profile!A4522</f>
        <v>DevicePassthrough</v>
      </c>
      <c r="C3759">
        <f>Profile!AP4524</f>
        <v>0</v>
      </c>
      <c r="D3759" t="str">
        <f>IF(Profile!C4522="Profile",IF(Profile!A4524="ResourceRequirement","OK","XXX"),"XXX")</f>
        <v>XXX</v>
      </c>
    </row>
    <row r="3760" spans="1:4" x14ac:dyDescent="0.45">
      <c r="A3760">
        <f>ROW()</f>
        <v>3760</v>
      </c>
      <c r="B3760" t="str">
        <f>Profile!A4523</f>
        <v xml:space="preserve">   PassthroughType</v>
      </c>
      <c r="C3760">
        <f>Profile!AP4525</f>
        <v>0</v>
      </c>
      <c r="D3760" t="str">
        <f>IF(Profile!C4523="Profile",IF(Profile!A4525="ResourceRequirement","OK","XXX"),"XXX")</f>
        <v>XXX</v>
      </c>
    </row>
    <row r="3761" spans="1:4" x14ac:dyDescent="0.45">
      <c r="A3761">
        <f>ROW()</f>
        <v>3761</v>
      </c>
      <c r="B3761" t="str">
        <f>Profile!A4524</f>
        <v xml:space="preserve">   IPAddress</v>
      </c>
      <c r="C3761">
        <f>Profile!AP4526</f>
        <v>0</v>
      </c>
      <c r="D3761" t="str">
        <f>IF(Profile!C4524="Profile",IF(Profile!A4526="ResourceRequirement","OK","XXX"),"XXX")</f>
        <v>XXX</v>
      </c>
    </row>
    <row r="3762" spans="1:4" x14ac:dyDescent="0.45">
      <c r="A3762">
        <f>ROW()</f>
        <v>3762</v>
      </c>
      <c r="B3762" t="str">
        <f>Profile!A4525</f>
        <v xml:space="preserve">   IPPort</v>
      </c>
      <c r="C3762">
        <f>Profile!AP4527</f>
        <v>0</v>
      </c>
      <c r="D3762" t="str">
        <f>IF(Profile!C4525="Profile",IF(Profile!A4527="ResourceRequirement","OK","XXX"),"XXX")</f>
        <v>XXX</v>
      </c>
    </row>
    <row r="3763" spans="1:4" x14ac:dyDescent="0.45">
      <c r="A3763">
        <f>ROW()</f>
        <v>3763</v>
      </c>
      <c r="B3763" t="str">
        <f>Profile!A4526</f>
        <v>Oem</v>
      </c>
      <c r="C3763">
        <f>Profile!AP4528</f>
        <v>0</v>
      </c>
      <c r="D3763" t="str">
        <f>IF(Profile!C4526="Profile",IF(Profile!A4528="ResourceRequirement","OK","XXX"),"XXX")</f>
        <v>XXX</v>
      </c>
    </row>
    <row r="3764" spans="1:4" x14ac:dyDescent="0.45">
      <c r="A3764">
        <f>ROW()</f>
        <v>3764</v>
      </c>
      <c r="B3764" t="str">
        <f>Profile!A4527</f>
        <v>DCNDevice URIs</v>
      </c>
      <c r="C3764">
        <f>Profile!AP4529</f>
        <v>0</v>
      </c>
      <c r="D3764" t="str">
        <f>IF(Profile!C4527="Profile",IF(Profile!A4529="ResourceRequirement","OK","XXX"),"XXX")</f>
        <v>XXX</v>
      </c>
    </row>
    <row r="3765" spans="1:4" x14ac:dyDescent="0.45">
      <c r="A3765">
        <f>ROW()</f>
        <v>3765</v>
      </c>
      <c r="B3765" t="str">
        <f>Profile!A4528</f>
        <v>/redfish/v1/Systems/{ComputerSystemId}/HostedServices/DistributedControlNodeServices/Subsystems/{SubsystemId}/Devices/{DeviceId}</v>
      </c>
      <c r="C3765">
        <f>Profile!AP4530</f>
        <v>0</v>
      </c>
      <c r="D3765" t="str">
        <f>IF(Profile!C4528="Profile",IF(Profile!A4530="ResourceRequirement","OK","XXX"),"XXX")</f>
        <v>XXX</v>
      </c>
    </row>
    <row r="3766" spans="1:4" x14ac:dyDescent="0.45">
      <c r="A3766">
        <f>ROW()</f>
        <v>3766</v>
      </c>
      <c r="B3766">
        <f>Profile!A4529</f>
        <v>0</v>
      </c>
      <c r="C3766">
        <f>Profile!AP4531</f>
        <v>0</v>
      </c>
      <c r="D3766" t="str">
        <f>IF(Profile!C4529="Profile",IF(Profile!A4531="ResourceRequirement","OK","XXX"),"XXX")</f>
        <v>XXX</v>
      </c>
    </row>
    <row r="3767" spans="1:4" x14ac:dyDescent="0.45">
      <c r="A3767">
        <f>ROW()</f>
        <v>3767</v>
      </c>
      <c r="B3767" t="str">
        <f>Profile!A4530</f>
        <v>1.1.9.8 VirtClusterService</v>
      </c>
      <c r="C3767">
        <f>Profile!AP4532</f>
        <v>0</v>
      </c>
      <c r="D3767" t="str">
        <f>IF(Profile!C4530="Profile",IF(Profile!A4532="ResourceRequirement","OK","XXX"),"XXX")</f>
        <v>XXX</v>
      </c>
    </row>
    <row r="3768" spans="1:4" x14ac:dyDescent="0.45">
      <c r="A3768">
        <f>ROW()</f>
        <v>3768</v>
      </c>
      <c r="B3768" t="str">
        <f>Profile!A4531</f>
        <v>The VirtClusterService schema represents an entire cluster of nodes under a common orchestration.
  NOTE:  Initially treat container and VM clusters common. If needed, these may be split. NOTE:  This could be a new profile; e.g., OSM-RedfishCluster</v>
      </c>
      <c r="C3768">
        <f>Profile!AP4533</f>
        <v>0</v>
      </c>
      <c r="D3768" t="str">
        <f>IF(Profile!C4531="Profile",IF(Profile!A4533="ResourceRequirement","OK","XXX"),"XXX")</f>
        <v>XXX</v>
      </c>
    </row>
    <row r="3769" spans="1:4" x14ac:dyDescent="0.45">
      <c r="A3769">
        <f>ROW()</f>
        <v>3769</v>
      </c>
      <c r="B3769" t="str">
        <f>Profile!A4532</f>
        <v>VirtClusterService (1.0.0)</v>
      </c>
      <c r="C3769">
        <f>Profile!AP4534</f>
        <v>0</v>
      </c>
      <c r="D3769" t="str">
        <f>IF(Profile!C4532="Profile",IF(Profile!A4534="ResourceRequirement","OK","XXX"),"XXX")</f>
        <v>OK</v>
      </c>
    </row>
    <row r="3770" spans="1:4" x14ac:dyDescent="0.45">
      <c r="A3770">
        <f>ROW()</f>
        <v>3770</v>
      </c>
      <c r="B3770">
        <f>Profile!A4533</f>
        <v>0</v>
      </c>
      <c r="C3770">
        <f>Profile!AP4535</f>
        <v>0</v>
      </c>
      <c r="D3770" t="str">
        <f>IF(Profile!C4533="Profile",IF(Profile!A4535="ResourceRequirement","OK","XXX"),"XXX")</f>
        <v>XXX</v>
      </c>
    </row>
    <row r="3771" spans="1:4" x14ac:dyDescent="0.45">
      <c r="A3771">
        <f>ROW()</f>
        <v>3771</v>
      </c>
      <c r="B3771" t="str">
        <f>Profile!A4534</f>
        <v>ResourceRequirement</v>
      </c>
      <c r="C3771">
        <f>Profile!AP4536</f>
        <v>0</v>
      </c>
      <c r="D3771" t="str">
        <f>IF(Profile!C4534="Profile",IF(Profile!A4536="ResourceRequirement","OK","XXX"),"XXX")</f>
        <v>XXX</v>
      </c>
    </row>
    <row r="3772" spans="1:4" x14ac:dyDescent="0.45">
      <c r="A3772">
        <f>ROW()</f>
        <v>3772</v>
      </c>
      <c r="B3772" t="str">
        <f>Profile!A4535</f>
        <v>Resource MinVersion</v>
      </c>
      <c r="C3772">
        <f>Profile!AP4537</f>
        <v>0</v>
      </c>
      <c r="D3772" t="str">
        <f>IF(Profile!C4535="Profile",IF(Profile!A4537="ResourceRequirement","OK","XXX"),"XXX")</f>
        <v>XXX</v>
      </c>
    </row>
    <row r="3773" spans="1:4" x14ac:dyDescent="0.45">
      <c r="A3773">
        <f>ROW()</f>
        <v>3773</v>
      </c>
      <c r="B3773" t="str">
        <f>Profile!A4536</f>
        <v>Property</v>
      </c>
      <c r="C3773">
        <f>Profile!AP4538</f>
        <v>0</v>
      </c>
      <c r="D3773" t="str">
        <f>IF(Profile!C4536="Profile",IF(Profile!A4538="ResourceRequirement","OK","XXX"),"XXX")</f>
        <v>XXX</v>
      </c>
    </row>
    <row r="3774" spans="1:4" x14ac:dyDescent="0.45">
      <c r="A3774">
        <f>ROW()</f>
        <v>3774</v>
      </c>
      <c r="B3774" t="str">
        <f>Profile!A4537</f>
        <v>Actions</v>
      </c>
      <c r="C3774">
        <f>Profile!AP4539</f>
        <v>0</v>
      </c>
      <c r="D3774" t="str">
        <f>IF(Profile!C4537="Profile",IF(Profile!A4539="ResourceRequirement","OK","XXX"),"XXX")</f>
        <v>XXX</v>
      </c>
    </row>
    <row r="3775" spans="1:4" x14ac:dyDescent="0.45">
      <c r="A3775">
        <f>ROW()</f>
        <v>3775</v>
      </c>
      <c r="B3775" t="str">
        <f>Profile!A4538</f>
        <v>ClusterType</v>
      </c>
      <c r="C3775">
        <f>Profile!AP4540</f>
        <v>0</v>
      </c>
      <c r="D3775" t="str">
        <f>IF(Profile!C4538="Profile",IF(Profile!A4540="ResourceRequirement","OK","XXX"),"XXX")</f>
        <v>XXX</v>
      </c>
    </row>
    <row r="3776" spans="1:4" x14ac:dyDescent="0.45">
      <c r="A3776">
        <f>ROW()</f>
        <v>3776</v>
      </c>
      <c r="B3776" t="str">
        <f>Profile!A4539</f>
        <v>ClusterAPI</v>
      </c>
      <c r="C3776">
        <f>Profile!AP4541</f>
        <v>0</v>
      </c>
      <c r="D3776" t="str">
        <f>IF(Profile!C4539="Profile",IF(Profile!A4541="ResourceRequirement","OK","XXX"),"XXX")</f>
        <v>XXX</v>
      </c>
    </row>
    <row r="3777" spans="1:4" x14ac:dyDescent="0.45">
      <c r="A3777">
        <f>ROW()</f>
        <v>3777</v>
      </c>
      <c r="B3777" t="str">
        <f>Profile!A4540</f>
        <v>ClusterAPIVersion</v>
      </c>
      <c r="C3777">
        <f>Profile!AP4542</f>
        <v>0</v>
      </c>
      <c r="D3777" t="str">
        <f>IF(Profile!C4540="Profile",IF(Profile!A4542="ResourceRequirement","OK","XXX"),"XXX")</f>
        <v>XXX</v>
      </c>
    </row>
    <row r="3778" spans="1:4" x14ac:dyDescent="0.45">
      <c r="A3778">
        <f>ROW()</f>
        <v>3778</v>
      </c>
      <c r="B3778" t="str">
        <f>Profile!A4541</f>
        <v>ClusterMetrics</v>
      </c>
      <c r="C3778">
        <f>Profile!AP4543</f>
        <v>0</v>
      </c>
      <c r="D3778" t="str">
        <f>IF(Profile!C4541="Profile",IF(Profile!A4543="ResourceRequirement","OK","XXX"),"XXX")</f>
        <v>XXX</v>
      </c>
    </row>
    <row r="3779" spans="1:4" x14ac:dyDescent="0.45">
      <c r="A3779">
        <f>ROW()</f>
        <v>3779</v>
      </c>
      <c r="B3779" t="str">
        <f>Profile!A4542</f>
        <v xml:space="preserve">      @odata.id</v>
      </c>
      <c r="C3779">
        <f>Profile!AP4544</f>
        <v>0</v>
      </c>
      <c r="D3779" t="str">
        <f>IF(Profile!C4542="Profile",IF(Profile!A4544="ResourceRequirement","OK","XXX"),"XXX")</f>
        <v>XXX</v>
      </c>
    </row>
    <row r="3780" spans="1:4" x14ac:dyDescent="0.45">
      <c r="A3780">
        <f>ROW()</f>
        <v>3780</v>
      </c>
      <c r="B3780" t="str">
        <f>Profile!A4543</f>
        <v>ClusterNodes</v>
      </c>
      <c r="C3780">
        <f>Profile!AP4545</f>
        <v>0</v>
      </c>
      <c r="D3780" t="str">
        <f>IF(Profile!C4543="Profile",IF(Profile!A4545="ResourceRequirement","OK","XXX"),"XXX")</f>
        <v>XXX</v>
      </c>
    </row>
    <row r="3781" spans="1:4" x14ac:dyDescent="0.45">
      <c r="A3781">
        <f>ROW()</f>
        <v>3781</v>
      </c>
      <c r="B3781" t="str">
        <f>Profile!A4544</f>
        <v xml:space="preserve">      @odata.id</v>
      </c>
      <c r="C3781">
        <f>Profile!AP4546</f>
        <v>0</v>
      </c>
      <c r="D3781" t="str">
        <f>IF(Profile!C4544="Profile",IF(Profile!A4546="ResourceRequirement","OK","XXX"),"XXX")</f>
        <v>XXX</v>
      </c>
    </row>
    <row r="3782" spans="1:4" x14ac:dyDescent="0.45">
      <c r="A3782">
        <f>ROW()</f>
        <v>3782</v>
      </c>
      <c r="B3782" t="str">
        <f>Profile!A4545</f>
        <v>ClusterNetworks</v>
      </c>
      <c r="C3782">
        <f>Profile!AP4547</f>
        <v>0</v>
      </c>
      <c r="D3782" t="str">
        <f>IF(Profile!C4545="Profile",IF(Profile!A4547="ResourceRequirement","OK","XXX"),"XXX")</f>
        <v>XXX</v>
      </c>
    </row>
    <row r="3783" spans="1:4" x14ac:dyDescent="0.45">
      <c r="A3783">
        <f>ROW()</f>
        <v>3783</v>
      </c>
      <c r="B3783" t="str">
        <f>Profile!A4546</f>
        <v xml:space="preserve">      @odata.id</v>
      </c>
      <c r="C3783">
        <f>Profile!AP4548</f>
        <v>0</v>
      </c>
      <c r="D3783" t="str">
        <f>IF(Profile!C4546="Profile",IF(Profile!A4548="ResourceRequirement","OK","XXX"),"XXX")</f>
        <v>XXX</v>
      </c>
    </row>
    <row r="3784" spans="1:4" x14ac:dyDescent="0.45">
      <c r="A3784">
        <f>ROW()</f>
        <v>3784</v>
      </c>
      <c r="B3784" t="str">
        <f>Profile!A4547</f>
        <v>ClusterImages</v>
      </c>
      <c r="C3784">
        <f>Profile!AP4549</f>
        <v>0</v>
      </c>
      <c r="D3784" t="str">
        <f>IF(Profile!C4547="Profile",IF(Profile!A4549="ResourceRequirement","OK","XXX"),"XXX")</f>
        <v>XXX</v>
      </c>
    </row>
    <row r="3785" spans="1:4" x14ac:dyDescent="0.45">
      <c r="A3785">
        <f>ROW()</f>
        <v>3785</v>
      </c>
      <c r="B3785" t="str">
        <f>Profile!A4548</f>
        <v xml:space="preserve">      @odata.id</v>
      </c>
      <c r="C3785">
        <f>Profile!AP4550</f>
        <v>0</v>
      </c>
      <c r="D3785" t="str">
        <f>IF(Profile!C4548="Profile",IF(Profile!A4550="ResourceRequirement","OK","XXX"),"XXX")</f>
        <v>XXX</v>
      </c>
    </row>
    <row r="3786" spans="1:4" x14ac:dyDescent="0.45">
      <c r="A3786">
        <f>ROW()</f>
        <v>3786</v>
      </c>
      <c r="B3786" t="str">
        <f>Profile!A4549</f>
        <v>ClusterFlavors</v>
      </c>
      <c r="C3786">
        <f>Profile!AP4551</f>
        <v>0</v>
      </c>
      <c r="D3786" t="str">
        <f>IF(Profile!C4549="Profile",IF(Profile!A4551="ResourceRequirement","OK","XXX"),"XXX")</f>
        <v>XXX</v>
      </c>
    </row>
    <row r="3787" spans="1:4" x14ac:dyDescent="0.45">
      <c r="A3787">
        <f>ROW()</f>
        <v>3787</v>
      </c>
      <c r="B3787" t="str">
        <f>Profile!A4550</f>
        <v xml:space="preserve">      @odata.id</v>
      </c>
      <c r="C3787">
        <f>Profile!AP4552</f>
        <v>0</v>
      </c>
      <c r="D3787" t="str">
        <f>IF(Profile!C4550="Profile",IF(Profile!A4552="ResourceRequirement","OK","XXX"),"XXX")</f>
        <v>XXX</v>
      </c>
    </row>
    <row r="3788" spans="1:4" x14ac:dyDescent="0.45">
      <c r="A3788">
        <f>ROW()</f>
        <v>3788</v>
      </c>
      <c r="B3788" t="str">
        <f>Profile!A4551</f>
        <v>ClusterVolumes</v>
      </c>
      <c r="C3788">
        <f>Profile!AP4553</f>
        <v>0</v>
      </c>
      <c r="D3788" t="str">
        <f>IF(Profile!C4551="Profile",IF(Profile!A4553="ResourceRequirement","OK","XXX"),"XXX")</f>
        <v>XXX</v>
      </c>
    </row>
    <row r="3789" spans="1:4" x14ac:dyDescent="0.45">
      <c r="A3789">
        <f>ROW()</f>
        <v>3789</v>
      </c>
      <c r="B3789" t="str">
        <f>Profile!A4552</f>
        <v xml:space="preserve">      @odata.id</v>
      </c>
      <c r="C3789">
        <f>Profile!AP4554</f>
        <v>0</v>
      </c>
      <c r="D3789" t="str">
        <f>IF(Profile!C4552="Profile",IF(Profile!A4554="ResourceRequirement","OK","XXX"),"XXX")</f>
        <v>XXX</v>
      </c>
    </row>
    <row r="3790" spans="1:4" x14ac:dyDescent="0.45">
      <c r="A3790">
        <f>ROW()</f>
        <v>3790</v>
      </c>
      <c r="B3790" t="str">
        <f>Profile!A4553</f>
        <v>VirtClusterService URIs:</v>
      </c>
      <c r="C3790">
        <f>Profile!AP4555</f>
        <v>0</v>
      </c>
      <c r="D3790" t="str">
        <f>IF(Profile!C4553="Profile",IF(Profile!A4555="ResourceRequirement","OK","XXX"),"XXX")</f>
        <v>XXX</v>
      </c>
    </row>
    <row r="3791" spans="1:4" x14ac:dyDescent="0.45">
      <c r="A3791">
        <f>ROW()</f>
        <v>3791</v>
      </c>
      <c r="B3791" t="str">
        <f>Profile!A4554</f>
        <v>/redfish/v1/VirtClusterService</v>
      </c>
      <c r="C3791">
        <f>Profile!AP4556</f>
        <v>0</v>
      </c>
      <c r="D3791" t="str">
        <f>IF(Profile!C4554="Profile",IF(Profile!A4556="ResourceRequirement","OK","XXX"),"XXX")</f>
        <v>XXX</v>
      </c>
    </row>
    <row r="3792" spans="1:4" x14ac:dyDescent="0.45">
      <c r="A3792">
        <f>ROW()</f>
        <v>3792</v>
      </c>
      <c r="B3792">
        <f>Profile!A4555</f>
        <v>0</v>
      </c>
      <c r="C3792">
        <f>Profile!AP4557</f>
        <v>0</v>
      </c>
      <c r="D3792" t="str">
        <f>IF(Profile!C4555="Profile",IF(Profile!A4557="ResourceRequirement","OK","XXX"),"XXX")</f>
        <v>XXX</v>
      </c>
    </row>
    <row r="3793" spans="1:4" x14ac:dyDescent="0.45">
      <c r="A3793">
        <f>ROW()</f>
        <v>3793</v>
      </c>
      <c r="B3793" t="str">
        <f>Profile!A4556</f>
        <v>1.1.9.8 ClusterNode</v>
      </c>
      <c r="C3793">
        <f>Profile!AP4558</f>
        <v>0</v>
      </c>
      <c r="D3793" t="str">
        <f>IF(Profile!C4556="Profile",IF(Profile!A4558="ResourceRequirement","OK","XXX"),"XXX")</f>
        <v>XXX</v>
      </c>
    </row>
    <row r="3794" spans="1:4" x14ac:dyDescent="0.45">
      <c r="A3794">
        <f>ROW()</f>
        <v>3794</v>
      </c>
      <c r="B3794" t="str">
        <f>Profile!A4557</f>
        <v>The ClusterNode schema represents a single node in a cluster</v>
      </c>
      <c r="C3794">
        <f>Profile!AP4559</f>
        <v>0</v>
      </c>
      <c r="D3794" t="str">
        <f>IF(Profile!C4557="Profile",IF(Profile!A4559="ResourceRequirement","OK","XXX"),"XXX")</f>
        <v>XXX</v>
      </c>
    </row>
    <row r="3795" spans="1:4" x14ac:dyDescent="0.45">
      <c r="A3795">
        <f>ROW()</f>
        <v>3795</v>
      </c>
      <c r="B3795" t="str">
        <f>Profile!A4558</f>
        <v>ClusterNode (1.0.0)</v>
      </c>
      <c r="C3795">
        <f>Profile!AP4560</f>
        <v>0</v>
      </c>
      <c r="D3795" t="str">
        <f>IF(Profile!C4558="Profile",IF(Profile!A4560="ResourceRequirement","OK","XXX"),"XXX")</f>
        <v>OK</v>
      </c>
    </row>
    <row r="3796" spans="1:4" x14ac:dyDescent="0.45">
      <c r="A3796">
        <f>ROW()</f>
        <v>3796</v>
      </c>
      <c r="B3796">
        <f>Profile!A4559</f>
        <v>0</v>
      </c>
      <c r="C3796">
        <f>Profile!AP4561</f>
        <v>0</v>
      </c>
      <c r="D3796" t="str">
        <f>IF(Profile!C4559="Profile",IF(Profile!A4561="ResourceRequirement","OK","XXX"),"XXX")</f>
        <v>XXX</v>
      </c>
    </row>
    <row r="3797" spans="1:4" x14ac:dyDescent="0.45">
      <c r="A3797">
        <f>ROW()</f>
        <v>3797</v>
      </c>
      <c r="B3797" t="str">
        <f>Profile!A4560</f>
        <v>ResourceRequirement</v>
      </c>
      <c r="C3797">
        <f>Profile!AP4562</f>
        <v>0</v>
      </c>
      <c r="D3797" t="str">
        <f>IF(Profile!C4560="Profile",IF(Profile!A4562="ResourceRequirement","OK","XXX"),"XXX")</f>
        <v>XXX</v>
      </c>
    </row>
    <row r="3798" spans="1:4" x14ac:dyDescent="0.45">
      <c r="A3798">
        <f>ROW()</f>
        <v>3798</v>
      </c>
      <c r="B3798" t="str">
        <f>Profile!A4561</f>
        <v>Resource MinVersion</v>
      </c>
      <c r="C3798">
        <f>Profile!AP4563</f>
        <v>0</v>
      </c>
      <c r="D3798" t="str">
        <f>IF(Profile!C4561="Profile",IF(Profile!A4563="ResourceRequirement","OK","XXX"),"XXX")</f>
        <v>XXX</v>
      </c>
    </row>
    <row r="3799" spans="1:4" x14ac:dyDescent="0.45">
      <c r="A3799">
        <f>ROW()</f>
        <v>3799</v>
      </c>
      <c r="B3799" t="str">
        <f>Profile!A4562</f>
        <v>Property</v>
      </c>
      <c r="C3799">
        <f>Profile!AP4564</f>
        <v>0</v>
      </c>
      <c r="D3799" t="str">
        <f>IF(Profile!C4562="Profile",IF(Profile!A4564="ResourceRequirement","OK","XXX"),"XXX")</f>
        <v>XXX</v>
      </c>
    </row>
    <row r="3800" spans="1:4" x14ac:dyDescent="0.45">
      <c r="A3800">
        <f>ROW()</f>
        <v>3800</v>
      </c>
      <c r="B3800" t="str">
        <f>Profile!A4563</f>
        <v>Actions</v>
      </c>
      <c r="C3800">
        <f>Profile!AP4565</f>
        <v>0</v>
      </c>
      <c r="D3800" t="str">
        <f>IF(Profile!C4563="Profile",IF(Profile!A4565="ResourceRequirement","OK","XXX"),"XXX")</f>
        <v>XXX</v>
      </c>
    </row>
    <row r="3801" spans="1:4" x14ac:dyDescent="0.45">
      <c r="A3801">
        <f>ROW()</f>
        <v>3801</v>
      </c>
      <c r="B3801" t="str">
        <f>Profile!A4564</f>
        <v>NodeName</v>
      </c>
      <c r="C3801">
        <f>Profile!AP4566</f>
        <v>0</v>
      </c>
      <c r="D3801" t="str">
        <f>IF(Profile!C4564="Profile",IF(Profile!A4566="ResourceRequirement","OK","XXX"),"XXX")</f>
        <v>XXX</v>
      </c>
    </row>
    <row r="3802" spans="1:4" x14ac:dyDescent="0.45">
      <c r="A3802">
        <f>ROW()</f>
        <v>3802</v>
      </c>
      <c r="B3802" t="str">
        <f>Profile!A4565</f>
        <v>NodeRole</v>
      </c>
      <c r="C3802">
        <f>Profile!AP4567</f>
        <v>0</v>
      </c>
      <c r="D3802" t="str">
        <f>IF(Profile!C4565="Profile",IF(Profile!A4567="ResourceRequirement","OK","XXX"),"XXX")</f>
        <v>XXX</v>
      </c>
    </row>
    <row r="3803" spans="1:4" x14ac:dyDescent="0.45">
      <c r="A3803">
        <f>ROW()</f>
        <v>3803</v>
      </c>
      <c r="B3803" t="str">
        <f>Profile!A4566</f>
        <v>NodeManagement</v>
      </c>
      <c r="C3803">
        <f>Profile!AP4568</f>
        <v>0</v>
      </c>
      <c r="D3803" t="str">
        <f>IF(Profile!C4566="Profile",IF(Profile!A4568="ResourceRequirement","OK","XXX"),"XXX")</f>
        <v>XXX</v>
      </c>
    </row>
    <row r="3804" spans="1:4" x14ac:dyDescent="0.45">
      <c r="A3804">
        <f>ROW()</f>
        <v>3804</v>
      </c>
      <c r="B3804" t="str">
        <f>Profile!A4567</f>
        <v xml:space="preserve">   NodeManagementType</v>
      </c>
      <c r="C3804">
        <f>Profile!AP4569</f>
        <v>0</v>
      </c>
      <c r="D3804" t="str">
        <f>IF(Profile!C4567="Profile",IF(Profile!A4569="ResourceRequirement","OK","XXX"),"XXX")</f>
        <v>XXX</v>
      </c>
    </row>
    <row r="3805" spans="1:4" x14ac:dyDescent="0.45">
      <c r="A3805">
        <f>ROW()</f>
        <v>3805</v>
      </c>
      <c r="B3805" t="str">
        <f>Profile!A4568</f>
        <v xml:space="preserve">   NodeManagementReachability</v>
      </c>
      <c r="C3805">
        <f>Profile!AP4570</f>
        <v>0</v>
      </c>
      <c r="D3805" t="str">
        <f>IF(Profile!C4568="Profile",IF(Profile!A4570="ResourceRequirement","OK","XXX"),"XXX")</f>
        <v>XXX</v>
      </c>
    </row>
    <row r="3806" spans="1:4" x14ac:dyDescent="0.45">
      <c r="A3806">
        <f>ROW()</f>
        <v>3806</v>
      </c>
      <c r="B3806" t="str">
        <f>Profile!A4569</f>
        <v xml:space="preserve">   NodeManagementIP</v>
      </c>
      <c r="C3806">
        <f>Profile!AP4571</f>
        <v>0</v>
      </c>
      <c r="D3806" t="str">
        <f>IF(Profile!C4569="Profile",IF(Profile!A4571="ResourceRequirement","OK","XXX"),"XXX")</f>
        <v>XXX</v>
      </c>
    </row>
    <row r="3807" spans="1:4" x14ac:dyDescent="0.45">
      <c r="A3807">
        <f>ROW()</f>
        <v>3807</v>
      </c>
      <c r="B3807" t="str">
        <f>Profile!A4570</f>
        <v xml:space="preserve">   NodeManagementPort</v>
      </c>
      <c r="C3807">
        <f>Profile!AP4572</f>
        <v>0</v>
      </c>
      <c r="D3807" t="str">
        <f>IF(Profile!C4570="Profile",IF(Profile!A4572="ResourceRequirement","OK","XXX"),"XXX")</f>
        <v>XXX</v>
      </c>
    </row>
    <row r="3808" spans="1:4" x14ac:dyDescent="0.45">
      <c r="A3808">
        <f>ROW()</f>
        <v>3808</v>
      </c>
      <c r="B3808" t="str">
        <f>Profile!A4571</f>
        <v>ClusterNode URIs:</v>
      </c>
      <c r="C3808">
        <f>Profile!AP4573</f>
        <v>0</v>
      </c>
      <c r="D3808" t="str">
        <f>IF(Profile!C4571="Profile",IF(Profile!A4573="ResourceRequirement","OK","XXX"),"XXX")</f>
        <v>XXX</v>
      </c>
    </row>
    <row r="3809" spans="1:4" x14ac:dyDescent="0.45">
      <c r="A3809">
        <f>ROW()</f>
        <v>3809</v>
      </c>
      <c r="B3809" t="str">
        <f>Profile!A4572</f>
        <v>/redfish/v1/ClusterNode</v>
      </c>
      <c r="C3809">
        <f>Profile!AP4574</f>
        <v>0</v>
      </c>
      <c r="D3809" t="str">
        <f>IF(Profile!C4572="Profile",IF(Profile!A4574="ResourceRequirement","OK","XXX"),"XXX")</f>
        <v>XXX</v>
      </c>
    </row>
    <row r="3810" spans="1:4" x14ac:dyDescent="0.45">
      <c r="A3810">
        <f>ROW()</f>
        <v>3810</v>
      </c>
      <c r="B3810">
        <f>Profile!A4573</f>
        <v>0</v>
      </c>
      <c r="C3810">
        <f>Profile!AP4575</f>
        <v>0</v>
      </c>
      <c r="D3810" t="str">
        <f>IF(Profile!C4573="Profile",IF(Profile!A4575="ResourceRequirement","OK","XXX"),"XXX")</f>
        <v>XXX</v>
      </c>
    </row>
    <row r="3811" spans="1:4" x14ac:dyDescent="0.45">
      <c r="A3811">
        <f>ROW()</f>
        <v>3811</v>
      </c>
      <c r="B3811" t="str">
        <f>Profile!A4574</f>
        <v>1.1.9.1 ClusterHostMetrics</v>
      </c>
      <c r="C3811">
        <f>Profile!AP4576</f>
        <v>0</v>
      </c>
      <c r="D3811" t="str">
        <f>IF(Profile!C4574="Profile",IF(Profile!A4576="ResourceRequirement","OK","XXX"),"XXX")</f>
        <v>XXX</v>
      </c>
    </row>
    <row r="3812" spans="1:4" x14ac:dyDescent="0.45">
      <c r="A3812">
        <f>ROW()</f>
        <v>3812</v>
      </c>
      <c r="B3812" t="str">
        <f>Profile!A4575</f>
        <v>Resource defining in-band cluster metrics.</v>
      </c>
      <c r="C3812">
        <f>Profile!AP4577</f>
        <v>0</v>
      </c>
      <c r="D3812" t="str">
        <f>IF(Profile!C4575="Profile",IF(Profile!A4577="ResourceRequirement","OK","XXX"),"XXX")</f>
        <v>XXX</v>
      </c>
    </row>
    <row r="3813" spans="1:4" x14ac:dyDescent="0.45">
      <c r="A3813">
        <f>ROW()</f>
        <v>3813</v>
      </c>
      <c r="B3813" t="str">
        <f>Profile!A4576</f>
        <v>ClusterHostMetrics (1.0.0)</v>
      </c>
      <c r="C3813">
        <f>Profile!AP4578</f>
        <v>0</v>
      </c>
      <c r="D3813" t="str">
        <f>IF(Profile!C4576="Profile",IF(Profile!A4578="ResourceRequirement","OK","XXX"),"XXX")</f>
        <v>OK</v>
      </c>
    </row>
    <row r="3814" spans="1:4" x14ac:dyDescent="0.45">
      <c r="A3814">
        <f>ROW()</f>
        <v>3814</v>
      </c>
      <c r="B3814">
        <f>Profile!A4577</f>
        <v>0</v>
      </c>
      <c r="C3814">
        <f>Profile!AP4579</f>
        <v>0</v>
      </c>
      <c r="D3814" t="str">
        <f>IF(Profile!C4577="Profile",IF(Profile!A4579="ResourceRequirement","OK","XXX"),"XXX")</f>
        <v>XXX</v>
      </c>
    </row>
    <row r="3815" spans="1:4" x14ac:dyDescent="0.45">
      <c r="A3815">
        <f>ROW()</f>
        <v>3815</v>
      </c>
      <c r="B3815" t="str">
        <f>Profile!A4578</f>
        <v>ResourceRequirement</v>
      </c>
      <c r="C3815">
        <f>Profile!AP4580</f>
        <v>0</v>
      </c>
      <c r="D3815" t="str">
        <f>IF(Profile!C4578="Profile",IF(Profile!A4580="ResourceRequirement","OK","XXX"),"XXX")</f>
        <v>XXX</v>
      </c>
    </row>
    <row r="3816" spans="1:4" x14ac:dyDescent="0.45">
      <c r="A3816">
        <f>ROW()</f>
        <v>3816</v>
      </c>
      <c r="B3816" t="str">
        <f>Profile!A4579</f>
        <v>Resource MinVersion</v>
      </c>
      <c r="C3816">
        <f>Profile!AP4581</f>
        <v>0</v>
      </c>
      <c r="D3816" t="str">
        <f>IF(Profile!C4579="Profile",IF(Profile!A4581="ResourceRequirement","OK","XXX"),"XXX")</f>
        <v>XXX</v>
      </c>
    </row>
    <row r="3817" spans="1:4" x14ac:dyDescent="0.45">
      <c r="A3817">
        <f>ROW()</f>
        <v>3817</v>
      </c>
      <c r="B3817" t="str">
        <f>Profile!A4580</f>
        <v>Property</v>
      </c>
      <c r="C3817">
        <f>Profile!AP4582</f>
        <v>0</v>
      </c>
      <c r="D3817" t="str">
        <f>IF(Profile!C4580="Profile",IF(Profile!A4582="ResourceRequirement","OK","XXX"),"XXX")</f>
        <v>XXX</v>
      </c>
    </row>
    <row r="3818" spans="1:4" x14ac:dyDescent="0.45">
      <c r="A3818">
        <f>ROW()</f>
        <v>3818</v>
      </c>
      <c r="B3818" t="str">
        <f>Profile!A4581</f>
        <v>Actions</v>
      </c>
      <c r="C3818">
        <f>Profile!AP4583</f>
        <v>0</v>
      </c>
      <c r="D3818" t="str">
        <f>IF(Profile!C4581="Profile",IF(Profile!A4583="ResourceRequirement","OK","XXX"),"XXX")</f>
        <v>XXX</v>
      </c>
    </row>
    <row r="3819" spans="1:4" x14ac:dyDescent="0.45">
      <c r="A3819">
        <f>ROW()</f>
        <v>3819</v>
      </c>
      <c r="B3819" t="str">
        <f>Profile!A4582</f>
        <v>Enabled</v>
      </c>
      <c r="C3819">
        <f>Profile!AP4584</f>
        <v>0</v>
      </c>
      <c r="D3819" t="str">
        <f>IF(Profile!C4582="Profile",IF(Profile!A4584="ResourceRequirement","OK","XXX"),"XXX")</f>
        <v>XXX</v>
      </c>
    </row>
    <row r="3820" spans="1:4" x14ac:dyDescent="0.45">
      <c r="A3820">
        <f>ROW()</f>
        <v>3820</v>
      </c>
      <c r="B3820" t="str">
        <f>Profile!A4583</f>
        <v>MemoryPoolMetrics</v>
      </c>
      <c r="C3820">
        <f>Profile!AP4585</f>
        <v>0</v>
      </c>
      <c r="D3820" t="str">
        <f>IF(Profile!C4583="Profile",IF(Profile!A4585="ResourceRequirement","OK","XXX"),"XXX")</f>
        <v>XXX</v>
      </c>
    </row>
    <row r="3821" spans="1:4" x14ac:dyDescent="0.45">
      <c r="A3821">
        <f>ROW()</f>
        <v>3821</v>
      </c>
      <c r="B3821" t="str">
        <f>Profile!A4584</f>
        <v xml:space="preserve">   TotalMemory</v>
      </c>
      <c r="C3821">
        <f>Profile!AP4586</f>
        <v>0</v>
      </c>
      <c r="D3821" t="str">
        <f>IF(Profile!C4584="Profile",IF(Profile!A4586="ResourceRequirement","OK","XXX"),"XXX")</f>
        <v>XXX</v>
      </c>
    </row>
    <row r="3822" spans="1:4" x14ac:dyDescent="0.45">
      <c r="A3822">
        <f>ROW()</f>
        <v>3822</v>
      </c>
      <c r="B3822" t="str">
        <f>Profile!A4585</f>
        <v xml:space="preserve">   MemFree</v>
      </c>
      <c r="C3822">
        <f>Profile!AP4587</f>
        <v>0</v>
      </c>
      <c r="D3822" t="str">
        <f>IF(Profile!C4585="Profile",IF(Profile!A4587="ResourceRequirement","OK","XXX"),"XXX")</f>
        <v>XXX</v>
      </c>
    </row>
    <row r="3823" spans="1:4" x14ac:dyDescent="0.45">
      <c r="A3823">
        <f>ROW()</f>
        <v>3823</v>
      </c>
      <c r="B3823" t="str">
        <f>Profile!A4586</f>
        <v xml:space="preserve">   OversubscriptionRatio</v>
      </c>
      <c r="C3823">
        <f>Profile!AP4588</f>
        <v>0</v>
      </c>
      <c r="D3823" t="str">
        <f>IF(Profile!C4586="Profile",IF(Profile!A4588="ResourceRequirement","OK","XXX"),"XXX")</f>
        <v>XXX</v>
      </c>
    </row>
    <row r="3824" spans="1:4" x14ac:dyDescent="0.45">
      <c r="A3824">
        <f>ROW()</f>
        <v>3824</v>
      </c>
      <c r="B3824" t="str">
        <f>Profile!A4587</f>
        <v>ProcessorPoolMetrics</v>
      </c>
      <c r="C3824">
        <f>Profile!AP4589</f>
        <v>0</v>
      </c>
      <c r="D3824" t="str">
        <f>IF(Profile!C4587="Profile",IF(Profile!A4589="ResourceRequirement","OK","XXX"),"XXX")</f>
        <v>XXX</v>
      </c>
    </row>
    <row r="3825" spans="1:4" x14ac:dyDescent="0.45">
      <c r="A3825">
        <f>ROW()</f>
        <v>3825</v>
      </c>
      <c r="B3825" t="str">
        <f>Profile!A4588</f>
        <v xml:space="preserve">   LogicalProcessorCount</v>
      </c>
      <c r="C3825">
        <f>Profile!AP4590</f>
        <v>0</v>
      </c>
      <c r="D3825" t="str">
        <f>IF(Profile!C4588="Profile",IF(Profile!A4590="ResourceRequirement","OK","XXX"),"XXX")</f>
        <v>XXX</v>
      </c>
    </row>
    <row r="3826" spans="1:4" x14ac:dyDescent="0.45">
      <c r="A3826">
        <f>ROW()</f>
        <v>3826</v>
      </c>
      <c r="B3826" t="str">
        <f>Profile!A4589</f>
        <v xml:space="preserve">   Allocated Cores</v>
      </c>
      <c r="C3826">
        <f>Profile!AP4591</f>
        <v>0</v>
      </c>
      <c r="D3826" t="str">
        <f>IF(Profile!C4589="Profile",IF(Profile!A4591="ResourceRequirement","OK","XXX"),"XXX")</f>
        <v>XXX</v>
      </c>
    </row>
    <row r="3827" spans="1:4" x14ac:dyDescent="0.45">
      <c r="A3827">
        <f>ROW()</f>
        <v>3827</v>
      </c>
      <c r="B3827" t="str">
        <f>Profile!A4590</f>
        <v xml:space="preserve">   SharedCores</v>
      </c>
      <c r="C3827">
        <f>Profile!AP4592</f>
        <v>0</v>
      </c>
      <c r="D3827" t="str">
        <f>IF(Profile!C4590="Profile",IF(Profile!A4592="ResourceRequirement","OK","XXX"),"XXX")</f>
        <v>XXX</v>
      </c>
    </row>
    <row r="3828" spans="1:4" x14ac:dyDescent="0.45">
      <c r="A3828">
        <f>ROW()</f>
        <v>3828</v>
      </c>
      <c r="B3828" t="str">
        <f>Profile!A4591</f>
        <v xml:space="preserve">   OversubscriptionRatio</v>
      </c>
      <c r="C3828">
        <f>Profile!AP4593</f>
        <v>0</v>
      </c>
      <c r="D3828" t="str">
        <f>IF(Profile!C4591="Profile",IF(Profile!A4593="ResourceRequirement","OK","XXX"),"XXX")</f>
        <v>XXX</v>
      </c>
    </row>
    <row r="3829" spans="1:4" x14ac:dyDescent="0.45">
      <c r="A3829">
        <f>ROW()</f>
        <v>3829</v>
      </c>
      <c r="B3829" t="str">
        <f>Profile!A4592</f>
        <v xml:space="preserve">   CoresUsed</v>
      </c>
      <c r="C3829">
        <f>Profile!AP4594</f>
        <v>0</v>
      </c>
      <c r="D3829" t="str">
        <f>IF(Profile!C4592="Profile",IF(Profile!A4594="ResourceRequirement","OK","XXX"),"XXX")</f>
        <v>XXX</v>
      </c>
    </row>
    <row r="3830" spans="1:4" x14ac:dyDescent="0.45">
      <c r="A3830">
        <f>ROW()</f>
        <v>3830</v>
      </c>
      <c r="B3830" t="str">
        <f>Profile!A4593</f>
        <v>VolumePoolMetrics</v>
      </c>
      <c r="C3830">
        <f>Profile!AP4595</f>
        <v>0</v>
      </c>
      <c r="D3830" t="str">
        <f>IF(Profile!C4593="Profile",IF(Profile!A4595="ResourceRequirement","OK","XXX"),"XXX")</f>
        <v>XXX</v>
      </c>
    </row>
    <row r="3831" spans="1:4" x14ac:dyDescent="0.45">
      <c r="A3831">
        <f>ROW()</f>
        <v>3831</v>
      </c>
      <c r="B3831" t="str">
        <f>Profile!A4594</f>
        <v xml:space="preserve">   CapacityBytes</v>
      </c>
      <c r="C3831">
        <f>Profile!AP4596</f>
        <v>0</v>
      </c>
      <c r="D3831" t="str">
        <f>IF(Profile!C4594="Profile",IF(Profile!A4596="ResourceRequirement","OK","XXX"),"XXX")</f>
        <v>XXX</v>
      </c>
    </row>
    <row r="3832" spans="1:4" x14ac:dyDescent="0.45">
      <c r="A3832">
        <f>ROW()</f>
        <v>3832</v>
      </c>
      <c r="B3832" t="str">
        <f>Profile!A4595</f>
        <v xml:space="preserve">   DiskFreeBytes</v>
      </c>
      <c r="C3832">
        <f>Profile!AP4597</f>
        <v>0</v>
      </c>
      <c r="D3832" t="str">
        <f>IF(Profile!C4595="Profile",IF(Profile!A4597="ResourceRequirement","OK","XXX"),"XXX")</f>
        <v>XXX</v>
      </c>
    </row>
    <row r="3833" spans="1:4" x14ac:dyDescent="0.45">
      <c r="A3833">
        <f>ROW()</f>
        <v>3833</v>
      </c>
      <c r="B3833" t="str">
        <f>Profile!A4596</f>
        <v xml:space="preserve">   NumberOfVolumes</v>
      </c>
      <c r="C3833">
        <f>Profile!AP4598</f>
        <v>0</v>
      </c>
      <c r="D3833" t="str">
        <f>IF(Profile!C4596="Profile",IF(Profile!A4598="ResourceRequirement","OK","XXX"),"XXX")</f>
        <v>XXX</v>
      </c>
    </row>
    <row r="3834" spans="1:4" x14ac:dyDescent="0.45">
      <c r="A3834">
        <f>ROW()</f>
        <v>3834</v>
      </c>
      <c r="B3834" t="str">
        <f>Profile!A4597</f>
        <v>ImagePoolMetrics</v>
      </c>
      <c r="C3834">
        <f>Profile!AP4599</f>
        <v>0</v>
      </c>
      <c r="D3834" t="str">
        <f>IF(Profile!C4597="Profile",IF(Profile!A4599="ResourceRequirement","OK","XXX"),"XXX")</f>
        <v>XXX</v>
      </c>
    </row>
    <row r="3835" spans="1:4" x14ac:dyDescent="0.45">
      <c r="A3835">
        <f>ROW()</f>
        <v>3835</v>
      </c>
      <c r="B3835" t="str">
        <f>Profile!A4598</f>
        <v xml:space="preserve">   CapacityBytes</v>
      </c>
      <c r="C3835">
        <f>Profile!AP4600</f>
        <v>0</v>
      </c>
      <c r="D3835" t="str">
        <f>IF(Profile!C4598="Profile",IF(Profile!A4600="ResourceRequirement","OK","XXX"),"XXX")</f>
        <v>XXX</v>
      </c>
    </row>
    <row r="3836" spans="1:4" x14ac:dyDescent="0.45">
      <c r="A3836">
        <f>ROW()</f>
        <v>3836</v>
      </c>
      <c r="B3836" t="str">
        <f>Profile!A4599</f>
        <v xml:space="preserve">   DiskFreeBytes</v>
      </c>
      <c r="C3836">
        <f>Profile!AP4601</f>
        <v>0</v>
      </c>
      <c r="D3836" t="str">
        <f>IF(Profile!C4599="Profile",IF(Profile!A4601="ResourceRequirement","OK","XXX"),"XXX")</f>
        <v>XXX</v>
      </c>
    </row>
    <row r="3837" spans="1:4" x14ac:dyDescent="0.45">
      <c r="A3837">
        <f>ROW()</f>
        <v>3837</v>
      </c>
      <c r="B3837" t="str">
        <f>Profile!A4600</f>
        <v xml:space="preserve">   NumberOfImages</v>
      </c>
      <c r="C3837">
        <f>Profile!AP4602</f>
        <v>0</v>
      </c>
      <c r="D3837" t="str">
        <f>IF(Profile!C4600="Profile",IF(Profile!A4602="ResourceRequirement","OK","XXX"),"XXX")</f>
        <v>XXX</v>
      </c>
    </row>
    <row r="3838" spans="1:4" x14ac:dyDescent="0.45">
      <c r="A3838">
        <f>ROW()</f>
        <v>3838</v>
      </c>
      <c r="B3838" t="str">
        <f>Profile!A4601</f>
        <v>ObjectPoolMetrics</v>
      </c>
      <c r="C3838">
        <f>Profile!AP4603</f>
        <v>0</v>
      </c>
      <c r="D3838" t="str">
        <f>IF(Profile!C4601="Profile",IF(Profile!A4603="ResourceRequirement","OK","XXX"),"XXX")</f>
        <v>XXX</v>
      </c>
    </row>
    <row r="3839" spans="1:4" x14ac:dyDescent="0.45">
      <c r="A3839">
        <f>ROW()</f>
        <v>3839</v>
      </c>
      <c r="B3839" t="str">
        <f>Profile!A4602</f>
        <v xml:space="preserve">   CapacityBytes</v>
      </c>
      <c r="C3839">
        <f>Profile!AP4604</f>
        <v>0</v>
      </c>
      <c r="D3839" t="str">
        <f>IF(Profile!C4602="Profile",IF(Profile!A4604="ResourceRequirement","OK","XXX"),"XXX")</f>
        <v>XXX</v>
      </c>
    </row>
    <row r="3840" spans="1:4" x14ac:dyDescent="0.45">
      <c r="A3840">
        <f>ROW()</f>
        <v>3840</v>
      </c>
      <c r="B3840" t="str">
        <f>Profile!A4603</f>
        <v xml:space="preserve">   DiskFreeBytes</v>
      </c>
      <c r="C3840">
        <f>Profile!AP4605</f>
        <v>0</v>
      </c>
      <c r="D3840" t="str">
        <f>IF(Profile!C4603="Profile",IF(Profile!A4605="ResourceRequirement","OK","XXX"),"XXX")</f>
        <v>XXX</v>
      </c>
    </row>
    <row r="3841" spans="1:4" x14ac:dyDescent="0.45">
      <c r="A3841">
        <f>ROW()</f>
        <v>3841</v>
      </c>
      <c r="B3841" t="str">
        <f>Profile!A4604</f>
        <v>ClusterHostMetrics URIs</v>
      </c>
      <c r="C3841">
        <f>Profile!AP4606</f>
        <v>0</v>
      </c>
      <c r="D3841" t="str">
        <f>IF(Profile!C4604="Profile",IF(Profile!A4606="ResourceRequirement","OK","XXX"),"XXX")</f>
        <v>XXX</v>
      </c>
    </row>
    <row r="3842" spans="1:4" x14ac:dyDescent="0.45">
      <c r="A3842">
        <f>ROW()</f>
        <v>3842</v>
      </c>
      <c r="B3842" t="str">
        <f>Profile!A4605</f>
        <v>/redfish/v1/Systems/{ComputerSystemId}/ClusterHosts/{ClusterHostId}/ClusterHostsMetrics</v>
      </c>
      <c r="C3842">
        <f>Profile!AP4607</f>
        <v>0</v>
      </c>
      <c r="D3842" t="str">
        <f>IF(Profile!C4605="Profile",IF(Profile!A4607="ResourceRequirement","OK","XXX"),"XXX")</f>
        <v>XXX</v>
      </c>
    </row>
    <row r="3843" spans="1:4" x14ac:dyDescent="0.45">
      <c r="A3843">
        <f>ROW()</f>
        <v>3843</v>
      </c>
      <c r="B3843">
        <f>Profile!A4606</f>
        <v>0</v>
      </c>
      <c r="C3843">
        <f>Profile!AP4608</f>
        <v>0</v>
      </c>
      <c r="D3843" t="str">
        <f>IF(Profile!C4606="Profile",IF(Profile!A4608="ResourceRequirement","OK","XXX"),"XXX")</f>
        <v>XXX</v>
      </c>
    </row>
    <row r="3844" spans="1:4" x14ac:dyDescent="0.45">
      <c r="A3844">
        <f>ROW()</f>
        <v>3844</v>
      </c>
      <c r="B3844">
        <f>Profile!A4607</f>
        <v>0</v>
      </c>
      <c r="C3844">
        <f>Profile!AP4609</f>
        <v>0</v>
      </c>
      <c r="D3844" t="str">
        <f>IF(Profile!C4607="Profile",IF(Profile!A4609="ResourceRequirement","OK","XXX"),"XXX")</f>
        <v>XXX</v>
      </c>
    </row>
    <row r="3845" spans="1:4" x14ac:dyDescent="0.45">
      <c r="A3845">
        <f>ROW()</f>
        <v>3845</v>
      </c>
      <c r="B3845" t="str">
        <f>Profile!A4608</f>
        <v>Conditional and Extra Requirements</v>
      </c>
      <c r="C3845">
        <f>Profile!AP4610</f>
        <v>0</v>
      </c>
      <c r="D3845" t="str">
        <f>IF(Profile!C4608="Profile",IF(Profile!A4610="ResourceRequirement","OK","XXX"),"XXX")</f>
        <v>XXX</v>
      </c>
    </row>
    <row r="3846" spans="1:4" x14ac:dyDescent="0.45">
      <c r="A3846">
        <f>ROW()</f>
        <v>3846</v>
      </c>
      <c r="B3846" t="str">
        <f>Profile!A4609</f>
        <v>Conditional Keyword</v>
      </c>
      <c r="C3846">
        <f>Profile!AP4612</f>
        <v>0</v>
      </c>
      <c r="D3846" t="str">
        <f>IF(Profile!C4609="Profile",IF(Profile!A4612="ResourceRequirement","OK","XXX"),"XXX")</f>
        <v>XXX</v>
      </c>
    </row>
    <row r="3847" spans="1:4" x14ac:dyDescent="0.45">
      <c r="A3847">
        <f>ROW()</f>
        <v>3847</v>
      </c>
      <c r="B3847" t="str">
        <f>Profile!A4610</f>
        <v>Conditional</v>
      </c>
      <c r="C3847">
        <f>Profile!AP4613</f>
        <v>0</v>
      </c>
      <c r="D3847" t="str">
        <f>IF(Profile!C4610="Profile",IF(Profile!A4613="ResourceRequirement","OK","XXX"),"XXX")</f>
        <v>XXX</v>
      </c>
    </row>
    <row r="3848" spans="1:4" x14ac:dyDescent="0.45">
      <c r="A3848">
        <f>ROW()</f>
        <v>3848</v>
      </c>
      <c r="B3848" t="str">
        <f>Profile!A4612</f>
        <v>Conditional</v>
      </c>
      <c r="C3848">
        <f>Profile!AP4614</f>
        <v>0</v>
      </c>
      <c r="D3848" t="str">
        <f>IF(Profile!C4612="Profile",IF(Profile!A4614="ResourceRequirement","OK","XXX"),"XXX")</f>
        <v>XXX</v>
      </c>
    </row>
    <row r="3849" spans="1:4" x14ac:dyDescent="0.45">
      <c r="A3849">
        <f>ROW()</f>
        <v>3849</v>
      </c>
      <c r="B3849" t="str">
        <f>Profile!A4613</f>
        <v>Conditional</v>
      </c>
      <c r="C3849">
        <f>Profile!AP4615</f>
        <v>0</v>
      </c>
      <c r="D3849" t="str">
        <f>IF(Profile!C4613="Profile",IF(Profile!A4615="ResourceRequirement","OK","XXX"),"XXX")</f>
        <v>XXX</v>
      </c>
    </row>
    <row r="3850" spans="1:4" x14ac:dyDescent="0.45">
      <c r="A3850">
        <f>ROW()</f>
        <v>3850</v>
      </c>
      <c r="B3850" t="str">
        <f>Profile!A4614</f>
        <v>Conditional</v>
      </c>
      <c r="C3850">
        <f>Profile!AP4616</f>
        <v>0</v>
      </c>
      <c r="D3850" t="str">
        <f>IF(Profile!C4614="Profile",IF(Profile!A4616="ResourceRequirement","OK","XXX"),"XXX")</f>
        <v>XXX</v>
      </c>
    </row>
    <row r="3851" spans="1:4" x14ac:dyDescent="0.45">
      <c r="A3851">
        <f>ROW()</f>
        <v>3851</v>
      </c>
      <c r="B3851" t="str">
        <f>Profile!A4615</f>
        <v>Conditional</v>
      </c>
      <c r="C3851">
        <f>Profile!AP4617</f>
        <v>0</v>
      </c>
      <c r="D3851" t="str">
        <f>IF(Profile!C4615="Profile",IF(Profile!A4617="ResourceRequirement","OK","XXX"),"XXX")</f>
        <v>XXX</v>
      </c>
    </row>
    <row r="3852" spans="1:4" x14ac:dyDescent="0.45">
      <c r="A3852">
        <f>ROW()</f>
        <v>3852</v>
      </c>
      <c r="B3852">
        <f>Profile!A4616</f>
        <v>0</v>
      </c>
      <c r="C3852">
        <f>Profile!AP4618</f>
        <v>0</v>
      </c>
      <c r="D3852" t="str">
        <f>IF(Profile!C4616="Profile",IF(Profile!A4618="ResourceRequirement","OK","XXX"),"XXX")</f>
        <v>XXX</v>
      </c>
    </row>
    <row r="3853" spans="1:4" x14ac:dyDescent="0.45">
      <c r="A3853">
        <f>ROW()</f>
        <v>3853</v>
      </c>
      <c r="B3853" t="str">
        <f>Profile!A4617</f>
        <v>Conditional Keyword</v>
      </c>
      <c r="C3853">
        <f>Profile!AP4620</f>
        <v>0</v>
      </c>
      <c r="D3853" t="str">
        <f>IF(Profile!C4617="Profile",IF(Profile!A4620="ResourceRequirement","OK","XXX"),"XXX")</f>
        <v>XXX</v>
      </c>
    </row>
    <row r="3854" spans="1:4" x14ac:dyDescent="0.45">
      <c r="A3854">
        <f>ROW()</f>
        <v>3854</v>
      </c>
      <c r="B3854" t="str">
        <f>Profile!A4618</f>
        <v>Conditional</v>
      </c>
      <c r="C3854">
        <f>Profile!AP4621</f>
        <v>0</v>
      </c>
      <c r="D3854" t="str">
        <f>IF(Profile!C4618="Profile",IF(Profile!A4621="ResourceRequirement","OK","XXX"),"XXX")</f>
        <v>XXX</v>
      </c>
    </row>
    <row r="3855" spans="1:4" x14ac:dyDescent="0.45">
      <c r="A3855">
        <f>ROW()</f>
        <v>3855</v>
      </c>
      <c r="B3855" t="str">
        <f>Profile!A4620</f>
        <v>Conditional</v>
      </c>
      <c r="C3855">
        <f>Profile!AP4622</f>
        <v>0</v>
      </c>
      <c r="D3855" t="str">
        <f>IF(Profile!C4620="Profile",IF(Profile!A4622="ResourceRequirement","OK","XXX"),"XXX")</f>
        <v>XXX</v>
      </c>
    </row>
    <row r="3856" spans="1:4" x14ac:dyDescent="0.45">
      <c r="A3856">
        <f>ROW()</f>
        <v>3856</v>
      </c>
      <c r="B3856" t="str">
        <f>Profile!A4621</f>
        <v>Conditional</v>
      </c>
      <c r="C3856">
        <f>Profile!AP4623</f>
        <v>0</v>
      </c>
      <c r="D3856" t="str">
        <f>IF(Profile!C4621="Profile",IF(Profile!A4623="ResourceRequirement","OK","XXX"),"XXX")</f>
        <v>XXX</v>
      </c>
    </row>
    <row r="3857" spans="1:4" x14ac:dyDescent="0.45">
      <c r="A3857">
        <f>ROW()</f>
        <v>3857</v>
      </c>
      <c r="B3857" t="str">
        <f>Profile!A4622</f>
        <v>Conditional</v>
      </c>
      <c r="C3857">
        <f>Profile!AP4624</f>
        <v>0</v>
      </c>
      <c r="D3857" t="str">
        <f>IF(Profile!C4622="Profile",IF(Profile!A4624="ResourceRequirement","OK","XXX"),"XXX")</f>
        <v>XXX</v>
      </c>
    </row>
    <row r="3858" spans="1:4" x14ac:dyDescent="0.45">
      <c r="A3858">
        <f>ROW()</f>
        <v>3858</v>
      </c>
      <c r="B3858" t="str">
        <f>Profile!A4623</f>
        <v>Conditional</v>
      </c>
      <c r="C3858">
        <f>Profile!AP4625</f>
        <v>0</v>
      </c>
      <c r="D3858" t="str">
        <f>IF(Profile!C4623="Profile",IF(Profile!A4625="ResourceRequirement","OK","XXX"),"XXX")</f>
        <v>XXX</v>
      </c>
    </row>
    <row r="3859" spans="1:4" x14ac:dyDescent="0.45">
      <c r="A3859">
        <f>ROW()</f>
        <v>3859</v>
      </c>
      <c r="B3859">
        <f>Profile!A4624</f>
        <v>0</v>
      </c>
      <c r="C3859">
        <f>Profile!AP4626</f>
        <v>0</v>
      </c>
      <c r="D3859" t="str">
        <f>IF(Profile!C4624="Profile",IF(Profile!A4626="ResourceRequirement","OK","XXX"),"XXX")</f>
        <v>XXX</v>
      </c>
    </row>
    <row r="3860" spans="1:4" x14ac:dyDescent="0.45">
      <c r="A3860">
        <f>ROW()</f>
        <v>3860</v>
      </c>
      <c r="B3860" t="str">
        <f>Profile!A4625</f>
        <v>Conditional Keyword</v>
      </c>
      <c r="C3860">
        <f>Profile!AP4627</f>
        <v>0</v>
      </c>
      <c r="D3860" t="str">
        <f>IF(Profile!C4625="Profile",IF(Profile!A4627="ResourceRequirement","OK","XXX"),"XXX")</f>
        <v>XXX</v>
      </c>
    </row>
    <row r="3861" spans="1:4" x14ac:dyDescent="0.45">
      <c r="A3861">
        <f>ROW()</f>
        <v>3861</v>
      </c>
      <c r="B3861" t="str">
        <f>Profile!A4626</f>
        <v>Conditional</v>
      </c>
      <c r="C3861">
        <f>Profile!AP4628</f>
        <v>0</v>
      </c>
      <c r="D3861" t="str">
        <f>IF(Profile!C4626="Profile",IF(Profile!A4628="ResourceRequirement","OK","XXX"),"XXX")</f>
        <v>XXX</v>
      </c>
    </row>
    <row r="3862" spans="1:4" x14ac:dyDescent="0.45">
      <c r="A3862">
        <f>ROW()</f>
        <v>3862</v>
      </c>
      <c r="B3862" t="str">
        <f>Profile!A4627</f>
        <v>Conditional</v>
      </c>
      <c r="C3862">
        <f>Profile!AP4629</f>
        <v>0</v>
      </c>
      <c r="D3862" t="str">
        <f>IF(Profile!C4627="Profile",IF(Profile!A4629="ResourceRequirement","OK","XXX"),"XXX")</f>
        <v>XXX</v>
      </c>
    </row>
    <row r="3863" spans="1:4" x14ac:dyDescent="0.45">
      <c r="A3863">
        <f>ROW()</f>
        <v>3863</v>
      </c>
      <c r="B3863" t="str">
        <f>Profile!A4628</f>
        <v>Conditional</v>
      </c>
      <c r="C3863">
        <f>Profile!AP4630</f>
        <v>0</v>
      </c>
      <c r="D3863" t="str">
        <f>IF(Profile!C4628="Profile",IF(Profile!A4630="ResourceRequirement","OK","XXX"),"XXX")</f>
        <v>XXX</v>
      </c>
    </row>
    <row r="3864" spans="1:4" x14ac:dyDescent="0.45">
      <c r="A3864">
        <f>ROW()</f>
        <v>3864</v>
      </c>
      <c r="B3864" t="str">
        <f>Profile!A4629</f>
        <v>Conditional</v>
      </c>
      <c r="C3864">
        <f>Profile!AP4631</f>
        <v>0</v>
      </c>
      <c r="D3864" t="str">
        <f>IF(Profile!C4629="Profile",IF(Profile!A4631="ResourceRequirement","OK","XXX"),"XXX")</f>
        <v>XXX</v>
      </c>
    </row>
    <row r="3865" spans="1:4" x14ac:dyDescent="0.45">
      <c r="A3865">
        <f>ROW()</f>
        <v>3865</v>
      </c>
      <c r="B3865" t="str">
        <f>Profile!A4630</f>
        <v>Conditional</v>
      </c>
      <c r="C3865">
        <f>Profile!AP4632</f>
        <v>0</v>
      </c>
      <c r="D3865" t="str">
        <f>IF(Profile!C4630="Profile",IF(Profile!A4632="ResourceRequirement","OK","XXX"),"XXX")</f>
        <v>XXX</v>
      </c>
    </row>
    <row r="3866" spans="1:4" x14ac:dyDescent="0.45">
      <c r="A3866">
        <f>ROW()</f>
        <v>3866</v>
      </c>
      <c r="B3866" t="str">
        <f>Profile!A4631</f>
        <v>Conditional</v>
      </c>
      <c r="C3866">
        <f>Profile!AP4633</f>
        <v>0</v>
      </c>
      <c r="D3866" t="str">
        <f>IF(Profile!C4631="Profile",IF(Profile!A4633="ResourceRequirement","OK","XXX"),"XXX")</f>
        <v>XXX</v>
      </c>
    </row>
    <row r="3867" spans="1:4" x14ac:dyDescent="0.45">
      <c r="A3867">
        <f>ROW()</f>
        <v>3867</v>
      </c>
      <c r="B3867">
        <f>Profile!A4632</f>
        <v>0</v>
      </c>
      <c r="C3867">
        <f>Profile!AP4634</f>
        <v>0</v>
      </c>
      <c r="D3867" t="str">
        <f>IF(Profile!C4632="Profile",IF(Profile!A4634="ResourceRequirement","OK","XXX"),"XXX")</f>
        <v>XXX</v>
      </c>
    </row>
    <row r="3868" spans="1:4" x14ac:dyDescent="0.45">
      <c r="A3868">
        <f>ROW()</f>
        <v>3868</v>
      </c>
      <c r="B3868" t="str">
        <f>Profile!A4633</f>
        <v>Conditional Keyword</v>
      </c>
      <c r="C3868">
        <f>Profile!AP4635</f>
        <v>0</v>
      </c>
      <c r="D3868" t="str">
        <f>IF(Profile!C4633="Profile",IF(Profile!A4635="ResourceRequirement","OK","XXX"),"XXX")</f>
        <v>XXX</v>
      </c>
    </row>
    <row r="3869" spans="1:4" x14ac:dyDescent="0.45">
      <c r="A3869">
        <f>ROW()</f>
        <v>3869</v>
      </c>
      <c r="B3869" t="str">
        <f>Profile!A4634</f>
        <v>Conditional</v>
      </c>
      <c r="C3869">
        <f>Profile!AP4636</f>
        <v>0</v>
      </c>
      <c r="D3869" t="str">
        <f>IF(Profile!C4634="Profile",IF(Profile!A4636="ResourceRequirement","OK","XXX"),"XXX")</f>
        <v>XXX</v>
      </c>
    </row>
    <row r="3870" spans="1:4" x14ac:dyDescent="0.45">
      <c r="A3870">
        <f>ROW()</f>
        <v>3870</v>
      </c>
      <c r="B3870" t="str">
        <f>Profile!A4635</f>
        <v>Conditional</v>
      </c>
      <c r="C3870">
        <f>Profile!AP4637</f>
        <v>0</v>
      </c>
      <c r="D3870" t="str">
        <f>IF(Profile!C4635="Profile",IF(Profile!A4637="ResourceRequirement","OK","XXX"),"XXX")</f>
        <v>XXX</v>
      </c>
    </row>
    <row r="3871" spans="1:4" x14ac:dyDescent="0.45">
      <c r="A3871">
        <f>ROW()</f>
        <v>3871</v>
      </c>
      <c r="B3871" t="str">
        <f>Profile!A4636</f>
        <v>Conditional</v>
      </c>
      <c r="C3871">
        <f>Profile!AP4638</f>
        <v>0</v>
      </c>
      <c r="D3871" t="str">
        <f>IF(Profile!C4636="Profile",IF(Profile!A4638="ResourceRequirement","OK","XXX"),"XXX")</f>
        <v>XXX</v>
      </c>
    </row>
    <row r="3872" spans="1:4" x14ac:dyDescent="0.45">
      <c r="A3872">
        <f>ROW()</f>
        <v>3872</v>
      </c>
      <c r="B3872" t="str">
        <f>Profile!A4637</f>
        <v>Conditional</v>
      </c>
      <c r="C3872">
        <f>Profile!AP4639</f>
        <v>0</v>
      </c>
      <c r="D3872" t="str">
        <f>IF(Profile!C4637="Profile",IF(Profile!A4639="ResourceRequirement","OK","XXX"),"XXX")</f>
        <v>XXX</v>
      </c>
    </row>
    <row r="3873" spans="1:4" x14ac:dyDescent="0.45">
      <c r="A3873">
        <f>ROW()</f>
        <v>3873</v>
      </c>
      <c r="B3873" t="str">
        <f>Profile!A4638</f>
        <v>Conditional</v>
      </c>
      <c r="C3873" t="e">
        <f>Profile!#REF!</f>
        <v>#REF!</v>
      </c>
      <c r="D3873" t="str">
        <f>IF(Profile!C4638="Profile",IF(Profile!#REF!="ResourceRequirement","OK","XXX"),"XXX")</f>
        <v>XXX</v>
      </c>
    </row>
    <row r="3874" spans="1:4" x14ac:dyDescent="0.45">
      <c r="A3874">
        <f>ROW()</f>
        <v>3874</v>
      </c>
      <c r="B3874" t="str">
        <f>Profile!A4639</f>
        <v>Conditional</v>
      </c>
      <c r="C3874" t="e">
        <f>Profile!#REF!</f>
        <v>#REF!</v>
      </c>
      <c r="D3874" t="str">
        <f>IF(Profile!C4639="Profile",IF(Profile!#REF!="ResourceRequirement","OK","XXX"),"XXX")</f>
        <v>XXX</v>
      </c>
    </row>
    <row r="3875" spans="1:4" x14ac:dyDescent="0.45">
      <c r="A3875">
        <f>ROW()</f>
        <v>3875</v>
      </c>
      <c r="B3875" t="e">
        <f>Profile!#REF!</f>
        <v>#REF!</v>
      </c>
      <c r="C3875" t="e">
        <f>Profile!#REF!</f>
        <v>#REF!</v>
      </c>
      <c r="D3875" t="e">
        <f>IF(Profile!#REF!="Profile",IF(Profile!#REF!="ResourceRequirement","OK","XXX"),"XXX")</f>
        <v>#REF!</v>
      </c>
    </row>
    <row r="3876" spans="1:4" x14ac:dyDescent="0.45">
      <c r="A3876">
        <f>ROW()</f>
        <v>3876</v>
      </c>
      <c r="B3876" t="e">
        <f>Profile!#REF!</f>
        <v>#REF!</v>
      </c>
      <c r="C3876" t="e">
        <f>Profile!#REF!</f>
        <v>#REF!</v>
      </c>
      <c r="D3876" t="e">
        <f>IF(Profile!#REF!="Profile",IF(Profile!#REF!="ResourceRequirement","OK","XXX"),"XXX")</f>
        <v>#REF!</v>
      </c>
    </row>
    <row r="3877" spans="1:4" x14ac:dyDescent="0.45">
      <c r="A3877">
        <f>ROW()</f>
        <v>3877</v>
      </c>
      <c r="B3877" t="e">
        <f>Profile!#REF!</f>
        <v>#REF!</v>
      </c>
      <c r="C3877" t="e">
        <f>Profile!#REF!</f>
        <v>#REF!</v>
      </c>
      <c r="D3877" t="e">
        <f>IF(Profile!#REF!="Profile",IF(Profile!#REF!="ResourceRequirement","OK","XXX"),"XXX")</f>
        <v>#REF!</v>
      </c>
    </row>
    <row r="3878" spans="1:4" x14ac:dyDescent="0.45">
      <c r="A3878">
        <f>ROW()</f>
        <v>3878</v>
      </c>
      <c r="B3878" t="e">
        <f>Profile!#REF!</f>
        <v>#REF!</v>
      </c>
      <c r="C3878" t="e">
        <f>Profile!#REF!</f>
        <v>#REF!</v>
      </c>
      <c r="D3878" t="e">
        <f>IF(Profile!#REF!="Profile",IF(Profile!#REF!="ResourceRequirement","OK","XXX"),"XXX")</f>
        <v>#REF!</v>
      </c>
    </row>
    <row r="3879" spans="1:4" x14ac:dyDescent="0.45">
      <c r="A3879">
        <f>ROW()</f>
        <v>3879</v>
      </c>
      <c r="B3879" t="e">
        <f>Profile!#REF!</f>
        <v>#REF!</v>
      </c>
      <c r="C3879" t="e">
        <f>Profile!#REF!</f>
        <v>#REF!</v>
      </c>
      <c r="D3879" t="e">
        <f>IF(Profile!#REF!="Profile",IF(Profile!#REF!="ResourceRequirement","OK","XXX"),"XXX")</f>
        <v>#REF!</v>
      </c>
    </row>
    <row r="3880" spans="1:4" x14ac:dyDescent="0.45">
      <c r="A3880">
        <f>ROW()</f>
        <v>3880</v>
      </c>
      <c r="B3880" t="e">
        <f>Profile!#REF!</f>
        <v>#REF!</v>
      </c>
      <c r="C3880" t="e">
        <f>Profile!#REF!</f>
        <v>#REF!</v>
      </c>
      <c r="D3880" t="e">
        <f>IF(Profile!#REF!="Profile",IF(Profile!#REF!="ResourceRequirement","OK","XXX"),"XXX")</f>
        <v>#REF!</v>
      </c>
    </row>
    <row r="3881" spans="1:4" x14ac:dyDescent="0.45">
      <c r="A3881">
        <f>ROW()</f>
        <v>3881</v>
      </c>
      <c r="B3881" t="e">
        <f>Profile!#REF!</f>
        <v>#REF!</v>
      </c>
      <c r="C3881">
        <f>Profile!AP4650</f>
        <v>0</v>
      </c>
      <c r="D3881" t="e">
        <f>IF(Profile!#REF!="Profile",IF(Profile!A4650="ResourceRequirement","OK","XXX"),"XXX")</f>
        <v>#REF!</v>
      </c>
    </row>
    <row r="3882" spans="1:4" x14ac:dyDescent="0.45">
      <c r="A3882">
        <f>ROW()</f>
        <v>3882</v>
      </c>
      <c r="B3882" t="e">
        <f>Profile!#REF!</f>
        <v>#REF!</v>
      </c>
      <c r="C3882">
        <f>Profile!AP4651</f>
        <v>0</v>
      </c>
      <c r="D3882" t="e">
        <f>IF(Profile!#REF!="Profile",IF(Profile!A4651="ResourceRequirement","OK","XXX"),"XXX")</f>
        <v>#REF!</v>
      </c>
    </row>
    <row r="3883" spans="1:4" x14ac:dyDescent="0.45">
      <c r="A3883">
        <f>ROW()</f>
        <v>3883</v>
      </c>
      <c r="B3883">
        <f>Profile!A4650</f>
        <v>0</v>
      </c>
      <c r="C3883">
        <f>Profile!AP4652</f>
        <v>0</v>
      </c>
      <c r="D3883" t="str">
        <f>IF(Profile!C4650="Profile",IF(Profile!A4652="ResourceRequirement","OK","XXX"),"XXX")</f>
        <v>XXX</v>
      </c>
    </row>
    <row r="3884" spans="1:4" x14ac:dyDescent="0.45">
      <c r="A3884">
        <f>ROW()</f>
        <v>3884</v>
      </c>
      <c r="B3884" t="str">
        <f>Profile!A4651</f>
        <v>Property</v>
      </c>
      <c r="C3884">
        <f>Profile!AP4653</f>
        <v>0</v>
      </c>
      <c r="D3884" t="str">
        <f>IF(Profile!C4651="Profile",IF(Profile!A4653="ResourceRequirement","OK","XXX"),"XXX")</f>
        <v>XXX</v>
      </c>
    </row>
    <row r="3885" spans="1:4" x14ac:dyDescent="0.45">
      <c r="A3885">
        <f>ROW()</f>
        <v>3885</v>
      </c>
      <c r="B3885" t="str">
        <f>Profile!A4652</f>
        <v>@odata.context</v>
      </c>
      <c r="C3885">
        <f>Profile!AP4654</f>
        <v>0</v>
      </c>
      <c r="D3885" t="str">
        <f>IF(Profile!C4652="Profile",IF(Profile!A4654="ResourceRequirement","OK","XXX"),"XXX")</f>
        <v>XXX</v>
      </c>
    </row>
    <row r="3886" spans="1:4" x14ac:dyDescent="0.45">
      <c r="A3886">
        <f>ROW()</f>
        <v>3886</v>
      </c>
      <c r="B3886" t="str">
        <f>Profile!A4653</f>
        <v>@odata.type</v>
      </c>
      <c r="C3886">
        <f>Profile!AP4655</f>
        <v>0</v>
      </c>
      <c r="D3886" t="str">
        <f>IF(Profile!C4653="Profile",IF(Profile!A4655="ResourceRequirement","OK","XXX"),"XXX")</f>
        <v>XXX</v>
      </c>
    </row>
    <row r="3887" spans="1:4" x14ac:dyDescent="0.45">
      <c r="A3887">
        <f>ROW()</f>
        <v>3887</v>
      </c>
      <c r="B3887" t="str">
        <f>Profile!A4654</f>
        <v>@odata.id</v>
      </c>
      <c r="C3887">
        <f>Profile!AP4656</f>
        <v>0</v>
      </c>
      <c r="D3887" t="str">
        <f>IF(Profile!C4654="Profile",IF(Profile!A4656="ResourceRequirement","OK","XXX"),"XXX")</f>
        <v>XXX</v>
      </c>
    </row>
    <row r="3888" spans="1:4" x14ac:dyDescent="0.45">
      <c r="A3888">
        <f>ROW()</f>
        <v>3888</v>
      </c>
      <c r="B3888" t="str">
        <f>Profile!A4655</f>
        <v>Name</v>
      </c>
      <c r="C3888">
        <f>Profile!AP4657</f>
        <v>0</v>
      </c>
      <c r="D3888" t="str">
        <f>IF(Profile!C4655="Profile",IF(Profile!A4657="ResourceRequirement","OK","XXX"),"XXX")</f>
        <v>XXX</v>
      </c>
    </row>
    <row r="3889" spans="1:4" x14ac:dyDescent="0.45">
      <c r="A3889">
        <f>ROW()</f>
        <v>3889</v>
      </c>
      <c r="B3889" t="str">
        <f>Profile!A4656</f>
        <v>Id</v>
      </c>
      <c r="C3889">
        <f>Profile!AP4658</f>
        <v>0</v>
      </c>
      <c r="D3889" t="str">
        <f>IF(Profile!C4656="Profile",IF(Profile!A4658="ResourceRequirement","OK","XXX"),"XXX")</f>
        <v>XXX</v>
      </c>
    </row>
    <row r="3890" spans="1:4" x14ac:dyDescent="0.45">
      <c r="A3890">
        <f>ROW()</f>
        <v>3890</v>
      </c>
      <c r="B3890" t="str">
        <f>Profile!A4657</f>
        <v>Description</v>
      </c>
      <c r="C3890">
        <f>Profile!AP4659</f>
        <v>0</v>
      </c>
      <c r="D3890" t="str">
        <f>IF(Profile!C4657="Profile",IF(Profile!A4659="ResourceRequirement","OK","XXX"),"XXX")</f>
        <v>XXX</v>
      </c>
    </row>
    <row r="3891" spans="1:4" x14ac:dyDescent="0.45">
      <c r="A3891">
        <f>ROW()</f>
        <v>3891</v>
      </c>
      <c r="B3891">
        <f>Profile!A4658</f>
        <v>0</v>
      </c>
      <c r="C3891">
        <f>Profile!AP4660</f>
        <v>0</v>
      </c>
      <c r="D3891" t="str">
        <f>IF(Profile!C4658="Profile",IF(Profile!A4660="ResourceRequirement","OK","XXX"),"XXX")</f>
        <v>XXX</v>
      </c>
    </row>
    <row r="3892" spans="1:4" x14ac:dyDescent="0.45">
      <c r="A3892">
        <f>ROW()</f>
        <v>3892</v>
      </c>
      <c r="B3892">
        <f>Profile!A4659</f>
        <v>0</v>
      </c>
      <c r="C3892">
        <f>Profile!AP4661</f>
        <v>0</v>
      </c>
      <c r="D3892" t="str">
        <f>IF(Profile!C4659="Profile",IF(Profile!A4661="ResourceRequirement","OK","XXX"),"XXX")</f>
        <v>XXX</v>
      </c>
    </row>
    <row r="3893" spans="1:4" x14ac:dyDescent="0.45">
      <c r="A3893">
        <f>ROW()</f>
        <v>3893</v>
      </c>
      <c r="B3893">
        <f>Profile!A4660</f>
        <v>0</v>
      </c>
      <c r="C3893">
        <f>Profile!AP4662</f>
        <v>0</v>
      </c>
      <c r="D3893" t="str">
        <f>IF(Profile!C4660="Profile",IF(Profile!A4662="ResourceRequirement","OK","XXX"),"XXX")</f>
        <v>XXX</v>
      </c>
    </row>
    <row r="3894" spans="1:4" x14ac:dyDescent="0.45">
      <c r="A3894">
        <f>ROW()</f>
        <v>3894</v>
      </c>
      <c r="B3894" t="str">
        <f>Profile!A4661</f>
        <v>1.1.1.1 RedfishArrayElementType</v>
      </c>
      <c r="C3894">
        <f>Profile!AP4663</f>
        <v>0</v>
      </c>
      <c r="D3894" t="str">
        <f>IF(Profile!C4661="Profile",IF(Profile!A4663="ResourceRequirement","OK","XXX"),"XXX")</f>
        <v>XXX</v>
      </c>
    </row>
    <row r="3895" spans="1:4" x14ac:dyDescent="0.45">
      <c r="A3895">
        <f>ROW()</f>
        <v>3895</v>
      </c>
      <c r="B3895" t="str">
        <f>Profile!A4662</f>
        <v>Abstract Class for Redfish Array Elements</v>
      </c>
      <c r="C3895">
        <f>Profile!AP4664</f>
        <v>0</v>
      </c>
      <c r="D3895" t="str">
        <f>IF(Profile!C4662="Profile",IF(Profile!A4664="ResourceRequirement","OK","XXX"),"XXX")</f>
        <v>XXX</v>
      </c>
    </row>
    <row r="3896" spans="1:4" x14ac:dyDescent="0.45">
      <c r="A3896">
        <f>ROW()</f>
        <v>3896</v>
      </c>
      <c r="B3896" t="str">
        <f>Profile!A4663</f>
        <v>RedfishArrayElement</v>
      </c>
      <c r="C3896">
        <f>Profile!AP4665</f>
        <v>0</v>
      </c>
      <c r="D3896" t="str">
        <f>IF(Profile!C4663="Profile",IF(Profile!A4665="ResourceRequirement","OK","XXX"),"XXX")</f>
        <v>OK</v>
      </c>
    </row>
    <row r="3897" spans="1:4" x14ac:dyDescent="0.45">
      <c r="A3897">
        <f>ROW()</f>
        <v>3897</v>
      </c>
      <c r="B3897">
        <f>Profile!A4664</f>
        <v>0</v>
      </c>
      <c r="C3897">
        <f>Profile!AP4666</f>
        <v>0</v>
      </c>
      <c r="D3897" t="str">
        <f>IF(Profile!C4664="Profile",IF(Profile!A4666="ResourceRequirement","OK","XXX"),"XXX")</f>
        <v>XXX</v>
      </c>
    </row>
    <row r="3898" spans="1:4" x14ac:dyDescent="0.45">
      <c r="A3898">
        <f>ROW()</f>
        <v>3898</v>
      </c>
      <c r="B3898" t="str">
        <f>Profile!A4665</f>
        <v>ResourceRequirement</v>
      </c>
      <c r="C3898">
        <f>Profile!AP4667</f>
        <v>0</v>
      </c>
      <c r="D3898" t="str">
        <f>IF(Profile!C4665="Profile",IF(Profile!A4667="ResourceRequirement","OK","XXX"),"XXX")</f>
        <v>XXX</v>
      </c>
    </row>
    <row r="3899" spans="1:4" x14ac:dyDescent="0.45">
      <c r="A3899">
        <f>ROW()</f>
        <v>3899</v>
      </c>
      <c r="B3899" t="str">
        <f>Profile!A4666</f>
        <v>Resource MinVersion</v>
      </c>
      <c r="C3899">
        <f>Profile!AP4668</f>
        <v>0</v>
      </c>
      <c r="D3899" t="str">
        <f>IF(Profile!C4666="Profile",IF(Profile!A4668="ResourceRequirement","OK","XXX"),"XXX")</f>
        <v>XXX</v>
      </c>
    </row>
    <row r="3900" spans="1:4" x14ac:dyDescent="0.45">
      <c r="A3900">
        <f>ROW()</f>
        <v>3900</v>
      </c>
      <c r="B3900" t="str">
        <f>Profile!A4667</f>
        <v>Property</v>
      </c>
      <c r="C3900">
        <f>Profile!AP4669</f>
        <v>0</v>
      </c>
      <c r="D3900" t="str">
        <f>IF(Profile!C4667="Profile",IF(Profile!A4669="ResourceRequirement","OK","XXX"),"XXX")</f>
        <v>XXX</v>
      </c>
    </row>
    <row r="3901" spans="1:4" x14ac:dyDescent="0.45">
      <c r="A3901">
        <f>ROW()</f>
        <v>3901</v>
      </c>
      <c r="B3901" t="str">
        <f>Profile!A4668</f>
        <v>@odata.id</v>
      </c>
      <c r="C3901">
        <f>Profile!AP4670</f>
        <v>0</v>
      </c>
      <c r="D3901" t="str">
        <f>IF(Profile!C4668="Profile",IF(Profile!A4670="ResourceRequirement","OK","XXX"),"XXX")</f>
        <v>XXX</v>
      </c>
    </row>
    <row r="3902" spans="1:4" x14ac:dyDescent="0.45">
      <c r="A3902">
        <f>ROW()</f>
        <v>3902</v>
      </c>
      <c r="B3902" t="str">
        <f>Profile!A4669</f>
        <v>Name</v>
      </c>
      <c r="C3902">
        <f>Profile!AP4671</f>
        <v>0</v>
      </c>
      <c r="D3902" t="str">
        <f>IF(Profile!C4669="Profile",IF(Profile!A4671="ResourceRequirement","OK","XXX"),"XXX")</f>
        <v>XXX</v>
      </c>
    </row>
    <row r="3903" spans="1:4" x14ac:dyDescent="0.45">
      <c r="A3903">
        <f>ROW()</f>
        <v>3903</v>
      </c>
      <c r="B3903" t="str">
        <f>Profile!A4670</f>
        <v>MemberId</v>
      </c>
      <c r="C3903">
        <f>Profile!AP4672</f>
        <v>0</v>
      </c>
      <c r="D3903" t="str">
        <f>IF(Profile!C4670="Profile",IF(Profile!A4672="ResourceRequirement","OK","XXX"),"XXX")</f>
        <v>XXX</v>
      </c>
    </row>
    <row r="3904" spans="1:4" x14ac:dyDescent="0.45">
      <c r="A3904">
        <f>ROW()</f>
        <v>3904</v>
      </c>
      <c r="B3904" t="str">
        <f>Profile!A4671</f>
        <v>Description</v>
      </c>
      <c r="C3904">
        <f>Profile!AP4673</f>
        <v>0</v>
      </c>
      <c r="D3904" t="str">
        <f>IF(Profile!C4671="Profile",IF(Profile!A4673="ResourceRequirement","OK","XXX"),"XXX")</f>
        <v>XXX</v>
      </c>
    </row>
    <row r="3905" spans="1:4" x14ac:dyDescent="0.45">
      <c r="A3905">
        <f>ROW()</f>
        <v>3905</v>
      </c>
      <c r="B3905">
        <f>Profile!A4672</f>
        <v>0</v>
      </c>
      <c r="C3905">
        <f>Profile!AP4674</f>
        <v>0</v>
      </c>
      <c r="D3905" t="str">
        <f>IF(Profile!C4672="Profile",IF(Profile!A4674="ResourceRequirement","OK","XXX"),"XXX")</f>
        <v>XXX</v>
      </c>
    </row>
    <row r="3906" spans="1:4" x14ac:dyDescent="0.45">
      <c r="A3906">
        <f>ROW()</f>
        <v>3906</v>
      </c>
      <c r="B3906">
        <f>Profile!A4673</f>
        <v>0</v>
      </c>
      <c r="C3906">
        <f>Profile!AP4675</f>
        <v>0</v>
      </c>
      <c r="D3906" t="str">
        <f>IF(Profile!C4673="Profile",IF(Profile!A4675="ResourceRequirement","OK","XXX"),"XXX")</f>
        <v>XXX</v>
      </c>
    </row>
    <row r="3907" spans="1:4" x14ac:dyDescent="0.45">
      <c r="A3907">
        <f>ROW()</f>
        <v>3907</v>
      </c>
      <c r="B3907">
        <f>Profile!A4674</f>
        <v>0</v>
      </c>
      <c r="C3907">
        <f>Profile!AP4676</f>
        <v>0</v>
      </c>
      <c r="D3907" t="str">
        <f>IF(Profile!C4674="Profile",IF(Profile!A4676="ResourceRequirement","OK","XXX"),"XXX")</f>
        <v>XXX</v>
      </c>
    </row>
    <row r="3908" spans="1:4" x14ac:dyDescent="0.45">
      <c r="A3908">
        <f>ROW()</f>
        <v>3908</v>
      </c>
      <c r="B3908">
        <f>Profile!A4675</f>
        <v>0</v>
      </c>
      <c r="C3908">
        <f>Profile!AP4677</f>
        <v>0</v>
      </c>
      <c r="D3908" t="str">
        <f>IF(Profile!C4675="Profile",IF(Profile!A4677="ResourceRequirement","OK","XXX"),"XXX")</f>
        <v>XXX</v>
      </c>
    </row>
    <row r="3909" spans="1:4" x14ac:dyDescent="0.45">
      <c r="A3909">
        <f>ROW()</f>
        <v>3909</v>
      </c>
      <c r="B3909">
        <f>Profile!A4676</f>
        <v>0</v>
      </c>
      <c r="C3909">
        <f>Profile!AP4678</f>
        <v>0</v>
      </c>
      <c r="D3909" t="str">
        <f>IF(Profile!C4676="Profile",IF(Profile!A4678="ResourceRequirement","OK","XXX"),"XXX")</f>
        <v>XXX</v>
      </c>
    </row>
    <row r="3910" spans="1:4" x14ac:dyDescent="0.45">
      <c r="A3910">
        <f>ROW()</f>
        <v>3910</v>
      </c>
      <c r="B3910">
        <f>Profile!A4677</f>
        <v>0</v>
      </c>
      <c r="C3910">
        <f>Profile!AP4679</f>
        <v>0</v>
      </c>
      <c r="D3910" t="str">
        <f>IF(Profile!C4677="Profile",IF(Profile!A4679="ResourceRequirement","OK","XXX"),"XXX")</f>
        <v>XXX</v>
      </c>
    </row>
    <row r="3911" spans="1:4" x14ac:dyDescent="0.45">
      <c r="A3911">
        <f>ROW()</f>
        <v>3911</v>
      </c>
      <c r="B3911">
        <f>Profile!A4678</f>
        <v>0</v>
      </c>
      <c r="C3911">
        <f>Profile!AP4680</f>
        <v>0</v>
      </c>
      <c r="D3911" t="str">
        <f>IF(Profile!C4678="Profile",IF(Profile!A4680="ResourceRequirement","OK","XXX"),"XXX")</f>
        <v>XXX</v>
      </c>
    </row>
    <row r="3912" spans="1:4" x14ac:dyDescent="0.45">
      <c r="A3912">
        <f>ROW()</f>
        <v>3912</v>
      </c>
      <c r="B3912">
        <f>Profile!A4679</f>
        <v>0</v>
      </c>
      <c r="C3912">
        <f>Profile!AP4681</f>
        <v>0</v>
      </c>
      <c r="D3912" t="str">
        <f>IF(Profile!C4679="Profile",IF(Profile!A4681="ResourceRequirement","OK","XXX"),"XXX")</f>
        <v>XXX</v>
      </c>
    </row>
    <row r="3913" spans="1:4" x14ac:dyDescent="0.45">
      <c r="A3913">
        <f>ROW()</f>
        <v>3913</v>
      </c>
      <c r="B3913">
        <f>Profile!A4680</f>
        <v>0</v>
      </c>
      <c r="C3913">
        <f>Profile!AP4682</f>
        <v>0</v>
      </c>
      <c r="D3913" t="str">
        <f>IF(Profile!C4680="Profile",IF(Profile!A4682="ResourceRequirement","OK","XXX"),"XXX")</f>
        <v>XXX</v>
      </c>
    </row>
    <row r="3914" spans="1:4" x14ac:dyDescent="0.45">
      <c r="A3914">
        <f>ROW()</f>
        <v>3914</v>
      </c>
      <c r="B3914">
        <f>Profile!A4681</f>
        <v>0</v>
      </c>
      <c r="C3914">
        <f>Profile!AP4683</f>
        <v>0</v>
      </c>
      <c r="D3914" t="str">
        <f>IF(Profile!C4681="Profile",IF(Profile!A4683="ResourceRequirement","OK","XXX"),"XXX")</f>
        <v>XXX</v>
      </c>
    </row>
    <row r="3915" spans="1:4" x14ac:dyDescent="0.45">
      <c r="A3915">
        <f>ROW()</f>
        <v>3915</v>
      </c>
      <c r="B3915">
        <f>Profile!A4682</f>
        <v>0</v>
      </c>
      <c r="C3915">
        <f>Profile!AP4684</f>
        <v>0</v>
      </c>
      <c r="D3915" t="str">
        <f>IF(Profile!C4682="Profile",IF(Profile!A4684="ResourceRequirement","OK","XXX"),"XXX")</f>
        <v>XXX</v>
      </c>
    </row>
    <row r="3916" spans="1:4" x14ac:dyDescent="0.45">
      <c r="A3916">
        <f>ROW()</f>
        <v>3916</v>
      </c>
      <c r="B3916">
        <f>Profile!A4683</f>
        <v>0</v>
      </c>
      <c r="C3916">
        <f>Profile!AP4685</f>
        <v>0</v>
      </c>
      <c r="D3916" t="str">
        <f>IF(Profile!C4683="Profile",IF(Profile!A4685="ResourceRequirement","OK","XXX"),"XXX")</f>
        <v>XXX</v>
      </c>
    </row>
    <row r="3917" spans="1:4" x14ac:dyDescent="0.45">
      <c r="A3917">
        <f>ROW()</f>
        <v>3917</v>
      </c>
      <c r="B3917">
        <f>Profile!A4684</f>
        <v>0</v>
      </c>
      <c r="C3917">
        <f>Profile!AP4686</f>
        <v>0</v>
      </c>
      <c r="D3917" t="str">
        <f>IF(Profile!C4684="Profile",IF(Profile!A4686="ResourceRequirement","OK","XXX"),"XXX")</f>
        <v>XXX</v>
      </c>
    </row>
    <row r="3918" spans="1:4" x14ac:dyDescent="0.45">
      <c r="A3918">
        <f>ROW()</f>
        <v>3918</v>
      </c>
      <c r="B3918">
        <f>Profile!A4685</f>
        <v>0</v>
      </c>
      <c r="C3918">
        <f>Profile!AP4687</f>
        <v>0</v>
      </c>
      <c r="D3918" t="str">
        <f>IF(Profile!C4685="Profile",IF(Profile!A4687="ResourceRequirement","OK","XXX"),"XXX")</f>
        <v>XXX</v>
      </c>
    </row>
    <row r="3919" spans="1:4" x14ac:dyDescent="0.45">
      <c r="A3919">
        <f>ROW()</f>
        <v>3919</v>
      </c>
      <c r="B3919">
        <f>Profile!A4686</f>
        <v>0</v>
      </c>
      <c r="C3919">
        <f>Profile!AP4688</f>
        <v>0</v>
      </c>
      <c r="D3919" t="str">
        <f>IF(Profile!C4686="Profile",IF(Profile!A4688="ResourceRequirement","OK","XXX"),"XXX")</f>
        <v>XXX</v>
      </c>
    </row>
    <row r="3920" spans="1:4" x14ac:dyDescent="0.45">
      <c r="A3920">
        <f>ROW()</f>
        <v>3920</v>
      </c>
      <c r="B3920">
        <f>Profile!A4687</f>
        <v>0</v>
      </c>
      <c r="C3920">
        <f>Profile!AP4689</f>
        <v>0</v>
      </c>
      <c r="D3920" t="str">
        <f>IF(Profile!C4687="Profile",IF(Profile!A4689="ResourceRequirement","OK","XXX"),"XXX")</f>
        <v>XXX</v>
      </c>
    </row>
    <row r="3921" spans="1:4" x14ac:dyDescent="0.45">
      <c r="A3921">
        <f>ROW()</f>
        <v>3921</v>
      </c>
      <c r="B3921">
        <f>Profile!A4688</f>
        <v>0</v>
      </c>
      <c r="C3921">
        <f>Profile!AP4690</f>
        <v>0</v>
      </c>
      <c r="D3921" t="str">
        <f>IF(Profile!C4688="Profile",IF(Profile!A4690="ResourceRequirement","OK","XXX"),"XXX")</f>
        <v>XXX</v>
      </c>
    </row>
    <row r="3922" spans="1:4" x14ac:dyDescent="0.45">
      <c r="A3922">
        <f>ROW()</f>
        <v>3922</v>
      </c>
      <c r="B3922">
        <f>Profile!A4689</f>
        <v>0</v>
      </c>
      <c r="C3922">
        <f>Profile!AP4691</f>
        <v>0</v>
      </c>
      <c r="D3922" t="str">
        <f>IF(Profile!C4689="Profile",IF(Profile!A4691="ResourceRequirement","OK","XXX"),"XXX")</f>
        <v>XXX</v>
      </c>
    </row>
    <row r="3923" spans="1:4" x14ac:dyDescent="0.45">
      <c r="A3923">
        <f>ROW()</f>
        <v>3923</v>
      </c>
      <c r="B3923">
        <f>Profile!A4690</f>
        <v>0</v>
      </c>
      <c r="C3923">
        <f>Profile!AP4692</f>
        <v>0</v>
      </c>
      <c r="D3923" t="str">
        <f>IF(Profile!C4690="Profile",IF(Profile!A4692="ResourceRequirement","OK","XXX"),"XXX")</f>
        <v>XXX</v>
      </c>
    </row>
    <row r="3924" spans="1:4" x14ac:dyDescent="0.45">
      <c r="A3924">
        <f>ROW()</f>
        <v>3924</v>
      </c>
      <c r="B3924">
        <f>Profile!A4691</f>
        <v>0</v>
      </c>
      <c r="C3924">
        <f>Profile!AP4693</f>
        <v>0</v>
      </c>
      <c r="D3924" t="str">
        <f>IF(Profile!C4691="Profile",IF(Profile!A4693="ResourceRequirement","OK","XXX"),"XXX")</f>
        <v>XXX</v>
      </c>
    </row>
    <row r="3925" spans="1:4" x14ac:dyDescent="0.45">
      <c r="A3925">
        <f>ROW()</f>
        <v>3925</v>
      </c>
      <c r="B3925">
        <f>Profile!A4692</f>
        <v>0</v>
      </c>
      <c r="C3925">
        <f>Profile!AP4694</f>
        <v>0</v>
      </c>
      <c r="D3925" t="str">
        <f>IF(Profile!C4692="Profile",IF(Profile!A4694="ResourceRequirement","OK","XXX"),"XXX")</f>
        <v>XXX</v>
      </c>
    </row>
    <row r="3926" spans="1:4" x14ac:dyDescent="0.45">
      <c r="A3926">
        <f>ROW()</f>
        <v>3926</v>
      </c>
      <c r="B3926">
        <f>Profile!A4693</f>
        <v>0</v>
      </c>
      <c r="C3926">
        <f>Profile!AP4695</f>
        <v>0</v>
      </c>
      <c r="D3926" t="str">
        <f>IF(Profile!C4693="Profile",IF(Profile!A4695="ResourceRequirement","OK","XXX"),"XXX")</f>
        <v>XXX</v>
      </c>
    </row>
    <row r="3927" spans="1:4" x14ac:dyDescent="0.45">
      <c r="A3927">
        <f>ROW()</f>
        <v>3927</v>
      </c>
      <c r="B3927">
        <f>Profile!A4694</f>
        <v>0</v>
      </c>
      <c r="C3927">
        <f>Profile!AP4696</f>
        <v>0</v>
      </c>
      <c r="D3927" t="str">
        <f>IF(Profile!C4694="Profile",IF(Profile!A4696="ResourceRequirement","OK","XXX"),"XXX")</f>
        <v>XXX</v>
      </c>
    </row>
    <row r="3928" spans="1:4" x14ac:dyDescent="0.45">
      <c r="A3928">
        <f>ROW()</f>
        <v>3928</v>
      </c>
      <c r="B3928">
        <f>Profile!A4695</f>
        <v>0</v>
      </c>
      <c r="C3928">
        <f>Profile!AP4697</f>
        <v>0</v>
      </c>
      <c r="D3928" t="str">
        <f>IF(Profile!C4695="Profile",IF(Profile!A4697="ResourceRequirement","OK","XXX"),"XXX")</f>
        <v>XXX</v>
      </c>
    </row>
    <row r="3929" spans="1:4" x14ac:dyDescent="0.45">
      <c r="A3929">
        <f>ROW()</f>
        <v>3929</v>
      </c>
      <c r="B3929">
        <f>Profile!A4696</f>
        <v>0</v>
      </c>
      <c r="C3929">
        <f>Profile!AP4698</f>
        <v>0</v>
      </c>
      <c r="D3929" t="str">
        <f>IF(Profile!C4696="Profile",IF(Profile!A4698="ResourceRequirement","OK","XXX"),"XXX")</f>
        <v>XXX</v>
      </c>
    </row>
    <row r="3930" spans="1:4" x14ac:dyDescent="0.45">
      <c r="A3930">
        <f>ROW()</f>
        <v>3930</v>
      </c>
      <c r="B3930">
        <f>Profile!A4697</f>
        <v>0</v>
      </c>
      <c r="C3930">
        <f>Profile!AP4699</f>
        <v>0</v>
      </c>
      <c r="D3930" t="str">
        <f>IF(Profile!C4697="Profile",IF(Profile!A4699="ResourceRequirement","OK","XXX"),"XXX")</f>
        <v>XXX</v>
      </c>
    </row>
    <row r="3931" spans="1:4" x14ac:dyDescent="0.45">
      <c r="A3931">
        <f>ROW()</f>
        <v>3931</v>
      </c>
      <c r="B3931">
        <f>Profile!A4698</f>
        <v>0</v>
      </c>
      <c r="C3931">
        <f>Profile!AP4700</f>
        <v>0</v>
      </c>
      <c r="D3931" t="str">
        <f>IF(Profile!C4698="Profile",IF(Profile!A4700="ResourceRequirement","OK","XXX"),"XXX")</f>
        <v>XXX</v>
      </c>
    </row>
    <row r="3932" spans="1:4" x14ac:dyDescent="0.45">
      <c r="A3932">
        <f>ROW()</f>
        <v>3932</v>
      </c>
      <c r="B3932">
        <f>Profile!A4699</f>
        <v>0</v>
      </c>
      <c r="C3932">
        <f>Profile!AP4701</f>
        <v>0</v>
      </c>
      <c r="D3932" t="str">
        <f>IF(Profile!C4699="Profile",IF(Profile!A4701="ResourceRequirement","OK","XXX"),"XXX")</f>
        <v>XXX</v>
      </c>
    </row>
    <row r="3933" spans="1:4" x14ac:dyDescent="0.45">
      <c r="A3933">
        <f>ROW()</f>
        <v>3933</v>
      </c>
      <c r="B3933">
        <f>Profile!A4700</f>
        <v>0</v>
      </c>
      <c r="C3933">
        <f>Profile!AP4702</f>
        <v>0</v>
      </c>
      <c r="D3933" t="str">
        <f>IF(Profile!C4700="Profile",IF(Profile!A4702="ResourceRequirement","OK","XXX"),"XXX")</f>
        <v>XXX</v>
      </c>
    </row>
    <row r="3934" spans="1:4" x14ac:dyDescent="0.45">
      <c r="A3934">
        <f>ROW()</f>
        <v>3934</v>
      </c>
      <c r="B3934">
        <f>Profile!A4701</f>
        <v>0</v>
      </c>
      <c r="C3934">
        <f>Profile!AP4703</f>
        <v>0</v>
      </c>
      <c r="D3934" t="str">
        <f>IF(Profile!C4701="Profile",IF(Profile!A4703="ResourceRequirement","OK","XXX"),"XXX")</f>
        <v>XXX</v>
      </c>
    </row>
    <row r="3935" spans="1:4" x14ac:dyDescent="0.45">
      <c r="A3935">
        <f>ROW()</f>
        <v>3935</v>
      </c>
      <c r="B3935">
        <f>Profile!A4702</f>
        <v>0</v>
      </c>
      <c r="C3935">
        <f>Profile!AP4704</f>
        <v>0</v>
      </c>
      <c r="D3935" t="str">
        <f>IF(Profile!C4702="Profile",IF(Profile!A4704="ResourceRequirement","OK","XXX"),"XXX")</f>
        <v>XXX</v>
      </c>
    </row>
    <row r="3936" spans="1:4" x14ac:dyDescent="0.45">
      <c r="A3936">
        <f>ROW()</f>
        <v>3936</v>
      </c>
      <c r="B3936">
        <f>Profile!A4703</f>
        <v>0</v>
      </c>
      <c r="C3936">
        <f>Profile!AP4705</f>
        <v>0</v>
      </c>
      <c r="D3936" t="str">
        <f>IF(Profile!C4703="Profile",IF(Profile!A4705="ResourceRequirement","OK","XXX"),"XXX")</f>
        <v>XXX</v>
      </c>
    </row>
    <row r="3937" spans="1:4" x14ac:dyDescent="0.45">
      <c r="A3937">
        <f>ROW()</f>
        <v>3937</v>
      </c>
      <c r="B3937">
        <f>Profile!A4704</f>
        <v>0</v>
      </c>
      <c r="C3937">
        <f>Profile!AP4706</f>
        <v>0</v>
      </c>
      <c r="D3937" t="str">
        <f>IF(Profile!C4704="Profile",IF(Profile!A4706="ResourceRequirement","OK","XXX"),"XXX")</f>
        <v>XXX</v>
      </c>
    </row>
    <row r="3938" spans="1:4" x14ac:dyDescent="0.45">
      <c r="A3938">
        <f>ROW()</f>
        <v>3938</v>
      </c>
      <c r="B3938">
        <f>Profile!A4705</f>
        <v>0</v>
      </c>
      <c r="C3938">
        <f>Profile!AP4707</f>
        <v>0</v>
      </c>
      <c r="D3938" t="str">
        <f>IF(Profile!C4705="Profile",IF(Profile!A4707="ResourceRequirement","OK","XXX"),"XXX")</f>
        <v>XXX</v>
      </c>
    </row>
    <row r="3939" spans="1:4" x14ac:dyDescent="0.45">
      <c r="A3939">
        <f>ROW()</f>
        <v>3939</v>
      </c>
      <c r="B3939">
        <f>Profile!A4706</f>
        <v>0</v>
      </c>
      <c r="C3939">
        <f>Profile!AP4708</f>
        <v>0</v>
      </c>
      <c r="D3939" t="str">
        <f>IF(Profile!C4706="Profile",IF(Profile!A4708="ResourceRequirement","OK","XXX"),"XXX")</f>
        <v>XXX</v>
      </c>
    </row>
    <row r="3940" spans="1:4" x14ac:dyDescent="0.45">
      <c r="A3940">
        <f>ROW()</f>
        <v>3940</v>
      </c>
      <c r="B3940">
        <f>Profile!A4707</f>
        <v>0</v>
      </c>
      <c r="C3940">
        <f>Profile!AP4709</f>
        <v>0</v>
      </c>
      <c r="D3940" t="str">
        <f>IF(Profile!C4707="Profile",IF(Profile!A4709="ResourceRequirement","OK","XXX"),"XXX")</f>
        <v>XXX</v>
      </c>
    </row>
    <row r="3941" spans="1:4" x14ac:dyDescent="0.45">
      <c r="A3941">
        <f>ROW()</f>
        <v>3941</v>
      </c>
      <c r="B3941">
        <f>Profile!A4708</f>
        <v>0</v>
      </c>
      <c r="C3941">
        <f>Profile!AP4710</f>
        <v>0</v>
      </c>
      <c r="D3941" t="str">
        <f>IF(Profile!C4708="Profile",IF(Profile!A4710="ResourceRequirement","OK","XXX"),"XXX")</f>
        <v>XXX</v>
      </c>
    </row>
    <row r="3942" spans="1:4" x14ac:dyDescent="0.45">
      <c r="A3942">
        <f>ROW()</f>
        <v>3942</v>
      </c>
      <c r="B3942">
        <f>Profile!A4709</f>
        <v>0</v>
      </c>
      <c r="C3942">
        <f>Profile!AP4711</f>
        <v>0</v>
      </c>
      <c r="D3942" t="str">
        <f>IF(Profile!C4709="Profile",IF(Profile!A4711="ResourceRequirement","OK","XXX"),"XXX")</f>
        <v>XXX</v>
      </c>
    </row>
    <row r="3943" spans="1:4" x14ac:dyDescent="0.45">
      <c r="A3943">
        <f>ROW()</f>
        <v>3943</v>
      </c>
      <c r="B3943">
        <f>Profile!A4710</f>
        <v>0</v>
      </c>
      <c r="C3943">
        <f>Profile!AP4712</f>
        <v>0</v>
      </c>
      <c r="D3943" t="str">
        <f>IF(Profile!C4710="Profile",IF(Profile!A4712="ResourceRequirement","OK","XXX"),"XXX")</f>
        <v>XXX</v>
      </c>
    </row>
    <row r="3944" spans="1:4" x14ac:dyDescent="0.45">
      <c r="A3944">
        <f>ROW()</f>
        <v>3944</v>
      </c>
      <c r="B3944">
        <f>Profile!A4711</f>
        <v>0</v>
      </c>
      <c r="C3944">
        <f>Profile!AP4713</f>
        <v>0</v>
      </c>
      <c r="D3944" t="str">
        <f>IF(Profile!C4711="Profile",IF(Profile!A4713="ResourceRequirement","OK","XXX"),"XXX")</f>
        <v>XXX</v>
      </c>
    </row>
    <row r="3945" spans="1:4" x14ac:dyDescent="0.45">
      <c r="A3945">
        <f>ROW()</f>
        <v>3945</v>
      </c>
      <c r="B3945">
        <f>Profile!A4712</f>
        <v>0</v>
      </c>
      <c r="C3945">
        <f>Profile!AP4714</f>
        <v>0</v>
      </c>
      <c r="D3945" t="str">
        <f>IF(Profile!C4712="Profile",IF(Profile!A4714="ResourceRequirement","OK","XXX"),"XXX")</f>
        <v>XXX</v>
      </c>
    </row>
    <row r="3946" spans="1:4" x14ac:dyDescent="0.45">
      <c r="A3946">
        <f>ROW()</f>
        <v>3946</v>
      </c>
      <c r="B3946">
        <f>Profile!A4713</f>
        <v>0</v>
      </c>
      <c r="C3946">
        <f>Profile!AP4715</f>
        <v>0</v>
      </c>
      <c r="D3946" t="str">
        <f>IF(Profile!C4713="Profile",IF(Profile!A4715="ResourceRequirement","OK","XXX"),"XXX")</f>
        <v>XXX</v>
      </c>
    </row>
    <row r="3947" spans="1:4" x14ac:dyDescent="0.45">
      <c r="A3947">
        <f>ROW()</f>
        <v>3947</v>
      </c>
      <c r="B3947">
        <f>Profile!A4714</f>
        <v>0</v>
      </c>
      <c r="C3947">
        <f>Profile!AP4716</f>
        <v>0</v>
      </c>
      <c r="D3947" t="str">
        <f>IF(Profile!C4714="Profile",IF(Profile!A4716="ResourceRequirement","OK","XXX"),"XXX")</f>
        <v>XXX</v>
      </c>
    </row>
    <row r="3948" spans="1:4" x14ac:dyDescent="0.45">
      <c r="A3948">
        <f>ROW()</f>
        <v>3948</v>
      </c>
      <c r="B3948">
        <f>Profile!A4715</f>
        <v>0</v>
      </c>
      <c r="C3948">
        <f>Profile!AP4717</f>
        <v>0</v>
      </c>
      <c r="D3948" t="str">
        <f>IF(Profile!C4715="Profile",IF(Profile!A4717="ResourceRequirement","OK","XXX"),"XXX")</f>
        <v>XXX</v>
      </c>
    </row>
    <row r="3949" spans="1:4" x14ac:dyDescent="0.45">
      <c r="A3949">
        <f>ROW()</f>
        <v>3949</v>
      </c>
      <c r="B3949">
        <f>Profile!A4716</f>
        <v>0</v>
      </c>
      <c r="C3949">
        <f>Profile!AP4718</f>
        <v>0</v>
      </c>
      <c r="D3949" t="str">
        <f>IF(Profile!C4716="Profile",IF(Profile!A4718="ResourceRequirement","OK","XXX"),"XXX")</f>
        <v>XXX</v>
      </c>
    </row>
    <row r="3950" spans="1:4" x14ac:dyDescent="0.45">
      <c r="A3950">
        <f>ROW()</f>
        <v>3950</v>
      </c>
      <c r="B3950">
        <f>Profile!A4717</f>
        <v>0</v>
      </c>
      <c r="C3950">
        <f>Profile!AP4719</f>
        <v>0</v>
      </c>
      <c r="D3950" t="str">
        <f>IF(Profile!C4717="Profile",IF(Profile!A4719="ResourceRequirement","OK","XXX"),"XXX")</f>
        <v>XXX</v>
      </c>
    </row>
    <row r="3951" spans="1:4" x14ac:dyDescent="0.45">
      <c r="A3951">
        <f>ROW()</f>
        <v>3951</v>
      </c>
      <c r="B3951">
        <f>Profile!A4718</f>
        <v>0</v>
      </c>
      <c r="C3951">
        <f>Profile!AP4720</f>
        <v>0</v>
      </c>
      <c r="D3951" t="str">
        <f>IF(Profile!C4718="Profile",IF(Profile!A4720="ResourceRequirement","OK","XXX"),"XXX")</f>
        <v>XXX</v>
      </c>
    </row>
    <row r="3952" spans="1:4" x14ac:dyDescent="0.45">
      <c r="A3952">
        <f>ROW()</f>
        <v>3952</v>
      </c>
      <c r="B3952">
        <f>Profile!A4719</f>
        <v>0</v>
      </c>
      <c r="C3952">
        <f>Profile!AP4721</f>
        <v>0</v>
      </c>
      <c r="D3952" t="str">
        <f>IF(Profile!C4719="Profile",IF(Profile!A4721="ResourceRequirement","OK","XXX"),"XXX")</f>
        <v>XXX</v>
      </c>
    </row>
    <row r="3953" spans="1:4" x14ac:dyDescent="0.45">
      <c r="A3953">
        <f>ROW()</f>
        <v>3953</v>
      </c>
      <c r="B3953">
        <f>Profile!A4720</f>
        <v>0</v>
      </c>
      <c r="C3953">
        <f>Profile!AP4722</f>
        <v>0</v>
      </c>
      <c r="D3953" t="str">
        <f>IF(Profile!C4720="Profile",IF(Profile!A4722="ResourceRequirement","OK","XXX"),"XXX")</f>
        <v>XXX</v>
      </c>
    </row>
    <row r="3954" spans="1:4" x14ac:dyDescent="0.45">
      <c r="A3954">
        <f>ROW()</f>
        <v>3954</v>
      </c>
      <c r="B3954">
        <f>Profile!A4721</f>
        <v>0</v>
      </c>
      <c r="C3954">
        <f>Profile!AP4723</f>
        <v>0</v>
      </c>
      <c r="D3954" t="str">
        <f>IF(Profile!C4721="Profile",IF(Profile!A4723="ResourceRequirement","OK","XXX"),"XXX")</f>
        <v>XXX</v>
      </c>
    </row>
    <row r="3955" spans="1:4" x14ac:dyDescent="0.45">
      <c r="A3955">
        <f>ROW()</f>
        <v>3955</v>
      </c>
      <c r="B3955">
        <f>Profile!A4722</f>
        <v>0</v>
      </c>
      <c r="C3955">
        <f>Profile!AP4724</f>
        <v>0</v>
      </c>
      <c r="D3955" t="str">
        <f>IF(Profile!C4722="Profile",IF(Profile!A4724="ResourceRequirement","OK","XXX"),"XXX")</f>
        <v>XXX</v>
      </c>
    </row>
    <row r="3956" spans="1:4" x14ac:dyDescent="0.45">
      <c r="A3956">
        <f>ROW()</f>
        <v>3956</v>
      </c>
      <c r="B3956">
        <f>Profile!A4723</f>
        <v>0</v>
      </c>
      <c r="C3956">
        <f>Profile!AP4725</f>
        <v>0</v>
      </c>
      <c r="D3956" t="str">
        <f>IF(Profile!C4723="Profile",IF(Profile!A4725="ResourceRequirement","OK","XXX"),"XXX")</f>
        <v>XXX</v>
      </c>
    </row>
    <row r="3957" spans="1:4" x14ac:dyDescent="0.45">
      <c r="A3957">
        <f>ROW()</f>
        <v>3957</v>
      </c>
      <c r="B3957">
        <f>Profile!A4724</f>
        <v>0</v>
      </c>
      <c r="C3957">
        <f>Profile!AP4726</f>
        <v>0</v>
      </c>
      <c r="D3957" t="str">
        <f>IF(Profile!C4724="Profile",IF(Profile!A4726="ResourceRequirement","OK","XXX"),"XXX")</f>
        <v>XXX</v>
      </c>
    </row>
    <row r="3958" spans="1:4" x14ac:dyDescent="0.45">
      <c r="A3958">
        <f>ROW()</f>
        <v>3958</v>
      </c>
      <c r="B3958">
        <f>Profile!A4725</f>
        <v>0</v>
      </c>
      <c r="C3958">
        <f>Profile!AP4727</f>
        <v>0</v>
      </c>
      <c r="D3958" t="str">
        <f>IF(Profile!C4725="Profile",IF(Profile!A4727="ResourceRequirement","OK","XXX"),"XXX")</f>
        <v>XXX</v>
      </c>
    </row>
    <row r="3959" spans="1:4" x14ac:dyDescent="0.45">
      <c r="A3959">
        <f>ROW()</f>
        <v>3959</v>
      </c>
      <c r="B3959">
        <f>Profile!A4726</f>
        <v>0</v>
      </c>
      <c r="C3959">
        <f>Profile!AP4728</f>
        <v>0</v>
      </c>
      <c r="D3959" t="str">
        <f>IF(Profile!C4726="Profile",IF(Profile!A4728="ResourceRequirement","OK","XXX"),"XXX")</f>
        <v>XXX</v>
      </c>
    </row>
    <row r="3960" spans="1:4" x14ac:dyDescent="0.45">
      <c r="A3960">
        <f>ROW()</f>
        <v>3960</v>
      </c>
      <c r="B3960">
        <f>Profile!A4727</f>
        <v>0</v>
      </c>
      <c r="C3960">
        <f>Profile!AP4729</f>
        <v>0</v>
      </c>
      <c r="D3960" t="str">
        <f>IF(Profile!C4727="Profile",IF(Profile!A4729="ResourceRequirement","OK","XXX"),"XXX")</f>
        <v>XXX</v>
      </c>
    </row>
    <row r="3961" spans="1:4" x14ac:dyDescent="0.45">
      <c r="A3961">
        <f>ROW()</f>
        <v>3961</v>
      </c>
      <c r="B3961">
        <f>Profile!A4728</f>
        <v>0</v>
      </c>
      <c r="C3961">
        <f>Profile!AP4730</f>
        <v>0</v>
      </c>
      <c r="D3961" t="str">
        <f>IF(Profile!C4728="Profile",IF(Profile!A4730="ResourceRequirement","OK","XXX"),"XXX")</f>
        <v>XXX</v>
      </c>
    </row>
    <row r="3962" spans="1:4" x14ac:dyDescent="0.45">
      <c r="A3962">
        <f>ROW()</f>
        <v>3962</v>
      </c>
      <c r="B3962">
        <f>Profile!A4729</f>
        <v>0</v>
      </c>
      <c r="C3962">
        <f>Profile!AP4731</f>
        <v>0</v>
      </c>
      <c r="D3962" t="str">
        <f>IF(Profile!C4729="Profile",IF(Profile!A4731="ResourceRequirement","OK","XXX"),"XXX")</f>
        <v>XXX</v>
      </c>
    </row>
    <row r="3963" spans="1:4" x14ac:dyDescent="0.45">
      <c r="A3963">
        <f>ROW()</f>
        <v>3963</v>
      </c>
      <c r="B3963">
        <f>Profile!A4730</f>
        <v>0</v>
      </c>
      <c r="C3963">
        <f>Profile!AP4732</f>
        <v>0</v>
      </c>
      <c r="D3963" t="str">
        <f>IF(Profile!C4730="Profile",IF(Profile!A4732="ResourceRequirement","OK","XXX"),"XXX")</f>
        <v>XXX</v>
      </c>
    </row>
    <row r="3964" spans="1:4" x14ac:dyDescent="0.45">
      <c r="A3964">
        <f>ROW()</f>
        <v>3964</v>
      </c>
      <c r="B3964">
        <f>Profile!A4731</f>
        <v>0</v>
      </c>
      <c r="C3964">
        <f>Profile!AP4733</f>
        <v>0</v>
      </c>
      <c r="D3964" t="str">
        <f>IF(Profile!C4731="Profile",IF(Profile!A4733="ResourceRequirement","OK","XXX"),"XXX")</f>
        <v>XXX</v>
      </c>
    </row>
    <row r="3965" spans="1:4" x14ac:dyDescent="0.45">
      <c r="A3965">
        <f>ROW()</f>
        <v>3965</v>
      </c>
      <c r="B3965">
        <f>Profile!A4732</f>
        <v>0</v>
      </c>
      <c r="C3965">
        <f>Profile!AP4734</f>
        <v>0</v>
      </c>
      <c r="D3965" t="str">
        <f>IF(Profile!C4732="Profile",IF(Profile!A4734="ResourceRequirement","OK","XXX"),"XXX")</f>
        <v>XXX</v>
      </c>
    </row>
    <row r="3966" spans="1:4" x14ac:dyDescent="0.45">
      <c r="A3966">
        <f>ROW()</f>
        <v>3966</v>
      </c>
      <c r="B3966">
        <f>Profile!A4733</f>
        <v>0</v>
      </c>
      <c r="C3966">
        <f>Profile!AP4735</f>
        <v>0</v>
      </c>
      <c r="D3966" t="str">
        <f>IF(Profile!C4733="Profile",IF(Profile!A4735="ResourceRequirement","OK","XXX"),"XXX")</f>
        <v>XXX</v>
      </c>
    </row>
    <row r="3967" spans="1:4" x14ac:dyDescent="0.45">
      <c r="A3967">
        <f>ROW()</f>
        <v>3967</v>
      </c>
      <c r="B3967">
        <f>Profile!A4734</f>
        <v>0</v>
      </c>
      <c r="C3967">
        <f>Profile!AP4736</f>
        <v>0</v>
      </c>
      <c r="D3967" t="str">
        <f>IF(Profile!C4734="Profile",IF(Profile!A4736="ResourceRequirement","OK","XXX"),"XXX")</f>
        <v>XXX</v>
      </c>
    </row>
    <row r="3968" spans="1:4" x14ac:dyDescent="0.45">
      <c r="A3968">
        <f>ROW()</f>
        <v>3968</v>
      </c>
      <c r="B3968">
        <f>Profile!A4735</f>
        <v>0</v>
      </c>
      <c r="C3968">
        <f>Profile!AP4737</f>
        <v>0</v>
      </c>
      <c r="D3968" t="str">
        <f>IF(Profile!C4735="Profile",IF(Profile!A4737="ResourceRequirement","OK","XXX"),"XXX")</f>
        <v>XXX</v>
      </c>
    </row>
    <row r="3969" spans="1:4" x14ac:dyDescent="0.45">
      <c r="A3969">
        <f>ROW()</f>
        <v>3969</v>
      </c>
      <c r="B3969">
        <f>Profile!A4736</f>
        <v>0</v>
      </c>
      <c r="C3969">
        <f>Profile!AP4738</f>
        <v>0</v>
      </c>
      <c r="D3969" t="str">
        <f>IF(Profile!C4736="Profile",IF(Profile!A4738="ResourceRequirement","OK","XXX"),"XXX")</f>
        <v>XXX</v>
      </c>
    </row>
    <row r="3970" spans="1:4" x14ac:dyDescent="0.45">
      <c r="A3970">
        <f>ROW()</f>
        <v>3970</v>
      </c>
      <c r="B3970">
        <f>Profile!A4737</f>
        <v>0</v>
      </c>
      <c r="C3970">
        <f>Profile!AP4739</f>
        <v>0</v>
      </c>
      <c r="D3970" t="str">
        <f>IF(Profile!C4737="Profile",IF(Profile!A4739="ResourceRequirement","OK","XXX"),"XXX")</f>
        <v>XXX</v>
      </c>
    </row>
    <row r="3971" spans="1:4" x14ac:dyDescent="0.45">
      <c r="A3971">
        <f>ROW()</f>
        <v>3971</v>
      </c>
      <c r="B3971">
        <f>Profile!A4738</f>
        <v>0</v>
      </c>
      <c r="C3971">
        <f>Profile!AP4740</f>
        <v>0</v>
      </c>
      <c r="D3971" t="str">
        <f>IF(Profile!C4738="Profile",IF(Profile!A4740="ResourceRequirement","OK","XXX"),"XXX")</f>
        <v>XXX</v>
      </c>
    </row>
    <row r="3972" spans="1:4" x14ac:dyDescent="0.45">
      <c r="A3972">
        <f>ROW()</f>
        <v>3972</v>
      </c>
      <c r="B3972">
        <f>Profile!A4739</f>
        <v>0</v>
      </c>
      <c r="C3972">
        <f>Profile!AP4741</f>
        <v>0</v>
      </c>
      <c r="D3972" t="str">
        <f>IF(Profile!C4739="Profile",IF(Profile!A4741="ResourceRequirement","OK","XXX"),"XXX")</f>
        <v>XXX</v>
      </c>
    </row>
    <row r="3973" spans="1:4" x14ac:dyDescent="0.45">
      <c r="A3973">
        <f>ROW()</f>
        <v>3973</v>
      </c>
      <c r="B3973">
        <f>Profile!A4740</f>
        <v>0</v>
      </c>
      <c r="C3973">
        <f>Profile!AP4742</f>
        <v>0</v>
      </c>
      <c r="D3973" t="str">
        <f>IF(Profile!C4740="Profile",IF(Profile!A4742="ResourceRequirement","OK","XXX"),"XXX")</f>
        <v>XXX</v>
      </c>
    </row>
    <row r="3974" spans="1:4" x14ac:dyDescent="0.45">
      <c r="A3974">
        <f>ROW()</f>
        <v>3974</v>
      </c>
      <c r="B3974">
        <f>Profile!A4741</f>
        <v>0</v>
      </c>
      <c r="C3974">
        <f>Profile!AP4743</f>
        <v>0</v>
      </c>
      <c r="D3974" t="str">
        <f>IF(Profile!C4741="Profile",IF(Profile!A4743="ResourceRequirement","OK","XXX"),"XXX")</f>
        <v>XXX</v>
      </c>
    </row>
    <row r="3975" spans="1:4" x14ac:dyDescent="0.45">
      <c r="A3975">
        <f>ROW()</f>
        <v>3975</v>
      </c>
      <c r="B3975">
        <f>Profile!A4742</f>
        <v>0</v>
      </c>
      <c r="C3975">
        <f>Profile!AP4744</f>
        <v>0</v>
      </c>
      <c r="D3975" t="str">
        <f>IF(Profile!C4742="Profile",IF(Profile!A4744="ResourceRequirement","OK","XXX"),"XXX")</f>
        <v>XXX</v>
      </c>
    </row>
    <row r="3976" spans="1:4" x14ac:dyDescent="0.45">
      <c r="A3976">
        <f>ROW()</f>
        <v>3976</v>
      </c>
      <c r="B3976">
        <f>Profile!A4743</f>
        <v>0</v>
      </c>
      <c r="C3976">
        <f>Profile!AP4745</f>
        <v>0</v>
      </c>
      <c r="D3976" t="str">
        <f>IF(Profile!C4743="Profile",IF(Profile!A4745="ResourceRequirement","OK","XXX"),"XXX")</f>
        <v>XXX</v>
      </c>
    </row>
    <row r="3977" spans="1:4" x14ac:dyDescent="0.45">
      <c r="A3977">
        <f>ROW()</f>
        <v>3977</v>
      </c>
      <c r="B3977">
        <f>Profile!A4744</f>
        <v>0</v>
      </c>
      <c r="C3977">
        <f>Profile!AP4746</f>
        <v>0</v>
      </c>
      <c r="D3977" t="str">
        <f>IF(Profile!C4744="Profile",IF(Profile!A4746="ResourceRequirement","OK","XXX"),"XXX")</f>
        <v>XXX</v>
      </c>
    </row>
    <row r="3978" spans="1:4" x14ac:dyDescent="0.45">
      <c r="A3978">
        <f>ROW()</f>
        <v>3978</v>
      </c>
      <c r="B3978">
        <f>Profile!A4745</f>
        <v>0</v>
      </c>
      <c r="C3978">
        <f>Profile!AP4747</f>
        <v>0</v>
      </c>
      <c r="D3978" t="str">
        <f>IF(Profile!C4745="Profile",IF(Profile!A4747="ResourceRequirement","OK","XXX"),"XXX")</f>
        <v>XXX</v>
      </c>
    </row>
    <row r="3979" spans="1:4" x14ac:dyDescent="0.45">
      <c r="A3979">
        <f>ROW()</f>
        <v>3979</v>
      </c>
      <c r="B3979">
        <f>Profile!A4746</f>
        <v>0</v>
      </c>
      <c r="C3979">
        <f>Profile!AP4748</f>
        <v>0</v>
      </c>
      <c r="D3979" t="str">
        <f>IF(Profile!C4746="Profile",IF(Profile!A4748="ResourceRequirement","OK","XXX"),"XXX")</f>
        <v>XXX</v>
      </c>
    </row>
    <row r="3980" spans="1:4" x14ac:dyDescent="0.45">
      <c r="A3980">
        <f>ROW()</f>
        <v>3980</v>
      </c>
      <c r="B3980">
        <f>Profile!A4747</f>
        <v>0</v>
      </c>
      <c r="C3980">
        <f>Profile!AP4749</f>
        <v>0</v>
      </c>
      <c r="D3980" t="str">
        <f>IF(Profile!C4747="Profile",IF(Profile!A4749="ResourceRequirement","OK","XXX"),"XXX")</f>
        <v>XXX</v>
      </c>
    </row>
    <row r="3981" spans="1:4" x14ac:dyDescent="0.45">
      <c r="A3981">
        <f>ROW()</f>
        <v>3981</v>
      </c>
      <c r="B3981">
        <f>Profile!A4748</f>
        <v>0</v>
      </c>
      <c r="C3981">
        <f>Profile!AP4750</f>
        <v>0</v>
      </c>
      <c r="D3981" t="str">
        <f>IF(Profile!C4748="Profile",IF(Profile!A4750="ResourceRequirement","OK","XXX"),"XXX")</f>
        <v>XXX</v>
      </c>
    </row>
    <row r="3982" spans="1:4" x14ac:dyDescent="0.45">
      <c r="A3982">
        <f>ROW()</f>
        <v>3982</v>
      </c>
      <c r="B3982">
        <f>Profile!A4749</f>
        <v>0</v>
      </c>
      <c r="C3982">
        <f>Profile!AP4751</f>
        <v>0</v>
      </c>
      <c r="D3982" t="str">
        <f>IF(Profile!C4749="Profile",IF(Profile!A4751="ResourceRequirement","OK","XXX"),"XXX")</f>
        <v>XXX</v>
      </c>
    </row>
    <row r="3983" spans="1:4" x14ac:dyDescent="0.45">
      <c r="A3983">
        <f>ROW()</f>
        <v>3983</v>
      </c>
      <c r="B3983">
        <f>Profile!A4750</f>
        <v>0</v>
      </c>
      <c r="C3983">
        <f>Profile!AP4752</f>
        <v>0</v>
      </c>
      <c r="D3983" t="str">
        <f>IF(Profile!C4750="Profile",IF(Profile!A4752="ResourceRequirement","OK","XXX"),"XXX")</f>
        <v>XXX</v>
      </c>
    </row>
    <row r="3984" spans="1:4" x14ac:dyDescent="0.45">
      <c r="A3984">
        <f>ROW()</f>
        <v>3984</v>
      </c>
      <c r="B3984">
        <f>Profile!A4751</f>
        <v>0</v>
      </c>
      <c r="C3984">
        <f>Profile!AP4753</f>
        <v>0</v>
      </c>
      <c r="D3984" t="str">
        <f>IF(Profile!C4751="Profile",IF(Profile!A4753="ResourceRequirement","OK","XXX"),"XXX")</f>
        <v>XXX</v>
      </c>
    </row>
    <row r="3985" spans="1:4" x14ac:dyDescent="0.45">
      <c r="A3985">
        <f>ROW()</f>
        <v>3985</v>
      </c>
      <c r="B3985">
        <f>Profile!A4752</f>
        <v>0</v>
      </c>
      <c r="C3985">
        <f>Profile!AP4754</f>
        <v>0</v>
      </c>
      <c r="D3985" t="str">
        <f>IF(Profile!C4752="Profile",IF(Profile!A4754="ResourceRequirement","OK","XXX"),"XXX")</f>
        <v>XXX</v>
      </c>
    </row>
    <row r="3986" spans="1:4" x14ac:dyDescent="0.45">
      <c r="A3986">
        <f>ROW()</f>
        <v>3986</v>
      </c>
      <c r="B3986">
        <f>Profile!A4753</f>
        <v>0</v>
      </c>
      <c r="C3986">
        <f>Profile!AP4755</f>
        <v>0</v>
      </c>
      <c r="D3986" t="str">
        <f>IF(Profile!C4753="Profile",IF(Profile!A4755="ResourceRequirement","OK","XXX"),"XXX")</f>
        <v>XXX</v>
      </c>
    </row>
    <row r="3987" spans="1:4" x14ac:dyDescent="0.45">
      <c r="A3987">
        <f>ROW()</f>
        <v>3987</v>
      </c>
      <c r="B3987">
        <f>Profile!A4754</f>
        <v>0</v>
      </c>
      <c r="C3987">
        <f>Profile!AP4756</f>
        <v>0</v>
      </c>
      <c r="D3987" t="str">
        <f>IF(Profile!C4754="Profile",IF(Profile!A4756="ResourceRequirement","OK","XXX"),"XXX")</f>
        <v>XXX</v>
      </c>
    </row>
    <row r="3988" spans="1:4" x14ac:dyDescent="0.45">
      <c r="A3988">
        <f>ROW()</f>
        <v>3988</v>
      </c>
      <c r="B3988">
        <f>Profile!A4755</f>
        <v>0</v>
      </c>
      <c r="C3988">
        <f>Profile!AP4757</f>
        <v>0</v>
      </c>
      <c r="D3988" t="str">
        <f>IF(Profile!C4755="Profile",IF(Profile!A4757="ResourceRequirement","OK","XXX"),"XXX")</f>
        <v>XXX</v>
      </c>
    </row>
    <row r="3989" spans="1:4" x14ac:dyDescent="0.45">
      <c r="A3989">
        <f>ROW()</f>
        <v>3989</v>
      </c>
      <c r="B3989">
        <f>Profile!A4756</f>
        <v>0</v>
      </c>
      <c r="C3989">
        <f>Profile!AP4758</f>
        <v>0</v>
      </c>
      <c r="D3989" t="str">
        <f>IF(Profile!C4756="Profile",IF(Profile!A4758="ResourceRequirement","OK","XXX"),"XXX")</f>
        <v>XXX</v>
      </c>
    </row>
    <row r="3990" spans="1:4" x14ac:dyDescent="0.45">
      <c r="A3990">
        <f>ROW()</f>
        <v>3990</v>
      </c>
      <c r="B3990">
        <f>Profile!A4757</f>
        <v>0</v>
      </c>
      <c r="C3990">
        <f>Profile!AP4759</f>
        <v>0</v>
      </c>
      <c r="D3990" t="str">
        <f>IF(Profile!C4757="Profile",IF(Profile!A4759="ResourceRequirement","OK","XXX"),"XXX")</f>
        <v>XXX</v>
      </c>
    </row>
    <row r="3991" spans="1:4" x14ac:dyDescent="0.45">
      <c r="A3991">
        <f>ROW()</f>
        <v>3991</v>
      </c>
      <c r="B3991">
        <f>Profile!A4758</f>
        <v>0</v>
      </c>
      <c r="C3991">
        <f>Profile!AP4760</f>
        <v>0</v>
      </c>
      <c r="D3991" t="str">
        <f>IF(Profile!C4758="Profile",IF(Profile!A4760="ResourceRequirement","OK","XXX"),"XXX")</f>
        <v>XXX</v>
      </c>
    </row>
    <row r="3992" spans="1:4" x14ac:dyDescent="0.45">
      <c r="A3992">
        <f>ROW()</f>
        <v>3992</v>
      </c>
      <c r="B3992">
        <f>Profile!A4759</f>
        <v>0</v>
      </c>
      <c r="C3992">
        <f>Profile!AP4761</f>
        <v>0</v>
      </c>
      <c r="D3992" t="str">
        <f>IF(Profile!C4759="Profile",IF(Profile!A4761="ResourceRequirement","OK","XXX"),"XXX")</f>
        <v>XXX</v>
      </c>
    </row>
    <row r="3993" spans="1:4" x14ac:dyDescent="0.45">
      <c r="A3993">
        <f>ROW()</f>
        <v>3993</v>
      </c>
      <c r="B3993">
        <f>Profile!A4760</f>
        <v>0</v>
      </c>
      <c r="C3993">
        <f>Profile!AP4762</f>
        <v>0</v>
      </c>
      <c r="D3993" t="str">
        <f>IF(Profile!C4760="Profile",IF(Profile!A4762="ResourceRequirement","OK","XXX"),"XXX")</f>
        <v>XXX</v>
      </c>
    </row>
    <row r="3994" spans="1:4" x14ac:dyDescent="0.45">
      <c r="A3994">
        <f>ROW()</f>
        <v>3994</v>
      </c>
      <c r="B3994">
        <f>Profile!A4761</f>
        <v>0</v>
      </c>
      <c r="C3994">
        <f>Profile!AP4763</f>
        <v>0</v>
      </c>
      <c r="D3994" t="str">
        <f>IF(Profile!C4761="Profile",IF(Profile!A4763="ResourceRequirement","OK","XXX"),"XXX")</f>
        <v>XXX</v>
      </c>
    </row>
    <row r="3995" spans="1:4" x14ac:dyDescent="0.45">
      <c r="A3995">
        <f>ROW()</f>
        <v>3995</v>
      </c>
      <c r="B3995">
        <f>Profile!A4762</f>
        <v>0</v>
      </c>
      <c r="C3995">
        <f>Profile!AP4764</f>
        <v>0</v>
      </c>
      <c r="D3995" t="str">
        <f>IF(Profile!C4762="Profile",IF(Profile!A4764="ResourceRequirement","OK","XXX"),"XXX")</f>
        <v>XXX</v>
      </c>
    </row>
    <row r="3996" spans="1:4" x14ac:dyDescent="0.45">
      <c r="A3996">
        <f>ROW()</f>
        <v>3996</v>
      </c>
      <c r="B3996">
        <f>Profile!A4763</f>
        <v>0</v>
      </c>
      <c r="C3996">
        <f>Profile!AP4765</f>
        <v>0</v>
      </c>
      <c r="D3996" t="str">
        <f>IF(Profile!C4763="Profile",IF(Profile!A4765="ResourceRequirement","OK","XXX"),"XXX")</f>
        <v>XXX</v>
      </c>
    </row>
    <row r="3997" spans="1:4" x14ac:dyDescent="0.45">
      <c r="A3997">
        <f>ROW()</f>
        <v>3997</v>
      </c>
      <c r="B3997">
        <f>Profile!A4764</f>
        <v>0</v>
      </c>
      <c r="C3997">
        <f>Profile!AP4766</f>
        <v>0</v>
      </c>
      <c r="D3997" t="str">
        <f>IF(Profile!C4764="Profile",IF(Profile!A4766="ResourceRequirement","OK","XXX"),"XXX")</f>
        <v>XXX</v>
      </c>
    </row>
    <row r="3998" spans="1:4" x14ac:dyDescent="0.45">
      <c r="A3998">
        <f>ROW()</f>
        <v>3998</v>
      </c>
      <c r="B3998">
        <f>Profile!A4765</f>
        <v>0</v>
      </c>
      <c r="C3998">
        <f>Profile!AP4767</f>
        <v>0</v>
      </c>
      <c r="D3998" t="str">
        <f>IF(Profile!C4765="Profile",IF(Profile!A4767="ResourceRequirement","OK","XXX"),"XXX")</f>
        <v>XXX</v>
      </c>
    </row>
    <row r="3999" spans="1:4" x14ac:dyDescent="0.45">
      <c r="A3999">
        <f>ROW()</f>
        <v>3999</v>
      </c>
      <c r="B3999">
        <f>Profile!A4766</f>
        <v>0</v>
      </c>
      <c r="C3999">
        <f>Profile!AP4768</f>
        <v>0</v>
      </c>
      <c r="D3999" t="str">
        <f>IF(Profile!C4766="Profile",IF(Profile!A4768="ResourceRequirement","OK","XXX"),"XXX")</f>
        <v>XXX</v>
      </c>
    </row>
    <row r="4000" spans="1:4" x14ac:dyDescent="0.45">
      <c r="A4000">
        <f>ROW()</f>
        <v>4000</v>
      </c>
      <c r="B4000">
        <f>Profile!A4767</f>
        <v>0</v>
      </c>
      <c r="C4000">
        <f>Profile!AP4769</f>
        <v>0</v>
      </c>
      <c r="D4000" t="str">
        <f>IF(Profile!C4767="Profile",IF(Profile!A4769="ResourceRequirement","OK","XXX"),"XXX")</f>
        <v>XXX</v>
      </c>
    </row>
    <row r="4001" spans="1:4" x14ac:dyDescent="0.45">
      <c r="A4001">
        <f>ROW()</f>
        <v>4001</v>
      </c>
      <c r="B4001">
        <f>Profile!A4768</f>
        <v>0</v>
      </c>
      <c r="C4001">
        <f>Profile!AP4770</f>
        <v>0</v>
      </c>
      <c r="D4001" t="str">
        <f>IF(Profile!C4768="Profile",IF(Profile!A4770="ResourceRequirement","OK","XXX"),"XXX")</f>
        <v>XXX</v>
      </c>
    </row>
    <row r="4002" spans="1:4" x14ac:dyDescent="0.45">
      <c r="A4002">
        <f>ROW()</f>
        <v>4002</v>
      </c>
      <c r="B4002">
        <f>Profile!A4769</f>
        <v>0</v>
      </c>
      <c r="C4002">
        <f>Profile!AP4771</f>
        <v>0</v>
      </c>
      <c r="D4002" t="str">
        <f>IF(Profile!C4769="Profile",IF(Profile!A4771="ResourceRequirement","OK","XXX"),"XXX")</f>
        <v>XXX</v>
      </c>
    </row>
    <row r="4003" spans="1:4" x14ac:dyDescent="0.45">
      <c r="A4003">
        <f>ROW()</f>
        <v>4003</v>
      </c>
      <c r="B4003">
        <f>Profile!A4770</f>
        <v>0</v>
      </c>
      <c r="C4003">
        <f>Profile!AP4772</f>
        <v>0</v>
      </c>
      <c r="D4003" t="str">
        <f>IF(Profile!C4770="Profile",IF(Profile!A4772="ResourceRequirement","OK","XXX"),"XXX")</f>
        <v>XXX</v>
      </c>
    </row>
    <row r="4004" spans="1:4" x14ac:dyDescent="0.45">
      <c r="A4004">
        <f>ROW()</f>
        <v>4004</v>
      </c>
      <c r="B4004">
        <f>Profile!A4771</f>
        <v>0</v>
      </c>
      <c r="C4004">
        <f>Profile!AP4773</f>
        <v>0</v>
      </c>
      <c r="D4004" t="str">
        <f>IF(Profile!C4771="Profile",IF(Profile!A4773="ResourceRequirement","OK","XXX"),"XXX")</f>
        <v>XXX</v>
      </c>
    </row>
    <row r="4005" spans="1:4" x14ac:dyDescent="0.45">
      <c r="A4005">
        <f>ROW()</f>
        <v>4005</v>
      </c>
      <c r="B4005">
        <f>Profile!A4772</f>
        <v>0</v>
      </c>
      <c r="C4005">
        <f>Profile!AP4774</f>
        <v>0</v>
      </c>
      <c r="D4005" t="str">
        <f>IF(Profile!C4772="Profile",IF(Profile!A4774="ResourceRequirement","OK","XXX"),"XXX")</f>
        <v>XXX</v>
      </c>
    </row>
    <row r="4006" spans="1:4" x14ac:dyDescent="0.45">
      <c r="A4006">
        <f>ROW()</f>
        <v>4006</v>
      </c>
      <c r="B4006">
        <f>Profile!A4773</f>
        <v>0</v>
      </c>
      <c r="C4006">
        <f>Profile!AP4775</f>
        <v>0</v>
      </c>
      <c r="D4006" t="str">
        <f>IF(Profile!C4773="Profile",IF(Profile!A4775="ResourceRequirement","OK","XXX"),"XXX")</f>
        <v>XXX</v>
      </c>
    </row>
    <row r="4007" spans="1:4" x14ac:dyDescent="0.45">
      <c r="A4007">
        <f>ROW()</f>
        <v>4007</v>
      </c>
      <c r="B4007">
        <f>Profile!A4774</f>
        <v>0</v>
      </c>
      <c r="C4007">
        <f>Profile!AP4776</f>
        <v>0</v>
      </c>
      <c r="D4007" t="str">
        <f>IF(Profile!C4774="Profile",IF(Profile!A4776="ResourceRequirement","OK","XXX"),"XXX")</f>
        <v>XXX</v>
      </c>
    </row>
    <row r="4008" spans="1:4" x14ac:dyDescent="0.45">
      <c r="A4008">
        <f>ROW()</f>
        <v>4008</v>
      </c>
      <c r="B4008">
        <f>Profile!A4775</f>
        <v>0</v>
      </c>
      <c r="C4008">
        <f>Profile!AP4777</f>
        <v>0</v>
      </c>
      <c r="D4008" t="str">
        <f>IF(Profile!C4775="Profile",IF(Profile!A4777="ResourceRequirement","OK","XXX"),"XXX")</f>
        <v>XXX</v>
      </c>
    </row>
    <row r="4009" spans="1:4" x14ac:dyDescent="0.45">
      <c r="A4009">
        <f>ROW()</f>
        <v>4009</v>
      </c>
      <c r="B4009">
        <f>Profile!A4776</f>
        <v>0</v>
      </c>
      <c r="C4009">
        <f>Profile!AP4778</f>
        <v>0</v>
      </c>
      <c r="D4009" t="str">
        <f>IF(Profile!C4776="Profile",IF(Profile!A4778="ResourceRequirement","OK","XXX"),"XXX")</f>
        <v>XXX</v>
      </c>
    </row>
    <row r="4010" spans="1:4" x14ac:dyDescent="0.45">
      <c r="A4010">
        <f>ROW()</f>
        <v>4010</v>
      </c>
      <c r="B4010">
        <f>Profile!A4777</f>
        <v>0</v>
      </c>
      <c r="C4010">
        <f>Profile!AP4779</f>
        <v>0</v>
      </c>
      <c r="D4010" t="str">
        <f>IF(Profile!C4777="Profile",IF(Profile!A4779="ResourceRequirement","OK","XXX"),"XXX")</f>
        <v>XXX</v>
      </c>
    </row>
    <row r="4011" spans="1:4" x14ac:dyDescent="0.45">
      <c r="A4011">
        <f>ROW()</f>
        <v>4011</v>
      </c>
      <c r="B4011">
        <f>Profile!A4778</f>
        <v>0</v>
      </c>
      <c r="C4011">
        <f>Profile!AP4780</f>
        <v>0</v>
      </c>
      <c r="D4011" t="str">
        <f>IF(Profile!C4778="Profile",IF(Profile!A4780="ResourceRequirement","OK","XXX"),"XXX")</f>
        <v>XXX</v>
      </c>
    </row>
    <row r="4012" spans="1:4" x14ac:dyDescent="0.45">
      <c r="A4012">
        <f>ROW()</f>
        <v>4012</v>
      </c>
      <c r="B4012">
        <f>Profile!A4779</f>
        <v>0</v>
      </c>
      <c r="C4012">
        <f>Profile!AP4781</f>
        <v>0</v>
      </c>
      <c r="D4012" t="str">
        <f>IF(Profile!C4779="Profile",IF(Profile!A4781="ResourceRequirement","OK","XXX"),"XXX")</f>
        <v>XXX</v>
      </c>
    </row>
    <row r="4013" spans="1:4" x14ac:dyDescent="0.45">
      <c r="A4013">
        <f>ROW()</f>
        <v>4013</v>
      </c>
      <c r="B4013">
        <f>Profile!A4780</f>
        <v>0</v>
      </c>
      <c r="C4013">
        <f>Profile!AP4782</f>
        <v>0</v>
      </c>
      <c r="D4013" t="str">
        <f>IF(Profile!C4780="Profile",IF(Profile!A4782="ResourceRequirement","OK","XXX"),"XXX")</f>
        <v>XXX</v>
      </c>
    </row>
    <row r="4014" spans="1:4" x14ac:dyDescent="0.45">
      <c r="A4014">
        <f>ROW()</f>
        <v>4014</v>
      </c>
      <c r="B4014">
        <f>Profile!A4781</f>
        <v>0</v>
      </c>
      <c r="C4014">
        <f>Profile!AP4783</f>
        <v>0</v>
      </c>
      <c r="D4014" t="str">
        <f>IF(Profile!C4781="Profile",IF(Profile!A4783="ResourceRequirement","OK","XXX"),"XXX")</f>
        <v>XXX</v>
      </c>
    </row>
    <row r="4015" spans="1:4" x14ac:dyDescent="0.45">
      <c r="A4015">
        <f>ROW()</f>
        <v>4015</v>
      </c>
      <c r="B4015">
        <f>Profile!A4782</f>
        <v>0</v>
      </c>
      <c r="C4015">
        <f>Profile!AP4784</f>
        <v>0</v>
      </c>
      <c r="D4015" t="str">
        <f>IF(Profile!C4782="Profile",IF(Profile!A4784="ResourceRequirement","OK","XXX"),"XXX")</f>
        <v>XXX</v>
      </c>
    </row>
    <row r="4016" spans="1:4" x14ac:dyDescent="0.45">
      <c r="A4016">
        <f>ROW()</f>
        <v>4016</v>
      </c>
      <c r="B4016">
        <f>Profile!A4783</f>
        <v>0</v>
      </c>
      <c r="C4016">
        <f>Profile!AP4785</f>
        <v>0</v>
      </c>
      <c r="D4016" t="str">
        <f>IF(Profile!C4783="Profile",IF(Profile!A4785="ResourceRequirement","OK","XXX"),"XXX")</f>
        <v>XXX</v>
      </c>
    </row>
    <row r="4017" spans="1:4" x14ac:dyDescent="0.45">
      <c r="A4017">
        <f>ROW()</f>
        <v>4017</v>
      </c>
      <c r="B4017">
        <f>Profile!A4784</f>
        <v>0</v>
      </c>
      <c r="C4017">
        <f>Profile!AP4786</f>
        <v>0</v>
      </c>
      <c r="D4017" t="str">
        <f>IF(Profile!C4784="Profile",IF(Profile!A4786="ResourceRequirement","OK","XXX"),"XXX")</f>
        <v>XXX</v>
      </c>
    </row>
    <row r="4018" spans="1:4" x14ac:dyDescent="0.45">
      <c r="A4018">
        <f>ROW()</f>
        <v>4018</v>
      </c>
      <c r="B4018">
        <f>Profile!A4785</f>
        <v>0</v>
      </c>
      <c r="C4018">
        <f>Profile!AP4787</f>
        <v>0</v>
      </c>
      <c r="D4018" t="str">
        <f>IF(Profile!C4785="Profile",IF(Profile!A4787="ResourceRequirement","OK","XXX"),"XXX")</f>
        <v>XXX</v>
      </c>
    </row>
    <row r="4019" spans="1:4" x14ac:dyDescent="0.45">
      <c r="A4019">
        <f>ROW()</f>
        <v>4019</v>
      </c>
      <c r="B4019">
        <f>Profile!A4786</f>
        <v>0</v>
      </c>
      <c r="C4019">
        <f>Profile!AP4788</f>
        <v>0</v>
      </c>
      <c r="D4019" t="str">
        <f>IF(Profile!C4786="Profile",IF(Profile!A4788="ResourceRequirement","OK","XXX"),"XXX")</f>
        <v>XXX</v>
      </c>
    </row>
    <row r="4020" spans="1:4" x14ac:dyDescent="0.45">
      <c r="A4020">
        <f>ROW()</f>
        <v>4020</v>
      </c>
      <c r="B4020">
        <f>Profile!A4787</f>
        <v>0</v>
      </c>
      <c r="C4020">
        <f>Profile!AP4789</f>
        <v>0</v>
      </c>
      <c r="D4020" t="str">
        <f>IF(Profile!C4787="Profile",IF(Profile!A4789="ResourceRequirement","OK","XXX"),"XXX")</f>
        <v>XXX</v>
      </c>
    </row>
    <row r="4021" spans="1:4" x14ac:dyDescent="0.45">
      <c r="A4021">
        <f>ROW()</f>
        <v>4021</v>
      </c>
      <c r="B4021">
        <f>Profile!A4788</f>
        <v>0</v>
      </c>
      <c r="C4021">
        <f>Profile!AP4790</f>
        <v>0</v>
      </c>
      <c r="D4021" t="str">
        <f>IF(Profile!C4788="Profile",IF(Profile!A4790="ResourceRequirement","OK","XXX"),"XXX")</f>
        <v>XXX</v>
      </c>
    </row>
    <row r="4022" spans="1:4" x14ac:dyDescent="0.45">
      <c r="A4022">
        <f>ROW()</f>
        <v>4022</v>
      </c>
      <c r="B4022">
        <f>Profile!A4789</f>
        <v>0</v>
      </c>
      <c r="C4022">
        <f>Profile!AP4791</f>
        <v>0</v>
      </c>
      <c r="D4022" t="str">
        <f>IF(Profile!C4789="Profile",IF(Profile!A4791="ResourceRequirement","OK","XXX"),"XXX")</f>
        <v>XXX</v>
      </c>
    </row>
    <row r="4023" spans="1:4" x14ac:dyDescent="0.45">
      <c r="A4023">
        <f>ROW()</f>
        <v>4023</v>
      </c>
      <c r="B4023">
        <f>Profile!A4790</f>
        <v>0</v>
      </c>
      <c r="C4023">
        <f>Profile!AP4792</f>
        <v>0</v>
      </c>
      <c r="D4023" t="str">
        <f>IF(Profile!C4790="Profile",IF(Profile!A4792="ResourceRequirement","OK","XXX"),"XXX")</f>
        <v>XXX</v>
      </c>
    </row>
    <row r="4024" spans="1:4" x14ac:dyDescent="0.45">
      <c r="A4024">
        <f>ROW()</f>
        <v>4024</v>
      </c>
      <c r="B4024">
        <f>Profile!A4791</f>
        <v>0</v>
      </c>
      <c r="C4024">
        <f>Profile!AP4793</f>
        <v>0</v>
      </c>
      <c r="D4024" t="str">
        <f>IF(Profile!C4791="Profile",IF(Profile!A4793="ResourceRequirement","OK","XXX"),"XXX")</f>
        <v>XXX</v>
      </c>
    </row>
    <row r="4025" spans="1:4" x14ac:dyDescent="0.45">
      <c r="A4025">
        <f>ROW()</f>
        <v>4025</v>
      </c>
      <c r="B4025">
        <f>Profile!A4792</f>
        <v>0</v>
      </c>
      <c r="C4025">
        <f>Profile!AP4794</f>
        <v>0</v>
      </c>
      <c r="D4025" t="str">
        <f>IF(Profile!C4792="Profile",IF(Profile!A4794="ResourceRequirement","OK","XXX"),"XXX")</f>
        <v>XXX</v>
      </c>
    </row>
    <row r="4026" spans="1:4" x14ac:dyDescent="0.45">
      <c r="A4026">
        <f>ROW()</f>
        <v>4026</v>
      </c>
      <c r="B4026">
        <f>Profile!A4793</f>
        <v>0</v>
      </c>
      <c r="C4026">
        <f>Profile!AP4795</f>
        <v>0</v>
      </c>
      <c r="D4026" t="str">
        <f>IF(Profile!C4793="Profile",IF(Profile!A4795="ResourceRequirement","OK","XXX"),"XXX")</f>
        <v>XXX</v>
      </c>
    </row>
    <row r="4027" spans="1:4" x14ac:dyDescent="0.45">
      <c r="A4027">
        <f>ROW()</f>
        <v>4027</v>
      </c>
      <c r="B4027">
        <f>Profile!A4794</f>
        <v>0</v>
      </c>
      <c r="C4027">
        <f>Profile!AP4796</f>
        <v>0</v>
      </c>
      <c r="D4027" t="str">
        <f>IF(Profile!C4794="Profile",IF(Profile!A4796="ResourceRequirement","OK","XXX"),"XXX")</f>
        <v>XXX</v>
      </c>
    </row>
    <row r="4028" spans="1:4" x14ac:dyDescent="0.45">
      <c r="A4028">
        <f>ROW()</f>
        <v>4028</v>
      </c>
      <c r="B4028">
        <f>Profile!A4795</f>
        <v>0</v>
      </c>
      <c r="C4028">
        <f>Profile!AP4797</f>
        <v>0</v>
      </c>
      <c r="D4028" t="str">
        <f>IF(Profile!C4795="Profile",IF(Profile!A4797="ResourceRequirement","OK","XXX"),"XXX")</f>
        <v>XXX</v>
      </c>
    </row>
    <row r="4029" spans="1:4" x14ac:dyDescent="0.45">
      <c r="A4029">
        <f>ROW()</f>
        <v>4029</v>
      </c>
      <c r="B4029">
        <f>Profile!A4796</f>
        <v>0</v>
      </c>
      <c r="C4029">
        <f>Profile!AP4798</f>
        <v>0</v>
      </c>
      <c r="D4029" t="str">
        <f>IF(Profile!C4796="Profile",IF(Profile!A4798="ResourceRequirement","OK","XXX"),"XXX")</f>
        <v>XXX</v>
      </c>
    </row>
    <row r="4030" spans="1:4" x14ac:dyDescent="0.45">
      <c r="A4030">
        <f>ROW()</f>
        <v>4030</v>
      </c>
      <c r="B4030">
        <f>Profile!A4797</f>
        <v>0</v>
      </c>
      <c r="C4030">
        <f>Profile!AP4799</f>
        <v>0</v>
      </c>
      <c r="D4030" t="str">
        <f>IF(Profile!C4797="Profile",IF(Profile!A4799="ResourceRequirement","OK","XXX"),"XXX")</f>
        <v>XXX</v>
      </c>
    </row>
    <row r="4031" spans="1:4" x14ac:dyDescent="0.45">
      <c r="A4031">
        <f>ROW()</f>
        <v>4031</v>
      </c>
      <c r="B4031">
        <f>Profile!A4798</f>
        <v>0</v>
      </c>
      <c r="C4031">
        <f>Profile!AP4800</f>
        <v>0</v>
      </c>
      <c r="D4031" t="str">
        <f>IF(Profile!C4798="Profile",IF(Profile!A4800="ResourceRequirement","OK","XXX"),"XXX")</f>
        <v>XXX</v>
      </c>
    </row>
    <row r="4032" spans="1:4" x14ac:dyDescent="0.45">
      <c r="A4032">
        <f>ROW()</f>
        <v>4032</v>
      </c>
      <c r="B4032">
        <f>Profile!A4799</f>
        <v>0</v>
      </c>
      <c r="C4032">
        <f>Profile!AP4801</f>
        <v>0</v>
      </c>
      <c r="D4032" t="str">
        <f>IF(Profile!C4799="Profile",IF(Profile!A4801="ResourceRequirement","OK","XXX"),"XXX")</f>
        <v>XXX</v>
      </c>
    </row>
    <row r="4033" spans="1:4" x14ac:dyDescent="0.45">
      <c r="A4033">
        <f>ROW()</f>
        <v>4033</v>
      </c>
      <c r="B4033">
        <f>Profile!A4800</f>
        <v>0</v>
      </c>
      <c r="C4033">
        <f>Profile!AP4802</f>
        <v>0</v>
      </c>
      <c r="D4033" t="str">
        <f>IF(Profile!C4800="Profile",IF(Profile!A4802="ResourceRequirement","OK","XXX"),"XXX")</f>
        <v>XXX</v>
      </c>
    </row>
    <row r="4034" spans="1:4" x14ac:dyDescent="0.45">
      <c r="A4034">
        <f>ROW()</f>
        <v>4034</v>
      </c>
      <c r="B4034">
        <f>Profile!A4801</f>
        <v>0</v>
      </c>
      <c r="C4034">
        <f>Profile!AP4803</f>
        <v>0</v>
      </c>
      <c r="D4034" t="str">
        <f>IF(Profile!C4801="Profile",IF(Profile!A4803="ResourceRequirement","OK","XXX"),"XXX")</f>
        <v>XXX</v>
      </c>
    </row>
    <row r="4035" spans="1:4" x14ac:dyDescent="0.45">
      <c r="A4035">
        <f>ROW()</f>
        <v>4035</v>
      </c>
      <c r="B4035">
        <f>Profile!A4802</f>
        <v>0</v>
      </c>
      <c r="C4035">
        <f>Profile!AP4804</f>
        <v>0</v>
      </c>
      <c r="D4035" t="str">
        <f>IF(Profile!C4802="Profile",IF(Profile!A4804="ResourceRequirement","OK","XXX"),"XXX")</f>
        <v>XXX</v>
      </c>
    </row>
    <row r="4036" spans="1:4" x14ac:dyDescent="0.45">
      <c r="A4036">
        <f>ROW()</f>
        <v>4036</v>
      </c>
      <c r="B4036">
        <f>Profile!A4803</f>
        <v>0</v>
      </c>
      <c r="C4036">
        <f>Profile!AP4805</f>
        <v>0</v>
      </c>
      <c r="D4036" t="str">
        <f>IF(Profile!C4803="Profile",IF(Profile!A4805="ResourceRequirement","OK","XXX"),"XXX")</f>
        <v>XXX</v>
      </c>
    </row>
    <row r="4037" spans="1:4" x14ac:dyDescent="0.45">
      <c r="A4037">
        <f>ROW()</f>
        <v>4037</v>
      </c>
      <c r="B4037">
        <f>Profile!A4804</f>
        <v>0</v>
      </c>
      <c r="C4037">
        <f>Profile!AP4806</f>
        <v>0</v>
      </c>
      <c r="D4037" t="str">
        <f>IF(Profile!C4804="Profile",IF(Profile!A4806="ResourceRequirement","OK","XXX"),"XXX")</f>
        <v>XXX</v>
      </c>
    </row>
    <row r="4038" spans="1:4" x14ac:dyDescent="0.45">
      <c r="A4038">
        <f>ROW()</f>
        <v>4038</v>
      </c>
      <c r="B4038">
        <f>Profile!A4805</f>
        <v>0</v>
      </c>
      <c r="C4038">
        <f>Profile!AP4807</f>
        <v>0</v>
      </c>
      <c r="D4038" t="str">
        <f>IF(Profile!C4805="Profile",IF(Profile!A4807="ResourceRequirement","OK","XXX"),"XXX")</f>
        <v>XXX</v>
      </c>
    </row>
    <row r="4039" spans="1:4" x14ac:dyDescent="0.45">
      <c r="A4039">
        <f>ROW()</f>
        <v>4039</v>
      </c>
      <c r="B4039">
        <f>Profile!A4806</f>
        <v>0</v>
      </c>
      <c r="C4039">
        <f>Profile!AP4808</f>
        <v>0</v>
      </c>
      <c r="D4039" t="str">
        <f>IF(Profile!C4806="Profile",IF(Profile!A4808="ResourceRequirement","OK","XXX"),"XXX")</f>
        <v>XXX</v>
      </c>
    </row>
    <row r="4040" spans="1:4" x14ac:dyDescent="0.45">
      <c r="A4040">
        <f>ROW()</f>
        <v>4040</v>
      </c>
      <c r="B4040">
        <f>Profile!A4807</f>
        <v>0</v>
      </c>
      <c r="C4040">
        <f>Profile!AP4809</f>
        <v>0</v>
      </c>
      <c r="D4040" t="str">
        <f>IF(Profile!C4807="Profile",IF(Profile!A4809="ResourceRequirement","OK","XXX"),"XXX")</f>
        <v>XXX</v>
      </c>
    </row>
    <row r="4041" spans="1:4" x14ac:dyDescent="0.45">
      <c r="A4041">
        <f>ROW()</f>
        <v>4041</v>
      </c>
      <c r="B4041">
        <f>Profile!A4808</f>
        <v>0</v>
      </c>
      <c r="C4041">
        <f>Profile!AP4810</f>
        <v>0</v>
      </c>
      <c r="D4041" t="str">
        <f>IF(Profile!C4808="Profile",IF(Profile!A4810="ResourceRequirement","OK","XXX"),"XXX")</f>
        <v>XXX</v>
      </c>
    </row>
    <row r="4042" spans="1:4" x14ac:dyDescent="0.45">
      <c r="A4042">
        <f>ROW()</f>
        <v>4042</v>
      </c>
      <c r="B4042">
        <f>Profile!A4809</f>
        <v>0</v>
      </c>
      <c r="C4042">
        <f>Profile!AP4811</f>
        <v>0</v>
      </c>
      <c r="D4042" t="str">
        <f>IF(Profile!C4809="Profile",IF(Profile!A4811="ResourceRequirement","OK","XXX"),"XXX")</f>
        <v>XXX</v>
      </c>
    </row>
    <row r="4043" spans="1:4" x14ac:dyDescent="0.45">
      <c r="A4043">
        <f>ROW()</f>
        <v>4043</v>
      </c>
      <c r="B4043">
        <f>Profile!A4810</f>
        <v>0</v>
      </c>
      <c r="C4043">
        <f>Profile!AP4812</f>
        <v>0</v>
      </c>
      <c r="D4043" t="str">
        <f>IF(Profile!C4810="Profile",IF(Profile!A4812="ResourceRequirement","OK","XXX"),"XXX")</f>
        <v>XXX</v>
      </c>
    </row>
    <row r="4044" spans="1:4" x14ac:dyDescent="0.45">
      <c r="A4044">
        <f>ROW()</f>
        <v>4044</v>
      </c>
      <c r="B4044">
        <f>Profile!A4811</f>
        <v>0</v>
      </c>
      <c r="C4044">
        <f>Profile!AP4813</f>
        <v>0</v>
      </c>
      <c r="D4044" t="str">
        <f>IF(Profile!C4811="Profile",IF(Profile!A4813="ResourceRequirement","OK","XXX"),"XXX")</f>
        <v>XXX</v>
      </c>
    </row>
    <row r="4045" spans="1:4" x14ac:dyDescent="0.45">
      <c r="A4045">
        <f>ROW()</f>
        <v>4045</v>
      </c>
      <c r="B4045">
        <f>Profile!A4812</f>
        <v>0</v>
      </c>
      <c r="C4045">
        <f>Profile!AP4814</f>
        <v>0</v>
      </c>
      <c r="D4045" t="str">
        <f>IF(Profile!C4812="Profile",IF(Profile!A4814="ResourceRequirement","OK","XXX"),"XXX")</f>
        <v>XXX</v>
      </c>
    </row>
    <row r="4046" spans="1:4" x14ac:dyDescent="0.45">
      <c r="A4046">
        <f>ROW()</f>
        <v>4046</v>
      </c>
      <c r="B4046">
        <f>Profile!A4813</f>
        <v>0</v>
      </c>
      <c r="C4046">
        <f>Profile!AP4815</f>
        <v>0</v>
      </c>
      <c r="D4046" t="str">
        <f>IF(Profile!C4813="Profile",IF(Profile!A4815="ResourceRequirement","OK","XXX"),"XXX")</f>
        <v>XXX</v>
      </c>
    </row>
    <row r="4047" spans="1:4" x14ac:dyDescent="0.45">
      <c r="A4047">
        <f>ROW()</f>
        <v>4047</v>
      </c>
      <c r="B4047">
        <f>Profile!A4814</f>
        <v>0</v>
      </c>
      <c r="C4047">
        <f>Profile!AP4816</f>
        <v>0</v>
      </c>
      <c r="D4047" t="str">
        <f>IF(Profile!C4814="Profile",IF(Profile!A4816="ResourceRequirement","OK","XXX"),"XXX")</f>
        <v>XXX</v>
      </c>
    </row>
    <row r="4048" spans="1:4" x14ac:dyDescent="0.45">
      <c r="A4048">
        <f>ROW()</f>
        <v>4048</v>
      </c>
      <c r="B4048">
        <f>Profile!A4815</f>
        <v>0</v>
      </c>
      <c r="C4048">
        <f>Profile!AP4817</f>
        <v>0</v>
      </c>
      <c r="D4048" t="str">
        <f>IF(Profile!C4815="Profile",IF(Profile!A4817="ResourceRequirement","OK","XXX"),"XXX")</f>
        <v>XXX</v>
      </c>
    </row>
    <row r="4049" spans="1:4" x14ac:dyDescent="0.45">
      <c r="A4049">
        <f>ROW()</f>
        <v>4049</v>
      </c>
      <c r="B4049">
        <f>Profile!A4816</f>
        <v>0</v>
      </c>
      <c r="C4049">
        <f>Profile!AP4818</f>
        <v>0</v>
      </c>
      <c r="D4049" t="str">
        <f>IF(Profile!C4816="Profile",IF(Profile!A4818="ResourceRequirement","OK","XXX"),"XXX")</f>
        <v>XXX</v>
      </c>
    </row>
    <row r="4050" spans="1:4" x14ac:dyDescent="0.45">
      <c r="A4050">
        <f>ROW()</f>
        <v>4050</v>
      </c>
      <c r="B4050">
        <f>Profile!A4817</f>
        <v>0</v>
      </c>
      <c r="C4050">
        <f>Profile!AP4819</f>
        <v>0</v>
      </c>
      <c r="D4050" t="str">
        <f>IF(Profile!C4817="Profile",IF(Profile!A4819="ResourceRequirement","OK","XXX"),"XXX")</f>
        <v>XXX</v>
      </c>
    </row>
    <row r="4051" spans="1:4" x14ac:dyDescent="0.45">
      <c r="A4051">
        <f>ROW()</f>
        <v>4051</v>
      </c>
      <c r="B4051">
        <f>Profile!A4818</f>
        <v>0</v>
      </c>
      <c r="C4051">
        <f>Profile!AP4820</f>
        <v>0</v>
      </c>
      <c r="D4051" t="str">
        <f>IF(Profile!C4818="Profile",IF(Profile!A4820="ResourceRequirement","OK","XXX"),"XXX")</f>
        <v>XXX</v>
      </c>
    </row>
    <row r="4052" spans="1:4" x14ac:dyDescent="0.45">
      <c r="A4052">
        <f>ROW()</f>
        <v>4052</v>
      </c>
      <c r="B4052">
        <f>Profile!A4819</f>
        <v>0</v>
      </c>
      <c r="C4052">
        <f>Profile!AP4821</f>
        <v>0</v>
      </c>
      <c r="D4052" t="str">
        <f>IF(Profile!C4819="Profile",IF(Profile!A4821="ResourceRequirement","OK","XXX"),"XXX")</f>
        <v>XXX</v>
      </c>
    </row>
    <row r="4053" spans="1:4" x14ac:dyDescent="0.45">
      <c r="A4053">
        <f>ROW()</f>
        <v>4053</v>
      </c>
      <c r="B4053">
        <f>Profile!A4820</f>
        <v>0</v>
      </c>
      <c r="C4053">
        <f>Profile!AP4822</f>
        <v>0</v>
      </c>
      <c r="D4053" t="str">
        <f>IF(Profile!C4820="Profile",IF(Profile!A4822="ResourceRequirement","OK","XXX"),"XXX")</f>
        <v>XXX</v>
      </c>
    </row>
    <row r="4054" spans="1:4" x14ac:dyDescent="0.45">
      <c r="A4054">
        <f>ROW()</f>
        <v>4054</v>
      </c>
      <c r="B4054">
        <f>Profile!A4821</f>
        <v>0</v>
      </c>
      <c r="C4054">
        <f>Profile!AP4823</f>
        <v>0</v>
      </c>
      <c r="D4054" t="str">
        <f>IF(Profile!C4821="Profile",IF(Profile!A4823="ResourceRequirement","OK","XXX"),"XXX")</f>
        <v>XXX</v>
      </c>
    </row>
    <row r="4055" spans="1:4" x14ac:dyDescent="0.45">
      <c r="A4055">
        <f>ROW()</f>
        <v>4055</v>
      </c>
      <c r="B4055">
        <f>Profile!A4822</f>
        <v>0</v>
      </c>
      <c r="C4055">
        <f>Profile!AP4824</f>
        <v>0</v>
      </c>
      <c r="D4055" t="str">
        <f>IF(Profile!C4822="Profile",IF(Profile!A4824="ResourceRequirement","OK","XXX"),"XXX")</f>
        <v>XXX</v>
      </c>
    </row>
    <row r="4056" spans="1:4" x14ac:dyDescent="0.45">
      <c r="A4056">
        <f>ROW()</f>
        <v>4056</v>
      </c>
      <c r="B4056">
        <f>Profile!A4823</f>
        <v>0</v>
      </c>
      <c r="C4056">
        <f>Profile!AP4825</f>
        <v>0</v>
      </c>
      <c r="D4056" t="str">
        <f>IF(Profile!C4823="Profile",IF(Profile!A4825="ResourceRequirement","OK","XXX"),"XXX")</f>
        <v>XXX</v>
      </c>
    </row>
    <row r="4057" spans="1:4" x14ac:dyDescent="0.45">
      <c r="A4057">
        <f>ROW()</f>
        <v>4057</v>
      </c>
      <c r="B4057" t="str">
        <f>Profile!A4824</f>
        <v>f</v>
      </c>
      <c r="C4057">
        <f>Profile!AP4826</f>
        <v>0</v>
      </c>
      <c r="D4057" t="str">
        <f>IF(Profile!C4824="Profile",IF(Profile!A4826="ResourceRequirement","OK","XXX"),"XXX")</f>
        <v>XXX</v>
      </c>
    </row>
    <row r="4058" spans="1:4" x14ac:dyDescent="0.45">
      <c r="A4058">
        <f>ROW()</f>
        <v>4058</v>
      </c>
      <c r="B4058">
        <f>Profile!A4825</f>
        <v>0</v>
      </c>
      <c r="C4058">
        <f>Profile!AP4827</f>
        <v>0</v>
      </c>
      <c r="D4058" t="str">
        <f>IF(Profile!C4825="Profile",IF(Profile!A4827="ResourceRequirement","OK","XXX"),"XXX")</f>
        <v>XXX</v>
      </c>
    </row>
    <row r="4059" spans="1:4" x14ac:dyDescent="0.45">
      <c r="A4059">
        <f>ROW()</f>
        <v>4059</v>
      </c>
      <c r="B4059">
        <f>Profile!A4826</f>
        <v>0</v>
      </c>
      <c r="C4059">
        <f>Profile!AP4828</f>
        <v>0</v>
      </c>
      <c r="D4059" t="str">
        <f>IF(Profile!C4826="Profile",IF(Profile!A4828="ResourceRequirement","OK","XXX"),"XXX")</f>
        <v>XXX</v>
      </c>
    </row>
    <row r="4060" spans="1:4" x14ac:dyDescent="0.45">
      <c r="A4060">
        <f>ROW()</f>
        <v>4060</v>
      </c>
      <c r="B4060">
        <f>Profile!A4827</f>
        <v>0</v>
      </c>
      <c r="C4060">
        <f>Profile!AP4829</f>
        <v>0</v>
      </c>
      <c r="D4060" t="str">
        <f>IF(Profile!C4827="Profile",IF(Profile!A4829="ResourceRequirement","OK","XXX"),"XXX")</f>
        <v>XXX</v>
      </c>
    </row>
    <row r="4061" spans="1:4" x14ac:dyDescent="0.45">
      <c r="A4061">
        <f>ROW()</f>
        <v>4061</v>
      </c>
      <c r="B4061">
        <f>Profile!A4828</f>
        <v>0</v>
      </c>
      <c r="C4061">
        <f>Profile!AP4830</f>
        <v>0</v>
      </c>
      <c r="D4061" t="str">
        <f>IF(Profile!C4828="Profile",IF(Profile!A4830="ResourceRequirement","OK","XXX"),"XXX")</f>
        <v>XXX</v>
      </c>
    </row>
    <row r="4062" spans="1:4" x14ac:dyDescent="0.45">
      <c r="A4062">
        <f>ROW()</f>
        <v>4062</v>
      </c>
      <c r="B4062">
        <f>Profile!A4829</f>
        <v>0</v>
      </c>
      <c r="C4062">
        <f>Profile!AP4831</f>
        <v>0</v>
      </c>
      <c r="D4062" t="str">
        <f>IF(Profile!C4829="Profile",IF(Profile!A4831="ResourceRequirement","OK","XXX"),"XXX")</f>
        <v>XXX</v>
      </c>
    </row>
    <row r="4063" spans="1:4" x14ac:dyDescent="0.45">
      <c r="A4063">
        <f>ROW()</f>
        <v>4063</v>
      </c>
      <c r="B4063">
        <f>Profile!A4830</f>
        <v>0</v>
      </c>
      <c r="C4063">
        <f>Profile!AP4832</f>
        <v>0</v>
      </c>
      <c r="D4063" t="str">
        <f>IF(Profile!C4830="Profile",IF(Profile!A4832="ResourceRequirement","OK","XXX"),"XXX")</f>
        <v>XXX</v>
      </c>
    </row>
    <row r="4064" spans="1:4" x14ac:dyDescent="0.45">
      <c r="A4064">
        <f>ROW()</f>
        <v>4064</v>
      </c>
      <c r="B4064">
        <f>Profile!A4831</f>
        <v>0</v>
      </c>
      <c r="C4064">
        <f>Profile!AP4833</f>
        <v>0</v>
      </c>
      <c r="D4064" t="str">
        <f>IF(Profile!C4831="Profile",IF(Profile!A4833="ResourceRequirement","OK","XXX"),"XXX")</f>
        <v>XXX</v>
      </c>
    </row>
    <row r="4065" spans="1:4" x14ac:dyDescent="0.45">
      <c r="A4065">
        <f>ROW()</f>
        <v>4065</v>
      </c>
      <c r="B4065">
        <f>Profile!A4832</f>
        <v>0</v>
      </c>
      <c r="C4065">
        <f>Profile!AP4834</f>
        <v>0</v>
      </c>
      <c r="D4065" t="str">
        <f>IF(Profile!C4832="Profile",IF(Profile!A4834="ResourceRequirement","OK","XXX"),"XXX")</f>
        <v>XXX</v>
      </c>
    </row>
    <row r="4066" spans="1:4" x14ac:dyDescent="0.45">
      <c r="A4066">
        <f>ROW()</f>
        <v>4066</v>
      </c>
      <c r="B4066">
        <f>Profile!A4833</f>
        <v>0</v>
      </c>
      <c r="C4066">
        <f>Profile!AP4835</f>
        <v>0</v>
      </c>
      <c r="D4066" t="str">
        <f>IF(Profile!C4833="Profile",IF(Profile!A4835="ResourceRequirement","OK","XXX"),"XXX")</f>
        <v>XXX</v>
      </c>
    </row>
    <row r="4067" spans="1:4" x14ac:dyDescent="0.45">
      <c r="A4067">
        <f>ROW()</f>
        <v>4067</v>
      </c>
      <c r="B4067">
        <f>Profile!A4834</f>
        <v>0</v>
      </c>
      <c r="C4067">
        <f>Profile!AP4836</f>
        <v>0</v>
      </c>
      <c r="D4067" t="str">
        <f>IF(Profile!C4834="Profile",IF(Profile!A4836="ResourceRequirement","OK","XXX"),"XXX")</f>
        <v>XXX</v>
      </c>
    </row>
    <row r="4068" spans="1:4" x14ac:dyDescent="0.45">
      <c r="A4068">
        <f>ROW()</f>
        <v>4068</v>
      </c>
      <c r="B4068">
        <f>Profile!A4835</f>
        <v>0</v>
      </c>
      <c r="C4068">
        <f>Profile!AP4837</f>
        <v>0</v>
      </c>
      <c r="D4068" t="str">
        <f>IF(Profile!C4835="Profile",IF(Profile!A4837="ResourceRequirement","OK","XXX"),"XXX")</f>
        <v>XXX</v>
      </c>
    </row>
    <row r="4069" spans="1:4" x14ac:dyDescent="0.45">
      <c r="A4069">
        <f>ROW()</f>
        <v>4069</v>
      </c>
      <c r="B4069">
        <f>Profile!A4836</f>
        <v>0</v>
      </c>
      <c r="C4069">
        <f>Profile!AP4838</f>
        <v>0</v>
      </c>
      <c r="D4069" t="str">
        <f>IF(Profile!C4836="Profile",IF(Profile!A4838="ResourceRequirement","OK","XXX"),"XXX")</f>
        <v>XXX</v>
      </c>
    </row>
    <row r="4070" spans="1:4" x14ac:dyDescent="0.45">
      <c r="A4070">
        <f>ROW()</f>
        <v>4070</v>
      </c>
      <c r="B4070">
        <f>Profile!A4837</f>
        <v>0</v>
      </c>
      <c r="C4070">
        <f>Profile!AP4839</f>
        <v>0</v>
      </c>
      <c r="D4070" t="str">
        <f>IF(Profile!C4837="Profile",IF(Profile!A4839="ResourceRequirement","OK","XXX"),"XXX")</f>
        <v>XXX</v>
      </c>
    </row>
    <row r="4071" spans="1:4" x14ac:dyDescent="0.45">
      <c r="A4071">
        <f>ROW()</f>
        <v>4071</v>
      </c>
      <c r="B4071">
        <f>Profile!A4838</f>
        <v>0</v>
      </c>
      <c r="C4071">
        <f>Profile!AP4840</f>
        <v>0</v>
      </c>
      <c r="D4071" t="str">
        <f>IF(Profile!C4838="Profile",IF(Profile!A4840="ResourceRequirement","OK","XXX"),"XXX")</f>
        <v>XXX</v>
      </c>
    </row>
    <row r="4072" spans="1:4" x14ac:dyDescent="0.45">
      <c r="A4072">
        <f>ROW()</f>
        <v>4072</v>
      </c>
      <c r="B4072">
        <f>Profile!A4839</f>
        <v>0</v>
      </c>
      <c r="C4072">
        <f>Profile!AP4841</f>
        <v>0</v>
      </c>
      <c r="D4072" t="str">
        <f>IF(Profile!C4839="Profile",IF(Profile!A4841="ResourceRequirement","OK","XXX"),"XXX")</f>
        <v>XXX</v>
      </c>
    </row>
    <row r="4073" spans="1:4" x14ac:dyDescent="0.45">
      <c r="A4073">
        <f>ROW()</f>
        <v>4073</v>
      </c>
      <c r="B4073">
        <f>Profile!A4840</f>
        <v>0</v>
      </c>
      <c r="C4073">
        <f>Profile!AP4842</f>
        <v>0</v>
      </c>
      <c r="D4073" t="str">
        <f>IF(Profile!C4840="Profile",IF(Profile!A4842="ResourceRequirement","OK","XXX"),"XXX")</f>
        <v>XXX</v>
      </c>
    </row>
    <row r="4074" spans="1:4" x14ac:dyDescent="0.45">
      <c r="A4074">
        <f>ROW()</f>
        <v>4074</v>
      </c>
      <c r="B4074">
        <f>Profile!A4841</f>
        <v>0</v>
      </c>
      <c r="C4074">
        <f>Profile!AP4843</f>
        <v>0</v>
      </c>
      <c r="D4074" t="str">
        <f>IF(Profile!C4841="Profile",IF(Profile!A4843="ResourceRequirement","OK","XXX"),"XXX")</f>
        <v>XXX</v>
      </c>
    </row>
    <row r="4075" spans="1:4" x14ac:dyDescent="0.45">
      <c r="A4075">
        <f>ROW()</f>
        <v>4075</v>
      </c>
      <c r="B4075">
        <f>Profile!A4842</f>
        <v>0</v>
      </c>
      <c r="C4075">
        <f>Profile!AP4844</f>
        <v>0</v>
      </c>
      <c r="D4075" t="str">
        <f>IF(Profile!C4842="Profile",IF(Profile!A4844="ResourceRequirement","OK","XXX"),"XXX")</f>
        <v>XXX</v>
      </c>
    </row>
    <row r="4076" spans="1:4" x14ac:dyDescent="0.45">
      <c r="A4076">
        <f>ROW()</f>
        <v>4076</v>
      </c>
      <c r="B4076">
        <f>Profile!A4843</f>
        <v>0</v>
      </c>
      <c r="C4076">
        <f>Profile!AP4845</f>
        <v>0</v>
      </c>
      <c r="D4076" t="str">
        <f>IF(Profile!C4843="Profile",IF(Profile!A4845="ResourceRequirement","OK","XXX"),"XXX")</f>
        <v>XXX</v>
      </c>
    </row>
    <row r="4077" spans="1:4" x14ac:dyDescent="0.45">
      <c r="A4077">
        <f>ROW()</f>
        <v>4077</v>
      </c>
      <c r="B4077">
        <f>Profile!A4844</f>
        <v>0</v>
      </c>
      <c r="C4077">
        <f>Profile!AP4846</f>
        <v>0</v>
      </c>
      <c r="D4077" t="str">
        <f>IF(Profile!C4844="Profile",IF(Profile!A4846="ResourceRequirement","OK","XXX"),"XXX")</f>
        <v>XXX</v>
      </c>
    </row>
    <row r="4078" spans="1:4" x14ac:dyDescent="0.45">
      <c r="A4078">
        <f>ROW()</f>
        <v>4078</v>
      </c>
      <c r="B4078">
        <f>Profile!A4845</f>
        <v>0</v>
      </c>
      <c r="C4078">
        <f>Profile!AP4847</f>
        <v>0</v>
      </c>
      <c r="D4078" t="str">
        <f>IF(Profile!C4845="Profile",IF(Profile!A4847="ResourceRequirement","OK","XXX"),"XXX")</f>
        <v>XXX</v>
      </c>
    </row>
    <row r="4079" spans="1:4" x14ac:dyDescent="0.45">
      <c r="A4079">
        <f>ROW()</f>
        <v>4079</v>
      </c>
      <c r="B4079">
        <f>Profile!A4846</f>
        <v>0</v>
      </c>
      <c r="C4079">
        <f>Profile!AP4848</f>
        <v>0</v>
      </c>
      <c r="D4079" t="str">
        <f>IF(Profile!C4846="Profile",IF(Profile!A4848="ResourceRequirement","OK","XXX"),"XXX")</f>
        <v>XXX</v>
      </c>
    </row>
    <row r="4080" spans="1:4" x14ac:dyDescent="0.45">
      <c r="A4080">
        <f>ROW()</f>
        <v>4080</v>
      </c>
      <c r="B4080">
        <f>Profile!A4847</f>
        <v>0</v>
      </c>
      <c r="C4080">
        <f>Profile!AP4849</f>
        <v>0</v>
      </c>
      <c r="D4080" t="str">
        <f>IF(Profile!C4847="Profile",IF(Profile!A4849="ResourceRequirement","OK","XXX"),"XXX")</f>
        <v>XXX</v>
      </c>
    </row>
    <row r="4081" spans="1:4" x14ac:dyDescent="0.45">
      <c r="A4081">
        <f>ROW()</f>
        <v>4081</v>
      </c>
      <c r="B4081">
        <f>Profile!A4848</f>
        <v>0</v>
      </c>
      <c r="C4081">
        <f>Profile!AP4850</f>
        <v>0</v>
      </c>
      <c r="D4081" t="str">
        <f>IF(Profile!C4848="Profile",IF(Profile!A4850="ResourceRequirement","OK","XXX"),"XXX")</f>
        <v>XXX</v>
      </c>
    </row>
    <row r="4082" spans="1:4" x14ac:dyDescent="0.45">
      <c r="A4082">
        <f>ROW()</f>
        <v>4082</v>
      </c>
      <c r="B4082">
        <f>Profile!A4849</f>
        <v>0</v>
      </c>
      <c r="C4082">
        <f>Profile!AP4851</f>
        <v>0</v>
      </c>
      <c r="D4082" t="str">
        <f>IF(Profile!C4849="Profile",IF(Profile!A4851="ResourceRequirement","OK","XXX"),"XXX")</f>
        <v>XXX</v>
      </c>
    </row>
    <row r="4083" spans="1:4" x14ac:dyDescent="0.45">
      <c r="A4083">
        <f>ROW()</f>
        <v>4083</v>
      </c>
      <c r="B4083">
        <f>Profile!A4850</f>
        <v>0</v>
      </c>
      <c r="C4083">
        <f>Profile!AP4852</f>
        <v>0</v>
      </c>
      <c r="D4083" t="str">
        <f>IF(Profile!C4850="Profile",IF(Profile!A4852="ResourceRequirement","OK","XXX"),"XXX")</f>
        <v>XXX</v>
      </c>
    </row>
    <row r="4084" spans="1:4" x14ac:dyDescent="0.45">
      <c r="A4084">
        <f>ROW()</f>
        <v>4084</v>
      </c>
      <c r="B4084">
        <f>Profile!A4851</f>
        <v>0</v>
      </c>
      <c r="C4084">
        <f>Profile!AP4853</f>
        <v>0</v>
      </c>
      <c r="D4084" t="str">
        <f>IF(Profile!C4851="Profile",IF(Profile!A4853="ResourceRequirement","OK","XXX"),"XXX")</f>
        <v>XXX</v>
      </c>
    </row>
    <row r="4085" spans="1:4" x14ac:dyDescent="0.45">
      <c r="A4085">
        <f>ROW()</f>
        <v>4085</v>
      </c>
      <c r="B4085">
        <f>Profile!A4852</f>
        <v>0</v>
      </c>
      <c r="C4085">
        <f>Profile!AP4854</f>
        <v>0</v>
      </c>
      <c r="D4085" t="str">
        <f>IF(Profile!C4852="Profile",IF(Profile!A4854="ResourceRequirement","OK","XXX"),"XXX")</f>
        <v>XXX</v>
      </c>
    </row>
    <row r="4086" spans="1:4" x14ac:dyDescent="0.45">
      <c r="A4086">
        <f>ROW()</f>
        <v>4086</v>
      </c>
      <c r="B4086">
        <f>Profile!A4853</f>
        <v>0</v>
      </c>
      <c r="C4086">
        <f>Profile!AP4855</f>
        <v>0</v>
      </c>
      <c r="D4086" t="str">
        <f>IF(Profile!C4853="Profile",IF(Profile!A4855="ResourceRequirement","OK","XXX"),"XXX")</f>
        <v>XXX</v>
      </c>
    </row>
    <row r="4087" spans="1:4" x14ac:dyDescent="0.45">
      <c r="A4087">
        <f>ROW()</f>
        <v>4087</v>
      </c>
      <c r="B4087">
        <f>Profile!A4854</f>
        <v>0</v>
      </c>
      <c r="C4087">
        <f>Profile!AP4856</f>
        <v>0</v>
      </c>
      <c r="D4087" t="str">
        <f>IF(Profile!C4854="Profile",IF(Profile!A4856="ResourceRequirement","OK","XXX"),"XXX")</f>
        <v>XXX</v>
      </c>
    </row>
    <row r="4088" spans="1:4" x14ac:dyDescent="0.45">
      <c r="A4088">
        <f>ROW()</f>
        <v>4088</v>
      </c>
      <c r="B4088">
        <f>Profile!A4855</f>
        <v>0</v>
      </c>
      <c r="C4088">
        <f>Profile!AP4857</f>
        <v>0</v>
      </c>
      <c r="D4088" t="str">
        <f>IF(Profile!C4855="Profile",IF(Profile!A4857="ResourceRequirement","OK","XXX"),"XXX")</f>
        <v>XXX</v>
      </c>
    </row>
    <row r="4089" spans="1:4" x14ac:dyDescent="0.45">
      <c r="A4089">
        <f>ROW()</f>
        <v>4089</v>
      </c>
      <c r="B4089">
        <f>Profile!A4856</f>
        <v>0</v>
      </c>
      <c r="C4089">
        <f>Profile!AP4858</f>
        <v>0</v>
      </c>
      <c r="D4089" t="str">
        <f>IF(Profile!C4856="Profile",IF(Profile!A4858="ResourceRequirement","OK","XXX"),"XXX")</f>
        <v>XXX</v>
      </c>
    </row>
    <row r="4090" spans="1:4" x14ac:dyDescent="0.45">
      <c r="A4090">
        <f>ROW()</f>
        <v>4090</v>
      </c>
      <c r="B4090">
        <f>Profile!A4857</f>
        <v>0</v>
      </c>
      <c r="C4090">
        <f>Profile!AP4859</f>
        <v>0</v>
      </c>
      <c r="D4090" t="str">
        <f>IF(Profile!C4857="Profile",IF(Profile!A4859="ResourceRequirement","OK","XXX"),"XXX")</f>
        <v>XXX</v>
      </c>
    </row>
    <row r="4091" spans="1:4" x14ac:dyDescent="0.45">
      <c r="A4091">
        <f>ROW()</f>
        <v>4091</v>
      </c>
      <c r="B4091">
        <f>Profile!A4858</f>
        <v>0</v>
      </c>
      <c r="C4091">
        <f>Profile!AP4860</f>
        <v>0</v>
      </c>
      <c r="D4091" t="str">
        <f>IF(Profile!C4858="Profile",IF(Profile!A4860="ResourceRequirement","OK","XXX"),"XXX")</f>
        <v>XXX</v>
      </c>
    </row>
    <row r="4092" spans="1:4" x14ac:dyDescent="0.45">
      <c r="A4092">
        <f>ROW()</f>
        <v>4092</v>
      </c>
      <c r="B4092">
        <f>Profile!A4859</f>
        <v>0</v>
      </c>
      <c r="C4092">
        <f>Profile!AP4861</f>
        <v>0</v>
      </c>
      <c r="D4092" t="str">
        <f>IF(Profile!C4859="Profile",IF(Profile!A4861="ResourceRequirement","OK","XXX"),"XXX")</f>
        <v>XXX</v>
      </c>
    </row>
    <row r="4093" spans="1:4" x14ac:dyDescent="0.45">
      <c r="A4093">
        <f>ROW()</f>
        <v>4093</v>
      </c>
      <c r="B4093">
        <f>Profile!A4860</f>
        <v>0</v>
      </c>
      <c r="C4093">
        <f>Profile!AP4862</f>
        <v>0</v>
      </c>
      <c r="D4093" t="str">
        <f>IF(Profile!C4860="Profile",IF(Profile!A4862="ResourceRequirement","OK","XXX"),"XXX")</f>
        <v>XXX</v>
      </c>
    </row>
    <row r="4094" spans="1:4" x14ac:dyDescent="0.45">
      <c r="A4094">
        <f>ROW()</f>
        <v>4094</v>
      </c>
      <c r="B4094">
        <f>Profile!A4861</f>
        <v>0</v>
      </c>
      <c r="C4094">
        <f>Profile!AP4863</f>
        <v>0</v>
      </c>
      <c r="D4094" t="str">
        <f>IF(Profile!C4861="Profile",IF(Profile!A4863="ResourceRequirement","OK","XXX"),"XXX")</f>
        <v>XXX</v>
      </c>
    </row>
    <row r="4095" spans="1:4" x14ac:dyDescent="0.45">
      <c r="A4095">
        <f>ROW()</f>
        <v>4095</v>
      </c>
      <c r="B4095">
        <f>Profile!A4862</f>
        <v>0</v>
      </c>
      <c r="C4095">
        <f>Profile!AP4864</f>
        <v>0</v>
      </c>
      <c r="D4095" t="str">
        <f>IF(Profile!C4862="Profile",IF(Profile!A4864="ResourceRequirement","OK","XXX"),"XXX")</f>
        <v>XXX</v>
      </c>
    </row>
    <row r="4096" spans="1:4" x14ac:dyDescent="0.45">
      <c r="A4096">
        <f>ROW()</f>
        <v>4096</v>
      </c>
      <c r="B4096">
        <f>Profile!A4863</f>
        <v>0</v>
      </c>
      <c r="C4096">
        <f>Profile!AP4865</f>
        <v>0</v>
      </c>
      <c r="D4096" t="str">
        <f>IF(Profile!C4863="Profile",IF(Profile!A4865="ResourceRequirement","OK","XXX"),"XXX")</f>
        <v>XXX</v>
      </c>
    </row>
    <row r="4097" spans="1:4" x14ac:dyDescent="0.45">
      <c r="A4097">
        <f>ROW()</f>
        <v>4097</v>
      </c>
      <c r="B4097">
        <f>Profile!A4864</f>
        <v>0</v>
      </c>
      <c r="C4097">
        <f>Profile!AP4866</f>
        <v>0</v>
      </c>
      <c r="D4097" t="str">
        <f>IF(Profile!C4864="Profile",IF(Profile!A4866="ResourceRequirement","OK","XXX"),"XXX")</f>
        <v>XXX</v>
      </c>
    </row>
    <row r="4098" spans="1:4" x14ac:dyDescent="0.45">
      <c r="A4098">
        <f>ROW()</f>
        <v>4098</v>
      </c>
      <c r="B4098">
        <f>Profile!A4865</f>
        <v>0</v>
      </c>
      <c r="C4098">
        <f>Profile!AP4867</f>
        <v>0</v>
      </c>
      <c r="D4098" t="str">
        <f>IF(Profile!C4865="Profile",IF(Profile!A4867="ResourceRequirement","OK","XXX"),"XXX")</f>
        <v>XXX</v>
      </c>
    </row>
    <row r="4099" spans="1:4" x14ac:dyDescent="0.45">
      <c r="A4099">
        <f>ROW()</f>
        <v>4099</v>
      </c>
      <c r="B4099">
        <f>Profile!A4866</f>
        <v>0</v>
      </c>
      <c r="C4099">
        <f>Profile!AP4868</f>
        <v>0</v>
      </c>
      <c r="D4099" t="str">
        <f>IF(Profile!C4866="Profile",IF(Profile!A4868="ResourceRequirement","OK","XXX"),"XXX")</f>
        <v>XXX</v>
      </c>
    </row>
    <row r="4100" spans="1:4" x14ac:dyDescent="0.45">
      <c r="A4100">
        <f>ROW()</f>
        <v>4100</v>
      </c>
      <c r="B4100">
        <f>Profile!A4867</f>
        <v>0</v>
      </c>
      <c r="C4100">
        <f>Profile!AP4869</f>
        <v>0</v>
      </c>
      <c r="D4100" t="str">
        <f>IF(Profile!C4867="Profile",IF(Profile!A4869="ResourceRequirement","OK","XXX"),"XXX")</f>
        <v>XXX</v>
      </c>
    </row>
    <row r="4101" spans="1:4" x14ac:dyDescent="0.45">
      <c r="A4101">
        <f>ROW()</f>
        <v>4101</v>
      </c>
      <c r="B4101">
        <f>Profile!A4868</f>
        <v>0</v>
      </c>
      <c r="C4101">
        <f>Profile!AP4870</f>
        <v>0</v>
      </c>
      <c r="D4101" t="str">
        <f>IF(Profile!C4868="Profile",IF(Profile!A4870="ResourceRequirement","OK","XXX"),"XXX")</f>
        <v>XXX</v>
      </c>
    </row>
    <row r="4102" spans="1:4" x14ac:dyDescent="0.45">
      <c r="A4102">
        <f>ROW()</f>
        <v>4102</v>
      </c>
      <c r="B4102">
        <f>Profile!A4869</f>
        <v>0</v>
      </c>
      <c r="C4102">
        <f>Profile!AP4871</f>
        <v>0</v>
      </c>
      <c r="D4102" t="str">
        <f>IF(Profile!C4869="Profile",IF(Profile!A4871="ResourceRequirement","OK","XXX"),"XXX")</f>
        <v>XXX</v>
      </c>
    </row>
    <row r="4103" spans="1:4" x14ac:dyDescent="0.45">
      <c r="A4103">
        <f>ROW()</f>
        <v>4103</v>
      </c>
      <c r="B4103">
        <f>Profile!A4870</f>
        <v>0</v>
      </c>
      <c r="C4103">
        <f>Profile!AP4872</f>
        <v>0</v>
      </c>
      <c r="D4103" t="str">
        <f>IF(Profile!C4870="Profile",IF(Profile!A4872="ResourceRequirement","OK","XXX"),"XXX")</f>
        <v>XXX</v>
      </c>
    </row>
    <row r="4104" spans="1:4" x14ac:dyDescent="0.45">
      <c r="A4104">
        <f>ROW()</f>
        <v>4104</v>
      </c>
      <c r="B4104">
        <f>Profile!A4871</f>
        <v>0</v>
      </c>
      <c r="C4104">
        <f>Profile!AP4873</f>
        <v>0</v>
      </c>
      <c r="D4104" t="str">
        <f>IF(Profile!C4871="Profile",IF(Profile!A4873="ResourceRequirement","OK","XXX"),"XXX")</f>
        <v>XXX</v>
      </c>
    </row>
    <row r="4105" spans="1:4" x14ac:dyDescent="0.45">
      <c r="A4105">
        <f>ROW()</f>
        <v>4105</v>
      </c>
      <c r="B4105">
        <f>Profile!A4872</f>
        <v>0</v>
      </c>
      <c r="C4105">
        <f>Profile!AP4874</f>
        <v>0</v>
      </c>
      <c r="D4105" t="str">
        <f>IF(Profile!C4872="Profile",IF(Profile!A4874="ResourceRequirement","OK","XXX"),"XXX")</f>
        <v>XXX</v>
      </c>
    </row>
    <row r="4106" spans="1:4" x14ac:dyDescent="0.45">
      <c r="A4106">
        <f>ROW()</f>
        <v>4106</v>
      </c>
      <c r="B4106">
        <f>Profile!A4873</f>
        <v>0</v>
      </c>
      <c r="C4106">
        <f>Profile!AP4875</f>
        <v>0</v>
      </c>
      <c r="D4106" t="str">
        <f>IF(Profile!C4873="Profile",IF(Profile!A4875="ResourceRequirement","OK","XXX"),"XXX")</f>
        <v>XXX</v>
      </c>
    </row>
    <row r="4107" spans="1:4" x14ac:dyDescent="0.45">
      <c r="A4107">
        <f>ROW()</f>
        <v>4107</v>
      </c>
      <c r="B4107">
        <f>Profile!A4874</f>
        <v>0</v>
      </c>
      <c r="C4107">
        <f>Profile!AP4876</f>
        <v>0</v>
      </c>
      <c r="D4107" t="str">
        <f>IF(Profile!C4874="Profile",IF(Profile!A4876="ResourceRequirement","OK","XXX"),"XXX")</f>
        <v>XXX</v>
      </c>
    </row>
    <row r="4108" spans="1:4" x14ac:dyDescent="0.45">
      <c r="A4108">
        <f>ROW()</f>
        <v>4108</v>
      </c>
      <c r="B4108">
        <f>Profile!A4875</f>
        <v>0</v>
      </c>
      <c r="C4108">
        <f>Profile!AP4877</f>
        <v>0</v>
      </c>
      <c r="D4108" t="str">
        <f>IF(Profile!C4875="Profile",IF(Profile!A4877="ResourceRequirement","OK","XXX"),"XXX")</f>
        <v>XXX</v>
      </c>
    </row>
    <row r="4109" spans="1:4" x14ac:dyDescent="0.45">
      <c r="A4109">
        <f>ROW()</f>
        <v>4109</v>
      </c>
      <c r="B4109">
        <f>Profile!A4876</f>
        <v>0</v>
      </c>
      <c r="C4109">
        <f>Profile!AP4878</f>
        <v>0</v>
      </c>
      <c r="D4109" t="str">
        <f>IF(Profile!C4876="Profile",IF(Profile!A4878="ResourceRequirement","OK","XXX"),"XXX")</f>
        <v>XXX</v>
      </c>
    </row>
    <row r="4110" spans="1:4" x14ac:dyDescent="0.45">
      <c r="A4110">
        <f>ROW()</f>
        <v>4110</v>
      </c>
      <c r="B4110">
        <f>Profile!A4877</f>
        <v>0</v>
      </c>
      <c r="C4110">
        <f>Profile!AP4879</f>
        <v>0</v>
      </c>
      <c r="D4110" t="str">
        <f>IF(Profile!C4877="Profile",IF(Profile!A4879="ResourceRequirement","OK","XXX"),"XXX")</f>
        <v>XXX</v>
      </c>
    </row>
    <row r="4111" spans="1:4" x14ac:dyDescent="0.45">
      <c r="A4111">
        <f>ROW()</f>
        <v>4111</v>
      </c>
      <c r="B4111">
        <f>Profile!A4878</f>
        <v>0</v>
      </c>
      <c r="C4111">
        <f>Profile!AP4880</f>
        <v>0</v>
      </c>
      <c r="D4111" t="str">
        <f>IF(Profile!C4878="Profile",IF(Profile!A4880="ResourceRequirement","OK","XXX"),"XXX")</f>
        <v>XXX</v>
      </c>
    </row>
    <row r="4112" spans="1:4" x14ac:dyDescent="0.45">
      <c r="A4112">
        <f>ROW()</f>
        <v>4112</v>
      </c>
      <c r="B4112">
        <f>Profile!A4879</f>
        <v>0</v>
      </c>
      <c r="C4112">
        <f>Profile!AP4881</f>
        <v>0</v>
      </c>
      <c r="D4112" t="str">
        <f>IF(Profile!C4879="Profile",IF(Profile!A4881="ResourceRequirement","OK","XXX"),"XXX")</f>
        <v>XXX</v>
      </c>
    </row>
    <row r="4113" spans="1:4" x14ac:dyDescent="0.45">
      <c r="A4113">
        <f>ROW()</f>
        <v>4113</v>
      </c>
      <c r="B4113">
        <f>Profile!A4880</f>
        <v>0</v>
      </c>
      <c r="C4113">
        <f>Profile!AP4882</f>
        <v>0</v>
      </c>
      <c r="D4113" t="str">
        <f>IF(Profile!C4880="Profile",IF(Profile!A4882="ResourceRequirement","OK","XXX"),"XXX")</f>
        <v>XXX</v>
      </c>
    </row>
    <row r="4114" spans="1:4" x14ac:dyDescent="0.45">
      <c r="A4114">
        <f>ROW()</f>
        <v>4114</v>
      </c>
      <c r="B4114">
        <f>Profile!A4881</f>
        <v>0</v>
      </c>
      <c r="C4114">
        <f>Profile!AP4883</f>
        <v>0</v>
      </c>
      <c r="D4114" t="str">
        <f>IF(Profile!C4881="Profile",IF(Profile!A4883="ResourceRequirement","OK","XXX"),"XXX")</f>
        <v>XXX</v>
      </c>
    </row>
    <row r="4115" spans="1:4" x14ac:dyDescent="0.45">
      <c r="A4115">
        <f>ROW()</f>
        <v>4115</v>
      </c>
      <c r="B4115">
        <f>Profile!A4882</f>
        <v>0</v>
      </c>
      <c r="C4115">
        <f>Profile!AP4884</f>
        <v>0</v>
      </c>
      <c r="D4115" t="str">
        <f>IF(Profile!C4882="Profile",IF(Profile!A4884="ResourceRequirement","OK","XXX"),"XXX")</f>
        <v>XXX</v>
      </c>
    </row>
    <row r="4116" spans="1:4" x14ac:dyDescent="0.45">
      <c r="A4116">
        <f>ROW()</f>
        <v>4116</v>
      </c>
      <c r="B4116">
        <f>Profile!A4883</f>
        <v>0</v>
      </c>
      <c r="C4116">
        <f>Profile!AP4885</f>
        <v>0</v>
      </c>
      <c r="D4116" t="str">
        <f>IF(Profile!C4883="Profile",IF(Profile!A4885="ResourceRequirement","OK","XXX"),"XXX")</f>
        <v>XXX</v>
      </c>
    </row>
    <row r="4117" spans="1:4" x14ac:dyDescent="0.45">
      <c r="A4117">
        <f>ROW()</f>
        <v>4117</v>
      </c>
      <c r="B4117">
        <f>Profile!A4884</f>
        <v>0</v>
      </c>
      <c r="C4117">
        <f>Profile!AP4886</f>
        <v>0</v>
      </c>
      <c r="D4117" t="str">
        <f>IF(Profile!C4884="Profile",IF(Profile!A4886="ResourceRequirement","OK","XXX"),"XXX")</f>
        <v>XXX</v>
      </c>
    </row>
    <row r="4118" spans="1:4" x14ac:dyDescent="0.45">
      <c r="A4118">
        <f>ROW()</f>
        <v>4118</v>
      </c>
      <c r="B4118">
        <f>Profile!A4885</f>
        <v>0</v>
      </c>
      <c r="C4118">
        <f>Profile!AP4887</f>
        <v>0</v>
      </c>
      <c r="D4118" t="str">
        <f>IF(Profile!C4885="Profile",IF(Profile!A4887="ResourceRequirement","OK","XXX"),"XXX")</f>
        <v>XXX</v>
      </c>
    </row>
    <row r="4119" spans="1:4" x14ac:dyDescent="0.45">
      <c r="A4119">
        <f>ROW()</f>
        <v>4119</v>
      </c>
      <c r="B4119">
        <f>Profile!A4886</f>
        <v>0</v>
      </c>
      <c r="C4119">
        <f>Profile!AP4888</f>
        <v>0</v>
      </c>
      <c r="D4119" t="str">
        <f>IF(Profile!C4886="Profile",IF(Profile!A4888="ResourceRequirement","OK","XXX"),"XXX")</f>
        <v>XXX</v>
      </c>
    </row>
    <row r="4120" spans="1:4" x14ac:dyDescent="0.45">
      <c r="A4120">
        <f>ROW()</f>
        <v>4120</v>
      </c>
      <c r="B4120">
        <f>Profile!A4887</f>
        <v>0</v>
      </c>
      <c r="C4120">
        <f>Profile!AP4889</f>
        <v>0</v>
      </c>
      <c r="D4120" t="str">
        <f>IF(Profile!C4887="Profile",IF(Profile!A4889="ResourceRequirement","OK","XXX"),"XXX")</f>
        <v>XXX</v>
      </c>
    </row>
    <row r="4121" spans="1:4" x14ac:dyDescent="0.45">
      <c r="A4121">
        <f>ROW()</f>
        <v>4121</v>
      </c>
      <c r="B4121">
        <f>Profile!A4888</f>
        <v>0</v>
      </c>
      <c r="C4121">
        <f>Profile!AP4890</f>
        <v>0</v>
      </c>
      <c r="D4121" t="str">
        <f>IF(Profile!C4888="Profile",IF(Profile!A4890="ResourceRequirement","OK","XXX"),"XXX")</f>
        <v>XXX</v>
      </c>
    </row>
    <row r="4122" spans="1:4" x14ac:dyDescent="0.45">
      <c r="A4122">
        <f>ROW()</f>
        <v>4122</v>
      </c>
      <c r="B4122">
        <f>Profile!A4889</f>
        <v>0</v>
      </c>
      <c r="C4122">
        <f>Profile!AP4891</f>
        <v>0</v>
      </c>
      <c r="D4122" t="str">
        <f>IF(Profile!C4889="Profile",IF(Profile!A4891="ResourceRequirement","OK","XXX"),"XXX")</f>
        <v>XXX</v>
      </c>
    </row>
    <row r="4123" spans="1:4" x14ac:dyDescent="0.45">
      <c r="A4123">
        <f>ROW()</f>
        <v>4123</v>
      </c>
      <c r="B4123">
        <f>Profile!A4890</f>
        <v>0</v>
      </c>
      <c r="C4123">
        <f>Profile!AP4892</f>
        <v>0</v>
      </c>
      <c r="D4123" t="str">
        <f>IF(Profile!C4890="Profile",IF(Profile!A4892="ResourceRequirement","OK","XXX"),"XXX")</f>
        <v>XXX</v>
      </c>
    </row>
    <row r="4124" spans="1:4" x14ac:dyDescent="0.45">
      <c r="A4124">
        <f>ROW()</f>
        <v>4124</v>
      </c>
      <c r="B4124">
        <f>Profile!A4891</f>
        <v>0</v>
      </c>
      <c r="C4124">
        <f>Profile!AP4893</f>
        <v>0</v>
      </c>
      <c r="D4124" t="str">
        <f>IF(Profile!C4891="Profile",IF(Profile!A4893="ResourceRequirement","OK","XXX"),"XXX")</f>
        <v>XXX</v>
      </c>
    </row>
    <row r="4125" spans="1:4" x14ac:dyDescent="0.45">
      <c r="A4125">
        <f>ROW()</f>
        <v>4125</v>
      </c>
      <c r="B4125">
        <f>Profile!A4892</f>
        <v>0</v>
      </c>
      <c r="C4125">
        <f>Profile!AP4894</f>
        <v>0</v>
      </c>
      <c r="D4125" t="str">
        <f>IF(Profile!C4892="Profile",IF(Profile!A4894="ResourceRequirement","OK","XXX"),"XXX")</f>
        <v>XXX</v>
      </c>
    </row>
    <row r="4126" spans="1:4" x14ac:dyDescent="0.45">
      <c r="A4126">
        <f>ROW()</f>
        <v>4126</v>
      </c>
      <c r="B4126">
        <f>Profile!A4893</f>
        <v>0</v>
      </c>
      <c r="C4126">
        <f>Profile!AP4895</f>
        <v>0</v>
      </c>
      <c r="D4126" t="str">
        <f>IF(Profile!C4893="Profile",IF(Profile!A4895="ResourceRequirement","OK","XXX"),"XXX")</f>
        <v>XXX</v>
      </c>
    </row>
    <row r="4127" spans="1:4" x14ac:dyDescent="0.45">
      <c r="A4127">
        <f>ROW()</f>
        <v>4127</v>
      </c>
      <c r="B4127">
        <f>Profile!A4894</f>
        <v>0</v>
      </c>
      <c r="C4127">
        <f>Profile!AP4896</f>
        <v>0</v>
      </c>
      <c r="D4127" t="str">
        <f>IF(Profile!C4894="Profile",IF(Profile!A4896="ResourceRequirement","OK","XXX"),"XXX")</f>
        <v>XXX</v>
      </c>
    </row>
    <row r="4128" spans="1:4" x14ac:dyDescent="0.45">
      <c r="A4128">
        <f>ROW()</f>
        <v>4128</v>
      </c>
      <c r="B4128">
        <f>Profile!A4895</f>
        <v>0</v>
      </c>
      <c r="C4128">
        <f>Profile!AP4897</f>
        <v>0</v>
      </c>
      <c r="D4128" t="str">
        <f>IF(Profile!C4895="Profile",IF(Profile!A4897="ResourceRequirement","OK","XXX"),"XXX")</f>
        <v>XXX</v>
      </c>
    </row>
    <row r="4129" spans="1:4" x14ac:dyDescent="0.45">
      <c r="A4129">
        <f>ROW()</f>
        <v>4129</v>
      </c>
      <c r="B4129">
        <f>Profile!A4896</f>
        <v>0</v>
      </c>
      <c r="C4129">
        <f>Profile!AP4898</f>
        <v>0</v>
      </c>
      <c r="D4129" t="str">
        <f>IF(Profile!C4896="Profile",IF(Profile!A4898="ResourceRequirement","OK","XXX"),"XXX")</f>
        <v>XXX</v>
      </c>
    </row>
    <row r="4130" spans="1:4" x14ac:dyDescent="0.45">
      <c r="A4130">
        <f>ROW()</f>
        <v>4130</v>
      </c>
      <c r="B4130">
        <f>Profile!A4897</f>
        <v>0</v>
      </c>
      <c r="C4130">
        <f>Profile!AP4899</f>
        <v>0</v>
      </c>
      <c r="D4130" t="str">
        <f>IF(Profile!C4897="Profile",IF(Profile!A4899="ResourceRequirement","OK","XXX"),"XXX")</f>
        <v>XXX</v>
      </c>
    </row>
    <row r="4131" spans="1:4" x14ac:dyDescent="0.45">
      <c r="A4131">
        <f>ROW()</f>
        <v>4131</v>
      </c>
      <c r="B4131">
        <f>Profile!A4898</f>
        <v>0</v>
      </c>
      <c r="C4131">
        <f>Profile!AP4900</f>
        <v>0</v>
      </c>
      <c r="D4131" t="str">
        <f>IF(Profile!C4898="Profile",IF(Profile!A4900="ResourceRequirement","OK","XXX"),"XXX")</f>
        <v>XXX</v>
      </c>
    </row>
    <row r="4132" spans="1:4" x14ac:dyDescent="0.45">
      <c r="A4132">
        <f>ROW()</f>
        <v>4132</v>
      </c>
      <c r="B4132">
        <f>Profile!A4899</f>
        <v>0</v>
      </c>
      <c r="C4132">
        <f>Profile!AP4901</f>
        <v>0</v>
      </c>
      <c r="D4132" t="str">
        <f>IF(Profile!C4899="Profile",IF(Profile!A4901="ResourceRequirement","OK","XXX"),"XXX")</f>
        <v>XXX</v>
      </c>
    </row>
    <row r="4133" spans="1:4" x14ac:dyDescent="0.45">
      <c r="A4133">
        <f>ROW()</f>
        <v>4133</v>
      </c>
      <c r="B4133">
        <f>Profile!A4900</f>
        <v>0</v>
      </c>
      <c r="C4133">
        <f>Profile!AP4902</f>
        <v>0</v>
      </c>
      <c r="D4133" t="str">
        <f>IF(Profile!C4900="Profile",IF(Profile!A4902="ResourceRequirement","OK","XXX"),"XXX")</f>
        <v>XXX</v>
      </c>
    </row>
    <row r="4134" spans="1:4" x14ac:dyDescent="0.45">
      <c r="A4134">
        <f>ROW()</f>
        <v>4134</v>
      </c>
      <c r="B4134">
        <f>Profile!A4901</f>
        <v>0</v>
      </c>
      <c r="C4134">
        <f>Profile!AP4903</f>
        <v>0</v>
      </c>
      <c r="D4134" t="str">
        <f>IF(Profile!C4901="Profile",IF(Profile!A4903="ResourceRequirement","OK","XXX"),"XXX")</f>
        <v>XXX</v>
      </c>
    </row>
    <row r="4135" spans="1:4" x14ac:dyDescent="0.45">
      <c r="A4135">
        <f>ROW()</f>
        <v>4135</v>
      </c>
      <c r="B4135">
        <f>Profile!A4902</f>
        <v>0</v>
      </c>
      <c r="C4135">
        <f>Profile!AP4904</f>
        <v>0</v>
      </c>
      <c r="D4135" t="str">
        <f>IF(Profile!C4902="Profile",IF(Profile!A4904="ResourceRequirement","OK","XXX"),"XXX")</f>
        <v>XXX</v>
      </c>
    </row>
    <row r="4136" spans="1:4" x14ac:dyDescent="0.45">
      <c r="A4136">
        <f>ROW()</f>
        <v>4136</v>
      </c>
      <c r="B4136">
        <f>Profile!A4903</f>
        <v>0</v>
      </c>
      <c r="C4136">
        <f>Profile!AP4905</f>
        <v>0</v>
      </c>
      <c r="D4136" t="str">
        <f>IF(Profile!C4903="Profile",IF(Profile!A4905="ResourceRequirement","OK","XXX"),"XXX")</f>
        <v>XXX</v>
      </c>
    </row>
    <row r="4137" spans="1:4" x14ac:dyDescent="0.45">
      <c r="A4137">
        <f>ROW()</f>
        <v>4137</v>
      </c>
      <c r="B4137">
        <f>Profile!A4904</f>
        <v>0</v>
      </c>
      <c r="C4137">
        <f>Profile!AP4906</f>
        <v>0</v>
      </c>
      <c r="D4137" t="str">
        <f>IF(Profile!C4904="Profile",IF(Profile!A4906="ResourceRequirement","OK","XXX"),"XXX")</f>
        <v>XXX</v>
      </c>
    </row>
    <row r="4138" spans="1:4" x14ac:dyDescent="0.45">
      <c r="A4138">
        <f>ROW()</f>
        <v>4138</v>
      </c>
      <c r="B4138">
        <f>Profile!A4905</f>
        <v>0</v>
      </c>
      <c r="C4138">
        <f>Profile!AP4907</f>
        <v>0</v>
      </c>
      <c r="D4138" t="str">
        <f>IF(Profile!C4905="Profile",IF(Profile!A4907="ResourceRequirement","OK","XXX"),"XXX")</f>
        <v>XXX</v>
      </c>
    </row>
    <row r="4139" spans="1:4" x14ac:dyDescent="0.45">
      <c r="A4139">
        <f>ROW()</f>
        <v>4139</v>
      </c>
      <c r="B4139">
        <f>Profile!A4906</f>
        <v>0</v>
      </c>
      <c r="C4139">
        <f>Profile!AP4908</f>
        <v>0</v>
      </c>
      <c r="D4139" t="str">
        <f>IF(Profile!C4906="Profile",IF(Profile!A4908="ResourceRequirement","OK","XXX"),"XXX")</f>
        <v>XXX</v>
      </c>
    </row>
    <row r="4140" spans="1:4" x14ac:dyDescent="0.45">
      <c r="A4140">
        <f>ROW()</f>
        <v>4140</v>
      </c>
      <c r="B4140">
        <f>Profile!A4907</f>
        <v>0</v>
      </c>
      <c r="C4140">
        <f>Profile!AP4909</f>
        <v>0</v>
      </c>
      <c r="D4140" t="str">
        <f>IF(Profile!C4907="Profile",IF(Profile!A4909="ResourceRequirement","OK","XXX"),"XXX")</f>
        <v>XXX</v>
      </c>
    </row>
    <row r="4141" spans="1:4" x14ac:dyDescent="0.45">
      <c r="A4141">
        <f>ROW()</f>
        <v>4141</v>
      </c>
      <c r="B4141">
        <f>Profile!A4908</f>
        <v>0</v>
      </c>
      <c r="C4141">
        <f>Profile!AP4910</f>
        <v>0</v>
      </c>
      <c r="D4141" t="str">
        <f>IF(Profile!C4908="Profile",IF(Profile!A4910="ResourceRequirement","OK","XXX"),"XXX")</f>
        <v>XXX</v>
      </c>
    </row>
    <row r="4142" spans="1:4" x14ac:dyDescent="0.45">
      <c r="A4142">
        <f>ROW()</f>
        <v>4142</v>
      </c>
      <c r="B4142">
        <f>Profile!A4909</f>
        <v>0</v>
      </c>
      <c r="C4142" t="e">
        <f>Profile!#REF!</f>
        <v>#REF!</v>
      </c>
      <c r="D4142" t="str">
        <f>IF(Profile!C4909="Profile",IF(Profile!#REF!="ResourceRequirement","OK","XXX"),"XXX")</f>
        <v>XXX</v>
      </c>
    </row>
    <row r="4143" spans="1:4" x14ac:dyDescent="0.45">
      <c r="A4143">
        <f>ROW()</f>
        <v>4143</v>
      </c>
      <c r="B4143">
        <f>Profile!A4910</f>
        <v>0</v>
      </c>
      <c r="C4143">
        <f>Profile!AP4911</f>
        <v>0</v>
      </c>
      <c r="D4143" t="str">
        <f>IF(Profile!C4910="Profile",IF(Profile!A4911="ResourceRequirement","OK","XXX"),"XXX")</f>
        <v>XXX</v>
      </c>
    </row>
    <row r="4144" spans="1:4" x14ac:dyDescent="0.45">
      <c r="A4144">
        <f>ROW()</f>
        <v>4144</v>
      </c>
      <c r="B4144" t="e">
        <f>Profile!#REF!</f>
        <v>#REF!</v>
      </c>
      <c r="C4144">
        <f>Profile!AP4912</f>
        <v>0</v>
      </c>
      <c r="D4144" t="e">
        <f>IF(Profile!#REF!="Profile",IF(Profile!A4912="ResourceRequirement","OK","XXX"),"XXX")</f>
        <v>#REF!</v>
      </c>
    </row>
    <row r="4145" spans="1:4" x14ac:dyDescent="0.45">
      <c r="A4145">
        <f>ROW()</f>
        <v>4145</v>
      </c>
      <c r="B4145">
        <f>Profile!A4911</f>
        <v>0</v>
      </c>
      <c r="C4145" t="e">
        <f>Profile!#REF!</f>
        <v>#REF!</v>
      </c>
      <c r="D4145" t="str">
        <f>IF(Profile!C4911="Profile",IF(Profile!#REF!="ResourceRequirement","OK","XXX"),"XXX")</f>
        <v>XXX</v>
      </c>
    </row>
    <row r="4146" spans="1:4" x14ac:dyDescent="0.45">
      <c r="A4146">
        <f>ROW()</f>
        <v>4146</v>
      </c>
      <c r="B4146">
        <f>Profile!A4912</f>
        <v>0</v>
      </c>
      <c r="C4146">
        <f>Profile!AP4913</f>
        <v>0</v>
      </c>
      <c r="D4146" t="str">
        <f>IF(Profile!C4912="Profile",IF(Profile!A4913="ResourceRequirement","OK","XXX"),"XXX")</f>
        <v>XXX</v>
      </c>
    </row>
    <row r="4147" spans="1:4" x14ac:dyDescent="0.45">
      <c r="A4147">
        <f>ROW()</f>
        <v>4147</v>
      </c>
      <c r="B4147" t="e">
        <f>Profile!#REF!</f>
        <v>#REF!</v>
      </c>
      <c r="C4147">
        <f>Profile!AP4914</f>
        <v>0</v>
      </c>
      <c r="D4147" t="e">
        <f>IF(Profile!#REF!="Profile",IF(Profile!A4914="ResourceRequirement","OK","XXX"),"XXX")</f>
        <v>#REF!</v>
      </c>
    </row>
    <row r="4148" spans="1:4" x14ac:dyDescent="0.45">
      <c r="A4148">
        <f>ROW()</f>
        <v>4148</v>
      </c>
      <c r="B4148">
        <f>Profile!A4913</f>
        <v>0</v>
      </c>
      <c r="C4148">
        <f>Profile!AP4915</f>
        <v>0</v>
      </c>
      <c r="D4148" t="str">
        <f>IF(Profile!C4913="Profile",IF(Profile!A4915="ResourceRequirement","OK","XXX"),"XXX")</f>
        <v>XXX</v>
      </c>
    </row>
    <row r="4149" spans="1:4" x14ac:dyDescent="0.45">
      <c r="A4149">
        <f>ROW()</f>
        <v>4149</v>
      </c>
      <c r="B4149">
        <f>Profile!A4914</f>
        <v>0</v>
      </c>
      <c r="C4149">
        <f>Profile!AP4916</f>
        <v>0</v>
      </c>
      <c r="D4149" t="str">
        <f>IF(Profile!C4914="Profile",IF(Profile!A4916="ResourceRequirement","OK","XXX"),"XXX")</f>
        <v>XXX</v>
      </c>
    </row>
    <row r="4150" spans="1:4" x14ac:dyDescent="0.45">
      <c r="A4150">
        <f>ROW()</f>
        <v>4150</v>
      </c>
      <c r="B4150">
        <f>Profile!A4915</f>
        <v>0</v>
      </c>
      <c r="C4150">
        <f>Profile!AP4917</f>
        <v>0</v>
      </c>
      <c r="D4150" t="str">
        <f>IF(Profile!C4915="Profile",IF(Profile!A4917="ResourceRequirement","OK","XXX"),"XXX")</f>
        <v>XXX</v>
      </c>
    </row>
    <row r="4151" spans="1:4" x14ac:dyDescent="0.45">
      <c r="A4151">
        <f>ROW()</f>
        <v>4151</v>
      </c>
      <c r="B4151">
        <f>Profile!A4916</f>
        <v>0</v>
      </c>
      <c r="C4151">
        <f>Profile!AP4918</f>
        <v>0</v>
      </c>
      <c r="D4151" t="str">
        <f>IF(Profile!C4916="Profile",IF(Profile!A4918="ResourceRequirement","OK","XXX"),"XXX")</f>
        <v>XXX</v>
      </c>
    </row>
    <row r="4152" spans="1:4" x14ac:dyDescent="0.45">
      <c r="A4152">
        <f>ROW()</f>
        <v>4152</v>
      </c>
      <c r="B4152">
        <f>Profile!A4917</f>
        <v>0</v>
      </c>
      <c r="C4152">
        <f>Profile!AP4919</f>
        <v>0</v>
      </c>
      <c r="D4152" t="str">
        <f>IF(Profile!C4917="Profile",IF(Profile!A4919="ResourceRequirement","OK","XXX"),"XXX")</f>
        <v>XXX</v>
      </c>
    </row>
    <row r="4153" spans="1:4" x14ac:dyDescent="0.45">
      <c r="A4153">
        <f>ROW()</f>
        <v>4153</v>
      </c>
      <c r="B4153">
        <f>Profile!A4918</f>
        <v>0</v>
      </c>
      <c r="C4153">
        <f>Profile!AP4920</f>
        <v>0</v>
      </c>
      <c r="D4153" t="str">
        <f>IF(Profile!C4918="Profile",IF(Profile!A4920="ResourceRequirement","OK","XXX"),"XXX")</f>
        <v>XXX</v>
      </c>
    </row>
    <row r="4154" spans="1:4" x14ac:dyDescent="0.45">
      <c r="A4154">
        <f>ROW()</f>
        <v>4154</v>
      </c>
      <c r="B4154">
        <f>Profile!A4919</f>
        <v>0</v>
      </c>
      <c r="C4154">
        <f>Profile!AP4921</f>
        <v>0</v>
      </c>
      <c r="D4154" t="str">
        <f>IF(Profile!C4919="Profile",IF(Profile!A4921="ResourceRequirement","OK","XXX"),"XXX")</f>
        <v>XXX</v>
      </c>
    </row>
    <row r="4155" spans="1:4" x14ac:dyDescent="0.45">
      <c r="A4155">
        <f>ROW()</f>
        <v>4155</v>
      </c>
      <c r="B4155">
        <f>Profile!A4920</f>
        <v>0</v>
      </c>
      <c r="C4155">
        <f>Profile!AP4922</f>
        <v>0</v>
      </c>
      <c r="D4155" t="str">
        <f>IF(Profile!C4920="Profile",IF(Profile!A4922="ResourceRequirement","OK","XXX"),"XXX")</f>
        <v>XXX</v>
      </c>
    </row>
    <row r="4156" spans="1:4" x14ac:dyDescent="0.45">
      <c r="A4156">
        <f>ROW()</f>
        <v>4156</v>
      </c>
      <c r="B4156">
        <f>Profile!A4921</f>
        <v>0</v>
      </c>
      <c r="C4156">
        <f>Profile!AP4923</f>
        <v>0</v>
      </c>
      <c r="D4156" t="str">
        <f>IF(Profile!C4921="Profile",IF(Profile!A4923="ResourceRequirement","OK","XXX"),"XXX")</f>
        <v>XXX</v>
      </c>
    </row>
    <row r="4157" spans="1:4" x14ac:dyDescent="0.45">
      <c r="A4157">
        <f>ROW()</f>
        <v>4157</v>
      </c>
      <c r="B4157">
        <f>Profile!A4922</f>
        <v>0</v>
      </c>
      <c r="C4157">
        <f>Profile!AP4924</f>
        <v>0</v>
      </c>
      <c r="D4157" t="str">
        <f>IF(Profile!C4922="Profile",IF(Profile!A4924="ResourceRequirement","OK","XXX"),"XXX")</f>
        <v>XXX</v>
      </c>
    </row>
    <row r="4158" spans="1:4" x14ac:dyDescent="0.45">
      <c r="A4158">
        <f>ROW()</f>
        <v>4158</v>
      </c>
      <c r="B4158">
        <f>Profile!A4923</f>
        <v>0</v>
      </c>
      <c r="C4158">
        <f>Profile!AP4925</f>
        <v>0</v>
      </c>
      <c r="D4158" t="str">
        <f>IF(Profile!C4923="Profile",IF(Profile!A4925="ResourceRequirement","OK","XXX"),"XXX")</f>
        <v>XXX</v>
      </c>
    </row>
    <row r="4159" spans="1:4" x14ac:dyDescent="0.45">
      <c r="A4159">
        <f>ROW()</f>
        <v>4159</v>
      </c>
      <c r="B4159">
        <f>Profile!A4924</f>
        <v>0</v>
      </c>
      <c r="C4159">
        <f>Profile!AP4926</f>
        <v>0</v>
      </c>
      <c r="D4159" t="str">
        <f>IF(Profile!C4924="Profile",IF(Profile!A4926="ResourceRequirement","OK","XXX"),"XXX")</f>
        <v>XXX</v>
      </c>
    </row>
    <row r="4160" spans="1:4" x14ac:dyDescent="0.45">
      <c r="A4160">
        <f>ROW()</f>
        <v>4160</v>
      </c>
      <c r="B4160">
        <f>Profile!A4925</f>
        <v>0</v>
      </c>
      <c r="C4160">
        <f>Profile!AP4927</f>
        <v>0</v>
      </c>
      <c r="D4160" t="str">
        <f>IF(Profile!C4925="Profile",IF(Profile!A4927="ResourceRequirement","OK","XXX"),"XXX")</f>
        <v>XXX</v>
      </c>
    </row>
    <row r="4161" spans="1:4" x14ac:dyDescent="0.45">
      <c r="A4161">
        <f>ROW()</f>
        <v>4161</v>
      </c>
      <c r="B4161">
        <f>Profile!A4926</f>
        <v>0</v>
      </c>
      <c r="C4161">
        <f>Profile!AP4928</f>
        <v>0</v>
      </c>
      <c r="D4161" t="str">
        <f>IF(Profile!C4926="Profile",IF(Profile!A4928="ResourceRequirement","OK","XXX"),"XXX")</f>
        <v>XXX</v>
      </c>
    </row>
    <row r="4162" spans="1:4" x14ac:dyDescent="0.45">
      <c r="A4162">
        <f>ROW()</f>
        <v>4162</v>
      </c>
      <c r="B4162">
        <f>Profile!A4927</f>
        <v>0</v>
      </c>
      <c r="C4162">
        <f>Profile!AP4929</f>
        <v>0</v>
      </c>
      <c r="D4162" t="str">
        <f>IF(Profile!C4927="Profile",IF(Profile!A4929="ResourceRequirement","OK","XXX"),"XXX")</f>
        <v>XXX</v>
      </c>
    </row>
    <row r="4163" spans="1:4" x14ac:dyDescent="0.45">
      <c r="A4163">
        <f>ROW()</f>
        <v>4163</v>
      </c>
      <c r="B4163">
        <f>Profile!A4928</f>
        <v>0</v>
      </c>
      <c r="C4163">
        <f>Profile!AP4930</f>
        <v>0</v>
      </c>
      <c r="D4163" t="str">
        <f>IF(Profile!C4928="Profile",IF(Profile!A4930="ResourceRequirement","OK","XXX"),"XXX")</f>
        <v>XXX</v>
      </c>
    </row>
    <row r="4164" spans="1:4" x14ac:dyDescent="0.45">
      <c r="A4164">
        <f>ROW()</f>
        <v>4164</v>
      </c>
      <c r="B4164">
        <f>Profile!A4929</f>
        <v>0</v>
      </c>
      <c r="C4164">
        <f>Profile!AP4931</f>
        <v>0</v>
      </c>
      <c r="D4164" t="str">
        <f>IF(Profile!C4929="Profile",IF(Profile!A4931="ResourceRequirement","OK","XXX"),"XXX")</f>
        <v>XXX</v>
      </c>
    </row>
    <row r="4165" spans="1:4" x14ac:dyDescent="0.45">
      <c r="A4165">
        <f>ROW()</f>
        <v>4165</v>
      </c>
      <c r="B4165">
        <f>Profile!A4930</f>
        <v>0</v>
      </c>
      <c r="C4165">
        <f>Profile!AP4932</f>
        <v>0</v>
      </c>
      <c r="D4165" t="str">
        <f>IF(Profile!C4930="Profile",IF(Profile!A4932="ResourceRequirement","OK","XXX"),"XXX")</f>
        <v>XXX</v>
      </c>
    </row>
    <row r="4166" spans="1:4" x14ac:dyDescent="0.45">
      <c r="A4166">
        <f>ROW()</f>
        <v>4166</v>
      </c>
      <c r="B4166">
        <f>Profile!A4931</f>
        <v>0</v>
      </c>
      <c r="C4166">
        <f>Profile!AP4933</f>
        <v>0</v>
      </c>
      <c r="D4166" t="str">
        <f>IF(Profile!C4931="Profile",IF(Profile!A4933="ResourceRequirement","OK","XXX"),"XXX")</f>
        <v>XXX</v>
      </c>
    </row>
    <row r="4167" spans="1:4" x14ac:dyDescent="0.45">
      <c r="A4167">
        <f>ROW()</f>
        <v>4167</v>
      </c>
      <c r="B4167">
        <f>Profile!A4932</f>
        <v>0</v>
      </c>
      <c r="C4167">
        <f>Profile!AP4934</f>
        <v>0</v>
      </c>
      <c r="D4167" t="str">
        <f>IF(Profile!C4932="Profile",IF(Profile!A4934="ResourceRequirement","OK","XXX"),"XXX")</f>
        <v>XXX</v>
      </c>
    </row>
    <row r="4168" spans="1:4" x14ac:dyDescent="0.45">
      <c r="A4168">
        <f>ROW()</f>
        <v>4168</v>
      </c>
      <c r="B4168">
        <f>Profile!A4933</f>
        <v>0</v>
      </c>
      <c r="C4168">
        <f>Profile!AP4935</f>
        <v>0</v>
      </c>
      <c r="D4168" t="str">
        <f>IF(Profile!C4933="Profile",IF(Profile!A4935="ResourceRequirement","OK","XXX"),"XXX")</f>
        <v>XXX</v>
      </c>
    </row>
    <row r="4169" spans="1:4" x14ac:dyDescent="0.45">
      <c r="A4169">
        <f>ROW()</f>
        <v>4169</v>
      </c>
      <c r="B4169">
        <f>Profile!A4934</f>
        <v>0</v>
      </c>
      <c r="C4169">
        <f>Profile!AP4936</f>
        <v>0</v>
      </c>
      <c r="D4169" t="str">
        <f>IF(Profile!C4934="Profile",IF(Profile!A4936="ResourceRequirement","OK","XXX"),"XXX")</f>
        <v>XXX</v>
      </c>
    </row>
    <row r="4170" spans="1:4" x14ac:dyDescent="0.45">
      <c r="A4170">
        <f>ROW()</f>
        <v>4170</v>
      </c>
      <c r="B4170">
        <f>Profile!A4935</f>
        <v>0</v>
      </c>
      <c r="C4170">
        <f>Profile!AP4937</f>
        <v>0</v>
      </c>
      <c r="D4170" t="str">
        <f>IF(Profile!C4935="Profile",IF(Profile!A4937="ResourceRequirement","OK","XXX"),"XXX")</f>
        <v>XXX</v>
      </c>
    </row>
    <row r="4171" spans="1:4" x14ac:dyDescent="0.45">
      <c r="A4171">
        <f>ROW()</f>
        <v>4171</v>
      </c>
      <c r="B4171">
        <f>Profile!A4936</f>
        <v>0</v>
      </c>
      <c r="C4171">
        <f>Profile!AP4938</f>
        <v>0</v>
      </c>
      <c r="D4171" t="str">
        <f>IF(Profile!C4936="Profile",IF(Profile!A4938="ResourceRequirement","OK","XXX"),"XXX")</f>
        <v>XXX</v>
      </c>
    </row>
    <row r="4172" spans="1:4" x14ac:dyDescent="0.45">
      <c r="A4172">
        <f>ROW()</f>
        <v>4172</v>
      </c>
      <c r="B4172">
        <f>Profile!A4937</f>
        <v>0</v>
      </c>
      <c r="C4172">
        <f>Profile!AP4939</f>
        <v>0</v>
      </c>
      <c r="D4172" t="str">
        <f>IF(Profile!C4937="Profile",IF(Profile!A4939="ResourceRequirement","OK","XXX"),"XXX")</f>
        <v>XXX</v>
      </c>
    </row>
    <row r="4173" spans="1:4" x14ac:dyDescent="0.45">
      <c r="A4173">
        <f>ROW()</f>
        <v>4173</v>
      </c>
      <c r="B4173">
        <f>Profile!A4938</f>
        <v>0</v>
      </c>
      <c r="C4173">
        <f>Profile!AP4940</f>
        <v>0</v>
      </c>
      <c r="D4173" t="str">
        <f>IF(Profile!C4938="Profile",IF(Profile!A4940="ResourceRequirement","OK","XXX"),"XXX")</f>
        <v>XXX</v>
      </c>
    </row>
    <row r="4174" spans="1:4" x14ac:dyDescent="0.45">
      <c r="A4174">
        <f>ROW()</f>
        <v>4174</v>
      </c>
      <c r="B4174">
        <f>Profile!A4939</f>
        <v>0</v>
      </c>
      <c r="C4174">
        <f>Profile!AP4941</f>
        <v>0</v>
      </c>
      <c r="D4174" t="str">
        <f>IF(Profile!C4939="Profile",IF(Profile!A4941="ResourceRequirement","OK","XXX"),"XXX")</f>
        <v>XXX</v>
      </c>
    </row>
    <row r="4175" spans="1:4" x14ac:dyDescent="0.45">
      <c r="A4175">
        <f>ROW()</f>
        <v>4175</v>
      </c>
      <c r="B4175">
        <f>Profile!A4940</f>
        <v>0</v>
      </c>
      <c r="C4175">
        <f>Profile!AP4942</f>
        <v>0</v>
      </c>
      <c r="D4175" t="str">
        <f>IF(Profile!C4940="Profile",IF(Profile!A4942="ResourceRequirement","OK","XXX"),"XXX")</f>
        <v>XXX</v>
      </c>
    </row>
    <row r="4176" spans="1:4" x14ac:dyDescent="0.45">
      <c r="A4176">
        <f>ROW()</f>
        <v>4176</v>
      </c>
      <c r="B4176">
        <f>Profile!A4941</f>
        <v>0</v>
      </c>
      <c r="C4176">
        <f>Profile!AP4943</f>
        <v>0</v>
      </c>
      <c r="D4176" t="str">
        <f>IF(Profile!C4941="Profile",IF(Profile!A4943="ResourceRequirement","OK","XXX"),"XXX")</f>
        <v>XXX</v>
      </c>
    </row>
    <row r="4177" spans="1:4" x14ac:dyDescent="0.45">
      <c r="A4177">
        <f>ROW()</f>
        <v>4177</v>
      </c>
      <c r="B4177">
        <f>Profile!A4942</f>
        <v>0</v>
      </c>
      <c r="C4177">
        <f>Profile!AP4944</f>
        <v>0</v>
      </c>
      <c r="D4177" t="str">
        <f>IF(Profile!C4942="Profile",IF(Profile!A4944="ResourceRequirement","OK","XXX"),"XXX")</f>
        <v>XXX</v>
      </c>
    </row>
    <row r="4178" spans="1:4" x14ac:dyDescent="0.45">
      <c r="A4178">
        <f>ROW()</f>
        <v>4178</v>
      </c>
      <c r="B4178">
        <f>Profile!A4943</f>
        <v>0</v>
      </c>
      <c r="C4178">
        <f>Profile!AP4945</f>
        <v>0</v>
      </c>
      <c r="D4178" t="str">
        <f>IF(Profile!C4943="Profile",IF(Profile!A4945="ResourceRequirement","OK","XXX"),"XXX")</f>
        <v>XXX</v>
      </c>
    </row>
    <row r="4179" spans="1:4" x14ac:dyDescent="0.45">
      <c r="A4179">
        <f>ROW()</f>
        <v>4179</v>
      </c>
      <c r="B4179">
        <f>Profile!A4944</f>
        <v>0</v>
      </c>
      <c r="C4179">
        <f>Profile!AP4946</f>
        <v>0</v>
      </c>
      <c r="D4179" t="str">
        <f>IF(Profile!C4944="Profile",IF(Profile!A4946="ResourceRequirement","OK","XXX"),"XXX")</f>
        <v>XXX</v>
      </c>
    </row>
    <row r="4180" spans="1:4" x14ac:dyDescent="0.45">
      <c r="A4180">
        <f>ROW()</f>
        <v>4180</v>
      </c>
      <c r="B4180">
        <f>Profile!A4945</f>
        <v>0</v>
      </c>
      <c r="C4180">
        <f>Profile!AP4947</f>
        <v>0</v>
      </c>
      <c r="D4180" t="str">
        <f>IF(Profile!C4945="Profile",IF(Profile!A4947="ResourceRequirement","OK","XXX"),"XXX")</f>
        <v>XXX</v>
      </c>
    </row>
    <row r="4181" spans="1:4" x14ac:dyDescent="0.45">
      <c r="A4181">
        <f>ROW()</f>
        <v>4181</v>
      </c>
      <c r="B4181">
        <f>Profile!A4946</f>
        <v>0</v>
      </c>
      <c r="C4181">
        <f>Profile!AP4948</f>
        <v>0</v>
      </c>
      <c r="D4181" t="str">
        <f>IF(Profile!C4946="Profile",IF(Profile!A4948="ResourceRequirement","OK","XXX"),"XXX")</f>
        <v>XXX</v>
      </c>
    </row>
    <row r="4182" spans="1:4" x14ac:dyDescent="0.45">
      <c r="A4182">
        <f>ROW()</f>
        <v>4182</v>
      </c>
      <c r="B4182">
        <f>Profile!A4947</f>
        <v>0</v>
      </c>
      <c r="C4182">
        <f>Profile!AP4949</f>
        <v>0</v>
      </c>
      <c r="D4182" t="str">
        <f>IF(Profile!C4947="Profile",IF(Profile!A4949="ResourceRequirement","OK","XXX"),"XXX")</f>
        <v>XXX</v>
      </c>
    </row>
    <row r="4183" spans="1:4" x14ac:dyDescent="0.45">
      <c r="A4183">
        <f>ROW()</f>
        <v>4183</v>
      </c>
      <c r="B4183">
        <f>Profile!A4948</f>
        <v>0</v>
      </c>
      <c r="C4183">
        <f>Profile!AP4950</f>
        <v>0</v>
      </c>
      <c r="D4183" t="str">
        <f>IF(Profile!C4948="Profile",IF(Profile!A4950="ResourceRequirement","OK","XXX"),"XXX")</f>
        <v>XXX</v>
      </c>
    </row>
    <row r="4184" spans="1:4" x14ac:dyDescent="0.45">
      <c r="A4184">
        <f>ROW()</f>
        <v>4184</v>
      </c>
      <c r="B4184">
        <f>Profile!A4949</f>
        <v>0</v>
      </c>
      <c r="C4184">
        <f>Profile!AP4951</f>
        <v>0</v>
      </c>
      <c r="D4184" t="str">
        <f>IF(Profile!C4949="Profile",IF(Profile!A4951="ResourceRequirement","OK","XXX"),"XXX")</f>
        <v>XXX</v>
      </c>
    </row>
    <row r="4185" spans="1:4" x14ac:dyDescent="0.45">
      <c r="A4185">
        <f>ROW()</f>
        <v>4185</v>
      </c>
      <c r="B4185">
        <f>Profile!A4950</f>
        <v>0</v>
      </c>
      <c r="C4185">
        <f>Profile!AP4952</f>
        <v>0</v>
      </c>
      <c r="D4185" t="str">
        <f>IF(Profile!C4950="Profile",IF(Profile!A4952="ResourceRequirement","OK","XXX"),"XXX")</f>
        <v>XXX</v>
      </c>
    </row>
    <row r="4186" spans="1:4" x14ac:dyDescent="0.45">
      <c r="A4186">
        <f>ROW()</f>
        <v>4186</v>
      </c>
      <c r="B4186">
        <f>Profile!A4951</f>
        <v>0</v>
      </c>
      <c r="C4186">
        <f>Profile!AP4953</f>
        <v>0</v>
      </c>
      <c r="D4186" t="str">
        <f>IF(Profile!C4951="Profile",IF(Profile!A4953="ResourceRequirement","OK","XXX"),"XXX")</f>
        <v>XXX</v>
      </c>
    </row>
    <row r="4187" spans="1:4" x14ac:dyDescent="0.45">
      <c r="A4187">
        <f>ROW()</f>
        <v>4187</v>
      </c>
      <c r="B4187">
        <f>Profile!A4952</f>
        <v>0</v>
      </c>
      <c r="C4187">
        <f>Profile!AP4954</f>
        <v>0</v>
      </c>
      <c r="D4187" t="str">
        <f>IF(Profile!C4952="Profile",IF(Profile!A4954="ResourceRequirement","OK","XXX"),"XXX")</f>
        <v>XXX</v>
      </c>
    </row>
    <row r="4188" spans="1:4" x14ac:dyDescent="0.45">
      <c r="A4188">
        <f>ROW()</f>
        <v>4188</v>
      </c>
      <c r="B4188">
        <f>Profile!A4953</f>
        <v>0</v>
      </c>
      <c r="C4188">
        <f>Profile!AP4955</f>
        <v>0</v>
      </c>
      <c r="D4188" t="str">
        <f>IF(Profile!C4953="Profile",IF(Profile!A4955="ResourceRequirement","OK","XXX"),"XXX")</f>
        <v>XXX</v>
      </c>
    </row>
    <row r="4189" spans="1:4" x14ac:dyDescent="0.45">
      <c r="A4189">
        <f>ROW()</f>
        <v>4189</v>
      </c>
      <c r="B4189">
        <f>Profile!A4954</f>
        <v>0</v>
      </c>
      <c r="C4189">
        <f>Profile!AP4956</f>
        <v>0</v>
      </c>
      <c r="D4189" t="str">
        <f>IF(Profile!C4954="Profile",IF(Profile!A4956="ResourceRequirement","OK","XXX"),"XXX")</f>
        <v>XXX</v>
      </c>
    </row>
    <row r="4190" spans="1:4" x14ac:dyDescent="0.45">
      <c r="A4190">
        <f>ROW()</f>
        <v>4190</v>
      </c>
      <c r="B4190">
        <f>Profile!A4955</f>
        <v>0</v>
      </c>
      <c r="C4190">
        <f>Profile!AP4957</f>
        <v>0</v>
      </c>
      <c r="D4190" t="str">
        <f>IF(Profile!C4955="Profile",IF(Profile!A4957="ResourceRequirement","OK","XXX"),"XXX")</f>
        <v>XXX</v>
      </c>
    </row>
    <row r="4191" spans="1:4" x14ac:dyDescent="0.45">
      <c r="A4191">
        <f>ROW()</f>
        <v>4191</v>
      </c>
      <c r="B4191">
        <f>Profile!A4956</f>
        <v>0</v>
      </c>
      <c r="C4191">
        <f>Profile!AP4958</f>
        <v>0</v>
      </c>
      <c r="D4191" t="str">
        <f>IF(Profile!C4956="Profile",IF(Profile!A4958="ResourceRequirement","OK","XXX"),"XXX")</f>
        <v>XXX</v>
      </c>
    </row>
    <row r="4192" spans="1:4" x14ac:dyDescent="0.45">
      <c r="A4192">
        <f>ROW()</f>
        <v>4192</v>
      </c>
      <c r="B4192">
        <f>Profile!A4957</f>
        <v>0</v>
      </c>
      <c r="C4192">
        <f>Profile!AP4959</f>
        <v>0</v>
      </c>
      <c r="D4192" t="str">
        <f>IF(Profile!C4957="Profile",IF(Profile!A4959="ResourceRequirement","OK","XXX"),"XXX")</f>
        <v>XXX</v>
      </c>
    </row>
    <row r="4193" spans="1:4" x14ac:dyDescent="0.45">
      <c r="A4193">
        <f>ROW()</f>
        <v>4193</v>
      </c>
      <c r="B4193">
        <f>Profile!A4958</f>
        <v>0</v>
      </c>
      <c r="C4193">
        <f>Profile!AP4960</f>
        <v>0</v>
      </c>
      <c r="D4193" t="str">
        <f>IF(Profile!C4958="Profile",IF(Profile!A4960="ResourceRequirement","OK","XXX"),"XXX")</f>
        <v>XXX</v>
      </c>
    </row>
    <row r="4194" spans="1:4" x14ac:dyDescent="0.45">
      <c r="A4194">
        <f>ROW()</f>
        <v>4194</v>
      </c>
      <c r="B4194">
        <f>Profile!A4959</f>
        <v>0</v>
      </c>
      <c r="C4194">
        <f>Profile!AP4961</f>
        <v>0</v>
      </c>
      <c r="D4194" t="str">
        <f>IF(Profile!C4959="Profile",IF(Profile!A4961="ResourceRequirement","OK","XXX"),"XXX")</f>
        <v>XXX</v>
      </c>
    </row>
    <row r="4195" spans="1:4" x14ac:dyDescent="0.45">
      <c r="A4195">
        <f>ROW()</f>
        <v>4195</v>
      </c>
      <c r="B4195">
        <f>Profile!A4960</f>
        <v>0</v>
      </c>
      <c r="C4195">
        <f>Profile!AP4962</f>
        <v>0</v>
      </c>
      <c r="D4195" t="str">
        <f>IF(Profile!C4960="Profile",IF(Profile!A4962="ResourceRequirement","OK","XXX"),"XXX")</f>
        <v>XXX</v>
      </c>
    </row>
    <row r="4196" spans="1:4" x14ac:dyDescent="0.45">
      <c r="A4196">
        <f>ROW()</f>
        <v>4196</v>
      </c>
      <c r="B4196">
        <f>Profile!A4961</f>
        <v>0</v>
      </c>
      <c r="C4196">
        <f>Profile!AP4963</f>
        <v>0</v>
      </c>
      <c r="D4196" t="str">
        <f>IF(Profile!C4961="Profile",IF(Profile!A4963="ResourceRequirement","OK","XXX"),"XXX")</f>
        <v>XXX</v>
      </c>
    </row>
    <row r="4197" spans="1:4" x14ac:dyDescent="0.45">
      <c r="A4197">
        <f>ROW()</f>
        <v>4197</v>
      </c>
      <c r="B4197">
        <f>Profile!A4962</f>
        <v>0</v>
      </c>
      <c r="C4197">
        <f>Profile!AP4964</f>
        <v>0</v>
      </c>
      <c r="D4197" t="str">
        <f>IF(Profile!C4962="Profile",IF(Profile!A4964="ResourceRequirement","OK","XXX"),"XXX")</f>
        <v>XXX</v>
      </c>
    </row>
    <row r="4198" spans="1:4" x14ac:dyDescent="0.45">
      <c r="A4198">
        <f>ROW()</f>
        <v>4198</v>
      </c>
      <c r="B4198">
        <f>Profile!A4963</f>
        <v>0</v>
      </c>
      <c r="C4198">
        <f>Profile!AP4965</f>
        <v>0</v>
      </c>
      <c r="D4198" t="str">
        <f>IF(Profile!C4963="Profile",IF(Profile!A4965="ResourceRequirement","OK","XXX"),"XXX")</f>
        <v>XXX</v>
      </c>
    </row>
    <row r="4199" spans="1:4" x14ac:dyDescent="0.45">
      <c r="A4199">
        <f>ROW()</f>
        <v>4199</v>
      </c>
      <c r="B4199">
        <f>Profile!A4964</f>
        <v>0</v>
      </c>
      <c r="C4199">
        <f>Profile!AP4966</f>
        <v>0</v>
      </c>
      <c r="D4199" t="str">
        <f>IF(Profile!C4964="Profile",IF(Profile!A4966="ResourceRequirement","OK","XXX"),"XXX")</f>
        <v>XXX</v>
      </c>
    </row>
    <row r="4200" spans="1:4" x14ac:dyDescent="0.45">
      <c r="A4200">
        <f>ROW()</f>
        <v>4200</v>
      </c>
      <c r="B4200">
        <f>Profile!A4965</f>
        <v>0</v>
      </c>
      <c r="C4200">
        <f>Profile!AP4967</f>
        <v>0</v>
      </c>
      <c r="D4200" t="str">
        <f>IF(Profile!C4965="Profile",IF(Profile!A4967="ResourceRequirement","OK","XXX"),"XXX")</f>
        <v>XXX</v>
      </c>
    </row>
    <row r="4201" spans="1:4" x14ac:dyDescent="0.45">
      <c r="A4201">
        <f>ROW()</f>
        <v>4201</v>
      </c>
      <c r="B4201">
        <f>Profile!A4966</f>
        <v>0</v>
      </c>
      <c r="C4201">
        <f>Profile!AP4968</f>
        <v>0</v>
      </c>
      <c r="D4201" t="str">
        <f>IF(Profile!C4966="Profile",IF(Profile!A4968="ResourceRequirement","OK","XXX"),"XXX")</f>
        <v>XXX</v>
      </c>
    </row>
    <row r="4202" spans="1:4" x14ac:dyDescent="0.45">
      <c r="A4202">
        <f>ROW()</f>
        <v>4202</v>
      </c>
      <c r="B4202">
        <f>Profile!A4967</f>
        <v>0</v>
      </c>
      <c r="C4202">
        <f>Profile!AP4969</f>
        <v>0</v>
      </c>
      <c r="D4202" t="str">
        <f>IF(Profile!C4967="Profile",IF(Profile!A4969="ResourceRequirement","OK","XXX"),"XXX")</f>
        <v>XXX</v>
      </c>
    </row>
    <row r="4203" spans="1:4" x14ac:dyDescent="0.45">
      <c r="A4203">
        <f>ROW()</f>
        <v>4203</v>
      </c>
      <c r="B4203">
        <f>Profile!A4968</f>
        <v>0</v>
      </c>
      <c r="C4203">
        <f>Profile!AP4970</f>
        <v>0</v>
      </c>
      <c r="D4203" t="str">
        <f>IF(Profile!C4968="Profile",IF(Profile!A4970="ResourceRequirement","OK","XXX"),"XXX")</f>
        <v>XXX</v>
      </c>
    </row>
    <row r="4204" spans="1:4" x14ac:dyDescent="0.45">
      <c r="A4204">
        <f>ROW()</f>
        <v>4204</v>
      </c>
      <c r="B4204">
        <f>Profile!A4969</f>
        <v>0</v>
      </c>
      <c r="C4204">
        <f>Profile!AP4971</f>
        <v>0</v>
      </c>
      <c r="D4204" t="str">
        <f>IF(Profile!C4969="Profile",IF(Profile!A4971="ResourceRequirement","OK","XXX"),"XXX")</f>
        <v>XXX</v>
      </c>
    </row>
    <row r="4205" spans="1:4" x14ac:dyDescent="0.45">
      <c r="A4205">
        <f>ROW()</f>
        <v>4205</v>
      </c>
      <c r="B4205">
        <f>Profile!A4970</f>
        <v>0</v>
      </c>
      <c r="C4205">
        <f>Profile!AP4972</f>
        <v>0</v>
      </c>
      <c r="D4205" t="str">
        <f>IF(Profile!C4970="Profile",IF(Profile!A4972="ResourceRequirement","OK","XXX"),"XXX")</f>
        <v>XXX</v>
      </c>
    </row>
    <row r="4206" spans="1:4" x14ac:dyDescent="0.45">
      <c r="A4206">
        <f>ROW()</f>
        <v>4206</v>
      </c>
      <c r="B4206">
        <f>Profile!A4971</f>
        <v>0</v>
      </c>
      <c r="C4206">
        <f>Profile!AP4973</f>
        <v>0</v>
      </c>
      <c r="D4206" t="str">
        <f>IF(Profile!C4971="Profile",IF(Profile!A4973="ResourceRequirement","OK","XXX"),"XXX")</f>
        <v>XXX</v>
      </c>
    </row>
    <row r="4207" spans="1:4" x14ac:dyDescent="0.45">
      <c r="A4207">
        <f>ROW()</f>
        <v>4207</v>
      </c>
      <c r="B4207">
        <f>Profile!A4972</f>
        <v>0</v>
      </c>
      <c r="C4207">
        <f>Profile!AP4974</f>
        <v>0</v>
      </c>
      <c r="D4207" t="str">
        <f>IF(Profile!C4972="Profile",IF(Profile!A4974="ResourceRequirement","OK","XXX"),"XXX")</f>
        <v>XXX</v>
      </c>
    </row>
    <row r="4208" spans="1:4" x14ac:dyDescent="0.45">
      <c r="A4208">
        <f>ROW()</f>
        <v>4208</v>
      </c>
      <c r="B4208">
        <f>Profile!A4973</f>
        <v>0</v>
      </c>
      <c r="C4208">
        <f>Profile!AP4975</f>
        <v>0</v>
      </c>
      <c r="D4208" t="str">
        <f>IF(Profile!C4973="Profile",IF(Profile!A4975="ResourceRequirement","OK","XXX"),"XXX")</f>
        <v>XXX</v>
      </c>
    </row>
    <row r="4209" spans="1:4" x14ac:dyDescent="0.45">
      <c r="A4209">
        <f>ROW()</f>
        <v>4209</v>
      </c>
      <c r="B4209">
        <f>Profile!A4974</f>
        <v>0</v>
      </c>
      <c r="C4209">
        <f>Profile!AP4976</f>
        <v>0</v>
      </c>
      <c r="D4209" t="str">
        <f>IF(Profile!C4974="Profile",IF(Profile!A4976="ResourceRequirement","OK","XXX"),"XXX")</f>
        <v>XXX</v>
      </c>
    </row>
    <row r="4210" spans="1:4" x14ac:dyDescent="0.45">
      <c r="A4210">
        <f>ROW()</f>
        <v>4210</v>
      </c>
      <c r="B4210">
        <f>Profile!A4975</f>
        <v>0</v>
      </c>
      <c r="C4210">
        <f>Profile!AP4977</f>
        <v>0</v>
      </c>
      <c r="D4210" t="str">
        <f>IF(Profile!C4975="Profile",IF(Profile!A4977="ResourceRequirement","OK","XXX"),"XXX")</f>
        <v>XXX</v>
      </c>
    </row>
    <row r="4211" spans="1:4" x14ac:dyDescent="0.45">
      <c r="A4211">
        <f>ROW()</f>
        <v>4211</v>
      </c>
      <c r="B4211">
        <f>Profile!A4976</f>
        <v>0</v>
      </c>
      <c r="C4211">
        <f>Profile!AP4978</f>
        <v>0</v>
      </c>
      <c r="D4211" t="str">
        <f>IF(Profile!C4976="Profile",IF(Profile!A4978="ResourceRequirement","OK","XXX"),"XXX")</f>
        <v>XXX</v>
      </c>
    </row>
    <row r="4212" spans="1:4" x14ac:dyDescent="0.45">
      <c r="A4212">
        <f>ROW()</f>
        <v>4212</v>
      </c>
      <c r="B4212">
        <f>Profile!A4977</f>
        <v>0</v>
      </c>
      <c r="C4212">
        <f>Profile!AP4979</f>
        <v>0</v>
      </c>
      <c r="D4212" t="str">
        <f>IF(Profile!C4977="Profile",IF(Profile!A4979="ResourceRequirement","OK","XXX"),"XXX")</f>
        <v>XXX</v>
      </c>
    </row>
    <row r="4213" spans="1:4" x14ac:dyDescent="0.45">
      <c r="A4213">
        <f>ROW()</f>
        <v>4213</v>
      </c>
      <c r="B4213">
        <f>Profile!A4978</f>
        <v>0</v>
      </c>
      <c r="C4213">
        <f>Profile!AP4980</f>
        <v>0</v>
      </c>
      <c r="D4213" t="str">
        <f>IF(Profile!C4978="Profile",IF(Profile!A4980="ResourceRequirement","OK","XXX"),"XXX")</f>
        <v>XXX</v>
      </c>
    </row>
    <row r="4214" spans="1:4" x14ac:dyDescent="0.45">
      <c r="A4214">
        <f>ROW()</f>
        <v>4214</v>
      </c>
      <c r="B4214">
        <f>Profile!A4979</f>
        <v>0</v>
      </c>
      <c r="C4214">
        <f>Profile!AP4981</f>
        <v>0</v>
      </c>
      <c r="D4214" t="str">
        <f>IF(Profile!C4979="Profile",IF(Profile!A4981="ResourceRequirement","OK","XXX"),"XXX")</f>
        <v>XXX</v>
      </c>
    </row>
    <row r="4215" spans="1:4" x14ac:dyDescent="0.45">
      <c r="A4215">
        <f>ROW()</f>
        <v>4215</v>
      </c>
      <c r="B4215">
        <f>Profile!A4980</f>
        <v>0</v>
      </c>
      <c r="C4215">
        <f>Profile!AP4982</f>
        <v>0</v>
      </c>
      <c r="D4215" t="str">
        <f>IF(Profile!C4980="Profile",IF(Profile!A4982="ResourceRequirement","OK","XXX"),"XXX")</f>
        <v>XXX</v>
      </c>
    </row>
    <row r="4216" spans="1:4" x14ac:dyDescent="0.45">
      <c r="A4216">
        <f>ROW()</f>
        <v>4216</v>
      </c>
      <c r="B4216">
        <f>Profile!A4981</f>
        <v>0</v>
      </c>
      <c r="C4216">
        <f>Profile!AP4983</f>
        <v>0</v>
      </c>
      <c r="D4216" t="str">
        <f>IF(Profile!C4981="Profile",IF(Profile!A4983="ResourceRequirement","OK","XXX"),"XXX")</f>
        <v>XXX</v>
      </c>
    </row>
    <row r="4217" spans="1:4" x14ac:dyDescent="0.45">
      <c r="A4217">
        <f>ROW()</f>
        <v>4217</v>
      </c>
      <c r="B4217">
        <f>Profile!A4982</f>
        <v>0</v>
      </c>
      <c r="C4217">
        <f>Profile!AP4984</f>
        <v>0</v>
      </c>
      <c r="D4217" t="str">
        <f>IF(Profile!C4982="Profile",IF(Profile!A4984="ResourceRequirement","OK","XXX"),"XXX")</f>
        <v>XXX</v>
      </c>
    </row>
    <row r="4218" spans="1:4" x14ac:dyDescent="0.45">
      <c r="A4218">
        <f>ROW()</f>
        <v>4218</v>
      </c>
      <c r="B4218">
        <f>Profile!A4983</f>
        <v>0</v>
      </c>
      <c r="C4218">
        <f>Profile!AP4985</f>
        <v>0</v>
      </c>
      <c r="D4218" t="str">
        <f>IF(Profile!C4983="Profile",IF(Profile!A4985="ResourceRequirement","OK","XXX"),"XXX")</f>
        <v>XXX</v>
      </c>
    </row>
    <row r="4219" spans="1:4" x14ac:dyDescent="0.45">
      <c r="A4219">
        <f>ROW()</f>
        <v>4219</v>
      </c>
      <c r="B4219">
        <f>Profile!A4984</f>
        <v>0</v>
      </c>
      <c r="C4219">
        <f>Profile!AP4986</f>
        <v>0</v>
      </c>
      <c r="D4219" t="str">
        <f>IF(Profile!C4984="Profile",IF(Profile!A4986="ResourceRequirement","OK","XXX"),"XXX")</f>
        <v>XXX</v>
      </c>
    </row>
    <row r="4220" spans="1:4" x14ac:dyDescent="0.45">
      <c r="A4220">
        <f>ROW()</f>
        <v>4220</v>
      </c>
      <c r="B4220">
        <f>Profile!A4985</f>
        <v>0</v>
      </c>
      <c r="C4220">
        <f>Profile!AP4987</f>
        <v>0</v>
      </c>
      <c r="D4220" t="str">
        <f>IF(Profile!C4985="Profile",IF(Profile!A4987="ResourceRequirement","OK","XXX"),"XXX")</f>
        <v>XXX</v>
      </c>
    </row>
    <row r="4221" spans="1:4" x14ac:dyDescent="0.45">
      <c r="A4221">
        <f>ROW()</f>
        <v>4221</v>
      </c>
      <c r="B4221">
        <f>Profile!A4986</f>
        <v>0</v>
      </c>
      <c r="C4221">
        <f>Profile!AP4988</f>
        <v>0</v>
      </c>
      <c r="D4221" t="str">
        <f>IF(Profile!C4986="Profile",IF(Profile!A4988="ResourceRequirement","OK","XXX"),"XXX")</f>
        <v>XXX</v>
      </c>
    </row>
    <row r="4222" spans="1:4" x14ac:dyDescent="0.45">
      <c r="A4222">
        <f>ROW()</f>
        <v>4222</v>
      </c>
      <c r="B4222">
        <f>Profile!A4987</f>
        <v>0</v>
      </c>
      <c r="C4222">
        <f>Profile!AP4989</f>
        <v>0</v>
      </c>
      <c r="D4222" t="str">
        <f>IF(Profile!C4987="Profile",IF(Profile!A4989="ResourceRequirement","OK","XXX"),"XXX")</f>
        <v>XXX</v>
      </c>
    </row>
    <row r="4223" spans="1:4" x14ac:dyDescent="0.45">
      <c r="A4223">
        <f>ROW()</f>
        <v>4223</v>
      </c>
      <c r="B4223">
        <f>Profile!A4988</f>
        <v>0</v>
      </c>
      <c r="C4223">
        <f>Profile!AP4990</f>
        <v>0</v>
      </c>
      <c r="D4223" t="str">
        <f>IF(Profile!C4988="Profile",IF(Profile!A4990="ResourceRequirement","OK","XXX"),"XXX")</f>
        <v>XXX</v>
      </c>
    </row>
    <row r="4224" spans="1:4" x14ac:dyDescent="0.45">
      <c r="A4224">
        <f>ROW()</f>
        <v>4224</v>
      </c>
      <c r="B4224">
        <f>Profile!A4989</f>
        <v>0</v>
      </c>
      <c r="C4224">
        <f>Profile!AP4991</f>
        <v>0</v>
      </c>
      <c r="D4224" t="str">
        <f>IF(Profile!C4989="Profile",IF(Profile!A4991="ResourceRequirement","OK","XXX"),"XXX")</f>
        <v>XXX</v>
      </c>
    </row>
    <row r="4225" spans="1:4" x14ac:dyDescent="0.45">
      <c r="A4225">
        <f>ROW()</f>
        <v>4225</v>
      </c>
      <c r="B4225">
        <f>Profile!A4990</f>
        <v>0</v>
      </c>
      <c r="C4225">
        <f>Profile!AP4992</f>
        <v>0</v>
      </c>
      <c r="D4225" t="str">
        <f>IF(Profile!C4990="Profile",IF(Profile!A4992="ResourceRequirement","OK","XXX"),"XXX")</f>
        <v>XXX</v>
      </c>
    </row>
    <row r="4226" spans="1:4" x14ac:dyDescent="0.45">
      <c r="A4226">
        <f>ROW()</f>
        <v>4226</v>
      </c>
      <c r="B4226">
        <f>Profile!A4991</f>
        <v>0</v>
      </c>
      <c r="C4226">
        <f>Profile!AP4993</f>
        <v>0</v>
      </c>
      <c r="D4226" t="str">
        <f>IF(Profile!C4991="Profile",IF(Profile!A4993="ResourceRequirement","OK","XXX"),"XXX")</f>
        <v>XXX</v>
      </c>
    </row>
    <row r="4227" spans="1:4" x14ac:dyDescent="0.45">
      <c r="A4227">
        <f>ROW()</f>
        <v>4227</v>
      </c>
      <c r="B4227">
        <f>Profile!A4992</f>
        <v>0</v>
      </c>
      <c r="C4227">
        <f>Profile!AP4994</f>
        <v>0</v>
      </c>
      <c r="D4227" t="str">
        <f>IF(Profile!C4992="Profile",IF(Profile!A4994="ResourceRequirement","OK","XXX"),"XXX")</f>
        <v>XXX</v>
      </c>
    </row>
    <row r="4228" spans="1:4" x14ac:dyDescent="0.45">
      <c r="A4228">
        <f>ROW()</f>
        <v>4228</v>
      </c>
      <c r="B4228">
        <f>Profile!A4993</f>
        <v>0</v>
      </c>
      <c r="C4228">
        <f>Profile!AP4995</f>
        <v>0</v>
      </c>
      <c r="D4228" t="str">
        <f>IF(Profile!C4993="Profile",IF(Profile!A4995="ResourceRequirement","OK","XXX"),"XXX")</f>
        <v>XXX</v>
      </c>
    </row>
    <row r="4229" spans="1:4" x14ac:dyDescent="0.45">
      <c r="A4229">
        <f>ROW()</f>
        <v>4229</v>
      </c>
      <c r="B4229">
        <f>Profile!A4994</f>
        <v>0</v>
      </c>
      <c r="C4229">
        <f>Profile!AP4996</f>
        <v>0</v>
      </c>
      <c r="D4229" t="str">
        <f>IF(Profile!C4994="Profile",IF(Profile!A4996="ResourceRequirement","OK","XXX"),"XXX")</f>
        <v>XXX</v>
      </c>
    </row>
    <row r="4230" spans="1:4" x14ac:dyDescent="0.45">
      <c r="A4230">
        <f>ROW()</f>
        <v>4230</v>
      </c>
      <c r="B4230">
        <f>Profile!A4995</f>
        <v>0</v>
      </c>
      <c r="C4230">
        <f>Profile!AP4997</f>
        <v>0</v>
      </c>
      <c r="D4230" t="str">
        <f>IF(Profile!C4995="Profile",IF(Profile!A4997="ResourceRequirement","OK","XXX"),"XXX")</f>
        <v>XXX</v>
      </c>
    </row>
    <row r="4231" spans="1:4" x14ac:dyDescent="0.45">
      <c r="A4231">
        <f>ROW()</f>
        <v>4231</v>
      </c>
      <c r="B4231">
        <f>Profile!A4996</f>
        <v>0</v>
      </c>
      <c r="C4231">
        <f>Profile!AP4998</f>
        <v>0</v>
      </c>
      <c r="D4231" t="str">
        <f>IF(Profile!C4996="Profile",IF(Profile!A4998="ResourceRequirement","OK","XXX"),"XXX")</f>
        <v>XXX</v>
      </c>
    </row>
    <row r="4232" spans="1:4" x14ac:dyDescent="0.45">
      <c r="A4232">
        <f>ROW()</f>
        <v>4232</v>
      </c>
      <c r="B4232">
        <f>Profile!A4997</f>
        <v>0</v>
      </c>
      <c r="C4232">
        <f>Profile!AP4999</f>
        <v>0</v>
      </c>
      <c r="D4232" t="str">
        <f>IF(Profile!C4997="Profile",IF(Profile!A4999="ResourceRequirement","OK","XXX"),"XXX")</f>
        <v>XXX</v>
      </c>
    </row>
    <row r="4233" spans="1:4" x14ac:dyDescent="0.45">
      <c r="A4233">
        <f>ROW()</f>
        <v>4233</v>
      </c>
      <c r="B4233">
        <f>Profile!A4998</f>
        <v>0</v>
      </c>
      <c r="C4233">
        <f>Profile!AP5000</f>
        <v>0</v>
      </c>
      <c r="D4233" t="str">
        <f>IF(Profile!C4998="Profile",IF(Profile!A5000="ResourceRequirement","OK","XXX"),"XXX")</f>
        <v>XXX</v>
      </c>
    </row>
    <row r="4234" spans="1:4" x14ac:dyDescent="0.45">
      <c r="A4234">
        <f>ROW()</f>
        <v>4234</v>
      </c>
      <c r="B4234">
        <f>Profile!A4999</f>
        <v>0</v>
      </c>
      <c r="C4234">
        <f>Profile!AP5001</f>
        <v>0</v>
      </c>
      <c r="D4234" t="str">
        <f>IF(Profile!C4999="Profile",IF(Profile!A5001="ResourceRequirement","OK","XXX"),"XXX")</f>
        <v>XXX</v>
      </c>
    </row>
    <row r="4235" spans="1:4" x14ac:dyDescent="0.45">
      <c r="A4235">
        <f>ROW()</f>
        <v>4235</v>
      </c>
      <c r="B4235">
        <f>Profile!A5000</f>
        <v>0</v>
      </c>
      <c r="C4235">
        <f>Profile!AP5002</f>
        <v>0</v>
      </c>
      <c r="D4235" t="str">
        <f>IF(Profile!C5000="Profile",IF(Profile!A5002="ResourceRequirement","OK","XXX"),"XXX")</f>
        <v>XXX</v>
      </c>
    </row>
    <row r="4236" spans="1:4" x14ac:dyDescent="0.45">
      <c r="A4236">
        <f>ROW()</f>
        <v>4236</v>
      </c>
      <c r="B4236">
        <f>Profile!A5001</f>
        <v>0</v>
      </c>
      <c r="C4236">
        <f>Profile!AP5003</f>
        <v>0</v>
      </c>
      <c r="D4236" t="str">
        <f>IF(Profile!C5001="Profile",IF(Profile!A5003="ResourceRequirement","OK","XXX"),"XXX")</f>
        <v>XXX</v>
      </c>
    </row>
    <row r="4237" spans="1:4" x14ac:dyDescent="0.45">
      <c r="A4237">
        <f>ROW()</f>
        <v>4237</v>
      </c>
      <c r="B4237">
        <f>Profile!A5002</f>
        <v>0</v>
      </c>
      <c r="C4237">
        <f>Profile!AP5004</f>
        <v>0</v>
      </c>
      <c r="D4237" t="str">
        <f>IF(Profile!C5002="Profile",IF(Profile!A5004="ResourceRequirement","OK","XXX"),"XXX")</f>
        <v>XXX</v>
      </c>
    </row>
    <row r="4238" spans="1:4" x14ac:dyDescent="0.45">
      <c r="A4238">
        <f>ROW()</f>
        <v>4238</v>
      </c>
      <c r="B4238">
        <f>Profile!A5003</f>
        <v>0</v>
      </c>
      <c r="C4238">
        <f>Profile!AP5005</f>
        <v>0</v>
      </c>
      <c r="D4238" t="str">
        <f>IF(Profile!C5003="Profile",IF(Profile!A5005="ResourceRequirement","OK","XXX"),"XXX")</f>
        <v>XXX</v>
      </c>
    </row>
    <row r="4239" spans="1:4" x14ac:dyDescent="0.45">
      <c r="A4239">
        <f>ROW()</f>
        <v>4239</v>
      </c>
      <c r="B4239">
        <f>Profile!A5004</f>
        <v>0</v>
      </c>
      <c r="C4239">
        <f>Profile!AP5006</f>
        <v>0</v>
      </c>
      <c r="D4239" t="str">
        <f>IF(Profile!C5004="Profile",IF(Profile!A5006="ResourceRequirement","OK","XXX"),"XXX")</f>
        <v>XXX</v>
      </c>
    </row>
    <row r="4240" spans="1:4" x14ac:dyDescent="0.45">
      <c r="A4240">
        <f>ROW()</f>
        <v>4240</v>
      </c>
      <c r="B4240">
        <f>Profile!A5005</f>
        <v>0</v>
      </c>
      <c r="C4240">
        <f>Profile!AP5007</f>
        <v>0</v>
      </c>
      <c r="D4240" t="str">
        <f>IF(Profile!C5005="Profile",IF(Profile!A5007="ResourceRequirement","OK","XXX"),"XXX")</f>
        <v>XXX</v>
      </c>
    </row>
    <row r="4241" spans="1:4" x14ac:dyDescent="0.45">
      <c r="A4241">
        <f>ROW()</f>
        <v>4241</v>
      </c>
      <c r="B4241">
        <f>Profile!A5006</f>
        <v>0</v>
      </c>
      <c r="C4241">
        <f>Profile!AP5008</f>
        <v>0</v>
      </c>
      <c r="D4241" t="str">
        <f>IF(Profile!C5006="Profile",IF(Profile!A5008="ResourceRequirement","OK","XXX"),"XXX")</f>
        <v>XXX</v>
      </c>
    </row>
    <row r="4242" spans="1:4" x14ac:dyDescent="0.45">
      <c r="A4242">
        <f>ROW()</f>
        <v>4242</v>
      </c>
      <c r="B4242">
        <f>Profile!A5007</f>
        <v>0</v>
      </c>
      <c r="C4242">
        <f>Profile!AP5009</f>
        <v>0</v>
      </c>
      <c r="D4242" t="str">
        <f>IF(Profile!C5007="Profile",IF(Profile!A5009="ResourceRequirement","OK","XXX"),"XXX")</f>
        <v>XXX</v>
      </c>
    </row>
    <row r="4243" spans="1:4" x14ac:dyDescent="0.45">
      <c r="A4243">
        <f>ROW()</f>
        <v>4243</v>
      </c>
      <c r="B4243">
        <f>Profile!A5008</f>
        <v>0</v>
      </c>
      <c r="C4243">
        <f>Profile!AP5010</f>
        <v>0</v>
      </c>
      <c r="D4243" t="str">
        <f>IF(Profile!C5008="Profile",IF(Profile!A5010="ResourceRequirement","OK","XXX"),"XXX")</f>
        <v>XXX</v>
      </c>
    </row>
    <row r="4244" spans="1:4" x14ac:dyDescent="0.45">
      <c r="A4244">
        <f>ROW()</f>
        <v>4244</v>
      </c>
      <c r="B4244">
        <f>Profile!A5009</f>
        <v>0</v>
      </c>
      <c r="C4244">
        <f>Profile!AP5011</f>
        <v>0</v>
      </c>
      <c r="D4244" t="str">
        <f>IF(Profile!C5009="Profile",IF(Profile!A5011="ResourceRequirement","OK","XXX"),"XXX")</f>
        <v>XXX</v>
      </c>
    </row>
    <row r="4245" spans="1:4" x14ac:dyDescent="0.45">
      <c r="A4245">
        <f>ROW()</f>
        <v>4245</v>
      </c>
      <c r="B4245">
        <f>Profile!A5010</f>
        <v>0</v>
      </c>
      <c r="C4245">
        <f>Profile!AP5012</f>
        <v>0</v>
      </c>
      <c r="D4245" t="str">
        <f>IF(Profile!C5010="Profile",IF(Profile!A5012="ResourceRequirement","OK","XXX"),"XXX")</f>
        <v>XXX</v>
      </c>
    </row>
    <row r="4246" spans="1:4" x14ac:dyDescent="0.45">
      <c r="A4246">
        <f>ROW()</f>
        <v>4246</v>
      </c>
      <c r="B4246">
        <f>Profile!A5011</f>
        <v>0</v>
      </c>
      <c r="C4246">
        <f>Profile!AP5013</f>
        <v>0</v>
      </c>
      <c r="D4246" t="str">
        <f>IF(Profile!C5011="Profile",IF(Profile!A5013="ResourceRequirement","OK","XXX"),"XXX")</f>
        <v>XXX</v>
      </c>
    </row>
    <row r="4247" spans="1:4" x14ac:dyDescent="0.45">
      <c r="A4247">
        <f>ROW()</f>
        <v>4247</v>
      </c>
      <c r="B4247">
        <f>Profile!A5012</f>
        <v>0</v>
      </c>
      <c r="C4247">
        <f>Profile!AP5014</f>
        <v>0</v>
      </c>
      <c r="D4247" t="str">
        <f>IF(Profile!C5012="Profile",IF(Profile!A5014="ResourceRequirement","OK","XXX"),"XXX")</f>
        <v>XXX</v>
      </c>
    </row>
    <row r="4248" spans="1:4" x14ac:dyDescent="0.45">
      <c r="A4248">
        <f>ROW()</f>
        <v>4248</v>
      </c>
      <c r="B4248">
        <f>Profile!A5013</f>
        <v>0</v>
      </c>
      <c r="C4248">
        <f>Profile!AP5015</f>
        <v>0</v>
      </c>
      <c r="D4248" t="str">
        <f>IF(Profile!C5013="Profile",IF(Profile!A5015="ResourceRequirement","OK","XXX"),"XXX")</f>
        <v>XXX</v>
      </c>
    </row>
    <row r="4249" spans="1:4" x14ac:dyDescent="0.45">
      <c r="A4249">
        <f>ROW()</f>
        <v>4249</v>
      </c>
      <c r="B4249">
        <f>Profile!A5014</f>
        <v>0</v>
      </c>
      <c r="C4249">
        <f>Profile!AP5016</f>
        <v>0</v>
      </c>
      <c r="D4249" t="str">
        <f>IF(Profile!C5014="Profile",IF(Profile!A5016="ResourceRequirement","OK","XXX"),"XXX")</f>
        <v>XXX</v>
      </c>
    </row>
    <row r="4250" spans="1:4" x14ac:dyDescent="0.45">
      <c r="A4250">
        <f>ROW()</f>
        <v>4250</v>
      </c>
      <c r="B4250">
        <f>Profile!A5015</f>
        <v>0</v>
      </c>
      <c r="C4250">
        <f>Profile!AP5017</f>
        <v>0</v>
      </c>
      <c r="D4250" t="str">
        <f>IF(Profile!C5015="Profile",IF(Profile!A5017="ResourceRequirement","OK","XXX"),"XXX")</f>
        <v>XXX</v>
      </c>
    </row>
    <row r="4251" spans="1:4" x14ac:dyDescent="0.45">
      <c r="A4251">
        <f>ROW()</f>
        <v>4251</v>
      </c>
      <c r="B4251">
        <f>Profile!A5016</f>
        <v>0</v>
      </c>
      <c r="C4251">
        <f>Profile!AP5018</f>
        <v>0</v>
      </c>
      <c r="D4251" t="str">
        <f>IF(Profile!C5016="Profile",IF(Profile!A5018="ResourceRequirement","OK","XXX"),"XXX")</f>
        <v>XXX</v>
      </c>
    </row>
    <row r="4252" spans="1:4" x14ac:dyDescent="0.45">
      <c r="A4252">
        <f>ROW()</f>
        <v>4252</v>
      </c>
      <c r="B4252">
        <f>Profile!A5017</f>
        <v>0</v>
      </c>
      <c r="C4252">
        <f>Profile!AP5019</f>
        <v>0</v>
      </c>
      <c r="D4252" t="str">
        <f>IF(Profile!C5017="Profile",IF(Profile!A5019="ResourceRequirement","OK","XXX"),"XXX")</f>
        <v>XXX</v>
      </c>
    </row>
    <row r="4253" spans="1:4" x14ac:dyDescent="0.45">
      <c r="A4253">
        <f>ROW()</f>
        <v>4253</v>
      </c>
      <c r="B4253">
        <f>Profile!A5018</f>
        <v>0</v>
      </c>
      <c r="C4253">
        <f>Profile!AP5020</f>
        <v>0</v>
      </c>
      <c r="D4253" t="str">
        <f>IF(Profile!C5018="Profile",IF(Profile!A5020="ResourceRequirement","OK","XXX"),"XXX")</f>
        <v>XXX</v>
      </c>
    </row>
    <row r="4254" spans="1:4" x14ac:dyDescent="0.45">
      <c r="A4254">
        <f>ROW()</f>
        <v>4254</v>
      </c>
      <c r="B4254">
        <f>Profile!A5019</f>
        <v>0</v>
      </c>
      <c r="C4254">
        <f>Profile!AP5021</f>
        <v>0</v>
      </c>
      <c r="D4254" t="str">
        <f>IF(Profile!C5019="Profile",IF(Profile!A5021="ResourceRequirement","OK","XXX"),"XXX")</f>
        <v>XXX</v>
      </c>
    </row>
    <row r="4255" spans="1:4" x14ac:dyDescent="0.45">
      <c r="A4255">
        <f>ROW()</f>
        <v>4255</v>
      </c>
      <c r="B4255">
        <f>Profile!A5020</f>
        <v>0</v>
      </c>
      <c r="C4255">
        <f>Profile!AP5022</f>
        <v>0</v>
      </c>
      <c r="D4255" t="str">
        <f>IF(Profile!C5020="Profile",IF(Profile!A5022="ResourceRequirement","OK","XXX"),"XXX")</f>
        <v>XXX</v>
      </c>
    </row>
    <row r="4256" spans="1:4" x14ac:dyDescent="0.45">
      <c r="A4256">
        <f>ROW()</f>
        <v>4256</v>
      </c>
      <c r="B4256">
        <f>Profile!A5021</f>
        <v>0</v>
      </c>
      <c r="C4256">
        <f>Profile!AP5023</f>
        <v>0</v>
      </c>
      <c r="D4256" t="str">
        <f>IF(Profile!C5021="Profile",IF(Profile!A5023="ResourceRequirement","OK","XXX"),"XXX")</f>
        <v>XXX</v>
      </c>
    </row>
    <row r="4257" spans="1:4" x14ac:dyDescent="0.45">
      <c r="A4257">
        <f>ROW()</f>
        <v>4257</v>
      </c>
      <c r="B4257">
        <f>Profile!A5022</f>
        <v>0</v>
      </c>
      <c r="C4257">
        <f>Profile!AP5024</f>
        <v>0</v>
      </c>
      <c r="D4257" t="str">
        <f>IF(Profile!C5022="Profile",IF(Profile!A5024="ResourceRequirement","OK","XXX"),"XXX")</f>
        <v>XXX</v>
      </c>
    </row>
    <row r="4258" spans="1:4" x14ac:dyDescent="0.45">
      <c r="A4258">
        <f>ROW()</f>
        <v>4258</v>
      </c>
      <c r="B4258">
        <f>Profile!A5023</f>
        <v>0</v>
      </c>
      <c r="C4258">
        <f>Profile!AP5025</f>
        <v>0</v>
      </c>
      <c r="D4258" t="str">
        <f>IF(Profile!C5023="Profile",IF(Profile!A5025="ResourceRequirement","OK","XXX"),"XXX")</f>
        <v>XXX</v>
      </c>
    </row>
    <row r="4259" spans="1:4" x14ac:dyDescent="0.45">
      <c r="A4259">
        <f>ROW()</f>
        <v>4259</v>
      </c>
      <c r="B4259">
        <f>Profile!A5024</f>
        <v>0</v>
      </c>
      <c r="C4259">
        <f>Profile!AP5026</f>
        <v>0</v>
      </c>
      <c r="D4259" t="str">
        <f>IF(Profile!C5024="Profile",IF(Profile!A5026="ResourceRequirement","OK","XXX"),"XXX")</f>
        <v>XXX</v>
      </c>
    </row>
    <row r="4260" spans="1:4" x14ac:dyDescent="0.45">
      <c r="A4260">
        <f>ROW()</f>
        <v>4260</v>
      </c>
      <c r="B4260">
        <f>Profile!A5025</f>
        <v>0</v>
      </c>
      <c r="C4260">
        <f>Profile!AP5027</f>
        <v>0</v>
      </c>
      <c r="D4260" t="str">
        <f>IF(Profile!C5025="Profile",IF(Profile!A5027="ResourceRequirement","OK","XXX"),"XXX")</f>
        <v>XXX</v>
      </c>
    </row>
    <row r="4261" spans="1:4" x14ac:dyDescent="0.45">
      <c r="A4261">
        <f>ROW()</f>
        <v>4261</v>
      </c>
      <c r="B4261">
        <f>Profile!A5026</f>
        <v>0</v>
      </c>
      <c r="C4261">
        <f>Profile!AP5028</f>
        <v>0</v>
      </c>
      <c r="D4261" t="str">
        <f>IF(Profile!C5026="Profile",IF(Profile!A5028="ResourceRequirement","OK","XXX"),"XXX")</f>
        <v>XXX</v>
      </c>
    </row>
    <row r="4262" spans="1:4" x14ac:dyDescent="0.45">
      <c r="A4262">
        <f>ROW()</f>
        <v>4262</v>
      </c>
      <c r="B4262">
        <f>Profile!A5027</f>
        <v>0</v>
      </c>
      <c r="C4262">
        <f>Profile!AP5029</f>
        <v>0</v>
      </c>
      <c r="D4262" t="str">
        <f>IF(Profile!C5027="Profile",IF(Profile!A5029="ResourceRequirement","OK","XXX"),"XXX")</f>
        <v>XXX</v>
      </c>
    </row>
    <row r="4263" spans="1:4" x14ac:dyDescent="0.45">
      <c r="A4263">
        <f>ROW()</f>
        <v>4263</v>
      </c>
      <c r="B4263">
        <f>Profile!A5028</f>
        <v>0</v>
      </c>
      <c r="C4263">
        <f>Profile!AP5030</f>
        <v>0</v>
      </c>
      <c r="D4263" t="str">
        <f>IF(Profile!C5028="Profile",IF(Profile!A5030="ResourceRequirement","OK","XXX"),"XXX")</f>
        <v>XXX</v>
      </c>
    </row>
    <row r="4264" spans="1:4" x14ac:dyDescent="0.45">
      <c r="A4264">
        <f>ROW()</f>
        <v>4264</v>
      </c>
      <c r="B4264">
        <f>Profile!A5029</f>
        <v>0</v>
      </c>
      <c r="C4264">
        <f>Profile!AP5031</f>
        <v>0</v>
      </c>
      <c r="D4264" t="str">
        <f>IF(Profile!C5029="Profile",IF(Profile!A5031="ResourceRequirement","OK","XXX"),"XXX")</f>
        <v>XXX</v>
      </c>
    </row>
    <row r="4265" spans="1:4" x14ac:dyDescent="0.45">
      <c r="A4265">
        <f>ROW()</f>
        <v>4265</v>
      </c>
      <c r="B4265">
        <f>Profile!A5030</f>
        <v>0</v>
      </c>
      <c r="C4265">
        <f>Profile!AP5032</f>
        <v>0</v>
      </c>
      <c r="D4265" t="str">
        <f>IF(Profile!C5030="Profile",IF(Profile!A5032="ResourceRequirement","OK","XXX"),"XXX")</f>
        <v>XXX</v>
      </c>
    </row>
    <row r="4266" spans="1:4" x14ac:dyDescent="0.45">
      <c r="A4266">
        <f>ROW()</f>
        <v>4266</v>
      </c>
      <c r="B4266">
        <f>Profile!A5031</f>
        <v>0</v>
      </c>
      <c r="C4266">
        <f>Profile!AP5033</f>
        <v>0</v>
      </c>
      <c r="D4266" t="str">
        <f>IF(Profile!C5031="Profile",IF(Profile!A5033="ResourceRequirement","OK","XXX"),"XXX")</f>
        <v>XXX</v>
      </c>
    </row>
    <row r="4267" spans="1:4" x14ac:dyDescent="0.45">
      <c r="A4267">
        <f>ROW()</f>
        <v>4267</v>
      </c>
      <c r="B4267">
        <f>Profile!A5032</f>
        <v>0</v>
      </c>
      <c r="C4267">
        <f>Profile!AP5034</f>
        <v>0</v>
      </c>
      <c r="D4267" t="str">
        <f>IF(Profile!C5032="Profile",IF(Profile!A5034="ResourceRequirement","OK","XXX"),"XXX")</f>
        <v>XXX</v>
      </c>
    </row>
    <row r="4268" spans="1:4" x14ac:dyDescent="0.45">
      <c r="A4268">
        <f>ROW()</f>
        <v>4268</v>
      </c>
      <c r="B4268">
        <f>Profile!A5033</f>
        <v>0</v>
      </c>
      <c r="C4268">
        <f>Profile!AP5035</f>
        <v>0</v>
      </c>
      <c r="D4268" t="str">
        <f>IF(Profile!C5033="Profile",IF(Profile!A5035="ResourceRequirement","OK","XXX"),"XXX")</f>
        <v>XXX</v>
      </c>
    </row>
    <row r="4269" spans="1:4" x14ac:dyDescent="0.45">
      <c r="A4269">
        <f>ROW()</f>
        <v>4269</v>
      </c>
      <c r="B4269">
        <f>Profile!A5034</f>
        <v>0</v>
      </c>
      <c r="C4269">
        <f>Profile!AP5036</f>
        <v>0</v>
      </c>
      <c r="D4269" t="str">
        <f>IF(Profile!C5034="Profile",IF(Profile!A5036="ResourceRequirement","OK","XXX"),"XXX")</f>
        <v>XXX</v>
      </c>
    </row>
    <row r="4270" spans="1:4" x14ac:dyDescent="0.45">
      <c r="A4270">
        <f>ROW()</f>
        <v>4270</v>
      </c>
      <c r="B4270">
        <f>Profile!A5035</f>
        <v>0</v>
      </c>
      <c r="C4270">
        <f>Profile!AP5037</f>
        <v>0</v>
      </c>
      <c r="D4270" t="str">
        <f>IF(Profile!C5035="Profile",IF(Profile!A5037="ResourceRequirement","OK","XXX"),"XXX")</f>
        <v>XXX</v>
      </c>
    </row>
    <row r="4271" spans="1:4" x14ac:dyDescent="0.45">
      <c r="A4271">
        <f>ROW()</f>
        <v>4271</v>
      </c>
      <c r="B4271">
        <f>Profile!A5036</f>
        <v>0</v>
      </c>
      <c r="C4271">
        <f>Profile!AP5038</f>
        <v>0</v>
      </c>
      <c r="D4271" t="str">
        <f>IF(Profile!C5036="Profile",IF(Profile!A5038="ResourceRequirement","OK","XXX"),"XXX")</f>
        <v>XXX</v>
      </c>
    </row>
    <row r="4272" spans="1:4" x14ac:dyDescent="0.45">
      <c r="A4272">
        <f>ROW()</f>
        <v>4272</v>
      </c>
      <c r="B4272">
        <f>Profile!A5037</f>
        <v>0</v>
      </c>
      <c r="C4272">
        <f>Profile!AP5039</f>
        <v>0</v>
      </c>
      <c r="D4272" t="str">
        <f>IF(Profile!C5037="Profile",IF(Profile!A5039="ResourceRequirement","OK","XXX"),"XXX")</f>
        <v>XXX</v>
      </c>
    </row>
    <row r="4273" spans="1:4" x14ac:dyDescent="0.45">
      <c r="A4273">
        <f>ROW()</f>
        <v>4273</v>
      </c>
      <c r="B4273">
        <f>Profile!A5038</f>
        <v>0</v>
      </c>
      <c r="C4273">
        <f>Profile!AP5040</f>
        <v>0</v>
      </c>
      <c r="D4273" t="str">
        <f>IF(Profile!C5038="Profile",IF(Profile!A5040="ResourceRequirement","OK","XXX"),"XXX")</f>
        <v>XXX</v>
      </c>
    </row>
    <row r="4274" spans="1:4" x14ac:dyDescent="0.45">
      <c r="A4274">
        <f>ROW()</f>
        <v>4274</v>
      </c>
      <c r="B4274">
        <f>Profile!A5039</f>
        <v>0</v>
      </c>
      <c r="C4274">
        <f>Profile!AP5041</f>
        <v>0</v>
      </c>
      <c r="D4274" t="str">
        <f>IF(Profile!C5039="Profile",IF(Profile!A5041="ResourceRequirement","OK","XXX"),"XXX")</f>
        <v>XXX</v>
      </c>
    </row>
    <row r="4275" spans="1:4" x14ac:dyDescent="0.45">
      <c r="A4275">
        <f>ROW()</f>
        <v>4275</v>
      </c>
      <c r="B4275">
        <f>Profile!A5040</f>
        <v>0</v>
      </c>
      <c r="C4275">
        <f>Profile!AP5042</f>
        <v>0</v>
      </c>
      <c r="D4275" t="str">
        <f>IF(Profile!C5040="Profile",IF(Profile!A5042="ResourceRequirement","OK","XXX"),"XXX")</f>
        <v>XXX</v>
      </c>
    </row>
    <row r="4276" spans="1:4" x14ac:dyDescent="0.45">
      <c r="A4276">
        <f>ROW()</f>
        <v>4276</v>
      </c>
      <c r="B4276">
        <f>Profile!A5041</f>
        <v>0</v>
      </c>
      <c r="C4276">
        <f>Profile!AP5043</f>
        <v>0</v>
      </c>
      <c r="D4276" t="str">
        <f>IF(Profile!C5041="Profile",IF(Profile!A5043="ResourceRequirement","OK","XXX"),"XXX")</f>
        <v>XXX</v>
      </c>
    </row>
    <row r="4277" spans="1:4" x14ac:dyDescent="0.45">
      <c r="A4277">
        <f>ROW()</f>
        <v>4277</v>
      </c>
      <c r="B4277">
        <f>Profile!A5042</f>
        <v>0</v>
      </c>
      <c r="C4277">
        <f>Profile!AP5044</f>
        <v>0</v>
      </c>
      <c r="D4277" t="str">
        <f>IF(Profile!C5042="Profile",IF(Profile!A5044="ResourceRequirement","OK","XXX"),"XXX")</f>
        <v>XXX</v>
      </c>
    </row>
    <row r="4278" spans="1:4" x14ac:dyDescent="0.45">
      <c r="A4278">
        <f>ROW()</f>
        <v>4278</v>
      </c>
      <c r="B4278">
        <f>Profile!A5043</f>
        <v>0</v>
      </c>
      <c r="C4278">
        <f>Profile!AP5045</f>
        <v>0</v>
      </c>
      <c r="D4278" t="str">
        <f>IF(Profile!C5043="Profile",IF(Profile!A5045="ResourceRequirement","OK","XXX"),"XXX")</f>
        <v>XXX</v>
      </c>
    </row>
    <row r="4279" spans="1:4" x14ac:dyDescent="0.45">
      <c r="A4279">
        <f>ROW()</f>
        <v>4279</v>
      </c>
      <c r="B4279">
        <f>Profile!A5044</f>
        <v>0</v>
      </c>
      <c r="C4279">
        <f>Profile!AP5046</f>
        <v>0</v>
      </c>
      <c r="D4279" t="str">
        <f>IF(Profile!C5044="Profile",IF(Profile!A5046="ResourceRequirement","OK","XXX"),"XXX")</f>
        <v>XXX</v>
      </c>
    </row>
    <row r="4280" spans="1:4" x14ac:dyDescent="0.45">
      <c r="A4280">
        <f>ROW()</f>
        <v>4280</v>
      </c>
      <c r="B4280">
        <f>Profile!A5045</f>
        <v>0</v>
      </c>
      <c r="C4280">
        <f>Profile!AP5047</f>
        <v>0</v>
      </c>
      <c r="D4280" t="str">
        <f>IF(Profile!C5045="Profile",IF(Profile!A5047="ResourceRequirement","OK","XXX"),"XXX")</f>
        <v>XXX</v>
      </c>
    </row>
    <row r="4281" spans="1:4" x14ac:dyDescent="0.45">
      <c r="A4281">
        <f>ROW()</f>
        <v>4281</v>
      </c>
      <c r="B4281">
        <f>Profile!A5046</f>
        <v>0</v>
      </c>
      <c r="C4281">
        <f>Profile!AP5048</f>
        <v>0</v>
      </c>
      <c r="D4281" t="str">
        <f>IF(Profile!C5046="Profile",IF(Profile!A5048="ResourceRequirement","OK","XXX"),"XXX")</f>
        <v>XXX</v>
      </c>
    </row>
    <row r="4282" spans="1:4" x14ac:dyDescent="0.45">
      <c r="A4282">
        <f>ROW()</f>
        <v>4282</v>
      </c>
      <c r="B4282">
        <f>Profile!A5047</f>
        <v>0</v>
      </c>
      <c r="C4282">
        <f>Profile!AP5049</f>
        <v>0</v>
      </c>
      <c r="D4282" t="str">
        <f>IF(Profile!C5047="Profile",IF(Profile!A5049="ResourceRequirement","OK","XXX"),"XXX")</f>
        <v>XXX</v>
      </c>
    </row>
    <row r="4283" spans="1:4" x14ac:dyDescent="0.45">
      <c r="A4283">
        <f>ROW()</f>
        <v>4283</v>
      </c>
      <c r="B4283">
        <f>Profile!A5048</f>
        <v>0</v>
      </c>
      <c r="C4283">
        <f>Profile!AP5050</f>
        <v>0</v>
      </c>
      <c r="D4283" t="str">
        <f>IF(Profile!C5048="Profile",IF(Profile!A5050="ResourceRequirement","OK","XXX"),"XXX")</f>
        <v>XXX</v>
      </c>
    </row>
    <row r="4284" spans="1:4" x14ac:dyDescent="0.45">
      <c r="A4284">
        <f>ROW()</f>
        <v>4284</v>
      </c>
      <c r="B4284">
        <f>Profile!A5049</f>
        <v>0</v>
      </c>
      <c r="C4284">
        <f>Profile!AP5051</f>
        <v>0</v>
      </c>
      <c r="D4284" t="str">
        <f>IF(Profile!C5049="Profile",IF(Profile!A5051="ResourceRequirement","OK","XXX"),"XXX")</f>
        <v>XXX</v>
      </c>
    </row>
    <row r="4285" spans="1:4" x14ac:dyDescent="0.45">
      <c r="A4285">
        <f>ROW()</f>
        <v>4285</v>
      </c>
      <c r="B4285">
        <f>Profile!A5050</f>
        <v>0</v>
      </c>
      <c r="C4285">
        <f>Profile!AP5052</f>
        <v>0</v>
      </c>
      <c r="D4285" t="str">
        <f>IF(Profile!C5050="Profile",IF(Profile!A5052="ResourceRequirement","OK","XXX"),"XXX")</f>
        <v>XXX</v>
      </c>
    </row>
    <row r="4286" spans="1:4" x14ac:dyDescent="0.45">
      <c r="A4286">
        <f>ROW()</f>
        <v>4286</v>
      </c>
      <c r="B4286">
        <f>Profile!A5051</f>
        <v>0</v>
      </c>
      <c r="C4286">
        <f>Profile!AP5053</f>
        <v>0</v>
      </c>
      <c r="D4286" t="str">
        <f>IF(Profile!C5051="Profile",IF(Profile!A5053="ResourceRequirement","OK","XXX"),"XXX")</f>
        <v>XXX</v>
      </c>
    </row>
    <row r="4287" spans="1:4" x14ac:dyDescent="0.45">
      <c r="A4287">
        <f>ROW()</f>
        <v>4287</v>
      </c>
      <c r="B4287">
        <f>Profile!A5052</f>
        <v>0</v>
      </c>
      <c r="C4287">
        <f>Profile!AP5054</f>
        <v>0</v>
      </c>
      <c r="D4287" t="str">
        <f>IF(Profile!C5052="Profile",IF(Profile!A5054="ResourceRequirement","OK","XXX"),"XXX")</f>
        <v>XXX</v>
      </c>
    </row>
    <row r="4288" spans="1:4" x14ac:dyDescent="0.45">
      <c r="A4288">
        <f>ROW()</f>
        <v>4288</v>
      </c>
      <c r="B4288">
        <f>Profile!A5053</f>
        <v>0</v>
      </c>
      <c r="C4288">
        <f>Profile!AP5055</f>
        <v>0</v>
      </c>
      <c r="D4288" t="str">
        <f>IF(Profile!C5053="Profile",IF(Profile!A5055="ResourceRequirement","OK","XXX"),"XXX")</f>
        <v>XXX</v>
      </c>
    </row>
    <row r="4289" spans="1:4" x14ac:dyDescent="0.45">
      <c r="A4289">
        <f>ROW()</f>
        <v>4289</v>
      </c>
      <c r="B4289">
        <f>Profile!A5054</f>
        <v>0</v>
      </c>
      <c r="C4289">
        <f>Profile!AP5056</f>
        <v>0</v>
      </c>
      <c r="D4289" t="str">
        <f>IF(Profile!C5054="Profile",IF(Profile!A5056="ResourceRequirement","OK","XXX"),"XXX")</f>
        <v>XXX</v>
      </c>
    </row>
    <row r="4290" spans="1:4" x14ac:dyDescent="0.45">
      <c r="A4290">
        <f>ROW()</f>
        <v>4290</v>
      </c>
      <c r="B4290">
        <f>Profile!A5055</f>
        <v>0</v>
      </c>
      <c r="C4290">
        <f>Profile!AP5057</f>
        <v>0</v>
      </c>
      <c r="D4290" t="str">
        <f>IF(Profile!C5055="Profile",IF(Profile!A5057="ResourceRequirement","OK","XXX"),"XXX")</f>
        <v>XXX</v>
      </c>
    </row>
    <row r="4291" spans="1:4" x14ac:dyDescent="0.45">
      <c r="A4291">
        <f>ROW()</f>
        <v>4291</v>
      </c>
      <c r="B4291">
        <f>Profile!A5056</f>
        <v>0</v>
      </c>
      <c r="C4291">
        <f>Profile!AP5058</f>
        <v>0</v>
      </c>
      <c r="D4291" t="str">
        <f>IF(Profile!C5056="Profile",IF(Profile!A5058="ResourceRequirement","OK","XXX"),"XXX")</f>
        <v>XXX</v>
      </c>
    </row>
    <row r="4292" spans="1:4" x14ac:dyDescent="0.45">
      <c r="A4292">
        <f>ROW()</f>
        <v>4292</v>
      </c>
      <c r="B4292">
        <f>Profile!A5057</f>
        <v>0</v>
      </c>
      <c r="C4292">
        <f>Profile!AP5059</f>
        <v>0</v>
      </c>
      <c r="D4292" t="str">
        <f>IF(Profile!C5057="Profile",IF(Profile!A5059="ResourceRequirement","OK","XXX"),"XXX")</f>
        <v>XXX</v>
      </c>
    </row>
    <row r="4293" spans="1:4" x14ac:dyDescent="0.45">
      <c r="A4293">
        <f>ROW()</f>
        <v>4293</v>
      </c>
      <c r="B4293">
        <f>Profile!A5058</f>
        <v>0</v>
      </c>
      <c r="C4293">
        <f>Profile!AP5060</f>
        <v>0</v>
      </c>
      <c r="D4293" t="str">
        <f>IF(Profile!C5058="Profile",IF(Profile!A5060="ResourceRequirement","OK","XXX"),"XXX")</f>
        <v>XXX</v>
      </c>
    </row>
    <row r="4294" spans="1:4" x14ac:dyDescent="0.45">
      <c r="A4294">
        <f>ROW()</f>
        <v>4294</v>
      </c>
      <c r="B4294">
        <f>Profile!A5059</f>
        <v>0</v>
      </c>
      <c r="C4294">
        <f>Profile!AP5061</f>
        <v>0</v>
      </c>
      <c r="D4294" t="str">
        <f>IF(Profile!C5059="Profile",IF(Profile!A5061="ResourceRequirement","OK","XXX"),"XXX")</f>
        <v>XXX</v>
      </c>
    </row>
    <row r="4295" spans="1:4" x14ac:dyDescent="0.45">
      <c r="A4295">
        <f>ROW()</f>
        <v>4295</v>
      </c>
      <c r="B4295">
        <f>Profile!A5060</f>
        <v>0</v>
      </c>
      <c r="C4295">
        <f>Profile!AP5062</f>
        <v>0</v>
      </c>
      <c r="D4295" t="str">
        <f>IF(Profile!C5060="Profile",IF(Profile!A5062="ResourceRequirement","OK","XXX"),"XXX")</f>
        <v>XXX</v>
      </c>
    </row>
    <row r="4296" spans="1:4" x14ac:dyDescent="0.45">
      <c r="A4296">
        <f>ROW()</f>
        <v>4296</v>
      </c>
      <c r="B4296">
        <f>Profile!A5061</f>
        <v>0</v>
      </c>
      <c r="C4296">
        <f>Profile!AP5063</f>
        <v>0</v>
      </c>
      <c r="D4296" t="str">
        <f>IF(Profile!C5061="Profile",IF(Profile!A5063="ResourceRequirement","OK","XXX"),"XXX")</f>
        <v>XXX</v>
      </c>
    </row>
    <row r="4297" spans="1:4" x14ac:dyDescent="0.45">
      <c r="A4297">
        <f>ROW()</f>
        <v>4297</v>
      </c>
      <c r="B4297">
        <f>Profile!A5062</f>
        <v>0</v>
      </c>
      <c r="C4297">
        <f>Profile!AP5064</f>
        <v>0</v>
      </c>
      <c r="D4297" t="str">
        <f>IF(Profile!C5062="Profile",IF(Profile!A5064="ResourceRequirement","OK","XXX"),"XXX")</f>
        <v>XXX</v>
      </c>
    </row>
    <row r="4298" spans="1:4" x14ac:dyDescent="0.45">
      <c r="A4298">
        <f>ROW()</f>
        <v>4298</v>
      </c>
      <c r="B4298">
        <f>Profile!A5063</f>
        <v>0</v>
      </c>
      <c r="C4298">
        <f>Profile!AP5065</f>
        <v>0</v>
      </c>
      <c r="D4298" t="str">
        <f>IF(Profile!C5063="Profile",IF(Profile!A5065="ResourceRequirement","OK","XXX"),"XXX")</f>
        <v>XXX</v>
      </c>
    </row>
    <row r="4299" spans="1:4" x14ac:dyDescent="0.45">
      <c r="A4299">
        <f>ROW()</f>
        <v>4299</v>
      </c>
      <c r="B4299">
        <f>Profile!A5064</f>
        <v>0</v>
      </c>
      <c r="C4299">
        <f>Profile!AP5066</f>
        <v>0</v>
      </c>
      <c r="D4299" t="str">
        <f>IF(Profile!C5064="Profile",IF(Profile!A5066="ResourceRequirement","OK","XXX"),"XXX")</f>
        <v>XXX</v>
      </c>
    </row>
    <row r="4300" spans="1:4" x14ac:dyDescent="0.45">
      <c r="A4300">
        <f>ROW()</f>
        <v>4300</v>
      </c>
      <c r="B4300">
        <f>Profile!A5065</f>
        <v>0</v>
      </c>
      <c r="C4300">
        <f>Profile!AP5067</f>
        <v>0</v>
      </c>
      <c r="D4300" t="str">
        <f>IF(Profile!C5065="Profile",IF(Profile!A5067="ResourceRequirement","OK","XXX"),"XXX")</f>
        <v>XXX</v>
      </c>
    </row>
    <row r="4301" spans="1:4" x14ac:dyDescent="0.45">
      <c r="A4301">
        <f>ROW()</f>
        <v>4301</v>
      </c>
      <c r="B4301">
        <f>Profile!A5066</f>
        <v>0</v>
      </c>
      <c r="C4301">
        <f>Profile!AP5068</f>
        <v>0</v>
      </c>
      <c r="D4301" t="str">
        <f>IF(Profile!C5066="Profile",IF(Profile!A5068="ResourceRequirement","OK","XXX"),"XXX")</f>
        <v>XXX</v>
      </c>
    </row>
    <row r="4302" spans="1:4" x14ac:dyDescent="0.45">
      <c r="A4302">
        <f>ROW()</f>
        <v>4302</v>
      </c>
      <c r="B4302">
        <f>Profile!A5067</f>
        <v>0</v>
      </c>
      <c r="C4302">
        <f>Profile!AP5069</f>
        <v>0</v>
      </c>
      <c r="D4302" t="str">
        <f>IF(Profile!C5067="Profile",IF(Profile!A5069="ResourceRequirement","OK","XXX"),"XXX")</f>
        <v>XXX</v>
      </c>
    </row>
    <row r="4303" spans="1:4" x14ac:dyDescent="0.45">
      <c r="A4303">
        <f>ROW()</f>
        <v>4303</v>
      </c>
      <c r="B4303">
        <f>Profile!A5068</f>
        <v>0</v>
      </c>
      <c r="C4303">
        <f>Profile!AP5070</f>
        <v>0</v>
      </c>
      <c r="D4303" t="str">
        <f>IF(Profile!C5068="Profile",IF(Profile!A5070="ResourceRequirement","OK","XXX"),"XXX")</f>
        <v>XXX</v>
      </c>
    </row>
    <row r="4304" spans="1:4" x14ac:dyDescent="0.45">
      <c r="A4304">
        <f>ROW()</f>
        <v>4304</v>
      </c>
      <c r="B4304">
        <f>Profile!A5069</f>
        <v>0</v>
      </c>
      <c r="C4304">
        <f>Profile!AP5071</f>
        <v>0</v>
      </c>
      <c r="D4304" t="str">
        <f>IF(Profile!C5069="Profile",IF(Profile!A5071="ResourceRequirement","OK","XXX"),"XXX")</f>
        <v>XXX</v>
      </c>
    </row>
    <row r="4305" spans="1:4" x14ac:dyDescent="0.45">
      <c r="A4305">
        <f>ROW()</f>
        <v>4305</v>
      </c>
      <c r="B4305">
        <f>Profile!A5070</f>
        <v>0</v>
      </c>
      <c r="C4305">
        <f>Profile!AP5072</f>
        <v>0</v>
      </c>
      <c r="D4305" t="str">
        <f>IF(Profile!C5070="Profile",IF(Profile!A5072="ResourceRequirement","OK","XXX"),"XXX")</f>
        <v>XXX</v>
      </c>
    </row>
    <row r="4306" spans="1:4" x14ac:dyDescent="0.45">
      <c r="A4306">
        <f>ROW()</f>
        <v>4306</v>
      </c>
      <c r="B4306">
        <f>Profile!A5071</f>
        <v>0</v>
      </c>
      <c r="C4306">
        <f>Profile!AP5073</f>
        <v>0</v>
      </c>
      <c r="D4306" t="str">
        <f>IF(Profile!C5071="Profile",IF(Profile!A5073="ResourceRequirement","OK","XXX"),"XXX")</f>
        <v>XXX</v>
      </c>
    </row>
    <row r="4307" spans="1:4" x14ac:dyDescent="0.45">
      <c r="A4307">
        <f>ROW()</f>
        <v>4307</v>
      </c>
      <c r="B4307">
        <f>Profile!A5072</f>
        <v>0</v>
      </c>
      <c r="C4307">
        <f>Profile!AP5074</f>
        <v>0</v>
      </c>
      <c r="D4307" t="str">
        <f>IF(Profile!C5072="Profile",IF(Profile!A5074="ResourceRequirement","OK","XXX"),"XXX")</f>
        <v>XXX</v>
      </c>
    </row>
    <row r="4308" spans="1:4" x14ac:dyDescent="0.45">
      <c r="A4308">
        <f>ROW()</f>
        <v>4308</v>
      </c>
      <c r="B4308">
        <f>Profile!A5073</f>
        <v>0</v>
      </c>
      <c r="C4308">
        <f>Profile!AP5075</f>
        <v>0</v>
      </c>
      <c r="D4308" t="str">
        <f>IF(Profile!C5073="Profile",IF(Profile!A5075="ResourceRequirement","OK","XXX"),"XXX")</f>
        <v>XXX</v>
      </c>
    </row>
    <row r="4309" spans="1:4" x14ac:dyDescent="0.45">
      <c r="A4309">
        <f>ROW()</f>
        <v>4309</v>
      </c>
      <c r="B4309">
        <f>Profile!A5074</f>
        <v>0</v>
      </c>
      <c r="C4309">
        <f>Profile!AP5076</f>
        <v>0</v>
      </c>
      <c r="D4309" t="str">
        <f>IF(Profile!C5074="Profile",IF(Profile!A5076="ResourceRequirement","OK","XXX"),"XXX")</f>
        <v>XXX</v>
      </c>
    </row>
    <row r="4310" spans="1:4" x14ac:dyDescent="0.45">
      <c r="A4310">
        <f>ROW()</f>
        <v>4310</v>
      </c>
      <c r="B4310">
        <f>Profile!A5075</f>
        <v>0</v>
      </c>
      <c r="C4310">
        <f>Profile!AP5077</f>
        <v>0</v>
      </c>
      <c r="D4310" t="str">
        <f>IF(Profile!C5075="Profile",IF(Profile!A5077="ResourceRequirement","OK","XXX"),"XXX")</f>
        <v>XXX</v>
      </c>
    </row>
    <row r="4311" spans="1:4" x14ac:dyDescent="0.45">
      <c r="A4311">
        <f>ROW()</f>
        <v>4311</v>
      </c>
      <c r="B4311">
        <f>Profile!A5076</f>
        <v>0</v>
      </c>
      <c r="C4311">
        <f>Profile!AP5078</f>
        <v>0</v>
      </c>
      <c r="D4311" t="str">
        <f>IF(Profile!C5076="Profile",IF(Profile!A5078="ResourceRequirement","OK","XXX"),"XXX")</f>
        <v>XXX</v>
      </c>
    </row>
    <row r="4312" spans="1:4" x14ac:dyDescent="0.45">
      <c r="A4312">
        <f>ROW()</f>
        <v>4312</v>
      </c>
      <c r="B4312">
        <f>Profile!A5077</f>
        <v>0</v>
      </c>
      <c r="C4312">
        <f>Profile!AP5079</f>
        <v>0</v>
      </c>
      <c r="D4312" t="str">
        <f>IF(Profile!C5077="Profile",IF(Profile!A5079="ResourceRequirement","OK","XXX"),"XXX")</f>
        <v>XXX</v>
      </c>
    </row>
    <row r="4313" spans="1:4" x14ac:dyDescent="0.45">
      <c r="A4313">
        <f>ROW()</f>
        <v>4313</v>
      </c>
      <c r="B4313">
        <f>Profile!A5078</f>
        <v>0</v>
      </c>
      <c r="C4313">
        <f>Profile!AP5080</f>
        <v>0</v>
      </c>
      <c r="D4313" t="str">
        <f>IF(Profile!C5078="Profile",IF(Profile!A5080="ResourceRequirement","OK","XXX"),"XXX")</f>
        <v>XXX</v>
      </c>
    </row>
    <row r="4314" spans="1:4" x14ac:dyDescent="0.45">
      <c r="A4314">
        <f>ROW()</f>
        <v>4314</v>
      </c>
      <c r="B4314">
        <f>Profile!A5079</f>
        <v>0</v>
      </c>
      <c r="C4314">
        <f>Profile!AP5081</f>
        <v>0</v>
      </c>
      <c r="D4314" t="str">
        <f>IF(Profile!C5079="Profile",IF(Profile!A5081="ResourceRequirement","OK","XXX"),"XXX")</f>
        <v>XXX</v>
      </c>
    </row>
    <row r="4315" spans="1:4" x14ac:dyDescent="0.45">
      <c r="A4315">
        <f>ROW()</f>
        <v>4315</v>
      </c>
      <c r="B4315">
        <f>Profile!A5080</f>
        <v>0</v>
      </c>
      <c r="C4315">
        <f>Profile!AP5082</f>
        <v>0</v>
      </c>
      <c r="D4315" t="str">
        <f>IF(Profile!C5080="Profile",IF(Profile!A5082="ResourceRequirement","OK","XXX"),"XXX")</f>
        <v>XXX</v>
      </c>
    </row>
    <row r="4316" spans="1:4" x14ac:dyDescent="0.45">
      <c r="A4316">
        <f>ROW()</f>
        <v>4316</v>
      </c>
      <c r="B4316">
        <f>Profile!A5081</f>
        <v>0</v>
      </c>
      <c r="C4316">
        <f>Profile!AP5083</f>
        <v>0</v>
      </c>
      <c r="D4316" t="str">
        <f>IF(Profile!C5081="Profile",IF(Profile!A5083="ResourceRequirement","OK","XXX"),"XXX")</f>
        <v>XXX</v>
      </c>
    </row>
    <row r="4317" spans="1:4" x14ac:dyDescent="0.45">
      <c r="A4317">
        <f>ROW()</f>
        <v>4317</v>
      </c>
      <c r="B4317">
        <f>Profile!A5082</f>
        <v>0</v>
      </c>
      <c r="C4317">
        <f>Profile!AP5084</f>
        <v>0</v>
      </c>
      <c r="D4317" t="str">
        <f>IF(Profile!C5082="Profile",IF(Profile!A5084="ResourceRequirement","OK","XXX"),"XXX")</f>
        <v>XXX</v>
      </c>
    </row>
    <row r="4318" spans="1:4" x14ac:dyDescent="0.45">
      <c r="A4318">
        <f>ROW()</f>
        <v>4318</v>
      </c>
      <c r="B4318">
        <f>Profile!A5083</f>
        <v>0</v>
      </c>
      <c r="C4318">
        <f>Profile!AP5085</f>
        <v>0</v>
      </c>
      <c r="D4318" t="str">
        <f>IF(Profile!C5083="Profile",IF(Profile!A5085="ResourceRequirement","OK","XXX"),"XXX")</f>
        <v>XXX</v>
      </c>
    </row>
    <row r="4319" spans="1:4" x14ac:dyDescent="0.45">
      <c r="A4319">
        <f>ROW()</f>
        <v>4319</v>
      </c>
      <c r="B4319">
        <f>Profile!A5084</f>
        <v>0</v>
      </c>
      <c r="C4319">
        <f>Profile!AP5086</f>
        <v>0</v>
      </c>
      <c r="D4319" t="str">
        <f>IF(Profile!C5084="Profile",IF(Profile!A5086="ResourceRequirement","OK","XXX"),"XXX")</f>
        <v>XXX</v>
      </c>
    </row>
    <row r="4320" spans="1:4" x14ac:dyDescent="0.45">
      <c r="A4320">
        <f>ROW()</f>
        <v>4320</v>
      </c>
      <c r="B4320">
        <f>Profile!A5085</f>
        <v>0</v>
      </c>
      <c r="C4320">
        <f>Profile!AP5087</f>
        <v>0</v>
      </c>
      <c r="D4320" t="str">
        <f>IF(Profile!C5085="Profile",IF(Profile!A5087="ResourceRequirement","OK","XXX"),"XXX")</f>
        <v>XXX</v>
      </c>
    </row>
    <row r="4321" spans="1:4" x14ac:dyDescent="0.45">
      <c r="A4321">
        <f>ROW()</f>
        <v>4321</v>
      </c>
      <c r="B4321">
        <f>Profile!A5086</f>
        <v>0</v>
      </c>
      <c r="C4321">
        <f>Profile!AP5088</f>
        <v>0</v>
      </c>
      <c r="D4321" t="str">
        <f>IF(Profile!C5086="Profile",IF(Profile!A5088="ResourceRequirement","OK","XXX"),"XXX")</f>
        <v>XXX</v>
      </c>
    </row>
    <row r="4322" spans="1:4" x14ac:dyDescent="0.45">
      <c r="A4322">
        <f>ROW()</f>
        <v>4322</v>
      </c>
      <c r="B4322">
        <f>Profile!A5087</f>
        <v>0</v>
      </c>
      <c r="C4322">
        <f>Profile!AP5089</f>
        <v>0</v>
      </c>
      <c r="D4322" t="str">
        <f>IF(Profile!C5087="Profile",IF(Profile!A5089="ResourceRequirement","OK","XXX"),"XXX")</f>
        <v>XXX</v>
      </c>
    </row>
    <row r="4323" spans="1:4" x14ac:dyDescent="0.45">
      <c r="A4323">
        <f>ROW()</f>
        <v>4323</v>
      </c>
      <c r="B4323">
        <f>Profile!A5088</f>
        <v>0</v>
      </c>
      <c r="C4323">
        <f>Profile!AP5090</f>
        <v>0</v>
      </c>
      <c r="D4323" t="str">
        <f>IF(Profile!C5088="Profile",IF(Profile!A5090="ResourceRequirement","OK","XXX"),"XXX")</f>
        <v>XXX</v>
      </c>
    </row>
    <row r="4324" spans="1:4" x14ac:dyDescent="0.45">
      <c r="A4324">
        <f>ROW()</f>
        <v>4324</v>
      </c>
      <c r="B4324">
        <f>Profile!A5089</f>
        <v>0</v>
      </c>
      <c r="C4324">
        <f>Profile!AP5091</f>
        <v>0</v>
      </c>
      <c r="D4324" t="str">
        <f>IF(Profile!C5089="Profile",IF(Profile!A5091="ResourceRequirement","OK","XXX"),"XXX")</f>
        <v>XXX</v>
      </c>
    </row>
    <row r="4325" spans="1:4" x14ac:dyDescent="0.45">
      <c r="A4325">
        <f>ROW()</f>
        <v>4325</v>
      </c>
      <c r="B4325">
        <f>Profile!A5090</f>
        <v>0</v>
      </c>
      <c r="C4325">
        <f>Profile!AP5092</f>
        <v>0</v>
      </c>
      <c r="D4325" t="str">
        <f>IF(Profile!C5090="Profile",IF(Profile!A5092="ResourceRequirement","OK","XXX"),"XXX")</f>
        <v>XXX</v>
      </c>
    </row>
    <row r="4326" spans="1:4" x14ac:dyDescent="0.45">
      <c r="A4326">
        <f>ROW()</f>
        <v>4326</v>
      </c>
      <c r="B4326">
        <f>Profile!A5091</f>
        <v>0</v>
      </c>
      <c r="C4326">
        <f>Profile!AP5093</f>
        <v>0</v>
      </c>
      <c r="D4326" t="str">
        <f>IF(Profile!C5091="Profile",IF(Profile!A5093="ResourceRequirement","OK","XXX"),"XXX")</f>
        <v>XXX</v>
      </c>
    </row>
    <row r="4327" spans="1:4" x14ac:dyDescent="0.45">
      <c r="A4327">
        <f>ROW()</f>
        <v>4327</v>
      </c>
      <c r="B4327">
        <f>Profile!A5092</f>
        <v>0</v>
      </c>
      <c r="C4327">
        <f>Profile!AP5094</f>
        <v>0</v>
      </c>
      <c r="D4327" t="str">
        <f>IF(Profile!C5092="Profile",IF(Profile!A5094="ResourceRequirement","OK","XXX"),"XXX")</f>
        <v>XXX</v>
      </c>
    </row>
    <row r="4328" spans="1:4" x14ac:dyDescent="0.45">
      <c r="A4328">
        <f>ROW()</f>
        <v>4328</v>
      </c>
      <c r="B4328">
        <f>Profile!A5093</f>
        <v>0</v>
      </c>
      <c r="C4328">
        <f>Profile!AP5095</f>
        <v>0</v>
      </c>
      <c r="D4328" t="str">
        <f>IF(Profile!C5093="Profile",IF(Profile!A5095="ResourceRequirement","OK","XXX"),"XXX")</f>
        <v>XXX</v>
      </c>
    </row>
    <row r="4329" spans="1:4" x14ac:dyDescent="0.45">
      <c r="A4329">
        <f>ROW()</f>
        <v>4329</v>
      </c>
      <c r="B4329">
        <f>Profile!A5094</f>
        <v>0</v>
      </c>
      <c r="C4329">
        <f>Profile!AP5096</f>
        <v>0</v>
      </c>
      <c r="D4329" t="str">
        <f>IF(Profile!C5094="Profile",IF(Profile!A5096="ResourceRequirement","OK","XXX"),"XXX")</f>
        <v>XXX</v>
      </c>
    </row>
    <row r="4330" spans="1:4" x14ac:dyDescent="0.45">
      <c r="A4330">
        <f>ROW()</f>
        <v>4330</v>
      </c>
      <c r="B4330">
        <f>Profile!A5095</f>
        <v>0</v>
      </c>
      <c r="C4330">
        <f>Profile!AP5097</f>
        <v>0</v>
      </c>
      <c r="D4330" t="str">
        <f>IF(Profile!C5095="Profile",IF(Profile!A5097="ResourceRequirement","OK","XXX"),"XXX")</f>
        <v>XXX</v>
      </c>
    </row>
    <row r="4331" spans="1:4" x14ac:dyDescent="0.45">
      <c r="A4331">
        <f>ROW()</f>
        <v>4331</v>
      </c>
      <c r="B4331">
        <f>Profile!A5096</f>
        <v>0</v>
      </c>
      <c r="C4331">
        <f>Profile!AP5098</f>
        <v>0</v>
      </c>
      <c r="D4331" t="str">
        <f>IF(Profile!C5096="Profile",IF(Profile!A5098="ResourceRequirement","OK","XXX"),"XXX")</f>
        <v>XXX</v>
      </c>
    </row>
    <row r="4332" spans="1:4" x14ac:dyDescent="0.45">
      <c r="A4332">
        <f>ROW()</f>
        <v>4332</v>
      </c>
      <c r="B4332">
        <f>Profile!A5097</f>
        <v>0</v>
      </c>
      <c r="C4332">
        <f>Profile!AP5099</f>
        <v>0</v>
      </c>
      <c r="D4332" t="str">
        <f>IF(Profile!C5097="Profile",IF(Profile!A5099="ResourceRequirement","OK","XXX"),"XXX")</f>
        <v>XXX</v>
      </c>
    </row>
    <row r="4333" spans="1:4" x14ac:dyDescent="0.45">
      <c r="A4333">
        <f>ROW()</f>
        <v>4333</v>
      </c>
      <c r="B4333">
        <f>Profile!A5098</f>
        <v>0</v>
      </c>
      <c r="C4333">
        <f>Profile!AP5100</f>
        <v>0</v>
      </c>
      <c r="D4333" t="str">
        <f>IF(Profile!C5098="Profile",IF(Profile!A5100="ResourceRequirement","OK","XXX"),"XXX")</f>
        <v>XXX</v>
      </c>
    </row>
    <row r="4334" spans="1:4" x14ac:dyDescent="0.45">
      <c r="A4334">
        <f>ROW()</f>
        <v>4334</v>
      </c>
      <c r="B4334">
        <f>Profile!A5099</f>
        <v>0</v>
      </c>
      <c r="C4334">
        <f>Profile!AP5101</f>
        <v>0</v>
      </c>
      <c r="D4334" t="str">
        <f>IF(Profile!C5099="Profile",IF(Profile!A5101="ResourceRequirement","OK","XXX"),"XXX")</f>
        <v>XXX</v>
      </c>
    </row>
    <row r="4335" spans="1:4" x14ac:dyDescent="0.45">
      <c r="A4335">
        <f>ROW()</f>
        <v>4335</v>
      </c>
      <c r="B4335">
        <f>Profile!A5100</f>
        <v>0</v>
      </c>
      <c r="C4335">
        <f>Profile!AP5102</f>
        <v>0</v>
      </c>
      <c r="D4335" t="str">
        <f>IF(Profile!C5100="Profile",IF(Profile!A5102="ResourceRequirement","OK","XXX"),"XXX")</f>
        <v>XXX</v>
      </c>
    </row>
    <row r="4336" spans="1:4" x14ac:dyDescent="0.45">
      <c r="A4336">
        <f>ROW()</f>
        <v>4336</v>
      </c>
      <c r="B4336">
        <f>Profile!A5101</f>
        <v>0</v>
      </c>
      <c r="C4336">
        <f>Profile!AP5103</f>
        <v>0</v>
      </c>
      <c r="D4336" t="str">
        <f>IF(Profile!C5101="Profile",IF(Profile!A5103="ResourceRequirement","OK","XXX"),"XXX")</f>
        <v>XXX</v>
      </c>
    </row>
    <row r="4337" spans="1:4" x14ac:dyDescent="0.45">
      <c r="A4337">
        <f>ROW()</f>
        <v>4337</v>
      </c>
      <c r="B4337">
        <f>Profile!A5102</f>
        <v>0</v>
      </c>
      <c r="C4337">
        <f>Profile!AP5104</f>
        <v>0</v>
      </c>
      <c r="D4337" t="str">
        <f>IF(Profile!C5102="Profile",IF(Profile!A5104="ResourceRequirement","OK","XXX"),"XXX")</f>
        <v>XXX</v>
      </c>
    </row>
    <row r="4338" spans="1:4" x14ac:dyDescent="0.45">
      <c r="A4338">
        <f>ROW()</f>
        <v>4338</v>
      </c>
      <c r="B4338">
        <f>Profile!A5103</f>
        <v>0</v>
      </c>
      <c r="C4338">
        <f>Profile!AP5105</f>
        <v>0</v>
      </c>
      <c r="D4338" t="str">
        <f>IF(Profile!C5103="Profile",IF(Profile!A5105="ResourceRequirement","OK","XXX"),"XXX")</f>
        <v>XXX</v>
      </c>
    </row>
    <row r="4339" spans="1:4" x14ac:dyDescent="0.45">
      <c r="A4339">
        <f>ROW()</f>
        <v>4339</v>
      </c>
      <c r="B4339">
        <f>Profile!A5104</f>
        <v>0</v>
      </c>
      <c r="C4339">
        <f>Profile!AP5106</f>
        <v>0</v>
      </c>
      <c r="D4339" t="str">
        <f>IF(Profile!C5104="Profile",IF(Profile!A5106="ResourceRequirement","OK","XXX"),"XXX")</f>
        <v>XXX</v>
      </c>
    </row>
    <row r="4340" spans="1:4" x14ac:dyDescent="0.45">
      <c r="A4340">
        <f>ROW()</f>
        <v>4340</v>
      </c>
      <c r="B4340">
        <f>Profile!A5105</f>
        <v>0</v>
      </c>
      <c r="C4340">
        <f>Profile!AP5107</f>
        <v>0</v>
      </c>
      <c r="D4340" t="str">
        <f>IF(Profile!C5105="Profile",IF(Profile!A5107="ResourceRequirement","OK","XXX"),"XXX")</f>
        <v>XXX</v>
      </c>
    </row>
    <row r="4341" spans="1:4" x14ac:dyDescent="0.45">
      <c r="A4341">
        <f>ROW()</f>
        <v>4341</v>
      </c>
      <c r="B4341">
        <f>Profile!A5106</f>
        <v>0</v>
      </c>
      <c r="C4341">
        <f>Profile!AP5108</f>
        <v>0</v>
      </c>
      <c r="D4341" t="str">
        <f>IF(Profile!C5106="Profile",IF(Profile!A5108="ResourceRequirement","OK","XXX"),"XXX")</f>
        <v>XXX</v>
      </c>
    </row>
    <row r="4342" spans="1:4" x14ac:dyDescent="0.45">
      <c r="A4342">
        <f>ROW()</f>
        <v>4342</v>
      </c>
      <c r="B4342">
        <f>Profile!A5107</f>
        <v>0</v>
      </c>
      <c r="C4342">
        <f>Profile!AP5109</f>
        <v>0</v>
      </c>
      <c r="D4342" t="str">
        <f>IF(Profile!C5107="Profile",IF(Profile!A5109="ResourceRequirement","OK","XXX"),"XXX")</f>
        <v>XXX</v>
      </c>
    </row>
    <row r="4343" spans="1:4" x14ac:dyDescent="0.45">
      <c r="A4343">
        <f>ROW()</f>
        <v>4343</v>
      </c>
      <c r="B4343">
        <f>Profile!A5108</f>
        <v>0</v>
      </c>
      <c r="C4343">
        <f>Profile!AP5110</f>
        <v>0</v>
      </c>
      <c r="D4343" t="str">
        <f>IF(Profile!C5108="Profile",IF(Profile!A5110="ResourceRequirement","OK","XXX"),"XXX")</f>
        <v>XXX</v>
      </c>
    </row>
    <row r="4344" spans="1:4" x14ac:dyDescent="0.45">
      <c r="A4344">
        <f>ROW()</f>
        <v>4344</v>
      </c>
      <c r="B4344">
        <f>Profile!A5109</f>
        <v>0</v>
      </c>
      <c r="C4344">
        <f>Profile!AP5111</f>
        <v>0</v>
      </c>
      <c r="D4344" t="str">
        <f>IF(Profile!C5109="Profile",IF(Profile!A5111="ResourceRequirement","OK","XXX"),"XXX")</f>
        <v>XXX</v>
      </c>
    </row>
    <row r="4345" spans="1:4" x14ac:dyDescent="0.45">
      <c r="A4345">
        <f>ROW()</f>
        <v>4345</v>
      </c>
      <c r="B4345">
        <f>Profile!A5110</f>
        <v>0</v>
      </c>
      <c r="C4345">
        <f>Profile!AP5112</f>
        <v>0</v>
      </c>
      <c r="D4345" t="str">
        <f>IF(Profile!C5110="Profile",IF(Profile!A5112="ResourceRequirement","OK","XXX"),"XXX")</f>
        <v>XXX</v>
      </c>
    </row>
    <row r="4346" spans="1:4" x14ac:dyDescent="0.45">
      <c r="A4346">
        <f>ROW()</f>
        <v>4346</v>
      </c>
      <c r="B4346">
        <f>Profile!A5111</f>
        <v>0</v>
      </c>
      <c r="C4346">
        <f>Profile!AP5113</f>
        <v>0</v>
      </c>
      <c r="D4346" t="str">
        <f>IF(Profile!C5111="Profile",IF(Profile!A5113="ResourceRequirement","OK","XXX"),"XXX")</f>
        <v>XXX</v>
      </c>
    </row>
    <row r="4347" spans="1:4" x14ac:dyDescent="0.45">
      <c r="A4347">
        <f>ROW()</f>
        <v>4347</v>
      </c>
      <c r="B4347">
        <f>Profile!A5112</f>
        <v>0</v>
      </c>
      <c r="C4347">
        <f>Profile!AP5114</f>
        <v>0</v>
      </c>
      <c r="D4347" t="str">
        <f>IF(Profile!C5112="Profile",IF(Profile!A5114="ResourceRequirement","OK","XXX"),"XXX")</f>
        <v>XXX</v>
      </c>
    </row>
    <row r="4348" spans="1:4" x14ac:dyDescent="0.45">
      <c r="A4348">
        <f>ROW()</f>
        <v>4348</v>
      </c>
      <c r="B4348">
        <f>Profile!A5113</f>
        <v>0</v>
      </c>
      <c r="C4348">
        <f>Profile!AP5115</f>
        <v>0</v>
      </c>
      <c r="D4348" t="str">
        <f>IF(Profile!C5113="Profile",IF(Profile!A5115="ResourceRequirement","OK","XXX"),"XXX")</f>
        <v>XXX</v>
      </c>
    </row>
    <row r="4349" spans="1:4" x14ac:dyDescent="0.45">
      <c r="A4349">
        <f>ROW()</f>
        <v>4349</v>
      </c>
      <c r="B4349">
        <f>Profile!A5114</f>
        <v>0</v>
      </c>
      <c r="C4349">
        <f>Profile!AP5116</f>
        <v>0</v>
      </c>
      <c r="D4349" t="str">
        <f>IF(Profile!C5114="Profile",IF(Profile!A5116="ResourceRequirement","OK","XXX"),"XXX")</f>
        <v>XXX</v>
      </c>
    </row>
    <row r="4350" spans="1:4" x14ac:dyDescent="0.45">
      <c r="A4350">
        <f>ROW()</f>
        <v>4350</v>
      </c>
      <c r="B4350">
        <f>Profile!A5115</f>
        <v>0</v>
      </c>
      <c r="C4350">
        <f>Profile!AP5117</f>
        <v>0</v>
      </c>
      <c r="D4350" t="str">
        <f>IF(Profile!C5115="Profile",IF(Profile!A5117="ResourceRequirement","OK","XXX"),"XXX")</f>
        <v>XXX</v>
      </c>
    </row>
    <row r="4351" spans="1:4" x14ac:dyDescent="0.45">
      <c r="A4351">
        <f>ROW()</f>
        <v>4351</v>
      </c>
      <c r="B4351">
        <f>Profile!A5116</f>
        <v>0</v>
      </c>
      <c r="C4351">
        <f>Profile!AP5118</f>
        <v>0</v>
      </c>
      <c r="D4351" t="str">
        <f>IF(Profile!C5116="Profile",IF(Profile!A5118="ResourceRequirement","OK","XXX"),"XXX")</f>
        <v>XXX</v>
      </c>
    </row>
    <row r="4352" spans="1:4" x14ac:dyDescent="0.45">
      <c r="A4352">
        <f>ROW()</f>
        <v>4352</v>
      </c>
      <c r="B4352">
        <f>Profile!A5117</f>
        <v>0</v>
      </c>
      <c r="C4352">
        <f>Profile!AP5119</f>
        <v>0</v>
      </c>
      <c r="D4352" t="str">
        <f>IF(Profile!C5117="Profile",IF(Profile!A5119="ResourceRequirement","OK","XXX"),"XXX")</f>
        <v>XXX</v>
      </c>
    </row>
    <row r="4353" spans="1:4" x14ac:dyDescent="0.45">
      <c r="A4353">
        <f>ROW()</f>
        <v>4353</v>
      </c>
      <c r="B4353">
        <f>Profile!A5118</f>
        <v>0</v>
      </c>
      <c r="C4353">
        <f>Profile!AP5120</f>
        <v>0</v>
      </c>
      <c r="D4353" t="str">
        <f>IF(Profile!C5118="Profile",IF(Profile!A5120="ResourceRequirement","OK","XXX"),"XXX")</f>
        <v>XXX</v>
      </c>
    </row>
    <row r="4354" spans="1:4" x14ac:dyDescent="0.45">
      <c r="A4354">
        <f>ROW()</f>
        <v>4354</v>
      </c>
      <c r="B4354">
        <f>Profile!A5119</f>
        <v>0</v>
      </c>
      <c r="C4354">
        <f>Profile!AP5121</f>
        <v>0</v>
      </c>
      <c r="D4354" t="str">
        <f>IF(Profile!C5119="Profile",IF(Profile!A5121="ResourceRequirement","OK","XXX"),"XXX")</f>
        <v>XXX</v>
      </c>
    </row>
    <row r="4355" spans="1:4" x14ac:dyDescent="0.45">
      <c r="A4355">
        <f>ROW()</f>
        <v>4355</v>
      </c>
      <c r="B4355">
        <f>Profile!A5120</f>
        <v>0</v>
      </c>
      <c r="C4355">
        <f>Profile!AP5122</f>
        <v>0</v>
      </c>
      <c r="D4355" t="str">
        <f>IF(Profile!C5120="Profile",IF(Profile!A5122="ResourceRequirement","OK","XXX"),"XXX")</f>
        <v>XXX</v>
      </c>
    </row>
    <row r="4356" spans="1:4" x14ac:dyDescent="0.45">
      <c r="A4356">
        <f>ROW()</f>
        <v>4356</v>
      </c>
      <c r="B4356">
        <f>Profile!A5121</f>
        <v>0</v>
      </c>
      <c r="C4356">
        <f>Profile!AP5123</f>
        <v>0</v>
      </c>
      <c r="D4356" t="str">
        <f>IF(Profile!C5121="Profile",IF(Profile!A5123="ResourceRequirement","OK","XXX"),"XXX")</f>
        <v>XXX</v>
      </c>
    </row>
    <row r="4357" spans="1:4" x14ac:dyDescent="0.45">
      <c r="A4357">
        <f>ROW()</f>
        <v>4357</v>
      </c>
      <c r="B4357">
        <f>Profile!A5122</f>
        <v>0</v>
      </c>
      <c r="C4357">
        <f>Profile!AP5124</f>
        <v>0</v>
      </c>
      <c r="D4357" t="str">
        <f>IF(Profile!C5122="Profile",IF(Profile!A5124="ResourceRequirement","OK","XXX"),"XXX")</f>
        <v>XXX</v>
      </c>
    </row>
    <row r="4358" spans="1:4" x14ac:dyDescent="0.45">
      <c r="A4358">
        <f>ROW()</f>
        <v>4358</v>
      </c>
      <c r="B4358">
        <f>Profile!A5123</f>
        <v>0</v>
      </c>
      <c r="C4358">
        <f>Profile!AP5125</f>
        <v>0</v>
      </c>
      <c r="D4358" t="str">
        <f>IF(Profile!C5123="Profile",IF(Profile!A5125="ResourceRequirement","OK","XXX"),"XXX")</f>
        <v>XXX</v>
      </c>
    </row>
    <row r="4359" spans="1:4" x14ac:dyDescent="0.45">
      <c r="A4359">
        <f>ROW()</f>
        <v>4359</v>
      </c>
      <c r="B4359">
        <f>Profile!A5124</f>
        <v>0</v>
      </c>
      <c r="C4359">
        <f>Profile!AP5126</f>
        <v>0</v>
      </c>
      <c r="D4359" t="str">
        <f>IF(Profile!C5124="Profile",IF(Profile!A5126="ResourceRequirement","OK","XXX"),"XXX")</f>
        <v>XXX</v>
      </c>
    </row>
    <row r="4360" spans="1:4" x14ac:dyDescent="0.45">
      <c r="A4360">
        <f>ROW()</f>
        <v>4360</v>
      </c>
      <c r="B4360">
        <f>Profile!A5125</f>
        <v>0</v>
      </c>
      <c r="C4360">
        <f>Profile!AP5127</f>
        <v>0</v>
      </c>
      <c r="D4360" t="str">
        <f>IF(Profile!C5125="Profile",IF(Profile!A5127="ResourceRequirement","OK","XXX"),"XXX")</f>
        <v>XXX</v>
      </c>
    </row>
    <row r="4361" spans="1:4" x14ac:dyDescent="0.45">
      <c r="A4361">
        <f>ROW()</f>
        <v>4361</v>
      </c>
      <c r="B4361">
        <f>Profile!A5126</f>
        <v>0</v>
      </c>
      <c r="C4361">
        <f>Profile!AP5128</f>
        <v>0</v>
      </c>
      <c r="D4361" t="str">
        <f>IF(Profile!C5126="Profile",IF(Profile!A5128="ResourceRequirement","OK","XXX"),"XXX")</f>
        <v>XXX</v>
      </c>
    </row>
    <row r="4362" spans="1:4" x14ac:dyDescent="0.45">
      <c r="A4362">
        <f>ROW()</f>
        <v>4362</v>
      </c>
      <c r="B4362">
        <f>Profile!A5127</f>
        <v>0</v>
      </c>
      <c r="C4362">
        <f>Profile!AP5129</f>
        <v>0</v>
      </c>
      <c r="D4362" t="str">
        <f>IF(Profile!C5127="Profile",IF(Profile!A5129="ResourceRequirement","OK","XXX"),"XXX")</f>
        <v>XXX</v>
      </c>
    </row>
    <row r="4363" spans="1:4" x14ac:dyDescent="0.45">
      <c r="A4363">
        <f>ROW()</f>
        <v>4363</v>
      </c>
      <c r="B4363">
        <f>Profile!A5128</f>
        <v>0</v>
      </c>
      <c r="C4363">
        <f>Profile!AP5130</f>
        <v>0</v>
      </c>
      <c r="D4363" t="str">
        <f>IF(Profile!C5128="Profile",IF(Profile!A5130="ResourceRequirement","OK","XXX"),"XXX")</f>
        <v>XXX</v>
      </c>
    </row>
    <row r="4364" spans="1:4" x14ac:dyDescent="0.45">
      <c r="A4364">
        <f>ROW()</f>
        <v>4364</v>
      </c>
      <c r="B4364">
        <f>Profile!A5129</f>
        <v>0</v>
      </c>
      <c r="C4364">
        <f>Profile!AP5131</f>
        <v>0</v>
      </c>
      <c r="D4364" t="str">
        <f>IF(Profile!C5129="Profile",IF(Profile!A5131="ResourceRequirement","OK","XXX"),"XXX")</f>
        <v>XXX</v>
      </c>
    </row>
    <row r="4365" spans="1:4" x14ac:dyDescent="0.45">
      <c r="A4365">
        <f>ROW()</f>
        <v>4365</v>
      </c>
      <c r="B4365">
        <f>Profile!A5130</f>
        <v>0</v>
      </c>
      <c r="C4365">
        <f>Profile!AP5132</f>
        <v>0</v>
      </c>
      <c r="D4365" t="str">
        <f>IF(Profile!C5130="Profile",IF(Profile!A5132="ResourceRequirement","OK","XXX"),"XXX")</f>
        <v>XXX</v>
      </c>
    </row>
    <row r="4366" spans="1:4" x14ac:dyDescent="0.45">
      <c r="A4366">
        <f>ROW()</f>
        <v>4366</v>
      </c>
      <c r="B4366">
        <f>Profile!A5131</f>
        <v>0</v>
      </c>
      <c r="C4366">
        <f>Profile!AP5133</f>
        <v>0</v>
      </c>
      <c r="D4366" t="str">
        <f>IF(Profile!C5131="Profile",IF(Profile!A5133="ResourceRequirement","OK","XXX"),"XXX")</f>
        <v>XXX</v>
      </c>
    </row>
    <row r="4367" spans="1:4" x14ac:dyDescent="0.45">
      <c r="A4367">
        <f>ROW()</f>
        <v>4367</v>
      </c>
      <c r="B4367">
        <f>Profile!A5132</f>
        <v>0</v>
      </c>
      <c r="C4367">
        <f>Profile!AP5134</f>
        <v>0</v>
      </c>
      <c r="D4367" t="str">
        <f>IF(Profile!C5132="Profile",IF(Profile!A5134="ResourceRequirement","OK","XXX"),"XXX")</f>
        <v>XXX</v>
      </c>
    </row>
    <row r="4368" spans="1:4" x14ac:dyDescent="0.45">
      <c r="A4368">
        <f>ROW()</f>
        <v>4368</v>
      </c>
      <c r="B4368">
        <f>Profile!A5133</f>
        <v>0</v>
      </c>
      <c r="C4368">
        <f>Profile!AP5135</f>
        <v>0</v>
      </c>
      <c r="D4368" t="str">
        <f>IF(Profile!C5133="Profile",IF(Profile!A5135="ResourceRequirement","OK","XXX"),"XXX")</f>
        <v>XXX</v>
      </c>
    </row>
    <row r="4369" spans="1:4" x14ac:dyDescent="0.45">
      <c r="A4369">
        <f>ROW()</f>
        <v>4369</v>
      </c>
      <c r="B4369">
        <f>Profile!A5134</f>
        <v>0</v>
      </c>
      <c r="C4369">
        <f>Profile!AP5136</f>
        <v>0</v>
      </c>
      <c r="D4369" t="str">
        <f>IF(Profile!C5134="Profile",IF(Profile!A5136="ResourceRequirement","OK","XXX"),"XXX")</f>
        <v>XXX</v>
      </c>
    </row>
    <row r="4370" spans="1:4" x14ac:dyDescent="0.45">
      <c r="A4370">
        <f>ROW()</f>
        <v>4370</v>
      </c>
      <c r="B4370">
        <f>Profile!A5135</f>
        <v>0</v>
      </c>
      <c r="C4370">
        <f>Profile!AP5137</f>
        <v>0</v>
      </c>
      <c r="D4370" t="str">
        <f>IF(Profile!C5135="Profile",IF(Profile!A5137="ResourceRequirement","OK","XXX"),"XXX")</f>
        <v>XXX</v>
      </c>
    </row>
    <row r="4371" spans="1:4" x14ac:dyDescent="0.45">
      <c r="A4371">
        <f>ROW()</f>
        <v>4371</v>
      </c>
      <c r="B4371">
        <f>Profile!A5136</f>
        <v>0</v>
      </c>
      <c r="C4371">
        <f>Profile!AP5138</f>
        <v>0</v>
      </c>
      <c r="D4371" t="str">
        <f>IF(Profile!C5136="Profile",IF(Profile!A5138="ResourceRequirement","OK","XXX"),"XXX")</f>
        <v>XXX</v>
      </c>
    </row>
    <row r="4372" spans="1:4" x14ac:dyDescent="0.45">
      <c r="A4372">
        <f>ROW()</f>
        <v>4372</v>
      </c>
      <c r="B4372">
        <f>Profile!A5137</f>
        <v>0</v>
      </c>
      <c r="C4372">
        <f>Profile!AP5139</f>
        <v>0</v>
      </c>
      <c r="D4372" t="str">
        <f>IF(Profile!C5137="Profile",IF(Profile!A5139="ResourceRequirement","OK","XXX"),"XXX")</f>
        <v>XXX</v>
      </c>
    </row>
    <row r="4373" spans="1:4" x14ac:dyDescent="0.45">
      <c r="A4373">
        <f>ROW()</f>
        <v>4373</v>
      </c>
      <c r="B4373">
        <f>Profile!A5138</f>
        <v>0</v>
      </c>
      <c r="C4373">
        <f>Profile!AP5140</f>
        <v>0</v>
      </c>
      <c r="D4373" t="str">
        <f>IF(Profile!C5138="Profile",IF(Profile!A5140="ResourceRequirement","OK","XXX"),"XXX")</f>
        <v>XXX</v>
      </c>
    </row>
    <row r="4374" spans="1:4" x14ac:dyDescent="0.45">
      <c r="A4374">
        <f>ROW()</f>
        <v>4374</v>
      </c>
      <c r="B4374">
        <f>Profile!A5139</f>
        <v>0</v>
      </c>
      <c r="C4374">
        <f>Profile!AP5141</f>
        <v>0</v>
      </c>
      <c r="D4374" t="str">
        <f>IF(Profile!C5139="Profile",IF(Profile!A5141="ResourceRequirement","OK","XXX"),"XXX")</f>
        <v>XXX</v>
      </c>
    </row>
    <row r="4375" spans="1:4" x14ac:dyDescent="0.45">
      <c r="A4375">
        <f>ROW()</f>
        <v>4375</v>
      </c>
      <c r="B4375">
        <f>Profile!A5140</f>
        <v>0</v>
      </c>
      <c r="C4375">
        <f>Profile!AP5142</f>
        <v>0</v>
      </c>
      <c r="D4375" t="str">
        <f>IF(Profile!C5140="Profile",IF(Profile!A5142="ResourceRequirement","OK","XXX"),"XXX")</f>
        <v>XXX</v>
      </c>
    </row>
    <row r="4376" spans="1:4" x14ac:dyDescent="0.45">
      <c r="A4376">
        <f>ROW()</f>
        <v>4376</v>
      </c>
      <c r="B4376">
        <f>Profile!A5141</f>
        <v>0</v>
      </c>
      <c r="C4376">
        <f>Profile!AP5143</f>
        <v>0</v>
      </c>
      <c r="D4376" t="str">
        <f>IF(Profile!C5141="Profile",IF(Profile!A5143="ResourceRequirement","OK","XXX"),"XXX")</f>
        <v>XXX</v>
      </c>
    </row>
    <row r="4377" spans="1:4" x14ac:dyDescent="0.45">
      <c r="A4377">
        <f>ROW()</f>
        <v>4377</v>
      </c>
      <c r="B4377">
        <f>Profile!A5142</f>
        <v>0</v>
      </c>
      <c r="C4377">
        <f>Profile!AP5144</f>
        <v>0</v>
      </c>
      <c r="D4377" t="str">
        <f>IF(Profile!C5142="Profile",IF(Profile!A5144="ResourceRequirement","OK","XXX"),"XXX")</f>
        <v>XXX</v>
      </c>
    </row>
    <row r="4378" spans="1:4" x14ac:dyDescent="0.45">
      <c r="A4378">
        <f>ROW()</f>
        <v>4378</v>
      </c>
      <c r="B4378">
        <f>Profile!A5143</f>
        <v>0</v>
      </c>
      <c r="C4378">
        <f>Profile!AP5145</f>
        <v>0</v>
      </c>
      <c r="D4378" t="str">
        <f>IF(Profile!C5143="Profile",IF(Profile!A5145="ResourceRequirement","OK","XXX"),"XXX")</f>
        <v>XXX</v>
      </c>
    </row>
    <row r="4379" spans="1:4" x14ac:dyDescent="0.45">
      <c r="A4379">
        <f>ROW()</f>
        <v>4379</v>
      </c>
      <c r="B4379">
        <f>Profile!A5144</f>
        <v>0</v>
      </c>
      <c r="C4379">
        <f>Profile!AP5146</f>
        <v>0</v>
      </c>
      <c r="D4379" t="str">
        <f>IF(Profile!C5144="Profile",IF(Profile!A5146="ResourceRequirement","OK","XXX"),"XXX")</f>
        <v>XXX</v>
      </c>
    </row>
    <row r="4380" spans="1:4" x14ac:dyDescent="0.45">
      <c r="A4380">
        <f>ROW()</f>
        <v>4380</v>
      </c>
      <c r="B4380">
        <f>Profile!A5145</f>
        <v>0</v>
      </c>
      <c r="C4380">
        <f>Profile!AP5147</f>
        <v>0</v>
      </c>
      <c r="D4380" t="str">
        <f>IF(Profile!C5145="Profile",IF(Profile!A5147="ResourceRequirement","OK","XXX"),"XXX")</f>
        <v>XXX</v>
      </c>
    </row>
    <row r="4381" spans="1:4" x14ac:dyDescent="0.45">
      <c r="A4381">
        <f>ROW()</f>
        <v>4381</v>
      </c>
      <c r="B4381">
        <f>Profile!A5146</f>
        <v>0</v>
      </c>
      <c r="C4381">
        <f>Profile!AP5148</f>
        <v>0</v>
      </c>
      <c r="D4381" t="str">
        <f>IF(Profile!C5146="Profile",IF(Profile!A5148="ResourceRequirement","OK","XXX"),"XXX")</f>
        <v>XXX</v>
      </c>
    </row>
    <row r="4382" spans="1:4" x14ac:dyDescent="0.45">
      <c r="A4382">
        <f>ROW()</f>
        <v>4382</v>
      </c>
      <c r="B4382">
        <f>Profile!A5147</f>
        <v>0</v>
      </c>
      <c r="C4382">
        <f>Profile!AP5149</f>
        <v>0</v>
      </c>
      <c r="D4382" t="str">
        <f>IF(Profile!C5147="Profile",IF(Profile!A5149="ResourceRequirement","OK","XXX"),"XXX")</f>
        <v>XXX</v>
      </c>
    </row>
    <row r="4383" spans="1:4" x14ac:dyDescent="0.45">
      <c r="A4383">
        <f>ROW()</f>
        <v>4383</v>
      </c>
      <c r="B4383">
        <f>Profile!A5148</f>
        <v>0</v>
      </c>
      <c r="C4383">
        <f>Profile!AP5150</f>
        <v>0</v>
      </c>
      <c r="D4383" t="str">
        <f>IF(Profile!C5148="Profile",IF(Profile!A5150="ResourceRequirement","OK","XXX"),"XXX")</f>
        <v>XXX</v>
      </c>
    </row>
    <row r="4384" spans="1:4" x14ac:dyDescent="0.45">
      <c r="A4384">
        <f>ROW()</f>
        <v>4384</v>
      </c>
      <c r="B4384">
        <f>Profile!A5149</f>
        <v>0</v>
      </c>
      <c r="C4384">
        <f>Profile!AP5151</f>
        <v>0</v>
      </c>
      <c r="D4384" t="str">
        <f>IF(Profile!C5149="Profile",IF(Profile!A5151="ResourceRequirement","OK","XXX"),"XXX")</f>
        <v>XXX</v>
      </c>
    </row>
    <row r="4385" spans="1:4" x14ac:dyDescent="0.45">
      <c r="A4385">
        <f>ROW()</f>
        <v>4385</v>
      </c>
      <c r="B4385">
        <f>Profile!A5150</f>
        <v>0</v>
      </c>
      <c r="C4385">
        <f>Profile!AP5152</f>
        <v>0</v>
      </c>
      <c r="D4385" t="str">
        <f>IF(Profile!C5150="Profile",IF(Profile!A5152="ResourceRequirement","OK","XXX"),"XXX")</f>
        <v>XXX</v>
      </c>
    </row>
    <row r="4386" spans="1:4" x14ac:dyDescent="0.45">
      <c r="A4386">
        <f>ROW()</f>
        <v>4386</v>
      </c>
      <c r="B4386">
        <f>Profile!A5151</f>
        <v>0</v>
      </c>
      <c r="C4386">
        <f>Profile!AP5153</f>
        <v>0</v>
      </c>
      <c r="D4386" t="str">
        <f>IF(Profile!C5151="Profile",IF(Profile!A5153="ResourceRequirement","OK","XXX"),"XXX")</f>
        <v>XXX</v>
      </c>
    </row>
    <row r="4387" spans="1:4" x14ac:dyDescent="0.45">
      <c r="A4387">
        <f>ROW()</f>
        <v>4387</v>
      </c>
      <c r="B4387">
        <f>Profile!A5152</f>
        <v>0</v>
      </c>
      <c r="C4387">
        <f>Profile!AP5154</f>
        <v>0</v>
      </c>
      <c r="D4387" t="str">
        <f>IF(Profile!C5152="Profile",IF(Profile!A5154="ResourceRequirement","OK","XXX"),"XXX")</f>
        <v>XXX</v>
      </c>
    </row>
    <row r="4388" spans="1:4" x14ac:dyDescent="0.45">
      <c r="A4388">
        <f>ROW()</f>
        <v>4388</v>
      </c>
      <c r="B4388">
        <f>Profile!A5153</f>
        <v>0</v>
      </c>
      <c r="C4388">
        <f>Profile!AP5155</f>
        <v>0</v>
      </c>
      <c r="D4388" t="str">
        <f>IF(Profile!C5153="Profile",IF(Profile!A5155="ResourceRequirement","OK","XXX"),"XXX")</f>
        <v>XXX</v>
      </c>
    </row>
    <row r="4389" spans="1:4" x14ac:dyDescent="0.45">
      <c r="A4389">
        <f>ROW()</f>
        <v>4389</v>
      </c>
      <c r="B4389">
        <f>Profile!A5154</f>
        <v>0</v>
      </c>
      <c r="C4389">
        <f>Profile!AP5156</f>
        <v>0</v>
      </c>
      <c r="D4389" t="str">
        <f>IF(Profile!C5154="Profile",IF(Profile!A5156="ResourceRequirement","OK","XXX"),"XXX")</f>
        <v>XXX</v>
      </c>
    </row>
    <row r="4390" spans="1:4" x14ac:dyDescent="0.45">
      <c r="A4390">
        <f>ROW()</f>
        <v>4390</v>
      </c>
      <c r="B4390">
        <f>Profile!A5155</f>
        <v>0</v>
      </c>
      <c r="C4390">
        <f>Profile!AP5157</f>
        <v>0</v>
      </c>
      <c r="D4390" t="str">
        <f>IF(Profile!C5155="Profile",IF(Profile!A5157="ResourceRequirement","OK","XXX"),"XXX")</f>
        <v>XXX</v>
      </c>
    </row>
    <row r="4391" spans="1:4" x14ac:dyDescent="0.45">
      <c r="A4391">
        <f>ROW()</f>
        <v>4391</v>
      </c>
      <c r="B4391">
        <f>Profile!A5156</f>
        <v>0</v>
      </c>
      <c r="C4391">
        <f>Profile!AP5158</f>
        <v>0</v>
      </c>
      <c r="D4391" t="str">
        <f>IF(Profile!C5156="Profile",IF(Profile!A5158="ResourceRequirement","OK","XXX"),"XXX")</f>
        <v>XXX</v>
      </c>
    </row>
    <row r="4392" spans="1:4" x14ac:dyDescent="0.45">
      <c r="A4392">
        <f>ROW()</f>
        <v>4392</v>
      </c>
      <c r="B4392">
        <f>Profile!A5157</f>
        <v>0</v>
      </c>
      <c r="C4392">
        <f>Profile!AP5159</f>
        <v>0</v>
      </c>
      <c r="D4392" t="str">
        <f>IF(Profile!C5157="Profile",IF(Profile!A5159="ResourceRequirement","OK","XXX"),"XXX")</f>
        <v>XXX</v>
      </c>
    </row>
    <row r="4393" spans="1:4" x14ac:dyDescent="0.45">
      <c r="A4393">
        <f>ROW()</f>
        <v>4393</v>
      </c>
      <c r="B4393">
        <f>Profile!A5158</f>
        <v>0</v>
      </c>
      <c r="C4393">
        <f>Profile!AP5160</f>
        <v>0</v>
      </c>
      <c r="D4393" t="str">
        <f>IF(Profile!C5158="Profile",IF(Profile!A5160="ResourceRequirement","OK","XXX"),"XXX")</f>
        <v>XXX</v>
      </c>
    </row>
    <row r="4394" spans="1:4" x14ac:dyDescent="0.45">
      <c r="A4394">
        <f>ROW()</f>
        <v>4394</v>
      </c>
      <c r="B4394">
        <f>Profile!A5159</f>
        <v>0</v>
      </c>
      <c r="C4394">
        <f>Profile!AP5161</f>
        <v>0</v>
      </c>
      <c r="D4394" t="str">
        <f>IF(Profile!C5159="Profile",IF(Profile!A5161="ResourceRequirement","OK","XXX"),"XXX")</f>
        <v>XXX</v>
      </c>
    </row>
    <row r="4395" spans="1:4" x14ac:dyDescent="0.45">
      <c r="A4395">
        <f>ROW()</f>
        <v>4395</v>
      </c>
      <c r="B4395">
        <f>Profile!A5160</f>
        <v>0</v>
      </c>
      <c r="C4395">
        <f>Profile!AP5162</f>
        <v>0</v>
      </c>
      <c r="D4395" t="str">
        <f>IF(Profile!C5160="Profile",IF(Profile!A5162="ResourceRequirement","OK","XXX"),"XXX")</f>
        <v>XXX</v>
      </c>
    </row>
    <row r="4396" spans="1:4" x14ac:dyDescent="0.45">
      <c r="A4396">
        <f>ROW()</f>
        <v>4396</v>
      </c>
      <c r="B4396">
        <f>Profile!A5161</f>
        <v>0</v>
      </c>
      <c r="C4396">
        <f>Profile!AP5163</f>
        <v>0</v>
      </c>
      <c r="D4396" t="str">
        <f>IF(Profile!C5161="Profile",IF(Profile!A5163="ResourceRequirement","OK","XXX"),"XXX")</f>
        <v>XXX</v>
      </c>
    </row>
    <row r="4397" spans="1:4" x14ac:dyDescent="0.45">
      <c r="A4397">
        <f>ROW()</f>
        <v>4397</v>
      </c>
      <c r="B4397">
        <f>Profile!A5162</f>
        <v>0</v>
      </c>
      <c r="C4397">
        <f>Profile!AP5164</f>
        <v>0</v>
      </c>
      <c r="D4397" t="str">
        <f>IF(Profile!C5162="Profile",IF(Profile!A5164="ResourceRequirement","OK","XXX"),"XXX")</f>
        <v>XXX</v>
      </c>
    </row>
    <row r="4398" spans="1:4" x14ac:dyDescent="0.45">
      <c r="A4398">
        <f>ROW()</f>
        <v>4398</v>
      </c>
      <c r="B4398">
        <f>Profile!A5163</f>
        <v>0</v>
      </c>
      <c r="C4398">
        <f>Profile!AP5165</f>
        <v>0</v>
      </c>
      <c r="D4398" t="str">
        <f>IF(Profile!C5163="Profile",IF(Profile!A5165="ResourceRequirement","OK","XXX"),"XXX")</f>
        <v>XXX</v>
      </c>
    </row>
    <row r="4399" spans="1:4" x14ac:dyDescent="0.45">
      <c r="A4399">
        <f>ROW()</f>
        <v>4399</v>
      </c>
      <c r="B4399">
        <f>Profile!A5164</f>
        <v>0</v>
      </c>
      <c r="C4399">
        <f>Profile!AP5166</f>
        <v>0</v>
      </c>
      <c r="D4399" t="str">
        <f>IF(Profile!C5164="Profile",IF(Profile!A5166="ResourceRequirement","OK","XXX"),"XXX")</f>
        <v>XXX</v>
      </c>
    </row>
    <row r="4400" spans="1:4" x14ac:dyDescent="0.45">
      <c r="A4400">
        <f>ROW()</f>
        <v>4400</v>
      </c>
      <c r="B4400">
        <f>Profile!A5165</f>
        <v>0</v>
      </c>
      <c r="C4400">
        <f>Profile!AP5167</f>
        <v>0</v>
      </c>
      <c r="D4400" t="str">
        <f>IF(Profile!C5165="Profile",IF(Profile!A5167="ResourceRequirement","OK","XXX"),"XXX")</f>
        <v>XXX</v>
      </c>
    </row>
    <row r="4401" spans="1:4" x14ac:dyDescent="0.45">
      <c r="A4401">
        <f>ROW()</f>
        <v>4401</v>
      </c>
      <c r="B4401">
        <f>Profile!A5166</f>
        <v>0</v>
      </c>
      <c r="C4401">
        <f>Profile!AP5168</f>
        <v>0</v>
      </c>
      <c r="D4401" t="str">
        <f>IF(Profile!C5166="Profile",IF(Profile!A5168="ResourceRequirement","OK","XXX"),"XXX")</f>
        <v>XXX</v>
      </c>
    </row>
    <row r="4402" spans="1:4" x14ac:dyDescent="0.45">
      <c r="A4402">
        <f>ROW()</f>
        <v>4402</v>
      </c>
      <c r="B4402">
        <f>Profile!A5167</f>
        <v>0</v>
      </c>
      <c r="C4402">
        <f>Profile!AP5169</f>
        <v>0</v>
      </c>
      <c r="D4402" t="str">
        <f>IF(Profile!C5167="Profile",IF(Profile!A5169="ResourceRequirement","OK","XXX"),"XXX")</f>
        <v>XXX</v>
      </c>
    </row>
    <row r="4403" spans="1:4" x14ac:dyDescent="0.45">
      <c r="A4403">
        <f>ROW()</f>
        <v>4403</v>
      </c>
      <c r="B4403">
        <f>Profile!A5168</f>
        <v>0</v>
      </c>
      <c r="C4403">
        <f>Profile!AP5170</f>
        <v>0</v>
      </c>
      <c r="D4403" t="str">
        <f>IF(Profile!C5168="Profile",IF(Profile!A5170="ResourceRequirement","OK","XXX"),"XXX")</f>
        <v>XXX</v>
      </c>
    </row>
    <row r="4404" spans="1:4" x14ac:dyDescent="0.45">
      <c r="A4404">
        <f>ROW()</f>
        <v>4404</v>
      </c>
      <c r="B4404">
        <f>Profile!A5169</f>
        <v>0</v>
      </c>
      <c r="C4404">
        <f>Profile!AP5171</f>
        <v>0</v>
      </c>
      <c r="D4404" t="str">
        <f>IF(Profile!C5169="Profile",IF(Profile!A5171="ResourceRequirement","OK","XXX"),"XXX")</f>
        <v>XXX</v>
      </c>
    </row>
    <row r="4405" spans="1:4" x14ac:dyDescent="0.45">
      <c r="A4405">
        <f>ROW()</f>
        <v>4405</v>
      </c>
      <c r="B4405">
        <f>Profile!A5170</f>
        <v>0</v>
      </c>
      <c r="C4405">
        <f>Profile!AP5172</f>
        <v>0</v>
      </c>
      <c r="D4405" t="str">
        <f>IF(Profile!C5170="Profile",IF(Profile!A5172="ResourceRequirement","OK","XXX"),"XXX")</f>
        <v>XXX</v>
      </c>
    </row>
    <row r="4406" spans="1:4" x14ac:dyDescent="0.45">
      <c r="A4406">
        <f>ROW()</f>
        <v>4406</v>
      </c>
      <c r="B4406">
        <f>Profile!A5171</f>
        <v>0</v>
      </c>
      <c r="C4406">
        <f>Profile!AP5173</f>
        <v>0</v>
      </c>
      <c r="D4406" t="str">
        <f>IF(Profile!C5171="Profile",IF(Profile!A5173="ResourceRequirement","OK","XXX"),"XXX")</f>
        <v>XXX</v>
      </c>
    </row>
    <row r="4407" spans="1:4" x14ac:dyDescent="0.45">
      <c r="A4407">
        <f>ROW()</f>
        <v>4407</v>
      </c>
      <c r="B4407">
        <f>Profile!A5172</f>
        <v>0</v>
      </c>
      <c r="C4407">
        <f>Profile!AP5174</f>
        <v>0</v>
      </c>
      <c r="D4407" t="str">
        <f>IF(Profile!C5172="Profile",IF(Profile!A5174="ResourceRequirement","OK","XXX"),"XXX")</f>
        <v>XXX</v>
      </c>
    </row>
    <row r="4408" spans="1:4" x14ac:dyDescent="0.45">
      <c r="A4408">
        <f>ROW()</f>
        <v>4408</v>
      </c>
      <c r="B4408">
        <f>Profile!A5173</f>
        <v>0</v>
      </c>
      <c r="C4408">
        <f>Profile!AP5175</f>
        <v>0</v>
      </c>
      <c r="D4408" t="str">
        <f>IF(Profile!C5173="Profile",IF(Profile!A5175="ResourceRequirement","OK","XXX"),"XXX")</f>
        <v>XXX</v>
      </c>
    </row>
    <row r="4409" spans="1:4" x14ac:dyDescent="0.45">
      <c r="A4409">
        <f>ROW()</f>
        <v>4409</v>
      </c>
      <c r="B4409">
        <f>Profile!A5174</f>
        <v>0</v>
      </c>
      <c r="C4409">
        <f>Profile!AP5176</f>
        <v>0</v>
      </c>
      <c r="D4409" t="str">
        <f>IF(Profile!C5174="Profile",IF(Profile!A5176="ResourceRequirement","OK","XXX"),"XXX")</f>
        <v>XXX</v>
      </c>
    </row>
    <row r="4410" spans="1:4" x14ac:dyDescent="0.45">
      <c r="A4410">
        <f>ROW()</f>
        <v>4410</v>
      </c>
      <c r="B4410">
        <f>Profile!A5175</f>
        <v>0</v>
      </c>
      <c r="C4410">
        <f>Profile!AP5177</f>
        <v>0</v>
      </c>
      <c r="D4410" t="str">
        <f>IF(Profile!C5175="Profile",IF(Profile!A5177="ResourceRequirement","OK","XXX"),"XXX")</f>
        <v>XXX</v>
      </c>
    </row>
    <row r="4411" spans="1:4" x14ac:dyDescent="0.45">
      <c r="A4411">
        <f>ROW()</f>
        <v>4411</v>
      </c>
      <c r="B4411">
        <f>Profile!A5176</f>
        <v>0</v>
      </c>
      <c r="C4411">
        <f>Profile!AP5178</f>
        <v>0</v>
      </c>
      <c r="D4411" t="str">
        <f>IF(Profile!C5176="Profile",IF(Profile!A5178="ResourceRequirement","OK","XXX"),"XXX")</f>
        <v>XXX</v>
      </c>
    </row>
    <row r="4412" spans="1:4" x14ac:dyDescent="0.45">
      <c r="A4412">
        <f>ROW()</f>
        <v>4412</v>
      </c>
      <c r="B4412">
        <f>Profile!A5177</f>
        <v>0</v>
      </c>
      <c r="C4412">
        <f>Profile!AP5179</f>
        <v>0</v>
      </c>
      <c r="D4412" t="str">
        <f>IF(Profile!C5177="Profile",IF(Profile!A5179="ResourceRequirement","OK","XXX"),"XXX")</f>
        <v>XXX</v>
      </c>
    </row>
    <row r="4413" spans="1:4" x14ac:dyDescent="0.45">
      <c r="A4413">
        <f>ROW()</f>
        <v>4413</v>
      </c>
      <c r="B4413">
        <f>Profile!A5178</f>
        <v>0</v>
      </c>
      <c r="C4413">
        <f>Profile!AP5180</f>
        <v>0</v>
      </c>
      <c r="D4413" t="str">
        <f>IF(Profile!C5178="Profile",IF(Profile!A5180="ResourceRequirement","OK","XXX"),"XXX")</f>
        <v>XXX</v>
      </c>
    </row>
    <row r="4414" spans="1:4" x14ac:dyDescent="0.45">
      <c r="A4414">
        <f>ROW()</f>
        <v>4414</v>
      </c>
      <c r="B4414">
        <f>Profile!A5179</f>
        <v>0</v>
      </c>
      <c r="C4414">
        <f>Profile!AP5181</f>
        <v>0</v>
      </c>
      <c r="D4414" t="str">
        <f>IF(Profile!C5179="Profile",IF(Profile!A5181="ResourceRequirement","OK","XXX"),"XXX")</f>
        <v>XXX</v>
      </c>
    </row>
    <row r="4415" spans="1:4" x14ac:dyDescent="0.45">
      <c r="A4415">
        <f>ROW()</f>
        <v>4415</v>
      </c>
      <c r="B4415">
        <f>Profile!A5180</f>
        <v>0</v>
      </c>
      <c r="C4415">
        <f>Profile!AP5182</f>
        <v>0</v>
      </c>
      <c r="D4415" t="str">
        <f>IF(Profile!C5180="Profile",IF(Profile!A5182="ResourceRequirement","OK","XXX"),"XXX")</f>
        <v>XXX</v>
      </c>
    </row>
    <row r="4416" spans="1:4" x14ac:dyDescent="0.45">
      <c r="A4416">
        <f>ROW()</f>
        <v>4416</v>
      </c>
      <c r="B4416">
        <f>Profile!A5181</f>
        <v>0</v>
      </c>
      <c r="C4416">
        <f>Profile!AP5183</f>
        <v>0</v>
      </c>
      <c r="D4416" t="str">
        <f>IF(Profile!C5181="Profile",IF(Profile!A5183="ResourceRequirement","OK","XXX"),"XXX")</f>
        <v>XXX</v>
      </c>
    </row>
    <row r="4417" spans="1:4" x14ac:dyDescent="0.45">
      <c r="A4417">
        <f>ROW()</f>
        <v>4417</v>
      </c>
      <c r="B4417">
        <f>Profile!A5182</f>
        <v>0</v>
      </c>
      <c r="C4417">
        <f>Profile!AP5184</f>
        <v>0</v>
      </c>
      <c r="D4417" t="str">
        <f>IF(Profile!C5182="Profile",IF(Profile!A5184="ResourceRequirement","OK","XXX"),"XXX")</f>
        <v>XXX</v>
      </c>
    </row>
    <row r="4418" spans="1:4" x14ac:dyDescent="0.45">
      <c r="A4418">
        <f>ROW()</f>
        <v>4418</v>
      </c>
      <c r="B4418">
        <f>Profile!A5183</f>
        <v>0</v>
      </c>
      <c r="C4418">
        <f>Profile!AP5185</f>
        <v>0</v>
      </c>
      <c r="D4418" t="str">
        <f>IF(Profile!C5183="Profile",IF(Profile!A5185="ResourceRequirement","OK","XXX"),"XXX")</f>
        <v>XXX</v>
      </c>
    </row>
    <row r="4419" spans="1:4" x14ac:dyDescent="0.45">
      <c r="A4419">
        <f>ROW()</f>
        <v>4419</v>
      </c>
      <c r="B4419">
        <f>Profile!A5184</f>
        <v>0</v>
      </c>
      <c r="C4419">
        <f>Profile!AP5186</f>
        <v>0</v>
      </c>
      <c r="D4419" t="str">
        <f>IF(Profile!C5184="Profile",IF(Profile!A5186="ResourceRequirement","OK","XXX"),"XXX")</f>
        <v>XXX</v>
      </c>
    </row>
    <row r="4420" spans="1:4" x14ac:dyDescent="0.45">
      <c r="A4420">
        <f>ROW()</f>
        <v>4420</v>
      </c>
      <c r="B4420">
        <f>Profile!A5185</f>
        <v>0</v>
      </c>
      <c r="C4420">
        <f>Profile!AP5187</f>
        <v>0</v>
      </c>
      <c r="D4420" t="str">
        <f>IF(Profile!C5185="Profile",IF(Profile!A5187="ResourceRequirement","OK","XXX"),"XXX")</f>
        <v>XXX</v>
      </c>
    </row>
    <row r="4421" spans="1:4" x14ac:dyDescent="0.45">
      <c r="A4421">
        <f>ROW()</f>
        <v>4421</v>
      </c>
      <c r="B4421">
        <f>Profile!A5186</f>
        <v>0</v>
      </c>
      <c r="C4421">
        <f>Profile!AP5188</f>
        <v>0</v>
      </c>
      <c r="D4421" t="str">
        <f>IF(Profile!C5186="Profile",IF(Profile!A5188="ResourceRequirement","OK","XXX"),"XXX")</f>
        <v>XXX</v>
      </c>
    </row>
    <row r="4422" spans="1:4" x14ac:dyDescent="0.45">
      <c r="A4422">
        <f>ROW()</f>
        <v>4422</v>
      </c>
      <c r="B4422">
        <f>Profile!A5187</f>
        <v>0</v>
      </c>
      <c r="C4422">
        <f>Profile!AP5189</f>
        <v>0</v>
      </c>
      <c r="D4422" t="str">
        <f>IF(Profile!C5187="Profile",IF(Profile!A5189="ResourceRequirement","OK","XXX"),"XXX")</f>
        <v>XXX</v>
      </c>
    </row>
    <row r="4423" spans="1:4" x14ac:dyDescent="0.45">
      <c r="A4423">
        <f>ROW()</f>
        <v>4423</v>
      </c>
      <c r="B4423">
        <f>Profile!A5188</f>
        <v>0</v>
      </c>
      <c r="C4423">
        <f>Profile!AP5190</f>
        <v>0</v>
      </c>
      <c r="D4423" t="str">
        <f>IF(Profile!C5188="Profile",IF(Profile!A5190="ResourceRequirement","OK","XXX"),"XXX")</f>
        <v>XXX</v>
      </c>
    </row>
    <row r="4424" spans="1:4" x14ac:dyDescent="0.45">
      <c r="A4424">
        <f>ROW()</f>
        <v>4424</v>
      </c>
      <c r="B4424">
        <f>Profile!A5189</f>
        <v>0</v>
      </c>
      <c r="C4424">
        <f>Profile!AP5191</f>
        <v>0</v>
      </c>
      <c r="D4424" t="str">
        <f>IF(Profile!C5189="Profile",IF(Profile!A5191="ResourceRequirement","OK","XXX"),"XXX")</f>
        <v>XXX</v>
      </c>
    </row>
    <row r="4425" spans="1:4" x14ac:dyDescent="0.45">
      <c r="A4425">
        <f>ROW()</f>
        <v>4425</v>
      </c>
      <c r="B4425">
        <f>Profile!A5190</f>
        <v>0</v>
      </c>
      <c r="C4425">
        <f>Profile!AP5192</f>
        <v>0</v>
      </c>
      <c r="D4425" t="str">
        <f>IF(Profile!C5190="Profile",IF(Profile!A5192="ResourceRequirement","OK","XXX"),"XXX")</f>
        <v>XXX</v>
      </c>
    </row>
    <row r="4426" spans="1:4" x14ac:dyDescent="0.45">
      <c r="A4426">
        <f>ROW()</f>
        <v>4426</v>
      </c>
      <c r="B4426">
        <f>Profile!A5191</f>
        <v>0</v>
      </c>
      <c r="C4426">
        <f>Profile!AP5193</f>
        <v>0</v>
      </c>
      <c r="D4426" t="str">
        <f>IF(Profile!C5191="Profile",IF(Profile!A5193="ResourceRequirement","OK","XXX"),"XXX")</f>
        <v>XXX</v>
      </c>
    </row>
    <row r="4427" spans="1:4" x14ac:dyDescent="0.45">
      <c r="A4427">
        <f>ROW()</f>
        <v>4427</v>
      </c>
      <c r="B4427">
        <f>Profile!A5192</f>
        <v>0</v>
      </c>
      <c r="C4427">
        <f>Profile!AP5194</f>
        <v>0</v>
      </c>
      <c r="D4427" t="str">
        <f>IF(Profile!C5192="Profile",IF(Profile!A5194="ResourceRequirement","OK","XXX"),"XXX")</f>
        <v>XXX</v>
      </c>
    </row>
    <row r="4428" spans="1:4" x14ac:dyDescent="0.45">
      <c r="A4428">
        <f>ROW()</f>
        <v>4428</v>
      </c>
      <c r="B4428">
        <f>Profile!A5193</f>
        <v>0</v>
      </c>
      <c r="C4428">
        <f>Profile!AP5195</f>
        <v>0</v>
      </c>
      <c r="D4428" t="str">
        <f>IF(Profile!C5193="Profile",IF(Profile!A5195="ResourceRequirement","OK","XXX"),"XXX")</f>
        <v>XXX</v>
      </c>
    </row>
    <row r="4429" spans="1:4" x14ac:dyDescent="0.45">
      <c r="A4429">
        <f>ROW()</f>
        <v>4429</v>
      </c>
      <c r="B4429">
        <f>Profile!A5194</f>
        <v>0</v>
      </c>
      <c r="C4429">
        <f>Profile!AP5196</f>
        <v>0</v>
      </c>
      <c r="D4429" t="str">
        <f>IF(Profile!C5194="Profile",IF(Profile!A5196="ResourceRequirement","OK","XXX"),"XXX")</f>
        <v>XXX</v>
      </c>
    </row>
    <row r="4430" spans="1:4" x14ac:dyDescent="0.45">
      <c r="A4430">
        <f>ROW()</f>
        <v>4430</v>
      </c>
      <c r="B4430">
        <f>Profile!A5195</f>
        <v>0</v>
      </c>
      <c r="C4430">
        <f>Profile!AP5197</f>
        <v>0</v>
      </c>
      <c r="D4430" t="str">
        <f>IF(Profile!C5195="Profile",IF(Profile!A5197="ResourceRequirement","OK","XXX"),"XXX")</f>
        <v>XXX</v>
      </c>
    </row>
    <row r="4431" spans="1:4" x14ac:dyDescent="0.45">
      <c r="A4431">
        <f>ROW()</f>
        <v>4431</v>
      </c>
      <c r="B4431">
        <f>Profile!A5196</f>
        <v>0</v>
      </c>
      <c r="C4431">
        <f>Profile!AP5198</f>
        <v>0</v>
      </c>
      <c r="D4431" t="str">
        <f>IF(Profile!C5196="Profile",IF(Profile!A5198="ResourceRequirement","OK","XXX"),"XXX")</f>
        <v>XXX</v>
      </c>
    </row>
    <row r="4432" spans="1:4" x14ac:dyDescent="0.45">
      <c r="A4432">
        <f>ROW()</f>
        <v>4432</v>
      </c>
      <c r="B4432">
        <f>Profile!A5197</f>
        <v>0</v>
      </c>
      <c r="C4432">
        <f>Profile!AP5199</f>
        <v>0</v>
      </c>
      <c r="D4432" t="str">
        <f>IF(Profile!C5197="Profile",IF(Profile!A5199="ResourceRequirement","OK","XXX"),"XXX")</f>
        <v>XXX</v>
      </c>
    </row>
    <row r="4433" spans="1:4" x14ac:dyDescent="0.45">
      <c r="A4433">
        <f>ROW()</f>
        <v>4433</v>
      </c>
      <c r="B4433">
        <f>Profile!A5198</f>
        <v>0</v>
      </c>
      <c r="C4433">
        <f>Profile!AP5200</f>
        <v>0</v>
      </c>
      <c r="D4433" t="str">
        <f>IF(Profile!C5198="Profile",IF(Profile!A5200="ResourceRequirement","OK","XXX"),"XXX")</f>
        <v>XXX</v>
      </c>
    </row>
    <row r="4434" spans="1:4" x14ac:dyDescent="0.45">
      <c r="A4434">
        <f>ROW()</f>
        <v>4434</v>
      </c>
      <c r="B4434">
        <f>Profile!A5199</f>
        <v>0</v>
      </c>
      <c r="C4434">
        <f>Profile!AP5201</f>
        <v>0</v>
      </c>
      <c r="D4434" t="str">
        <f>IF(Profile!C5199="Profile",IF(Profile!A5201="ResourceRequirement","OK","XXX"),"XXX")</f>
        <v>XXX</v>
      </c>
    </row>
    <row r="4435" spans="1:4" x14ac:dyDescent="0.45">
      <c r="A4435">
        <f>ROW()</f>
        <v>4435</v>
      </c>
      <c r="B4435">
        <f>Profile!A5200</f>
        <v>0</v>
      </c>
      <c r="C4435">
        <f>Profile!AP5202</f>
        <v>0</v>
      </c>
      <c r="D4435" t="str">
        <f>IF(Profile!C5200="Profile",IF(Profile!A5202="ResourceRequirement","OK","XXX"),"XXX")</f>
        <v>XXX</v>
      </c>
    </row>
    <row r="4436" spans="1:4" x14ac:dyDescent="0.45">
      <c r="A4436">
        <f>ROW()</f>
        <v>4436</v>
      </c>
      <c r="B4436">
        <f>Profile!A5201</f>
        <v>0</v>
      </c>
      <c r="C4436">
        <f>Profile!AP5203</f>
        <v>0</v>
      </c>
      <c r="D4436" t="str">
        <f>IF(Profile!C5201="Profile",IF(Profile!A5203="ResourceRequirement","OK","XXX"),"XXX")</f>
        <v>XXX</v>
      </c>
    </row>
    <row r="4437" spans="1:4" x14ac:dyDescent="0.45">
      <c r="A4437">
        <f>ROW()</f>
        <v>4437</v>
      </c>
      <c r="B4437">
        <f>Profile!A5202</f>
        <v>0</v>
      </c>
      <c r="C4437">
        <f>Profile!AP5204</f>
        <v>0</v>
      </c>
      <c r="D4437" t="str">
        <f>IF(Profile!C5202="Profile",IF(Profile!A5204="ResourceRequirement","OK","XXX"),"XXX")</f>
        <v>XXX</v>
      </c>
    </row>
    <row r="4438" spans="1:4" x14ac:dyDescent="0.45">
      <c r="A4438">
        <f>ROW()</f>
        <v>4438</v>
      </c>
      <c r="B4438">
        <f>Profile!A5203</f>
        <v>0</v>
      </c>
      <c r="C4438">
        <f>Profile!AP5205</f>
        <v>0</v>
      </c>
      <c r="D4438" t="str">
        <f>IF(Profile!C5203="Profile",IF(Profile!A5205="ResourceRequirement","OK","XXX"),"XXX")</f>
        <v>XXX</v>
      </c>
    </row>
    <row r="4439" spans="1:4" x14ac:dyDescent="0.45">
      <c r="A4439">
        <f>ROW()</f>
        <v>4439</v>
      </c>
      <c r="B4439">
        <f>Profile!A5204</f>
        <v>0</v>
      </c>
      <c r="C4439">
        <f>Profile!AP5206</f>
        <v>0</v>
      </c>
      <c r="D4439" t="str">
        <f>IF(Profile!C5204="Profile",IF(Profile!A5206="ResourceRequirement","OK","XXX"),"XXX")</f>
        <v>XXX</v>
      </c>
    </row>
    <row r="4440" spans="1:4" x14ac:dyDescent="0.45">
      <c r="A4440">
        <f>ROW()</f>
        <v>4440</v>
      </c>
      <c r="B4440">
        <f>Profile!A5205</f>
        <v>0</v>
      </c>
      <c r="C4440">
        <f>Profile!AP5207</f>
        <v>0</v>
      </c>
      <c r="D4440" t="str">
        <f>IF(Profile!C5205="Profile",IF(Profile!A5207="ResourceRequirement","OK","XXX"),"XXX")</f>
        <v>XXX</v>
      </c>
    </row>
    <row r="4441" spans="1:4" x14ac:dyDescent="0.45">
      <c r="A4441">
        <f>ROW()</f>
        <v>4441</v>
      </c>
      <c r="B4441">
        <f>Profile!A5206</f>
        <v>0</v>
      </c>
      <c r="C4441">
        <f>Profile!AP5208</f>
        <v>0</v>
      </c>
      <c r="D4441" t="str">
        <f>IF(Profile!C5206="Profile",IF(Profile!A5208="ResourceRequirement","OK","XXX"),"XXX")</f>
        <v>XXX</v>
      </c>
    </row>
    <row r="4442" spans="1:4" x14ac:dyDescent="0.45">
      <c r="A4442">
        <f>ROW()</f>
        <v>4442</v>
      </c>
      <c r="B4442">
        <f>Profile!A5207</f>
        <v>0</v>
      </c>
      <c r="C4442">
        <f>Profile!AP5209</f>
        <v>0</v>
      </c>
      <c r="D4442" t="str">
        <f>IF(Profile!C5207="Profile",IF(Profile!A5209="ResourceRequirement","OK","XXX"),"XXX")</f>
        <v>XXX</v>
      </c>
    </row>
    <row r="4443" spans="1:4" x14ac:dyDescent="0.45">
      <c r="A4443">
        <f>ROW()</f>
        <v>4443</v>
      </c>
      <c r="B4443">
        <f>Profile!A5208</f>
        <v>0</v>
      </c>
      <c r="C4443">
        <f>Profile!AP5210</f>
        <v>0</v>
      </c>
      <c r="D4443" t="str">
        <f>IF(Profile!C5208="Profile",IF(Profile!A5210="ResourceRequirement","OK","XXX"),"XXX")</f>
        <v>XXX</v>
      </c>
    </row>
    <row r="4444" spans="1:4" x14ac:dyDescent="0.45">
      <c r="A4444">
        <f>ROW()</f>
        <v>4444</v>
      </c>
      <c r="B4444">
        <f>Profile!A5209</f>
        <v>0</v>
      </c>
      <c r="C4444">
        <f>Profile!AP5211</f>
        <v>0</v>
      </c>
      <c r="D4444" t="str">
        <f>IF(Profile!C5209="Profile",IF(Profile!A5211="ResourceRequirement","OK","XXX"),"XXX")</f>
        <v>XXX</v>
      </c>
    </row>
    <row r="4445" spans="1:4" x14ac:dyDescent="0.45">
      <c r="A4445">
        <f>ROW()</f>
        <v>4445</v>
      </c>
      <c r="B4445">
        <f>Profile!A5210</f>
        <v>0</v>
      </c>
      <c r="C4445">
        <f>Profile!AP5212</f>
        <v>0</v>
      </c>
      <c r="D4445" t="str">
        <f>IF(Profile!C5210="Profile",IF(Profile!A5212="ResourceRequirement","OK","XXX"),"XXX")</f>
        <v>XXX</v>
      </c>
    </row>
    <row r="4446" spans="1:4" x14ac:dyDescent="0.45">
      <c r="A4446">
        <f>ROW()</f>
        <v>4446</v>
      </c>
      <c r="B4446">
        <f>Profile!A5211</f>
        <v>0</v>
      </c>
      <c r="C4446">
        <f>Profile!AP5213</f>
        <v>0</v>
      </c>
      <c r="D4446" t="str">
        <f>IF(Profile!C5211="Profile",IF(Profile!A5213="ResourceRequirement","OK","XXX"),"XXX")</f>
        <v>XXX</v>
      </c>
    </row>
    <row r="4447" spans="1:4" x14ac:dyDescent="0.45">
      <c r="A4447">
        <f>ROW()</f>
        <v>4447</v>
      </c>
      <c r="B4447">
        <f>Profile!A5212</f>
        <v>0</v>
      </c>
      <c r="C4447">
        <f>Profile!AP5214</f>
        <v>0</v>
      </c>
      <c r="D4447" t="str">
        <f>IF(Profile!C5212="Profile",IF(Profile!A5214="ResourceRequirement","OK","XXX"),"XXX")</f>
        <v>XXX</v>
      </c>
    </row>
    <row r="4448" spans="1:4" x14ac:dyDescent="0.45">
      <c r="A4448">
        <f>ROW()</f>
        <v>4448</v>
      </c>
      <c r="B4448">
        <f>Profile!A5213</f>
        <v>0</v>
      </c>
      <c r="C4448">
        <f>Profile!AP5215</f>
        <v>0</v>
      </c>
      <c r="D4448" t="str">
        <f>IF(Profile!C5213="Profile",IF(Profile!A5215="ResourceRequirement","OK","XXX"),"XXX")</f>
        <v>XXX</v>
      </c>
    </row>
    <row r="4449" spans="1:4" x14ac:dyDescent="0.45">
      <c r="A4449">
        <f>ROW()</f>
        <v>4449</v>
      </c>
      <c r="B4449">
        <f>Profile!A5214</f>
        <v>0</v>
      </c>
      <c r="C4449">
        <f>Profile!AP5216</f>
        <v>0</v>
      </c>
      <c r="D4449" t="str">
        <f>IF(Profile!C5214="Profile",IF(Profile!A5216="ResourceRequirement","OK","XXX"),"XXX")</f>
        <v>XXX</v>
      </c>
    </row>
    <row r="4450" spans="1:4" x14ac:dyDescent="0.45">
      <c r="A4450">
        <f>ROW()</f>
        <v>4450</v>
      </c>
      <c r="B4450">
        <f>Profile!A5215</f>
        <v>0</v>
      </c>
      <c r="C4450">
        <f>Profile!AP5217</f>
        <v>0</v>
      </c>
      <c r="D4450" t="str">
        <f>IF(Profile!C5215="Profile",IF(Profile!A5217="ResourceRequirement","OK","XXX"),"XXX")</f>
        <v>XXX</v>
      </c>
    </row>
    <row r="4451" spans="1:4" x14ac:dyDescent="0.45">
      <c r="A4451">
        <f>ROW()</f>
        <v>4451</v>
      </c>
      <c r="B4451">
        <f>Profile!A5216</f>
        <v>0</v>
      </c>
      <c r="C4451">
        <f>Profile!AP5218</f>
        <v>0</v>
      </c>
      <c r="D4451" t="str">
        <f>IF(Profile!C5216="Profile",IF(Profile!A5218="ResourceRequirement","OK","XXX"),"XXX")</f>
        <v>XXX</v>
      </c>
    </row>
    <row r="4452" spans="1:4" x14ac:dyDescent="0.45">
      <c r="A4452">
        <f>ROW()</f>
        <v>4452</v>
      </c>
      <c r="B4452">
        <f>Profile!A5217</f>
        <v>0</v>
      </c>
      <c r="C4452">
        <f>Profile!AP5219</f>
        <v>0</v>
      </c>
      <c r="D4452" t="str">
        <f>IF(Profile!C5217="Profile",IF(Profile!A5219="ResourceRequirement","OK","XXX"),"XXX")</f>
        <v>XXX</v>
      </c>
    </row>
    <row r="4453" spans="1:4" x14ac:dyDescent="0.45">
      <c r="A4453">
        <f>ROW()</f>
        <v>4453</v>
      </c>
      <c r="B4453">
        <f>Profile!A5218</f>
        <v>0</v>
      </c>
      <c r="C4453">
        <f>Profile!AP5220</f>
        <v>0</v>
      </c>
      <c r="D4453" t="str">
        <f>IF(Profile!C5218="Profile",IF(Profile!A5220="ResourceRequirement","OK","XXX"),"XXX")</f>
        <v>XXX</v>
      </c>
    </row>
    <row r="4454" spans="1:4" x14ac:dyDescent="0.45">
      <c r="A4454">
        <f>ROW()</f>
        <v>4454</v>
      </c>
      <c r="B4454">
        <f>Profile!A5219</f>
        <v>0</v>
      </c>
      <c r="C4454">
        <f>Profile!AP5221</f>
        <v>0</v>
      </c>
      <c r="D4454" t="str">
        <f>IF(Profile!C5219="Profile",IF(Profile!A5221="ResourceRequirement","OK","XXX"),"XXX")</f>
        <v>XXX</v>
      </c>
    </row>
    <row r="4455" spans="1:4" x14ac:dyDescent="0.45">
      <c r="A4455">
        <f>ROW()</f>
        <v>4455</v>
      </c>
      <c r="B4455">
        <f>Profile!A5220</f>
        <v>0</v>
      </c>
      <c r="C4455">
        <f>Profile!AP5222</f>
        <v>0</v>
      </c>
      <c r="D4455" t="str">
        <f>IF(Profile!C5220="Profile",IF(Profile!A5222="ResourceRequirement","OK","XXX"),"XXX")</f>
        <v>XXX</v>
      </c>
    </row>
    <row r="4456" spans="1:4" x14ac:dyDescent="0.45">
      <c r="A4456">
        <f>ROW()</f>
        <v>4456</v>
      </c>
      <c r="B4456">
        <f>Profile!A5221</f>
        <v>0</v>
      </c>
      <c r="C4456">
        <f>Profile!AP5223</f>
        <v>0</v>
      </c>
      <c r="D4456" t="str">
        <f>IF(Profile!C5221="Profile",IF(Profile!A5223="ResourceRequirement","OK","XXX"),"XXX")</f>
        <v>XXX</v>
      </c>
    </row>
    <row r="4457" spans="1:4" x14ac:dyDescent="0.45">
      <c r="A4457">
        <f>ROW()</f>
        <v>4457</v>
      </c>
      <c r="B4457">
        <f>Profile!A5222</f>
        <v>0</v>
      </c>
      <c r="C4457">
        <f>Profile!AP5224</f>
        <v>0</v>
      </c>
      <c r="D4457" t="str">
        <f>IF(Profile!C5222="Profile",IF(Profile!A5224="ResourceRequirement","OK","XXX"),"XXX")</f>
        <v>XXX</v>
      </c>
    </row>
    <row r="4458" spans="1:4" x14ac:dyDescent="0.45">
      <c r="A4458">
        <f>ROW()</f>
        <v>4458</v>
      </c>
      <c r="B4458">
        <f>Profile!A5223</f>
        <v>0</v>
      </c>
      <c r="C4458">
        <f>Profile!AP5225</f>
        <v>0</v>
      </c>
      <c r="D4458" t="str">
        <f>IF(Profile!C5223="Profile",IF(Profile!A5225="ResourceRequirement","OK","XXX"),"XXX")</f>
        <v>XXX</v>
      </c>
    </row>
    <row r="4459" spans="1:4" x14ac:dyDescent="0.45">
      <c r="A4459">
        <f>ROW()</f>
        <v>4459</v>
      </c>
      <c r="B4459">
        <f>Profile!A5224</f>
        <v>0</v>
      </c>
      <c r="C4459">
        <f>Profile!AP5226</f>
        <v>0</v>
      </c>
      <c r="D4459" t="str">
        <f>IF(Profile!C5224="Profile",IF(Profile!A5226="ResourceRequirement","OK","XXX"),"XXX")</f>
        <v>XXX</v>
      </c>
    </row>
    <row r="4460" spans="1:4" x14ac:dyDescent="0.45">
      <c r="A4460">
        <f>ROW()</f>
        <v>4460</v>
      </c>
      <c r="B4460">
        <f>Profile!A5225</f>
        <v>0</v>
      </c>
      <c r="C4460">
        <f>Profile!AP5227</f>
        <v>0</v>
      </c>
      <c r="D4460" t="str">
        <f>IF(Profile!C5225="Profile",IF(Profile!A5227="ResourceRequirement","OK","XXX"),"XXX")</f>
        <v>XXX</v>
      </c>
    </row>
    <row r="4461" spans="1:4" x14ac:dyDescent="0.45">
      <c r="A4461">
        <f>ROW()</f>
        <v>4461</v>
      </c>
      <c r="B4461">
        <f>Profile!A5226</f>
        <v>0</v>
      </c>
      <c r="C4461">
        <f>Profile!AP5228</f>
        <v>0</v>
      </c>
      <c r="D4461" t="str">
        <f>IF(Profile!C5226="Profile",IF(Profile!A5228="ResourceRequirement","OK","XXX"),"XXX")</f>
        <v>XXX</v>
      </c>
    </row>
    <row r="4462" spans="1:4" x14ac:dyDescent="0.45">
      <c r="A4462">
        <f>ROW()</f>
        <v>4462</v>
      </c>
      <c r="B4462">
        <f>Profile!A5227</f>
        <v>0</v>
      </c>
      <c r="C4462">
        <f>Profile!AP5229</f>
        <v>0</v>
      </c>
      <c r="D4462" t="str">
        <f>IF(Profile!C5227="Profile",IF(Profile!A5229="ResourceRequirement","OK","XXX"),"XXX")</f>
        <v>XXX</v>
      </c>
    </row>
    <row r="4463" spans="1:4" x14ac:dyDescent="0.45">
      <c r="A4463">
        <f>ROW()</f>
        <v>4463</v>
      </c>
      <c r="B4463">
        <f>Profile!A5228</f>
        <v>0</v>
      </c>
      <c r="C4463">
        <f>Profile!AP5230</f>
        <v>0</v>
      </c>
      <c r="D4463" t="str">
        <f>IF(Profile!C5228="Profile",IF(Profile!A5230="ResourceRequirement","OK","XXX"),"XXX")</f>
        <v>XXX</v>
      </c>
    </row>
    <row r="4464" spans="1:4" x14ac:dyDescent="0.45">
      <c r="A4464">
        <f>ROW()</f>
        <v>4464</v>
      </c>
      <c r="B4464">
        <f>Profile!A5229</f>
        <v>0</v>
      </c>
      <c r="C4464">
        <f>Profile!AP5231</f>
        <v>0</v>
      </c>
      <c r="D4464" t="str">
        <f>IF(Profile!C5229="Profile",IF(Profile!A5231="ResourceRequirement","OK","XXX"),"XXX")</f>
        <v>XXX</v>
      </c>
    </row>
    <row r="4465" spans="1:4" x14ac:dyDescent="0.45">
      <c r="A4465">
        <f>ROW()</f>
        <v>4465</v>
      </c>
      <c r="B4465">
        <f>Profile!A5230</f>
        <v>0</v>
      </c>
      <c r="C4465">
        <f>Profile!AP5232</f>
        <v>0</v>
      </c>
      <c r="D4465" t="str">
        <f>IF(Profile!C5230="Profile",IF(Profile!A5232="ResourceRequirement","OK","XXX"),"XXX")</f>
        <v>XXX</v>
      </c>
    </row>
    <row r="4466" spans="1:4" x14ac:dyDescent="0.45">
      <c r="A4466">
        <f>ROW()</f>
        <v>4466</v>
      </c>
      <c r="B4466">
        <f>Profile!A5231</f>
        <v>0</v>
      </c>
      <c r="C4466">
        <f>Profile!AP5233</f>
        <v>0</v>
      </c>
      <c r="D4466" t="str">
        <f>IF(Profile!C5231="Profile",IF(Profile!A5233="ResourceRequirement","OK","XXX"),"XXX")</f>
        <v>XXX</v>
      </c>
    </row>
    <row r="4467" spans="1:4" x14ac:dyDescent="0.45">
      <c r="A4467">
        <f>ROW()</f>
        <v>4467</v>
      </c>
      <c r="B4467">
        <f>Profile!A5232</f>
        <v>0</v>
      </c>
      <c r="C4467">
        <f>Profile!AP5234</f>
        <v>0</v>
      </c>
      <c r="D4467" t="str">
        <f>IF(Profile!C5232="Profile",IF(Profile!A5234="ResourceRequirement","OK","XXX"),"XXX")</f>
        <v>XXX</v>
      </c>
    </row>
    <row r="4468" spans="1:4" x14ac:dyDescent="0.45">
      <c r="A4468">
        <f>ROW()</f>
        <v>4468</v>
      </c>
      <c r="B4468">
        <f>Profile!A5233</f>
        <v>0</v>
      </c>
      <c r="C4468">
        <f>Profile!AP5235</f>
        <v>0</v>
      </c>
      <c r="D4468" t="str">
        <f>IF(Profile!C5233="Profile",IF(Profile!A5235="ResourceRequirement","OK","XXX"),"XXX")</f>
        <v>XXX</v>
      </c>
    </row>
    <row r="4469" spans="1:4" x14ac:dyDescent="0.45">
      <c r="A4469">
        <f>ROW()</f>
        <v>4469</v>
      </c>
      <c r="B4469">
        <f>Profile!A5234</f>
        <v>0</v>
      </c>
      <c r="C4469">
        <f>Profile!AP5236</f>
        <v>0</v>
      </c>
      <c r="D4469" t="str">
        <f>IF(Profile!C5234="Profile",IF(Profile!A5236="ResourceRequirement","OK","XXX"),"XXX")</f>
        <v>XXX</v>
      </c>
    </row>
    <row r="4470" spans="1:4" x14ac:dyDescent="0.45">
      <c r="A4470">
        <f>ROW()</f>
        <v>4470</v>
      </c>
      <c r="B4470">
        <f>Profile!A5235</f>
        <v>0</v>
      </c>
      <c r="C4470">
        <f>Profile!AP5237</f>
        <v>0</v>
      </c>
      <c r="D4470" t="str">
        <f>IF(Profile!C5235="Profile",IF(Profile!A5237="ResourceRequirement","OK","XXX"),"XXX")</f>
        <v>XXX</v>
      </c>
    </row>
    <row r="4471" spans="1:4" x14ac:dyDescent="0.45">
      <c r="A4471">
        <f>ROW()</f>
        <v>4471</v>
      </c>
      <c r="B4471">
        <f>Profile!A5236</f>
        <v>0</v>
      </c>
      <c r="C4471">
        <f>Profile!AP5238</f>
        <v>0</v>
      </c>
      <c r="D4471" t="str">
        <f>IF(Profile!C5236="Profile",IF(Profile!A5238="ResourceRequirement","OK","XXX"),"XXX")</f>
        <v>XXX</v>
      </c>
    </row>
    <row r="4472" spans="1:4" x14ac:dyDescent="0.45">
      <c r="A4472">
        <f>ROW()</f>
        <v>4472</v>
      </c>
      <c r="B4472">
        <f>Profile!A5237</f>
        <v>0</v>
      </c>
      <c r="C4472">
        <f>Profile!AP5239</f>
        <v>0</v>
      </c>
      <c r="D4472" t="str">
        <f>IF(Profile!C5237="Profile",IF(Profile!A5239="ResourceRequirement","OK","XXX"),"XXX")</f>
        <v>XXX</v>
      </c>
    </row>
    <row r="4473" spans="1:4" x14ac:dyDescent="0.45">
      <c r="A4473">
        <f>ROW()</f>
        <v>4473</v>
      </c>
      <c r="B4473">
        <f>Profile!A5238</f>
        <v>0</v>
      </c>
      <c r="C4473">
        <f>Profile!AP5240</f>
        <v>0</v>
      </c>
      <c r="D4473" t="str">
        <f>IF(Profile!C5238="Profile",IF(Profile!A5240="ResourceRequirement","OK","XXX"),"XXX")</f>
        <v>XXX</v>
      </c>
    </row>
    <row r="4474" spans="1:4" x14ac:dyDescent="0.45">
      <c r="A4474">
        <f>ROW()</f>
        <v>4474</v>
      </c>
      <c r="B4474">
        <f>Profile!A5239</f>
        <v>0</v>
      </c>
      <c r="C4474">
        <f>Profile!AP5241</f>
        <v>0</v>
      </c>
      <c r="D4474" t="str">
        <f>IF(Profile!C5239="Profile",IF(Profile!A5241="ResourceRequirement","OK","XXX"),"XXX")</f>
        <v>XXX</v>
      </c>
    </row>
    <row r="4475" spans="1:4" x14ac:dyDescent="0.45">
      <c r="A4475">
        <f>ROW()</f>
        <v>4475</v>
      </c>
      <c r="B4475">
        <f>Profile!A5240</f>
        <v>0</v>
      </c>
      <c r="C4475">
        <f>Profile!AP5242</f>
        <v>0</v>
      </c>
      <c r="D4475" t="str">
        <f>IF(Profile!C5240="Profile",IF(Profile!A5242="ResourceRequirement","OK","XXX"),"XXX")</f>
        <v>XXX</v>
      </c>
    </row>
    <row r="4476" spans="1:4" x14ac:dyDescent="0.45">
      <c r="A4476">
        <f>ROW()</f>
        <v>4476</v>
      </c>
      <c r="B4476">
        <f>Profile!A5241</f>
        <v>0</v>
      </c>
      <c r="C4476">
        <f>Profile!AP5243</f>
        <v>0</v>
      </c>
      <c r="D4476" t="str">
        <f>IF(Profile!C5241="Profile",IF(Profile!A5243="ResourceRequirement","OK","XXX"),"XXX")</f>
        <v>XXX</v>
      </c>
    </row>
    <row r="4477" spans="1:4" x14ac:dyDescent="0.45">
      <c r="A4477">
        <f>ROW()</f>
        <v>4477</v>
      </c>
      <c r="B4477">
        <f>Profile!A5242</f>
        <v>0</v>
      </c>
      <c r="C4477">
        <f>Profile!AP5244</f>
        <v>0</v>
      </c>
      <c r="D4477" t="str">
        <f>IF(Profile!C5242="Profile",IF(Profile!A5244="ResourceRequirement","OK","XXX"),"XXX")</f>
        <v>XXX</v>
      </c>
    </row>
    <row r="4478" spans="1:4" x14ac:dyDescent="0.45">
      <c r="A4478">
        <f>ROW()</f>
        <v>4478</v>
      </c>
      <c r="B4478">
        <f>Profile!A5243</f>
        <v>0</v>
      </c>
      <c r="C4478">
        <f>Profile!AP5245</f>
        <v>0</v>
      </c>
      <c r="D4478" t="str">
        <f>IF(Profile!C5243="Profile",IF(Profile!A5245="ResourceRequirement","OK","XXX"),"XXX")</f>
        <v>XXX</v>
      </c>
    </row>
    <row r="4479" spans="1:4" x14ac:dyDescent="0.45">
      <c r="A4479">
        <f>ROW()</f>
        <v>4479</v>
      </c>
      <c r="B4479">
        <f>Profile!A5244</f>
        <v>0</v>
      </c>
      <c r="C4479">
        <f>Profile!AP5246</f>
        <v>0</v>
      </c>
      <c r="D4479" t="str">
        <f>IF(Profile!C5244="Profile",IF(Profile!A5246="ResourceRequirement","OK","XXX"),"XXX")</f>
        <v>XXX</v>
      </c>
    </row>
    <row r="4480" spans="1:4" x14ac:dyDescent="0.45">
      <c r="A4480">
        <f>ROW()</f>
        <v>4480</v>
      </c>
      <c r="B4480">
        <f>Profile!A5245</f>
        <v>0</v>
      </c>
      <c r="C4480">
        <f>Profile!AP5247</f>
        <v>0</v>
      </c>
      <c r="D4480" t="str">
        <f>IF(Profile!C5245="Profile",IF(Profile!A5247="ResourceRequirement","OK","XXX"),"XXX")</f>
        <v>XXX</v>
      </c>
    </row>
    <row r="4481" spans="1:4" x14ac:dyDescent="0.45">
      <c r="A4481">
        <f>ROW()</f>
        <v>4481</v>
      </c>
      <c r="B4481">
        <f>Profile!A5246</f>
        <v>0</v>
      </c>
      <c r="C4481">
        <f>Profile!AP5248</f>
        <v>0</v>
      </c>
      <c r="D4481" t="str">
        <f>IF(Profile!C5246="Profile",IF(Profile!A5248="ResourceRequirement","OK","XXX"),"XXX")</f>
        <v>XXX</v>
      </c>
    </row>
    <row r="4482" spans="1:4" x14ac:dyDescent="0.45">
      <c r="A4482">
        <f>ROW()</f>
        <v>4482</v>
      </c>
      <c r="B4482">
        <f>Profile!A5247</f>
        <v>0</v>
      </c>
      <c r="C4482">
        <f>Profile!AP5249</f>
        <v>0</v>
      </c>
      <c r="D4482" t="str">
        <f>IF(Profile!C5247="Profile",IF(Profile!A5249="ResourceRequirement","OK","XXX"),"XXX")</f>
        <v>XXX</v>
      </c>
    </row>
    <row r="4483" spans="1:4" x14ac:dyDescent="0.45">
      <c r="A4483">
        <f>ROW()</f>
        <v>4483</v>
      </c>
      <c r="B4483">
        <f>Profile!A5248</f>
        <v>0</v>
      </c>
      <c r="C4483">
        <f>Profile!AP5250</f>
        <v>0</v>
      </c>
      <c r="D4483" t="str">
        <f>IF(Profile!C5248="Profile",IF(Profile!A5250="ResourceRequirement","OK","XXX"),"XXX")</f>
        <v>XXX</v>
      </c>
    </row>
    <row r="4484" spans="1:4" x14ac:dyDescent="0.45">
      <c r="A4484">
        <f>ROW()</f>
        <v>4484</v>
      </c>
      <c r="B4484">
        <f>Profile!A5249</f>
        <v>0</v>
      </c>
      <c r="C4484">
        <f>Profile!AP5251</f>
        <v>0</v>
      </c>
      <c r="D4484" t="str">
        <f>IF(Profile!C5249="Profile",IF(Profile!A5251="ResourceRequirement","OK","XXX"),"XXX")</f>
        <v>XXX</v>
      </c>
    </row>
    <row r="4485" spans="1:4" x14ac:dyDescent="0.45">
      <c r="A4485">
        <f>ROW()</f>
        <v>4485</v>
      </c>
      <c r="B4485">
        <f>Profile!A5250</f>
        <v>0</v>
      </c>
      <c r="C4485">
        <f>Profile!AP5252</f>
        <v>0</v>
      </c>
      <c r="D4485" t="str">
        <f>IF(Profile!C5250="Profile",IF(Profile!A5252="ResourceRequirement","OK","XXX"),"XXX")</f>
        <v>XXX</v>
      </c>
    </row>
    <row r="4486" spans="1:4" x14ac:dyDescent="0.45">
      <c r="A4486">
        <f>ROW()</f>
        <v>4486</v>
      </c>
      <c r="B4486">
        <f>Profile!A5251</f>
        <v>0</v>
      </c>
      <c r="C4486">
        <f>Profile!AP5253</f>
        <v>0</v>
      </c>
      <c r="D4486" t="str">
        <f>IF(Profile!C5251="Profile",IF(Profile!A5253="ResourceRequirement","OK","XXX"),"XXX")</f>
        <v>XXX</v>
      </c>
    </row>
    <row r="4487" spans="1:4" x14ac:dyDescent="0.45">
      <c r="A4487">
        <f>ROW()</f>
        <v>4487</v>
      </c>
      <c r="B4487">
        <f>Profile!A5252</f>
        <v>0</v>
      </c>
      <c r="C4487">
        <f>Profile!AP5254</f>
        <v>0</v>
      </c>
      <c r="D4487" t="str">
        <f>IF(Profile!C5252="Profile",IF(Profile!A5254="ResourceRequirement","OK","XXX"),"XXX")</f>
        <v>XXX</v>
      </c>
    </row>
    <row r="4488" spans="1:4" x14ac:dyDescent="0.45">
      <c r="A4488">
        <f>ROW()</f>
        <v>4488</v>
      </c>
      <c r="B4488">
        <f>Profile!A5253</f>
        <v>0</v>
      </c>
      <c r="C4488">
        <f>Profile!AP5255</f>
        <v>0</v>
      </c>
      <c r="D4488" t="str">
        <f>IF(Profile!C5253="Profile",IF(Profile!A5255="ResourceRequirement","OK","XXX"),"XXX")</f>
        <v>XXX</v>
      </c>
    </row>
    <row r="4489" spans="1:4" x14ac:dyDescent="0.45">
      <c r="A4489">
        <f>ROW()</f>
        <v>4489</v>
      </c>
      <c r="B4489">
        <f>Profile!A5254</f>
        <v>0</v>
      </c>
      <c r="C4489">
        <f>Profile!AP5256</f>
        <v>0</v>
      </c>
      <c r="D4489" t="str">
        <f>IF(Profile!C5254="Profile",IF(Profile!A5256="ResourceRequirement","OK","XXX"),"XXX")</f>
        <v>XXX</v>
      </c>
    </row>
    <row r="4490" spans="1:4" x14ac:dyDescent="0.45">
      <c r="A4490">
        <f>ROW()</f>
        <v>4490</v>
      </c>
      <c r="B4490">
        <f>Profile!A5255</f>
        <v>0</v>
      </c>
      <c r="C4490">
        <f>Profile!AP5257</f>
        <v>0</v>
      </c>
      <c r="D4490" t="str">
        <f>IF(Profile!C5255="Profile",IF(Profile!A5257="ResourceRequirement","OK","XXX"),"XXX")</f>
        <v>XXX</v>
      </c>
    </row>
    <row r="4491" spans="1:4" x14ac:dyDescent="0.45">
      <c r="A4491">
        <f>ROW()</f>
        <v>4491</v>
      </c>
      <c r="B4491">
        <f>Profile!A5256</f>
        <v>0</v>
      </c>
      <c r="C4491">
        <f>Profile!AP5258</f>
        <v>0</v>
      </c>
      <c r="D4491" t="str">
        <f>IF(Profile!C5256="Profile",IF(Profile!A5258="ResourceRequirement","OK","XXX"),"XXX")</f>
        <v>XXX</v>
      </c>
    </row>
    <row r="4492" spans="1:4" x14ac:dyDescent="0.45">
      <c r="A4492">
        <f>ROW()</f>
        <v>4492</v>
      </c>
      <c r="B4492">
        <f>Profile!A5257</f>
        <v>0</v>
      </c>
      <c r="C4492">
        <f>Profile!AP5259</f>
        <v>0</v>
      </c>
      <c r="D4492" t="str">
        <f>IF(Profile!C5257="Profile",IF(Profile!A5259="ResourceRequirement","OK","XXX"),"XXX")</f>
        <v>XXX</v>
      </c>
    </row>
    <row r="4493" spans="1:4" x14ac:dyDescent="0.45">
      <c r="A4493">
        <f>ROW()</f>
        <v>4493</v>
      </c>
      <c r="B4493">
        <f>Profile!A5258</f>
        <v>0</v>
      </c>
      <c r="C4493">
        <f>Profile!AP5260</f>
        <v>0</v>
      </c>
      <c r="D4493" t="str">
        <f>IF(Profile!C5258="Profile",IF(Profile!A5260="ResourceRequirement","OK","XXX"),"XXX")</f>
        <v>XXX</v>
      </c>
    </row>
    <row r="4494" spans="1:4" x14ac:dyDescent="0.45">
      <c r="A4494">
        <f>ROW()</f>
        <v>4494</v>
      </c>
      <c r="B4494">
        <f>Profile!A5259</f>
        <v>0</v>
      </c>
      <c r="C4494">
        <f>Profile!AP5261</f>
        <v>0</v>
      </c>
      <c r="D4494" t="str">
        <f>IF(Profile!C5259="Profile",IF(Profile!A5261="ResourceRequirement","OK","XXX"),"XXX")</f>
        <v>XXX</v>
      </c>
    </row>
    <row r="4495" spans="1:4" x14ac:dyDescent="0.45">
      <c r="A4495">
        <f>ROW()</f>
        <v>4495</v>
      </c>
      <c r="B4495">
        <f>Profile!A5260</f>
        <v>0</v>
      </c>
      <c r="C4495">
        <f>Profile!AP5262</f>
        <v>0</v>
      </c>
      <c r="D4495" t="str">
        <f>IF(Profile!C5260="Profile",IF(Profile!A5262="ResourceRequirement","OK","XXX"),"XXX")</f>
        <v>XXX</v>
      </c>
    </row>
    <row r="4496" spans="1:4" x14ac:dyDescent="0.45">
      <c r="A4496">
        <f>ROW()</f>
        <v>4496</v>
      </c>
      <c r="B4496">
        <f>Profile!A5261</f>
        <v>0</v>
      </c>
      <c r="C4496">
        <f>Profile!AP5263</f>
        <v>0</v>
      </c>
      <c r="D4496" t="str">
        <f>IF(Profile!C5261="Profile",IF(Profile!A5263="ResourceRequirement","OK","XXX"),"XXX")</f>
        <v>XXX</v>
      </c>
    </row>
    <row r="4497" spans="1:4" x14ac:dyDescent="0.45">
      <c r="A4497">
        <f>ROW()</f>
        <v>4497</v>
      </c>
      <c r="B4497">
        <f>Profile!A5262</f>
        <v>0</v>
      </c>
      <c r="C4497">
        <f>Profile!AP5264</f>
        <v>0</v>
      </c>
      <c r="D4497" t="str">
        <f>IF(Profile!C5262="Profile",IF(Profile!A5264="ResourceRequirement","OK","XXX"),"XXX")</f>
        <v>XXX</v>
      </c>
    </row>
    <row r="4498" spans="1:4" x14ac:dyDescent="0.45">
      <c r="A4498">
        <f>ROW()</f>
        <v>4498</v>
      </c>
      <c r="B4498">
        <f>Profile!A5263</f>
        <v>0</v>
      </c>
      <c r="C4498">
        <f>Profile!AP5265</f>
        <v>0</v>
      </c>
      <c r="D4498" t="str">
        <f>IF(Profile!C5263="Profile",IF(Profile!A5265="ResourceRequirement","OK","XXX"),"XXX")</f>
        <v>XXX</v>
      </c>
    </row>
    <row r="4499" spans="1:4" x14ac:dyDescent="0.45">
      <c r="A4499">
        <f>ROW()</f>
        <v>4499</v>
      </c>
      <c r="B4499">
        <f>Profile!A5264</f>
        <v>0</v>
      </c>
      <c r="C4499">
        <f>Profile!AP5266</f>
        <v>0</v>
      </c>
      <c r="D4499" t="str">
        <f>IF(Profile!C5264="Profile",IF(Profile!A5266="ResourceRequirement","OK","XXX"),"XXX")</f>
        <v>XXX</v>
      </c>
    </row>
    <row r="4500" spans="1:4" x14ac:dyDescent="0.45">
      <c r="A4500">
        <f>ROW()</f>
        <v>4500</v>
      </c>
      <c r="B4500">
        <f>Profile!A5265</f>
        <v>0</v>
      </c>
      <c r="C4500">
        <f>Profile!AP5267</f>
        <v>0</v>
      </c>
      <c r="D4500" t="str">
        <f>IF(Profile!C5265="Profile",IF(Profile!A5267="ResourceRequirement","OK","XXX"),"XXX")</f>
        <v>XXX</v>
      </c>
    </row>
    <row r="4501" spans="1:4" x14ac:dyDescent="0.45">
      <c r="A4501">
        <f>ROW()</f>
        <v>4501</v>
      </c>
      <c r="B4501">
        <f>Profile!A5266</f>
        <v>0</v>
      </c>
      <c r="C4501">
        <f>Profile!AP5268</f>
        <v>0</v>
      </c>
      <c r="D4501" t="str">
        <f>IF(Profile!C5266="Profile",IF(Profile!A5268="ResourceRequirement","OK","XXX"),"XXX")</f>
        <v>XXX</v>
      </c>
    </row>
    <row r="4502" spans="1:4" x14ac:dyDescent="0.45">
      <c r="A4502">
        <f>ROW()</f>
        <v>4502</v>
      </c>
      <c r="B4502">
        <f>Profile!A5267</f>
        <v>0</v>
      </c>
      <c r="C4502">
        <f>Profile!AP5269</f>
        <v>0</v>
      </c>
      <c r="D4502" t="str">
        <f>IF(Profile!C5267="Profile",IF(Profile!A5269="ResourceRequirement","OK","XXX"),"XXX")</f>
        <v>XXX</v>
      </c>
    </row>
    <row r="4503" spans="1:4" x14ac:dyDescent="0.45">
      <c r="A4503">
        <f>ROW()</f>
        <v>4503</v>
      </c>
      <c r="B4503">
        <f>Profile!A5268</f>
        <v>0</v>
      </c>
      <c r="C4503">
        <f>Profile!AP5270</f>
        <v>0</v>
      </c>
      <c r="D4503" t="str">
        <f>IF(Profile!C5268="Profile",IF(Profile!A5270="ResourceRequirement","OK","XXX"),"XXX")</f>
        <v>XXX</v>
      </c>
    </row>
    <row r="4504" spans="1:4" x14ac:dyDescent="0.45">
      <c r="A4504">
        <f>ROW()</f>
        <v>4504</v>
      </c>
      <c r="B4504">
        <f>Profile!A5269</f>
        <v>0</v>
      </c>
      <c r="C4504">
        <f>Profile!AP5271</f>
        <v>0</v>
      </c>
      <c r="D4504" t="str">
        <f>IF(Profile!C5269="Profile",IF(Profile!A5271="ResourceRequirement","OK","XXX"),"XXX")</f>
        <v>XXX</v>
      </c>
    </row>
    <row r="4505" spans="1:4" x14ac:dyDescent="0.45">
      <c r="A4505">
        <f>ROW()</f>
        <v>4505</v>
      </c>
      <c r="B4505">
        <f>Profile!A5270</f>
        <v>0</v>
      </c>
      <c r="C4505">
        <f>Profile!AP5272</f>
        <v>0</v>
      </c>
      <c r="D4505" t="str">
        <f>IF(Profile!C5270="Profile",IF(Profile!A5272="ResourceRequirement","OK","XXX"),"XXX")</f>
        <v>XXX</v>
      </c>
    </row>
    <row r="4506" spans="1:4" x14ac:dyDescent="0.45">
      <c r="A4506">
        <f>ROW()</f>
        <v>4506</v>
      </c>
      <c r="B4506">
        <f>Profile!A5271</f>
        <v>0</v>
      </c>
      <c r="C4506">
        <f>Profile!AP5273</f>
        <v>0</v>
      </c>
      <c r="D4506" t="str">
        <f>IF(Profile!C5271="Profile",IF(Profile!A5273="ResourceRequirement","OK","XXX"),"XXX")</f>
        <v>XXX</v>
      </c>
    </row>
    <row r="4507" spans="1:4" x14ac:dyDescent="0.45">
      <c r="A4507">
        <f>ROW()</f>
        <v>4507</v>
      </c>
      <c r="B4507">
        <f>Profile!A5272</f>
        <v>0</v>
      </c>
      <c r="C4507">
        <f>Profile!AP5274</f>
        <v>0</v>
      </c>
      <c r="D4507" t="str">
        <f>IF(Profile!C5272="Profile",IF(Profile!A5274="ResourceRequirement","OK","XXX"),"XXX")</f>
        <v>XXX</v>
      </c>
    </row>
    <row r="4508" spans="1:4" x14ac:dyDescent="0.45">
      <c r="A4508">
        <f>ROW()</f>
        <v>4508</v>
      </c>
      <c r="B4508">
        <f>Profile!A5273</f>
        <v>0</v>
      </c>
      <c r="C4508">
        <f>Profile!AP5275</f>
        <v>0</v>
      </c>
      <c r="D4508" t="str">
        <f>IF(Profile!C5273="Profile",IF(Profile!A5275="ResourceRequirement","OK","XXX"),"XXX")</f>
        <v>XXX</v>
      </c>
    </row>
    <row r="4509" spans="1:4" x14ac:dyDescent="0.45">
      <c r="A4509">
        <f>ROW()</f>
        <v>4509</v>
      </c>
      <c r="B4509">
        <f>Profile!A5274</f>
        <v>0</v>
      </c>
      <c r="C4509">
        <f>Profile!AP5276</f>
        <v>0</v>
      </c>
      <c r="D4509" t="str">
        <f>IF(Profile!C5274="Profile",IF(Profile!A5276="ResourceRequirement","OK","XXX"),"XXX")</f>
        <v>XXX</v>
      </c>
    </row>
    <row r="4510" spans="1:4" x14ac:dyDescent="0.45">
      <c r="A4510">
        <f>ROW()</f>
        <v>4510</v>
      </c>
      <c r="B4510">
        <f>Profile!A5275</f>
        <v>0</v>
      </c>
      <c r="C4510">
        <f>Profile!AP5277</f>
        <v>0</v>
      </c>
      <c r="D4510" t="str">
        <f>IF(Profile!C5275="Profile",IF(Profile!A5277="ResourceRequirement","OK","XXX"),"XXX")</f>
        <v>XXX</v>
      </c>
    </row>
    <row r="4511" spans="1:4" x14ac:dyDescent="0.45">
      <c r="A4511">
        <f>ROW()</f>
        <v>4511</v>
      </c>
      <c r="B4511">
        <f>Profile!A5276</f>
        <v>0</v>
      </c>
      <c r="C4511">
        <f>Profile!AP5278</f>
        <v>0</v>
      </c>
      <c r="D4511" t="str">
        <f>IF(Profile!C5276="Profile",IF(Profile!A5278="ResourceRequirement","OK","XXX"),"XXX")</f>
        <v>XXX</v>
      </c>
    </row>
    <row r="4512" spans="1:4" x14ac:dyDescent="0.45">
      <c r="A4512">
        <f>ROW()</f>
        <v>4512</v>
      </c>
      <c r="B4512">
        <f>Profile!A5277</f>
        <v>0</v>
      </c>
      <c r="C4512">
        <f>Profile!AP5279</f>
        <v>0</v>
      </c>
      <c r="D4512" t="str">
        <f>IF(Profile!C5277="Profile",IF(Profile!A5279="ResourceRequirement","OK","XXX"),"XXX")</f>
        <v>XXX</v>
      </c>
    </row>
    <row r="4513" spans="1:4" x14ac:dyDescent="0.45">
      <c r="A4513">
        <f>ROW()</f>
        <v>4513</v>
      </c>
      <c r="B4513">
        <f>Profile!A5278</f>
        <v>0</v>
      </c>
      <c r="C4513">
        <f>Profile!AP5280</f>
        <v>0</v>
      </c>
      <c r="D4513" t="str">
        <f>IF(Profile!C5278="Profile",IF(Profile!A5280="ResourceRequirement","OK","XXX"),"XXX")</f>
        <v>XXX</v>
      </c>
    </row>
    <row r="4514" spans="1:4" x14ac:dyDescent="0.45">
      <c r="A4514">
        <f>ROW()</f>
        <v>4514</v>
      </c>
      <c r="B4514">
        <f>Profile!A5279</f>
        <v>0</v>
      </c>
      <c r="C4514">
        <f>Profile!AP5281</f>
        <v>0</v>
      </c>
      <c r="D4514" t="str">
        <f>IF(Profile!C5279="Profile",IF(Profile!A5281="ResourceRequirement","OK","XXX"),"XXX")</f>
        <v>XXX</v>
      </c>
    </row>
    <row r="4515" spans="1:4" x14ac:dyDescent="0.45">
      <c r="A4515">
        <f>ROW()</f>
        <v>4515</v>
      </c>
      <c r="B4515">
        <f>Profile!A5280</f>
        <v>0</v>
      </c>
      <c r="C4515">
        <f>Profile!AP5282</f>
        <v>0</v>
      </c>
      <c r="D4515" t="str">
        <f>IF(Profile!C5280="Profile",IF(Profile!A5282="ResourceRequirement","OK","XXX"),"XXX")</f>
        <v>XXX</v>
      </c>
    </row>
    <row r="4516" spans="1:4" x14ac:dyDescent="0.45">
      <c r="A4516">
        <f>ROW()</f>
        <v>4516</v>
      </c>
      <c r="B4516">
        <f>Profile!A5281</f>
        <v>0</v>
      </c>
      <c r="C4516">
        <f>Profile!AP5283</f>
        <v>0</v>
      </c>
      <c r="D4516" t="str">
        <f>IF(Profile!C5281="Profile",IF(Profile!A5283="ResourceRequirement","OK","XXX"),"XXX")</f>
        <v>XXX</v>
      </c>
    </row>
    <row r="4517" spans="1:4" x14ac:dyDescent="0.45">
      <c r="A4517">
        <f>ROW()</f>
        <v>4517</v>
      </c>
      <c r="B4517">
        <f>Profile!A5282</f>
        <v>0</v>
      </c>
      <c r="C4517">
        <f>Profile!AP5284</f>
        <v>0</v>
      </c>
      <c r="D4517" t="str">
        <f>IF(Profile!C5282="Profile",IF(Profile!A5284="ResourceRequirement","OK","XXX"),"XXX")</f>
        <v>XXX</v>
      </c>
    </row>
    <row r="4518" spans="1:4" x14ac:dyDescent="0.45">
      <c r="A4518">
        <f>ROW()</f>
        <v>4518</v>
      </c>
      <c r="B4518">
        <f>Profile!A5283</f>
        <v>0</v>
      </c>
      <c r="C4518">
        <f>Profile!AP5285</f>
        <v>0</v>
      </c>
      <c r="D4518" t="str">
        <f>IF(Profile!C5283="Profile",IF(Profile!A5285="ResourceRequirement","OK","XXX"),"XXX")</f>
        <v>XXX</v>
      </c>
    </row>
    <row r="4519" spans="1:4" x14ac:dyDescent="0.45">
      <c r="A4519">
        <f>ROW()</f>
        <v>4519</v>
      </c>
      <c r="B4519">
        <f>Profile!A5284</f>
        <v>0</v>
      </c>
      <c r="C4519">
        <f>Profile!AP5286</f>
        <v>0</v>
      </c>
      <c r="D4519" t="str">
        <f>IF(Profile!C5284="Profile",IF(Profile!A5286="ResourceRequirement","OK","XXX"),"XXX")</f>
        <v>XXX</v>
      </c>
    </row>
    <row r="4520" spans="1:4" x14ac:dyDescent="0.45">
      <c r="A4520">
        <f>ROW()</f>
        <v>4520</v>
      </c>
      <c r="B4520">
        <f>Profile!A5285</f>
        <v>0</v>
      </c>
      <c r="C4520">
        <f>Profile!AP5287</f>
        <v>0</v>
      </c>
      <c r="D4520" t="str">
        <f>IF(Profile!C5285="Profile",IF(Profile!A5287="ResourceRequirement","OK","XXX"),"XXX")</f>
        <v>XXX</v>
      </c>
    </row>
    <row r="4521" spans="1:4" x14ac:dyDescent="0.45">
      <c r="A4521">
        <f>ROW()</f>
        <v>4521</v>
      </c>
      <c r="B4521">
        <f>Profile!A5286</f>
        <v>0</v>
      </c>
      <c r="C4521">
        <f>Profile!AP5288</f>
        <v>0</v>
      </c>
      <c r="D4521" t="str">
        <f>IF(Profile!C5286="Profile",IF(Profile!A5288="ResourceRequirement","OK","XXX"),"XXX")</f>
        <v>XXX</v>
      </c>
    </row>
    <row r="4522" spans="1:4" x14ac:dyDescent="0.45">
      <c r="A4522">
        <f>ROW()</f>
        <v>4522</v>
      </c>
      <c r="B4522">
        <f>Profile!A5287</f>
        <v>0</v>
      </c>
      <c r="C4522">
        <f>Profile!AP5289</f>
        <v>0</v>
      </c>
      <c r="D4522" t="str">
        <f>IF(Profile!C5287="Profile",IF(Profile!A5289="ResourceRequirement","OK","XXX"),"XXX")</f>
        <v>XXX</v>
      </c>
    </row>
    <row r="4523" spans="1:4" x14ac:dyDescent="0.45">
      <c r="A4523">
        <f>ROW()</f>
        <v>4523</v>
      </c>
      <c r="B4523">
        <f>Profile!A5288</f>
        <v>0</v>
      </c>
      <c r="C4523">
        <f>Profile!AP5290</f>
        <v>0</v>
      </c>
      <c r="D4523" t="str">
        <f>IF(Profile!C5288="Profile",IF(Profile!A5290="ResourceRequirement","OK","XXX"),"XXX")</f>
        <v>XXX</v>
      </c>
    </row>
    <row r="4524" spans="1:4" x14ac:dyDescent="0.45">
      <c r="A4524">
        <f>ROW()</f>
        <v>4524</v>
      </c>
      <c r="B4524">
        <f>Profile!A5289</f>
        <v>0</v>
      </c>
      <c r="C4524">
        <f>Profile!AP5291</f>
        <v>0</v>
      </c>
      <c r="D4524" t="str">
        <f>IF(Profile!C5289="Profile",IF(Profile!A5291="ResourceRequirement","OK","XXX"),"XXX")</f>
        <v>XXX</v>
      </c>
    </row>
    <row r="4525" spans="1:4" x14ac:dyDescent="0.45">
      <c r="A4525">
        <f>ROW()</f>
        <v>4525</v>
      </c>
      <c r="B4525">
        <f>Profile!A5290</f>
        <v>0</v>
      </c>
      <c r="C4525">
        <f>Profile!AP5292</f>
        <v>0</v>
      </c>
      <c r="D4525" t="str">
        <f>IF(Profile!C5290="Profile",IF(Profile!A5292="ResourceRequirement","OK","XXX"),"XXX")</f>
        <v>XXX</v>
      </c>
    </row>
    <row r="4526" spans="1:4" x14ac:dyDescent="0.45">
      <c r="A4526">
        <f>ROW()</f>
        <v>4526</v>
      </c>
      <c r="B4526">
        <f>Profile!A5291</f>
        <v>0</v>
      </c>
      <c r="C4526">
        <f>Profile!AP5293</f>
        <v>0</v>
      </c>
      <c r="D4526" t="str">
        <f>IF(Profile!C5291="Profile",IF(Profile!A5293="ResourceRequirement","OK","XXX"),"XXX")</f>
        <v>XXX</v>
      </c>
    </row>
    <row r="4527" spans="1:4" x14ac:dyDescent="0.45">
      <c r="A4527">
        <f>ROW()</f>
        <v>4527</v>
      </c>
      <c r="B4527">
        <f>Profile!A5292</f>
        <v>0</v>
      </c>
      <c r="C4527">
        <f>Profile!AP5294</f>
        <v>0</v>
      </c>
      <c r="D4527" t="str">
        <f>IF(Profile!C5292="Profile",IF(Profile!A5294="ResourceRequirement","OK","XXX"),"XXX")</f>
        <v>XXX</v>
      </c>
    </row>
    <row r="4528" spans="1:4" x14ac:dyDescent="0.45">
      <c r="A4528">
        <f>ROW()</f>
        <v>4528</v>
      </c>
      <c r="B4528">
        <f>Profile!A5293</f>
        <v>0</v>
      </c>
      <c r="C4528">
        <f>Profile!AP5295</f>
        <v>0</v>
      </c>
      <c r="D4528" t="str">
        <f>IF(Profile!C5293="Profile",IF(Profile!A5295="ResourceRequirement","OK","XXX"),"XXX")</f>
        <v>XXX</v>
      </c>
    </row>
    <row r="4529" spans="1:4" x14ac:dyDescent="0.45">
      <c r="A4529">
        <f>ROW()</f>
        <v>4529</v>
      </c>
      <c r="B4529">
        <f>Profile!A5294</f>
        <v>0</v>
      </c>
      <c r="C4529">
        <f>Profile!AP5296</f>
        <v>0</v>
      </c>
      <c r="D4529" t="str">
        <f>IF(Profile!C5294="Profile",IF(Profile!A5296="ResourceRequirement","OK","XXX"),"XXX")</f>
        <v>XXX</v>
      </c>
    </row>
    <row r="4530" spans="1:4" x14ac:dyDescent="0.45">
      <c r="A4530">
        <f>ROW()</f>
        <v>4530</v>
      </c>
      <c r="B4530">
        <f>Profile!A5295</f>
        <v>0</v>
      </c>
      <c r="C4530">
        <f>Profile!AP5297</f>
        <v>0</v>
      </c>
      <c r="D4530" t="str">
        <f>IF(Profile!C5295="Profile",IF(Profile!A5297="ResourceRequirement","OK","XXX"),"XXX")</f>
        <v>XXX</v>
      </c>
    </row>
    <row r="4531" spans="1:4" x14ac:dyDescent="0.45">
      <c r="A4531">
        <f>ROW()</f>
        <v>4531</v>
      </c>
      <c r="B4531">
        <f>Profile!A5296</f>
        <v>0</v>
      </c>
      <c r="C4531">
        <f>Profile!AP5298</f>
        <v>0</v>
      </c>
      <c r="D4531" t="str">
        <f>IF(Profile!C5296="Profile",IF(Profile!A5298="ResourceRequirement","OK","XXX"),"XXX")</f>
        <v>XXX</v>
      </c>
    </row>
    <row r="4532" spans="1:4" x14ac:dyDescent="0.45">
      <c r="A4532">
        <f>ROW()</f>
        <v>4532</v>
      </c>
      <c r="B4532">
        <f>Profile!A5297</f>
        <v>0</v>
      </c>
      <c r="C4532">
        <f>Profile!AP5299</f>
        <v>0</v>
      </c>
      <c r="D4532" t="str">
        <f>IF(Profile!C5297="Profile",IF(Profile!A5299="ResourceRequirement","OK","XXX"),"XXX")</f>
        <v>XXX</v>
      </c>
    </row>
    <row r="4533" spans="1:4" x14ac:dyDescent="0.45">
      <c r="A4533">
        <f>ROW()</f>
        <v>4533</v>
      </c>
      <c r="B4533">
        <f>Profile!A5298</f>
        <v>0</v>
      </c>
      <c r="C4533">
        <f>Profile!AP5300</f>
        <v>0</v>
      </c>
      <c r="D4533" t="str">
        <f>IF(Profile!C5298="Profile",IF(Profile!A5300="ResourceRequirement","OK","XXX"),"XXX")</f>
        <v>XXX</v>
      </c>
    </row>
    <row r="4534" spans="1:4" x14ac:dyDescent="0.45">
      <c r="A4534">
        <f>ROW()</f>
        <v>4534</v>
      </c>
      <c r="B4534">
        <f>Profile!A5299</f>
        <v>0</v>
      </c>
      <c r="C4534">
        <f>Profile!AP5301</f>
        <v>0</v>
      </c>
      <c r="D4534" t="str">
        <f>IF(Profile!C5299="Profile",IF(Profile!A5301="ResourceRequirement","OK","XXX"),"XXX")</f>
        <v>XXX</v>
      </c>
    </row>
    <row r="4535" spans="1:4" x14ac:dyDescent="0.45">
      <c r="A4535">
        <f>ROW()</f>
        <v>4535</v>
      </c>
      <c r="B4535">
        <f>Profile!A5300</f>
        <v>0</v>
      </c>
      <c r="C4535">
        <f>Profile!AP5302</f>
        <v>0</v>
      </c>
      <c r="D4535" t="str">
        <f>IF(Profile!C5300="Profile",IF(Profile!A5302="ResourceRequirement","OK","XXX"),"XXX")</f>
        <v>XXX</v>
      </c>
    </row>
    <row r="4536" spans="1:4" x14ac:dyDescent="0.45">
      <c r="A4536">
        <f>ROW()</f>
        <v>4536</v>
      </c>
      <c r="B4536">
        <f>Profile!A5301</f>
        <v>0</v>
      </c>
      <c r="C4536">
        <f>Profile!AP5303</f>
        <v>0</v>
      </c>
      <c r="D4536" t="str">
        <f>IF(Profile!C5301="Profile",IF(Profile!A5303="ResourceRequirement","OK","XXX"),"XXX")</f>
        <v>XXX</v>
      </c>
    </row>
    <row r="4537" spans="1:4" x14ac:dyDescent="0.45">
      <c r="A4537">
        <f>ROW()</f>
        <v>4537</v>
      </c>
      <c r="B4537">
        <f>Profile!A5302</f>
        <v>0</v>
      </c>
      <c r="C4537">
        <f>Profile!AP5304</f>
        <v>0</v>
      </c>
      <c r="D4537" t="str">
        <f>IF(Profile!C5302="Profile",IF(Profile!A5304="ResourceRequirement","OK","XXX"),"XXX")</f>
        <v>XXX</v>
      </c>
    </row>
    <row r="4538" spans="1:4" x14ac:dyDescent="0.45">
      <c r="A4538">
        <f>ROW()</f>
        <v>4538</v>
      </c>
      <c r="B4538">
        <f>Profile!A5303</f>
        <v>0</v>
      </c>
      <c r="C4538">
        <f>Profile!AP5305</f>
        <v>0</v>
      </c>
      <c r="D4538" t="str">
        <f>IF(Profile!C5303="Profile",IF(Profile!A5305="ResourceRequirement","OK","XXX"),"XXX")</f>
        <v>XXX</v>
      </c>
    </row>
    <row r="4539" spans="1:4" x14ac:dyDescent="0.45">
      <c r="A4539">
        <f>ROW()</f>
        <v>4539</v>
      </c>
      <c r="B4539">
        <f>Profile!A5304</f>
        <v>0</v>
      </c>
      <c r="C4539">
        <f>Profile!AP5306</f>
        <v>0</v>
      </c>
      <c r="D4539" t="str">
        <f>IF(Profile!C5304="Profile",IF(Profile!A5306="ResourceRequirement","OK","XXX"),"XXX")</f>
        <v>XXX</v>
      </c>
    </row>
    <row r="4540" spans="1:4" x14ac:dyDescent="0.45">
      <c r="A4540">
        <f>ROW()</f>
        <v>4540</v>
      </c>
      <c r="B4540">
        <f>Profile!A5305</f>
        <v>0</v>
      </c>
      <c r="C4540">
        <f>Profile!AP5307</f>
        <v>0</v>
      </c>
      <c r="D4540" t="str">
        <f>IF(Profile!C5305="Profile",IF(Profile!A5307="ResourceRequirement","OK","XXX"),"XXX")</f>
        <v>XXX</v>
      </c>
    </row>
    <row r="4541" spans="1:4" x14ac:dyDescent="0.45">
      <c r="A4541">
        <f>ROW()</f>
        <v>4541</v>
      </c>
      <c r="B4541">
        <f>Profile!A5306</f>
        <v>0</v>
      </c>
      <c r="C4541">
        <f>Profile!AP5308</f>
        <v>0</v>
      </c>
      <c r="D4541" t="str">
        <f>IF(Profile!C5306="Profile",IF(Profile!A5308="ResourceRequirement","OK","XXX"),"XXX")</f>
        <v>XXX</v>
      </c>
    </row>
    <row r="4542" spans="1:4" x14ac:dyDescent="0.45">
      <c r="A4542">
        <f>ROW()</f>
        <v>4542</v>
      </c>
      <c r="B4542">
        <f>Profile!A5307</f>
        <v>0</v>
      </c>
      <c r="C4542">
        <f>Profile!AP5309</f>
        <v>0</v>
      </c>
      <c r="D4542" t="str">
        <f>IF(Profile!C5307="Profile",IF(Profile!A5309="ResourceRequirement","OK","XXX"),"XXX")</f>
        <v>XXX</v>
      </c>
    </row>
    <row r="4543" spans="1:4" x14ac:dyDescent="0.45">
      <c r="A4543">
        <f>ROW()</f>
        <v>4543</v>
      </c>
      <c r="B4543">
        <f>Profile!A5308</f>
        <v>0</v>
      </c>
      <c r="C4543">
        <f>Profile!AP5310</f>
        <v>0</v>
      </c>
      <c r="D4543" t="str">
        <f>IF(Profile!C5308="Profile",IF(Profile!A5310="ResourceRequirement","OK","XXX"),"XXX")</f>
        <v>XXX</v>
      </c>
    </row>
    <row r="4544" spans="1:4" x14ac:dyDescent="0.45">
      <c r="A4544">
        <f>ROW()</f>
        <v>4544</v>
      </c>
      <c r="B4544">
        <f>Profile!A5309</f>
        <v>0</v>
      </c>
      <c r="C4544">
        <f>Profile!AP5311</f>
        <v>0</v>
      </c>
      <c r="D4544" t="str">
        <f>IF(Profile!C5309="Profile",IF(Profile!A5311="ResourceRequirement","OK","XXX"),"XXX")</f>
        <v>XXX</v>
      </c>
    </row>
    <row r="4545" spans="1:4" x14ac:dyDescent="0.45">
      <c r="A4545">
        <f>ROW()</f>
        <v>4545</v>
      </c>
      <c r="B4545">
        <f>Profile!A5310</f>
        <v>0</v>
      </c>
      <c r="C4545">
        <f>Profile!AP5312</f>
        <v>0</v>
      </c>
      <c r="D4545" t="str">
        <f>IF(Profile!C5310="Profile",IF(Profile!A5312="ResourceRequirement","OK","XXX"),"XXX")</f>
        <v>XXX</v>
      </c>
    </row>
    <row r="4546" spans="1:4" x14ac:dyDescent="0.45">
      <c r="A4546">
        <f>ROW()</f>
        <v>4546</v>
      </c>
      <c r="B4546">
        <f>Profile!A5311</f>
        <v>0</v>
      </c>
      <c r="C4546">
        <f>Profile!AP5313</f>
        <v>0</v>
      </c>
      <c r="D4546" t="str">
        <f>IF(Profile!C5311="Profile",IF(Profile!A5313="ResourceRequirement","OK","XXX"),"XXX")</f>
        <v>XXX</v>
      </c>
    </row>
    <row r="4547" spans="1:4" x14ac:dyDescent="0.45">
      <c r="A4547">
        <f>ROW()</f>
        <v>4547</v>
      </c>
      <c r="B4547">
        <f>Profile!A5312</f>
        <v>0</v>
      </c>
      <c r="C4547">
        <f>Profile!AP5314</f>
        <v>0</v>
      </c>
      <c r="D4547" t="str">
        <f>IF(Profile!C5312="Profile",IF(Profile!A5314="ResourceRequirement","OK","XXX"),"XXX")</f>
        <v>XXX</v>
      </c>
    </row>
    <row r="4548" spans="1:4" x14ac:dyDescent="0.45">
      <c r="A4548">
        <f>ROW()</f>
        <v>4548</v>
      </c>
      <c r="B4548">
        <f>Profile!A5313</f>
        <v>0</v>
      </c>
      <c r="C4548">
        <f>Profile!AP5315</f>
        <v>0</v>
      </c>
      <c r="D4548" t="str">
        <f>IF(Profile!C5313="Profile",IF(Profile!A5315="ResourceRequirement","OK","XXX"),"XXX")</f>
        <v>XXX</v>
      </c>
    </row>
    <row r="4549" spans="1:4" x14ac:dyDescent="0.45">
      <c r="A4549">
        <f>ROW()</f>
        <v>4549</v>
      </c>
      <c r="B4549">
        <f>Profile!A5314</f>
        <v>0</v>
      </c>
      <c r="C4549">
        <f>Profile!AP5316</f>
        <v>0</v>
      </c>
      <c r="D4549" t="str">
        <f>IF(Profile!C5314="Profile",IF(Profile!A5316="ResourceRequirement","OK","XXX"),"XXX")</f>
        <v>XXX</v>
      </c>
    </row>
    <row r="4550" spans="1:4" x14ac:dyDescent="0.45">
      <c r="A4550">
        <f>ROW()</f>
        <v>4550</v>
      </c>
      <c r="B4550">
        <f>Profile!A5315</f>
        <v>0</v>
      </c>
      <c r="C4550">
        <f>Profile!AP5317</f>
        <v>0</v>
      </c>
      <c r="D4550" t="str">
        <f>IF(Profile!C5315="Profile",IF(Profile!A5317="ResourceRequirement","OK","XXX"),"XXX")</f>
        <v>XXX</v>
      </c>
    </row>
    <row r="4551" spans="1:4" x14ac:dyDescent="0.45">
      <c r="A4551">
        <f>ROW()</f>
        <v>4551</v>
      </c>
      <c r="B4551">
        <f>Profile!A5316</f>
        <v>0</v>
      </c>
      <c r="C4551">
        <f>Profile!AP5318</f>
        <v>0</v>
      </c>
      <c r="D4551" t="str">
        <f>IF(Profile!C5316="Profile",IF(Profile!A5318="ResourceRequirement","OK","XXX"),"XXX")</f>
        <v>XXX</v>
      </c>
    </row>
    <row r="4552" spans="1:4" x14ac:dyDescent="0.45">
      <c r="A4552">
        <f>ROW()</f>
        <v>4552</v>
      </c>
      <c r="B4552">
        <f>Profile!A5317</f>
        <v>0</v>
      </c>
      <c r="C4552">
        <f>Profile!AP5319</f>
        <v>0</v>
      </c>
      <c r="D4552" t="str">
        <f>IF(Profile!C5317="Profile",IF(Profile!A5319="ResourceRequirement","OK","XXX"),"XXX")</f>
        <v>XXX</v>
      </c>
    </row>
    <row r="4553" spans="1:4" x14ac:dyDescent="0.45">
      <c r="A4553">
        <f>ROW()</f>
        <v>4553</v>
      </c>
      <c r="B4553">
        <f>Profile!A5318</f>
        <v>0</v>
      </c>
      <c r="C4553">
        <f>Profile!AP5320</f>
        <v>0</v>
      </c>
      <c r="D4553" t="str">
        <f>IF(Profile!C5318="Profile",IF(Profile!A5320="ResourceRequirement","OK","XXX"),"XXX")</f>
        <v>XXX</v>
      </c>
    </row>
    <row r="4554" spans="1:4" x14ac:dyDescent="0.45">
      <c r="A4554">
        <f>ROW()</f>
        <v>4554</v>
      </c>
      <c r="B4554">
        <f>Profile!A5319</f>
        <v>0</v>
      </c>
      <c r="C4554">
        <f>Profile!AP5321</f>
        <v>0</v>
      </c>
      <c r="D4554" t="str">
        <f>IF(Profile!C5319="Profile",IF(Profile!A5321="ResourceRequirement","OK","XXX"),"XXX")</f>
        <v>XXX</v>
      </c>
    </row>
    <row r="4555" spans="1:4" x14ac:dyDescent="0.45">
      <c r="A4555">
        <f>ROW()</f>
        <v>4555</v>
      </c>
      <c r="B4555">
        <f>Profile!A5320</f>
        <v>0</v>
      </c>
      <c r="C4555">
        <f>Profile!AP5322</f>
        <v>0</v>
      </c>
      <c r="D4555" t="str">
        <f>IF(Profile!C5320="Profile",IF(Profile!A5322="ResourceRequirement","OK","XXX"),"XXX")</f>
        <v>XXX</v>
      </c>
    </row>
    <row r="4556" spans="1:4" x14ac:dyDescent="0.45">
      <c r="A4556">
        <f>ROW()</f>
        <v>4556</v>
      </c>
      <c r="B4556">
        <f>Profile!A5321</f>
        <v>0</v>
      </c>
      <c r="C4556">
        <f>Profile!AP5323</f>
        <v>0</v>
      </c>
      <c r="D4556" t="str">
        <f>IF(Profile!C5321="Profile",IF(Profile!A5323="ResourceRequirement","OK","XXX"),"XXX")</f>
        <v>XXX</v>
      </c>
    </row>
    <row r="4557" spans="1:4" x14ac:dyDescent="0.45">
      <c r="A4557">
        <f>ROW()</f>
        <v>4557</v>
      </c>
      <c r="B4557">
        <f>Profile!A5322</f>
        <v>0</v>
      </c>
      <c r="C4557">
        <f>Profile!AP5324</f>
        <v>0</v>
      </c>
      <c r="D4557" t="str">
        <f>IF(Profile!C5322="Profile",IF(Profile!A5324="ResourceRequirement","OK","XXX"),"XXX")</f>
        <v>XXX</v>
      </c>
    </row>
    <row r="4558" spans="1:4" x14ac:dyDescent="0.45">
      <c r="A4558">
        <f>ROW()</f>
        <v>4558</v>
      </c>
      <c r="B4558">
        <f>Profile!A5323</f>
        <v>0</v>
      </c>
      <c r="C4558">
        <f>Profile!AP5325</f>
        <v>0</v>
      </c>
      <c r="D4558" t="str">
        <f>IF(Profile!C5323="Profile",IF(Profile!A5325="ResourceRequirement","OK","XXX"),"XXX")</f>
        <v>XXX</v>
      </c>
    </row>
    <row r="4559" spans="1:4" x14ac:dyDescent="0.45">
      <c r="A4559">
        <f>ROW()</f>
        <v>4559</v>
      </c>
      <c r="B4559">
        <f>Profile!A5324</f>
        <v>0</v>
      </c>
      <c r="C4559">
        <f>Profile!AP5326</f>
        <v>0</v>
      </c>
      <c r="D4559" t="str">
        <f>IF(Profile!C5324="Profile",IF(Profile!A5326="ResourceRequirement","OK","XXX"),"XXX")</f>
        <v>XXX</v>
      </c>
    </row>
    <row r="4560" spans="1:4" x14ac:dyDescent="0.45">
      <c r="A4560">
        <f>ROW()</f>
        <v>4560</v>
      </c>
      <c r="B4560">
        <f>Profile!A5325</f>
        <v>0</v>
      </c>
      <c r="C4560">
        <f>Profile!AP5327</f>
        <v>0</v>
      </c>
      <c r="D4560" t="str">
        <f>IF(Profile!C5325="Profile",IF(Profile!A5327="ResourceRequirement","OK","XXX"),"XXX")</f>
        <v>XXX</v>
      </c>
    </row>
    <row r="4561" spans="1:4" x14ac:dyDescent="0.45">
      <c r="A4561">
        <f>ROW()</f>
        <v>4561</v>
      </c>
      <c r="B4561">
        <f>Profile!A5326</f>
        <v>0</v>
      </c>
      <c r="C4561">
        <f>Profile!AP5328</f>
        <v>0</v>
      </c>
      <c r="D4561" t="str">
        <f>IF(Profile!C5326="Profile",IF(Profile!A5328="ResourceRequirement","OK","XXX"),"XXX")</f>
        <v>XXX</v>
      </c>
    </row>
    <row r="4562" spans="1:4" x14ac:dyDescent="0.45">
      <c r="A4562">
        <f>ROW()</f>
        <v>4562</v>
      </c>
      <c r="B4562">
        <f>Profile!A5327</f>
        <v>0</v>
      </c>
      <c r="C4562">
        <f>Profile!AP5329</f>
        <v>0</v>
      </c>
      <c r="D4562" t="str">
        <f>IF(Profile!C5327="Profile",IF(Profile!A5329="ResourceRequirement","OK","XXX"),"XXX")</f>
        <v>XXX</v>
      </c>
    </row>
    <row r="4563" spans="1:4" x14ac:dyDescent="0.45">
      <c r="A4563">
        <f>ROW()</f>
        <v>4563</v>
      </c>
      <c r="B4563">
        <f>Profile!A5328</f>
        <v>0</v>
      </c>
      <c r="C4563">
        <f>Profile!AP5330</f>
        <v>0</v>
      </c>
      <c r="D4563" t="str">
        <f>IF(Profile!C5328="Profile",IF(Profile!A5330="ResourceRequirement","OK","XXX"),"XXX")</f>
        <v>XXX</v>
      </c>
    </row>
    <row r="4564" spans="1:4" x14ac:dyDescent="0.45">
      <c r="A4564">
        <f>ROW()</f>
        <v>4564</v>
      </c>
      <c r="B4564">
        <f>Profile!A5329</f>
        <v>0</v>
      </c>
      <c r="C4564">
        <f>Profile!AP5331</f>
        <v>0</v>
      </c>
      <c r="D4564" t="str">
        <f>IF(Profile!C5329="Profile",IF(Profile!A5331="ResourceRequirement","OK","XXX"),"XXX")</f>
        <v>XXX</v>
      </c>
    </row>
    <row r="4565" spans="1:4" x14ac:dyDescent="0.45">
      <c r="A4565">
        <f>ROW()</f>
        <v>4565</v>
      </c>
      <c r="B4565">
        <f>Profile!A5330</f>
        <v>0</v>
      </c>
      <c r="C4565">
        <f>Profile!AP5332</f>
        <v>0</v>
      </c>
      <c r="D4565" t="str">
        <f>IF(Profile!C5330="Profile",IF(Profile!A5332="ResourceRequirement","OK","XXX"),"XXX")</f>
        <v>XXX</v>
      </c>
    </row>
    <row r="4566" spans="1:4" x14ac:dyDescent="0.45">
      <c r="A4566">
        <f>ROW()</f>
        <v>4566</v>
      </c>
      <c r="B4566">
        <f>Profile!A5331</f>
        <v>0</v>
      </c>
      <c r="C4566">
        <f>Profile!AP5333</f>
        <v>0</v>
      </c>
      <c r="D4566" t="str">
        <f>IF(Profile!C5331="Profile",IF(Profile!A5333="ResourceRequirement","OK","XXX"),"XXX")</f>
        <v>XXX</v>
      </c>
    </row>
    <row r="4567" spans="1:4" x14ac:dyDescent="0.45">
      <c r="A4567">
        <f>ROW()</f>
        <v>4567</v>
      </c>
      <c r="B4567">
        <f>Profile!A5332</f>
        <v>0</v>
      </c>
      <c r="C4567">
        <f>Profile!AP5334</f>
        <v>0</v>
      </c>
      <c r="D4567" t="str">
        <f>IF(Profile!C5332="Profile",IF(Profile!A5334="ResourceRequirement","OK","XXX"),"XXX")</f>
        <v>XXX</v>
      </c>
    </row>
    <row r="4568" spans="1:4" x14ac:dyDescent="0.45">
      <c r="A4568">
        <f>ROW()</f>
        <v>4568</v>
      </c>
      <c r="B4568">
        <f>Profile!A5333</f>
        <v>0</v>
      </c>
      <c r="C4568">
        <f>Profile!AP5335</f>
        <v>0</v>
      </c>
      <c r="D4568" t="str">
        <f>IF(Profile!C5333="Profile",IF(Profile!A5335="ResourceRequirement","OK","XXX"),"XXX")</f>
        <v>XXX</v>
      </c>
    </row>
    <row r="4569" spans="1:4" x14ac:dyDescent="0.45">
      <c r="A4569">
        <f>ROW()</f>
        <v>4569</v>
      </c>
      <c r="B4569">
        <f>Profile!A5334</f>
        <v>0</v>
      </c>
      <c r="C4569">
        <f>Profile!AP5336</f>
        <v>0</v>
      </c>
      <c r="D4569" t="str">
        <f>IF(Profile!C5334="Profile",IF(Profile!A5336="ResourceRequirement","OK","XXX"),"XXX")</f>
        <v>XXX</v>
      </c>
    </row>
    <row r="4570" spans="1:4" x14ac:dyDescent="0.45">
      <c r="A4570">
        <f>ROW()</f>
        <v>4570</v>
      </c>
      <c r="B4570">
        <f>Profile!A5335</f>
        <v>0</v>
      </c>
      <c r="C4570">
        <f>Profile!AP5337</f>
        <v>0</v>
      </c>
      <c r="D4570" t="str">
        <f>IF(Profile!C5335="Profile",IF(Profile!A5337="ResourceRequirement","OK","XXX"),"XXX")</f>
        <v>XXX</v>
      </c>
    </row>
    <row r="4571" spans="1:4" x14ac:dyDescent="0.45">
      <c r="A4571">
        <f>ROW()</f>
        <v>4571</v>
      </c>
      <c r="B4571">
        <f>Profile!A5336</f>
        <v>0</v>
      </c>
      <c r="C4571">
        <f>Profile!AP5338</f>
        <v>0</v>
      </c>
      <c r="D4571" t="str">
        <f>IF(Profile!C5336="Profile",IF(Profile!A5338="ResourceRequirement","OK","XXX"),"XXX")</f>
        <v>XXX</v>
      </c>
    </row>
    <row r="4572" spans="1:4" x14ac:dyDescent="0.45">
      <c r="A4572">
        <f>ROW()</f>
        <v>4572</v>
      </c>
      <c r="B4572">
        <f>Profile!A5337</f>
        <v>0</v>
      </c>
      <c r="C4572">
        <f>Profile!AP5339</f>
        <v>0</v>
      </c>
      <c r="D4572" t="str">
        <f>IF(Profile!C5337="Profile",IF(Profile!A5339="ResourceRequirement","OK","XXX"),"XXX")</f>
        <v>XXX</v>
      </c>
    </row>
    <row r="4573" spans="1:4" x14ac:dyDescent="0.45">
      <c r="A4573">
        <f>ROW()</f>
        <v>4573</v>
      </c>
      <c r="B4573">
        <f>Profile!A5338</f>
        <v>0</v>
      </c>
      <c r="C4573">
        <f>Profile!AP5340</f>
        <v>0</v>
      </c>
      <c r="D4573" t="str">
        <f>IF(Profile!C5338="Profile",IF(Profile!A5340="ResourceRequirement","OK","XXX"),"XXX")</f>
        <v>XXX</v>
      </c>
    </row>
    <row r="4574" spans="1:4" x14ac:dyDescent="0.45">
      <c r="A4574">
        <f>ROW()</f>
        <v>4574</v>
      </c>
      <c r="B4574">
        <f>Profile!A5339</f>
        <v>0</v>
      </c>
      <c r="C4574">
        <f>Profile!AP5341</f>
        <v>0</v>
      </c>
      <c r="D4574" t="str">
        <f>IF(Profile!C5339="Profile",IF(Profile!A5341="ResourceRequirement","OK","XXX"),"XXX")</f>
        <v>XXX</v>
      </c>
    </row>
    <row r="4575" spans="1:4" x14ac:dyDescent="0.45">
      <c r="A4575">
        <f>ROW()</f>
        <v>4575</v>
      </c>
      <c r="B4575">
        <f>Profile!A5340</f>
        <v>0</v>
      </c>
      <c r="C4575">
        <f>Profile!AP5342</f>
        <v>0</v>
      </c>
      <c r="D4575" t="str">
        <f>IF(Profile!C5340="Profile",IF(Profile!A5342="ResourceRequirement","OK","XXX"),"XXX")</f>
        <v>XXX</v>
      </c>
    </row>
    <row r="4576" spans="1:4" x14ac:dyDescent="0.45">
      <c r="A4576">
        <f>ROW()</f>
        <v>4576</v>
      </c>
      <c r="B4576">
        <f>Profile!A5341</f>
        <v>0</v>
      </c>
      <c r="C4576">
        <f>Profile!AP5343</f>
        <v>0</v>
      </c>
      <c r="D4576" t="str">
        <f>IF(Profile!C5341="Profile",IF(Profile!A5343="ResourceRequirement","OK","XXX"),"XXX")</f>
        <v>XXX</v>
      </c>
    </row>
    <row r="4577" spans="1:4" x14ac:dyDescent="0.45">
      <c r="A4577">
        <f>ROW()</f>
        <v>4577</v>
      </c>
      <c r="B4577">
        <f>Profile!A5342</f>
        <v>0</v>
      </c>
      <c r="C4577">
        <f>Profile!AP5344</f>
        <v>0</v>
      </c>
      <c r="D4577" t="str">
        <f>IF(Profile!C5342="Profile",IF(Profile!A5344="ResourceRequirement","OK","XXX"),"XXX")</f>
        <v>XXX</v>
      </c>
    </row>
    <row r="4578" spans="1:4" x14ac:dyDescent="0.45">
      <c r="A4578">
        <f>ROW()</f>
        <v>4578</v>
      </c>
      <c r="B4578">
        <f>Profile!A5343</f>
        <v>0</v>
      </c>
      <c r="C4578">
        <f>Profile!AP5345</f>
        <v>0</v>
      </c>
      <c r="D4578" t="str">
        <f>IF(Profile!C5343="Profile",IF(Profile!A5345="ResourceRequirement","OK","XXX"),"XXX")</f>
        <v>XXX</v>
      </c>
    </row>
    <row r="4579" spans="1:4" x14ac:dyDescent="0.45">
      <c r="A4579">
        <f>ROW()</f>
        <v>4579</v>
      </c>
      <c r="B4579">
        <f>Profile!A5344</f>
        <v>0</v>
      </c>
      <c r="C4579">
        <f>Profile!AP5346</f>
        <v>0</v>
      </c>
      <c r="D4579" t="str">
        <f>IF(Profile!C5344="Profile",IF(Profile!A5346="ResourceRequirement","OK","XXX"),"XXX")</f>
        <v>XXX</v>
      </c>
    </row>
    <row r="4580" spans="1:4" x14ac:dyDescent="0.45">
      <c r="A4580">
        <f>ROW()</f>
        <v>4580</v>
      </c>
      <c r="B4580">
        <f>Profile!A5345</f>
        <v>0</v>
      </c>
      <c r="C4580">
        <f>Profile!AP5347</f>
        <v>0</v>
      </c>
      <c r="D4580" t="str">
        <f>IF(Profile!C5345="Profile",IF(Profile!A5347="ResourceRequirement","OK","XXX"),"XXX")</f>
        <v>XXX</v>
      </c>
    </row>
    <row r="4581" spans="1:4" x14ac:dyDescent="0.45">
      <c r="A4581">
        <f>ROW()</f>
        <v>4581</v>
      </c>
      <c r="B4581">
        <f>Profile!A5346</f>
        <v>0</v>
      </c>
      <c r="C4581">
        <f>Profile!AP5348</f>
        <v>0</v>
      </c>
      <c r="D4581" t="str">
        <f>IF(Profile!C5346="Profile",IF(Profile!A5348="ResourceRequirement","OK","XXX"),"XXX")</f>
        <v>XXX</v>
      </c>
    </row>
    <row r="4582" spans="1:4" x14ac:dyDescent="0.45">
      <c r="A4582">
        <f>ROW()</f>
        <v>4582</v>
      </c>
      <c r="B4582">
        <f>Profile!A5347</f>
        <v>0</v>
      </c>
      <c r="C4582">
        <f>Profile!AP5349</f>
        <v>0</v>
      </c>
      <c r="D4582" t="str">
        <f>IF(Profile!C5347="Profile",IF(Profile!A5349="ResourceRequirement","OK","XXX"),"XXX")</f>
        <v>XXX</v>
      </c>
    </row>
    <row r="4583" spans="1:4" x14ac:dyDescent="0.45">
      <c r="A4583">
        <f>ROW()</f>
        <v>4583</v>
      </c>
      <c r="B4583">
        <f>Profile!A5348</f>
        <v>0</v>
      </c>
      <c r="C4583">
        <f>Profile!AP5350</f>
        <v>0</v>
      </c>
      <c r="D4583" t="str">
        <f>IF(Profile!C5348="Profile",IF(Profile!A5350="ResourceRequirement","OK","XXX"),"XXX")</f>
        <v>XXX</v>
      </c>
    </row>
    <row r="4584" spans="1:4" x14ac:dyDescent="0.45">
      <c r="A4584">
        <f>ROW()</f>
        <v>4584</v>
      </c>
      <c r="B4584">
        <f>Profile!A5349</f>
        <v>0</v>
      </c>
      <c r="C4584">
        <f>Profile!AP5351</f>
        <v>0</v>
      </c>
      <c r="D4584" t="str">
        <f>IF(Profile!C5349="Profile",IF(Profile!A5351="ResourceRequirement","OK","XXX"),"XXX")</f>
        <v>XXX</v>
      </c>
    </row>
    <row r="4585" spans="1:4" x14ac:dyDescent="0.45">
      <c r="A4585">
        <f>ROW()</f>
        <v>4585</v>
      </c>
      <c r="B4585">
        <f>Profile!A5350</f>
        <v>0</v>
      </c>
      <c r="C4585">
        <f>Profile!AP5352</f>
        <v>0</v>
      </c>
      <c r="D4585" t="str">
        <f>IF(Profile!C5350="Profile",IF(Profile!A5352="ResourceRequirement","OK","XXX"),"XXX")</f>
        <v>XXX</v>
      </c>
    </row>
    <row r="4586" spans="1:4" x14ac:dyDescent="0.45">
      <c r="A4586">
        <f>ROW()</f>
        <v>4586</v>
      </c>
      <c r="B4586">
        <f>Profile!A5351</f>
        <v>0</v>
      </c>
      <c r="C4586">
        <f>Profile!AP5353</f>
        <v>0</v>
      </c>
      <c r="D4586" t="str">
        <f>IF(Profile!C5351="Profile",IF(Profile!A5353="ResourceRequirement","OK","XXX"),"XXX")</f>
        <v>XXX</v>
      </c>
    </row>
    <row r="4587" spans="1:4" x14ac:dyDescent="0.45">
      <c r="A4587">
        <f>ROW()</f>
        <v>4587</v>
      </c>
      <c r="B4587">
        <f>Profile!A5352</f>
        <v>0</v>
      </c>
      <c r="C4587">
        <f>Profile!AP5354</f>
        <v>0</v>
      </c>
      <c r="D4587" t="str">
        <f>IF(Profile!C5352="Profile",IF(Profile!A5354="ResourceRequirement","OK","XXX"),"XXX")</f>
        <v>XXX</v>
      </c>
    </row>
    <row r="4588" spans="1:4" x14ac:dyDescent="0.45">
      <c r="A4588">
        <f>ROW()</f>
        <v>4588</v>
      </c>
      <c r="B4588">
        <f>Profile!A5353</f>
        <v>0</v>
      </c>
      <c r="C4588">
        <f>Profile!AP5355</f>
        <v>0</v>
      </c>
      <c r="D4588" t="str">
        <f>IF(Profile!C5353="Profile",IF(Profile!A5355="ResourceRequirement","OK","XXX"),"XXX")</f>
        <v>XXX</v>
      </c>
    </row>
    <row r="4589" spans="1:4" x14ac:dyDescent="0.45">
      <c r="A4589">
        <f>ROW()</f>
        <v>4589</v>
      </c>
      <c r="B4589">
        <f>Profile!A5354</f>
        <v>0</v>
      </c>
      <c r="C4589">
        <f>Profile!AP5356</f>
        <v>0</v>
      </c>
      <c r="D4589" t="str">
        <f>IF(Profile!C5354="Profile",IF(Profile!A5356="ResourceRequirement","OK","XXX"),"XXX")</f>
        <v>XXX</v>
      </c>
    </row>
    <row r="4590" spans="1:4" x14ac:dyDescent="0.45">
      <c r="A4590">
        <f>ROW()</f>
        <v>4590</v>
      </c>
      <c r="B4590">
        <f>Profile!A5355</f>
        <v>0</v>
      </c>
      <c r="C4590">
        <f>Profile!AP5357</f>
        <v>0</v>
      </c>
      <c r="D4590" t="str">
        <f>IF(Profile!C5355="Profile",IF(Profile!A5357="ResourceRequirement","OK","XXX"),"XXX")</f>
        <v>XXX</v>
      </c>
    </row>
    <row r="4591" spans="1:4" x14ac:dyDescent="0.45">
      <c r="A4591">
        <f>ROW()</f>
        <v>4591</v>
      </c>
      <c r="B4591">
        <f>Profile!A5356</f>
        <v>0</v>
      </c>
      <c r="C4591">
        <f>Profile!AP5358</f>
        <v>0</v>
      </c>
      <c r="D4591" t="str">
        <f>IF(Profile!C5356="Profile",IF(Profile!A5358="ResourceRequirement","OK","XXX"),"XXX")</f>
        <v>XXX</v>
      </c>
    </row>
    <row r="4592" spans="1:4" x14ac:dyDescent="0.45">
      <c r="A4592">
        <f>ROW()</f>
        <v>4592</v>
      </c>
      <c r="B4592">
        <f>Profile!A5357</f>
        <v>0</v>
      </c>
      <c r="C4592">
        <f>Profile!AP5359</f>
        <v>0</v>
      </c>
      <c r="D4592" t="str">
        <f>IF(Profile!C5357="Profile",IF(Profile!A5359="ResourceRequirement","OK","XXX"),"XXX")</f>
        <v>XXX</v>
      </c>
    </row>
    <row r="4593" spans="1:4" x14ac:dyDescent="0.45">
      <c r="A4593">
        <f>ROW()</f>
        <v>4593</v>
      </c>
      <c r="B4593">
        <f>Profile!A5358</f>
        <v>0</v>
      </c>
      <c r="C4593">
        <f>Profile!AP5360</f>
        <v>0</v>
      </c>
      <c r="D4593" t="str">
        <f>IF(Profile!C5358="Profile",IF(Profile!A5360="ResourceRequirement","OK","XXX"),"XXX")</f>
        <v>XXX</v>
      </c>
    </row>
    <row r="4594" spans="1:4" x14ac:dyDescent="0.45">
      <c r="A4594">
        <f>ROW()</f>
        <v>4594</v>
      </c>
      <c r="B4594">
        <f>Profile!A5359</f>
        <v>0</v>
      </c>
      <c r="C4594">
        <f>Profile!AP5361</f>
        <v>0</v>
      </c>
      <c r="D4594" t="str">
        <f>IF(Profile!C5359="Profile",IF(Profile!A5361="ResourceRequirement","OK","XXX"),"XXX")</f>
        <v>XXX</v>
      </c>
    </row>
    <row r="4595" spans="1:4" x14ac:dyDescent="0.45">
      <c r="A4595">
        <f>ROW()</f>
        <v>4595</v>
      </c>
      <c r="B4595">
        <f>Profile!A5360</f>
        <v>0</v>
      </c>
      <c r="C4595">
        <f>Profile!AP5362</f>
        <v>0</v>
      </c>
      <c r="D4595" t="str">
        <f>IF(Profile!C5360="Profile",IF(Profile!A5362="ResourceRequirement","OK","XXX"),"XXX")</f>
        <v>XXX</v>
      </c>
    </row>
    <row r="4596" spans="1:4" x14ac:dyDescent="0.45">
      <c r="A4596">
        <f>ROW()</f>
        <v>4596</v>
      </c>
      <c r="B4596">
        <f>Profile!A5361</f>
        <v>0</v>
      </c>
      <c r="C4596">
        <f>Profile!AP5363</f>
        <v>0</v>
      </c>
      <c r="D4596" t="str">
        <f>IF(Profile!C5361="Profile",IF(Profile!A5363="ResourceRequirement","OK","XXX"),"XXX")</f>
        <v>XXX</v>
      </c>
    </row>
    <row r="4597" spans="1:4" x14ac:dyDescent="0.45">
      <c r="A4597">
        <f>ROW()</f>
        <v>4597</v>
      </c>
      <c r="B4597">
        <f>Profile!A5362</f>
        <v>0</v>
      </c>
      <c r="C4597">
        <f>Profile!AP5364</f>
        <v>0</v>
      </c>
      <c r="D4597" t="str">
        <f>IF(Profile!C5362="Profile",IF(Profile!A5364="ResourceRequirement","OK","XXX"),"XXX")</f>
        <v>XXX</v>
      </c>
    </row>
    <row r="4598" spans="1:4" x14ac:dyDescent="0.45">
      <c r="A4598">
        <f>ROW()</f>
        <v>4598</v>
      </c>
      <c r="B4598">
        <f>Profile!A5363</f>
        <v>0</v>
      </c>
      <c r="C4598">
        <f>Profile!AP5365</f>
        <v>0</v>
      </c>
      <c r="D4598" t="str">
        <f>IF(Profile!C5363="Profile",IF(Profile!A5365="ResourceRequirement","OK","XXX"),"XXX")</f>
        <v>XXX</v>
      </c>
    </row>
    <row r="4599" spans="1:4" x14ac:dyDescent="0.45">
      <c r="A4599">
        <f>ROW()</f>
        <v>4599</v>
      </c>
      <c r="B4599">
        <f>Profile!A5364</f>
        <v>0</v>
      </c>
      <c r="C4599">
        <f>Profile!AP5366</f>
        <v>0</v>
      </c>
      <c r="D4599" t="str">
        <f>IF(Profile!C5364="Profile",IF(Profile!A5366="ResourceRequirement","OK","XXX"),"XXX")</f>
        <v>XXX</v>
      </c>
    </row>
    <row r="4600" spans="1:4" x14ac:dyDescent="0.45">
      <c r="A4600">
        <f>ROW()</f>
        <v>4600</v>
      </c>
      <c r="B4600">
        <f>Profile!A5365</f>
        <v>0</v>
      </c>
      <c r="C4600">
        <f>Profile!AP5367</f>
        <v>0</v>
      </c>
      <c r="D4600" t="str">
        <f>IF(Profile!C5365="Profile",IF(Profile!A5367="ResourceRequirement","OK","XXX"),"XXX")</f>
        <v>XXX</v>
      </c>
    </row>
    <row r="4601" spans="1:4" x14ac:dyDescent="0.45">
      <c r="A4601">
        <f>ROW()</f>
        <v>4601</v>
      </c>
      <c r="B4601">
        <f>Profile!A5366</f>
        <v>0</v>
      </c>
      <c r="C4601">
        <f>Profile!AP5368</f>
        <v>0</v>
      </c>
      <c r="D4601" t="str">
        <f>IF(Profile!C5366="Profile",IF(Profile!A5368="ResourceRequirement","OK","XXX"),"XXX")</f>
        <v>XXX</v>
      </c>
    </row>
    <row r="4602" spans="1:4" x14ac:dyDescent="0.45">
      <c r="A4602">
        <f>ROW()</f>
        <v>4602</v>
      </c>
      <c r="B4602">
        <f>Profile!A5367</f>
        <v>0</v>
      </c>
      <c r="C4602">
        <f>Profile!AP5369</f>
        <v>0</v>
      </c>
      <c r="D4602" t="str">
        <f>IF(Profile!C5367="Profile",IF(Profile!A5369="ResourceRequirement","OK","XXX"),"XXX")</f>
        <v>XXX</v>
      </c>
    </row>
    <row r="4603" spans="1:4" x14ac:dyDescent="0.45">
      <c r="A4603">
        <f>ROW()</f>
        <v>4603</v>
      </c>
      <c r="B4603">
        <f>Profile!A5368</f>
        <v>0</v>
      </c>
      <c r="C4603">
        <f>Profile!AP5370</f>
        <v>0</v>
      </c>
      <c r="D4603" t="str">
        <f>IF(Profile!C5368="Profile",IF(Profile!A5370="ResourceRequirement","OK","XXX"),"XXX")</f>
        <v>XXX</v>
      </c>
    </row>
    <row r="4604" spans="1:4" x14ac:dyDescent="0.45">
      <c r="A4604">
        <f>ROW()</f>
        <v>4604</v>
      </c>
      <c r="B4604">
        <f>Profile!A5369</f>
        <v>0</v>
      </c>
      <c r="C4604">
        <f>Profile!AP5371</f>
        <v>0</v>
      </c>
      <c r="D4604" t="str">
        <f>IF(Profile!C5369="Profile",IF(Profile!A5371="ResourceRequirement","OK","XXX"),"XXX")</f>
        <v>XXX</v>
      </c>
    </row>
    <row r="4605" spans="1:4" x14ac:dyDescent="0.45">
      <c r="A4605">
        <f>ROW()</f>
        <v>4605</v>
      </c>
      <c r="B4605">
        <f>Profile!A5370</f>
        <v>0</v>
      </c>
      <c r="C4605">
        <f>Profile!AP5372</f>
        <v>0</v>
      </c>
      <c r="D4605" t="str">
        <f>IF(Profile!C5370="Profile",IF(Profile!A5372="ResourceRequirement","OK","XXX"),"XXX")</f>
        <v>XXX</v>
      </c>
    </row>
    <row r="4606" spans="1:4" x14ac:dyDescent="0.45">
      <c r="A4606">
        <f>ROW()</f>
        <v>4606</v>
      </c>
      <c r="B4606">
        <f>Profile!A5371</f>
        <v>0</v>
      </c>
      <c r="C4606">
        <f>Profile!AP5373</f>
        <v>0</v>
      </c>
      <c r="D4606" t="str">
        <f>IF(Profile!C5371="Profile",IF(Profile!A5373="ResourceRequirement","OK","XXX"),"XXX")</f>
        <v>XXX</v>
      </c>
    </row>
    <row r="4607" spans="1:4" x14ac:dyDescent="0.45">
      <c r="A4607">
        <f>ROW()</f>
        <v>4607</v>
      </c>
      <c r="B4607">
        <f>Profile!A5372</f>
        <v>0</v>
      </c>
      <c r="C4607">
        <f>Profile!AP5374</f>
        <v>0</v>
      </c>
      <c r="D4607" t="str">
        <f>IF(Profile!C5372="Profile",IF(Profile!A5374="ResourceRequirement","OK","XXX"),"XXX")</f>
        <v>XXX</v>
      </c>
    </row>
    <row r="4608" spans="1:4" x14ac:dyDescent="0.45">
      <c r="A4608">
        <f>ROW()</f>
        <v>4608</v>
      </c>
      <c r="B4608">
        <f>Profile!A5373</f>
        <v>0</v>
      </c>
      <c r="C4608">
        <f>Profile!AP5375</f>
        <v>0</v>
      </c>
      <c r="D4608" t="str">
        <f>IF(Profile!C5373="Profile",IF(Profile!A5375="ResourceRequirement","OK","XXX"),"XXX")</f>
        <v>XXX</v>
      </c>
    </row>
    <row r="4609" spans="1:4" x14ac:dyDescent="0.45">
      <c r="A4609">
        <f>ROW()</f>
        <v>4609</v>
      </c>
      <c r="B4609">
        <f>Profile!A5374</f>
        <v>0</v>
      </c>
      <c r="C4609">
        <f>Profile!AP5376</f>
        <v>0</v>
      </c>
      <c r="D4609" t="str">
        <f>IF(Profile!C5374="Profile",IF(Profile!A5376="ResourceRequirement","OK","XXX"),"XXX")</f>
        <v>XXX</v>
      </c>
    </row>
    <row r="4610" spans="1:4" x14ac:dyDescent="0.45">
      <c r="A4610">
        <f>ROW()</f>
        <v>4610</v>
      </c>
      <c r="B4610">
        <f>Profile!A5375</f>
        <v>0</v>
      </c>
      <c r="C4610">
        <f>Profile!AP5377</f>
        <v>0</v>
      </c>
      <c r="D4610" t="str">
        <f>IF(Profile!C5375="Profile",IF(Profile!A5377="ResourceRequirement","OK","XXX"),"XXX")</f>
        <v>XXX</v>
      </c>
    </row>
    <row r="4611" spans="1:4" x14ac:dyDescent="0.45">
      <c r="A4611">
        <f>ROW()</f>
        <v>4611</v>
      </c>
      <c r="B4611">
        <f>Profile!A5376</f>
        <v>0</v>
      </c>
      <c r="C4611">
        <f>Profile!AP5378</f>
        <v>0</v>
      </c>
      <c r="D4611" t="str">
        <f>IF(Profile!C5376="Profile",IF(Profile!A5378="ResourceRequirement","OK","XXX"),"XXX")</f>
        <v>XXX</v>
      </c>
    </row>
    <row r="4612" spans="1:4" x14ac:dyDescent="0.45">
      <c r="A4612">
        <f>ROW()</f>
        <v>4612</v>
      </c>
      <c r="B4612">
        <f>Profile!A5377</f>
        <v>0</v>
      </c>
      <c r="C4612">
        <f>Profile!AP5379</f>
        <v>0</v>
      </c>
      <c r="D4612" t="str">
        <f>IF(Profile!C5377="Profile",IF(Profile!A5379="ResourceRequirement","OK","XXX"),"XXX")</f>
        <v>XXX</v>
      </c>
    </row>
    <row r="4613" spans="1:4" x14ac:dyDescent="0.45">
      <c r="A4613">
        <f>ROW()</f>
        <v>4613</v>
      </c>
      <c r="B4613">
        <f>Profile!A5378</f>
        <v>0</v>
      </c>
      <c r="C4613">
        <f>Profile!AP5380</f>
        <v>0</v>
      </c>
      <c r="D4613" t="str">
        <f>IF(Profile!C5378="Profile",IF(Profile!A5380="ResourceRequirement","OK","XXX"),"XXX")</f>
        <v>XXX</v>
      </c>
    </row>
    <row r="4614" spans="1:4" x14ac:dyDescent="0.45">
      <c r="A4614">
        <f>ROW()</f>
        <v>4614</v>
      </c>
      <c r="B4614">
        <f>Profile!A5379</f>
        <v>0</v>
      </c>
      <c r="C4614">
        <f>Profile!AP5381</f>
        <v>0</v>
      </c>
      <c r="D4614" t="str">
        <f>IF(Profile!C5379="Profile",IF(Profile!A5381="ResourceRequirement","OK","XXX"),"XXX")</f>
        <v>XXX</v>
      </c>
    </row>
    <row r="4615" spans="1:4" x14ac:dyDescent="0.45">
      <c r="A4615">
        <f>ROW()</f>
        <v>4615</v>
      </c>
      <c r="B4615">
        <f>Profile!A5380</f>
        <v>0</v>
      </c>
      <c r="C4615">
        <f>Profile!AP5382</f>
        <v>0</v>
      </c>
      <c r="D4615" t="str">
        <f>IF(Profile!C5380="Profile",IF(Profile!A5382="ResourceRequirement","OK","XXX"),"XXX")</f>
        <v>XXX</v>
      </c>
    </row>
    <row r="4616" spans="1:4" x14ac:dyDescent="0.45">
      <c r="A4616">
        <f>ROW()</f>
        <v>4616</v>
      </c>
      <c r="B4616">
        <f>Profile!A5381</f>
        <v>0</v>
      </c>
      <c r="C4616">
        <f>Profile!AP5383</f>
        <v>0</v>
      </c>
      <c r="D4616" t="str">
        <f>IF(Profile!C5381="Profile",IF(Profile!A5383="ResourceRequirement","OK","XXX"),"XXX")</f>
        <v>XXX</v>
      </c>
    </row>
    <row r="4617" spans="1:4" x14ac:dyDescent="0.45">
      <c r="A4617">
        <f>ROW()</f>
        <v>4617</v>
      </c>
      <c r="B4617">
        <f>Profile!A5382</f>
        <v>0</v>
      </c>
      <c r="C4617">
        <f>Profile!AP5384</f>
        <v>0</v>
      </c>
      <c r="D4617" t="str">
        <f>IF(Profile!C5382="Profile",IF(Profile!A5384="ResourceRequirement","OK","XXX"),"XXX")</f>
        <v>XXX</v>
      </c>
    </row>
    <row r="4618" spans="1:4" x14ac:dyDescent="0.45">
      <c r="A4618">
        <f>ROW()</f>
        <v>4618</v>
      </c>
      <c r="B4618">
        <f>Profile!A5383</f>
        <v>0</v>
      </c>
      <c r="C4618">
        <f>Profile!AP5385</f>
        <v>0</v>
      </c>
      <c r="D4618" t="str">
        <f>IF(Profile!C5383="Profile",IF(Profile!A5385="ResourceRequirement","OK","XXX"),"XXX")</f>
        <v>XXX</v>
      </c>
    </row>
    <row r="4619" spans="1:4" x14ac:dyDescent="0.45">
      <c r="A4619">
        <f>ROW()</f>
        <v>4619</v>
      </c>
      <c r="B4619">
        <f>Profile!A5384</f>
        <v>0</v>
      </c>
      <c r="C4619">
        <f>Profile!AP5386</f>
        <v>0</v>
      </c>
      <c r="D4619" t="str">
        <f>IF(Profile!C5384="Profile",IF(Profile!A5386="ResourceRequirement","OK","XXX"),"XXX")</f>
        <v>XXX</v>
      </c>
    </row>
    <row r="4620" spans="1:4" x14ac:dyDescent="0.45">
      <c r="A4620">
        <f>ROW()</f>
        <v>4620</v>
      </c>
      <c r="B4620">
        <f>Profile!A5385</f>
        <v>0</v>
      </c>
      <c r="C4620">
        <f>Profile!AP5387</f>
        <v>0</v>
      </c>
      <c r="D4620" t="str">
        <f>IF(Profile!C5385="Profile",IF(Profile!A5387="ResourceRequirement","OK","XXX"),"XXX")</f>
        <v>XXX</v>
      </c>
    </row>
    <row r="4621" spans="1:4" x14ac:dyDescent="0.45">
      <c r="A4621">
        <f>ROW()</f>
        <v>4621</v>
      </c>
      <c r="B4621">
        <f>Profile!A5386</f>
        <v>0</v>
      </c>
      <c r="C4621">
        <f>Profile!AP5388</f>
        <v>0</v>
      </c>
      <c r="D4621" t="str">
        <f>IF(Profile!C5386="Profile",IF(Profile!A5388="ResourceRequirement","OK","XXX"),"XXX")</f>
        <v>XXX</v>
      </c>
    </row>
    <row r="4622" spans="1:4" x14ac:dyDescent="0.45">
      <c r="A4622">
        <f>ROW()</f>
        <v>4622</v>
      </c>
      <c r="B4622">
        <f>Profile!A5387</f>
        <v>0</v>
      </c>
      <c r="C4622">
        <f>Profile!AP5389</f>
        <v>0</v>
      </c>
      <c r="D4622" t="str">
        <f>IF(Profile!C5387="Profile",IF(Profile!A5389="ResourceRequirement","OK","XXX"),"XXX")</f>
        <v>XXX</v>
      </c>
    </row>
    <row r="4623" spans="1:4" x14ac:dyDescent="0.45">
      <c r="A4623">
        <f>ROW()</f>
        <v>4623</v>
      </c>
      <c r="B4623">
        <f>Profile!A5388</f>
        <v>0</v>
      </c>
      <c r="C4623">
        <f>Profile!AP5390</f>
        <v>0</v>
      </c>
      <c r="D4623" t="str">
        <f>IF(Profile!C5388="Profile",IF(Profile!A5390="ResourceRequirement","OK","XXX"),"XXX")</f>
        <v>XXX</v>
      </c>
    </row>
    <row r="4624" spans="1:4" x14ac:dyDescent="0.45">
      <c r="A4624">
        <f>ROW()</f>
        <v>4624</v>
      </c>
      <c r="B4624">
        <f>Profile!A5389</f>
        <v>0</v>
      </c>
      <c r="C4624">
        <f>Profile!AP5391</f>
        <v>0</v>
      </c>
      <c r="D4624" t="str">
        <f>IF(Profile!C5389="Profile",IF(Profile!A5391="ResourceRequirement","OK","XXX"),"XXX")</f>
        <v>XXX</v>
      </c>
    </row>
    <row r="4625" spans="1:4" x14ac:dyDescent="0.45">
      <c r="A4625">
        <f>ROW()</f>
        <v>4625</v>
      </c>
      <c r="B4625">
        <f>Profile!A5390</f>
        <v>0</v>
      </c>
      <c r="C4625">
        <f>Profile!AP5392</f>
        <v>0</v>
      </c>
      <c r="D4625" t="str">
        <f>IF(Profile!C5390="Profile",IF(Profile!A5392="ResourceRequirement","OK","XXX"),"XXX")</f>
        <v>XXX</v>
      </c>
    </row>
    <row r="4626" spans="1:4" x14ac:dyDescent="0.45">
      <c r="A4626">
        <f>ROW()</f>
        <v>4626</v>
      </c>
      <c r="B4626">
        <f>Profile!A5391</f>
        <v>0</v>
      </c>
      <c r="C4626">
        <f>Profile!AP5393</f>
        <v>0</v>
      </c>
      <c r="D4626" t="str">
        <f>IF(Profile!C5391="Profile",IF(Profile!A5393="ResourceRequirement","OK","XXX"),"XXX")</f>
        <v>XXX</v>
      </c>
    </row>
    <row r="4627" spans="1:4" x14ac:dyDescent="0.45">
      <c r="A4627">
        <f>ROW()</f>
        <v>4627</v>
      </c>
      <c r="B4627">
        <f>Profile!A5392</f>
        <v>0</v>
      </c>
      <c r="C4627">
        <f>Profile!AP5394</f>
        <v>0</v>
      </c>
      <c r="D4627" t="str">
        <f>IF(Profile!C5392="Profile",IF(Profile!A5394="ResourceRequirement","OK","XXX"),"XXX")</f>
        <v>XXX</v>
      </c>
    </row>
    <row r="4628" spans="1:4" x14ac:dyDescent="0.45">
      <c r="A4628">
        <f>ROW()</f>
        <v>4628</v>
      </c>
      <c r="B4628">
        <f>Profile!A5393</f>
        <v>0</v>
      </c>
      <c r="C4628">
        <f>Profile!AP5395</f>
        <v>0</v>
      </c>
      <c r="D4628" t="str">
        <f>IF(Profile!C5393="Profile",IF(Profile!A5395="ResourceRequirement","OK","XXX"),"XXX")</f>
        <v>XXX</v>
      </c>
    </row>
    <row r="4629" spans="1:4" x14ac:dyDescent="0.45">
      <c r="A4629">
        <f>ROW()</f>
        <v>4629</v>
      </c>
      <c r="B4629">
        <f>Profile!A5394</f>
        <v>0</v>
      </c>
      <c r="C4629">
        <f>Profile!AP5396</f>
        <v>0</v>
      </c>
      <c r="D4629" t="str">
        <f>IF(Profile!C5394="Profile",IF(Profile!A5396="ResourceRequirement","OK","XXX"),"XXX")</f>
        <v>XXX</v>
      </c>
    </row>
    <row r="4630" spans="1:4" x14ac:dyDescent="0.45">
      <c r="A4630">
        <f>ROW()</f>
        <v>4630</v>
      </c>
      <c r="B4630">
        <f>Profile!A5395</f>
        <v>0</v>
      </c>
      <c r="C4630">
        <f>Profile!AP5397</f>
        <v>0</v>
      </c>
      <c r="D4630" t="str">
        <f>IF(Profile!C5395="Profile",IF(Profile!A5397="ResourceRequirement","OK","XXX"),"XXX")</f>
        <v>XXX</v>
      </c>
    </row>
    <row r="4631" spans="1:4" x14ac:dyDescent="0.45">
      <c r="A4631">
        <f>ROW()</f>
        <v>4631</v>
      </c>
      <c r="B4631">
        <f>Profile!A5396</f>
        <v>0</v>
      </c>
      <c r="C4631">
        <f>Profile!AP5398</f>
        <v>0</v>
      </c>
      <c r="D4631" t="str">
        <f>IF(Profile!C5396="Profile",IF(Profile!A5398="ResourceRequirement","OK","XXX"),"XXX")</f>
        <v>XXX</v>
      </c>
    </row>
    <row r="4632" spans="1:4" x14ac:dyDescent="0.45">
      <c r="A4632">
        <f>ROW()</f>
        <v>4632</v>
      </c>
      <c r="B4632">
        <f>Profile!A5397</f>
        <v>0</v>
      </c>
      <c r="C4632">
        <f>Profile!AP5399</f>
        <v>0</v>
      </c>
      <c r="D4632" t="str">
        <f>IF(Profile!C5397="Profile",IF(Profile!A5399="ResourceRequirement","OK","XXX"),"XXX")</f>
        <v>XXX</v>
      </c>
    </row>
    <row r="4633" spans="1:4" x14ac:dyDescent="0.45">
      <c r="A4633">
        <f>ROW()</f>
        <v>4633</v>
      </c>
      <c r="B4633">
        <f>Profile!A5398</f>
        <v>0</v>
      </c>
      <c r="C4633">
        <f>Profile!AP5400</f>
        <v>0</v>
      </c>
      <c r="D4633" t="str">
        <f>IF(Profile!C5398="Profile",IF(Profile!A5400="ResourceRequirement","OK","XXX"),"XXX")</f>
        <v>XXX</v>
      </c>
    </row>
    <row r="4634" spans="1:4" x14ac:dyDescent="0.45">
      <c r="A4634">
        <f>ROW()</f>
        <v>4634</v>
      </c>
      <c r="B4634">
        <f>Profile!A5399</f>
        <v>0</v>
      </c>
      <c r="C4634">
        <f>Profile!AP5401</f>
        <v>0</v>
      </c>
      <c r="D4634" t="str">
        <f>IF(Profile!C5399="Profile",IF(Profile!A5401="ResourceRequirement","OK","XXX"),"XXX")</f>
        <v>XXX</v>
      </c>
    </row>
    <row r="4635" spans="1:4" x14ac:dyDescent="0.45">
      <c r="A4635">
        <f>ROW()</f>
        <v>4635</v>
      </c>
      <c r="B4635">
        <f>Profile!A5400</f>
        <v>0</v>
      </c>
      <c r="C4635">
        <f>Profile!AP5402</f>
        <v>0</v>
      </c>
      <c r="D4635" t="str">
        <f>IF(Profile!C5400="Profile",IF(Profile!A5402="ResourceRequirement","OK","XXX"),"XXX")</f>
        <v>XXX</v>
      </c>
    </row>
    <row r="4636" spans="1:4" x14ac:dyDescent="0.45">
      <c r="A4636">
        <f>ROW()</f>
        <v>4636</v>
      </c>
      <c r="B4636">
        <f>Profile!A5401</f>
        <v>0</v>
      </c>
      <c r="C4636">
        <f>Profile!AP5403</f>
        <v>0</v>
      </c>
      <c r="D4636" t="str">
        <f>IF(Profile!C5401="Profile",IF(Profile!A5403="ResourceRequirement","OK","XXX"),"XXX")</f>
        <v>XXX</v>
      </c>
    </row>
    <row r="4637" spans="1:4" x14ac:dyDescent="0.45">
      <c r="A4637">
        <f>ROW()</f>
        <v>4637</v>
      </c>
      <c r="B4637">
        <f>Profile!A5402</f>
        <v>0</v>
      </c>
      <c r="C4637">
        <f>Profile!AP5404</f>
        <v>0</v>
      </c>
      <c r="D4637" t="str">
        <f>IF(Profile!C5402="Profile",IF(Profile!A5404="ResourceRequirement","OK","XXX"),"XXX")</f>
        <v>XXX</v>
      </c>
    </row>
    <row r="4638" spans="1:4" x14ac:dyDescent="0.45">
      <c r="A4638">
        <f>ROW()</f>
        <v>4638</v>
      </c>
      <c r="B4638">
        <f>Profile!A5403</f>
        <v>0</v>
      </c>
      <c r="C4638">
        <f>Profile!AP5405</f>
        <v>0</v>
      </c>
      <c r="D4638" t="str">
        <f>IF(Profile!C5403="Profile",IF(Profile!A5405="ResourceRequirement","OK","XXX"),"XXX")</f>
        <v>XXX</v>
      </c>
    </row>
    <row r="4639" spans="1:4" x14ac:dyDescent="0.45">
      <c r="A4639">
        <f>ROW()</f>
        <v>4639</v>
      </c>
      <c r="B4639">
        <f>Profile!A5404</f>
        <v>0</v>
      </c>
      <c r="C4639">
        <f>Profile!AP5406</f>
        <v>0</v>
      </c>
      <c r="D4639" t="str">
        <f>IF(Profile!C5404="Profile",IF(Profile!A5406="ResourceRequirement","OK","XXX"),"XXX")</f>
        <v>XXX</v>
      </c>
    </row>
    <row r="4640" spans="1:4" x14ac:dyDescent="0.45">
      <c r="A4640">
        <f>ROW()</f>
        <v>4640</v>
      </c>
      <c r="B4640">
        <f>Profile!A5405</f>
        <v>0</v>
      </c>
      <c r="C4640">
        <f>Profile!AP5407</f>
        <v>0</v>
      </c>
      <c r="D4640" t="str">
        <f>IF(Profile!C5405="Profile",IF(Profile!A5407="ResourceRequirement","OK","XXX"),"XXX")</f>
        <v>XXX</v>
      </c>
    </row>
    <row r="4641" spans="1:4" x14ac:dyDescent="0.45">
      <c r="A4641">
        <f>ROW()</f>
        <v>4641</v>
      </c>
      <c r="B4641">
        <f>Profile!A5406</f>
        <v>0</v>
      </c>
      <c r="C4641">
        <f>Profile!AP5408</f>
        <v>0</v>
      </c>
      <c r="D4641" t="str">
        <f>IF(Profile!C5406="Profile",IF(Profile!A5408="ResourceRequirement","OK","XXX"),"XXX")</f>
        <v>XXX</v>
      </c>
    </row>
    <row r="4642" spans="1:4" x14ac:dyDescent="0.45">
      <c r="A4642">
        <f>ROW()</f>
        <v>4642</v>
      </c>
      <c r="B4642">
        <f>Profile!A5407</f>
        <v>0</v>
      </c>
      <c r="C4642">
        <f>Profile!AP5409</f>
        <v>0</v>
      </c>
      <c r="D4642" t="str">
        <f>IF(Profile!C5407="Profile",IF(Profile!A5409="ResourceRequirement","OK","XXX"),"XXX")</f>
        <v>XXX</v>
      </c>
    </row>
    <row r="4643" spans="1:4" x14ac:dyDescent="0.45">
      <c r="A4643">
        <f>ROW()</f>
        <v>4643</v>
      </c>
      <c r="B4643">
        <f>Profile!A5408</f>
        <v>0</v>
      </c>
      <c r="C4643">
        <f>Profile!AP5410</f>
        <v>0</v>
      </c>
      <c r="D4643" t="str">
        <f>IF(Profile!C5408="Profile",IF(Profile!A5410="ResourceRequirement","OK","XXX"),"XXX")</f>
        <v>XXX</v>
      </c>
    </row>
    <row r="4644" spans="1:4" x14ac:dyDescent="0.45">
      <c r="A4644">
        <f>ROW()</f>
        <v>4644</v>
      </c>
      <c r="B4644">
        <f>Profile!A5409</f>
        <v>0</v>
      </c>
      <c r="C4644">
        <f>Profile!AP5411</f>
        <v>0</v>
      </c>
      <c r="D4644" t="str">
        <f>IF(Profile!C5409="Profile",IF(Profile!A5411="ResourceRequirement","OK","XXX"),"XXX")</f>
        <v>XXX</v>
      </c>
    </row>
    <row r="4645" spans="1:4" x14ac:dyDescent="0.45">
      <c r="A4645">
        <f>ROW()</f>
        <v>4645</v>
      </c>
      <c r="B4645">
        <f>Profile!A5410</f>
        <v>0</v>
      </c>
      <c r="C4645">
        <f>Profile!AP5412</f>
        <v>0</v>
      </c>
      <c r="D4645" t="str">
        <f>IF(Profile!C5410="Profile",IF(Profile!A5412="ResourceRequirement","OK","XXX"),"XXX")</f>
        <v>XXX</v>
      </c>
    </row>
    <row r="4646" spans="1:4" x14ac:dyDescent="0.45">
      <c r="A4646">
        <f>ROW()</f>
        <v>4646</v>
      </c>
      <c r="B4646">
        <f>Profile!A5411</f>
        <v>0</v>
      </c>
      <c r="C4646">
        <f>Profile!AP5413</f>
        <v>0</v>
      </c>
      <c r="D4646" t="str">
        <f>IF(Profile!C5411="Profile",IF(Profile!A5413="ResourceRequirement","OK","XXX"),"XXX")</f>
        <v>XXX</v>
      </c>
    </row>
    <row r="4647" spans="1:4" x14ac:dyDescent="0.45">
      <c r="A4647">
        <f>ROW()</f>
        <v>4647</v>
      </c>
      <c r="B4647">
        <f>Profile!A5412</f>
        <v>0</v>
      </c>
      <c r="C4647">
        <f>Profile!AP5414</f>
        <v>0</v>
      </c>
      <c r="D4647" t="str">
        <f>IF(Profile!C5412="Profile",IF(Profile!A5414="ResourceRequirement","OK","XXX"),"XXX")</f>
        <v>XXX</v>
      </c>
    </row>
    <row r="4648" spans="1:4" x14ac:dyDescent="0.45">
      <c r="A4648">
        <f>ROW()</f>
        <v>4648</v>
      </c>
      <c r="B4648">
        <f>Profile!A5413</f>
        <v>0</v>
      </c>
      <c r="C4648">
        <f>Profile!AP5415</f>
        <v>0</v>
      </c>
      <c r="D4648" t="str">
        <f>IF(Profile!C5413="Profile",IF(Profile!A5415="ResourceRequirement","OK","XXX"),"XXX")</f>
        <v>XXX</v>
      </c>
    </row>
    <row r="4649" spans="1:4" x14ac:dyDescent="0.45">
      <c r="A4649">
        <f>ROW()</f>
        <v>4649</v>
      </c>
      <c r="B4649">
        <f>Profile!A5414</f>
        <v>0</v>
      </c>
      <c r="C4649">
        <f>Profile!AP5416</f>
        <v>0</v>
      </c>
      <c r="D4649" t="str">
        <f>IF(Profile!C5414="Profile",IF(Profile!A5416="ResourceRequirement","OK","XXX"),"XXX")</f>
        <v>XXX</v>
      </c>
    </row>
    <row r="4650" spans="1:4" x14ac:dyDescent="0.45">
      <c r="A4650">
        <f>ROW()</f>
        <v>4650</v>
      </c>
      <c r="B4650">
        <f>Profile!A5415</f>
        <v>0</v>
      </c>
      <c r="C4650">
        <f>Profile!AP5417</f>
        <v>0</v>
      </c>
      <c r="D4650" t="str">
        <f>IF(Profile!C5415="Profile",IF(Profile!A5417="ResourceRequirement","OK","XXX"),"XXX")</f>
        <v>XXX</v>
      </c>
    </row>
    <row r="4651" spans="1:4" x14ac:dyDescent="0.45">
      <c r="A4651">
        <f>ROW()</f>
        <v>4651</v>
      </c>
      <c r="B4651">
        <f>Profile!A5416</f>
        <v>0</v>
      </c>
      <c r="C4651">
        <f>Profile!AP5418</f>
        <v>0</v>
      </c>
      <c r="D4651" t="str">
        <f>IF(Profile!C5416="Profile",IF(Profile!A5418="ResourceRequirement","OK","XXX"),"XXX")</f>
        <v>XXX</v>
      </c>
    </row>
    <row r="4652" spans="1:4" x14ac:dyDescent="0.45">
      <c r="A4652">
        <f>ROW()</f>
        <v>4652</v>
      </c>
      <c r="B4652">
        <f>Profile!A5417</f>
        <v>0</v>
      </c>
      <c r="C4652">
        <f>Profile!AP5419</f>
        <v>0</v>
      </c>
      <c r="D4652" t="str">
        <f>IF(Profile!C5417="Profile",IF(Profile!A5419="ResourceRequirement","OK","XXX"),"XXX")</f>
        <v>XXX</v>
      </c>
    </row>
    <row r="4653" spans="1:4" x14ac:dyDescent="0.45">
      <c r="A4653">
        <f>ROW()</f>
        <v>4653</v>
      </c>
      <c r="B4653">
        <f>Profile!A5418</f>
        <v>0</v>
      </c>
      <c r="C4653">
        <f>Profile!AP5420</f>
        <v>0</v>
      </c>
      <c r="D4653" t="str">
        <f>IF(Profile!C5418="Profile",IF(Profile!A5420="ResourceRequirement","OK","XXX"),"XXX")</f>
        <v>XXX</v>
      </c>
    </row>
    <row r="4654" spans="1:4" x14ac:dyDescent="0.45">
      <c r="A4654">
        <f>ROW()</f>
        <v>4654</v>
      </c>
      <c r="B4654">
        <f>Profile!A5419</f>
        <v>0</v>
      </c>
      <c r="C4654">
        <f>Profile!AP5421</f>
        <v>0</v>
      </c>
      <c r="D4654" t="str">
        <f>IF(Profile!C5419="Profile",IF(Profile!A5421="ResourceRequirement","OK","XXX"),"XXX")</f>
        <v>XXX</v>
      </c>
    </row>
    <row r="4655" spans="1:4" x14ac:dyDescent="0.45">
      <c r="A4655">
        <f>ROW()</f>
        <v>4655</v>
      </c>
      <c r="B4655">
        <f>Profile!A5420</f>
        <v>0</v>
      </c>
      <c r="C4655">
        <f>Profile!AP5422</f>
        <v>0</v>
      </c>
      <c r="D4655" t="str">
        <f>IF(Profile!C5420="Profile",IF(Profile!A5422="ResourceRequirement","OK","XXX"),"XXX")</f>
        <v>XXX</v>
      </c>
    </row>
    <row r="4656" spans="1:4" x14ac:dyDescent="0.45">
      <c r="A4656">
        <f>ROW()</f>
        <v>4656</v>
      </c>
      <c r="B4656">
        <f>Profile!A5421</f>
        <v>0</v>
      </c>
      <c r="C4656">
        <f>Profile!AP5423</f>
        <v>0</v>
      </c>
      <c r="D4656" t="str">
        <f>IF(Profile!C5421="Profile",IF(Profile!A5423="ResourceRequirement","OK","XXX"),"XXX")</f>
        <v>XXX</v>
      </c>
    </row>
    <row r="4657" spans="1:4" x14ac:dyDescent="0.45">
      <c r="A4657">
        <f>ROW()</f>
        <v>4657</v>
      </c>
      <c r="B4657">
        <f>Profile!A5422</f>
        <v>0</v>
      </c>
      <c r="C4657">
        <f>Profile!AP5424</f>
        <v>0</v>
      </c>
      <c r="D4657" t="str">
        <f>IF(Profile!C5422="Profile",IF(Profile!A5424="ResourceRequirement","OK","XXX"),"XXX")</f>
        <v>XXX</v>
      </c>
    </row>
    <row r="4658" spans="1:4" x14ac:dyDescent="0.45">
      <c r="A4658">
        <f>ROW()</f>
        <v>4658</v>
      </c>
      <c r="B4658">
        <f>Profile!A5423</f>
        <v>0</v>
      </c>
      <c r="C4658">
        <f>Profile!AP5425</f>
        <v>0</v>
      </c>
      <c r="D4658" t="str">
        <f>IF(Profile!C5423="Profile",IF(Profile!A5425="ResourceRequirement","OK","XXX"),"XXX")</f>
        <v>XXX</v>
      </c>
    </row>
    <row r="4659" spans="1:4" x14ac:dyDescent="0.45">
      <c r="A4659">
        <f>ROW()</f>
        <v>4659</v>
      </c>
      <c r="B4659">
        <f>Profile!A5424</f>
        <v>0</v>
      </c>
      <c r="C4659">
        <f>Profile!AP5426</f>
        <v>0</v>
      </c>
      <c r="D4659" t="str">
        <f>IF(Profile!C5424="Profile",IF(Profile!A5426="ResourceRequirement","OK","XXX"),"XXX")</f>
        <v>XXX</v>
      </c>
    </row>
    <row r="4660" spans="1:4" x14ac:dyDescent="0.45">
      <c r="A4660">
        <f>ROW()</f>
        <v>4660</v>
      </c>
      <c r="B4660">
        <f>Profile!A5425</f>
        <v>0</v>
      </c>
      <c r="C4660">
        <f>Profile!AP5427</f>
        <v>0</v>
      </c>
      <c r="D4660" t="str">
        <f>IF(Profile!C5425="Profile",IF(Profile!A5427="ResourceRequirement","OK","XXX"),"XXX")</f>
        <v>XXX</v>
      </c>
    </row>
    <row r="4661" spans="1:4" x14ac:dyDescent="0.45">
      <c r="A4661">
        <f>ROW()</f>
        <v>4661</v>
      </c>
      <c r="B4661">
        <f>Profile!A5426</f>
        <v>0</v>
      </c>
      <c r="C4661">
        <f>Profile!AP5428</f>
        <v>0</v>
      </c>
      <c r="D4661" t="str">
        <f>IF(Profile!C5426="Profile",IF(Profile!A5428="ResourceRequirement","OK","XXX"),"XXX")</f>
        <v>XXX</v>
      </c>
    </row>
    <row r="4662" spans="1:4" x14ac:dyDescent="0.45">
      <c r="A4662">
        <f>ROW()</f>
        <v>4662</v>
      </c>
      <c r="B4662">
        <f>Profile!A5427</f>
        <v>0</v>
      </c>
      <c r="C4662">
        <f>Profile!AP5429</f>
        <v>0</v>
      </c>
      <c r="D4662" t="str">
        <f>IF(Profile!C5427="Profile",IF(Profile!A5429="ResourceRequirement","OK","XXX"),"XXX")</f>
        <v>XXX</v>
      </c>
    </row>
    <row r="4663" spans="1:4" x14ac:dyDescent="0.45">
      <c r="A4663">
        <f>ROW()</f>
        <v>4663</v>
      </c>
      <c r="B4663">
        <f>Profile!A5428</f>
        <v>0</v>
      </c>
      <c r="C4663">
        <f>Profile!AP5430</f>
        <v>0</v>
      </c>
      <c r="D4663" t="str">
        <f>IF(Profile!C5428="Profile",IF(Profile!A5430="ResourceRequirement","OK","XXX"),"XXX")</f>
        <v>XXX</v>
      </c>
    </row>
    <row r="4664" spans="1:4" x14ac:dyDescent="0.45">
      <c r="A4664">
        <f>ROW()</f>
        <v>4664</v>
      </c>
      <c r="B4664">
        <f>Profile!A5429</f>
        <v>0</v>
      </c>
      <c r="C4664">
        <f>Profile!AP5431</f>
        <v>0</v>
      </c>
      <c r="D4664" t="str">
        <f>IF(Profile!C5429="Profile",IF(Profile!A5431="ResourceRequirement","OK","XXX"),"XXX")</f>
        <v>XXX</v>
      </c>
    </row>
    <row r="4665" spans="1:4" x14ac:dyDescent="0.45">
      <c r="A4665">
        <f>ROW()</f>
        <v>4665</v>
      </c>
      <c r="B4665">
        <f>Profile!A5430</f>
        <v>0</v>
      </c>
      <c r="C4665">
        <f>Profile!AP5432</f>
        <v>0</v>
      </c>
      <c r="D4665" t="str">
        <f>IF(Profile!C5430="Profile",IF(Profile!A5432="ResourceRequirement","OK","XXX"),"XXX")</f>
        <v>XXX</v>
      </c>
    </row>
    <row r="4666" spans="1:4" x14ac:dyDescent="0.45">
      <c r="A4666">
        <f>ROW()</f>
        <v>4666</v>
      </c>
      <c r="B4666">
        <f>Profile!A5431</f>
        <v>0</v>
      </c>
      <c r="C4666">
        <f>Profile!AP5433</f>
        <v>0</v>
      </c>
      <c r="D4666" t="str">
        <f>IF(Profile!C5431="Profile",IF(Profile!A5433="ResourceRequirement","OK","XXX"),"XXX")</f>
        <v>XXX</v>
      </c>
    </row>
    <row r="4667" spans="1:4" x14ac:dyDescent="0.45">
      <c r="A4667">
        <f>ROW()</f>
        <v>4667</v>
      </c>
      <c r="B4667">
        <f>Profile!A5432</f>
        <v>0</v>
      </c>
      <c r="C4667">
        <f>Profile!AP5434</f>
        <v>0</v>
      </c>
      <c r="D4667" t="str">
        <f>IF(Profile!C5432="Profile",IF(Profile!A5434="ResourceRequirement","OK","XXX"),"XXX")</f>
        <v>XXX</v>
      </c>
    </row>
    <row r="4668" spans="1:4" x14ac:dyDescent="0.45">
      <c r="A4668">
        <f>ROW()</f>
        <v>4668</v>
      </c>
      <c r="B4668">
        <f>Profile!A5433</f>
        <v>0</v>
      </c>
      <c r="C4668">
        <f>Profile!AP5435</f>
        <v>0</v>
      </c>
      <c r="D4668" t="str">
        <f>IF(Profile!C5433="Profile",IF(Profile!A5435="ResourceRequirement","OK","XXX"),"XXX")</f>
        <v>XXX</v>
      </c>
    </row>
    <row r="4669" spans="1:4" x14ac:dyDescent="0.45">
      <c r="A4669">
        <f>ROW()</f>
        <v>4669</v>
      </c>
      <c r="B4669">
        <f>Profile!A5434</f>
        <v>0</v>
      </c>
      <c r="C4669">
        <f>Profile!AP5436</f>
        <v>0</v>
      </c>
      <c r="D4669" t="str">
        <f>IF(Profile!C5434="Profile",IF(Profile!A5436="ResourceRequirement","OK","XXX"),"XXX")</f>
        <v>XXX</v>
      </c>
    </row>
    <row r="4670" spans="1:4" x14ac:dyDescent="0.45">
      <c r="A4670">
        <f>ROW()</f>
        <v>4670</v>
      </c>
      <c r="B4670">
        <f>Profile!A5435</f>
        <v>0</v>
      </c>
      <c r="C4670">
        <f>Profile!AP5437</f>
        <v>0</v>
      </c>
      <c r="D4670" t="str">
        <f>IF(Profile!C5435="Profile",IF(Profile!A5437="ResourceRequirement","OK","XXX"),"XXX")</f>
        <v>XXX</v>
      </c>
    </row>
    <row r="4671" spans="1:4" x14ac:dyDescent="0.45">
      <c r="A4671">
        <f>ROW()</f>
        <v>4671</v>
      </c>
      <c r="B4671">
        <f>Profile!A5436</f>
        <v>0</v>
      </c>
      <c r="C4671">
        <f>Profile!AP5438</f>
        <v>0</v>
      </c>
      <c r="D4671" t="str">
        <f>IF(Profile!C5436="Profile",IF(Profile!A5438="ResourceRequirement","OK","XXX"),"XXX")</f>
        <v>XXX</v>
      </c>
    </row>
    <row r="4672" spans="1:4" x14ac:dyDescent="0.45">
      <c r="A4672">
        <f>ROW()</f>
        <v>4672</v>
      </c>
      <c r="B4672">
        <f>Profile!A5437</f>
        <v>0</v>
      </c>
      <c r="C4672">
        <f>Profile!AP5439</f>
        <v>0</v>
      </c>
      <c r="D4672" t="str">
        <f>IF(Profile!C5437="Profile",IF(Profile!A5439="ResourceRequirement","OK","XXX"),"XXX")</f>
        <v>XXX</v>
      </c>
    </row>
    <row r="4673" spans="1:4" x14ac:dyDescent="0.45">
      <c r="A4673">
        <f>ROW()</f>
        <v>4673</v>
      </c>
      <c r="B4673">
        <f>Profile!A5438</f>
        <v>0</v>
      </c>
      <c r="C4673">
        <f>Profile!AP5440</f>
        <v>0</v>
      </c>
      <c r="D4673" t="str">
        <f>IF(Profile!C5438="Profile",IF(Profile!A5440="ResourceRequirement","OK","XXX"),"XXX")</f>
        <v>XXX</v>
      </c>
    </row>
    <row r="4674" spans="1:4" x14ac:dyDescent="0.45">
      <c r="A4674">
        <f>ROW()</f>
        <v>4674</v>
      </c>
      <c r="B4674">
        <f>Profile!A5439</f>
        <v>0</v>
      </c>
      <c r="C4674">
        <f>Profile!AP5441</f>
        <v>0</v>
      </c>
      <c r="D4674" t="str">
        <f>IF(Profile!C5439="Profile",IF(Profile!A5441="ResourceRequirement","OK","XXX"),"XXX")</f>
        <v>XXX</v>
      </c>
    </row>
    <row r="4675" spans="1:4" x14ac:dyDescent="0.45">
      <c r="A4675">
        <f>ROW()</f>
        <v>4675</v>
      </c>
      <c r="B4675">
        <f>Profile!A5440</f>
        <v>0</v>
      </c>
      <c r="C4675">
        <f>Profile!AP5442</f>
        <v>0</v>
      </c>
      <c r="D4675" t="str">
        <f>IF(Profile!C5440="Profile",IF(Profile!A5442="ResourceRequirement","OK","XXX"),"XXX")</f>
        <v>XXX</v>
      </c>
    </row>
    <row r="4676" spans="1:4" x14ac:dyDescent="0.45">
      <c r="A4676">
        <f>ROW()</f>
        <v>4676</v>
      </c>
      <c r="B4676">
        <f>Profile!A5441</f>
        <v>0</v>
      </c>
      <c r="C4676">
        <f>Profile!AP5443</f>
        <v>0</v>
      </c>
      <c r="D4676" t="str">
        <f>IF(Profile!C5441="Profile",IF(Profile!A5443="ResourceRequirement","OK","XXX"),"XXX")</f>
        <v>XXX</v>
      </c>
    </row>
    <row r="4677" spans="1:4" x14ac:dyDescent="0.45">
      <c r="A4677">
        <f>ROW()</f>
        <v>4677</v>
      </c>
      <c r="B4677">
        <f>Profile!A5442</f>
        <v>0</v>
      </c>
      <c r="C4677">
        <f>Profile!AP5444</f>
        <v>0</v>
      </c>
      <c r="D4677" t="str">
        <f>IF(Profile!C5442="Profile",IF(Profile!A5444="ResourceRequirement","OK","XXX"),"XXX")</f>
        <v>XXX</v>
      </c>
    </row>
    <row r="4678" spans="1:4" x14ac:dyDescent="0.45">
      <c r="A4678">
        <f>ROW()</f>
        <v>4678</v>
      </c>
      <c r="B4678">
        <f>Profile!A5443</f>
        <v>0</v>
      </c>
      <c r="C4678">
        <f>Profile!AP5445</f>
        <v>0</v>
      </c>
      <c r="D4678" t="str">
        <f>IF(Profile!C5443="Profile",IF(Profile!A5445="ResourceRequirement","OK","XXX"),"XXX")</f>
        <v>XXX</v>
      </c>
    </row>
    <row r="4679" spans="1:4" x14ac:dyDescent="0.45">
      <c r="A4679">
        <f>ROW()</f>
        <v>4679</v>
      </c>
      <c r="B4679">
        <f>Profile!A5444</f>
        <v>0</v>
      </c>
      <c r="C4679">
        <f>Profile!AP5446</f>
        <v>0</v>
      </c>
      <c r="D4679" t="str">
        <f>IF(Profile!C5444="Profile",IF(Profile!A5446="ResourceRequirement","OK","XXX"),"XXX")</f>
        <v>XXX</v>
      </c>
    </row>
    <row r="4680" spans="1:4" x14ac:dyDescent="0.45">
      <c r="A4680">
        <f>ROW()</f>
        <v>4680</v>
      </c>
      <c r="B4680">
        <f>Profile!A5445</f>
        <v>0</v>
      </c>
      <c r="C4680">
        <f>Profile!AP5447</f>
        <v>0</v>
      </c>
      <c r="D4680" t="str">
        <f>IF(Profile!C5445="Profile",IF(Profile!A5447="ResourceRequirement","OK","XXX"),"XXX")</f>
        <v>XXX</v>
      </c>
    </row>
    <row r="4681" spans="1:4" x14ac:dyDescent="0.45">
      <c r="A4681">
        <f>ROW()</f>
        <v>4681</v>
      </c>
      <c r="B4681">
        <f>Profile!A5446</f>
        <v>0</v>
      </c>
      <c r="C4681">
        <f>Profile!AP5448</f>
        <v>0</v>
      </c>
      <c r="D4681" t="str">
        <f>IF(Profile!C5446="Profile",IF(Profile!A5448="ResourceRequirement","OK","XXX"),"XXX")</f>
        <v>XXX</v>
      </c>
    </row>
    <row r="4682" spans="1:4" x14ac:dyDescent="0.45">
      <c r="A4682">
        <f>ROW()</f>
        <v>4682</v>
      </c>
      <c r="B4682">
        <f>Profile!A5447</f>
        <v>0</v>
      </c>
      <c r="C4682">
        <f>Profile!AP5449</f>
        <v>0</v>
      </c>
      <c r="D4682" t="str">
        <f>IF(Profile!C5447="Profile",IF(Profile!A5449="ResourceRequirement","OK","XXX"),"XXX")</f>
        <v>XXX</v>
      </c>
    </row>
    <row r="4683" spans="1:4" x14ac:dyDescent="0.45">
      <c r="A4683">
        <f>ROW()</f>
        <v>4683</v>
      </c>
      <c r="B4683">
        <f>Profile!A5448</f>
        <v>0</v>
      </c>
      <c r="C4683">
        <f>Profile!AP5450</f>
        <v>0</v>
      </c>
      <c r="D4683" t="str">
        <f>IF(Profile!C5448="Profile",IF(Profile!A5450="ResourceRequirement","OK","XXX"),"XXX")</f>
        <v>XXX</v>
      </c>
    </row>
    <row r="4684" spans="1:4" x14ac:dyDescent="0.45">
      <c r="A4684">
        <f>ROW()</f>
        <v>4684</v>
      </c>
      <c r="B4684">
        <f>Profile!A5449</f>
        <v>0</v>
      </c>
      <c r="C4684">
        <f>Profile!AP5451</f>
        <v>0</v>
      </c>
      <c r="D4684" t="str">
        <f>IF(Profile!C5449="Profile",IF(Profile!A5451="ResourceRequirement","OK","XXX"),"XXX")</f>
        <v>XXX</v>
      </c>
    </row>
    <row r="4685" spans="1:4" x14ac:dyDescent="0.45">
      <c r="A4685">
        <f>ROW()</f>
        <v>4685</v>
      </c>
      <c r="B4685">
        <f>Profile!A5450</f>
        <v>0</v>
      </c>
      <c r="C4685">
        <f>Profile!AP5452</f>
        <v>0</v>
      </c>
      <c r="D4685" t="str">
        <f>IF(Profile!C5450="Profile",IF(Profile!A5452="ResourceRequirement","OK","XXX"),"XXX")</f>
        <v>XXX</v>
      </c>
    </row>
    <row r="4686" spans="1:4" x14ac:dyDescent="0.45">
      <c r="A4686">
        <f>ROW()</f>
        <v>4686</v>
      </c>
      <c r="B4686">
        <f>Profile!A5451</f>
        <v>0</v>
      </c>
      <c r="C4686">
        <f>Profile!AP5453</f>
        <v>0</v>
      </c>
      <c r="D4686" t="str">
        <f>IF(Profile!C5451="Profile",IF(Profile!A5453="ResourceRequirement","OK","XXX"),"XXX")</f>
        <v>XXX</v>
      </c>
    </row>
    <row r="4687" spans="1:4" x14ac:dyDescent="0.45">
      <c r="A4687">
        <f>ROW()</f>
        <v>4687</v>
      </c>
      <c r="B4687">
        <f>Profile!A5452</f>
        <v>0</v>
      </c>
      <c r="C4687">
        <f>Profile!AP5454</f>
        <v>0</v>
      </c>
      <c r="D4687" t="str">
        <f>IF(Profile!C5452="Profile",IF(Profile!A5454="ResourceRequirement","OK","XXX"),"XXX")</f>
        <v>XXX</v>
      </c>
    </row>
    <row r="4688" spans="1:4" x14ac:dyDescent="0.45">
      <c r="A4688">
        <f>ROW()</f>
        <v>4688</v>
      </c>
      <c r="B4688">
        <f>Profile!A5453</f>
        <v>0</v>
      </c>
      <c r="C4688">
        <f>Profile!AP5455</f>
        <v>0</v>
      </c>
      <c r="D4688" t="str">
        <f>IF(Profile!C5453="Profile",IF(Profile!A5455="ResourceRequirement","OK","XXX"),"XXX")</f>
        <v>XXX</v>
      </c>
    </row>
    <row r="4689" spans="1:4" x14ac:dyDescent="0.45">
      <c r="A4689">
        <f>ROW()</f>
        <v>4689</v>
      </c>
      <c r="B4689">
        <f>Profile!A5454</f>
        <v>0</v>
      </c>
      <c r="C4689">
        <f>Profile!AP5456</f>
        <v>0</v>
      </c>
      <c r="D4689" t="str">
        <f>IF(Profile!C5454="Profile",IF(Profile!A5456="ResourceRequirement","OK","XXX"),"XXX")</f>
        <v>XXX</v>
      </c>
    </row>
    <row r="4690" spans="1:4" x14ac:dyDescent="0.45">
      <c r="A4690">
        <f>ROW()</f>
        <v>4690</v>
      </c>
      <c r="B4690">
        <f>Profile!A5455</f>
        <v>0</v>
      </c>
      <c r="C4690">
        <f>Profile!AP5457</f>
        <v>0</v>
      </c>
      <c r="D4690" t="str">
        <f>IF(Profile!C5455="Profile",IF(Profile!A5457="ResourceRequirement","OK","XXX"),"XXX")</f>
        <v>XXX</v>
      </c>
    </row>
    <row r="4691" spans="1:4" x14ac:dyDescent="0.45">
      <c r="A4691">
        <f>ROW()</f>
        <v>4691</v>
      </c>
      <c r="B4691">
        <f>Profile!A5456</f>
        <v>0</v>
      </c>
      <c r="C4691">
        <f>Profile!AP5458</f>
        <v>0</v>
      </c>
      <c r="D4691" t="str">
        <f>IF(Profile!C5456="Profile",IF(Profile!A5458="ResourceRequirement","OK","XXX"),"XXX")</f>
        <v>XXX</v>
      </c>
    </row>
    <row r="4692" spans="1:4" x14ac:dyDescent="0.45">
      <c r="A4692">
        <f>ROW()</f>
        <v>4692</v>
      </c>
      <c r="B4692">
        <f>Profile!A5457</f>
        <v>0</v>
      </c>
      <c r="C4692">
        <f>Profile!AP5459</f>
        <v>0</v>
      </c>
      <c r="D4692" t="str">
        <f>IF(Profile!C5457="Profile",IF(Profile!A5459="ResourceRequirement","OK","XXX"),"XXX")</f>
        <v>XXX</v>
      </c>
    </row>
    <row r="4693" spans="1:4" x14ac:dyDescent="0.45">
      <c r="A4693">
        <f>ROW()</f>
        <v>4693</v>
      </c>
      <c r="B4693">
        <f>Profile!A5458</f>
        <v>0</v>
      </c>
      <c r="C4693">
        <f>Profile!AP5460</f>
        <v>0</v>
      </c>
      <c r="D4693" t="str">
        <f>IF(Profile!C5458="Profile",IF(Profile!A5460="ResourceRequirement","OK","XXX"),"XXX")</f>
        <v>XXX</v>
      </c>
    </row>
    <row r="4694" spans="1:4" x14ac:dyDescent="0.45">
      <c r="A4694">
        <f>ROW()</f>
        <v>4694</v>
      </c>
      <c r="B4694">
        <f>Profile!A5459</f>
        <v>0</v>
      </c>
      <c r="C4694">
        <f>Profile!AP5461</f>
        <v>0</v>
      </c>
      <c r="D4694" t="str">
        <f>IF(Profile!C5459="Profile",IF(Profile!A5461="ResourceRequirement","OK","XXX"),"XXX")</f>
        <v>XXX</v>
      </c>
    </row>
    <row r="4695" spans="1:4" x14ac:dyDescent="0.45">
      <c r="A4695">
        <f>ROW()</f>
        <v>4695</v>
      </c>
      <c r="B4695">
        <f>Profile!A5460</f>
        <v>0</v>
      </c>
      <c r="C4695">
        <f>Profile!AP5462</f>
        <v>0</v>
      </c>
      <c r="D4695" t="str">
        <f>IF(Profile!C5460="Profile",IF(Profile!A5462="ResourceRequirement","OK","XXX"),"XXX")</f>
        <v>XXX</v>
      </c>
    </row>
    <row r="4696" spans="1:4" x14ac:dyDescent="0.45">
      <c r="A4696">
        <f>ROW()</f>
        <v>4696</v>
      </c>
      <c r="B4696">
        <f>Profile!A5461</f>
        <v>0</v>
      </c>
      <c r="C4696">
        <f>Profile!AP5463</f>
        <v>0</v>
      </c>
      <c r="D4696" t="str">
        <f>IF(Profile!C5461="Profile",IF(Profile!A5463="ResourceRequirement","OK","XXX"),"XXX")</f>
        <v>XXX</v>
      </c>
    </row>
    <row r="4697" spans="1:4" x14ac:dyDescent="0.45">
      <c r="A4697">
        <f>ROW()</f>
        <v>4697</v>
      </c>
      <c r="B4697">
        <f>Profile!A5462</f>
        <v>0</v>
      </c>
      <c r="C4697">
        <f>Profile!AP5464</f>
        <v>0</v>
      </c>
      <c r="D4697" t="str">
        <f>IF(Profile!C5462="Profile",IF(Profile!A5464="ResourceRequirement","OK","XXX"),"XXX")</f>
        <v>XXX</v>
      </c>
    </row>
    <row r="4698" spans="1:4" x14ac:dyDescent="0.45">
      <c r="A4698">
        <f>ROW()</f>
        <v>4698</v>
      </c>
      <c r="B4698">
        <f>Profile!A5463</f>
        <v>0</v>
      </c>
      <c r="C4698">
        <f>Profile!AP5465</f>
        <v>0</v>
      </c>
      <c r="D4698" t="str">
        <f>IF(Profile!C5463="Profile",IF(Profile!A5465="ResourceRequirement","OK","XXX"),"XXX")</f>
        <v>XXX</v>
      </c>
    </row>
    <row r="4699" spans="1:4" x14ac:dyDescent="0.45">
      <c r="A4699">
        <f>ROW()</f>
        <v>4699</v>
      </c>
      <c r="B4699">
        <f>Profile!A5464</f>
        <v>0</v>
      </c>
      <c r="C4699">
        <f>Profile!AP5466</f>
        <v>0</v>
      </c>
      <c r="D4699" t="str">
        <f>IF(Profile!C5464="Profile",IF(Profile!A5466="ResourceRequirement","OK","XXX"),"XXX")</f>
        <v>XXX</v>
      </c>
    </row>
    <row r="4700" spans="1:4" x14ac:dyDescent="0.45">
      <c r="A4700">
        <f>ROW()</f>
        <v>4700</v>
      </c>
      <c r="B4700">
        <f>Profile!A5465</f>
        <v>0</v>
      </c>
      <c r="C4700">
        <f>Profile!AP5467</f>
        <v>0</v>
      </c>
      <c r="D4700" t="str">
        <f>IF(Profile!C5465="Profile",IF(Profile!A5467="ResourceRequirement","OK","XXX"),"XXX")</f>
        <v>XXX</v>
      </c>
    </row>
    <row r="4701" spans="1:4" x14ac:dyDescent="0.45">
      <c r="A4701">
        <f>ROW()</f>
        <v>4701</v>
      </c>
      <c r="B4701">
        <f>Profile!A5466</f>
        <v>0</v>
      </c>
      <c r="C4701">
        <f>Profile!AP5468</f>
        <v>0</v>
      </c>
      <c r="D4701" t="str">
        <f>IF(Profile!C5466="Profile",IF(Profile!A5468="ResourceRequirement","OK","XXX"),"XXX")</f>
        <v>XXX</v>
      </c>
    </row>
    <row r="4702" spans="1:4" x14ac:dyDescent="0.45">
      <c r="A4702">
        <f>ROW()</f>
        <v>4702</v>
      </c>
      <c r="B4702">
        <f>Profile!A5467</f>
        <v>0</v>
      </c>
      <c r="C4702">
        <f>Profile!AP5469</f>
        <v>0</v>
      </c>
      <c r="D4702" t="str">
        <f>IF(Profile!C5467="Profile",IF(Profile!A5469="ResourceRequirement","OK","XXX"),"XXX")</f>
        <v>XXX</v>
      </c>
    </row>
    <row r="4703" spans="1:4" x14ac:dyDescent="0.45">
      <c r="A4703">
        <f>ROW()</f>
        <v>4703</v>
      </c>
      <c r="B4703">
        <f>Profile!A5468</f>
        <v>0</v>
      </c>
      <c r="C4703">
        <f>Profile!AP5470</f>
        <v>0</v>
      </c>
      <c r="D4703" t="str">
        <f>IF(Profile!C5468="Profile",IF(Profile!A5470="ResourceRequirement","OK","XXX"),"XXX")</f>
        <v>XXX</v>
      </c>
    </row>
    <row r="4704" spans="1:4" x14ac:dyDescent="0.45">
      <c r="A4704">
        <f>ROW()</f>
        <v>4704</v>
      </c>
      <c r="B4704">
        <f>Profile!A5469</f>
        <v>0</v>
      </c>
      <c r="C4704">
        <f>Profile!AP5471</f>
        <v>0</v>
      </c>
      <c r="D4704" t="str">
        <f>IF(Profile!C5469="Profile",IF(Profile!A5471="ResourceRequirement","OK","XXX"),"XXX")</f>
        <v>XXX</v>
      </c>
    </row>
    <row r="4705" spans="1:4" x14ac:dyDescent="0.45">
      <c r="A4705">
        <f>ROW()</f>
        <v>4705</v>
      </c>
      <c r="B4705">
        <f>Profile!A5470</f>
        <v>0</v>
      </c>
      <c r="C4705">
        <f>Profile!AP5472</f>
        <v>0</v>
      </c>
      <c r="D4705" t="str">
        <f>IF(Profile!C5470="Profile",IF(Profile!A5472="ResourceRequirement","OK","XXX"),"XXX")</f>
        <v>XXX</v>
      </c>
    </row>
    <row r="4706" spans="1:4" x14ac:dyDescent="0.45">
      <c r="A4706">
        <f>ROW()</f>
        <v>4706</v>
      </c>
      <c r="B4706">
        <f>Profile!A5471</f>
        <v>0</v>
      </c>
      <c r="C4706">
        <f>Profile!AP5473</f>
        <v>0</v>
      </c>
      <c r="D4706" t="str">
        <f>IF(Profile!C5471="Profile",IF(Profile!A5473="ResourceRequirement","OK","XXX"),"XXX")</f>
        <v>XXX</v>
      </c>
    </row>
    <row r="4707" spans="1:4" x14ac:dyDescent="0.45">
      <c r="A4707">
        <f>ROW()</f>
        <v>4707</v>
      </c>
      <c r="B4707">
        <f>Profile!A5472</f>
        <v>0</v>
      </c>
      <c r="C4707">
        <f>Profile!AP5474</f>
        <v>0</v>
      </c>
      <c r="D4707" t="str">
        <f>IF(Profile!C5472="Profile",IF(Profile!A5474="ResourceRequirement","OK","XXX"),"XXX")</f>
        <v>XXX</v>
      </c>
    </row>
    <row r="4708" spans="1:4" x14ac:dyDescent="0.45">
      <c r="A4708">
        <f>ROW()</f>
        <v>4708</v>
      </c>
      <c r="B4708">
        <f>Profile!A5473</f>
        <v>0</v>
      </c>
      <c r="C4708">
        <f>Profile!AP5475</f>
        <v>0</v>
      </c>
      <c r="D4708" t="str">
        <f>IF(Profile!C5473="Profile",IF(Profile!A5475="ResourceRequirement","OK","XXX"),"XXX")</f>
        <v>XXX</v>
      </c>
    </row>
    <row r="4709" spans="1:4" x14ac:dyDescent="0.45">
      <c r="A4709">
        <f>ROW()</f>
        <v>4709</v>
      </c>
      <c r="B4709">
        <f>Profile!A5474</f>
        <v>0</v>
      </c>
      <c r="C4709">
        <f>Profile!AP5476</f>
        <v>0</v>
      </c>
      <c r="D4709" t="str">
        <f>IF(Profile!C5474="Profile",IF(Profile!A5476="ResourceRequirement","OK","XXX"),"XXX")</f>
        <v>XXX</v>
      </c>
    </row>
    <row r="4710" spans="1:4" x14ac:dyDescent="0.45">
      <c r="A4710">
        <f>ROW()</f>
        <v>4710</v>
      </c>
      <c r="B4710">
        <f>Profile!A5475</f>
        <v>0</v>
      </c>
      <c r="C4710">
        <f>Profile!AP5477</f>
        <v>0</v>
      </c>
      <c r="D4710" t="str">
        <f>IF(Profile!C5475="Profile",IF(Profile!A5477="ResourceRequirement","OK","XXX"),"XXX")</f>
        <v>XXX</v>
      </c>
    </row>
    <row r="4711" spans="1:4" x14ac:dyDescent="0.45">
      <c r="A4711">
        <f>ROW()</f>
        <v>4711</v>
      </c>
      <c r="B4711">
        <f>Profile!A5476</f>
        <v>0</v>
      </c>
      <c r="C4711">
        <f>Profile!AP5478</f>
        <v>0</v>
      </c>
      <c r="D4711" t="str">
        <f>IF(Profile!C5476="Profile",IF(Profile!A5478="ResourceRequirement","OK","XXX"),"XXX")</f>
        <v>XXX</v>
      </c>
    </row>
    <row r="4712" spans="1:4" x14ac:dyDescent="0.45">
      <c r="A4712">
        <f>ROW()</f>
        <v>4712</v>
      </c>
      <c r="B4712">
        <f>Profile!A5477</f>
        <v>0</v>
      </c>
      <c r="C4712">
        <f>Profile!AP5479</f>
        <v>0</v>
      </c>
      <c r="D4712" t="str">
        <f>IF(Profile!C5477="Profile",IF(Profile!A5479="ResourceRequirement","OK","XXX"),"XXX")</f>
        <v>XXX</v>
      </c>
    </row>
    <row r="4713" spans="1:4" x14ac:dyDescent="0.45">
      <c r="A4713">
        <f>ROW()</f>
        <v>4713</v>
      </c>
      <c r="B4713">
        <f>Profile!A5478</f>
        <v>0</v>
      </c>
      <c r="C4713">
        <f>Profile!AP5480</f>
        <v>0</v>
      </c>
      <c r="D4713" t="str">
        <f>IF(Profile!C5478="Profile",IF(Profile!A5480="ResourceRequirement","OK","XXX"),"XXX")</f>
        <v>XXX</v>
      </c>
    </row>
    <row r="4714" spans="1:4" x14ac:dyDescent="0.45">
      <c r="A4714">
        <f>ROW()</f>
        <v>4714</v>
      </c>
      <c r="B4714">
        <f>Profile!A5479</f>
        <v>0</v>
      </c>
      <c r="C4714">
        <f>Profile!AP5481</f>
        <v>0</v>
      </c>
      <c r="D4714" t="str">
        <f>IF(Profile!C5479="Profile",IF(Profile!A5481="ResourceRequirement","OK","XXX"),"XXX")</f>
        <v>XXX</v>
      </c>
    </row>
    <row r="4715" spans="1:4" x14ac:dyDescent="0.45">
      <c r="A4715">
        <f>ROW()</f>
        <v>4715</v>
      </c>
      <c r="B4715">
        <f>Profile!A5480</f>
        <v>0</v>
      </c>
      <c r="C4715">
        <f>Profile!AP5482</f>
        <v>0</v>
      </c>
      <c r="D4715" t="str">
        <f>IF(Profile!C5480="Profile",IF(Profile!A5482="ResourceRequirement","OK","XXX"),"XXX")</f>
        <v>XXX</v>
      </c>
    </row>
    <row r="4716" spans="1:4" x14ac:dyDescent="0.45">
      <c r="A4716">
        <f>ROW()</f>
        <v>4716</v>
      </c>
      <c r="B4716">
        <f>Profile!A5481</f>
        <v>0</v>
      </c>
      <c r="C4716">
        <f>Profile!AP5483</f>
        <v>0</v>
      </c>
      <c r="D4716" t="str">
        <f>IF(Profile!C5481="Profile",IF(Profile!A5483="ResourceRequirement","OK","XXX"),"XXX")</f>
        <v>XXX</v>
      </c>
    </row>
    <row r="4717" spans="1:4" x14ac:dyDescent="0.45">
      <c r="A4717">
        <f>ROW()</f>
        <v>4717</v>
      </c>
      <c r="B4717">
        <f>Profile!A5482</f>
        <v>0</v>
      </c>
      <c r="C4717">
        <f>Profile!AP5484</f>
        <v>0</v>
      </c>
      <c r="D4717" t="str">
        <f>IF(Profile!C5482="Profile",IF(Profile!A5484="ResourceRequirement","OK","XXX"),"XXX")</f>
        <v>XXX</v>
      </c>
    </row>
    <row r="4718" spans="1:4" x14ac:dyDescent="0.45">
      <c r="A4718">
        <f>ROW()</f>
        <v>4718</v>
      </c>
      <c r="B4718">
        <f>Profile!A5483</f>
        <v>0</v>
      </c>
      <c r="C4718">
        <f>Profile!AP5485</f>
        <v>0</v>
      </c>
      <c r="D4718" t="str">
        <f>IF(Profile!C5483="Profile",IF(Profile!A5485="ResourceRequirement","OK","XXX"),"XXX")</f>
        <v>XXX</v>
      </c>
    </row>
    <row r="4719" spans="1:4" x14ac:dyDescent="0.45">
      <c r="A4719">
        <f>ROW()</f>
        <v>4719</v>
      </c>
      <c r="B4719">
        <f>Profile!A5484</f>
        <v>0</v>
      </c>
      <c r="C4719">
        <f>Profile!AP5486</f>
        <v>0</v>
      </c>
      <c r="D4719" t="str">
        <f>IF(Profile!C5484="Profile",IF(Profile!A5486="ResourceRequirement","OK","XXX"),"XXX")</f>
        <v>XXX</v>
      </c>
    </row>
    <row r="4720" spans="1:4" x14ac:dyDescent="0.45">
      <c r="A4720">
        <f>ROW()</f>
        <v>4720</v>
      </c>
      <c r="B4720">
        <f>Profile!A5485</f>
        <v>0</v>
      </c>
      <c r="C4720">
        <f>Profile!AP5487</f>
        <v>0</v>
      </c>
      <c r="D4720" t="str">
        <f>IF(Profile!C5485="Profile",IF(Profile!A5487="ResourceRequirement","OK","XXX"),"XXX")</f>
        <v>XXX</v>
      </c>
    </row>
    <row r="4721" spans="1:4" x14ac:dyDescent="0.45">
      <c r="A4721">
        <f>ROW()</f>
        <v>4721</v>
      </c>
      <c r="B4721">
        <f>Profile!A5486</f>
        <v>0</v>
      </c>
      <c r="C4721">
        <f>Profile!AP5488</f>
        <v>0</v>
      </c>
      <c r="D4721" t="str">
        <f>IF(Profile!C5486="Profile",IF(Profile!A5488="ResourceRequirement","OK","XXX"),"XXX")</f>
        <v>XXX</v>
      </c>
    </row>
    <row r="4722" spans="1:4" x14ac:dyDescent="0.45">
      <c r="A4722">
        <f>ROW()</f>
        <v>4722</v>
      </c>
      <c r="B4722">
        <f>Profile!A5487</f>
        <v>0</v>
      </c>
      <c r="C4722">
        <f>Profile!AP5489</f>
        <v>0</v>
      </c>
      <c r="D4722" t="str">
        <f>IF(Profile!C5487="Profile",IF(Profile!A5489="ResourceRequirement","OK","XXX"),"XXX")</f>
        <v>XXX</v>
      </c>
    </row>
    <row r="4723" spans="1:4" x14ac:dyDescent="0.45">
      <c r="A4723">
        <f>ROW()</f>
        <v>4723</v>
      </c>
      <c r="B4723">
        <f>Profile!A5488</f>
        <v>0</v>
      </c>
      <c r="C4723">
        <f>Profile!AP5490</f>
        <v>0</v>
      </c>
      <c r="D4723" t="str">
        <f>IF(Profile!C5488="Profile",IF(Profile!A5490="ResourceRequirement","OK","XXX"),"XXX")</f>
        <v>XXX</v>
      </c>
    </row>
    <row r="4724" spans="1:4" x14ac:dyDescent="0.45">
      <c r="A4724">
        <f>ROW()</f>
        <v>4724</v>
      </c>
      <c r="B4724">
        <f>Profile!A5489</f>
        <v>0</v>
      </c>
      <c r="C4724">
        <f>Profile!AP5491</f>
        <v>0</v>
      </c>
      <c r="D4724" t="str">
        <f>IF(Profile!C5489="Profile",IF(Profile!A5491="ResourceRequirement","OK","XXX"),"XXX")</f>
        <v>XXX</v>
      </c>
    </row>
    <row r="4725" spans="1:4" x14ac:dyDescent="0.45">
      <c r="A4725">
        <f>ROW()</f>
        <v>4725</v>
      </c>
      <c r="B4725">
        <f>Profile!A5490</f>
        <v>0</v>
      </c>
      <c r="C4725">
        <f>Profile!AP5492</f>
        <v>0</v>
      </c>
      <c r="D4725" t="str">
        <f>IF(Profile!C5490="Profile",IF(Profile!A5492="ResourceRequirement","OK","XXX"),"XXX")</f>
        <v>XXX</v>
      </c>
    </row>
    <row r="4726" spans="1:4" x14ac:dyDescent="0.45">
      <c r="A4726">
        <f>ROW()</f>
        <v>4726</v>
      </c>
      <c r="B4726">
        <f>Profile!A5491</f>
        <v>0</v>
      </c>
      <c r="C4726">
        <f>Profile!AP5493</f>
        <v>0</v>
      </c>
      <c r="D4726" t="str">
        <f>IF(Profile!C5491="Profile",IF(Profile!A5493="ResourceRequirement","OK","XXX"),"XXX")</f>
        <v>XXX</v>
      </c>
    </row>
    <row r="4727" spans="1:4" x14ac:dyDescent="0.45">
      <c r="A4727">
        <f>ROW()</f>
        <v>4727</v>
      </c>
      <c r="B4727">
        <f>Profile!A5492</f>
        <v>0</v>
      </c>
      <c r="C4727">
        <f>Profile!AP5494</f>
        <v>0</v>
      </c>
      <c r="D4727" t="str">
        <f>IF(Profile!C5492="Profile",IF(Profile!A5494="ResourceRequirement","OK","XXX"),"XXX")</f>
        <v>XXX</v>
      </c>
    </row>
    <row r="4728" spans="1:4" x14ac:dyDescent="0.45">
      <c r="A4728">
        <f>ROW()</f>
        <v>4728</v>
      </c>
      <c r="B4728">
        <f>Profile!A5493</f>
        <v>0</v>
      </c>
      <c r="C4728">
        <f>Profile!AP5495</f>
        <v>0</v>
      </c>
      <c r="D4728" t="str">
        <f>IF(Profile!C5493="Profile",IF(Profile!A5495="ResourceRequirement","OK","XXX"),"XXX")</f>
        <v>XXX</v>
      </c>
    </row>
    <row r="4729" spans="1:4" x14ac:dyDescent="0.45">
      <c r="A4729">
        <f>ROW()</f>
        <v>4729</v>
      </c>
      <c r="B4729">
        <f>Profile!A5494</f>
        <v>0</v>
      </c>
      <c r="C4729">
        <f>Profile!AP5496</f>
        <v>0</v>
      </c>
      <c r="D4729" t="str">
        <f>IF(Profile!C5494="Profile",IF(Profile!A5496="ResourceRequirement","OK","XXX"),"XXX")</f>
        <v>XXX</v>
      </c>
    </row>
    <row r="4730" spans="1:4" x14ac:dyDescent="0.45">
      <c r="A4730">
        <f>ROW()</f>
        <v>4730</v>
      </c>
      <c r="B4730">
        <f>Profile!A5495</f>
        <v>0</v>
      </c>
      <c r="C4730">
        <f>Profile!AP5497</f>
        <v>0</v>
      </c>
      <c r="D4730" t="str">
        <f>IF(Profile!C5495="Profile",IF(Profile!A5497="ResourceRequirement","OK","XXX"),"XXX")</f>
        <v>XXX</v>
      </c>
    </row>
    <row r="4731" spans="1:4" x14ac:dyDescent="0.45">
      <c r="A4731">
        <f>ROW()</f>
        <v>4731</v>
      </c>
      <c r="B4731">
        <f>Profile!A5496</f>
        <v>0</v>
      </c>
      <c r="C4731">
        <f>Profile!AP5498</f>
        <v>0</v>
      </c>
      <c r="D4731" t="str">
        <f>IF(Profile!C5496="Profile",IF(Profile!A5498="ResourceRequirement","OK","XXX"),"XXX")</f>
        <v>XXX</v>
      </c>
    </row>
    <row r="4732" spans="1:4" x14ac:dyDescent="0.45">
      <c r="A4732">
        <f>ROW()</f>
        <v>4732</v>
      </c>
      <c r="B4732">
        <f>Profile!A5497</f>
        <v>0</v>
      </c>
      <c r="C4732">
        <f>Profile!AP5499</f>
        <v>0</v>
      </c>
      <c r="D4732" t="str">
        <f>IF(Profile!C5497="Profile",IF(Profile!A5499="ResourceRequirement","OK","XXX"),"XXX")</f>
        <v>XXX</v>
      </c>
    </row>
    <row r="4733" spans="1:4" x14ac:dyDescent="0.45">
      <c r="A4733">
        <f>ROW()</f>
        <v>4733</v>
      </c>
      <c r="B4733">
        <f>Profile!A5498</f>
        <v>0</v>
      </c>
      <c r="C4733">
        <f>Profile!AP5500</f>
        <v>0</v>
      </c>
      <c r="D4733" t="str">
        <f>IF(Profile!C5498="Profile",IF(Profile!A5500="ResourceRequirement","OK","XXX"),"XXX")</f>
        <v>XXX</v>
      </c>
    </row>
    <row r="4734" spans="1:4" x14ac:dyDescent="0.45">
      <c r="A4734">
        <f>ROW()</f>
        <v>4734</v>
      </c>
      <c r="B4734">
        <f>Profile!A5499</f>
        <v>0</v>
      </c>
      <c r="C4734">
        <f>Profile!AP5501</f>
        <v>0</v>
      </c>
      <c r="D4734" t="str">
        <f>IF(Profile!C5499="Profile",IF(Profile!A5501="ResourceRequirement","OK","XXX"),"XXX")</f>
        <v>XXX</v>
      </c>
    </row>
    <row r="4735" spans="1:4" x14ac:dyDescent="0.45">
      <c r="A4735">
        <f>ROW()</f>
        <v>4735</v>
      </c>
      <c r="B4735">
        <f>Profile!A5500</f>
        <v>0</v>
      </c>
      <c r="C4735">
        <f>Profile!AP5502</f>
        <v>0</v>
      </c>
      <c r="D4735" t="str">
        <f>IF(Profile!C5500="Profile",IF(Profile!A5502="ResourceRequirement","OK","XXX"),"XXX")</f>
        <v>XXX</v>
      </c>
    </row>
    <row r="4736" spans="1:4" x14ac:dyDescent="0.45">
      <c r="A4736">
        <f>ROW()</f>
        <v>4736</v>
      </c>
      <c r="B4736">
        <f>Profile!A5501</f>
        <v>0</v>
      </c>
      <c r="C4736">
        <f>Profile!AP5503</f>
        <v>0</v>
      </c>
      <c r="D4736" t="str">
        <f>IF(Profile!C5501="Profile",IF(Profile!A5503="ResourceRequirement","OK","XXX"),"XXX")</f>
        <v>XXX</v>
      </c>
    </row>
    <row r="4737" spans="1:4" x14ac:dyDescent="0.45">
      <c r="A4737">
        <f>ROW()</f>
        <v>4737</v>
      </c>
      <c r="B4737">
        <f>Profile!A5502</f>
        <v>0</v>
      </c>
      <c r="C4737">
        <f>Profile!AP5504</f>
        <v>0</v>
      </c>
      <c r="D4737" t="str">
        <f>IF(Profile!C5502="Profile",IF(Profile!A5504="ResourceRequirement","OK","XXX"),"XXX")</f>
        <v>XXX</v>
      </c>
    </row>
    <row r="4738" spans="1:4" x14ac:dyDescent="0.45">
      <c r="A4738">
        <f>ROW()</f>
        <v>4738</v>
      </c>
      <c r="B4738">
        <f>Profile!A5503</f>
        <v>0</v>
      </c>
      <c r="C4738">
        <f>Profile!AP5505</f>
        <v>0</v>
      </c>
      <c r="D4738" t="str">
        <f>IF(Profile!C5503="Profile",IF(Profile!A5505="ResourceRequirement","OK","XXX"),"XXX")</f>
        <v>XXX</v>
      </c>
    </row>
    <row r="4739" spans="1:4" x14ac:dyDescent="0.45">
      <c r="A4739">
        <f>ROW()</f>
        <v>4739</v>
      </c>
      <c r="B4739">
        <f>Profile!A5504</f>
        <v>0</v>
      </c>
      <c r="C4739">
        <f>Profile!AP5506</f>
        <v>0</v>
      </c>
      <c r="D4739" t="str">
        <f>IF(Profile!C5504="Profile",IF(Profile!A5506="ResourceRequirement","OK","XXX"),"XXX")</f>
        <v>XXX</v>
      </c>
    </row>
    <row r="4740" spans="1:4" x14ac:dyDescent="0.45">
      <c r="A4740">
        <f>ROW()</f>
        <v>4740</v>
      </c>
      <c r="B4740">
        <f>Profile!A5505</f>
        <v>0</v>
      </c>
      <c r="C4740">
        <f>Profile!AP5507</f>
        <v>0</v>
      </c>
      <c r="D4740" t="str">
        <f>IF(Profile!C5505="Profile",IF(Profile!A5507="ResourceRequirement","OK","XXX"),"XXX")</f>
        <v>XXX</v>
      </c>
    </row>
    <row r="4741" spans="1:4" x14ac:dyDescent="0.45">
      <c r="A4741">
        <f>ROW()</f>
        <v>4741</v>
      </c>
      <c r="B4741">
        <f>Profile!A5506</f>
        <v>0</v>
      </c>
      <c r="C4741">
        <f>Profile!AP5508</f>
        <v>0</v>
      </c>
      <c r="D4741" t="str">
        <f>IF(Profile!C5506="Profile",IF(Profile!A5508="ResourceRequirement","OK","XXX"),"XXX")</f>
        <v>XXX</v>
      </c>
    </row>
    <row r="4742" spans="1:4" x14ac:dyDescent="0.45">
      <c r="A4742">
        <f>ROW()</f>
        <v>4742</v>
      </c>
      <c r="B4742">
        <f>Profile!A5507</f>
        <v>0</v>
      </c>
      <c r="C4742">
        <f>Profile!AP5509</f>
        <v>0</v>
      </c>
      <c r="D4742" t="str">
        <f>IF(Profile!C5507="Profile",IF(Profile!A5509="ResourceRequirement","OK","XXX"),"XXX")</f>
        <v>XXX</v>
      </c>
    </row>
    <row r="4743" spans="1:4" x14ac:dyDescent="0.45">
      <c r="A4743">
        <f>ROW()</f>
        <v>4743</v>
      </c>
      <c r="B4743">
        <f>Profile!A5508</f>
        <v>0</v>
      </c>
      <c r="C4743">
        <f>Profile!AP5510</f>
        <v>0</v>
      </c>
      <c r="D4743" t="str">
        <f>IF(Profile!C5508="Profile",IF(Profile!A5510="ResourceRequirement","OK","XXX"),"XXX")</f>
        <v>XXX</v>
      </c>
    </row>
    <row r="4744" spans="1:4" x14ac:dyDescent="0.45">
      <c r="A4744">
        <f>ROW()</f>
        <v>4744</v>
      </c>
      <c r="B4744">
        <f>Profile!A5509</f>
        <v>0</v>
      </c>
      <c r="C4744">
        <f>Profile!AP5511</f>
        <v>0</v>
      </c>
      <c r="D4744" t="str">
        <f>IF(Profile!C5509="Profile",IF(Profile!A5511="ResourceRequirement","OK","XXX"),"XXX")</f>
        <v>XXX</v>
      </c>
    </row>
    <row r="4745" spans="1:4" x14ac:dyDescent="0.45">
      <c r="A4745">
        <f>ROW()</f>
        <v>4745</v>
      </c>
      <c r="B4745">
        <f>Profile!A5510</f>
        <v>0</v>
      </c>
      <c r="C4745">
        <f>Profile!AP5512</f>
        <v>0</v>
      </c>
      <c r="D4745" t="str">
        <f>IF(Profile!C5510="Profile",IF(Profile!A5512="ResourceRequirement","OK","XXX"),"XXX")</f>
        <v>XXX</v>
      </c>
    </row>
    <row r="4746" spans="1:4" x14ac:dyDescent="0.45">
      <c r="A4746">
        <f>ROW()</f>
        <v>4746</v>
      </c>
      <c r="B4746">
        <f>Profile!A5511</f>
        <v>0</v>
      </c>
      <c r="C4746">
        <f>Profile!AP5513</f>
        <v>0</v>
      </c>
      <c r="D4746" t="str">
        <f>IF(Profile!C5511="Profile",IF(Profile!A5513="ResourceRequirement","OK","XXX"),"XXX")</f>
        <v>XXX</v>
      </c>
    </row>
    <row r="4747" spans="1:4" x14ac:dyDescent="0.45">
      <c r="A4747">
        <f>ROW()</f>
        <v>4747</v>
      </c>
      <c r="B4747">
        <f>Profile!A5512</f>
        <v>0</v>
      </c>
      <c r="C4747">
        <f>Profile!AP5514</f>
        <v>0</v>
      </c>
      <c r="D4747" t="str">
        <f>IF(Profile!C5512="Profile",IF(Profile!A5514="ResourceRequirement","OK","XXX"),"XXX")</f>
        <v>XXX</v>
      </c>
    </row>
    <row r="4748" spans="1:4" x14ac:dyDescent="0.45">
      <c r="A4748">
        <f>ROW()</f>
        <v>4748</v>
      </c>
      <c r="B4748">
        <f>Profile!A5513</f>
        <v>0</v>
      </c>
      <c r="C4748">
        <f>Profile!AP5515</f>
        <v>0</v>
      </c>
      <c r="D4748" t="str">
        <f>IF(Profile!C5513="Profile",IF(Profile!A5515="ResourceRequirement","OK","XXX"),"XXX")</f>
        <v>XXX</v>
      </c>
    </row>
    <row r="4749" spans="1:4" x14ac:dyDescent="0.45">
      <c r="A4749">
        <f>ROW()</f>
        <v>4749</v>
      </c>
      <c r="B4749">
        <f>Profile!A5514</f>
        <v>0</v>
      </c>
      <c r="C4749">
        <f>Profile!AP5516</f>
        <v>0</v>
      </c>
      <c r="D4749" t="str">
        <f>IF(Profile!C5514="Profile",IF(Profile!A5516="ResourceRequirement","OK","XXX"),"XXX")</f>
        <v>XXX</v>
      </c>
    </row>
    <row r="4750" spans="1:4" x14ac:dyDescent="0.45">
      <c r="A4750">
        <f>ROW()</f>
        <v>4750</v>
      </c>
      <c r="B4750">
        <f>Profile!A5515</f>
        <v>0</v>
      </c>
      <c r="C4750">
        <f>Profile!AP5517</f>
        <v>0</v>
      </c>
      <c r="D4750" t="str">
        <f>IF(Profile!C5515="Profile",IF(Profile!A5517="ResourceRequirement","OK","XXX"),"XXX")</f>
        <v>XXX</v>
      </c>
    </row>
    <row r="4751" spans="1:4" x14ac:dyDescent="0.45">
      <c r="A4751">
        <f>ROW()</f>
        <v>4751</v>
      </c>
      <c r="B4751">
        <f>Profile!A5516</f>
        <v>0</v>
      </c>
      <c r="C4751">
        <f>Profile!AP5518</f>
        <v>0</v>
      </c>
      <c r="D4751" t="str">
        <f>IF(Profile!C5516="Profile",IF(Profile!A5518="ResourceRequirement","OK","XXX"),"XXX")</f>
        <v>XXX</v>
      </c>
    </row>
    <row r="4752" spans="1:4" x14ac:dyDescent="0.45">
      <c r="A4752">
        <f>ROW()</f>
        <v>4752</v>
      </c>
      <c r="B4752">
        <f>Profile!A5517</f>
        <v>0</v>
      </c>
      <c r="C4752">
        <f>Profile!AP5519</f>
        <v>0</v>
      </c>
      <c r="D4752" t="str">
        <f>IF(Profile!C5517="Profile",IF(Profile!A5519="ResourceRequirement","OK","XXX"),"XXX")</f>
        <v>XXX</v>
      </c>
    </row>
    <row r="4753" spans="1:4" x14ac:dyDescent="0.45">
      <c r="A4753">
        <f>ROW()</f>
        <v>4753</v>
      </c>
      <c r="B4753">
        <f>Profile!A5518</f>
        <v>0</v>
      </c>
      <c r="C4753">
        <f>Profile!AP5520</f>
        <v>0</v>
      </c>
      <c r="D4753" t="str">
        <f>IF(Profile!C5518="Profile",IF(Profile!A5520="ResourceRequirement","OK","XXX"),"XXX")</f>
        <v>XXX</v>
      </c>
    </row>
    <row r="4754" spans="1:4" x14ac:dyDescent="0.45">
      <c r="A4754">
        <f>ROW()</f>
        <v>4754</v>
      </c>
      <c r="B4754">
        <f>Profile!A5519</f>
        <v>0</v>
      </c>
      <c r="C4754">
        <f>Profile!AP5521</f>
        <v>0</v>
      </c>
      <c r="D4754" t="str">
        <f>IF(Profile!C5519="Profile",IF(Profile!A5521="ResourceRequirement","OK","XXX"),"XXX")</f>
        <v>XXX</v>
      </c>
    </row>
    <row r="4755" spans="1:4" x14ac:dyDescent="0.45">
      <c r="A4755">
        <f>ROW()</f>
        <v>4755</v>
      </c>
      <c r="B4755">
        <f>Profile!A5520</f>
        <v>0</v>
      </c>
      <c r="C4755">
        <f>Profile!AP5522</f>
        <v>0</v>
      </c>
      <c r="D4755" t="str">
        <f>IF(Profile!C5520="Profile",IF(Profile!A5522="ResourceRequirement","OK","XXX"),"XXX")</f>
        <v>XXX</v>
      </c>
    </row>
    <row r="4756" spans="1:4" x14ac:dyDescent="0.45">
      <c r="A4756">
        <f>ROW()</f>
        <v>4756</v>
      </c>
      <c r="B4756">
        <f>Profile!A5521</f>
        <v>0</v>
      </c>
      <c r="C4756">
        <f>Profile!AP5523</f>
        <v>0</v>
      </c>
      <c r="D4756" t="str">
        <f>IF(Profile!C5521="Profile",IF(Profile!A5523="ResourceRequirement","OK","XXX"),"XXX")</f>
        <v>XXX</v>
      </c>
    </row>
    <row r="4757" spans="1:4" x14ac:dyDescent="0.45">
      <c r="A4757">
        <f>ROW()</f>
        <v>4757</v>
      </c>
      <c r="B4757">
        <f>Profile!A5522</f>
        <v>0</v>
      </c>
      <c r="C4757">
        <f>Profile!AP5524</f>
        <v>0</v>
      </c>
      <c r="D4757" t="str">
        <f>IF(Profile!C5522="Profile",IF(Profile!A5524="ResourceRequirement","OK","XXX"),"XXX")</f>
        <v>XXX</v>
      </c>
    </row>
    <row r="4758" spans="1:4" x14ac:dyDescent="0.45">
      <c r="A4758">
        <f>ROW()</f>
        <v>4758</v>
      </c>
      <c r="B4758">
        <f>Profile!A5523</f>
        <v>0</v>
      </c>
      <c r="C4758">
        <f>Profile!AP5525</f>
        <v>0</v>
      </c>
      <c r="D4758" t="str">
        <f>IF(Profile!C5523="Profile",IF(Profile!A5525="ResourceRequirement","OK","XXX"),"XXX")</f>
        <v>XXX</v>
      </c>
    </row>
    <row r="4759" spans="1:4" x14ac:dyDescent="0.45">
      <c r="A4759">
        <f>ROW()</f>
        <v>4759</v>
      </c>
      <c r="B4759">
        <f>Profile!A5524</f>
        <v>0</v>
      </c>
      <c r="C4759">
        <f>Profile!AP5526</f>
        <v>0</v>
      </c>
      <c r="D4759" t="str">
        <f>IF(Profile!C5524="Profile",IF(Profile!A5526="ResourceRequirement","OK","XXX"),"XXX")</f>
        <v>XXX</v>
      </c>
    </row>
    <row r="4760" spans="1:4" x14ac:dyDescent="0.45">
      <c r="A4760">
        <f>ROW()</f>
        <v>4760</v>
      </c>
      <c r="B4760">
        <f>Profile!A5525</f>
        <v>0</v>
      </c>
      <c r="C4760">
        <f>Profile!AP5527</f>
        <v>0</v>
      </c>
      <c r="D4760" t="str">
        <f>IF(Profile!C5525="Profile",IF(Profile!A5527="ResourceRequirement","OK","XXX"),"XXX")</f>
        <v>XXX</v>
      </c>
    </row>
    <row r="4761" spans="1:4" x14ac:dyDescent="0.45">
      <c r="A4761">
        <f>ROW()</f>
        <v>4761</v>
      </c>
      <c r="B4761">
        <f>Profile!A5526</f>
        <v>0</v>
      </c>
      <c r="C4761">
        <f>Profile!AP5528</f>
        <v>0</v>
      </c>
      <c r="D4761" t="str">
        <f>IF(Profile!C5526="Profile",IF(Profile!A5528="ResourceRequirement","OK","XXX"),"XXX")</f>
        <v>XXX</v>
      </c>
    </row>
    <row r="4762" spans="1:4" x14ac:dyDescent="0.45">
      <c r="A4762">
        <f>ROW()</f>
        <v>4762</v>
      </c>
      <c r="B4762">
        <f>Profile!A5527</f>
        <v>0</v>
      </c>
      <c r="C4762">
        <f>Profile!AP5529</f>
        <v>0</v>
      </c>
      <c r="D4762" t="str">
        <f>IF(Profile!C5527="Profile",IF(Profile!A5529="ResourceRequirement","OK","XXX"),"XXX")</f>
        <v>XXX</v>
      </c>
    </row>
    <row r="4763" spans="1:4" x14ac:dyDescent="0.45">
      <c r="A4763">
        <f>ROW()</f>
        <v>4763</v>
      </c>
      <c r="B4763">
        <f>Profile!A5528</f>
        <v>0</v>
      </c>
      <c r="C4763">
        <f>Profile!AP5530</f>
        <v>0</v>
      </c>
      <c r="D4763" t="str">
        <f>IF(Profile!C5528="Profile",IF(Profile!A5530="ResourceRequirement","OK","XXX"),"XXX")</f>
        <v>XXX</v>
      </c>
    </row>
    <row r="4764" spans="1:4" x14ac:dyDescent="0.45">
      <c r="A4764">
        <f>ROW()</f>
        <v>4764</v>
      </c>
      <c r="B4764">
        <f>Profile!A5529</f>
        <v>0</v>
      </c>
      <c r="C4764">
        <f>Profile!AP5531</f>
        <v>0</v>
      </c>
      <c r="D4764" t="str">
        <f>IF(Profile!C5529="Profile",IF(Profile!A5531="ResourceRequirement","OK","XXX"),"XXX")</f>
        <v>XXX</v>
      </c>
    </row>
    <row r="4765" spans="1:4" x14ac:dyDescent="0.45">
      <c r="A4765">
        <f>ROW()</f>
        <v>4765</v>
      </c>
      <c r="B4765">
        <f>Profile!A5530</f>
        <v>0</v>
      </c>
      <c r="C4765">
        <f>Profile!AP5532</f>
        <v>0</v>
      </c>
      <c r="D4765" t="str">
        <f>IF(Profile!C5530="Profile",IF(Profile!A5532="ResourceRequirement","OK","XXX"),"XXX")</f>
        <v>XXX</v>
      </c>
    </row>
    <row r="4766" spans="1:4" x14ac:dyDescent="0.45">
      <c r="A4766">
        <f>ROW()</f>
        <v>4766</v>
      </c>
      <c r="B4766">
        <f>Profile!A5531</f>
        <v>0</v>
      </c>
      <c r="C4766">
        <f>Profile!AP5533</f>
        <v>0</v>
      </c>
      <c r="D4766" t="str">
        <f>IF(Profile!C5531="Profile",IF(Profile!A5533="ResourceRequirement","OK","XXX"),"XXX")</f>
        <v>XXX</v>
      </c>
    </row>
    <row r="4767" spans="1:4" x14ac:dyDescent="0.45">
      <c r="A4767">
        <f>ROW()</f>
        <v>4767</v>
      </c>
      <c r="B4767">
        <f>Profile!A5532</f>
        <v>0</v>
      </c>
      <c r="C4767">
        <f>Profile!AP5534</f>
        <v>0</v>
      </c>
      <c r="D4767" t="str">
        <f>IF(Profile!C5532="Profile",IF(Profile!A5534="ResourceRequirement","OK","XXX"),"XXX")</f>
        <v>XXX</v>
      </c>
    </row>
    <row r="4768" spans="1:4" x14ac:dyDescent="0.45">
      <c r="A4768">
        <f>ROW()</f>
        <v>4768</v>
      </c>
      <c r="B4768">
        <f>Profile!A5533</f>
        <v>0</v>
      </c>
      <c r="C4768">
        <f>Profile!AP5535</f>
        <v>0</v>
      </c>
      <c r="D4768" t="str">
        <f>IF(Profile!C5533="Profile",IF(Profile!A5535="ResourceRequirement","OK","XXX"),"XXX")</f>
        <v>XXX</v>
      </c>
    </row>
    <row r="4769" spans="1:4" x14ac:dyDescent="0.45">
      <c r="A4769">
        <f>ROW()</f>
        <v>4769</v>
      </c>
      <c r="B4769">
        <f>Profile!A5534</f>
        <v>0</v>
      </c>
      <c r="C4769">
        <f>Profile!AP5536</f>
        <v>0</v>
      </c>
      <c r="D4769" t="str">
        <f>IF(Profile!C5534="Profile",IF(Profile!A5536="ResourceRequirement","OK","XXX"),"XXX")</f>
        <v>XXX</v>
      </c>
    </row>
    <row r="4770" spans="1:4" x14ac:dyDescent="0.45">
      <c r="A4770">
        <f>ROW()</f>
        <v>4770</v>
      </c>
      <c r="B4770">
        <f>Profile!A5535</f>
        <v>0</v>
      </c>
      <c r="C4770">
        <f>Profile!AP5537</f>
        <v>0</v>
      </c>
      <c r="D4770" t="str">
        <f>IF(Profile!C5535="Profile",IF(Profile!A5537="ResourceRequirement","OK","XXX"),"XXX")</f>
        <v>XXX</v>
      </c>
    </row>
    <row r="4771" spans="1:4" x14ac:dyDescent="0.45">
      <c r="A4771">
        <f>ROW()</f>
        <v>4771</v>
      </c>
      <c r="B4771">
        <f>Profile!A5536</f>
        <v>0</v>
      </c>
      <c r="C4771">
        <f>Profile!AP5538</f>
        <v>0</v>
      </c>
      <c r="D4771" t="str">
        <f>IF(Profile!C5536="Profile",IF(Profile!A5538="ResourceRequirement","OK","XXX"),"XXX")</f>
        <v>XXX</v>
      </c>
    </row>
    <row r="4772" spans="1:4" x14ac:dyDescent="0.45">
      <c r="A4772">
        <f>ROW()</f>
        <v>4772</v>
      </c>
      <c r="B4772">
        <f>Profile!A5537</f>
        <v>0</v>
      </c>
      <c r="C4772">
        <f>Profile!AP5539</f>
        <v>0</v>
      </c>
      <c r="D4772" t="str">
        <f>IF(Profile!C5537="Profile",IF(Profile!A5539="ResourceRequirement","OK","XXX"),"XXX")</f>
        <v>XXX</v>
      </c>
    </row>
    <row r="4773" spans="1:4" x14ac:dyDescent="0.45">
      <c r="A4773">
        <f>ROW()</f>
        <v>4773</v>
      </c>
      <c r="B4773">
        <f>Profile!A5538</f>
        <v>0</v>
      </c>
      <c r="C4773">
        <f>Profile!AP5540</f>
        <v>0</v>
      </c>
      <c r="D4773" t="str">
        <f>IF(Profile!C5538="Profile",IF(Profile!A5540="ResourceRequirement","OK","XXX"),"XXX")</f>
        <v>XXX</v>
      </c>
    </row>
    <row r="4774" spans="1:4" x14ac:dyDescent="0.45">
      <c r="A4774">
        <f>ROW()</f>
        <v>4774</v>
      </c>
      <c r="B4774">
        <f>Profile!A5539</f>
        <v>0</v>
      </c>
      <c r="C4774">
        <f>Profile!AP5541</f>
        <v>0</v>
      </c>
      <c r="D4774" t="str">
        <f>IF(Profile!C5539="Profile",IF(Profile!A5541="ResourceRequirement","OK","XXX"),"XXX")</f>
        <v>XXX</v>
      </c>
    </row>
    <row r="4775" spans="1:4" x14ac:dyDescent="0.45">
      <c r="A4775">
        <f>ROW()</f>
        <v>4775</v>
      </c>
      <c r="B4775">
        <f>Profile!A5540</f>
        <v>0</v>
      </c>
      <c r="C4775">
        <f>Profile!AP5542</f>
        <v>0</v>
      </c>
      <c r="D4775" t="str">
        <f>IF(Profile!C5540="Profile",IF(Profile!A5542="ResourceRequirement","OK","XXX"),"XXX")</f>
        <v>XXX</v>
      </c>
    </row>
    <row r="4776" spans="1:4" x14ac:dyDescent="0.45">
      <c r="A4776">
        <f>ROW()</f>
        <v>4776</v>
      </c>
      <c r="B4776">
        <f>Profile!A5541</f>
        <v>0</v>
      </c>
      <c r="C4776">
        <f>Profile!AP5543</f>
        <v>0</v>
      </c>
      <c r="D4776" t="str">
        <f>IF(Profile!C5541="Profile",IF(Profile!A5543="ResourceRequirement","OK","XXX"),"XXX")</f>
        <v>XXX</v>
      </c>
    </row>
    <row r="4777" spans="1:4" x14ac:dyDescent="0.45">
      <c r="A4777">
        <f>ROW()</f>
        <v>4777</v>
      </c>
      <c r="B4777">
        <f>Profile!A5542</f>
        <v>0</v>
      </c>
      <c r="C4777">
        <f>Profile!AP5544</f>
        <v>0</v>
      </c>
      <c r="D4777" t="str">
        <f>IF(Profile!C5542="Profile",IF(Profile!A5544="ResourceRequirement","OK","XXX"),"XXX")</f>
        <v>XXX</v>
      </c>
    </row>
    <row r="4778" spans="1:4" x14ac:dyDescent="0.45">
      <c r="A4778">
        <f>ROW()</f>
        <v>4778</v>
      </c>
      <c r="B4778">
        <f>Profile!A5543</f>
        <v>0</v>
      </c>
      <c r="C4778">
        <f>Profile!AP5545</f>
        <v>0</v>
      </c>
      <c r="D4778" t="str">
        <f>IF(Profile!C5543="Profile",IF(Profile!A5545="ResourceRequirement","OK","XXX"),"XXX")</f>
        <v>XXX</v>
      </c>
    </row>
    <row r="4779" spans="1:4" x14ac:dyDescent="0.45">
      <c r="A4779">
        <f>ROW()</f>
        <v>4779</v>
      </c>
      <c r="B4779">
        <f>Profile!A5544</f>
        <v>0</v>
      </c>
      <c r="C4779">
        <f>Profile!AP5546</f>
        <v>0</v>
      </c>
      <c r="D4779" t="str">
        <f>IF(Profile!C5544="Profile",IF(Profile!A5546="ResourceRequirement","OK","XXX"),"XXX")</f>
        <v>XXX</v>
      </c>
    </row>
    <row r="4780" spans="1:4" x14ac:dyDescent="0.45">
      <c r="A4780">
        <f>ROW()</f>
        <v>4780</v>
      </c>
      <c r="B4780">
        <f>Profile!A5545</f>
        <v>0</v>
      </c>
      <c r="C4780">
        <f>Profile!AP5547</f>
        <v>0</v>
      </c>
      <c r="D4780" t="str">
        <f>IF(Profile!C5545="Profile",IF(Profile!A5547="ResourceRequirement","OK","XXX"),"XXX")</f>
        <v>XXX</v>
      </c>
    </row>
    <row r="4781" spans="1:4" x14ac:dyDescent="0.45">
      <c r="A4781">
        <f>ROW()</f>
        <v>4781</v>
      </c>
      <c r="B4781">
        <f>Profile!A5546</f>
        <v>0</v>
      </c>
      <c r="C4781">
        <f>Profile!AP5548</f>
        <v>0</v>
      </c>
      <c r="D4781" t="str">
        <f>IF(Profile!C5546="Profile",IF(Profile!A5548="ResourceRequirement","OK","XXX"),"XXX")</f>
        <v>XXX</v>
      </c>
    </row>
    <row r="4782" spans="1:4" x14ac:dyDescent="0.45">
      <c r="A4782">
        <f>ROW()</f>
        <v>4782</v>
      </c>
      <c r="B4782">
        <f>Profile!A5547</f>
        <v>0</v>
      </c>
      <c r="C4782">
        <f>Profile!AP5549</f>
        <v>0</v>
      </c>
      <c r="D4782" t="str">
        <f>IF(Profile!C5547="Profile",IF(Profile!A5549="ResourceRequirement","OK","XXX"),"XXX")</f>
        <v>XXX</v>
      </c>
    </row>
    <row r="4783" spans="1:4" x14ac:dyDescent="0.45">
      <c r="A4783">
        <f>ROW()</f>
        <v>4783</v>
      </c>
      <c r="B4783">
        <f>Profile!A5548</f>
        <v>0</v>
      </c>
      <c r="C4783">
        <f>Profile!AP5550</f>
        <v>0</v>
      </c>
      <c r="D4783" t="str">
        <f>IF(Profile!C5548="Profile",IF(Profile!A5550="ResourceRequirement","OK","XXX"),"XXX")</f>
        <v>XXX</v>
      </c>
    </row>
    <row r="4784" spans="1:4" x14ac:dyDescent="0.45">
      <c r="A4784">
        <f>ROW()</f>
        <v>4784</v>
      </c>
      <c r="B4784">
        <f>Profile!A5549</f>
        <v>0</v>
      </c>
      <c r="C4784">
        <f>Profile!AP5551</f>
        <v>0</v>
      </c>
      <c r="D4784" t="str">
        <f>IF(Profile!C5549="Profile",IF(Profile!A5551="ResourceRequirement","OK","XXX"),"XXX")</f>
        <v>XXX</v>
      </c>
    </row>
    <row r="4785" spans="1:4" x14ac:dyDescent="0.45">
      <c r="A4785">
        <f>ROW()</f>
        <v>4785</v>
      </c>
      <c r="B4785">
        <f>Profile!A5550</f>
        <v>0</v>
      </c>
      <c r="C4785">
        <f>Profile!AP5552</f>
        <v>0</v>
      </c>
      <c r="D4785" t="str">
        <f>IF(Profile!C5550="Profile",IF(Profile!A5552="ResourceRequirement","OK","XXX"),"XXX")</f>
        <v>XXX</v>
      </c>
    </row>
    <row r="4786" spans="1:4" x14ac:dyDescent="0.45">
      <c r="A4786">
        <f>ROW()</f>
        <v>4786</v>
      </c>
      <c r="B4786">
        <f>Profile!A5551</f>
        <v>0</v>
      </c>
      <c r="C4786">
        <f>Profile!AP5553</f>
        <v>0</v>
      </c>
      <c r="D4786" t="str">
        <f>IF(Profile!C5551="Profile",IF(Profile!A5553="ResourceRequirement","OK","XXX"),"XXX")</f>
        <v>XXX</v>
      </c>
    </row>
    <row r="4787" spans="1:4" x14ac:dyDescent="0.45">
      <c r="A4787">
        <f>ROW()</f>
        <v>4787</v>
      </c>
      <c r="B4787">
        <f>Profile!A5552</f>
        <v>0</v>
      </c>
      <c r="C4787">
        <f>Profile!AP5554</f>
        <v>0</v>
      </c>
      <c r="D4787" t="str">
        <f>IF(Profile!C5552="Profile",IF(Profile!A5554="ResourceRequirement","OK","XXX"),"XXX")</f>
        <v>XXX</v>
      </c>
    </row>
    <row r="4788" spans="1:4" x14ac:dyDescent="0.45">
      <c r="A4788">
        <f>ROW()</f>
        <v>4788</v>
      </c>
      <c r="B4788">
        <f>Profile!A5553</f>
        <v>0</v>
      </c>
      <c r="C4788">
        <f>Profile!AP5555</f>
        <v>0</v>
      </c>
      <c r="D4788" t="str">
        <f>IF(Profile!C5553="Profile",IF(Profile!A5555="ResourceRequirement","OK","XXX"),"XXX")</f>
        <v>XXX</v>
      </c>
    </row>
    <row r="4789" spans="1:4" x14ac:dyDescent="0.45">
      <c r="A4789">
        <f>ROW()</f>
        <v>4789</v>
      </c>
      <c r="B4789">
        <f>Profile!A5554</f>
        <v>0</v>
      </c>
      <c r="C4789">
        <f>Profile!AP5556</f>
        <v>0</v>
      </c>
      <c r="D4789" t="str">
        <f>IF(Profile!C5554="Profile",IF(Profile!A5556="ResourceRequirement","OK","XXX"),"XXX")</f>
        <v>XXX</v>
      </c>
    </row>
    <row r="4790" spans="1:4" x14ac:dyDescent="0.45">
      <c r="A4790">
        <f>ROW()</f>
        <v>4790</v>
      </c>
      <c r="B4790">
        <f>Profile!A5555</f>
        <v>0</v>
      </c>
      <c r="C4790">
        <f>Profile!AP5557</f>
        <v>0</v>
      </c>
      <c r="D4790" t="str">
        <f>IF(Profile!C5555="Profile",IF(Profile!A5557="ResourceRequirement","OK","XXX"),"XXX")</f>
        <v>XXX</v>
      </c>
    </row>
    <row r="4791" spans="1:4" x14ac:dyDescent="0.45">
      <c r="A4791">
        <f>ROW()</f>
        <v>4791</v>
      </c>
      <c r="B4791">
        <f>Profile!A5556</f>
        <v>0</v>
      </c>
      <c r="C4791">
        <f>Profile!AP5558</f>
        <v>0</v>
      </c>
      <c r="D4791" t="str">
        <f>IF(Profile!C5556="Profile",IF(Profile!A5558="ResourceRequirement","OK","XXX"),"XXX")</f>
        <v>XXX</v>
      </c>
    </row>
    <row r="4792" spans="1:4" x14ac:dyDescent="0.45">
      <c r="A4792">
        <f>ROW()</f>
        <v>4792</v>
      </c>
      <c r="B4792">
        <f>Profile!A5557</f>
        <v>0</v>
      </c>
      <c r="C4792">
        <f>Profile!AP5559</f>
        <v>0</v>
      </c>
      <c r="D4792" t="str">
        <f>IF(Profile!C5557="Profile",IF(Profile!A5559="ResourceRequirement","OK","XXX"),"XXX")</f>
        <v>XXX</v>
      </c>
    </row>
    <row r="4793" spans="1:4" x14ac:dyDescent="0.45">
      <c r="A4793">
        <f>ROW()</f>
        <v>4793</v>
      </c>
      <c r="B4793">
        <f>Profile!A5558</f>
        <v>0</v>
      </c>
      <c r="C4793">
        <f>Profile!AP5560</f>
        <v>0</v>
      </c>
      <c r="D4793" t="str">
        <f>IF(Profile!C5558="Profile",IF(Profile!A5560="ResourceRequirement","OK","XXX"),"XXX")</f>
        <v>XXX</v>
      </c>
    </row>
    <row r="4794" spans="1:4" x14ac:dyDescent="0.45">
      <c r="A4794">
        <f>ROW()</f>
        <v>4794</v>
      </c>
      <c r="B4794">
        <f>Profile!A5559</f>
        <v>0</v>
      </c>
      <c r="C4794">
        <f>Profile!AP5561</f>
        <v>0</v>
      </c>
      <c r="D4794" t="str">
        <f>IF(Profile!C5559="Profile",IF(Profile!A5561="ResourceRequirement","OK","XXX"),"XXX")</f>
        <v>XXX</v>
      </c>
    </row>
    <row r="4795" spans="1:4" x14ac:dyDescent="0.45">
      <c r="A4795">
        <f>ROW()</f>
        <v>4795</v>
      </c>
      <c r="B4795">
        <f>Profile!A5560</f>
        <v>0</v>
      </c>
      <c r="C4795">
        <f>Profile!AP5562</f>
        <v>0</v>
      </c>
      <c r="D4795" t="str">
        <f>IF(Profile!C5560="Profile",IF(Profile!A5562="ResourceRequirement","OK","XXX"),"XXX")</f>
        <v>XXX</v>
      </c>
    </row>
    <row r="4796" spans="1:4" x14ac:dyDescent="0.45">
      <c r="A4796">
        <f>ROW()</f>
        <v>4796</v>
      </c>
      <c r="B4796">
        <f>Profile!A5561</f>
        <v>0</v>
      </c>
      <c r="C4796">
        <f>Profile!AP5563</f>
        <v>0</v>
      </c>
      <c r="D4796" t="str">
        <f>IF(Profile!C5561="Profile",IF(Profile!A5563="ResourceRequirement","OK","XXX"),"XXX")</f>
        <v>XXX</v>
      </c>
    </row>
    <row r="4797" spans="1:4" x14ac:dyDescent="0.45">
      <c r="A4797">
        <f>ROW()</f>
        <v>4797</v>
      </c>
      <c r="B4797">
        <f>Profile!A5562</f>
        <v>0</v>
      </c>
      <c r="C4797">
        <f>Profile!AP5564</f>
        <v>0</v>
      </c>
      <c r="D4797" t="str">
        <f>IF(Profile!C5562="Profile",IF(Profile!A5564="ResourceRequirement","OK","XXX"),"XXX")</f>
        <v>XXX</v>
      </c>
    </row>
    <row r="4798" spans="1:4" x14ac:dyDescent="0.45">
      <c r="A4798">
        <f>ROW()</f>
        <v>4798</v>
      </c>
      <c r="B4798">
        <f>Profile!A5563</f>
        <v>0</v>
      </c>
      <c r="C4798">
        <f>Profile!AP5565</f>
        <v>0</v>
      </c>
      <c r="D4798" t="str">
        <f>IF(Profile!C5563="Profile",IF(Profile!A5565="ResourceRequirement","OK","XXX"),"XXX")</f>
        <v>XXX</v>
      </c>
    </row>
    <row r="4799" spans="1:4" x14ac:dyDescent="0.45">
      <c r="A4799">
        <f>ROW()</f>
        <v>4799</v>
      </c>
      <c r="B4799">
        <f>Profile!A5564</f>
        <v>0</v>
      </c>
      <c r="C4799">
        <f>Profile!AP5566</f>
        <v>0</v>
      </c>
      <c r="D4799" t="str">
        <f>IF(Profile!C5564="Profile",IF(Profile!A5566="ResourceRequirement","OK","XXX"),"XXX")</f>
        <v>XXX</v>
      </c>
    </row>
    <row r="4800" spans="1:4" x14ac:dyDescent="0.45">
      <c r="A4800">
        <f>ROW()</f>
        <v>4800</v>
      </c>
      <c r="B4800">
        <f>Profile!A5565</f>
        <v>0</v>
      </c>
      <c r="C4800">
        <f>Profile!AP5567</f>
        <v>0</v>
      </c>
      <c r="D4800" t="str">
        <f>IF(Profile!C5565="Profile",IF(Profile!A5567="ResourceRequirement","OK","XXX"),"XXX")</f>
        <v>XXX</v>
      </c>
    </row>
    <row r="4801" spans="1:4" x14ac:dyDescent="0.45">
      <c r="A4801">
        <f>ROW()</f>
        <v>4801</v>
      </c>
      <c r="B4801">
        <f>Profile!A5566</f>
        <v>0</v>
      </c>
      <c r="C4801">
        <f>Profile!AP5568</f>
        <v>0</v>
      </c>
      <c r="D4801" t="str">
        <f>IF(Profile!C5566="Profile",IF(Profile!A5568="ResourceRequirement","OK","XXX"),"XXX")</f>
        <v>XXX</v>
      </c>
    </row>
    <row r="4802" spans="1:4" x14ac:dyDescent="0.45">
      <c r="A4802">
        <f>ROW()</f>
        <v>4802</v>
      </c>
      <c r="B4802">
        <f>Profile!A5567</f>
        <v>0</v>
      </c>
      <c r="C4802">
        <f>Profile!AP5569</f>
        <v>0</v>
      </c>
      <c r="D4802" t="str">
        <f>IF(Profile!C5567="Profile",IF(Profile!A5569="ResourceRequirement","OK","XXX"),"XXX")</f>
        <v>XXX</v>
      </c>
    </row>
    <row r="4803" spans="1:4" x14ac:dyDescent="0.45">
      <c r="A4803">
        <f>ROW()</f>
        <v>4803</v>
      </c>
      <c r="B4803">
        <f>Profile!A5568</f>
        <v>0</v>
      </c>
      <c r="C4803">
        <f>Profile!AP5570</f>
        <v>0</v>
      </c>
      <c r="D4803" t="str">
        <f>IF(Profile!C5568="Profile",IF(Profile!A5570="ResourceRequirement","OK","XXX"),"XXX")</f>
        <v>XXX</v>
      </c>
    </row>
    <row r="4804" spans="1:4" x14ac:dyDescent="0.45">
      <c r="A4804">
        <f>ROW()</f>
        <v>4804</v>
      </c>
      <c r="B4804">
        <f>Profile!A5569</f>
        <v>0</v>
      </c>
      <c r="C4804">
        <f>Profile!AP5571</f>
        <v>0</v>
      </c>
      <c r="D4804" t="str">
        <f>IF(Profile!C5569="Profile",IF(Profile!A5571="ResourceRequirement","OK","XXX"),"XXX")</f>
        <v>XXX</v>
      </c>
    </row>
    <row r="4805" spans="1:4" x14ac:dyDescent="0.45">
      <c r="A4805">
        <f>ROW()</f>
        <v>4805</v>
      </c>
      <c r="B4805">
        <f>Profile!A5570</f>
        <v>0</v>
      </c>
      <c r="C4805">
        <f>Profile!AP5572</f>
        <v>0</v>
      </c>
      <c r="D4805" t="str">
        <f>IF(Profile!C5570="Profile",IF(Profile!A5572="ResourceRequirement","OK","XXX"),"XXX")</f>
        <v>XXX</v>
      </c>
    </row>
    <row r="4806" spans="1:4" x14ac:dyDescent="0.45">
      <c r="A4806">
        <f>ROW()</f>
        <v>4806</v>
      </c>
      <c r="B4806">
        <f>Profile!A5571</f>
        <v>0</v>
      </c>
      <c r="C4806">
        <f>Profile!AP5573</f>
        <v>0</v>
      </c>
      <c r="D4806" t="str">
        <f>IF(Profile!C5571="Profile",IF(Profile!A5573="ResourceRequirement","OK","XXX"),"XXX")</f>
        <v>XXX</v>
      </c>
    </row>
    <row r="4807" spans="1:4" x14ac:dyDescent="0.45">
      <c r="A4807">
        <f>ROW()</f>
        <v>4807</v>
      </c>
      <c r="B4807">
        <f>Profile!A5572</f>
        <v>0</v>
      </c>
      <c r="C4807">
        <f>Profile!AP5574</f>
        <v>0</v>
      </c>
      <c r="D4807" t="str">
        <f>IF(Profile!C5572="Profile",IF(Profile!A5574="ResourceRequirement","OK","XXX"),"XXX")</f>
        <v>XXX</v>
      </c>
    </row>
    <row r="4808" spans="1:4" x14ac:dyDescent="0.45">
      <c r="A4808">
        <f>ROW()</f>
        <v>4808</v>
      </c>
      <c r="B4808">
        <f>Profile!A5573</f>
        <v>0</v>
      </c>
      <c r="C4808">
        <f>Profile!AP5575</f>
        <v>0</v>
      </c>
      <c r="D4808" t="str">
        <f>IF(Profile!C5573="Profile",IF(Profile!A5575="ResourceRequirement","OK","XXX"),"XXX")</f>
        <v>XXX</v>
      </c>
    </row>
    <row r="4809" spans="1:4" x14ac:dyDescent="0.45">
      <c r="A4809">
        <f>ROW()</f>
        <v>4809</v>
      </c>
      <c r="B4809">
        <f>Profile!A5574</f>
        <v>0</v>
      </c>
      <c r="C4809">
        <f>Profile!AP5576</f>
        <v>0</v>
      </c>
      <c r="D4809" t="str">
        <f>IF(Profile!C5574="Profile",IF(Profile!A5576="ResourceRequirement","OK","XXX"),"XXX")</f>
        <v>XXX</v>
      </c>
    </row>
    <row r="4810" spans="1:4" x14ac:dyDescent="0.45">
      <c r="A4810">
        <f>ROW()</f>
        <v>4810</v>
      </c>
      <c r="B4810">
        <f>Profile!A5575</f>
        <v>0</v>
      </c>
      <c r="C4810">
        <f>Profile!AP5577</f>
        <v>0</v>
      </c>
      <c r="D4810" t="str">
        <f>IF(Profile!C5575="Profile",IF(Profile!A5577="ResourceRequirement","OK","XXX"),"XXX")</f>
        <v>XXX</v>
      </c>
    </row>
    <row r="4811" spans="1:4" x14ac:dyDescent="0.45">
      <c r="A4811">
        <f>ROW()</f>
        <v>4811</v>
      </c>
      <c r="B4811">
        <f>Profile!A5576</f>
        <v>0</v>
      </c>
      <c r="C4811">
        <f>Profile!AP5578</f>
        <v>0</v>
      </c>
      <c r="D4811" t="str">
        <f>IF(Profile!C5576="Profile",IF(Profile!A5578="ResourceRequirement","OK","XXX"),"XXX")</f>
        <v>XXX</v>
      </c>
    </row>
    <row r="4812" spans="1:4" x14ac:dyDescent="0.45">
      <c r="A4812">
        <f>ROW()</f>
        <v>4812</v>
      </c>
      <c r="B4812">
        <f>Profile!A5577</f>
        <v>0</v>
      </c>
      <c r="C4812">
        <f>Profile!AP5579</f>
        <v>0</v>
      </c>
      <c r="D4812" t="str">
        <f>IF(Profile!C5577="Profile",IF(Profile!A5579="ResourceRequirement","OK","XXX"),"XXX")</f>
        <v>XXX</v>
      </c>
    </row>
    <row r="4813" spans="1:4" x14ac:dyDescent="0.45">
      <c r="A4813">
        <f>ROW()</f>
        <v>4813</v>
      </c>
      <c r="B4813">
        <f>Profile!A5578</f>
        <v>0</v>
      </c>
      <c r="C4813">
        <f>Profile!AP5580</f>
        <v>0</v>
      </c>
      <c r="D4813" t="str">
        <f>IF(Profile!C5578="Profile",IF(Profile!A5580="ResourceRequirement","OK","XXX"),"XXX")</f>
        <v>XXX</v>
      </c>
    </row>
    <row r="4814" spans="1:4" x14ac:dyDescent="0.45">
      <c r="A4814">
        <f>ROW()</f>
        <v>4814</v>
      </c>
      <c r="B4814">
        <f>Profile!A5579</f>
        <v>0</v>
      </c>
      <c r="C4814">
        <f>Profile!AP5581</f>
        <v>0</v>
      </c>
      <c r="D4814" t="str">
        <f>IF(Profile!C5579="Profile",IF(Profile!A5581="ResourceRequirement","OK","XXX"),"XXX")</f>
        <v>XXX</v>
      </c>
    </row>
    <row r="4815" spans="1:4" x14ac:dyDescent="0.45">
      <c r="A4815">
        <f>ROW()</f>
        <v>4815</v>
      </c>
      <c r="B4815">
        <f>Profile!A5580</f>
        <v>0</v>
      </c>
      <c r="C4815">
        <f>Profile!AP5582</f>
        <v>0</v>
      </c>
      <c r="D4815" t="str">
        <f>IF(Profile!C5580="Profile",IF(Profile!A5582="ResourceRequirement","OK","XXX"),"XXX")</f>
        <v>XXX</v>
      </c>
    </row>
    <row r="4816" spans="1:4" x14ac:dyDescent="0.45">
      <c r="A4816">
        <f>ROW()</f>
        <v>4816</v>
      </c>
      <c r="B4816">
        <f>Profile!A5581</f>
        <v>0</v>
      </c>
      <c r="C4816">
        <f>Profile!AP5583</f>
        <v>0</v>
      </c>
      <c r="D4816" t="str">
        <f>IF(Profile!C5581="Profile",IF(Profile!A5583="ResourceRequirement","OK","XXX"),"XXX")</f>
        <v>XXX</v>
      </c>
    </row>
    <row r="4817" spans="1:4" x14ac:dyDescent="0.45">
      <c r="A4817">
        <f>ROW()</f>
        <v>4817</v>
      </c>
      <c r="B4817">
        <f>Profile!A5582</f>
        <v>0</v>
      </c>
      <c r="C4817">
        <f>Profile!AP5584</f>
        <v>0</v>
      </c>
      <c r="D4817" t="str">
        <f>IF(Profile!C5582="Profile",IF(Profile!A5584="ResourceRequirement","OK","XXX"),"XXX")</f>
        <v>XXX</v>
      </c>
    </row>
    <row r="4818" spans="1:4" x14ac:dyDescent="0.45">
      <c r="A4818">
        <f>ROW()</f>
        <v>4818</v>
      </c>
      <c r="B4818">
        <f>Profile!A5583</f>
        <v>0</v>
      </c>
      <c r="C4818">
        <f>Profile!AP5585</f>
        <v>0</v>
      </c>
      <c r="D4818" t="str">
        <f>IF(Profile!C5583="Profile",IF(Profile!A5585="ResourceRequirement","OK","XXX"),"XXX")</f>
        <v>XXX</v>
      </c>
    </row>
    <row r="4819" spans="1:4" x14ac:dyDescent="0.45">
      <c r="A4819">
        <f>ROW()</f>
        <v>4819</v>
      </c>
      <c r="B4819">
        <f>Profile!A5584</f>
        <v>0</v>
      </c>
      <c r="C4819">
        <f>Profile!AP5586</f>
        <v>0</v>
      </c>
      <c r="D4819" t="str">
        <f>IF(Profile!C5584="Profile",IF(Profile!A5586="ResourceRequirement","OK","XXX"),"XXX")</f>
        <v>XXX</v>
      </c>
    </row>
    <row r="4820" spans="1:4" x14ac:dyDescent="0.45">
      <c r="A4820">
        <f>ROW()</f>
        <v>4820</v>
      </c>
      <c r="B4820">
        <f>Profile!A5585</f>
        <v>0</v>
      </c>
      <c r="C4820">
        <f>Profile!AP5587</f>
        <v>0</v>
      </c>
      <c r="D4820" t="str">
        <f>IF(Profile!C5585="Profile",IF(Profile!A5587="ResourceRequirement","OK","XXX"),"XXX")</f>
        <v>XXX</v>
      </c>
    </row>
    <row r="4821" spans="1:4" x14ac:dyDescent="0.45">
      <c r="A4821">
        <f>ROW()</f>
        <v>4821</v>
      </c>
      <c r="B4821">
        <f>Profile!A5586</f>
        <v>0</v>
      </c>
      <c r="C4821">
        <f>Profile!AP5588</f>
        <v>0</v>
      </c>
      <c r="D4821" t="str">
        <f>IF(Profile!C5586="Profile",IF(Profile!A5588="ResourceRequirement","OK","XXX"),"XXX")</f>
        <v>XXX</v>
      </c>
    </row>
    <row r="4822" spans="1:4" x14ac:dyDescent="0.45">
      <c r="A4822">
        <f>ROW()</f>
        <v>4822</v>
      </c>
      <c r="B4822">
        <f>Profile!A5587</f>
        <v>0</v>
      </c>
      <c r="C4822">
        <f>Profile!AP5589</f>
        <v>0</v>
      </c>
      <c r="D4822" t="str">
        <f>IF(Profile!C5587="Profile",IF(Profile!A5589="ResourceRequirement","OK","XXX"),"XXX")</f>
        <v>XXX</v>
      </c>
    </row>
    <row r="4823" spans="1:4" x14ac:dyDescent="0.45">
      <c r="A4823">
        <f>ROW()</f>
        <v>4823</v>
      </c>
      <c r="B4823">
        <f>Profile!A5588</f>
        <v>0</v>
      </c>
      <c r="C4823">
        <f>Profile!AP5590</f>
        <v>0</v>
      </c>
      <c r="D4823" t="str">
        <f>IF(Profile!C5588="Profile",IF(Profile!A5590="ResourceRequirement","OK","XXX"),"XXX")</f>
        <v>XXX</v>
      </c>
    </row>
    <row r="4824" spans="1:4" x14ac:dyDescent="0.45">
      <c r="A4824">
        <f>ROW()</f>
        <v>4824</v>
      </c>
      <c r="B4824">
        <f>Profile!A5589</f>
        <v>0</v>
      </c>
      <c r="C4824">
        <f>Profile!AP5591</f>
        <v>0</v>
      </c>
      <c r="D4824" t="str">
        <f>IF(Profile!C5589="Profile",IF(Profile!A5591="ResourceRequirement","OK","XXX"),"XXX")</f>
        <v>XXX</v>
      </c>
    </row>
    <row r="4825" spans="1:4" x14ac:dyDescent="0.45">
      <c r="A4825">
        <f>ROW()</f>
        <v>4825</v>
      </c>
      <c r="B4825">
        <f>Profile!A5590</f>
        <v>0</v>
      </c>
      <c r="C4825">
        <f>Profile!AP5592</f>
        <v>0</v>
      </c>
      <c r="D4825" t="str">
        <f>IF(Profile!C5590="Profile",IF(Profile!A5592="ResourceRequirement","OK","XXX"),"XXX")</f>
        <v>XXX</v>
      </c>
    </row>
    <row r="4826" spans="1:4" x14ac:dyDescent="0.45">
      <c r="A4826">
        <f>ROW()</f>
        <v>4826</v>
      </c>
      <c r="B4826">
        <f>Profile!A5591</f>
        <v>0</v>
      </c>
      <c r="C4826">
        <f>Profile!AP5593</f>
        <v>0</v>
      </c>
      <c r="D4826" t="str">
        <f>IF(Profile!C5591="Profile",IF(Profile!A5593="ResourceRequirement","OK","XXX"),"XXX")</f>
        <v>XXX</v>
      </c>
    </row>
    <row r="4827" spans="1:4" x14ac:dyDescent="0.45">
      <c r="A4827">
        <f>ROW()</f>
        <v>4827</v>
      </c>
      <c r="B4827">
        <f>Profile!A5592</f>
        <v>0</v>
      </c>
      <c r="C4827">
        <f>Profile!AP5594</f>
        <v>0</v>
      </c>
      <c r="D4827" t="str">
        <f>IF(Profile!C5592="Profile",IF(Profile!A5594="ResourceRequirement","OK","XXX"),"XXX")</f>
        <v>XXX</v>
      </c>
    </row>
    <row r="4828" spans="1:4" x14ac:dyDescent="0.45">
      <c r="A4828">
        <f>ROW()</f>
        <v>4828</v>
      </c>
      <c r="B4828">
        <f>Profile!A5593</f>
        <v>0</v>
      </c>
      <c r="C4828">
        <f>Profile!AP5595</f>
        <v>0</v>
      </c>
      <c r="D4828" t="str">
        <f>IF(Profile!C5593="Profile",IF(Profile!A5595="ResourceRequirement","OK","XXX"),"XXX")</f>
        <v>XXX</v>
      </c>
    </row>
    <row r="4829" spans="1:4" x14ac:dyDescent="0.45">
      <c r="A4829">
        <f>ROW()</f>
        <v>4829</v>
      </c>
      <c r="B4829">
        <f>Profile!A5594</f>
        <v>0</v>
      </c>
      <c r="C4829">
        <f>Profile!AP5596</f>
        <v>0</v>
      </c>
      <c r="D4829" t="str">
        <f>IF(Profile!C5594="Profile",IF(Profile!A5596="ResourceRequirement","OK","XXX"),"XXX")</f>
        <v>XXX</v>
      </c>
    </row>
    <row r="4830" spans="1:4" x14ac:dyDescent="0.45">
      <c r="A4830">
        <f>ROW()</f>
        <v>4830</v>
      </c>
      <c r="B4830">
        <f>Profile!A5595</f>
        <v>0</v>
      </c>
      <c r="C4830">
        <f>Profile!AP5597</f>
        <v>0</v>
      </c>
      <c r="D4830" t="str">
        <f>IF(Profile!C5595="Profile",IF(Profile!A5597="ResourceRequirement","OK","XXX"),"XXX")</f>
        <v>XXX</v>
      </c>
    </row>
    <row r="4831" spans="1:4" x14ac:dyDescent="0.45">
      <c r="A4831">
        <f>ROW()</f>
        <v>4831</v>
      </c>
      <c r="B4831">
        <f>Profile!A5596</f>
        <v>0</v>
      </c>
      <c r="C4831">
        <f>Profile!AP5598</f>
        <v>0</v>
      </c>
      <c r="D4831" t="str">
        <f>IF(Profile!C5596="Profile",IF(Profile!A5598="ResourceRequirement","OK","XXX"),"XXX")</f>
        <v>XXX</v>
      </c>
    </row>
    <row r="4832" spans="1:4" x14ac:dyDescent="0.45">
      <c r="A4832">
        <f>ROW()</f>
        <v>4832</v>
      </c>
      <c r="B4832">
        <f>Profile!A5597</f>
        <v>0</v>
      </c>
      <c r="C4832">
        <f>Profile!AP5599</f>
        <v>0</v>
      </c>
      <c r="D4832" t="str">
        <f>IF(Profile!C5597="Profile",IF(Profile!A5599="ResourceRequirement","OK","XXX"),"XXX")</f>
        <v>XXX</v>
      </c>
    </row>
    <row r="4833" spans="1:4" x14ac:dyDescent="0.45">
      <c r="A4833">
        <f>ROW()</f>
        <v>4833</v>
      </c>
      <c r="B4833">
        <f>Profile!A5598</f>
        <v>0</v>
      </c>
      <c r="C4833">
        <f>Profile!AP5600</f>
        <v>0</v>
      </c>
      <c r="D4833" t="str">
        <f>IF(Profile!C5598="Profile",IF(Profile!A5600="ResourceRequirement","OK","XXX"),"XXX")</f>
        <v>XXX</v>
      </c>
    </row>
    <row r="4834" spans="1:4" x14ac:dyDescent="0.45">
      <c r="A4834">
        <f>ROW()</f>
        <v>4834</v>
      </c>
      <c r="B4834">
        <f>Profile!A5599</f>
        <v>0</v>
      </c>
      <c r="C4834">
        <f>Profile!AP5601</f>
        <v>0</v>
      </c>
      <c r="D4834" t="str">
        <f>IF(Profile!C5599="Profile",IF(Profile!A5601="ResourceRequirement","OK","XXX"),"XXX")</f>
        <v>XXX</v>
      </c>
    </row>
    <row r="4835" spans="1:4" x14ac:dyDescent="0.45">
      <c r="A4835">
        <f>ROW()</f>
        <v>4835</v>
      </c>
      <c r="B4835">
        <f>Profile!A5600</f>
        <v>0</v>
      </c>
      <c r="C4835">
        <f>Profile!AP5602</f>
        <v>0</v>
      </c>
      <c r="D4835" t="str">
        <f>IF(Profile!C5600="Profile",IF(Profile!A5602="ResourceRequirement","OK","XXX"),"XXX")</f>
        <v>XXX</v>
      </c>
    </row>
    <row r="4836" spans="1:4" x14ac:dyDescent="0.45">
      <c r="A4836">
        <f>ROW()</f>
        <v>4836</v>
      </c>
      <c r="B4836">
        <f>Profile!A5601</f>
        <v>0</v>
      </c>
      <c r="C4836">
        <f>Profile!AP5603</f>
        <v>0</v>
      </c>
      <c r="D4836" t="str">
        <f>IF(Profile!C5601="Profile",IF(Profile!A5603="ResourceRequirement","OK","XXX"),"XXX")</f>
        <v>XXX</v>
      </c>
    </row>
    <row r="4837" spans="1:4" x14ac:dyDescent="0.45">
      <c r="A4837">
        <f>ROW()</f>
        <v>4837</v>
      </c>
      <c r="B4837">
        <f>Profile!A5602</f>
        <v>0</v>
      </c>
      <c r="C4837">
        <f>Profile!AP5604</f>
        <v>0</v>
      </c>
      <c r="D4837" t="str">
        <f>IF(Profile!C5602="Profile",IF(Profile!A5604="ResourceRequirement","OK","XXX"),"XXX")</f>
        <v>XXX</v>
      </c>
    </row>
    <row r="4838" spans="1:4" x14ac:dyDescent="0.45">
      <c r="A4838">
        <f>ROW()</f>
        <v>4838</v>
      </c>
      <c r="B4838">
        <f>Profile!A5603</f>
        <v>0</v>
      </c>
      <c r="C4838">
        <f>Profile!AP5605</f>
        <v>0</v>
      </c>
      <c r="D4838" t="str">
        <f>IF(Profile!C5603="Profile",IF(Profile!A5605="ResourceRequirement","OK","XXX"),"XXX")</f>
        <v>XXX</v>
      </c>
    </row>
    <row r="4839" spans="1:4" x14ac:dyDescent="0.45">
      <c r="A4839">
        <f>ROW()</f>
        <v>4839</v>
      </c>
      <c r="B4839">
        <f>Profile!A5604</f>
        <v>0</v>
      </c>
      <c r="C4839">
        <f>Profile!AP5606</f>
        <v>0</v>
      </c>
      <c r="D4839" t="str">
        <f>IF(Profile!C5604="Profile",IF(Profile!A5606="ResourceRequirement","OK","XXX"),"XXX")</f>
        <v>XXX</v>
      </c>
    </row>
    <row r="4840" spans="1:4" x14ac:dyDescent="0.45">
      <c r="A4840">
        <f>ROW()</f>
        <v>4840</v>
      </c>
      <c r="B4840">
        <f>Profile!A5605</f>
        <v>0</v>
      </c>
      <c r="C4840">
        <f>Profile!AP5607</f>
        <v>0</v>
      </c>
      <c r="D4840" t="str">
        <f>IF(Profile!C5605="Profile",IF(Profile!A5607="ResourceRequirement","OK","XXX"),"XXX")</f>
        <v>XXX</v>
      </c>
    </row>
    <row r="4841" spans="1:4" x14ac:dyDescent="0.45">
      <c r="A4841">
        <f>ROW()</f>
        <v>4841</v>
      </c>
      <c r="B4841">
        <f>Profile!A5606</f>
        <v>0</v>
      </c>
      <c r="C4841">
        <f>Profile!AP5608</f>
        <v>0</v>
      </c>
      <c r="D4841" t="str">
        <f>IF(Profile!C5606="Profile",IF(Profile!A5608="ResourceRequirement","OK","XXX"),"XXX")</f>
        <v>XXX</v>
      </c>
    </row>
    <row r="4842" spans="1:4" x14ac:dyDescent="0.45">
      <c r="A4842">
        <f>ROW()</f>
        <v>4842</v>
      </c>
      <c r="B4842">
        <f>Profile!A5607</f>
        <v>0</v>
      </c>
      <c r="C4842">
        <f>Profile!AP5609</f>
        <v>0</v>
      </c>
      <c r="D4842" t="str">
        <f>IF(Profile!C5607="Profile",IF(Profile!A5609="ResourceRequirement","OK","XXX"),"XXX")</f>
        <v>XXX</v>
      </c>
    </row>
    <row r="4843" spans="1:4" x14ac:dyDescent="0.45">
      <c r="A4843">
        <f>ROW()</f>
        <v>4843</v>
      </c>
      <c r="B4843">
        <f>Profile!A5608</f>
        <v>0</v>
      </c>
      <c r="C4843">
        <f>Profile!AP5610</f>
        <v>0</v>
      </c>
      <c r="D4843" t="str">
        <f>IF(Profile!C5608="Profile",IF(Profile!A5610="ResourceRequirement","OK","XXX"),"XXX")</f>
        <v>XXX</v>
      </c>
    </row>
    <row r="4844" spans="1:4" x14ac:dyDescent="0.45">
      <c r="A4844">
        <f>ROW()</f>
        <v>4844</v>
      </c>
      <c r="B4844">
        <f>Profile!A5609</f>
        <v>0</v>
      </c>
      <c r="C4844">
        <f>Profile!AP5611</f>
        <v>0</v>
      </c>
      <c r="D4844" t="str">
        <f>IF(Profile!C5609="Profile",IF(Profile!A5611="ResourceRequirement","OK","XXX"),"XXX")</f>
        <v>XXX</v>
      </c>
    </row>
    <row r="4845" spans="1:4" x14ac:dyDescent="0.45">
      <c r="A4845">
        <f>ROW()</f>
        <v>4845</v>
      </c>
      <c r="B4845">
        <f>Profile!A5610</f>
        <v>0</v>
      </c>
      <c r="C4845">
        <f>Profile!AP5612</f>
        <v>0</v>
      </c>
      <c r="D4845" t="str">
        <f>IF(Profile!C5610="Profile",IF(Profile!A5612="ResourceRequirement","OK","XXX"),"XXX")</f>
        <v>XXX</v>
      </c>
    </row>
    <row r="4846" spans="1:4" x14ac:dyDescent="0.45">
      <c r="A4846">
        <f>ROW()</f>
        <v>4846</v>
      </c>
      <c r="B4846">
        <f>Profile!A5611</f>
        <v>0</v>
      </c>
      <c r="C4846">
        <f>Profile!AP5613</f>
        <v>0</v>
      </c>
      <c r="D4846" t="str">
        <f>IF(Profile!C5611="Profile",IF(Profile!A5613="ResourceRequirement","OK","XXX"),"XXX")</f>
        <v>XXX</v>
      </c>
    </row>
    <row r="4847" spans="1:4" x14ac:dyDescent="0.45">
      <c r="A4847">
        <f>ROW()</f>
        <v>4847</v>
      </c>
      <c r="B4847">
        <f>Profile!A5612</f>
        <v>0</v>
      </c>
      <c r="C4847">
        <f>Profile!AP5614</f>
        <v>0</v>
      </c>
      <c r="D4847" t="str">
        <f>IF(Profile!C5612="Profile",IF(Profile!A5614="ResourceRequirement","OK","XXX"),"XXX")</f>
        <v>XXX</v>
      </c>
    </row>
    <row r="4848" spans="1:4" x14ac:dyDescent="0.45">
      <c r="A4848">
        <f>ROW()</f>
        <v>4848</v>
      </c>
      <c r="B4848">
        <f>Profile!A5613</f>
        <v>0</v>
      </c>
      <c r="C4848">
        <f>Profile!AP5615</f>
        <v>0</v>
      </c>
      <c r="D4848" t="str">
        <f>IF(Profile!C5613="Profile",IF(Profile!A5615="ResourceRequirement","OK","XXX"),"XXX")</f>
        <v>XXX</v>
      </c>
    </row>
    <row r="4849" spans="1:4" x14ac:dyDescent="0.45">
      <c r="A4849">
        <f>ROW()</f>
        <v>4849</v>
      </c>
      <c r="B4849">
        <f>Profile!A5614</f>
        <v>0</v>
      </c>
      <c r="C4849">
        <f>Profile!AP5616</f>
        <v>0</v>
      </c>
      <c r="D4849" t="str">
        <f>IF(Profile!C5614="Profile",IF(Profile!A5616="ResourceRequirement","OK","XXX"),"XXX")</f>
        <v>XXX</v>
      </c>
    </row>
    <row r="4850" spans="1:4" x14ac:dyDescent="0.45">
      <c r="A4850">
        <f>ROW()</f>
        <v>4850</v>
      </c>
      <c r="B4850">
        <f>Profile!A5615</f>
        <v>0</v>
      </c>
      <c r="C4850">
        <f>Profile!AP5617</f>
        <v>0</v>
      </c>
      <c r="D4850" t="str">
        <f>IF(Profile!C5615="Profile",IF(Profile!A5617="ResourceRequirement","OK","XXX"),"XXX")</f>
        <v>XXX</v>
      </c>
    </row>
    <row r="4851" spans="1:4" x14ac:dyDescent="0.45">
      <c r="A4851">
        <f>ROW()</f>
        <v>4851</v>
      </c>
      <c r="B4851">
        <f>Profile!A5616</f>
        <v>0</v>
      </c>
      <c r="C4851">
        <f>Profile!AP5618</f>
        <v>0</v>
      </c>
      <c r="D4851" t="str">
        <f>IF(Profile!C5616="Profile",IF(Profile!A5618="ResourceRequirement","OK","XXX"),"XXX")</f>
        <v>XXX</v>
      </c>
    </row>
    <row r="4852" spans="1:4" x14ac:dyDescent="0.45">
      <c r="A4852">
        <f>ROW()</f>
        <v>4852</v>
      </c>
      <c r="B4852">
        <f>Profile!A5617</f>
        <v>0</v>
      </c>
      <c r="C4852">
        <f>Profile!AP5619</f>
        <v>0</v>
      </c>
      <c r="D4852" t="str">
        <f>IF(Profile!C5617="Profile",IF(Profile!A5619="ResourceRequirement","OK","XXX"),"XXX")</f>
        <v>XXX</v>
      </c>
    </row>
    <row r="4853" spans="1:4" x14ac:dyDescent="0.45">
      <c r="A4853">
        <f>ROW()</f>
        <v>4853</v>
      </c>
      <c r="B4853">
        <f>Profile!A5618</f>
        <v>0</v>
      </c>
      <c r="C4853">
        <f>Profile!AP5620</f>
        <v>0</v>
      </c>
      <c r="D4853" t="str">
        <f>IF(Profile!C5618="Profile",IF(Profile!A5620="ResourceRequirement","OK","XXX"),"XXX")</f>
        <v>XXX</v>
      </c>
    </row>
    <row r="4854" spans="1:4" x14ac:dyDescent="0.45">
      <c r="A4854">
        <f>ROW()</f>
        <v>4854</v>
      </c>
      <c r="B4854">
        <f>Profile!A5619</f>
        <v>0</v>
      </c>
      <c r="C4854">
        <f>Profile!AP5621</f>
        <v>0</v>
      </c>
      <c r="D4854" t="str">
        <f>IF(Profile!C5619="Profile",IF(Profile!A5621="ResourceRequirement","OK","XXX"),"XXX")</f>
        <v>XXX</v>
      </c>
    </row>
    <row r="4855" spans="1:4" x14ac:dyDescent="0.45">
      <c r="A4855">
        <f>ROW()</f>
        <v>4855</v>
      </c>
      <c r="B4855">
        <f>Profile!A5620</f>
        <v>0</v>
      </c>
      <c r="C4855">
        <f>Profile!AP5622</f>
        <v>0</v>
      </c>
      <c r="D4855" t="str">
        <f>IF(Profile!C5620="Profile",IF(Profile!A5622="ResourceRequirement","OK","XXX"),"XXX")</f>
        <v>XXX</v>
      </c>
    </row>
    <row r="4856" spans="1:4" x14ac:dyDescent="0.45">
      <c r="A4856">
        <f>ROW()</f>
        <v>4856</v>
      </c>
      <c r="B4856">
        <f>Profile!A5621</f>
        <v>0</v>
      </c>
      <c r="C4856">
        <f>Profile!AP5623</f>
        <v>0</v>
      </c>
      <c r="D4856" t="str">
        <f>IF(Profile!C5621="Profile",IF(Profile!A5623="ResourceRequirement","OK","XXX"),"XXX")</f>
        <v>XXX</v>
      </c>
    </row>
    <row r="4857" spans="1:4" x14ac:dyDescent="0.45">
      <c r="A4857">
        <f>ROW()</f>
        <v>4857</v>
      </c>
      <c r="B4857">
        <f>Profile!A5622</f>
        <v>0</v>
      </c>
      <c r="C4857">
        <f>Profile!AP5624</f>
        <v>0</v>
      </c>
      <c r="D4857" t="str">
        <f>IF(Profile!C5622="Profile",IF(Profile!A5624="ResourceRequirement","OK","XXX"),"XXX")</f>
        <v>XXX</v>
      </c>
    </row>
    <row r="4858" spans="1:4" x14ac:dyDescent="0.45">
      <c r="A4858">
        <f>ROW()</f>
        <v>4858</v>
      </c>
      <c r="B4858">
        <f>Profile!A5623</f>
        <v>0</v>
      </c>
      <c r="C4858">
        <f>Profile!AP5625</f>
        <v>0</v>
      </c>
      <c r="D4858" t="str">
        <f>IF(Profile!C5623="Profile",IF(Profile!A5625="ResourceRequirement","OK","XXX"),"XXX")</f>
        <v>XXX</v>
      </c>
    </row>
    <row r="4859" spans="1:4" x14ac:dyDescent="0.45">
      <c r="A4859">
        <f>ROW()</f>
        <v>4859</v>
      </c>
      <c r="B4859">
        <f>Profile!A5624</f>
        <v>0</v>
      </c>
      <c r="C4859">
        <f>Profile!AP5626</f>
        <v>0</v>
      </c>
      <c r="D4859" t="str">
        <f>IF(Profile!C5624="Profile",IF(Profile!A5626="ResourceRequirement","OK","XXX"),"XXX")</f>
        <v>XXX</v>
      </c>
    </row>
    <row r="4860" spans="1:4" x14ac:dyDescent="0.45">
      <c r="A4860">
        <f>ROW()</f>
        <v>4860</v>
      </c>
      <c r="B4860">
        <f>Profile!A5625</f>
        <v>0</v>
      </c>
      <c r="C4860">
        <f>Profile!AP5627</f>
        <v>0</v>
      </c>
      <c r="D4860" t="str">
        <f>IF(Profile!C5625="Profile",IF(Profile!A5627="ResourceRequirement","OK","XXX"),"XXX")</f>
        <v>XXX</v>
      </c>
    </row>
    <row r="4861" spans="1:4" x14ac:dyDescent="0.45">
      <c r="A4861">
        <f>ROW()</f>
        <v>4861</v>
      </c>
      <c r="B4861">
        <f>Profile!A5626</f>
        <v>0</v>
      </c>
      <c r="C4861">
        <f>Profile!AP5628</f>
        <v>0</v>
      </c>
      <c r="D4861" t="str">
        <f>IF(Profile!C5626="Profile",IF(Profile!A5628="ResourceRequirement","OK","XXX"),"XXX")</f>
        <v>XXX</v>
      </c>
    </row>
    <row r="4862" spans="1:4" x14ac:dyDescent="0.45">
      <c r="A4862">
        <f>ROW()</f>
        <v>4862</v>
      </c>
      <c r="B4862">
        <f>Profile!A5627</f>
        <v>0</v>
      </c>
      <c r="C4862">
        <f>Profile!AP5629</f>
        <v>0</v>
      </c>
      <c r="D4862" t="str">
        <f>IF(Profile!C5627="Profile",IF(Profile!A5629="ResourceRequirement","OK","XXX"),"XXX")</f>
        <v>XXX</v>
      </c>
    </row>
    <row r="4863" spans="1:4" x14ac:dyDescent="0.45">
      <c r="A4863">
        <f>ROW()</f>
        <v>4863</v>
      </c>
      <c r="B4863">
        <f>Profile!A5628</f>
        <v>0</v>
      </c>
      <c r="C4863">
        <f>Profile!AP5630</f>
        <v>0</v>
      </c>
      <c r="D4863" t="str">
        <f>IF(Profile!C5628="Profile",IF(Profile!A5630="ResourceRequirement","OK","XXX"),"XXX")</f>
        <v>XXX</v>
      </c>
    </row>
    <row r="4864" spans="1:4" x14ac:dyDescent="0.45">
      <c r="A4864">
        <f>ROW()</f>
        <v>4864</v>
      </c>
      <c r="B4864">
        <f>Profile!A5629</f>
        <v>0</v>
      </c>
      <c r="C4864">
        <f>Profile!AP5631</f>
        <v>0</v>
      </c>
      <c r="D4864" t="str">
        <f>IF(Profile!C5629="Profile",IF(Profile!A5631="ResourceRequirement","OK","XXX"),"XXX")</f>
        <v>XXX</v>
      </c>
    </row>
    <row r="4865" spans="1:4" x14ac:dyDescent="0.45">
      <c r="A4865">
        <f>ROW()</f>
        <v>4865</v>
      </c>
      <c r="B4865">
        <f>Profile!A5630</f>
        <v>0</v>
      </c>
      <c r="C4865">
        <f>Profile!AP5632</f>
        <v>0</v>
      </c>
      <c r="D4865" t="str">
        <f>IF(Profile!C5630="Profile",IF(Profile!A5632="ResourceRequirement","OK","XXX"),"XXX")</f>
        <v>XXX</v>
      </c>
    </row>
    <row r="4866" spans="1:4" x14ac:dyDescent="0.45">
      <c r="A4866">
        <f>ROW()</f>
        <v>4866</v>
      </c>
      <c r="B4866">
        <f>Profile!A5631</f>
        <v>0</v>
      </c>
      <c r="C4866">
        <f>Profile!AP5633</f>
        <v>0</v>
      </c>
      <c r="D4866" t="str">
        <f>IF(Profile!C5631="Profile",IF(Profile!A5633="ResourceRequirement","OK","XXX"),"XXX")</f>
        <v>XXX</v>
      </c>
    </row>
    <row r="4867" spans="1:4" x14ac:dyDescent="0.45">
      <c r="A4867">
        <f>ROW()</f>
        <v>4867</v>
      </c>
      <c r="B4867">
        <f>Profile!A5632</f>
        <v>0</v>
      </c>
      <c r="C4867">
        <f>Profile!AP5634</f>
        <v>0</v>
      </c>
      <c r="D4867" t="str">
        <f>IF(Profile!C5632="Profile",IF(Profile!A5634="ResourceRequirement","OK","XXX"),"XXX")</f>
        <v>XXX</v>
      </c>
    </row>
    <row r="4868" spans="1:4" x14ac:dyDescent="0.45">
      <c r="A4868">
        <f>ROW()</f>
        <v>4868</v>
      </c>
      <c r="B4868">
        <f>Profile!A5633</f>
        <v>0</v>
      </c>
      <c r="C4868">
        <f>Profile!AP5635</f>
        <v>0</v>
      </c>
      <c r="D4868" t="str">
        <f>IF(Profile!C5633="Profile",IF(Profile!A5635="ResourceRequirement","OK","XXX"),"XXX")</f>
        <v>XXX</v>
      </c>
    </row>
    <row r="4869" spans="1:4" x14ac:dyDescent="0.45">
      <c r="A4869">
        <f>ROW()</f>
        <v>4869</v>
      </c>
      <c r="B4869">
        <f>Profile!A5634</f>
        <v>0</v>
      </c>
      <c r="C4869">
        <f>Profile!AP5636</f>
        <v>0</v>
      </c>
      <c r="D4869" t="str">
        <f>IF(Profile!C5634="Profile",IF(Profile!A5636="ResourceRequirement","OK","XXX"),"XXX")</f>
        <v>XXX</v>
      </c>
    </row>
    <row r="4870" spans="1:4" x14ac:dyDescent="0.45">
      <c r="A4870">
        <f>ROW()</f>
        <v>4870</v>
      </c>
      <c r="B4870">
        <f>Profile!A5635</f>
        <v>0</v>
      </c>
      <c r="C4870">
        <f>Profile!AP5637</f>
        <v>0</v>
      </c>
      <c r="D4870" t="str">
        <f>IF(Profile!C5635="Profile",IF(Profile!A5637="ResourceRequirement","OK","XXX"),"XXX")</f>
        <v>XXX</v>
      </c>
    </row>
    <row r="4871" spans="1:4" x14ac:dyDescent="0.45">
      <c r="A4871">
        <f>ROW()</f>
        <v>4871</v>
      </c>
      <c r="B4871">
        <f>Profile!A5636</f>
        <v>0</v>
      </c>
      <c r="C4871">
        <f>Profile!AP5638</f>
        <v>0</v>
      </c>
      <c r="D4871" t="str">
        <f>IF(Profile!C5636="Profile",IF(Profile!A5638="ResourceRequirement","OK","XXX"),"XXX")</f>
        <v>XXX</v>
      </c>
    </row>
    <row r="4872" spans="1:4" x14ac:dyDescent="0.45">
      <c r="A4872">
        <f>ROW()</f>
        <v>4872</v>
      </c>
      <c r="B4872">
        <f>Profile!A5637</f>
        <v>0</v>
      </c>
      <c r="C4872">
        <f>Profile!AP5639</f>
        <v>0</v>
      </c>
      <c r="D4872" t="str">
        <f>IF(Profile!C5637="Profile",IF(Profile!A5639="ResourceRequirement","OK","XXX"),"XXX")</f>
        <v>XXX</v>
      </c>
    </row>
    <row r="4873" spans="1:4" x14ac:dyDescent="0.45">
      <c r="A4873">
        <f>ROW()</f>
        <v>4873</v>
      </c>
      <c r="B4873">
        <f>Profile!A5638</f>
        <v>0</v>
      </c>
      <c r="C4873">
        <f>Profile!AP5640</f>
        <v>0</v>
      </c>
      <c r="D4873" t="str">
        <f>IF(Profile!C5638="Profile",IF(Profile!A5640="ResourceRequirement","OK","XXX"),"XXX")</f>
        <v>XXX</v>
      </c>
    </row>
    <row r="4874" spans="1:4" x14ac:dyDescent="0.45">
      <c r="A4874">
        <f>ROW()</f>
        <v>4874</v>
      </c>
      <c r="B4874">
        <f>Profile!A5639</f>
        <v>0</v>
      </c>
      <c r="C4874">
        <f>Profile!AP5641</f>
        <v>0</v>
      </c>
      <c r="D4874" t="str">
        <f>IF(Profile!C5639="Profile",IF(Profile!A5641="ResourceRequirement","OK","XXX"),"XXX")</f>
        <v>XXX</v>
      </c>
    </row>
    <row r="4875" spans="1:4" x14ac:dyDescent="0.45">
      <c r="A4875">
        <f>ROW()</f>
        <v>4875</v>
      </c>
      <c r="B4875">
        <f>Profile!A5640</f>
        <v>0</v>
      </c>
      <c r="C4875">
        <f>Profile!AP5642</f>
        <v>0</v>
      </c>
      <c r="D4875" t="str">
        <f>IF(Profile!C5640="Profile",IF(Profile!A5642="ResourceRequirement","OK","XXX"),"XXX")</f>
        <v>XXX</v>
      </c>
    </row>
    <row r="4876" spans="1:4" x14ac:dyDescent="0.45">
      <c r="A4876">
        <f>ROW()</f>
        <v>4876</v>
      </c>
      <c r="B4876">
        <f>Profile!A5641</f>
        <v>0</v>
      </c>
      <c r="C4876">
        <f>Profile!AP5643</f>
        <v>0</v>
      </c>
      <c r="D4876" t="str">
        <f>IF(Profile!C5641="Profile",IF(Profile!A5643="ResourceRequirement","OK","XXX"),"XXX")</f>
        <v>XXX</v>
      </c>
    </row>
    <row r="4877" spans="1:4" x14ac:dyDescent="0.45">
      <c r="A4877">
        <f>ROW()</f>
        <v>4877</v>
      </c>
      <c r="B4877">
        <f>Profile!A5642</f>
        <v>0</v>
      </c>
      <c r="C4877">
        <f>Profile!AP5644</f>
        <v>0</v>
      </c>
      <c r="D4877" t="str">
        <f>IF(Profile!C5642="Profile",IF(Profile!A5644="ResourceRequirement","OK","XXX"),"XXX")</f>
        <v>XXX</v>
      </c>
    </row>
    <row r="4878" spans="1:4" x14ac:dyDescent="0.45">
      <c r="A4878">
        <f>ROW()</f>
        <v>4878</v>
      </c>
      <c r="B4878">
        <f>Profile!A5643</f>
        <v>0</v>
      </c>
      <c r="C4878">
        <f>Profile!AP5645</f>
        <v>0</v>
      </c>
      <c r="D4878" t="str">
        <f>IF(Profile!C5643="Profile",IF(Profile!A5645="ResourceRequirement","OK","XXX"),"XXX")</f>
        <v>XXX</v>
      </c>
    </row>
    <row r="4879" spans="1:4" x14ac:dyDescent="0.45">
      <c r="A4879">
        <f>ROW()</f>
        <v>4879</v>
      </c>
      <c r="B4879">
        <f>Profile!A5644</f>
        <v>0</v>
      </c>
      <c r="C4879">
        <f>Profile!AP5646</f>
        <v>0</v>
      </c>
      <c r="D4879" t="str">
        <f>IF(Profile!C5644="Profile",IF(Profile!A5646="ResourceRequirement","OK","XXX"),"XXX")</f>
        <v>XXX</v>
      </c>
    </row>
    <row r="4880" spans="1:4" x14ac:dyDescent="0.45">
      <c r="A4880">
        <f>ROW()</f>
        <v>4880</v>
      </c>
      <c r="B4880">
        <f>Profile!A5645</f>
        <v>0</v>
      </c>
      <c r="C4880">
        <f>Profile!AP5647</f>
        <v>0</v>
      </c>
      <c r="D4880" t="str">
        <f>IF(Profile!C5645="Profile",IF(Profile!A5647="ResourceRequirement","OK","XXX"),"XXX")</f>
        <v>XXX</v>
      </c>
    </row>
    <row r="4881" spans="1:4" x14ac:dyDescent="0.45">
      <c r="A4881">
        <f>ROW()</f>
        <v>4881</v>
      </c>
      <c r="B4881">
        <f>Profile!A5646</f>
        <v>0</v>
      </c>
      <c r="C4881">
        <f>Profile!AP5648</f>
        <v>0</v>
      </c>
      <c r="D4881" t="str">
        <f>IF(Profile!C5646="Profile",IF(Profile!A5648="ResourceRequirement","OK","XXX"),"XXX")</f>
        <v>XXX</v>
      </c>
    </row>
    <row r="4882" spans="1:4" x14ac:dyDescent="0.45">
      <c r="A4882">
        <f>ROW()</f>
        <v>4882</v>
      </c>
      <c r="B4882">
        <f>Profile!A5647</f>
        <v>0</v>
      </c>
      <c r="C4882">
        <f>Profile!AP5649</f>
        <v>0</v>
      </c>
      <c r="D4882" t="str">
        <f>IF(Profile!C5647="Profile",IF(Profile!A5649="ResourceRequirement","OK","XXX"),"XXX")</f>
        <v>XXX</v>
      </c>
    </row>
    <row r="4883" spans="1:4" x14ac:dyDescent="0.45">
      <c r="A4883">
        <f>ROW()</f>
        <v>4883</v>
      </c>
      <c r="B4883">
        <f>Profile!A5648</f>
        <v>0</v>
      </c>
      <c r="C4883">
        <f>Profile!AP5650</f>
        <v>0</v>
      </c>
      <c r="D4883" t="str">
        <f>IF(Profile!C5648="Profile",IF(Profile!A5650="ResourceRequirement","OK","XXX"),"XXX")</f>
        <v>XXX</v>
      </c>
    </row>
    <row r="4884" spans="1:4" x14ac:dyDescent="0.45">
      <c r="A4884">
        <f>ROW()</f>
        <v>4884</v>
      </c>
      <c r="B4884">
        <f>Profile!A5649</f>
        <v>0</v>
      </c>
      <c r="C4884">
        <f>Profile!AP5651</f>
        <v>0</v>
      </c>
      <c r="D4884" t="str">
        <f>IF(Profile!C5649="Profile",IF(Profile!A5651="ResourceRequirement","OK","XXX"),"XXX")</f>
        <v>XXX</v>
      </c>
    </row>
    <row r="4885" spans="1:4" x14ac:dyDescent="0.45">
      <c r="A4885">
        <f>ROW()</f>
        <v>4885</v>
      </c>
      <c r="B4885">
        <f>Profile!A5650</f>
        <v>0</v>
      </c>
      <c r="C4885">
        <f>Profile!AP5652</f>
        <v>0</v>
      </c>
      <c r="D4885" t="str">
        <f>IF(Profile!C5650="Profile",IF(Profile!A5652="ResourceRequirement","OK","XXX"),"XXX")</f>
        <v>XXX</v>
      </c>
    </row>
    <row r="4886" spans="1:4" x14ac:dyDescent="0.45">
      <c r="A4886">
        <f>ROW()</f>
        <v>4886</v>
      </c>
      <c r="B4886">
        <f>Profile!A5651</f>
        <v>0</v>
      </c>
      <c r="C4886">
        <f>Profile!AP5653</f>
        <v>0</v>
      </c>
      <c r="D4886" t="str">
        <f>IF(Profile!C5651="Profile",IF(Profile!A5653="ResourceRequirement","OK","XXX"),"XXX")</f>
        <v>XXX</v>
      </c>
    </row>
    <row r="4887" spans="1:4" x14ac:dyDescent="0.45">
      <c r="A4887">
        <f>ROW()</f>
        <v>4887</v>
      </c>
      <c r="B4887">
        <f>Profile!A5652</f>
        <v>0</v>
      </c>
      <c r="C4887">
        <f>Profile!AP5654</f>
        <v>0</v>
      </c>
      <c r="D4887" t="str">
        <f>IF(Profile!C5652="Profile",IF(Profile!A5654="ResourceRequirement","OK","XXX"),"XXX")</f>
        <v>XXX</v>
      </c>
    </row>
    <row r="4888" spans="1:4" x14ac:dyDescent="0.45">
      <c r="A4888">
        <f>ROW()</f>
        <v>4888</v>
      </c>
      <c r="B4888">
        <f>Profile!A5653</f>
        <v>0</v>
      </c>
      <c r="C4888">
        <f>Profile!AP5655</f>
        <v>0</v>
      </c>
      <c r="D4888" t="str">
        <f>IF(Profile!C5653="Profile",IF(Profile!A5655="ResourceRequirement","OK","XXX"),"XXX")</f>
        <v>XXX</v>
      </c>
    </row>
    <row r="4889" spans="1:4" x14ac:dyDescent="0.45">
      <c r="A4889">
        <f>ROW()</f>
        <v>4889</v>
      </c>
      <c r="B4889">
        <f>Profile!A5654</f>
        <v>0</v>
      </c>
      <c r="C4889">
        <f>Profile!AP5656</f>
        <v>0</v>
      </c>
      <c r="D4889" t="str">
        <f>IF(Profile!C5654="Profile",IF(Profile!A5656="ResourceRequirement","OK","XXX"),"XXX")</f>
        <v>XXX</v>
      </c>
    </row>
    <row r="4890" spans="1:4" x14ac:dyDescent="0.45">
      <c r="A4890">
        <f>ROW()</f>
        <v>4890</v>
      </c>
      <c r="B4890">
        <f>Profile!A5655</f>
        <v>0</v>
      </c>
      <c r="C4890">
        <f>Profile!AP5657</f>
        <v>0</v>
      </c>
      <c r="D4890" t="str">
        <f>IF(Profile!C5655="Profile",IF(Profile!A5657="ResourceRequirement","OK","XXX"),"XXX")</f>
        <v>XXX</v>
      </c>
    </row>
    <row r="4891" spans="1:4" x14ac:dyDescent="0.45">
      <c r="A4891">
        <f>ROW()</f>
        <v>4891</v>
      </c>
      <c r="B4891">
        <f>Profile!A5656</f>
        <v>0</v>
      </c>
      <c r="C4891">
        <f>Profile!AP5658</f>
        <v>0</v>
      </c>
      <c r="D4891" t="str">
        <f>IF(Profile!C5656="Profile",IF(Profile!A5658="ResourceRequirement","OK","XXX"),"XXX")</f>
        <v>XXX</v>
      </c>
    </row>
    <row r="4892" spans="1:4" x14ac:dyDescent="0.45">
      <c r="A4892">
        <f>ROW()</f>
        <v>4892</v>
      </c>
      <c r="B4892">
        <f>Profile!A5657</f>
        <v>0</v>
      </c>
      <c r="C4892">
        <f>Profile!AP5659</f>
        <v>0</v>
      </c>
      <c r="D4892" t="str">
        <f>IF(Profile!C5657="Profile",IF(Profile!A5659="ResourceRequirement","OK","XXX"),"XXX")</f>
        <v>XXX</v>
      </c>
    </row>
    <row r="4893" spans="1:4" x14ac:dyDescent="0.45">
      <c r="A4893">
        <f>ROW()</f>
        <v>4893</v>
      </c>
      <c r="B4893">
        <f>Profile!A5658</f>
        <v>0</v>
      </c>
      <c r="C4893">
        <f>Profile!AP5660</f>
        <v>0</v>
      </c>
      <c r="D4893" t="str">
        <f>IF(Profile!C5658="Profile",IF(Profile!A5660="ResourceRequirement","OK","XXX"),"XXX")</f>
        <v>XXX</v>
      </c>
    </row>
    <row r="4894" spans="1:4" x14ac:dyDescent="0.45">
      <c r="A4894">
        <f>ROW()</f>
        <v>4894</v>
      </c>
      <c r="B4894">
        <f>Profile!A5659</f>
        <v>0</v>
      </c>
      <c r="C4894">
        <f>Profile!AP5661</f>
        <v>0</v>
      </c>
      <c r="D4894" t="str">
        <f>IF(Profile!C5659="Profile",IF(Profile!A5661="ResourceRequirement","OK","XXX"),"XXX")</f>
        <v>XXX</v>
      </c>
    </row>
    <row r="4895" spans="1:4" x14ac:dyDescent="0.45">
      <c r="A4895">
        <f>ROW()</f>
        <v>4895</v>
      </c>
      <c r="B4895">
        <f>Profile!A5660</f>
        <v>0</v>
      </c>
      <c r="C4895">
        <f>Profile!AP5662</f>
        <v>0</v>
      </c>
      <c r="D4895" t="str">
        <f>IF(Profile!C5660="Profile",IF(Profile!A5662="ResourceRequirement","OK","XXX"),"XXX")</f>
        <v>XXX</v>
      </c>
    </row>
    <row r="4896" spans="1:4" x14ac:dyDescent="0.45">
      <c r="A4896">
        <f>ROW()</f>
        <v>4896</v>
      </c>
      <c r="B4896">
        <f>Profile!A5661</f>
        <v>0</v>
      </c>
      <c r="C4896">
        <f>Profile!AP5663</f>
        <v>0</v>
      </c>
      <c r="D4896" t="str">
        <f>IF(Profile!C5661="Profile",IF(Profile!A5663="ResourceRequirement","OK","XXX"),"XXX")</f>
        <v>XXX</v>
      </c>
    </row>
    <row r="4897" spans="1:4" x14ac:dyDescent="0.45">
      <c r="A4897">
        <f>ROW()</f>
        <v>4897</v>
      </c>
      <c r="B4897">
        <f>Profile!A5662</f>
        <v>0</v>
      </c>
      <c r="C4897">
        <f>Profile!AP5664</f>
        <v>0</v>
      </c>
      <c r="D4897" t="str">
        <f>IF(Profile!C5662="Profile",IF(Profile!A5664="ResourceRequirement","OK","XXX"),"XXX")</f>
        <v>XXX</v>
      </c>
    </row>
    <row r="4898" spans="1:4" x14ac:dyDescent="0.45">
      <c r="A4898">
        <f>ROW()</f>
        <v>4898</v>
      </c>
      <c r="B4898">
        <f>Profile!A5663</f>
        <v>0</v>
      </c>
      <c r="C4898">
        <f>Profile!AP5665</f>
        <v>0</v>
      </c>
      <c r="D4898" t="str">
        <f>IF(Profile!C5663="Profile",IF(Profile!A5665="ResourceRequirement","OK","XXX"),"XXX")</f>
        <v>XXX</v>
      </c>
    </row>
    <row r="4899" spans="1:4" x14ac:dyDescent="0.45">
      <c r="A4899">
        <f>ROW()</f>
        <v>4899</v>
      </c>
      <c r="B4899">
        <f>Profile!A5664</f>
        <v>0</v>
      </c>
      <c r="C4899">
        <f>Profile!AP5666</f>
        <v>0</v>
      </c>
      <c r="D4899" t="str">
        <f>IF(Profile!C5664="Profile",IF(Profile!A5666="ResourceRequirement","OK","XXX"),"XXX")</f>
        <v>XXX</v>
      </c>
    </row>
    <row r="4900" spans="1:4" x14ac:dyDescent="0.45">
      <c r="A4900">
        <f>ROW()</f>
        <v>4900</v>
      </c>
      <c r="B4900">
        <f>Profile!A5665</f>
        <v>0</v>
      </c>
      <c r="C4900">
        <f>Profile!AP5667</f>
        <v>0</v>
      </c>
      <c r="D4900" t="str">
        <f>IF(Profile!C5665="Profile",IF(Profile!A5667="ResourceRequirement","OK","XXX"),"XXX")</f>
        <v>XXX</v>
      </c>
    </row>
    <row r="4901" spans="1:4" x14ac:dyDescent="0.45">
      <c r="A4901">
        <f>ROW()</f>
        <v>4901</v>
      </c>
      <c r="B4901">
        <f>Profile!A5666</f>
        <v>0</v>
      </c>
      <c r="C4901">
        <f>Profile!AP5668</f>
        <v>0</v>
      </c>
      <c r="D4901" t="str">
        <f>IF(Profile!C5666="Profile",IF(Profile!A5668="ResourceRequirement","OK","XXX"),"XXX")</f>
        <v>XXX</v>
      </c>
    </row>
    <row r="4902" spans="1:4" x14ac:dyDescent="0.45">
      <c r="A4902">
        <f>ROW()</f>
        <v>4902</v>
      </c>
      <c r="B4902">
        <f>Profile!A5667</f>
        <v>0</v>
      </c>
      <c r="C4902">
        <f>Profile!AP5669</f>
        <v>0</v>
      </c>
      <c r="D4902" t="str">
        <f>IF(Profile!C5667="Profile",IF(Profile!A5669="ResourceRequirement","OK","XXX"),"XXX")</f>
        <v>XXX</v>
      </c>
    </row>
    <row r="4903" spans="1:4" x14ac:dyDescent="0.45">
      <c r="A4903">
        <f>ROW()</f>
        <v>4903</v>
      </c>
      <c r="B4903">
        <f>Profile!A5668</f>
        <v>0</v>
      </c>
      <c r="C4903">
        <f>Profile!AP5670</f>
        <v>0</v>
      </c>
      <c r="D4903" t="str">
        <f>IF(Profile!C5668="Profile",IF(Profile!A5670="ResourceRequirement","OK","XXX"),"XXX")</f>
        <v>XXX</v>
      </c>
    </row>
    <row r="4904" spans="1:4" x14ac:dyDescent="0.45">
      <c r="A4904">
        <f>ROW()</f>
        <v>4904</v>
      </c>
      <c r="B4904">
        <f>Profile!A5669</f>
        <v>0</v>
      </c>
      <c r="C4904">
        <f>Profile!AP5671</f>
        <v>0</v>
      </c>
      <c r="D4904" t="str">
        <f>IF(Profile!C5669="Profile",IF(Profile!A5671="ResourceRequirement","OK","XXX"),"XXX")</f>
        <v>XXX</v>
      </c>
    </row>
    <row r="4905" spans="1:4" x14ac:dyDescent="0.45">
      <c r="A4905">
        <f>ROW()</f>
        <v>4905</v>
      </c>
      <c r="B4905">
        <f>Profile!A5670</f>
        <v>0</v>
      </c>
      <c r="C4905">
        <f>Profile!AP5672</f>
        <v>0</v>
      </c>
      <c r="D4905" t="str">
        <f>IF(Profile!C5670="Profile",IF(Profile!A5672="ResourceRequirement","OK","XXX"),"XXX")</f>
        <v>XXX</v>
      </c>
    </row>
    <row r="4906" spans="1:4" x14ac:dyDescent="0.45">
      <c r="A4906">
        <f>ROW()</f>
        <v>4906</v>
      </c>
      <c r="B4906">
        <f>Profile!A5671</f>
        <v>0</v>
      </c>
      <c r="C4906">
        <f>Profile!AP5673</f>
        <v>0</v>
      </c>
      <c r="D4906" t="str">
        <f>IF(Profile!C5671="Profile",IF(Profile!A5673="ResourceRequirement","OK","XXX"),"XXX")</f>
        <v>XXX</v>
      </c>
    </row>
    <row r="4907" spans="1:4" x14ac:dyDescent="0.45">
      <c r="A4907">
        <f>ROW()</f>
        <v>4907</v>
      </c>
      <c r="B4907">
        <f>Profile!A5672</f>
        <v>0</v>
      </c>
      <c r="C4907">
        <f>Profile!AP5674</f>
        <v>0</v>
      </c>
      <c r="D4907" t="str">
        <f>IF(Profile!C5672="Profile",IF(Profile!A5674="ResourceRequirement","OK","XXX"),"XXX")</f>
        <v>XXX</v>
      </c>
    </row>
    <row r="4908" spans="1:4" x14ac:dyDescent="0.45">
      <c r="A4908">
        <f>ROW()</f>
        <v>4908</v>
      </c>
      <c r="B4908">
        <f>Profile!A5673</f>
        <v>0</v>
      </c>
      <c r="C4908">
        <f>Profile!AP5675</f>
        <v>0</v>
      </c>
      <c r="D4908" t="str">
        <f>IF(Profile!C5673="Profile",IF(Profile!A5675="ResourceRequirement","OK","XXX"),"XXX")</f>
        <v>XXX</v>
      </c>
    </row>
    <row r="4909" spans="1:4" x14ac:dyDescent="0.45">
      <c r="A4909">
        <f>ROW()</f>
        <v>4909</v>
      </c>
      <c r="B4909">
        <f>Profile!A5674</f>
        <v>0</v>
      </c>
      <c r="C4909">
        <f>Profile!AP5676</f>
        <v>0</v>
      </c>
      <c r="D4909" t="str">
        <f>IF(Profile!C5674="Profile",IF(Profile!A5676="ResourceRequirement","OK","XXX"),"XXX")</f>
        <v>XXX</v>
      </c>
    </row>
    <row r="4910" spans="1:4" x14ac:dyDescent="0.45">
      <c r="A4910">
        <f>ROW()</f>
        <v>4910</v>
      </c>
      <c r="B4910">
        <f>Profile!A5675</f>
        <v>0</v>
      </c>
      <c r="C4910">
        <f>Profile!AP5677</f>
        <v>0</v>
      </c>
      <c r="D4910" t="str">
        <f>IF(Profile!C5675="Profile",IF(Profile!A5677="ResourceRequirement","OK","XXX"),"XXX")</f>
        <v>XXX</v>
      </c>
    </row>
    <row r="4911" spans="1:4" x14ac:dyDescent="0.45">
      <c r="A4911">
        <f>ROW()</f>
        <v>4911</v>
      </c>
      <c r="B4911">
        <f>Profile!A5676</f>
        <v>0</v>
      </c>
      <c r="C4911">
        <f>Profile!AP5678</f>
        <v>0</v>
      </c>
      <c r="D4911" t="str">
        <f>IF(Profile!C5676="Profile",IF(Profile!A5678="ResourceRequirement","OK","XXX"),"XXX")</f>
        <v>XXX</v>
      </c>
    </row>
    <row r="4912" spans="1:4" x14ac:dyDescent="0.45">
      <c r="A4912">
        <f>ROW()</f>
        <v>4912</v>
      </c>
      <c r="B4912">
        <f>Profile!A5677</f>
        <v>0</v>
      </c>
      <c r="C4912">
        <f>Profile!AP5679</f>
        <v>0</v>
      </c>
      <c r="D4912" t="str">
        <f>IF(Profile!C5677="Profile",IF(Profile!A5679="ResourceRequirement","OK","XXX"),"XXX")</f>
        <v>XXX</v>
      </c>
    </row>
    <row r="4913" spans="1:4" x14ac:dyDescent="0.45">
      <c r="A4913">
        <f>ROW()</f>
        <v>4913</v>
      </c>
      <c r="B4913">
        <f>Profile!A5678</f>
        <v>0</v>
      </c>
      <c r="C4913">
        <f>Profile!AP5680</f>
        <v>0</v>
      </c>
      <c r="D4913" t="str">
        <f>IF(Profile!C5678="Profile",IF(Profile!A5680="ResourceRequirement","OK","XXX"),"XXX")</f>
        <v>XXX</v>
      </c>
    </row>
    <row r="4914" spans="1:4" x14ac:dyDescent="0.45">
      <c r="A4914">
        <f>ROW()</f>
        <v>4914</v>
      </c>
      <c r="B4914">
        <f>Profile!A5679</f>
        <v>0</v>
      </c>
      <c r="C4914">
        <f>Profile!AP5681</f>
        <v>0</v>
      </c>
      <c r="D4914" t="str">
        <f>IF(Profile!C5679="Profile",IF(Profile!A5681="ResourceRequirement","OK","XXX"),"XXX")</f>
        <v>XXX</v>
      </c>
    </row>
    <row r="4915" spans="1:4" x14ac:dyDescent="0.45">
      <c r="A4915">
        <f>ROW()</f>
        <v>4915</v>
      </c>
      <c r="B4915">
        <f>Profile!A5680</f>
        <v>0</v>
      </c>
      <c r="C4915">
        <f>Profile!AP5682</f>
        <v>0</v>
      </c>
      <c r="D4915" t="str">
        <f>IF(Profile!C5680="Profile",IF(Profile!A5682="ResourceRequirement","OK","XXX"),"XXX")</f>
        <v>XXX</v>
      </c>
    </row>
    <row r="4916" spans="1:4" x14ac:dyDescent="0.45">
      <c r="A4916">
        <f>ROW()</f>
        <v>4916</v>
      </c>
      <c r="B4916">
        <f>Profile!A5681</f>
        <v>0</v>
      </c>
      <c r="C4916">
        <f>Profile!AP5683</f>
        <v>0</v>
      </c>
      <c r="D4916" t="str">
        <f>IF(Profile!C5681="Profile",IF(Profile!A5683="ResourceRequirement","OK","XXX"),"XXX")</f>
        <v>XXX</v>
      </c>
    </row>
    <row r="4917" spans="1:4" x14ac:dyDescent="0.45">
      <c r="A4917">
        <f>ROW()</f>
        <v>4917</v>
      </c>
      <c r="B4917">
        <f>Profile!A5682</f>
        <v>0</v>
      </c>
      <c r="C4917">
        <f>Profile!AP5684</f>
        <v>0</v>
      </c>
      <c r="D4917" t="str">
        <f>IF(Profile!C5682="Profile",IF(Profile!A5684="ResourceRequirement","OK","XXX"),"XXX")</f>
        <v>XXX</v>
      </c>
    </row>
    <row r="4918" spans="1:4" x14ac:dyDescent="0.45">
      <c r="A4918">
        <f>ROW()</f>
        <v>4918</v>
      </c>
      <c r="B4918">
        <f>Profile!A5683</f>
        <v>0</v>
      </c>
      <c r="C4918">
        <f>Profile!AP5685</f>
        <v>0</v>
      </c>
      <c r="D4918" t="str">
        <f>IF(Profile!C5683="Profile",IF(Profile!A5685="ResourceRequirement","OK","XXX"),"XXX")</f>
        <v>XXX</v>
      </c>
    </row>
    <row r="4919" spans="1:4" x14ac:dyDescent="0.45">
      <c r="A4919">
        <f>ROW()</f>
        <v>4919</v>
      </c>
      <c r="B4919">
        <f>Profile!A5684</f>
        <v>0</v>
      </c>
      <c r="C4919">
        <f>Profile!AP5686</f>
        <v>0</v>
      </c>
      <c r="D4919" t="str">
        <f>IF(Profile!C5684="Profile",IF(Profile!A5686="ResourceRequirement","OK","XXX"),"XXX")</f>
        <v>XXX</v>
      </c>
    </row>
    <row r="4920" spans="1:4" x14ac:dyDescent="0.45">
      <c r="A4920">
        <f>ROW()</f>
        <v>4920</v>
      </c>
      <c r="B4920">
        <f>Profile!A5685</f>
        <v>0</v>
      </c>
      <c r="C4920">
        <f>Profile!AP5687</f>
        <v>0</v>
      </c>
      <c r="D4920" t="str">
        <f>IF(Profile!C5685="Profile",IF(Profile!A5687="ResourceRequirement","OK","XXX"),"XXX")</f>
        <v>XXX</v>
      </c>
    </row>
    <row r="4921" spans="1:4" x14ac:dyDescent="0.45">
      <c r="A4921">
        <f>ROW()</f>
        <v>4921</v>
      </c>
      <c r="B4921">
        <f>Profile!A5686</f>
        <v>0</v>
      </c>
      <c r="C4921">
        <f>Profile!AP5688</f>
        <v>0</v>
      </c>
      <c r="D4921" t="str">
        <f>IF(Profile!C5686="Profile",IF(Profile!A5688="ResourceRequirement","OK","XXX"),"XXX")</f>
        <v>XXX</v>
      </c>
    </row>
    <row r="4922" spans="1:4" x14ac:dyDescent="0.45">
      <c r="A4922">
        <f>ROW()</f>
        <v>4922</v>
      </c>
      <c r="B4922">
        <f>Profile!A5687</f>
        <v>0</v>
      </c>
      <c r="C4922">
        <f>Profile!AP5689</f>
        <v>0</v>
      </c>
      <c r="D4922" t="str">
        <f>IF(Profile!C5687="Profile",IF(Profile!A5689="ResourceRequirement","OK","XXX"),"XXX")</f>
        <v>XXX</v>
      </c>
    </row>
    <row r="4923" spans="1:4" x14ac:dyDescent="0.45">
      <c r="A4923">
        <f>ROW()</f>
        <v>4923</v>
      </c>
      <c r="B4923">
        <f>Profile!A5688</f>
        <v>0</v>
      </c>
      <c r="C4923">
        <f>Profile!AP5690</f>
        <v>0</v>
      </c>
      <c r="D4923" t="str">
        <f>IF(Profile!C5688="Profile",IF(Profile!A5690="ResourceRequirement","OK","XXX"),"XXX")</f>
        <v>XXX</v>
      </c>
    </row>
    <row r="4924" spans="1:4" x14ac:dyDescent="0.45">
      <c r="A4924">
        <f>ROW()</f>
        <v>4924</v>
      </c>
      <c r="B4924">
        <f>Profile!A5689</f>
        <v>0</v>
      </c>
      <c r="C4924">
        <f>Profile!AP5691</f>
        <v>0</v>
      </c>
      <c r="D4924" t="str">
        <f>IF(Profile!C5689="Profile",IF(Profile!A5691="ResourceRequirement","OK","XXX"),"XXX")</f>
        <v>XXX</v>
      </c>
    </row>
    <row r="4925" spans="1:4" x14ac:dyDescent="0.45">
      <c r="A4925">
        <f>ROW()</f>
        <v>4925</v>
      </c>
      <c r="B4925">
        <f>Profile!A5690</f>
        <v>0</v>
      </c>
      <c r="C4925">
        <f>Profile!AP5692</f>
        <v>0</v>
      </c>
      <c r="D4925" t="str">
        <f>IF(Profile!C5690="Profile",IF(Profile!A5692="ResourceRequirement","OK","XXX"),"XXX")</f>
        <v>XXX</v>
      </c>
    </row>
    <row r="4926" spans="1:4" x14ac:dyDescent="0.45">
      <c r="A4926">
        <f>ROW()</f>
        <v>4926</v>
      </c>
      <c r="B4926">
        <f>Profile!A5691</f>
        <v>0</v>
      </c>
      <c r="C4926">
        <f>Profile!AP5693</f>
        <v>0</v>
      </c>
      <c r="D4926" t="str">
        <f>IF(Profile!C5691="Profile",IF(Profile!A5693="ResourceRequirement","OK","XXX"),"XXX")</f>
        <v>XXX</v>
      </c>
    </row>
    <row r="4927" spans="1:4" x14ac:dyDescent="0.45">
      <c r="A4927">
        <f>ROW()</f>
        <v>4927</v>
      </c>
      <c r="B4927">
        <f>Profile!A5692</f>
        <v>0</v>
      </c>
      <c r="C4927">
        <f>Profile!AP5694</f>
        <v>0</v>
      </c>
      <c r="D4927" t="str">
        <f>IF(Profile!C5692="Profile",IF(Profile!A5694="ResourceRequirement","OK","XXX"),"XXX")</f>
        <v>XXX</v>
      </c>
    </row>
    <row r="4928" spans="1:4" x14ac:dyDescent="0.45">
      <c r="A4928">
        <f>ROW()</f>
        <v>4928</v>
      </c>
      <c r="B4928">
        <f>Profile!A5693</f>
        <v>0</v>
      </c>
      <c r="C4928">
        <f>Profile!AP5695</f>
        <v>0</v>
      </c>
      <c r="D4928" t="str">
        <f>IF(Profile!C5693="Profile",IF(Profile!A5695="ResourceRequirement","OK","XXX"),"XXX")</f>
        <v>XXX</v>
      </c>
    </row>
    <row r="4929" spans="1:4" x14ac:dyDescent="0.45">
      <c r="A4929">
        <f>ROW()</f>
        <v>4929</v>
      </c>
      <c r="B4929">
        <f>Profile!A5694</f>
        <v>0</v>
      </c>
      <c r="C4929">
        <f>Profile!AP5696</f>
        <v>0</v>
      </c>
      <c r="D4929" t="str">
        <f>IF(Profile!C5694="Profile",IF(Profile!A5696="ResourceRequirement","OK","XXX"),"XXX")</f>
        <v>XXX</v>
      </c>
    </row>
    <row r="4930" spans="1:4" x14ac:dyDescent="0.45">
      <c r="A4930">
        <f>ROW()</f>
        <v>4930</v>
      </c>
      <c r="B4930">
        <f>Profile!A5695</f>
        <v>0</v>
      </c>
      <c r="C4930">
        <f>Profile!AP5697</f>
        <v>0</v>
      </c>
      <c r="D4930" t="str">
        <f>IF(Profile!C5695="Profile",IF(Profile!A5697="ResourceRequirement","OK","XXX"),"XXX")</f>
        <v>XXX</v>
      </c>
    </row>
    <row r="4931" spans="1:4" x14ac:dyDescent="0.45">
      <c r="A4931">
        <f>ROW()</f>
        <v>4931</v>
      </c>
      <c r="B4931">
        <f>Profile!A5696</f>
        <v>0</v>
      </c>
      <c r="C4931">
        <f>Profile!AP5698</f>
        <v>0</v>
      </c>
      <c r="D4931" t="str">
        <f>IF(Profile!C5696="Profile",IF(Profile!A5698="ResourceRequirement","OK","XXX"),"XXX")</f>
        <v>XXX</v>
      </c>
    </row>
    <row r="4932" spans="1:4" x14ac:dyDescent="0.45">
      <c r="A4932">
        <f>ROW()</f>
        <v>4932</v>
      </c>
      <c r="B4932">
        <f>Profile!A5697</f>
        <v>0</v>
      </c>
      <c r="C4932">
        <f>Profile!AP5699</f>
        <v>0</v>
      </c>
      <c r="D4932" t="str">
        <f>IF(Profile!C5697="Profile",IF(Profile!A5699="ResourceRequirement","OK","XXX"),"XXX")</f>
        <v>XXX</v>
      </c>
    </row>
    <row r="4933" spans="1:4" x14ac:dyDescent="0.45">
      <c r="A4933">
        <f>ROW()</f>
        <v>4933</v>
      </c>
      <c r="B4933">
        <f>Profile!A5698</f>
        <v>0</v>
      </c>
      <c r="C4933">
        <f>Profile!AP5700</f>
        <v>0</v>
      </c>
      <c r="D4933" t="str">
        <f>IF(Profile!C5698="Profile",IF(Profile!A5700="ResourceRequirement","OK","XXX"),"XXX")</f>
        <v>XXX</v>
      </c>
    </row>
    <row r="4934" spans="1:4" x14ac:dyDescent="0.45">
      <c r="A4934">
        <f>ROW()</f>
        <v>4934</v>
      </c>
      <c r="B4934">
        <f>Profile!A5699</f>
        <v>0</v>
      </c>
      <c r="C4934">
        <f>Profile!AP5701</f>
        <v>0</v>
      </c>
      <c r="D4934" t="str">
        <f>IF(Profile!C5699="Profile",IF(Profile!A5701="ResourceRequirement","OK","XXX"),"XXX")</f>
        <v>XXX</v>
      </c>
    </row>
    <row r="4935" spans="1:4" x14ac:dyDescent="0.45">
      <c r="A4935">
        <f>ROW()</f>
        <v>4935</v>
      </c>
      <c r="B4935">
        <f>Profile!A5700</f>
        <v>0</v>
      </c>
      <c r="C4935">
        <f>Profile!AP5702</f>
        <v>0</v>
      </c>
      <c r="D4935" t="str">
        <f>IF(Profile!C5700="Profile",IF(Profile!A5702="ResourceRequirement","OK","XXX"),"XXX")</f>
        <v>XXX</v>
      </c>
    </row>
    <row r="4936" spans="1:4" x14ac:dyDescent="0.45">
      <c r="A4936">
        <f>ROW()</f>
        <v>4936</v>
      </c>
      <c r="B4936">
        <f>Profile!A5701</f>
        <v>0</v>
      </c>
      <c r="C4936">
        <f>Profile!AP5703</f>
        <v>0</v>
      </c>
      <c r="D4936" t="str">
        <f>IF(Profile!C5701="Profile",IF(Profile!A5703="ResourceRequirement","OK","XXX"),"XXX")</f>
        <v>XXX</v>
      </c>
    </row>
    <row r="4937" spans="1:4" x14ac:dyDescent="0.45">
      <c r="A4937">
        <f>ROW()</f>
        <v>4937</v>
      </c>
      <c r="B4937">
        <f>Profile!A5702</f>
        <v>0</v>
      </c>
      <c r="C4937">
        <f>Profile!AP5704</f>
        <v>0</v>
      </c>
      <c r="D4937" t="str">
        <f>IF(Profile!C5702="Profile",IF(Profile!A5704="ResourceRequirement","OK","XXX"),"XXX")</f>
        <v>XXX</v>
      </c>
    </row>
    <row r="4938" spans="1:4" x14ac:dyDescent="0.45">
      <c r="A4938">
        <f>ROW()</f>
        <v>4938</v>
      </c>
      <c r="B4938">
        <f>Profile!A5703</f>
        <v>0</v>
      </c>
      <c r="C4938">
        <f>Profile!AP5705</f>
        <v>0</v>
      </c>
      <c r="D4938" t="str">
        <f>IF(Profile!C5703="Profile",IF(Profile!A5705="ResourceRequirement","OK","XXX"),"XXX")</f>
        <v>XXX</v>
      </c>
    </row>
    <row r="4939" spans="1:4" x14ac:dyDescent="0.45">
      <c r="A4939">
        <f>ROW()</f>
        <v>4939</v>
      </c>
      <c r="B4939">
        <f>Profile!A5704</f>
        <v>0</v>
      </c>
      <c r="C4939">
        <f>Profile!AP5706</f>
        <v>0</v>
      </c>
      <c r="D4939" t="str">
        <f>IF(Profile!C5704="Profile",IF(Profile!A5706="ResourceRequirement","OK","XXX"),"XXX")</f>
        <v>XXX</v>
      </c>
    </row>
    <row r="4940" spans="1:4" x14ac:dyDescent="0.45">
      <c r="A4940">
        <f>ROW()</f>
        <v>4940</v>
      </c>
      <c r="B4940">
        <f>Profile!A5705</f>
        <v>0</v>
      </c>
      <c r="C4940">
        <f>Profile!AP5707</f>
        <v>0</v>
      </c>
      <c r="D4940" t="str">
        <f>IF(Profile!C5705="Profile",IF(Profile!A5707="ResourceRequirement","OK","XXX"),"XXX")</f>
        <v>XXX</v>
      </c>
    </row>
    <row r="4941" spans="1:4" x14ac:dyDescent="0.45">
      <c r="A4941">
        <f>ROW()</f>
        <v>4941</v>
      </c>
      <c r="B4941">
        <f>Profile!A5706</f>
        <v>0</v>
      </c>
      <c r="C4941">
        <f>Profile!AP5708</f>
        <v>0</v>
      </c>
      <c r="D4941" t="str">
        <f>IF(Profile!C5706="Profile",IF(Profile!A5708="ResourceRequirement","OK","XXX"),"XXX")</f>
        <v>XXX</v>
      </c>
    </row>
    <row r="4942" spans="1:4" x14ac:dyDescent="0.45">
      <c r="A4942">
        <f>ROW()</f>
        <v>4942</v>
      </c>
      <c r="B4942">
        <f>Profile!A5707</f>
        <v>0</v>
      </c>
      <c r="C4942">
        <f>Profile!AP5709</f>
        <v>0</v>
      </c>
      <c r="D4942" t="str">
        <f>IF(Profile!C5707="Profile",IF(Profile!A5709="ResourceRequirement","OK","XXX"),"XXX")</f>
        <v>XXX</v>
      </c>
    </row>
    <row r="4943" spans="1:4" x14ac:dyDescent="0.45">
      <c r="A4943">
        <f>ROW()</f>
        <v>4943</v>
      </c>
      <c r="B4943">
        <f>Profile!A5708</f>
        <v>0</v>
      </c>
      <c r="C4943">
        <f>Profile!AP5710</f>
        <v>0</v>
      </c>
      <c r="D4943" t="str">
        <f>IF(Profile!C5708="Profile",IF(Profile!A5710="ResourceRequirement","OK","XXX"),"XXX")</f>
        <v>XXX</v>
      </c>
    </row>
    <row r="4944" spans="1:4" x14ac:dyDescent="0.45">
      <c r="A4944">
        <f>ROW()</f>
        <v>4944</v>
      </c>
      <c r="B4944">
        <f>Profile!A5709</f>
        <v>0</v>
      </c>
      <c r="C4944">
        <f>Profile!AP5711</f>
        <v>0</v>
      </c>
      <c r="D4944" t="str">
        <f>IF(Profile!C5709="Profile",IF(Profile!A5711="ResourceRequirement","OK","XXX"),"XXX")</f>
        <v>XXX</v>
      </c>
    </row>
    <row r="4945" spans="1:4" x14ac:dyDescent="0.45">
      <c r="A4945">
        <f>ROW()</f>
        <v>4945</v>
      </c>
      <c r="B4945">
        <f>Profile!A5710</f>
        <v>0</v>
      </c>
      <c r="C4945">
        <f>Profile!AP5712</f>
        <v>0</v>
      </c>
      <c r="D4945" t="str">
        <f>IF(Profile!C5710="Profile",IF(Profile!A5712="ResourceRequirement","OK","XXX"),"XXX")</f>
        <v>XXX</v>
      </c>
    </row>
    <row r="4946" spans="1:4" x14ac:dyDescent="0.45">
      <c r="A4946">
        <f>ROW()</f>
        <v>4946</v>
      </c>
      <c r="B4946">
        <f>Profile!A5711</f>
        <v>0</v>
      </c>
      <c r="C4946">
        <f>Profile!AP5713</f>
        <v>0</v>
      </c>
      <c r="D4946" t="str">
        <f>IF(Profile!C5711="Profile",IF(Profile!A5713="ResourceRequirement","OK","XXX"),"XXX")</f>
        <v>XXX</v>
      </c>
    </row>
    <row r="4947" spans="1:4" x14ac:dyDescent="0.45">
      <c r="A4947">
        <f>ROW()</f>
        <v>4947</v>
      </c>
      <c r="B4947">
        <f>Profile!A5712</f>
        <v>0</v>
      </c>
      <c r="C4947">
        <f>Profile!AP5714</f>
        <v>0</v>
      </c>
      <c r="D4947" t="str">
        <f>IF(Profile!C5712="Profile",IF(Profile!A5714="ResourceRequirement","OK","XXX"),"XXX")</f>
        <v>XXX</v>
      </c>
    </row>
    <row r="4948" spans="1:4" x14ac:dyDescent="0.45">
      <c r="A4948">
        <f>ROW()</f>
        <v>4948</v>
      </c>
      <c r="B4948">
        <f>Profile!A5713</f>
        <v>0</v>
      </c>
      <c r="C4948">
        <f>Profile!AP5715</f>
        <v>0</v>
      </c>
      <c r="D4948" t="str">
        <f>IF(Profile!C5713="Profile",IF(Profile!A5715="ResourceRequirement","OK","XXX"),"XXX")</f>
        <v>XXX</v>
      </c>
    </row>
    <row r="4949" spans="1:4" x14ac:dyDescent="0.45">
      <c r="A4949">
        <f>ROW()</f>
        <v>4949</v>
      </c>
      <c r="B4949">
        <f>Profile!A5714</f>
        <v>0</v>
      </c>
      <c r="C4949">
        <f>Profile!AP5716</f>
        <v>0</v>
      </c>
      <c r="D4949" t="str">
        <f>IF(Profile!C5714="Profile",IF(Profile!A5716="ResourceRequirement","OK","XXX"),"XXX")</f>
        <v>XXX</v>
      </c>
    </row>
    <row r="4950" spans="1:4" x14ac:dyDescent="0.45">
      <c r="A4950">
        <f>ROW()</f>
        <v>4950</v>
      </c>
      <c r="B4950">
        <f>Profile!A5715</f>
        <v>0</v>
      </c>
      <c r="C4950">
        <f>Profile!AP5717</f>
        <v>0</v>
      </c>
      <c r="D4950" t="str">
        <f>IF(Profile!C5715="Profile",IF(Profile!A5717="ResourceRequirement","OK","XXX"),"XXX")</f>
        <v>XXX</v>
      </c>
    </row>
    <row r="4951" spans="1:4" x14ac:dyDescent="0.45">
      <c r="A4951">
        <f>ROW()</f>
        <v>4951</v>
      </c>
      <c r="B4951">
        <f>Profile!A5716</f>
        <v>0</v>
      </c>
      <c r="C4951">
        <f>Profile!AP5718</f>
        <v>0</v>
      </c>
      <c r="D4951" t="str">
        <f>IF(Profile!C5716="Profile",IF(Profile!A5718="ResourceRequirement","OK","XXX"),"XXX")</f>
        <v>XXX</v>
      </c>
    </row>
    <row r="4952" spans="1:4" x14ac:dyDescent="0.45">
      <c r="A4952">
        <f>ROW()</f>
        <v>4952</v>
      </c>
      <c r="B4952">
        <f>Profile!A5717</f>
        <v>0</v>
      </c>
      <c r="C4952">
        <f>Profile!AP5719</f>
        <v>0</v>
      </c>
      <c r="D4952" t="str">
        <f>IF(Profile!C5717="Profile",IF(Profile!A5719="ResourceRequirement","OK","XXX"),"XXX")</f>
        <v>XXX</v>
      </c>
    </row>
    <row r="4953" spans="1:4" x14ac:dyDescent="0.45">
      <c r="A4953">
        <f>ROW()</f>
        <v>4953</v>
      </c>
      <c r="B4953">
        <f>Profile!A5718</f>
        <v>0</v>
      </c>
      <c r="C4953">
        <f>Profile!AP5720</f>
        <v>0</v>
      </c>
      <c r="D4953" t="str">
        <f>IF(Profile!C5718="Profile",IF(Profile!A5720="ResourceRequirement","OK","XXX"),"XXX")</f>
        <v>XXX</v>
      </c>
    </row>
    <row r="4954" spans="1:4" x14ac:dyDescent="0.45">
      <c r="A4954">
        <f>ROW()</f>
        <v>4954</v>
      </c>
      <c r="B4954">
        <f>Profile!A5719</f>
        <v>0</v>
      </c>
      <c r="C4954">
        <f>Profile!AP5721</f>
        <v>0</v>
      </c>
      <c r="D4954" t="str">
        <f>IF(Profile!C5719="Profile",IF(Profile!A5721="ResourceRequirement","OK","XXX"),"XXX")</f>
        <v>XXX</v>
      </c>
    </row>
    <row r="4955" spans="1:4" x14ac:dyDescent="0.45">
      <c r="A4955">
        <f>ROW()</f>
        <v>4955</v>
      </c>
      <c r="B4955">
        <f>Profile!A5720</f>
        <v>0</v>
      </c>
      <c r="C4955">
        <f>Profile!AP5722</f>
        <v>0</v>
      </c>
      <c r="D4955" t="str">
        <f>IF(Profile!C5720="Profile",IF(Profile!A5722="ResourceRequirement","OK","XXX"),"XXX")</f>
        <v>XXX</v>
      </c>
    </row>
    <row r="4956" spans="1:4" x14ac:dyDescent="0.45">
      <c r="A4956">
        <f>ROW()</f>
        <v>4956</v>
      </c>
      <c r="B4956">
        <f>Profile!A5721</f>
        <v>0</v>
      </c>
      <c r="C4956">
        <f>Profile!AP5723</f>
        <v>0</v>
      </c>
      <c r="D4956" t="str">
        <f>IF(Profile!C5721="Profile",IF(Profile!A5723="ResourceRequirement","OK","XXX"),"XXX")</f>
        <v>XXX</v>
      </c>
    </row>
    <row r="4957" spans="1:4" x14ac:dyDescent="0.45">
      <c r="A4957">
        <f>ROW()</f>
        <v>4957</v>
      </c>
      <c r="B4957">
        <f>Profile!A5722</f>
        <v>0</v>
      </c>
      <c r="C4957">
        <f>Profile!AP5724</f>
        <v>0</v>
      </c>
      <c r="D4957" t="str">
        <f>IF(Profile!C5722="Profile",IF(Profile!A5724="ResourceRequirement","OK","XXX"),"XXX")</f>
        <v>XXX</v>
      </c>
    </row>
    <row r="4958" spans="1:4" x14ac:dyDescent="0.45">
      <c r="A4958">
        <f>ROW()</f>
        <v>4958</v>
      </c>
      <c r="B4958">
        <f>Profile!A5723</f>
        <v>0</v>
      </c>
      <c r="C4958">
        <f>Profile!AP5725</f>
        <v>0</v>
      </c>
      <c r="D4958" t="str">
        <f>IF(Profile!C5723="Profile",IF(Profile!A5725="ResourceRequirement","OK","XXX"),"XXX")</f>
        <v>XXX</v>
      </c>
    </row>
    <row r="4959" spans="1:4" x14ac:dyDescent="0.45">
      <c r="A4959">
        <f>ROW()</f>
        <v>4959</v>
      </c>
      <c r="B4959">
        <f>Profile!A5724</f>
        <v>0</v>
      </c>
      <c r="C4959">
        <f>Profile!AP5726</f>
        <v>0</v>
      </c>
      <c r="D4959" t="str">
        <f>IF(Profile!C5724="Profile",IF(Profile!A5726="ResourceRequirement","OK","XXX"),"XXX")</f>
        <v>XXX</v>
      </c>
    </row>
    <row r="4960" spans="1:4" x14ac:dyDescent="0.45">
      <c r="A4960">
        <f>ROW()</f>
        <v>4960</v>
      </c>
      <c r="B4960">
        <f>Profile!A5725</f>
        <v>0</v>
      </c>
      <c r="C4960">
        <f>Profile!AP5727</f>
        <v>0</v>
      </c>
      <c r="D4960" t="str">
        <f>IF(Profile!C5725="Profile",IF(Profile!A5727="ResourceRequirement","OK","XXX"),"XXX")</f>
        <v>XXX</v>
      </c>
    </row>
    <row r="4961" spans="1:4" x14ac:dyDescent="0.45">
      <c r="A4961">
        <f>ROW()</f>
        <v>4961</v>
      </c>
      <c r="B4961">
        <f>Profile!A5726</f>
        <v>0</v>
      </c>
      <c r="C4961">
        <f>Profile!AP5728</f>
        <v>0</v>
      </c>
      <c r="D4961" t="str">
        <f>IF(Profile!C5726="Profile",IF(Profile!A5728="ResourceRequirement","OK","XXX"),"XXX")</f>
        <v>XXX</v>
      </c>
    </row>
    <row r="4962" spans="1:4" x14ac:dyDescent="0.45">
      <c r="A4962">
        <f>ROW()</f>
        <v>4962</v>
      </c>
      <c r="B4962">
        <f>Profile!A5727</f>
        <v>0</v>
      </c>
      <c r="C4962">
        <f>Profile!AP5729</f>
        <v>0</v>
      </c>
      <c r="D4962" t="str">
        <f>IF(Profile!C5727="Profile",IF(Profile!A5729="ResourceRequirement","OK","XXX"),"XXX")</f>
        <v>XXX</v>
      </c>
    </row>
    <row r="4963" spans="1:4" x14ac:dyDescent="0.45">
      <c r="A4963">
        <f>ROW()</f>
        <v>4963</v>
      </c>
      <c r="B4963">
        <f>Profile!A5728</f>
        <v>0</v>
      </c>
      <c r="C4963">
        <f>Profile!AP5730</f>
        <v>0</v>
      </c>
      <c r="D4963" t="str">
        <f>IF(Profile!C5728="Profile",IF(Profile!A5730="ResourceRequirement","OK","XXX"),"XXX")</f>
        <v>XXX</v>
      </c>
    </row>
    <row r="4964" spans="1:4" x14ac:dyDescent="0.45">
      <c r="A4964">
        <f>ROW()</f>
        <v>4964</v>
      </c>
      <c r="B4964">
        <f>Profile!A5729</f>
        <v>0</v>
      </c>
      <c r="C4964">
        <f>Profile!AP5731</f>
        <v>0</v>
      </c>
      <c r="D4964" t="str">
        <f>IF(Profile!C5729="Profile",IF(Profile!A5731="ResourceRequirement","OK","XXX"),"XXX")</f>
        <v>XXX</v>
      </c>
    </row>
    <row r="4965" spans="1:4" x14ac:dyDescent="0.45">
      <c r="A4965">
        <f>ROW()</f>
        <v>4965</v>
      </c>
      <c r="B4965">
        <f>Profile!A5730</f>
        <v>0</v>
      </c>
      <c r="C4965">
        <f>Profile!AP5732</f>
        <v>0</v>
      </c>
      <c r="D4965" t="str">
        <f>IF(Profile!C5730="Profile",IF(Profile!A5732="ResourceRequirement","OK","XXX"),"XXX")</f>
        <v>XXX</v>
      </c>
    </row>
    <row r="4966" spans="1:4" x14ac:dyDescent="0.45">
      <c r="A4966">
        <f>ROW()</f>
        <v>4966</v>
      </c>
      <c r="B4966">
        <f>Profile!A5731</f>
        <v>0</v>
      </c>
      <c r="C4966">
        <f>Profile!AP5733</f>
        <v>0</v>
      </c>
      <c r="D4966" t="str">
        <f>IF(Profile!C5731="Profile",IF(Profile!A5733="ResourceRequirement","OK","XXX"),"XXX")</f>
        <v>XXX</v>
      </c>
    </row>
    <row r="4967" spans="1:4" x14ac:dyDescent="0.45">
      <c r="A4967">
        <f>ROW()</f>
        <v>4967</v>
      </c>
      <c r="B4967">
        <f>Profile!A5732</f>
        <v>0</v>
      </c>
      <c r="C4967">
        <f>Profile!AP5734</f>
        <v>0</v>
      </c>
      <c r="D4967" t="str">
        <f>IF(Profile!C5732="Profile",IF(Profile!A5734="ResourceRequirement","OK","XXX"),"XXX")</f>
        <v>XXX</v>
      </c>
    </row>
    <row r="4968" spans="1:4" x14ac:dyDescent="0.45">
      <c r="A4968">
        <f>ROW()</f>
        <v>4968</v>
      </c>
      <c r="B4968">
        <f>Profile!A5733</f>
        <v>0</v>
      </c>
      <c r="C4968">
        <f>Profile!AP5735</f>
        <v>0</v>
      </c>
      <c r="D4968" t="str">
        <f>IF(Profile!C5733="Profile",IF(Profile!A5735="ResourceRequirement","OK","XXX"),"XXX")</f>
        <v>XXX</v>
      </c>
    </row>
    <row r="4969" spans="1:4" x14ac:dyDescent="0.45">
      <c r="A4969">
        <f>ROW()</f>
        <v>4969</v>
      </c>
      <c r="B4969">
        <f>Profile!A5734</f>
        <v>0</v>
      </c>
      <c r="C4969">
        <f>Profile!AP5736</f>
        <v>0</v>
      </c>
      <c r="D4969" t="str">
        <f>IF(Profile!C5734="Profile",IF(Profile!A5736="ResourceRequirement","OK","XXX"),"XXX")</f>
        <v>XXX</v>
      </c>
    </row>
    <row r="4970" spans="1:4" x14ac:dyDescent="0.45">
      <c r="A4970">
        <f>ROW()</f>
        <v>4970</v>
      </c>
      <c r="B4970">
        <f>Profile!A5735</f>
        <v>0</v>
      </c>
      <c r="C4970">
        <f>Profile!AP5737</f>
        <v>0</v>
      </c>
      <c r="D4970" t="str">
        <f>IF(Profile!C5735="Profile",IF(Profile!A5737="ResourceRequirement","OK","XXX"),"XXX")</f>
        <v>XXX</v>
      </c>
    </row>
    <row r="4971" spans="1:4" x14ac:dyDescent="0.45">
      <c r="A4971">
        <f>ROW()</f>
        <v>4971</v>
      </c>
      <c r="B4971">
        <f>Profile!A5736</f>
        <v>0</v>
      </c>
      <c r="C4971">
        <f>Profile!AP5738</f>
        <v>0</v>
      </c>
      <c r="D4971" t="str">
        <f>IF(Profile!C5736="Profile",IF(Profile!A5738="ResourceRequirement","OK","XXX"),"XXX")</f>
        <v>XXX</v>
      </c>
    </row>
    <row r="4972" spans="1:4" x14ac:dyDescent="0.45">
      <c r="A4972">
        <f>ROW()</f>
        <v>4972</v>
      </c>
      <c r="B4972">
        <f>Profile!A5737</f>
        <v>0</v>
      </c>
      <c r="C4972">
        <f>Profile!AP5739</f>
        <v>0</v>
      </c>
      <c r="D4972" t="str">
        <f>IF(Profile!C5737="Profile",IF(Profile!A5739="ResourceRequirement","OK","XXX"),"XXX")</f>
        <v>XXX</v>
      </c>
    </row>
    <row r="4973" spans="1:4" x14ac:dyDescent="0.45">
      <c r="A4973">
        <f>ROW()</f>
        <v>4973</v>
      </c>
      <c r="B4973">
        <f>Profile!A5738</f>
        <v>0</v>
      </c>
      <c r="C4973">
        <f>Profile!AP5740</f>
        <v>0</v>
      </c>
      <c r="D4973" t="str">
        <f>IF(Profile!C5738="Profile",IF(Profile!A5740="ResourceRequirement","OK","XXX"),"XXX")</f>
        <v>XXX</v>
      </c>
    </row>
    <row r="4974" spans="1:4" x14ac:dyDescent="0.45">
      <c r="A4974">
        <f>ROW()</f>
        <v>4974</v>
      </c>
      <c r="B4974">
        <f>Profile!A5739</f>
        <v>0</v>
      </c>
      <c r="C4974">
        <f>Profile!AP5741</f>
        <v>0</v>
      </c>
      <c r="D4974" t="str">
        <f>IF(Profile!C5739="Profile",IF(Profile!A5741="ResourceRequirement","OK","XXX"),"XXX")</f>
        <v>XXX</v>
      </c>
    </row>
    <row r="4975" spans="1:4" x14ac:dyDescent="0.45">
      <c r="A4975">
        <f>ROW()</f>
        <v>4975</v>
      </c>
      <c r="B4975">
        <f>Profile!A5740</f>
        <v>0</v>
      </c>
      <c r="C4975">
        <f>Profile!AP5742</f>
        <v>0</v>
      </c>
      <c r="D4975" t="str">
        <f>IF(Profile!C5740="Profile",IF(Profile!A5742="ResourceRequirement","OK","XXX"),"XXX")</f>
        <v>XXX</v>
      </c>
    </row>
    <row r="4976" spans="1:4" x14ac:dyDescent="0.45">
      <c r="A4976">
        <f>ROW()</f>
        <v>4976</v>
      </c>
      <c r="B4976">
        <f>Profile!A5741</f>
        <v>0</v>
      </c>
      <c r="C4976">
        <f>Profile!AP5743</f>
        <v>0</v>
      </c>
      <c r="D4976" t="str">
        <f>IF(Profile!C5741="Profile",IF(Profile!A5743="ResourceRequirement","OK","XXX"),"XXX")</f>
        <v>XXX</v>
      </c>
    </row>
    <row r="4977" spans="1:4" x14ac:dyDescent="0.45">
      <c r="A4977">
        <f>ROW()</f>
        <v>4977</v>
      </c>
      <c r="B4977">
        <f>Profile!A5742</f>
        <v>0</v>
      </c>
      <c r="C4977">
        <f>Profile!AP5744</f>
        <v>0</v>
      </c>
      <c r="D4977" t="str">
        <f>IF(Profile!C5742="Profile",IF(Profile!A5744="ResourceRequirement","OK","XXX"),"XXX")</f>
        <v>XXX</v>
      </c>
    </row>
    <row r="4978" spans="1:4" x14ac:dyDescent="0.45">
      <c r="A4978">
        <f>ROW()</f>
        <v>4978</v>
      </c>
      <c r="B4978">
        <f>Profile!A5743</f>
        <v>0</v>
      </c>
      <c r="C4978">
        <f>Profile!AP5745</f>
        <v>0</v>
      </c>
      <c r="D4978" t="str">
        <f>IF(Profile!C5743="Profile",IF(Profile!A5745="ResourceRequirement","OK","XXX"),"XXX")</f>
        <v>XXX</v>
      </c>
    </row>
    <row r="4979" spans="1:4" x14ac:dyDescent="0.45">
      <c r="A4979">
        <f>ROW()</f>
        <v>4979</v>
      </c>
      <c r="B4979">
        <f>Profile!A5744</f>
        <v>0</v>
      </c>
      <c r="C4979">
        <f>Profile!AP5746</f>
        <v>0</v>
      </c>
      <c r="D4979" t="str">
        <f>IF(Profile!C5744="Profile",IF(Profile!A5746="ResourceRequirement","OK","XXX"),"XXX")</f>
        <v>XXX</v>
      </c>
    </row>
    <row r="4980" spans="1:4" x14ac:dyDescent="0.45">
      <c r="A4980">
        <f>ROW()</f>
        <v>4980</v>
      </c>
      <c r="B4980">
        <f>Profile!A5745</f>
        <v>0</v>
      </c>
      <c r="C4980">
        <f>Profile!AP5747</f>
        <v>0</v>
      </c>
      <c r="D4980" t="str">
        <f>IF(Profile!C5745="Profile",IF(Profile!A5747="ResourceRequirement","OK","XXX"),"XXX")</f>
        <v>XXX</v>
      </c>
    </row>
    <row r="4981" spans="1:4" x14ac:dyDescent="0.45">
      <c r="A4981">
        <f>ROW()</f>
        <v>4981</v>
      </c>
      <c r="B4981">
        <f>Profile!A5746</f>
        <v>0</v>
      </c>
      <c r="C4981">
        <f>Profile!AP5748</f>
        <v>0</v>
      </c>
      <c r="D4981" t="str">
        <f>IF(Profile!C5746="Profile",IF(Profile!A5748="ResourceRequirement","OK","XXX"),"XXX")</f>
        <v>XXX</v>
      </c>
    </row>
    <row r="4982" spans="1:4" x14ac:dyDescent="0.45">
      <c r="A4982">
        <f>ROW()</f>
        <v>4982</v>
      </c>
      <c r="B4982">
        <f>Profile!A5747</f>
        <v>0</v>
      </c>
      <c r="C4982">
        <f>Profile!AP5749</f>
        <v>0</v>
      </c>
      <c r="D4982" t="str">
        <f>IF(Profile!C5747="Profile",IF(Profile!A5749="ResourceRequirement","OK","XXX"),"XXX")</f>
        <v>XXX</v>
      </c>
    </row>
    <row r="4983" spans="1:4" x14ac:dyDescent="0.45">
      <c r="A4983">
        <f>ROW()</f>
        <v>4983</v>
      </c>
      <c r="B4983">
        <f>Profile!A5748</f>
        <v>0</v>
      </c>
      <c r="C4983">
        <f>Profile!AP5750</f>
        <v>0</v>
      </c>
      <c r="D4983" t="str">
        <f>IF(Profile!C5748="Profile",IF(Profile!A5750="ResourceRequirement","OK","XXX"),"XXX")</f>
        <v>XXX</v>
      </c>
    </row>
    <row r="4984" spans="1:4" x14ac:dyDescent="0.45">
      <c r="A4984">
        <f>ROW()</f>
        <v>4984</v>
      </c>
      <c r="B4984">
        <f>Profile!A5749</f>
        <v>0</v>
      </c>
      <c r="C4984">
        <f>Profile!AP5751</f>
        <v>0</v>
      </c>
      <c r="D4984" t="str">
        <f>IF(Profile!C5749="Profile",IF(Profile!A5751="ResourceRequirement","OK","XXX"),"XXX")</f>
        <v>XXX</v>
      </c>
    </row>
    <row r="4985" spans="1:4" x14ac:dyDescent="0.45">
      <c r="A4985">
        <f>ROW()</f>
        <v>4985</v>
      </c>
      <c r="B4985">
        <f>Profile!A5750</f>
        <v>0</v>
      </c>
      <c r="C4985">
        <f>Profile!AP5752</f>
        <v>0</v>
      </c>
      <c r="D4985" t="str">
        <f>IF(Profile!C5750="Profile",IF(Profile!A5752="ResourceRequirement","OK","XXX"),"XXX")</f>
        <v>XXX</v>
      </c>
    </row>
    <row r="4986" spans="1:4" x14ac:dyDescent="0.45">
      <c r="A4986">
        <f>ROW()</f>
        <v>4986</v>
      </c>
      <c r="B4986">
        <f>Profile!A5751</f>
        <v>0</v>
      </c>
      <c r="C4986">
        <f>Profile!AP5753</f>
        <v>0</v>
      </c>
      <c r="D4986" t="str">
        <f>IF(Profile!C5751="Profile",IF(Profile!A5753="ResourceRequirement","OK","XXX"),"XXX")</f>
        <v>XXX</v>
      </c>
    </row>
    <row r="4987" spans="1:4" x14ac:dyDescent="0.45">
      <c r="A4987">
        <f>ROW()</f>
        <v>4987</v>
      </c>
      <c r="B4987">
        <f>Profile!A5752</f>
        <v>0</v>
      </c>
      <c r="C4987">
        <f>Profile!AP5754</f>
        <v>0</v>
      </c>
      <c r="D4987" t="str">
        <f>IF(Profile!C5752="Profile",IF(Profile!A5754="ResourceRequirement","OK","XXX"),"XXX")</f>
        <v>XXX</v>
      </c>
    </row>
    <row r="4988" spans="1:4" x14ac:dyDescent="0.45">
      <c r="A4988">
        <f>ROW()</f>
        <v>4988</v>
      </c>
      <c r="B4988">
        <f>Profile!A5753</f>
        <v>0</v>
      </c>
      <c r="C4988">
        <f>Profile!AP5755</f>
        <v>0</v>
      </c>
      <c r="D4988" t="str">
        <f>IF(Profile!C5753="Profile",IF(Profile!A5755="ResourceRequirement","OK","XXX"),"XXX")</f>
        <v>XXX</v>
      </c>
    </row>
    <row r="4989" spans="1:4" x14ac:dyDescent="0.45">
      <c r="A4989">
        <f>ROW()</f>
        <v>4989</v>
      </c>
      <c r="B4989">
        <f>Profile!A5754</f>
        <v>0</v>
      </c>
      <c r="C4989">
        <f>Profile!AP5756</f>
        <v>0</v>
      </c>
      <c r="D4989" t="str">
        <f>IF(Profile!C5754="Profile",IF(Profile!A5756="ResourceRequirement","OK","XXX"),"XXX")</f>
        <v>XXX</v>
      </c>
    </row>
    <row r="4990" spans="1:4" x14ac:dyDescent="0.45">
      <c r="A4990">
        <f>ROW()</f>
        <v>4990</v>
      </c>
      <c r="B4990">
        <f>Profile!A5755</f>
        <v>0</v>
      </c>
      <c r="C4990">
        <f>Profile!AP5757</f>
        <v>0</v>
      </c>
      <c r="D4990" t="str">
        <f>IF(Profile!C5755="Profile",IF(Profile!A5757="ResourceRequirement","OK","XXX"),"XXX")</f>
        <v>XXX</v>
      </c>
    </row>
    <row r="4991" spans="1:4" x14ac:dyDescent="0.45">
      <c r="A4991">
        <f>ROW()</f>
        <v>4991</v>
      </c>
      <c r="B4991">
        <f>Profile!A5756</f>
        <v>0</v>
      </c>
      <c r="C4991">
        <f>Profile!AP5758</f>
        <v>0</v>
      </c>
      <c r="D4991" t="str">
        <f>IF(Profile!C5756="Profile",IF(Profile!A5758="ResourceRequirement","OK","XXX"),"XXX")</f>
        <v>XXX</v>
      </c>
    </row>
    <row r="4992" spans="1:4" x14ac:dyDescent="0.45">
      <c r="A4992">
        <f>ROW()</f>
        <v>4992</v>
      </c>
      <c r="B4992">
        <f>Profile!A5757</f>
        <v>0</v>
      </c>
      <c r="C4992">
        <f>Profile!AP5759</f>
        <v>0</v>
      </c>
      <c r="D4992" t="str">
        <f>IF(Profile!C5757="Profile",IF(Profile!A5759="ResourceRequirement","OK","XXX"),"XXX")</f>
        <v>XXX</v>
      </c>
    </row>
    <row r="4993" spans="1:4" x14ac:dyDescent="0.45">
      <c r="A4993">
        <f>ROW()</f>
        <v>4993</v>
      </c>
      <c r="B4993">
        <f>Profile!A5758</f>
        <v>0</v>
      </c>
      <c r="C4993">
        <f>Profile!AP5760</f>
        <v>0</v>
      </c>
      <c r="D4993" t="str">
        <f>IF(Profile!C5758="Profile",IF(Profile!A5760="ResourceRequirement","OK","XXX"),"XXX")</f>
        <v>XXX</v>
      </c>
    </row>
    <row r="4994" spans="1:4" x14ac:dyDescent="0.45">
      <c r="A4994">
        <f>ROW()</f>
        <v>4994</v>
      </c>
      <c r="B4994">
        <f>Profile!A5759</f>
        <v>0</v>
      </c>
      <c r="C4994">
        <f>Profile!AP5761</f>
        <v>0</v>
      </c>
      <c r="D4994" t="str">
        <f>IF(Profile!C5759="Profile",IF(Profile!A5761="ResourceRequirement","OK","XXX"),"XXX")</f>
        <v>XXX</v>
      </c>
    </row>
    <row r="4995" spans="1:4" x14ac:dyDescent="0.45">
      <c r="A4995">
        <f>ROW()</f>
        <v>4995</v>
      </c>
      <c r="B4995">
        <f>Profile!A5760</f>
        <v>0</v>
      </c>
      <c r="C4995">
        <f>Profile!AP5762</f>
        <v>0</v>
      </c>
      <c r="D4995" t="str">
        <f>IF(Profile!C5760="Profile",IF(Profile!A5762="ResourceRequirement","OK","XXX"),"XXX")</f>
        <v>XXX</v>
      </c>
    </row>
    <row r="4996" spans="1:4" x14ac:dyDescent="0.45">
      <c r="A4996">
        <f>ROW()</f>
        <v>4996</v>
      </c>
      <c r="B4996">
        <f>Profile!A5761</f>
        <v>0</v>
      </c>
      <c r="C4996">
        <f>Profile!AP5763</f>
        <v>0</v>
      </c>
      <c r="D4996" t="str">
        <f>IF(Profile!C5761="Profile",IF(Profile!A5763="ResourceRequirement","OK","XXX"),"XXX")</f>
        <v>XXX</v>
      </c>
    </row>
    <row r="4997" spans="1:4" x14ac:dyDescent="0.45">
      <c r="A4997">
        <f>ROW()</f>
        <v>4997</v>
      </c>
      <c r="B4997">
        <f>Profile!A5762</f>
        <v>0</v>
      </c>
      <c r="C4997">
        <f>Profile!AP5764</f>
        <v>0</v>
      </c>
      <c r="D4997" t="str">
        <f>IF(Profile!C5762="Profile",IF(Profile!A5764="ResourceRequirement","OK","XXX"),"XXX")</f>
        <v>XXX</v>
      </c>
    </row>
    <row r="4998" spans="1:4" x14ac:dyDescent="0.45">
      <c r="A4998">
        <f>ROW()</f>
        <v>4998</v>
      </c>
      <c r="B4998">
        <f>Profile!A5763</f>
        <v>0</v>
      </c>
      <c r="C4998">
        <f>Profile!AP5765</f>
        <v>0</v>
      </c>
      <c r="D4998" t="str">
        <f>IF(Profile!C5763="Profile",IF(Profile!A5765="ResourceRequirement","OK","XXX"),"XXX")</f>
        <v>XXX</v>
      </c>
    </row>
    <row r="4999" spans="1:4" x14ac:dyDescent="0.45">
      <c r="A4999">
        <f>ROW()</f>
        <v>4999</v>
      </c>
      <c r="B4999">
        <f>Profile!A5764</f>
        <v>0</v>
      </c>
      <c r="C4999">
        <f>Profile!AP5766</f>
        <v>0</v>
      </c>
      <c r="D4999" t="str">
        <f>IF(Profile!C5764="Profile",IF(Profile!A5766="ResourceRequirement","OK","XXX"),"XXX")</f>
        <v>XXX</v>
      </c>
    </row>
    <row r="5000" spans="1:4" x14ac:dyDescent="0.45">
      <c r="A5000">
        <f>ROW()</f>
        <v>5000</v>
      </c>
      <c r="B5000">
        <f>Profile!A5765</f>
        <v>0</v>
      </c>
      <c r="C5000">
        <f>Profile!AP5767</f>
        <v>0</v>
      </c>
      <c r="D5000" t="str">
        <f>IF(Profile!C5765="Profile",IF(Profile!A5767="ResourceRequirement","OK","XXX"),"XXX")</f>
        <v>XXX</v>
      </c>
    </row>
  </sheetData>
  <sortState xmlns:xlrd2="http://schemas.microsoft.com/office/spreadsheetml/2017/richdata2" ref="G1:J5006">
    <sortCondition ref="G1:G5006"/>
  </sortState>
  <pageMargins left="0.7" right="0.7" top="0.75" bottom="0.75" header="0.3" footer="0.3"/>
  <pageSetup scale="6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BE1FE-BC6F-2848-A234-94F019F31FF4}">
  <dimension ref="A1:C433"/>
  <sheetViews>
    <sheetView workbookViewId="0"/>
  </sheetViews>
  <sheetFormatPr defaultColWidth="11.46484375" defaultRowHeight="14.25" x14ac:dyDescent="0.45"/>
  <sheetData>
    <row r="1" spans="1:2" x14ac:dyDescent="0.45">
      <c r="A1" s="245" t="s">
        <v>5409</v>
      </c>
      <c r="B1" s="245" t="s">
        <v>5410</v>
      </c>
    </row>
    <row r="2" spans="1:2" x14ac:dyDescent="0.45">
      <c r="A2" s="245" t="s">
        <v>2603</v>
      </c>
      <c r="B2" s="245" t="s">
        <v>5411</v>
      </c>
    </row>
    <row r="3" spans="1:2" x14ac:dyDescent="0.45">
      <c r="A3" s="245" t="s">
        <v>33</v>
      </c>
      <c r="B3" s="245" t="s">
        <v>2628</v>
      </c>
    </row>
    <row r="4" spans="1:2" x14ac:dyDescent="0.45">
      <c r="A4" s="245" t="s">
        <v>897</v>
      </c>
      <c r="B4" s="245" t="s">
        <v>5412</v>
      </c>
    </row>
    <row r="5" spans="1:2" x14ac:dyDescent="0.45">
      <c r="A5" s="245" t="s">
        <v>75</v>
      </c>
      <c r="B5" s="245" t="s">
        <v>5413</v>
      </c>
    </row>
    <row r="6" spans="1:2" x14ac:dyDescent="0.45">
      <c r="A6" s="245" t="s">
        <v>4108</v>
      </c>
      <c r="B6" s="245" t="s">
        <v>5414</v>
      </c>
    </row>
    <row r="7" spans="1:2" x14ac:dyDescent="0.45">
      <c r="A7" s="245" t="s">
        <v>5415</v>
      </c>
    </row>
    <row r="8" spans="1:2" x14ac:dyDescent="0.45">
      <c r="A8" s="245" t="s">
        <v>5416</v>
      </c>
      <c r="B8" s="245" t="s">
        <v>5417</v>
      </c>
    </row>
    <row r="9" spans="1:2" x14ac:dyDescent="0.45">
      <c r="A9" s="245" t="s">
        <v>43</v>
      </c>
      <c r="B9" s="245" t="s">
        <v>5418</v>
      </c>
    </row>
    <row r="10" spans="1:2" x14ac:dyDescent="0.45">
      <c r="A10" s="245" t="s">
        <v>5419</v>
      </c>
      <c r="B10" s="245" t="s">
        <v>5420</v>
      </c>
    </row>
    <row r="11" spans="1:2" x14ac:dyDescent="0.45">
      <c r="A11" s="245" t="s">
        <v>43</v>
      </c>
      <c r="B11" s="245" t="s">
        <v>84</v>
      </c>
    </row>
    <row r="12" spans="1:2" x14ac:dyDescent="0.45">
      <c r="A12" s="245" t="s">
        <v>5421</v>
      </c>
      <c r="B12" s="245" t="s">
        <v>5422</v>
      </c>
    </row>
    <row r="13" spans="1:2" x14ac:dyDescent="0.45">
      <c r="A13" s="245" t="s">
        <v>43</v>
      </c>
      <c r="B13" s="245" t="s">
        <v>84</v>
      </c>
    </row>
    <row r="14" spans="1:2" x14ac:dyDescent="0.45">
      <c r="A14" s="245" t="s">
        <v>59</v>
      </c>
      <c r="B14" s="245" t="s">
        <v>5423</v>
      </c>
    </row>
    <row r="15" spans="1:2" x14ac:dyDescent="0.45">
      <c r="A15" s="245" t="s">
        <v>4112</v>
      </c>
      <c r="B15" s="245" t="s">
        <v>5424</v>
      </c>
    </row>
    <row r="16" spans="1:2" x14ac:dyDescent="0.45">
      <c r="A16" s="245" t="s">
        <v>43</v>
      </c>
      <c r="B16" s="245" t="s">
        <v>5425</v>
      </c>
    </row>
    <row r="17" spans="1:2" x14ac:dyDescent="0.45">
      <c r="A17" s="245" t="s">
        <v>99</v>
      </c>
      <c r="B17" s="245" t="s">
        <v>5426</v>
      </c>
    </row>
    <row r="18" spans="1:2" x14ac:dyDescent="0.45">
      <c r="A18" s="245" t="s">
        <v>114</v>
      </c>
      <c r="B18" s="245" t="s">
        <v>5427</v>
      </c>
    </row>
    <row r="19" spans="1:2" x14ac:dyDescent="0.45">
      <c r="A19" s="245" t="s">
        <v>244</v>
      </c>
      <c r="B19" s="245" t="s">
        <v>5428</v>
      </c>
    </row>
    <row r="20" spans="1:2" x14ac:dyDescent="0.45">
      <c r="A20" s="245" t="s">
        <v>140</v>
      </c>
      <c r="B20" s="245" t="s">
        <v>5429</v>
      </c>
    </row>
    <row r="21" spans="1:2" x14ac:dyDescent="0.45">
      <c r="A21" s="245" t="s">
        <v>136</v>
      </c>
      <c r="B21" s="245" t="s">
        <v>5430</v>
      </c>
    </row>
    <row r="22" spans="1:2" x14ac:dyDescent="0.45">
      <c r="A22" s="245" t="s">
        <v>145</v>
      </c>
      <c r="B22" s="245" t="s">
        <v>5431</v>
      </c>
    </row>
    <row r="23" spans="1:2" x14ac:dyDescent="0.45">
      <c r="A23" s="245" t="s">
        <v>5432</v>
      </c>
      <c r="B23" s="245" t="s">
        <v>5433</v>
      </c>
    </row>
    <row r="24" spans="1:2" x14ac:dyDescent="0.45">
      <c r="A24" s="245" t="s">
        <v>5434</v>
      </c>
      <c r="B24" s="245" t="s">
        <v>5435</v>
      </c>
    </row>
    <row r="25" spans="1:2" x14ac:dyDescent="0.45">
      <c r="A25" s="245" t="s">
        <v>1994</v>
      </c>
      <c r="B25" s="245" t="s">
        <v>5436</v>
      </c>
    </row>
    <row r="26" spans="1:2" x14ac:dyDescent="0.45">
      <c r="A26" s="245" t="s">
        <v>5437</v>
      </c>
      <c r="B26" s="245" t="s">
        <v>5438</v>
      </c>
    </row>
    <row r="27" spans="1:2" x14ac:dyDescent="0.45">
      <c r="A27" s="245" t="s">
        <v>5439</v>
      </c>
      <c r="B27" s="245" t="s">
        <v>5440</v>
      </c>
    </row>
    <row r="28" spans="1:2" x14ac:dyDescent="0.45">
      <c r="A28" s="245" t="s">
        <v>5441</v>
      </c>
      <c r="B28" s="245" t="s">
        <v>5442</v>
      </c>
    </row>
    <row r="29" spans="1:2" x14ac:dyDescent="0.45">
      <c r="A29" s="245" t="s">
        <v>5443</v>
      </c>
      <c r="B29" s="245" t="s">
        <v>5444</v>
      </c>
    </row>
    <row r="30" spans="1:2" x14ac:dyDescent="0.45">
      <c r="A30" s="245" t="s">
        <v>1994</v>
      </c>
      <c r="B30" s="245" t="s">
        <v>84</v>
      </c>
    </row>
    <row r="31" spans="1:2" x14ac:dyDescent="0.45">
      <c r="A31" s="245" t="s">
        <v>5445</v>
      </c>
      <c r="B31" s="245" t="s">
        <v>5446</v>
      </c>
    </row>
    <row r="32" spans="1:2" x14ac:dyDescent="0.45">
      <c r="A32" s="245" t="s">
        <v>5447</v>
      </c>
      <c r="B32" s="245" t="s">
        <v>5448</v>
      </c>
    </row>
    <row r="33" spans="1:2" x14ac:dyDescent="0.45">
      <c r="A33" s="245" t="s">
        <v>5449</v>
      </c>
      <c r="B33" s="245" t="s">
        <v>5450</v>
      </c>
    </row>
    <row r="34" spans="1:2" x14ac:dyDescent="0.45">
      <c r="A34" s="245" t="s">
        <v>5361</v>
      </c>
      <c r="B34" s="245" t="s">
        <v>5451</v>
      </c>
    </row>
    <row r="35" spans="1:2" x14ac:dyDescent="0.45">
      <c r="A35" s="245" t="s">
        <v>5360</v>
      </c>
      <c r="B35" s="245" t="s">
        <v>5452</v>
      </c>
    </row>
    <row r="36" spans="1:2" x14ac:dyDescent="0.45">
      <c r="A36" s="245" t="s">
        <v>59</v>
      </c>
      <c r="B36" s="245" t="s">
        <v>5423</v>
      </c>
    </row>
    <row r="37" spans="1:2" x14ac:dyDescent="0.45">
      <c r="A37" s="245" t="s">
        <v>2575</v>
      </c>
      <c r="B37" s="245" t="s">
        <v>5453</v>
      </c>
    </row>
    <row r="38" spans="1:2" x14ac:dyDescent="0.45">
      <c r="A38" s="245" t="s">
        <v>5454</v>
      </c>
      <c r="B38" s="245" t="s">
        <v>5455</v>
      </c>
    </row>
    <row r="39" spans="1:2" x14ac:dyDescent="0.45">
      <c r="A39" s="245" t="s">
        <v>5456</v>
      </c>
      <c r="B39" s="245" t="s">
        <v>5457</v>
      </c>
    </row>
    <row r="40" spans="1:2" x14ac:dyDescent="0.45">
      <c r="A40" s="245" t="s">
        <v>5458</v>
      </c>
      <c r="B40" s="245" t="s">
        <v>5459</v>
      </c>
    </row>
    <row r="41" spans="1:2" x14ac:dyDescent="0.45">
      <c r="A41" s="245" t="s">
        <v>5460</v>
      </c>
      <c r="B41" s="245" t="s">
        <v>5461</v>
      </c>
    </row>
    <row r="42" spans="1:2" x14ac:dyDescent="0.45">
      <c r="A42" s="245" t="s">
        <v>161</v>
      </c>
      <c r="B42" s="245" t="s">
        <v>5462</v>
      </c>
    </row>
    <row r="43" spans="1:2" x14ac:dyDescent="0.45">
      <c r="A43" s="245"/>
    </row>
    <row r="44" spans="1:2" x14ac:dyDescent="0.45">
      <c r="A44" s="245"/>
    </row>
    <row r="45" spans="1:2" x14ac:dyDescent="0.45">
      <c r="A45" s="245"/>
    </row>
    <row r="46" spans="1:2" x14ac:dyDescent="0.45">
      <c r="A46" s="245" t="s">
        <v>5463</v>
      </c>
      <c r="B46" s="245" t="s">
        <v>5464</v>
      </c>
    </row>
    <row r="47" spans="1:2" x14ac:dyDescent="0.45">
      <c r="A47" s="245" t="s">
        <v>5465</v>
      </c>
      <c r="B47" s="245" t="s">
        <v>5466</v>
      </c>
    </row>
    <row r="48" spans="1:2" x14ac:dyDescent="0.45">
      <c r="A48" s="245" t="s">
        <v>5467</v>
      </c>
      <c r="B48" s="245" t="s">
        <v>5468</v>
      </c>
    </row>
    <row r="49" spans="1:3" x14ac:dyDescent="0.45">
      <c r="A49" s="245" t="s">
        <v>5469</v>
      </c>
      <c r="B49" s="245" t="s">
        <v>5470</v>
      </c>
    </row>
    <row r="50" spans="1:3" x14ac:dyDescent="0.45">
      <c r="A50" s="245" t="s">
        <v>3610</v>
      </c>
      <c r="B50" s="245" t="s">
        <v>5471</v>
      </c>
      <c r="C50" s="245" t="s">
        <v>5472</v>
      </c>
    </row>
    <row r="51" spans="1:3" x14ac:dyDescent="0.45">
      <c r="A51" s="245" t="s">
        <v>33</v>
      </c>
      <c r="B51" s="245" t="s">
        <v>5473</v>
      </c>
    </row>
    <row r="52" spans="1:3" x14ac:dyDescent="0.45">
      <c r="A52" s="245" t="s">
        <v>5474</v>
      </c>
      <c r="B52" s="245" t="s">
        <v>5475</v>
      </c>
    </row>
    <row r="53" spans="1:3" x14ac:dyDescent="0.45">
      <c r="A53" s="245" t="s">
        <v>2081</v>
      </c>
      <c r="B53" s="245" t="s">
        <v>5476</v>
      </c>
    </row>
    <row r="54" spans="1:3" x14ac:dyDescent="0.45">
      <c r="A54" s="245" t="s">
        <v>33</v>
      </c>
      <c r="B54" s="245" t="s">
        <v>5477</v>
      </c>
    </row>
    <row r="55" spans="1:3" x14ac:dyDescent="0.45">
      <c r="A55" s="245" t="s">
        <v>5478</v>
      </c>
      <c r="B55" s="245" t="s">
        <v>5479</v>
      </c>
    </row>
    <row r="56" spans="1:3" x14ac:dyDescent="0.45">
      <c r="A56" s="245" t="s">
        <v>5480</v>
      </c>
      <c r="B56" s="245" t="s">
        <v>5481</v>
      </c>
    </row>
    <row r="57" spans="1:3" x14ac:dyDescent="0.45">
      <c r="A57" s="245" t="s">
        <v>5482</v>
      </c>
      <c r="B57" s="245" t="s">
        <v>5483</v>
      </c>
    </row>
    <row r="58" spans="1:3" x14ac:dyDescent="0.45">
      <c r="A58" s="245" t="s">
        <v>5484</v>
      </c>
      <c r="B58" s="245" t="s">
        <v>5485</v>
      </c>
    </row>
    <row r="59" spans="1:3" x14ac:dyDescent="0.45">
      <c r="A59" s="245" t="s">
        <v>43</v>
      </c>
      <c r="B59" s="245" t="s">
        <v>5486</v>
      </c>
    </row>
    <row r="60" spans="1:3" x14ac:dyDescent="0.45">
      <c r="A60" s="245" t="s">
        <v>5487</v>
      </c>
      <c r="B60" s="245" t="s">
        <v>5488</v>
      </c>
    </row>
    <row r="61" spans="1:3" x14ac:dyDescent="0.45">
      <c r="A61" s="245" t="s">
        <v>145</v>
      </c>
      <c r="B61" s="245" t="s">
        <v>5489</v>
      </c>
    </row>
    <row r="62" spans="1:3" x14ac:dyDescent="0.45">
      <c r="A62" s="245" t="s">
        <v>5432</v>
      </c>
      <c r="B62" s="245" t="s">
        <v>5433</v>
      </c>
    </row>
    <row r="63" spans="1:3" x14ac:dyDescent="0.45">
      <c r="A63" s="245" t="s">
        <v>5434</v>
      </c>
      <c r="B63" s="245" t="s">
        <v>5435</v>
      </c>
    </row>
    <row r="64" spans="1:3" x14ac:dyDescent="0.45">
      <c r="A64" s="245" t="s">
        <v>1994</v>
      </c>
      <c r="B64" s="245" t="s">
        <v>5436</v>
      </c>
    </row>
    <row r="65" spans="1:2" x14ac:dyDescent="0.45">
      <c r="A65" s="245" t="s">
        <v>5437</v>
      </c>
      <c r="B65" s="245" t="s">
        <v>5438</v>
      </c>
    </row>
    <row r="66" spans="1:2" x14ac:dyDescent="0.45">
      <c r="A66" s="245" t="s">
        <v>5439</v>
      </c>
      <c r="B66" s="245" t="s">
        <v>5440</v>
      </c>
    </row>
    <row r="67" spans="1:2" x14ac:dyDescent="0.45">
      <c r="A67" s="245" t="s">
        <v>5441</v>
      </c>
      <c r="B67" s="245" t="s">
        <v>5442</v>
      </c>
    </row>
    <row r="68" spans="1:2" x14ac:dyDescent="0.45">
      <c r="A68" s="245" t="s">
        <v>5443</v>
      </c>
      <c r="B68" s="245" t="s">
        <v>5444</v>
      </c>
    </row>
    <row r="69" spans="1:2" x14ac:dyDescent="0.45">
      <c r="A69" s="245" t="s">
        <v>1994</v>
      </c>
      <c r="B69" s="245" t="s">
        <v>84</v>
      </c>
    </row>
    <row r="70" spans="1:2" x14ac:dyDescent="0.45">
      <c r="A70" s="245" t="s">
        <v>5445</v>
      </c>
      <c r="B70" s="245" t="s">
        <v>5446</v>
      </c>
    </row>
    <row r="71" spans="1:2" x14ac:dyDescent="0.45">
      <c r="A71" s="245" t="s">
        <v>5447</v>
      </c>
      <c r="B71" s="245" t="s">
        <v>5448</v>
      </c>
    </row>
    <row r="72" spans="1:2" x14ac:dyDescent="0.45">
      <c r="A72" s="245" t="s">
        <v>5449</v>
      </c>
      <c r="B72" s="245" t="s">
        <v>5450</v>
      </c>
    </row>
    <row r="73" spans="1:2" x14ac:dyDescent="0.45">
      <c r="A73" s="245" t="s">
        <v>5361</v>
      </c>
      <c r="B73" s="245" t="s">
        <v>5451</v>
      </c>
    </row>
    <row r="74" spans="1:2" x14ac:dyDescent="0.45">
      <c r="A74" s="245" t="s">
        <v>5360</v>
      </c>
      <c r="B74" s="245" t="s">
        <v>5452</v>
      </c>
    </row>
    <row r="75" spans="1:2" x14ac:dyDescent="0.45">
      <c r="A75" s="245" t="s">
        <v>59</v>
      </c>
      <c r="B75" s="245" t="s">
        <v>5423</v>
      </c>
    </row>
    <row r="76" spans="1:2" x14ac:dyDescent="0.45">
      <c r="A76" s="245" t="s">
        <v>2575</v>
      </c>
      <c r="B76" s="245" t="s">
        <v>5453</v>
      </c>
    </row>
    <row r="77" spans="1:2" x14ac:dyDescent="0.45">
      <c r="A77" s="245"/>
    </row>
    <row r="78" spans="1:2" x14ac:dyDescent="0.45">
      <c r="A78" s="245" t="s">
        <v>5490</v>
      </c>
      <c r="B78" s="245" t="s">
        <v>5491</v>
      </c>
    </row>
    <row r="79" spans="1:2" x14ac:dyDescent="0.45">
      <c r="A79" s="245" t="s">
        <v>181</v>
      </c>
      <c r="B79" s="245" t="s">
        <v>5492</v>
      </c>
    </row>
    <row r="80" spans="1:2" x14ac:dyDescent="0.45">
      <c r="A80" s="245" t="s">
        <v>33</v>
      </c>
      <c r="B80" s="245" t="s">
        <v>5493</v>
      </c>
    </row>
    <row r="81" spans="1:2" x14ac:dyDescent="0.45">
      <c r="A81" s="245" t="s">
        <v>5494</v>
      </c>
      <c r="B81" s="245" t="s">
        <v>5495</v>
      </c>
    </row>
    <row r="82" spans="1:2" x14ac:dyDescent="0.45">
      <c r="A82" s="245" t="s">
        <v>2084</v>
      </c>
      <c r="B82" s="245" t="s">
        <v>5496</v>
      </c>
    </row>
    <row r="83" spans="1:2" x14ac:dyDescent="0.45">
      <c r="A83" s="245" t="s">
        <v>5497</v>
      </c>
      <c r="B83" s="245" t="s">
        <v>5498</v>
      </c>
    </row>
    <row r="84" spans="1:2" x14ac:dyDescent="0.45">
      <c r="A84" s="245" t="s">
        <v>5499</v>
      </c>
      <c r="B84" s="245" t="s">
        <v>5500</v>
      </c>
    </row>
    <row r="85" spans="1:2" x14ac:dyDescent="0.45">
      <c r="A85" s="245" t="s">
        <v>5501</v>
      </c>
      <c r="B85" s="245" t="s">
        <v>5502</v>
      </c>
    </row>
    <row r="86" spans="1:2" x14ac:dyDescent="0.45">
      <c r="A86" s="245" t="s">
        <v>897</v>
      </c>
      <c r="B86" s="245" t="s">
        <v>2086</v>
      </c>
    </row>
    <row r="87" spans="1:2" x14ac:dyDescent="0.45">
      <c r="A87" s="245" t="s">
        <v>3101</v>
      </c>
      <c r="B87" s="245" t="s">
        <v>5503</v>
      </c>
    </row>
    <row r="88" spans="1:2" x14ac:dyDescent="0.45">
      <c r="A88" s="245" t="s">
        <v>5504</v>
      </c>
      <c r="B88" s="245" t="s">
        <v>5505</v>
      </c>
    </row>
    <row r="89" spans="1:2" x14ac:dyDescent="0.45">
      <c r="A89" s="245" t="s">
        <v>5506</v>
      </c>
      <c r="B89" s="245" t="s">
        <v>2092</v>
      </c>
    </row>
    <row r="90" spans="1:2" x14ac:dyDescent="0.45">
      <c r="A90" s="245" t="s">
        <v>5507</v>
      </c>
      <c r="B90" s="245" t="s">
        <v>5508</v>
      </c>
    </row>
    <row r="91" spans="1:2" x14ac:dyDescent="0.45">
      <c r="A91" s="245" t="s">
        <v>5509</v>
      </c>
      <c r="B91" s="245" t="s">
        <v>5510</v>
      </c>
    </row>
    <row r="92" spans="1:2" x14ac:dyDescent="0.45">
      <c r="A92" s="245" t="s">
        <v>5511</v>
      </c>
      <c r="B92" s="245" t="s">
        <v>5512</v>
      </c>
    </row>
    <row r="93" spans="1:2" x14ac:dyDescent="0.45">
      <c r="A93" s="245" t="s">
        <v>75</v>
      </c>
      <c r="B93" s="245" t="s">
        <v>5413</v>
      </c>
    </row>
    <row r="94" spans="1:2" x14ac:dyDescent="0.45">
      <c r="A94" s="245" t="s">
        <v>5513</v>
      </c>
    </row>
    <row r="95" spans="1:2" x14ac:dyDescent="0.45">
      <c r="A95" s="245" t="s">
        <v>5514</v>
      </c>
      <c r="B95" s="245" t="s">
        <v>5515</v>
      </c>
    </row>
    <row r="96" spans="1:2" x14ac:dyDescent="0.45">
      <c r="A96" s="245" t="s">
        <v>43</v>
      </c>
      <c r="B96" s="245" t="s">
        <v>5516</v>
      </c>
    </row>
    <row r="97" spans="1:2" x14ac:dyDescent="0.45">
      <c r="A97" s="245" t="s">
        <v>5517</v>
      </c>
      <c r="B97" s="245" t="s">
        <v>5518</v>
      </c>
    </row>
    <row r="98" spans="1:2" x14ac:dyDescent="0.45">
      <c r="A98" s="245" t="s">
        <v>43</v>
      </c>
      <c r="B98" s="245" t="s">
        <v>5519</v>
      </c>
    </row>
    <row r="99" spans="1:2" x14ac:dyDescent="0.45">
      <c r="A99" s="245" t="s">
        <v>5520</v>
      </c>
      <c r="B99" s="245" t="s">
        <v>5521</v>
      </c>
    </row>
    <row r="100" spans="1:2" x14ac:dyDescent="0.45">
      <c r="A100" s="245" t="s">
        <v>208</v>
      </c>
      <c r="B100" s="245" t="s">
        <v>5522</v>
      </c>
    </row>
    <row r="101" spans="1:2" x14ac:dyDescent="0.45">
      <c r="A101" s="245" t="s">
        <v>5381</v>
      </c>
      <c r="B101" s="245" t="s">
        <v>5382</v>
      </c>
    </row>
    <row r="102" spans="1:2" x14ac:dyDescent="0.45">
      <c r="A102" s="245" t="s">
        <v>99</v>
      </c>
      <c r="B102" s="245" t="s">
        <v>2110</v>
      </c>
    </row>
    <row r="103" spans="1:2" x14ac:dyDescent="0.45">
      <c r="A103" s="245" t="s">
        <v>231</v>
      </c>
      <c r="B103" s="245" t="s">
        <v>5523</v>
      </c>
    </row>
    <row r="104" spans="1:2" x14ac:dyDescent="0.45">
      <c r="A104" s="245" t="s">
        <v>33</v>
      </c>
      <c r="B104" s="245" t="s">
        <v>5524</v>
      </c>
    </row>
    <row r="105" spans="1:2" x14ac:dyDescent="0.45">
      <c r="A105" s="245" t="s">
        <v>114</v>
      </c>
      <c r="B105" s="245" t="s">
        <v>2111</v>
      </c>
    </row>
    <row r="106" spans="1:2" x14ac:dyDescent="0.45">
      <c r="A106" s="245" t="s">
        <v>5525</v>
      </c>
      <c r="B106" s="245" t="s">
        <v>5526</v>
      </c>
    </row>
    <row r="107" spans="1:2" x14ac:dyDescent="0.45">
      <c r="A107" s="245" t="s">
        <v>5527</v>
      </c>
      <c r="B107" s="245" t="s">
        <v>5528</v>
      </c>
    </row>
    <row r="108" spans="1:2" x14ac:dyDescent="0.45">
      <c r="A108" s="245" t="s">
        <v>5529</v>
      </c>
      <c r="B108" s="245" t="s">
        <v>5530</v>
      </c>
    </row>
    <row r="109" spans="1:2" x14ac:dyDescent="0.45">
      <c r="A109" s="245" t="s">
        <v>2051</v>
      </c>
      <c r="B109" s="245" t="s">
        <v>5531</v>
      </c>
    </row>
    <row r="110" spans="1:2" x14ac:dyDescent="0.45">
      <c r="A110" s="245" t="s">
        <v>244</v>
      </c>
      <c r="B110" s="245" t="s">
        <v>2113</v>
      </c>
    </row>
    <row r="111" spans="1:2" x14ac:dyDescent="0.45">
      <c r="A111" s="245" t="s">
        <v>5532</v>
      </c>
      <c r="B111" s="245" t="s">
        <v>5533</v>
      </c>
    </row>
    <row r="112" spans="1:2" x14ac:dyDescent="0.45">
      <c r="A112" s="245" t="s">
        <v>5534</v>
      </c>
      <c r="B112" s="245" t="s">
        <v>5535</v>
      </c>
    </row>
    <row r="113" spans="1:2" x14ac:dyDescent="0.45">
      <c r="A113" s="245" t="s">
        <v>3838</v>
      </c>
      <c r="B113" s="245" t="s">
        <v>2114</v>
      </c>
    </row>
    <row r="114" spans="1:2" x14ac:dyDescent="0.45">
      <c r="A114" s="245" t="s">
        <v>3841</v>
      </c>
      <c r="B114" s="245" t="s">
        <v>5536</v>
      </c>
    </row>
    <row r="115" spans="1:2" x14ac:dyDescent="0.45">
      <c r="A115" s="245" t="s">
        <v>5537</v>
      </c>
      <c r="B115" s="245" t="s">
        <v>5538</v>
      </c>
    </row>
    <row r="116" spans="1:2" x14ac:dyDescent="0.45">
      <c r="A116" s="245" t="s">
        <v>5539</v>
      </c>
      <c r="B116" s="245" t="s">
        <v>5540</v>
      </c>
    </row>
    <row r="117" spans="1:2" x14ac:dyDescent="0.45">
      <c r="A117" s="245" t="s">
        <v>140</v>
      </c>
      <c r="B117" s="245" t="s">
        <v>2123</v>
      </c>
    </row>
    <row r="118" spans="1:2" x14ac:dyDescent="0.45">
      <c r="A118" s="245" t="s">
        <v>5541</v>
      </c>
      <c r="B118" s="245" t="s">
        <v>2125</v>
      </c>
    </row>
    <row r="119" spans="1:2" x14ac:dyDescent="0.45">
      <c r="A119" s="245" t="s">
        <v>145</v>
      </c>
      <c r="B119" s="245" t="s">
        <v>5542</v>
      </c>
    </row>
    <row r="120" spans="1:2" x14ac:dyDescent="0.45">
      <c r="A120" s="245" t="s">
        <v>5432</v>
      </c>
      <c r="B120" s="245" t="s">
        <v>5433</v>
      </c>
    </row>
    <row r="121" spans="1:2" x14ac:dyDescent="0.45">
      <c r="A121" s="245" t="s">
        <v>5434</v>
      </c>
      <c r="B121" s="245" t="s">
        <v>5435</v>
      </c>
    </row>
    <row r="122" spans="1:2" x14ac:dyDescent="0.45">
      <c r="A122" s="245" t="s">
        <v>1994</v>
      </c>
      <c r="B122" s="245" t="s">
        <v>5436</v>
      </c>
    </row>
    <row r="123" spans="1:2" x14ac:dyDescent="0.45">
      <c r="A123" s="245" t="s">
        <v>5437</v>
      </c>
      <c r="B123" s="245" t="s">
        <v>5438</v>
      </c>
    </row>
    <row r="124" spans="1:2" x14ac:dyDescent="0.45">
      <c r="A124" s="245" t="s">
        <v>5439</v>
      </c>
      <c r="B124" s="245" t="s">
        <v>5440</v>
      </c>
    </row>
    <row r="125" spans="1:2" x14ac:dyDescent="0.45">
      <c r="A125" s="245" t="s">
        <v>5441</v>
      </c>
      <c r="B125" s="245" t="s">
        <v>5442</v>
      </c>
    </row>
    <row r="126" spans="1:2" x14ac:dyDescent="0.45">
      <c r="A126" s="245" t="s">
        <v>5443</v>
      </c>
      <c r="B126" s="245" t="s">
        <v>5444</v>
      </c>
    </row>
    <row r="127" spans="1:2" x14ac:dyDescent="0.45">
      <c r="A127" s="245" t="s">
        <v>1994</v>
      </c>
      <c r="B127" s="245" t="s">
        <v>84</v>
      </c>
    </row>
    <row r="128" spans="1:2" x14ac:dyDescent="0.45">
      <c r="A128" s="245" t="s">
        <v>5445</v>
      </c>
      <c r="B128" s="245" t="s">
        <v>5446</v>
      </c>
    </row>
    <row r="129" spans="1:2" x14ac:dyDescent="0.45">
      <c r="A129" s="245" t="s">
        <v>5447</v>
      </c>
      <c r="B129" s="245" t="s">
        <v>5448</v>
      </c>
    </row>
    <row r="130" spans="1:2" x14ac:dyDescent="0.45">
      <c r="A130" s="245" t="s">
        <v>5449</v>
      </c>
      <c r="B130" s="245" t="s">
        <v>5450</v>
      </c>
    </row>
    <row r="131" spans="1:2" x14ac:dyDescent="0.45">
      <c r="A131" s="245" t="s">
        <v>5361</v>
      </c>
      <c r="B131" s="245" t="s">
        <v>5451</v>
      </c>
    </row>
    <row r="132" spans="1:2" x14ac:dyDescent="0.45">
      <c r="A132" s="245" t="s">
        <v>5360</v>
      </c>
      <c r="B132" s="245" t="s">
        <v>5452</v>
      </c>
    </row>
    <row r="133" spans="1:2" x14ac:dyDescent="0.45">
      <c r="A133" s="245" t="s">
        <v>59</v>
      </c>
      <c r="B133" s="245" t="s">
        <v>5423</v>
      </c>
    </row>
    <row r="134" spans="1:2" x14ac:dyDescent="0.45">
      <c r="A134" s="245" t="s">
        <v>2575</v>
      </c>
      <c r="B134" s="245" t="s">
        <v>5453</v>
      </c>
    </row>
    <row r="135" spans="1:2" x14ac:dyDescent="0.45">
      <c r="A135" s="245" t="s">
        <v>1697</v>
      </c>
      <c r="B135" s="245" t="s">
        <v>5543</v>
      </c>
    </row>
    <row r="136" spans="1:2" x14ac:dyDescent="0.45">
      <c r="A136" s="245"/>
    </row>
    <row r="137" spans="1:2" x14ac:dyDescent="0.45">
      <c r="A137" s="245" t="s">
        <v>5544</v>
      </c>
      <c r="B137" s="245" t="s">
        <v>5545</v>
      </c>
    </row>
    <row r="138" spans="1:2" x14ac:dyDescent="0.45">
      <c r="A138" s="245" t="s">
        <v>5546</v>
      </c>
      <c r="B138" s="245" t="s">
        <v>5547</v>
      </c>
    </row>
    <row r="139" spans="1:2" x14ac:dyDescent="0.45">
      <c r="A139" s="245" t="s">
        <v>5548</v>
      </c>
      <c r="B139" s="245" t="s">
        <v>5549</v>
      </c>
    </row>
    <row r="140" spans="1:2" x14ac:dyDescent="0.45">
      <c r="A140" s="245" t="s">
        <v>5550</v>
      </c>
      <c r="B140" s="245" t="s">
        <v>5551</v>
      </c>
    </row>
    <row r="141" spans="1:2" x14ac:dyDescent="0.45">
      <c r="A141" s="245" t="s">
        <v>5552</v>
      </c>
      <c r="B141" s="245" t="s">
        <v>5553</v>
      </c>
    </row>
    <row r="142" spans="1:2" x14ac:dyDescent="0.45">
      <c r="A142" s="245" t="s">
        <v>5554</v>
      </c>
      <c r="B142" s="245" t="s">
        <v>5555</v>
      </c>
    </row>
    <row r="143" spans="1:2" x14ac:dyDescent="0.45">
      <c r="A143" s="245" t="s">
        <v>5556</v>
      </c>
      <c r="B143" s="245" t="s">
        <v>5557</v>
      </c>
    </row>
    <row r="144" spans="1:2" x14ac:dyDescent="0.45">
      <c r="A144" s="245" t="s">
        <v>5558</v>
      </c>
      <c r="B144" s="245" t="s">
        <v>5559</v>
      </c>
    </row>
    <row r="145" spans="1:2" x14ac:dyDescent="0.45">
      <c r="A145" s="245" t="s">
        <v>5560</v>
      </c>
      <c r="B145" s="245" t="s">
        <v>5561</v>
      </c>
    </row>
    <row r="146" spans="1:2" x14ac:dyDescent="0.45">
      <c r="A146" s="245" t="s">
        <v>5550</v>
      </c>
      <c r="B146" s="245" t="s">
        <v>5551</v>
      </c>
    </row>
    <row r="147" spans="1:2" x14ac:dyDescent="0.45">
      <c r="A147" s="245" t="s">
        <v>2165</v>
      </c>
      <c r="B147" s="245" t="s">
        <v>5557</v>
      </c>
    </row>
    <row r="148" spans="1:2" x14ac:dyDescent="0.45">
      <c r="A148" s="245" t="s">
        <v>5562</v>
      </c>
      <c r="B148" s="245" t="s">
        <v>5563</v>
      </c>
    </row>
    <row r="149" spans="1:2" x14ac:dyDescent="0.45">
      <c r="A149" s="245" t="s">
        <v>5564</v>
      </c>
      <c r="B149" s="245" t="s">
        <v>5565</v>
      </c>
    </row>
    <row r="150" spans="1:2" x14ac:dyDescent="0.45">
      <c r="A150" s="245" t="s">
        <v>5550</v>
      </c>
      <c r="B150" s="245" t="s">
        <v>5551</v>
      </c>
    </row>
    <row r="151" spans="1:2" x14ac:dyDescent="0.45">
      <c r="A151" s="245" t="s">
        <v>2653</v>
      </c>
      <c r="B151" s="245" t="s">
        <v>5566</v>
      </c>
    </row>
    <row r="152" spans="1:2" x14ac:dyDescent="0.45">
      <c r="A152" s="245" t="s">
        <v>2051</v>
      </c>
      <c r="B152" s="245" t="s">
        <v>5567</v>
      </c>
    </row>
    <row r="153" spans="1:2" x14ac:dyDescent="0.45">
      <c r="A153" s="245" t="s">
        <v>5568</v>
      </c>
      <c r="B153" s="245" t="s">
        <v>5569</v>
      </c>
    </row>
    <row r="154" spans="1:2" x14ac:dyDescent="0.45">
      <c r="A154" s="245" t="s">
        <v>2165</v>
      </c>
      <c r="B154" s="245" t="s">
        <v>5557</v>
      </c>
    </row>
    <row r="155" spans="1:2" x14ac:dyDescent="0.45">
      <c r="A155" s="245" t="s">
        <v>5562</v>
      </c>
      <c r="B155" s="245" t="s">
        <v>5563</v>
      </c>
    </row>
    <row r="156" spans="1:2" x14ac:dyDescent="0.45">
      <c r="A156" s="245" t="s">
        <v>5570</v>
      </c>
      <c r="B156" s="245" t="s">
        <v>5571</v>
      </c>
    </row>
    <row r="157" spans="1:2" x14ac:dyDescent="0.45">
      <c r="A157" s="245" t="s">
        <v>5550</v>
      </c>
      <c r="B157" s="245" t="s">
        <v>5551</v>
      </c>
    </row>
    <row r="158" spans="1:2" x14ac:dyDescent="0.45">
      <c r="A158" s="245" t="s">
        <v>2165</v>
      </c>
      <c r="B158" s="245" t="s">
        <v>5557</v>
      </c>
    </row>
    <row r="159" spans="1:2" x14ac:dyDescent="0.45">
      <c r="A159" s="245" t="s">
        <v>5572</v>
      </c>
      <c r="B159" s="245" t="s">
        <v>5573</v>
      </c>
    </row>
    <row r="160" spans="1:2" x14ac:dyDescent="0.45">
      <c r="A160" s="245" t="s">
        <v>5574</v>
      </c>
      <c r="B160" s="245" t="s">
        <v>5575</v>
      </c>
    </row>
    <row r="161" spans="1:2" x14ac:dyDescent="0.45">
      <c r="A161" s="245" t="s">
        <v>5550</v>
      </c>
      <c r="B161" s="245" t="s">
        <v>5551</v>
      </c>
    </row>
    <row r="162" spans="1:2" x14ac:dyDescent="0.45">
      <c r="A162" s="245" t="s">
        <v>2165</v>
      </c>
      <c r="B162" s="245" t="s">
        <v>5557</v>
      </c>
    </row>
    <row r="163" spans="1:2" x14ac:dyDescent="0.45">
      <c r="A163" s="245" t="s">
        <v>5576</v>
      </c>
      <c r="B163" s="245" t="s">
        <v>5577</v>
      </c>
    </row>
    <row r="164" spans="1:2" x14ac:dyDescent="0.45">
      <c r="A164" s="245" t="s">
        <v>5578</v>
      </c>
      <c r="B164" s="245" t="s">
        <v>5579</v>
      </c>
    </row>
    <row r="165" spans="1:2" x14ac:dyDescent="0.45">
      <c r="A165" s="245" t="s">
        <v>5580</v>
      </c>
      <c r="B165" s="245" t="s">
        <v>5581</v>
      </c>
    </row>
    <row r="166" spans="1:2" x14ac:dyDescent="0.45">
      <c r="A166" s="245" t="s">
        <v>5550</v>
      </c>
      <c r="B166" s="245" t="s">
        <v>5551</v>
      </c>
    </row>
    <row r="167" spans="1:2" x14ac:dyDescent="0.45">
      <c r="A167" s="245" t="s">
        <v>5582</v>
      </c>
      <c r="B167" s="245" t="s">
        <v>5583</v>
      </c>
    </row>
    <row r="168" spans="1:2" x14ac:dyDescent="0.45">
      <c r="A168" s="245" t="s">
        <v>5584</v>
      </c>
      <c r="B168" s="245" t="s">
        <v>5585</v>
      </c>
    </row>
    <row r="169" spans="1:2" x14ac:dyDescent="0.45">
      <c r="A169" s="245" t="s">
        <v>5586</v>
      </c>
      <c r="B169" s="245" t="s">
        <v>5587</v>
      </c>
    </row>
    <row r="170" spans="1:2" x14ac:dyDescent="0.45">
      <c r="A170" s="245" t="s">
        <v>2165</v>
      </c>
      <c r="B170" s="245" t="s">
        <v>5557</v>
      </c>
    </row>
    <row r="171" spans="1:2" x14ac:dyDescent="0.45">
      <c r="A171" s="245" t="s">
        <v>5588</v>
      </c>
      <c r="B171" s="245" t="s">
        <v>5589</v>
      </c>
    </row>
    <row r="172" spans="1:2" x14ac:dyDescent="0.45">
      <c r="A172" s="245" t="s">
        <v>5574</v>
      </c>
      <c r="B172" s="245" t="s">
        <v>5575</v>
      </c>
    </row>
    <row r="173" spans="1:2" x14ac:dyDescent="0.45">
      <c r="A173" s="245" t="s">
        <v>5550</v>
      </c>
      <c r="B173" s="245" t="s">
        <v>5551</v>
      </c>
    </row>
    <row r="174" spans="1:2" x14ac:dyDescent="0.45">
      <c r="A174" s="245" t="s">
        <v>2165</v>
      </c>
      <c r="B174" s="245" t="s">
        <v>5557</v>
      </c>
    </row>
    <row r="175" spans="1:2" x14ac:dyDescent="0.45">
      <c r="A175" s="245" t="s">
        <v>5576</v>
      </c>
      <c r="B175" s="245" t="s">
        <v>5577</v>
      </c>
    </row>
    <row r="176" spans="1:2" x14ac:dyDescent="0.45">
      <c r="A176" s="245" t="s">
        <v>5590</v>
      </c>
      <c r="B176" s="245" t="s">
        <v>5591</v>
      </c>
    </row>
    <row r="177" spans="1:2" x14ac:dyDescent="0.45">
      <c r="A177" s="245" t="s">
        <v>5580</v>
      </c>
      <c r="B177" s="245" t="s">
        <v>5581</v>
      </c>
    </row>
    <row r="178" spans="1:2" x14ac:dyDescent="0.45">
      <c r="A178" s="245" t="s">
        <v>5550</v>
      </c>
      <c r="B178" s="245" t="s">
        <v>5551</v>
      </c>
    </row>
    <row r="179" spans="1:2" x14ac:dyDescent="0.45">
      <c r="A179" s="245" t="s">
        <v>5582</v>
      </c>
      <c r="B179" s="245" t="s">
        <v>5583</v>
      </c>
    </row>
    <row r="180" spans="1:2" x14ac:dyDescent="0.45">
      <c r="A180" s="245" t="s">
        <v>5584</v>
      </c>
      <c r="B180" s="245" t="s">
        <v>5585</v>
      </c>
    </row>
    <row r="181" spans="1:2" x14ac:dyDescent="0.45">
      <c r="A181" s="245" t="s">
        <v>5586</v>
      </c>
      <c r="B181" s="245" t="s">
        <v>5587</v>
      </c>
    </row>
    <row r="182" spans="1:2" x14ac:dyDescent="0.45">
      <c r="A182" s="245" t="s">
        <v>2165</v>
      </c>
      <c r="B182" s="245" t="s">
        <v>5557</v>
      </c>
    </row>
    <row r="183" spans="1:2" x14ac:dyDescent="0.45">
      <c r="A183" s="245" t="s">
        <v>5592</v>
      </c>
      <c r="B183" s="245" t="s">
        <v>5593</v>
      </c>
    </row>
    <row r="184" spans="1:2" x14ac:dyDescent="0.45">
      <c r="A184" s="245" t="s">
        <v>5574</v>
      </c>
      <c r="B184" s="245" t="s">
        <v>5575</v>
      </c>
    </row>
    <row r="185" spans="1:2" x14ac:dyDescent="0.45">
      <c r="A185" s="245" t="s">
        <v>5550</v>
      </c>
      <c r="B185" s="245" t="s">
        <v>5551</v>
      </c>
    </row>
    <row r="186" spans="1:2" x14ac:dyDescent="0.45">
      <c r="A186" s="245" t="s">
        <v>2165</v>
      </c>
      <c r="B186" s="245" t="s">
        <v>5557</v>
      </c>
    </row>
    <row r="187" spans="1:2" x14ac:dyDescent="0.45">
      <c r="A187" s="245" t="s">
        <v>5576</v>
      </c>
      <c r="B187" s="245" t="s">
        <v>5577</v>
      </c>
    </row>
    <row r="188" spans="1:2" x14ac:dyDescent="0.45">
      <c r="A188" s="245" t="s">
        <v>5594</v>
      </c>
      <c r="B188" s="245" t="s">
        <v>5595</v>
      </c>
    </row>
    <row r="189" spans="1:2" x14ac:dyDescent="0.45">
      <c r="A189" s="245" t="s">
        <v>5596</v>
      </c>
      <c r="B189" s="245" t="s">
        <v>5581</v>
      </c>
    </row>
    <row r="190" spans="1:2" x14ac:dyDescent="0.45">
      <c r="A190" s="245" t="s">
        <v>5550</v>
      </c>
      <c r="B190" s="245" t="s">
        <v>5551</v>
      </c>
    </row>
    <row r="191" spans="1:2" x14ac:dyDescent="0.45">
      <c r="A191" s="245" t="s">
        <v>5582</v>
      </c>
      <c r="B191" s="245" t="s">
        <v>5583</v>
      </c>
    </row>
    <row r="192" spans="1:2" x14ac:dyDescent="0.45">
      <c r="A192" s="245" t="s">
        <v>5584</v>
      </c>
      <c r="B192" s="245" t="s">
        <v>5585</v>
      </c>
    </row>
    <row r="193" spans="1:2" x14ac:dyDescent="0.45">
      <c r="A193" s="245" t="s">
        <v>5586</v>
      </c>
      <c r="B193" s="245" t="s">
        <v>5587</v>
      </c>
    </row>
    <row r="194" spans="1:2" x14ac:dyDescent="0.45">
      <c r="A194" s="245" t="s">
        <v>2165</v>
      </c>
      <c r="B194" s="245" t="s">
        <v>5557</v>
      </c>
    </row>
    <row r="195" spans="1:2" x14ac:dyDescent="0.45">
      <c r="A195" s="245" t="s">
        <v>5597</v>
      </c>
      <c r="B195" s="245" t="s">
        <v>5598</v>
      </c>
    </row>
    <row r="196" spans="1:2" x14ac:dyDescent="0.45">
      <c r="A196" s="245" t="s">
        <v>5574</v>
      </c>
      <c r="B196" s="245" t="s">
        <v>5575</v>
      </c>
    </row>
    <row r="197" spans="1:2" x14ac:dyDescent="0.45">
      <c r="A197" s="245" t="s">
        <v>5550</v>
      </c>
      <c r="B197" s="245" t="s">
        <v>5551</v>
      </c>
    </row>
    <row r="198" spans="1:2" x14ac:dyDescent="0.45">
      <c r="A198" s="245" t="s">
        <v>2165</v>
      </c>
      <c r="B198" s="245" t="s">
        <v>5557</v>
      </c>
    </row>
    <row r="199" spans="1:2" x14ac:dyDescent="0.45">
      <c r="A199" s="245" t="s">
        <v>5576</v>
      </c>
      <c r="B199" s="245" t="s">
        <v>5577</v>
      </c>
    </row>
    <row r="200" spans="1:2" x14ac:dyDescent="0.45">
      <c r="A200" s="245" t="s">
        <v>145</v>
      </c>
      <c r="B200" s="245" t="s">
        <v>5431</v>
      </c>
    </row>
    <row r="201" spans="1:2" x14ac:dyDescent="0.45">
      <c r="A201" s="245" t="s">
        <v>5432</v>
      </c>
      <c r="B201" s="245" t="s">
        <v>5433</v>
      </c>
    </row>
    <row r="202" spans="1:2" x14ac:dyDescent="0.45">
      <c r="A202" s="245" t="s">
        <v>5434</v>
      </c>
      <c r="B202" s="245" t="s">
        <v>5435</v>
      </c>
    </row>
    <row r="203" spans="1:2" x14ac:dyDescent="0.45">
      <c r="A203" s="245" t="s">
        <v>1994</v>
      </c>
      <c r="B203" s="245" t="s">
        <v>5436</v>
      </c>
    </row>
    <row r="204" spans="1:2" x14ac:dyDescent="0.45">
      <c r="A204" s="245" t="s">
        <v>5437</v>
      </c>
      <c r="B204" s="245" t="s">
        <v>5438</v>
      </c>
    </row>
    <row r="205" spans="1:2" x14ac:dyDescent="0.45">
      <c r="A205" s="245" t="s">
        <v>5439</v>
      </c>
      <c r="B205" s="245" t="s">
        <v>5440</v>
      </c>
    </row>
    <row r="206" spans="1:2" x14ac:dyDescent="0.45">
      <c r="A206" s="245" t="s">
        <v>5441</v>
      </c>
      <c r="B206" s="245" t="s">
        <v>5442</v>
      </c>
    </row>
    <row r="207" spans="1:2" x14ac:dyDescent="0.45">
      <c r="A207" s="245" t="s">
        <v>5443</v>
      </c>
      <c r="B207" s="245" t="s">
        <v>5444</v>
      </c>
    </row>
    <row r="208" spans="1:2" x14ac:dyDescent="0.45">
      <c r="A208" s="245" t="s">
        <v>1994</v>
      </c>
      <c r="B208" s="245" t="s">
        <v>84</v>
      </c>
    </row>
    <row r="209" spans="1:2" x14ac:dyDescent="0.45">
      <c r="A209" s="245" t="s">
        <v>5445</v>
      </c>
      <c r="B209" s="245" t="s">
        <v>5446</v>
      </c>
    </row>
    <row r="210" spans="1:2" x14ac:dyDescent="0.45">
      <c r="A210" s="245" t="s">
        <v>5447</v>
      </c>
      <c r="B210" s="245" t="s">
        <v>5448</v>
      </c>
    </row>
    <row r="211" spans="1:2" x14ac:dyDescent="0.45">
      <c r="A211" s="245" t="s">
        <v>5449</v>
      </c>
      <c r="B211" s="245" t="s">
        <v>5450</v>
      </c>
    </row>
    <row r="212" spans="1:2" x14ac:dyDescent="0.45">
      <c r="A212" s="245" t="s">
        <v>5361</v>
      </c>
      <c r="B212" s="245" t="s">
        <v>5451</v>
      </c>
    </row>
    <row r="213" spans="1:2" x14ac:dyDescent="0.45">
      <c r="A213" s="245" t="s">
        <v>5360</v>
      </c>
      <c r="B213" s="245" t="s">
        <v>5452</v>
      </c>
    </row>
    <row r="214" spans="1:2" x14ac:dyDescent="0.45">
      <c r="A214" s="245" t="s">
        <v>59</v>
      </c>
      <c r="B214" s="245" t="s">
        <v>5423</v>
      </c>
    </row>
    <row r="215" spans="1:2" x14ac:dyDescent="0.45">
      <c r="A215" s="245" t="s">
        <v>2575</v>
      </c>
      <c r="B215" s="245" t="s">
        <v>5453</v>
      </c>
    </row>
    <row r="216" spans="1:2" x14ac:dyDescent="0.45">
      <c r="A216" s="245" t="s">
        <v>3277</v>
      </c>
      <c r="B216" s="245" t="s">
        <v>5599</v>
      </c>
    </row>
    <row r="217" spans="1:2" x14ac:dyDescent="0.45">
      <c r="A217" s="245" t="s">
        <v>5550</v>
      </c>
      <c r="B217" s="245" t="s">
        <v>5551</v>
      </c>
    </row>
    <row r="218" spans="1:2" x14ac:dyDescent="0.45">
      <c r="A218" s="245" t="s">
        <v>2165</v>
      </c>
      <c r="B218" s="245" t="s">
        <v>5557</v>
      </c>
    </row>
    <row r="219" spans="1:2" x14ac:dyDescent="0.45">
      <c r="A219" s="245"/>
    </row>
    <row r="220" spans="1:2" x14ac:dyDescent="0.45">
      <c r="A220" s="245" t="s">
        <v>5600</v>
      </c>
      <c r="B220" s="245" t="s">
        <v>5601</v>
      </c>
    </row>
    <row r="221" spans="1:2" x14ac:dyDescent="0.45">
      <c r="A221" s="245" t="s">
        <v>181</v>
      </c>
      <c r="B221" s="245" t="s">
        <v>5602</v>
      </c>
    </row>
    <row r="222" spans="1:2" x14ac:dyDescent="0.45">
      <c r="A222" s="245" t="s">
        <v>33</v>
      </c>
      <c r="B222" s="245" t="s">
        <v>5603</v>
      </c>
    </row>
    <row r="223" spans="1:2" x14ac:dyDescent="0.45">
      <c r="A223" s="245" t="s">
        <v>5604</v>
      </c>
      <c r="B223" s="245" t="s">
        <v>5605</v>
      </c>
    </row>
    <row r="224" spans="1:2" x14ac:dyDescent="0.45">
      <c r="A224" s="245" t="s">
        <v>5606</v>
      </c>
      <c r="B224" s="245" t="s">
        <v>5607</v>
      </c>
    </row>
    <row r="225" spans="1:2" x14ac:dyDescent="0.45">
      <c r="A225" s="245" t="s">
        <v>5608</v>
      </c>
      <c r="B225" s="245" t="s">
        <v>5609</v>
      </c>
    </row>
    <row r="226" spans="1:2" x14ac:dyDescent="0.45">
      <c r="A226" s="245" t="s">
        <v>5610</v>
      </c>
      <c r="B226" s="245" t="s">
        <v>5611</v>
      </c>
    </row>
    <row r="227" spans="1:2" x14ac:dyDescent="0.45">
      <c r="A227" s="245" t="s">
        <v>5612</v>
      </c>
      <c r="B227" s="245" t="s">
        <v>5613</v>
      </c>
    </row>
    <row r="228" spans="1:2" x14ac:dyDescent="0.45">
      <c r="A228" s="245" t="s">
        <v>897</v>
      </c>
      <c r="B228" s="245" t="s">
        <v>5614</v>
      </c>
    </row>
    <row r="229" spans="1:2" x14ac:dyDescent="0.45">
      <c r="A229" s="245" t="s">
        <v>3101</v>
      </c>
      <c r="B229" s="245" t="s">
        <v>5503</v>
      </c>
    </row>
    <row r="230" spans="1:2" x14ac:dyDescent="0.45">
      <c r="A230" s="245" t="s">
        <v>75</v>
      </c>
      <c r="B230" s="245" t="s">
        <v>5615</v>
      </c>
    </row>
    <row r="231" spans="1:2" x14ac:dyDescent="0.45">
      <c r="A231" s="245" t="s">
        <v>2485</v>
      </c>
      <c r="B231" s="245" t="s">
        <v>5616</v>
      </c>
    </row>
    <row r="232" spans="1:2" x14ac:dyDescent="0.45">
      <c r="A232" s="245" t="s">
        <v>43</v>
      </c>
      <c r="B232" s="245" t="s">
        <v>5617</v>
      </c>
    </row>
    <row r="233" spans="1:2" x14ac:dyDescent="0.45">
      <c r="A233" s="245" t="s">
        <v>59</v>
      </c>
      <c r="B233" s="245" t="s">
        <v>5423</v>
      </c>
    </row>
    <row r="234" spans="1:2" x14ac:dyDescent="0.45">
      <c r="A234" s="245" t="s">
        <v>365</v>
      </c>
      <c r="B234" s="245" t="s">
        <v>5618</v>
      </c>
    </row>
    <row r="235" spans="1:2" x14ac:dyDescent="0.45">
      <c r="A235" s="245" t="s">
        <v>43</v>
      </c>
      <c r="B235" s="245" t="s">
        <v>5619</v>
      </c>
    </row>
    <row r="236" spans="1:2" x14ac:dyDescent="0.45">
      <c r="A236" s="245" t="s">
        <v>208</v>
      </c>
      <c r="B236" s="245" t="s">
        <v>5620</v>
      </c>
    </row>
    <row r="237" spans="1:2" x14ac:dyDescent="0.45">
      <c r="A237" s="245" t="s">
        <v>5381</v>
      </c>
      <c r="B237" s="245" t="s">
        <v>5382</v>
      </c>
    </row>
    <row r="238" spans="1:2" x14ac:dyDescent="0.45">
      <c r="A238" s="245" t="s">
        <v>99</v>
      </c>
      <c r="B238" s="245" t="s">
        <v>5621</v>
      </c>
    </row>
    <row r="239" spans="1:2" x14ac:dyDescent="0.45">
      <c r="A239" s="245" t="s">
        <v>5622</v>
      </c>
      <c r="B239" s="245" t="s">
        <v>5623</v>
      </c>
    </row>
    <row r="240" spans="1:2" x14ac:dyDescent="0.45">
      <c r="A240" s="245" t="s">
        <v>5624</v>
      </c>
      <c r="B240" s="245" t="s">
        <v>5625</v>
      </c>
    </row>
    <row r="241" spans="1:2" x14ac:dyDescent="0.45">
      <c r="A241" s="245" t="s">
        <v>5626</v>
      </c>
      <c r="B241" s="245" t="s">
        <v>5627</v>
      </c>
    </row>
    <row r="242" spans="1:2" x14ac:dyDescent="0.45">
      <c r="A242" s="245" t="s">
        <v>231</v>
      </c>
      <c r="B242" s="245" t="s">
        <v>5628</v>
      </c>
    </row>
    <row r="243" spans="1:2" x14ac:dyDescent="0.45">
      <c r="A243" s="245" t="s">
        <v>33</v>
      </c>
      <c r="B243" s="245" t="s">
        <v>5629</v>
      </c>
    </row>
    <row r="244" spans="1:2" x14ac:dyDescent="0.45">
      <c r="A244" s="245" t="s">
        <v>114</v>
      </c>
      <c r="B244" s="245" t="s">
        <v>5630</v>
      </c>
    </row>
    <row r="245" spans="1:2" x14ac:dyDescent="0.45">
      <c r="A245" s="245" t="s">
        <v>244</v>
      </c>
      <c r="B245" s="245" t="s">
        <v>5631</v>
      </c>
    </row>
    <row r="246" spans="1:2" x14ac:dyDescent="0.45">
      <c r="A246" s="245" t="s">
        <v>5537</v>
      </c>
      <c r="B246" s="245" t="s">
        <v>5632</v>
      </c>
    </row>
    <row r="247" spans="1:2" x14ac:dyDescent="0.45">
      <c r="A247" s="245" t="s">
        <v>5539</v>
      </c>
      <c r="B247" s="245" t="s">
        <v>5633</v>
      </c>
    </row>
    <row r="248" spans="1:2" x14ac:dyDescent="0.45">
      <c r="A248" s="245" t="s">
        <v>140</v>
      </c>
      <c r="B248" s="245" t="s">
        <v>5634</v>
      </c>
    </row>
    <row r="249" spans="1:2" x14ac:dyDescent="0.45">
      <c r="A249" s="245" t="s">
        <v>5541</v>
      </c>
      <c r="B249" s="245" t="s">
        <v>5635</v>
      </c>
    </row>
    <row r="250" spans="1:2" x14ac:dyDescent="0.45">
      <c r="A250" s="245" t="s">
        <v>5636</v>
      </c>
      <c r="B250" s="245" t="s">
        <v>5637</v>
      </c>
    </row>
    <row r="251" spans="1:2" x14ac:dyDescent="0.45">
      <c r="A251" s="245" t="s">
        <v>5550</v>
      </c>
      <c r="B251" s="245" t="s">
        <v>5551</v>
      </c>
    </row>
    <row r="252" spans="1:2" x14ac:dyDescent="0.45">
      <c r="A252" s="245" t="s">
        <v>2165</v>
      </c>
      <c r="B252" s="245" t="s">
        <v>5557</v>
      </c>
    </row>
    <row r="253" spans="1:2" x14ac:dyDescent="0.45">
      <c r="A253" s="245" t="s">
        <v>145</v>
      </c>
      <c r="B253" s="245" t="s">
        <v>5431</v>
      </c>
    </row>
    <row r="254" spans="1:2" x14ac:dyDescent="0.45">
      <c r="A254" s="245" t="s">
        <v>5432</v>
      </c>
      <c r="B254" s="245" t="s">
        <v>5433</v>
      </c>
    </row>
    <row r="255" spans="1:2" x14ac:dyDescent="0.45">
      <c r="A255" s="245" t="s">
        <v>5434</v>
      </c>
      <c r="B255" s="245" t="s">
        <v>5435</v>
      </c>
    </row>
    <row r="256" spans="1:2" x14ac:dyDescent="0.45">
      <c r="A256" s="245" t="s">
        <v>1994</v>
      </c>
      <c r="B256" s="245" t="s">
        <v>5436</v>
      </c>
    </row>
    <row r="257" spans="1:2" x14ac:dyDescent="0.45">
      <c r="A257" s="245" t="s">
        <v>5437</v>
      </c>
      <c r="B257" s="245" t="s">
        <v>5438</v>
      </c>
    </row>
    <row r="258" spans="1:2" x14ac:dyDescent="0.45">
      <c r="A258" s="245" t="s">
        <v>5439</v>
      </c>
      <c r="B258" s="245" t="s">
        <v>5440</v>
      </c>
    </row>
    <row r="259" spans="1:2" x14ac:dyDescent="0.45">
      <c r="A259" s="245" t="s">
        <v>5441</v>
      </c>
      <c r="B259" s="245" t="s">
        <v>5442</v>
      </c>
    </row>
    <row r="260" spans="1:2" x14ac:dyDescent="0.45">
      <c r="A260" s="245" t="s">
        <v>5443</v>
      </c>
      <c r="B260" s="245" t="s">
        <v>5444</v>
      </c>
    </row>
    <row r="261" spans="1:2" x14ac:dyDescent="0.45">
      <c r="A261" s="245" t="s">
        <v>1994</v>
      </c>
      <c r="B261" s="245" t="s">
        <v>84</v>
      </c>
    </row>
    <row r="262" spans="1:2" x14ac:dyDescent="0.45">
      <c r="A262" s="245" t="s">
        <v>5445</v>
      </c>
      <c r="B262" s="245" t="s">
        <v>5446</v>
      </c>
    </row>
    <row r="263" spans="1:2" x14ac:dyDescent="0.45">
      <c r="A263" s="245" t="s">
        <v>5447</v>
      </c>
      <c r="B263" s="245" t="s">
        <v>5448</v>
      </c>
    </row>
    <row r="264" spans="1:2" x14ac:dyDescent="0.45">
      <c r="A264" s="245" t="s">
        <v>5449</v>
      </c>
      <c r="B264" s="245" t="s">
        <v>5450</v>
      </c>
    </row>
    <row r="265" spans="1:2" x14ac:dyDescent="0.45">
      <c r="A265" s="245" t="s">
        <v>5361</v>
      </c>
      <c r="B265" s="245" t="s">
        <v>5451</v>
      </c>
    </row>
    <row r="266" spans="1:2" x14ac:dyDescent="0.45">
      <c r="A266" s="245" t="s">
        <v>5360</v>
      </c>
      <c r="B266" s="245" t="s">
        <v>5452</v>
      </c>
    </row>
    <row r="267" spans="1:2" x14ac:dyDescent="0.45">
      <c r="A267" s="245" t="s">
        <v>59</v>
      </c>
      <c r="B267" s="245" t="s">
        <v>5423</v>
      </c>
    </row>
    <row r="268" spans="1:2" x14ac:dyDescent="0.45">
      <c r="A268" s="245" t="s">
        <v>2575</v>
      </c>
      <c r="B268" s="245" t="s">
        <v>5453</v>
      </c>
    </row>
    <row r="269" spans="1:2" x14ac:dyDescent="0.45">
      <c r="A269" s="245" t="s">
        <v>1697</v>
      </c>
      <c r="B269" s="245" t="s">
        <v>5638</v>
      </c>
    </row>
    <row r="270" spans="1:2" x14ac:dyDescent="0.45">
      <c r="A270" s="245"/>
    </row>
    <row r="271" spans="1:2" x14ac:dyDescent="0.45">
      <c r="A271" s="245" t="s">
        <v>5639</v>
      </c>
      <c r="B271" s="245" t="s">
        <v>5640</v>
      </c>
    </row>
    <row r="272" spans="1:2" x14ac:dyDescent="0.45">
      <c r="A272" s="245" t="s">
        <v>5641</v>
      </c>
      <c r="B272" s="245" t="s">
        <v>5642</v>
      </c>
    </row>
    <row r="273" spans="1:2" x14ac:dyDescent="0.45">
      <c r="A273" s="245" t="s">
        <v>5574</v>
      </c>
      <c r="B273" s="245" t="s">
        <v>5575</v>
      </c>
    </row>
    <row r="274" spans="1:2" x14ac:dyDescent="0.45">
      <c r="A274" s="245" t="s">
        <v>5550</v>
      </c>
      <c r="B274" s="245" t="s">
        <v>5551</v>
      </c>
    </row>
    <row r="275" spans="1:2" x14ac:dyDescent="0.45">
      <c r="A275" s="245" t="s">
        <v>2165</v>
      </c>
      <c r="B275" s="245" t="s">
        <v>5557</v>
      </c>
    </row>
    <row r="276" spans="1:2" x14ac:dyDescent="0.45">
      <c r="A276" s="245" t="s">
        <v>5643</v>
      </c>
    </row>
    <row r="277" spans="1:2" x14ac:dyDescent="0.45">
      <c r="A277" s="245" t="s">
        <v>5644</v>
      </c>
      <c r="B277" s="245" t="s">
        <v>5645</v>
      </c>
    </row>
    <row r="278" spans="1:2" x14ac:dyDescent="0.45">
      <c r="A278" s="245" t="s">
        <v>5646</v>
      </c>
      <c r="B278" s="245" t="s">
        <v>5647</v>
      </c>
    </row>
    <row r="279" spans="1:2" x14ac:dyDescent="0.45">
      <c r="A279" s="245" t="s">
        <v>5572</v>
      </c>
      <c r="B279" s="245" t="s">
        <v>5648</v>
      </c>
    </row>
    <row r="280" spans="1:2" x14ac:dyDescent="0.45">
      <c r="A280" s="245" t="s">
        <v>5574</v>
      </c>
      <c r="B280" s="245" t="s">
        <v>5575</v>
      </c>
    </row>
    <row r="281" spans="1:2" x14ac:dyDescent="0.45">
      <c r="A281" s="245" t="s">
        <v>5550</v>
      </c>
      <c r="B281" s="245" t="s">
        <v>5551</v>
      </c>
    </row>
    <row r="282" spans="1:2" x14ac:dyDescent="0.45">
      <c r="A282" s="245" t="s">
        <v>2165</v>
      </c>
      <c r="B282" s="245" t="s">
        <v>5557</v>
      </c>
    </row>
    <row r="283" spans="1:2" x14ac:dyDescent="0.45">
      <c r="A283" s="245" t="s">
        <v>5576</v>
      </c>
      <c r="B283" s="245" t="s">
        <v>5577</v>
      </c>
    </row>
    <row r="284" spans="1:2" x14ac:dyDescent="0.45">
      <c r="A284" s="245" t="s">
        <v>5649</v>
      </c>
      <c r="B284" s="245" t="s">
        <v>5650</v>
      </c>
    </row>
    <row r="285" spans="1:2" x14ac:dyDescent="0.45">
      <c r="A285" s="245" t="s">
        <v>5574</v>
      </c>
      <c r="B285" s="245" t="s">
        <v>5575</v>
      </c>
    </row>
    <row r="286" spans="1:2" x14ac:dyDescent="0.45">
      <c r="A286" s="245" t="s">
        <v>5550</v>
      </c>
      <c r="B286" s="245" t="s">
        <v>5551</v>
      </c>
    </row>
    <row r="287" spans="1:2" x14ac:dyDescent="0.45">
      <c r="A287" s="245" t="s">
        <v>2165</v>
      </c>
      <c r="B287" s="245" t="s">
        <v>5557</v>
      </c>
    </row>
    <row r="288" spans="1:2" x14ac:dyDescent="0.45">
      <c r="A288" s="245" t="s">
        <v>5576</v>
      </c>
      <c r="B288" s="245" t="s">
        <v>5577</v>
      </c>
    </row>
    <row r="289" spans="1:2" x14ac:dyDescent="0.45">
      <c r="A289" s="245" t="s">
        <v>5651</v>
      </c>
      <c r="B289" s="245" t="s">
        <v>5652</v>
      </c>
    </row>
    <row r="290" spans="1:2" x14ac:dyDescent="0.45">
      <c r="A290" s="245" t="s">
        <v>5574</v>
      </c>
      <c r="B290" s="245" t="s">
        <v>5575</v>
      </c>
    </row>
    <row r="291" spans="1:2" x14ac:dyDescent="0.45">
      <c r="A291" s="245" t="s">
        <v>5550</v>
      </c>
      <c r="B291" s="245" t="s">
        <v>5551</v>
      </c>
    </row>
    <row r="292" spans="1:2" x14ac:dyDescent="0.45">
      <c r="A292" s="245" t="s">
        <v>2165</v>
      </c>
      <c r="B292" s="245" t="s">
        <v>5557</v>
      </c>
    </row>
    <row r="293" spans="1:2" x14ac:dyDescent="0.45">
      <c r="A293" s="245" t="s">
        <v>5576</v>
      </c>
      <c r="B293" s="245" t="s">
        <v>5577</v>
      </c>
    </row>
    <row r="294" spans="1:2" x14ac:dyDescent="0.45">
      <c r="A294" s="245" t="s">
        <v>5653</v>
      </c>
      <c r="B294" s="245" t="s">
        <v>5654</v>
      </c>
    </row>
    <row r="295" spans="1:2" x14ac:dyDescent="0.45">
      <c r="A295" s="245" t="s">
        <v>5574</v>
      </c>
      <c r="B295" s="245" t="s">
        <v>5575</v>
      </c>
    </row>
    <row r="296" spans="1:2" x14ac:dyDescent="0.45">
      <c r="A296" s="245" t="s">
        <v>5550</v>
      </c>
      <c r="B296" s="245" t="s">
        <v>5551</v>
      </c>
    </row>
    <row r="297" spans="1:2" x14ac:dyDescent="0.45">
      <c r="A297" s="245" t="s">
        <v>2165</v>
      </c>
      <c r="B297" s="245" t="s">
        <v>5557</v>
      </c>
    </row>
    <row r="298" spans="1:2" x14ac:dyDescent="0.45">
      <c r="A298" s="245" t="s">
        <v>5576</v>
      </c>
      <c r="B298" s="245" t="s">
        <v>5577</v>
      </c>
    </row>
    <row r="299" spans="1:2" x14ac:dyDescent="0.45">
      <c r="A299" s="245" t="s">
        <v>145</v>
      </c>
      <c r="B299" s="245" t="s">
        <v>5431</v>
      </c>
    </row>
    <row r="300" spans="1:2" x14ac:dyDescent="0.45">
      <c r="A300" s="245" t="s">
        <v>5432</v>
      </c>
      <c r="B300" s="245" t="s">
        <v>5433</v>
      </c>
    </row>
    <row r="301" spans="1:2" x14ac:dyDescent="0.45">
      <c r="A301" s="245" t="s">
        <v>5434</v>
      </c>
      <c r="B301" s="245" t="s">
        <v>5435</v>
      </c>
    </row>
    <row r="302" spans="1:2" x14ac:dyDescent="0.45">
      <c r="A302" s="245" t="s">
        <v>1994</v>
      </c>
      <c r="B302" s="245" t="s">
        <v>5436</v>
      </c>
    </row>
    <row r="303" spans="1:2" x14ac:dyDescent="0.45">
      <c r="A303" s="245" t="s">
        <v>5437</v>
      </c>
      <c r="B303" s="245" t="s">
        <v>5438</v>
      </c>
    </row>
    <row r="304" spans="1:2" x14ac:dyDescent="0.45">
      <c r="A304" s="245" t="s">
        <v>5439</v>
      </c>
      <c r="B304" s="245" t="s">
        <v>5440</v>
      </c>
    </row>
    <row r="305" spans="1:2" x14ac:dyDescent="0.45">
      <c r="A305" s="245" t="s">
        <v>5441</v>
      </c>
      <c r="B305" s="245" t="s">
        <v>5442</v>
      </c>
    </row>
    <row r="306" spans="1:2" x14ac:dyDescent="0.45">
      <c r="A306" s="245" t="s">
        <v>5443</v>
      </c>
      <c r="B306" s="245" t="s">
        <v>5444</v>
      </c>
    </row>
    <row r="307" spans="1:2" x14ac:dyDescent="0.45">
      <c r="A307" s="245" t="s">
        <v>1994</v>
      </c>
      <c r="B307" s="245" t="s">
        <v>84</v>
      </c>
    </row>
    <row r="308" spans="1:2" x14ac:dyDescent="0.45">
      <c r="A308" s="245" t="s">
        <v>5445</v>
      </c>
      <c r="B308" s="245" t="s">
        <v>5446</v>
      </c>
    </row>
    <row r="309" spans="1:2" x14ac:dyDescent="0.45">
      <c r="A309" s="245" t="s">
        <v>5447</v>
      </c>
      <c r="B309" s="245" t="s">
        <v>5448</v>
      </c>
    </row>
    <row r="310" spans="1:2" x14ac:dyDescent="0.45">
      <c r="A310" s="245" t="s">
        <v>5449</v>
      </c>
      <c r="B310" s="245" t="s">
        <v>5450</v>
      </c>
    </row>
    <row r="311" spans="1:2" x14ac:dyDescent="0.45">
      <c r="A311" s="245" t="s">
        <v>5361</v>
      </c>
      <c r="B311" s="245" t="s">
        <v>5451</v>
      </c>
    </row>
    <row r="312" spans="1:2" x14ac:dyDescent="0.45">
      <c r="A312" s="245" t="s">
        <v>5360</v>
      </c>
      <c r="B312" s="245" t="s">
        <v>5452</v>
      </c>
    </row>
    <row r="313" spans="1:2" x14ac:dyDescent="0.45">
      <c r="A313" s="245" t="s">
        <v>59</v>
      </c>
      <c r="B313" s="245" t="s">
        <v>5423</v>
      </c>
    </row>
    <row r="314" spans="1:2" x14ac:dyDescent="0.45">
      <c r="A314" s="245" t="s">
        <v>2575</v>
      </c>
      <c r="B314" s="245" t="s">
        <v>5453</v>
      </c>
    </row>
    <row r="315" spans="1:2" x14ac:dyDescent="0.45">
      <c r="A315" s="245" t="s">
        <v>5655</v>
      </c>
      <c r="B315" s="245" t="s">
        <v>5656</v>
      </c>
    </row>
    <row r="316" spans="1:2" x14ac:dyDescent="0.45">
      <c r="A316" s="245" t="s">
        <v>5657</v>
      </c>
      <c r="B316" s="245" t="s">
        <v>5658</v>
      </c>
    </row>
    <row r="317" spans="1:2" x14ac:dyDescent="0.45">
      <c r="A317" s="245" t="s">
        <v>3277</v>
      </c>
      <c r="B317" s="245" t="s">
        <v>5659</v>
      </c>
    </row>
    <row r="318" spans="1:2" x14ac:dyDescent="0.45">
      <c r="A318" s="245"/>
    </row>
    <row r="319" spans="1:2" x14ac:dyDescent="0.45">
      <c r="A319" s="245"/>
    </row>
    <row r="320" spans="1:2" x14ac:dyDescent="0.45">
      <c r="A320" s="245"/>
    </row>
    <row r="321" spans="1:3" x14ac:dyDescent="0.45">
      <c r="A321" s="245"/>
    </row>
    <row r="322" spans="1:3" x14ac:dyDescent="0.45">
      <c r="A322" s="245" t="s">
        <v>5660</v>
      </c>
      <c r="B322" s="245" t="s">
        <v>5661</v>
      </c>
    </row>
    <row r="323" spans="1:3" x14ac:dyDescent="0.45">
      <c r="A323" s="245" t="s">
        <v>5662</v>
      </c>
      <c r="B323" s="245" t="s">
        <v>5663</v>
      </c>
    </row>
    <row r="324" spans="1:3" x14ac:dyDescent="0.45">
      <c r="A324" s="245" t="s">
        <v>33</v>
      </c>
      <c r="B324" s="245" t="s">
        <v>5664</v>
      </c>
    </row>
    <row r="325" spans="1:3" x14ac:dyDescent="0.45">
      <c r="A325" s="245" t="s">
        <v>5665</v>
      </c>
      <c r="B325" s="245" t="s">
        <v>5666</v>
      </c>
    </row>
    <row r="326" spans="1:3" x14ac:dyDescent="0.45">
      <c r="A326" s="245" t="s">
        <v>5480</v>
      </c>
      <c r="B326" s="245" t="s">
        <v>5481</v>
      </c>
    </row>
    <row r="327" spans="1:3" x14ac:dyDescent="0.45">
      <c r="A327" s="245" t="s">
        <v>5482</v>
      </c>
      <c r="B327" s="245" t="s">
        <v>5483</v>
      </c>
    </row>
    <row r="328" spans="1:3" x14ac:dyDescent="0.45">
      <c r="A328" s="245" t="s">
        <v>5484</v>
      </c>
      <c r="B328" s="245" t="s">
        <v>5485</v>
      </c>
    </row>
    <row r="329" spans="1:3" x14ac:dyDescent="0.45">
      <c r="A329" s="245" t="s">
        <v>43</v>
      </c>
      <c r="B329" s="245" t="s">
        <v>5486</v>
      </c>
    </row>
    <row r="330" spans="1:3" x14ac:dyDescent="0.45">
      <c r="A330" s="245" t="s">
        <v>5487</v>
      </c>
      <c r="B330" s="245" t="s">
        <v>5667</v>
      </c>
      <c r="C330" s="245" t="s">
        <v>5668</v>
      </c>
    </row>
    <row r="331" spans="1:3" x14ac:dyDescent="0.45">
      <c r="A331" s="245" t="s">
        <v>33</v>
      </c>
      <c r="B331" s="245" t="s">
        <v>5669</v>
      </c>
    </row>
    <row r="332" spans="1:3" x14ac:dyDescent="0.45">
      <c r="A332" s="245" t="s">
        <v>5670</v>
      </c>
      <c r="B332" s="245" t="s">
        <v>5671</v>
      </c>
    </row>
    <row r="333" spans="1:3" x14ac:dyDescent="0.45">
      <c r="A333" s="245" t="s">
        <v>5672</v>
      </c>
    </row>
    <row r="334" spans="1:3" x14ac:dyDescent="0.45">
      <c r="A334" s="245" t="s">
        <v>145</v>
      </c>
      <c r="B334" s="245" t="s">
        <v>5431</v>
      </c>
    </row>
    <row r="335" spans="1:3" x14ac:dyDescent="0.45">
      <c r="A335" s="245" t="s">
        <v>5432</v>
      </c>
      <c r="B335" s="245" t="s">
        <v>5433</v>
      </c>
    </row>
    <row r="336" spans="1:3" x14ac:dyDescent="0.45">
      <c r="A336" s="245" t="s">
        <v>5434</v>
      </c>
      <c r="B336" s="245" t="s">
        <v>5435</v>
      </c>
    </row>
    <row r="337" spans="1:2" x14ac:dyDescent="0.45">
      <c r="A337" s="245" t="s">
        <v>1994</v>
      </c>
      <c r="B337" s="245" t="s">
        <v>5436</v>
      </c>
    </row>
    <row r="338" spans="1:2" x14ac:dyDescent="0.45">
      <c r="A338" s="245" t="s">
        <v>5437</v>
      </c>
      <c r="B338" s="245" t="s">
        <v>5438</v>
      </c>
    </row>
    <row r="339" spans="1:2" x14ac:dyDescent="0.45">
      <c r="A339" s="245" t="s">
        <v>5439</v>
      </c>
      <c r="B339" s="245" t="s">
        <v>5440</v>
      </c>
    </row>
    <row r="340" spans="1:2" x14ac:dyDescent="0.45">
      <c r="A340" s="245" t="s">
        <v>5441</v>
      </c>
      <c r="B340" s="245" t="s">
        <v>5442</v>
      </c>
    </row>
    <row r="341" spans="1:2" x14ac:dyDescent="0.45">
      <c r="A341" s="245" t="s">
        <v>5443</v>
      </c>
      <c r="B341" s="245" t="s">
        <v>5444</v>
      </c>
    </row>
    <row r="342" spans="1:2" x14ac:dyDescent="0.45">
      <c r="A342" s="245" t="s">
        <v>1994</v>
      </c>
      <c r="B342" s="245" t="s">
        <v>84</v>
      </c>
    </row>
    <row r="343" spans="1:2" x14ac:dyDescent="0.45">
      <c r="A343" s="245" t="s">
        <v>5445</v>
      </c>
      <c r="B343" s="245" t="s">
        <v>5446</v>
      </c>
    </row>
    <row r="344" spans="1:2" x14ac:dyDescent="0.45">
      <c r="A344" s="245" t="s">
        <v>5447</v>
      </c>
      <c r="B344" s="245" t="s">
        <v>5448</v>
      </c>
    </row>
    <row r="345" spans="1:2" x14ac:dyDescent="0.45">
      <c r="A345" s="245" t="s">
        <v>5449</v>
      </c>
      <c r="B345" s="245" t="s">
        <v>5450</v>
      </c>
    </row>
    <row r="346" spans="1:2" x14ac:dyDescent="0.45">
      <c r="A346" s="245" t="s">
        <v>5361</v>
      </c>
      <c r="B346" s="245" t="s">
        <v>5451</v>
      </c>
    </row>
    <row r="347" spans="1:2" x14ac:dyDescent="0.45">
      <c r="A347" s="245" t="s">
        <v>5360</v>
      </c>
      <c r="B347" s="245" t="s">
        <v>5452</v>
      </c>
    </row>
    <row r="348" spans="1:2" x14ac:dyDescent="0.45">
      <c r="A348" s="245" t="s">
        <v>59</v>
      </c>
      <c r="B348" s="245" t="s">
        <v>5423</v>
      </c>
    </row>
    <row r="349" spans="1:2" x14ac:dyDescent="0.45">
      <c r="A349" s="245" t="s">
        <v>2575</v>
      </c>
      <c r="B349" s="245" t="s">
        <v>5453</v>
      </c>
    </row>
    <row r="350" spans="1:2" x14ac:dyDescent="0.45">
      <c r="A350" s="245" t="s">
        <v>5673</v>
      </c>
      <c r="B350" s="245" t="s">
        <v>5674</v>
      </c>
    </row>
    <row r="351" spans="1:2" x14ac:dyDescent="0.45">
      <c r="A351" s="245" t="s">
        <v>33</v>
      </c>
      <c r="B351" s="245" t="s">
        <v>5675</v>
      </c>
    </row>
    <row r="352" spans="1:2" x14ac:dyDescent="0.45">
      <c r="A352" s="245"/>
    </row>
    <row r="353" spans="1:2" x14ac:dyDescent="0.45">
      <c r="A353" s="245" t="s">
        <v>5676</v>
      </c>
      <c r="B353" s="245" t="s">
        <v>5677</v>
      </c>
    </row>
    <row r="354" spans="1:2" x14ac:dyDescent="0.45">
      <c r="A354" s="245" t="s">
        <v>5678</v>
      </c>
      <c r="B354" s="245" t="s">
        <v>5679</v>
      </c>
    </row>
    <row r="355" spans="1:2" x14ac:dyDescent="0.45">
      <c r="A355" s="245" t="s">
        <v>5680</v>
      </c>
    </row>
    <row r="356" spans="1:2" x14ac:dyDescent="0.45">
      <c r="A356" s="245" t="s">
        <v>5681</v>
      </c>
      <c r="B356" s="245" t="s">
        <v>5682</v>
      </c>
    </row>
    <row r="357" spans="1:2" x14ac:dyDescent="0.45">
      <c r="A357" s="245" t="s">
        <v>5683</v>
      </c>
      <c r="B357" s="245" t="s">
        <v>5684</v>
      </c>
    </row>
    <row r="358" spans="1:2" x14ac:dyDescent="0.45">
      <c r="A358" s="245" t="s">
        <v>5685</v>
      </c>
      <c r="B358" s="245" t="s">
        <v>5686</v>
      </c>
    </row>
    <row r="359" spans="1:2" x14ac:dyDescent="0.45">
      <c r="A359" s="245" t="s">
        <v>5687</v>
      </c>
      <c r="B359" s="245" t="s">
        <v>5688</v>
      </c>
    </row>
    <row r="360" spans="1:2" x14ac:dyDescent="0.45">
      <c r="A360" s="245" t="s">
        <v>5689</v>
      </c>
      <c r="B360" s="245" t="s">
        <v>5690</v>
      </c>
    </row>
    <row r="361" spans="1:2" x14ac:dyDescent="0.45">
      <c r="A361" s="245" t="s">
        <v>5550</v>
      </c>
      <c r="B361" s="245" t="s">
        <v>5551</v>
      </c>
    </row>
    <row r="362" spans="1:2" x14ac:dyDescent="0.45">
      <c r="A362" s="245" t="s">
        <v>2653</v>
      </c>
      <c r="B362" s="245" t="s">
        <v>5566</v>
      </c>
    </row>
    <row r="363" spans="1:2" x14ac:dyDescent="0.45">
      <c r="A363" s="245" t="s">
        <v>2051</v>
      </c>
      <c r="B363" s="245" t="s">
        <v>5691</v>
      </c>
    </row>
    <row r="364" spans="1:2" x14ac:dyDescent="0.45">
      <c r="A364" s="245" t="s">
        <v>5692</v>
      </c>
    </row>
    <row r="365" spans="1:2" x14ac:dyDescent="0.45">
      <c r="A365" s="245" t="s">
        <v>5568</v>
      </c>
      <c r="B365" s="245" t="s">
        <v>5693</v>
      </c>
    </row>
    <row r="366" spans="1:2" x14ac:dyDescent="0.45">
      <c r="A366" s="245" t="s">
        <v>5694</v>
      </c>
    </row>
    <row r="367" spans="1:2" x14ac:dyDescent="0.45">
      <c r="A367" s="245" t="s">
        <v>2165</v>
      </c>
      <c r="B367" s="245" t="s">
        <v>5557</v>
      </c>
    </row>
    <row r="368" spans="1:2" x14ac:dyDescent="0.45">
      <c r="A368" s="245" t="s">
        <v>5695</v>
      </c>
      <c r="B368" s="245" t="s">
        <v>5696</v>
      </c>
    </row>
    <row r="369" spans="1:2" x14ac:dyDescent="0.45">
      <c r="A369" s="245" t="s">
        <v>5697</v>
      </c>
      <c r="B369" s="245" t="s">
        <v>5698</v>
      </c>
    </row>
    <row r="370" spans="1:2" x14ac:dyDescent="0.45">
      <c r="A370" s="245" t="s">
        <v>5699</v>
      </c>
      <c r="B370" s="245" t="s">
        <v>5551</v>
      </c>
    </row>
    <row r="371" spans="1:2" x14ac:dyDescent="0.45">
      <c r="A371" s="245" t="s">
        <v>5700</v>
      </c>
      <c r="B371" s="245" t="s">
        <v>5557</v>
      </c>
    </row>
    <row r="372" spans="1:2" x14ac:dyDescent="0.45">
      <c r="A372" s="245" t="s">
        <v>5701</v>
      </c>
      <c r="B372" s="245" t="s">
        <v>5702</v>
      </c>
    </row>
    <row r="373" spans="1:2" x14ac:dyDescent="0.45">
      <c r="A373" s="245" t="s">
        <v>5699</v>
      </c>
      <c r="B373" s="245" t="s">
        <v>5551</v>
      </c>
    </row>
    <row r="374" spans="1:2" x14ac:dyDescent="0.45">
      <c r="A374" s="245" t="s">
        <v>5700</v>
      </c>
      <c r="B374" s="245" t="s">
        <v>5557</v>
      </c>
    </row>
    <row r="375" spans="1:2" x14ac:dyDescent="0.45">
      <c r="A375" s="245" t="s">
        <v>5703</v>
      </c>
      <c r="B375" s="245" t="s">
        <v>5704</v>
      </c>
    </row>
    <row r="376" spans="1:2" x14ac:dyDescent="0.45">
      <c r="A376" s="245" t="s">
        <v>5699</v>
      </c>
      <c r="B376" s="245" t="s">
        <v>5551</v>
      </c>
    </row>
    <row r="377" spans="1:2" x14ac:dyDescent="0.45">
      <c r="A377" s="245" t="s">
        <v>5700</v>
      </c>
      <c r="B377" s="245" t="s">
        <v>5557</v>
      </c>
    </row>
    <row r="378" spans="1:2" x14ac:dyDescent="0.45">
      <c r="A378" s="245" t="s">
        <v>5705</v>
      </c>
      <c r="B378" s="245" t="s">
        <v>5706</v>
      </c>
    </row>
    <row r="379" spans="1:2" x14ac:dyDescent="0.45">
      <c r="A379" s="245" t="s">
        <v>5699</v>
      </c>
      <c r="B379" s="245" t="s">
        <v>5551</v>
      </c>
    </row>
    <row r="380" spans="1:2" x14ac:dyDescent="0.45">
      <c r="A380" s="245" t="s">
        <v>5700</v>
      </c>
      <c r="B380" s="245" t="s">
        <v>5557</v>
      </c>
    </row>
    <row r="381" spans="1:2" x14ac:dyDescent="0.45">
      <c r="A381" s="245"/>
    </row>
    <row r="382" spans="1:2" x14ac:dyDescent="0.45">
      <c r="A382" s="245"/>
    </row>
    <row r="383" spans="1:2" x14ac:dyDescent="0.45">
      <c r="A383" s="245" t="s">
        <v>5707</v>
      </c>
      <c r="B383" s="245" t="s">
        <v>5708</v>
      </c>
    </row>
    <row r="384" spans="1:2" x14ac:dyDescent="0.45">
      <c r="A384" s="245" t="s">
        <v>181</v>
      </c>
      <c r="B384" s="245" t="s">
        <v>5709</v>
      </c>
    </row>
    <row r="385" spans="1:2" x14ac:dyDescent="0.45">
      <c r="A385" s="245" t="s">
        <v>33</v>
      </c>
      <c r="B385" s="245" t="s">
        <v>5603</v>
      </c>
    </row>
    <row r="386" spans="1:2" x14ac:dyDescent="0.45">
      <c r="A386" s="245" t="s">
        <v>2913</v>
      </c>
    </row>
    <row r="387" spans="1:2" x14ac:dyDescent="0.45">
      <c r="A387" s="245" t="s">
        <v>5710</v>
      </c>
      <c r="B387" s="245" t="s">
        <v>5711</v>
      </c>
    </row>
    <row r="388" spans="1:2" x14ac:dyDescent="0.45">
      <c r="A388" s="245" t="s">
        <v>3101</v>
      </c>
      <c r="B388" s="245" t="s">
        <v>5503</v>
      </c>
    </row>
    <row r="389" spans="1:2" x14ac:dyDescent="0.45">
      <c r="A389" s="245" t="s">
        <v>75</v>
      </c>
      <c r="B389" s="245" t="s">
        <v>5712</v>
      </c>
    </row>
    <row r="390" spans="1:2" x14ac:dyDescent="0.45">
      <c r="A390" s="245" t="s">
        <v>5713</v>
      </c>
      <c r="B390" s="245" t="s">
        <v>5714</v>
      </c>
    </row>
    <row r="391" spans="1:2" x14ac:dyDescent="0.45">
      <c r="A391" s="245" t="s">
        <v>43</v>
      </c>
      <c r="B391" s="245" t="s">
        <v>5519</v>
      </c>
    </row>
    <row r="392" spans="1:2" x14ac:dyDescent="0.45">
      <c r="A392" s="245" t="s">
        <v>59</v>
      </c>
      <c r="B392" s="245" t="s">
        <v>5423</v>
      </c>
    </row>
    <row r="393" spans="1:2" x14ac:dyDescent="0.45">
      <c r="A393" s="245" t="s">
        <v>208</v>
      </c>
      <c r="B393" s="245" t="s">
        <v>5715</v>
      </c>
    </row>
    <row r="394" spans="1:2" x14ac:dyDescent="0.45">
      <c r="A394" s="245" t="s">
        <v>5381</v>
      </c>
      <c r="B394" s="245" t="s">
        <v>5382</v>
      </c>
    </row>
    <row r="395" spans="1:2" x14ac:dyDescent="0.45">
      <c r="A395" s="245" t="s">
        <v>99</v>
      </c>
      <c r="B395" s="245" t="s">
        <v>2160</v>
      </c>
    </row>
    <row r="396" spans="1:2" x14ac:dyDescent="0.45">
      <c r="A396" s="245" t="s">
        <v>114</v>
      </c>
      <c r="B396" s="245" t="s">
        <v>2163</v>
      </c>
    </row>
    <row r="397" spans="1:2" x14ac:dyDescent="0.45">
      <c r="A397" s="245" t="s">
        <v>244</v>
      </c>
      <c r="B397" s="245" t="s">
        <v>2164</v>
      </c>
    </row>
    <row r="398" spans="1:2" x14ac:dyDescent="0.45">
      <c r="A398" s="245" t="s">
        <v>686</v>
      </c>
      <c r="B398" s="245" t="s">
        <v>5716</v>
      </c>
    </row>
    <row r="399" spans="1:2" x14ac:dyDescent="0.45">
      <c r="A399" s="245" t="s">
        <v>3089</v>
      </c>
      <c r="B399" s="245" t="s">
        <v>5717</v>
      </c>
    </row>
    <row r="400" spans="1:2" x14ac:dyDescent="0.45">
      <c r="A400" s="245" t="s">
        <v>5580</v>
      </c>
      <c r="B400" s="245" t="s">
        <v>5581</v>
      </c>
    </row>
    <row r="401" spans="1:2" x14ac:dyDescent="0.45">
      <c r="A401" s="245" t="s">
        <v>5550</v>
      </c>
      <c r="B401" s="245" t="s">
        <v>5551</v>
      </c>
    </row>
    <row r="402" spans="1:2" x14ac:dyDescent="0.45">
      <c r="A402" s="245" t="s">
        <v>5582</v>
      </c>
      <c r="B402" s="245" t="s">
        <v>5583</v>
      </c>
    </row>
    <row r="403" spans="1:2" x14ac:dyDescent="0.45">
      <c r="A403" s="245" t="s">
        <v>5584</v>
      </c>
      <c r="B403" s="245" t="s">
        <v>5585</v>
      </c>
    </row>
    <row r="404" spans="1:2" x14ac:dyDescent="0.45">
      <c r="A404" s="245" t="s">
        <v>5586</v>
      </c>
      <c r="B404" s="245" t="s">
        <v>5587</v>
      </c>
    </row>
    <row r="405" spans="1:2" x14ac:dyDescent="0.45">
      <c r="A405" s="245" t="s">
        <v>2165</v>
      </c>
      <c r="B405" s="245" t="s">
        <v>5557</v>
      </c>
    </row>
    <row r="406" spans="1:2" x14ac:dyDescent="0.45">
      <c r="A406" s="245" t="s">
        <v>5539</v>
      </c>
      <c r="B406" s="245" t="s">
        <v>5718</v>
      </c>
    </row>
    <row r="407" spans="1:2" x14ac:dyDescent="0.45">
      <c r="A407" s="245" t="s">
        <v>140</v>
      </c>
      <c r="B407" s="245" t="s">
        <v>2171</v>
      </c>
    </row>
    <row r="408" spans="1:2" x14ac:dyDescent="0.45">
      <c r="A408" s="245" t="s">
        <v>5541</v>
      </c>
      <c r="B408" s="245" t="s">
        <v>2172</v>
      </c>
    </row>
    <row r="409" spans="1:2" x14ac:dyDescent="0.45">
      <c r="A409" s="245" t="s">
        <v>5719</v>
      </c>
    </row>
    <row r="410" spans="1:2" x14ac:dyDescent="0.45">
      <c r="A410" s="245" t="s">
        <v>5550</v>
      </c>
      <c r="B410" s="245" t="s">
        <v>5551</v>
      </c>
    </row>
    <row r="411" spans="1:2" x14ac:dyDescent="0.45">
      <c r="A411" s="245" t="s">
        <v>2165</v>
      </c>
      <c r="B411" s="245" t="s">
        <v>5557</v>
      </c>
    </row>
    <row r="412" spans="1:2" x14ac:dyDescent="0.45">
      <c r="A412" s="245" t="s">
        <v>5562</v>
      </c>
      <c r="B412" s="245" t="s">
        <v>5563</v>
      </c>
    </row>
    <row r="413" spans="1:2" x14ac:dyDescent="0.45">
      <c r="A413" s="245" t="s">
        <v>145</v>
      </c>
      <c r="B413" s="245" t="s">
        <v>5431</v>
      </c>
    </row>
    <row r="414" spans="1:2" x14ac:dyDescent="0.45">
      <c r="A414" s="245" t="s">
        <v>5432</v>
      </c>
      <c r="B414" s="245" t="s">
        <v>5433</v>
      </c>
    </row>
    <row r="415" spans="1:2" x14ac:dyDescent="0.45">
      <c r="A415" s="245" t="s">
        <v>5434</v>
      </c>
      <c r="B415" s="245" t="s">
        <v>5435</v>
      </c>
    </row>
    <row r="416" spans="1:2" x14ac:dyDescent="0.45">
      <c r="A416" s="245" t="s">
        <v>1994</v>
      </c>
      <c r="B416" s="245" t="s">
        <v>5436</v>
      </c>
    </row>
    <row r="417" spans="1:2" x14ac:dyDescent="0.45">
      <c r="A417" s="245" t="s">
        <v>5437</v>
      </c>
      <c r="B417" s="245" t="s">
        <v>5438</v>
      </c>
    </row>
    <row r="418" spans="1:2" x14ac:dyDescent="0.45">
      <c r="A418" s="245" t="s">
        <v>5439</v>
      </c>
      <c r="B418" s="245" t="s">
        <v>5440</v>
      </c>
    </row>
    <row r="419" spans="1:2" x14ac:dyDescent="0.45">
      <c r="A419" s="245" t="s">
        <v>5441</v>
      </c>
      <c r="B419" s="245" t="s">
        <v>5442</v>
      </c>
    </row>
    <row r="420" spans="1:2" x14ac:dyDescent="0.45">
      <c r="A420" s="245" t="s">
        <v>5443</v>
      </c>
      <c r="B420" s="245" t="s">
        <v>5444</v>
      </c>
    </row>
    <row r="421" spans="1:2" x14ac:dyDescent="0.45">
      <c r="A421" s="245" t="s">
        <v>1994</v>
      </c>
      <c r="B421" s="245" t="s">
        <v>84</v>
      </c>
    </row>
    <row r="422" spans="1:2" x14ac:dyDescent="0.45">
      <c r="A422" s="245" t="s">
        <v>5445</v>
      </c>
      <c r="B422" s="245" t="s">
        <v>5446</v>
      </c>
    </row>
    <row r="423" spans="1:2" x14ac:dyDescent="0.45">
      <c r="A423" s="245" t="s">
        <v>5447</v>
      </c>
      <c r="B423" s="245" t="s">
        <v>5448</v>
      </c>
    </row>
    <row r="424" spans="1:2" x14ac:dyDescent="0.45">
      <c r="A424" s="245" t="s">
        <v>5449</v>
      </c>
      <c r="B424" s="245" t="s">
        <v>5450</v>
      </c>
    </row>
    <row r="425" spans="1:2" x14ac:dyDescent="0.45">
      <c r="A425" s="245" t="s">
        <v>5361</v>
      </c>
      <c r="B425" s="245" t="s">
        <v>5451</v>
      </c>
    </row>
    <row r="426" spans="1:2" x14ac:dyDescent="0.45">
      <c r="A426" s="245" t="s">
        <v>5360</v>
      </c>
      <c r="B426" s="245" t="s">
        <v>5452</v>
      </c>
    </row>
    <row r="427" spans="1:2" x14ac:dyDescent="0.45">
      <c r="A427" s="245" t="s">
        <v>59</v>
      </c>
      <c r="B427" s="245" t="s">
        <v>5423</v>
      </c>
    </row>
    <row r="428" spans="1:2" x14ac:dyDescent="0.45">
      <c r="A428" s="245" t="s">
        <v>2575</v>
      </c>
      <c r="B428" s="245" t="s">
        <v>5453</v>
      </c>
    </row>
    <row r="429" spans="1:2" x14ac:dyDescent="0.45">
      <c r="A429" s="245"/>
    </row>
    <row r="430" spans="1:2" x14ac:dyDescent="0.45">
      <c r="A430" s="245"/>
    </row>
    <row r="431" spans="1:2" x14ac:dyDescent="0.45">
      <c r="A431" s="245"/>
    </row>
    <row r="432" spans="1:2" x14ac:dyDescent="0.45">
      <c r="A432" s="245"/>
    </row>
    <row r="433" spans="1:1" x14ac:dyDescent="0.45">
      <c r="A433" s="24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157</vt:i4>
      </vt:variant>
    </vt:vector>
  </HeadingPairs>
  <TitlesOfParts>
    <vt:vector size="163" baseType="lpstr">
      <vt:lpstr>Instructions</vt:lpstr>
      <vt:lpstr>Profile</vt:lpstr>
      <vt:lpstr>Enum</vt:lpstr>
      <vt:lpstr>Sheet1</vt:lpstr>
      <vt:lpstr>Sheet2</vt:lpstr>
      <vt:lpstr>Sheet3</vt:lpstr>
      <vt:lpstr>Profile!_AccountService</vt:lpstr>
      <vt:lpstr>Profile!_ActionInfo</vt:lpstr>
      <vt:lpstr>Profile!_Assembly</vt:lpstr>
      <vt:lpstr>Profile!_AttributeRegistry</vt:lpstr>
      <vt:lpstr>Profile!_BootOption</vt:lpstr>
      <vt:lpstr>Profile!_Chassis</vt:lpstr>
      <vt:lpstr>Profile!_Common_Properties</vt:lpstr>
      <vt:lpstr>Profile!_ComputerSystem</vt:lpstr>
      <vt:lpstr>Profile!_Drive</vt:lpstr>
      <vt:lpstr>Profile!_EthernetInterface</vt:lpstr>
      <vt:lpstr>Profile!_Event</vt:lpstr>
      <vt:lpstr>Profile!_EventDestination</vt:lpstr>
      <vt:lpstr>Profile!_EventService</vt:lpstr>
      <vt:lpstr>Profile!_ExternalAccountProvider</vt:lpstr>
      <vt:lpstr>Profile!_Hlk524428920</vt:lpstr>
      <vt:lpstr>Profile!_Hlk524430808</vt:lpstr>
      <vt:lpstr>Profile!_HostInterface</vt:lpstr>
      <vt:lpstr>Profile!_Identifier</vt:lpstr>
      <vt:lpstr>Profile!_IP_Address</vt:lpstr>
      <vt:lpstr>Profile!_Job</vt:lpstr>
      <vt:lpstr>Profile!_JobService</vt:lpstr>
      <vt:lpstr>Profile!_JSONSchemaFile</vt:lpstr>
      <vt:lpstr>Profile!_Location</vt:lpstr>
      <vt:lpstr>Profile!_LogEntry</vt:lpstr>
      <vt:lpstr>Profile!_LogService</vt:lpstr>
      <vt:lpstr>Profile!_MaintenanceWindow</vt:lpstr>
      <vt:lpstr>Profile!_Manager</vt:lpstr>
      <vt:lpstr>Profile!_ManagerAccount</vt:lpstr>
      <vt:lpstr>Profile!_ManagerNetworkProtocol</vt:lpstr>
      <vt:lpstr>Profile!_MemoryChunks</vt:lpstr>
      <vt:lpstr>Profile!_MemoryDomain</vt:lpstr>
      <vt:lpstr>Profile!_MemoryMetrics_1</vt:lpstr>
      <vt:lpstr>Profile!_Message</vt:lpstr>
      <vt:lpstr>Profile!_MessageRegistry</vt:lpstr>
      <vt:lpstr>Profile!_MessageRegistryFile</vt:lpstr>
      <vt:lpstr>Profile!_MetricDefinition</vt:lpstr>
      <vt:lpstr>Profile!_MetricReport</vt:lpstr>
      <vt:lpstr>Profile!_MetricReportDefinition</vt:lpstr>
      <vt:lpstr>Profile!_NetworkAdapter_1</vt:lpstr>
      <vt:lpstr>Profile!_NetworkDeviceFunction</vt:lpstr>
      <vt:lpstr>Profile!_NetworkInterface</vt:lpstr>
      <vt:lpstr>Profile!_NetworkPort</vt:lpstr>
      <vt:lpstr>Profile!_OperationApplyTimeSupport</vt:lpstr>
      <vt:lpstr>Profile!_PCIeDevice</vt:lpstr>
      <vt:lpstr>Profile!_PCIeFunction</vt:lpstr>
      <vt:lpstr>Profile!_PCIeSlots</vt:lpstr>
      <vt:lpstr>Profile!_Port</vt:lpstr>
      <vt:lpstr>Profile!_Power_1</vt:lpstr>
      <vt:lpstr>Profile!_PreferredApplyTime</vt:lpstr>
      <vt:lpstr>Profile!_PrivilegeRegistry</vt:lpstr>
      <vt:lpstr>Profile!_Processor</vt:lpstr>
      <vt:lpstr>Profile!_Redundancy</vt:lpstr>
      <vt:lpstr>Profile!_Ref534808450</vt:lpstr>
      <vt:lpstr>Profile!_Ref534808663</vt:lpstr>
      <vt:lpstr>Profile!_Ref534808775</vt:lpstr>
      <vt:lpstr>Profile!_Ref534809695</vt:lpstr>
      <vt:lpstr>Profile!_Ref534811760</vt:lpstr>
      <vt:lpstr>Profile!_Ref534814697</vt:lpstr>
      <vt:lpstr>Profile!_Ref534815085</vt:lpstr>
      <vt:lpstr>Profile!_Ref534815250</vt:lpstr>
      <vt:lpstr>Profile!_Ref534815443</vt:lpstr>
      <vt:lpstr>Profile!_Ref534815524</vt:lpstr>
      <vt:lpstr>Profile!_Ref534815729</vt:lpstr>
      <vt:lpstr>Profile!_Ref534876995</vt:lpstr>
      <vt:lpstr>Profile!_Ref534877180</vt:lpstr>
      <vt:lpstr>Profile!_Ref534877312</vt:lpstr>
      <vt:lpstr>Profile!_Ref534877798</vt:lpstr>
      <vt:lpstr>Profile!_Ref534877913</vt:lpstr>
      <vt:lpstr>Profile!_Ref534878025</vt:lpstr>
      <vt:lpstr>Profile!_Ref534878136</vt:lpstr>
      <vt:lpstr>Profile!_Ref534878185</vt:lpstr>
      <vt:lpstr>Profile!_Ref534878254</vt:lpstr>
      <vt:lpstr>Profile!_Ref534878433</vt:lpstr>
      <vt:lpstr>Profile!_Ref534878508</vt:lpstr>
      <vt:lpstr>Profile!_Ref534878613</vt:lpstr>
      <vt:lpstr>Profile!_Ref534879225</vt:lpstr>
      <vt:lpstr>Profile!_Ref534879309</vt:lpstr>
      <vt:lpstr>Profile!_Ref534880462</vt:lpstr>
      <vt:lpstr>Profile!_Ref534880849</vt:lpstr>
      <vt:lpstr>Profile!_Ref534880972</vt:lpstr>
      <vt:lpstr>Profile!_Ref534881058</vt:lpstr>
      <vt:lpstr>Profile!_Ref534881141</vt:lpstr>
      <vt:lpstr>Profile!_Ref534881225</vt:lpstr>
      <vt:lpstr>Profile!_Ref534881320</vt:lpstr>
      <vt:lpstr>Profile!_Ref534881666</vt:lpstr>
      <vt:lpstr>Profile!_Ref534881904</vt:lpstr>
      <vt:lpstr>Profile!_Ref534882112</vt:lpstr>
      <vt:lpstr>Profile!_Ref534882266</vt:lpstr>
      <vt:lpstr>Profile!_Ref534882331</vt:lpstr>
      <vt:lpstr>Profile!_Ref534884751</vt:lpstr>
      <vt:lpstr>Profile!_Ref534885102</vt:lpstr>
      <vt:lpstr>Profile!_Ref534886663</vt:lpstr>
      <vt:lpstr>Profile!_Ref534886968</vt:lpstr>
      <vt:lpstr>Profile!_Ref534887039</vt:lpstr>
      <vt:lpstr>Profile!_Ref534887133</vt:lpstr>
      <vt:lpstr>Profile!_Ref534887209</vt:lpstr>
      <vt:lpstr>Profile!_Ref534887306</vt:lpstr>
      <vt:lpstr>Profile!_Ref534887465</vt:lpstr>
      <vt:lpstr>Profile!_Ref534887569</vt:lpstr>
      <vt:lpstr>Profile!_Ref534887655</vt:lpstr>
      <vt:lpstr>Profile!_Ref534887742</vt:lpstr>
      <vt:lpstr>Profile!_Ref534888403</vt:lpstr>
      <vt:lpstr>Profile!_Ref534888514</vt:lpstr>
      <vt:lpstr>Profile!_Ref534888610</vt:lpstr>
      <vt:lpstr>Profile!_Ref534888697</vt:lpstr>
      <vt:lpstr>Profile!_Ref534888812</vt:lpstr>
      <vt:lpstr>Profile!_Ref534888902</vt:lpstr>
      <vt:lpstr>Profile!_Ref534888991</vt:lpstr>
      <vt:lpstr>Profile!_Ref534889158</vt:lpstr>
      <vt:lpstr>Profile!_Ref534889558</vt:lpstr>
      <vt:lpstr>Profile!_Ref534889801</vt:lpstr>
      <vt:lpstr>Profile!_Ref534893162</vt:lpstr>
      <vt:lpstr>Profile!_Ref534893856</vt:lpstr>
      <vt:lpstr>Profile!_Ref534894010</vt:lpstr>
      <vt:lpstr>Profile!_Ref534894201</vt:lpstr>
      <vt:lpstr>Profile!_Ref534894553</vt:lpstr>
      <vt:lpstr>Profile!_Ref534894829</vt:lpstr>
      <vt:lpstr>Profile!_Ref534894957</vt:lpstr>
      <vt:lpstr>Profile!_Ref534895050</vt:lpstr>
      <vt:lpstr>Profile!_Ref534895567</vt:lpstr>
      <vt:lpstr>Profile!_Ref534895725</vt:lpstr>
      <vt:lpstr>Profile!_Ref534895798</vt:lpstr>
      <vt:lpstr>Profile!_Ref534898097</vt:lpstr>
      <vt:lpstr>Profile!_Ref534972216</vt:lpstr>
      <vt:lpstr>Profile!_Role</vt:lpstr>
      <vt:lpstr>Profile!_Schedule</vt:lpstr>
      <vt:lpstr>Profile!_SecureBoot</vt:lpstr>
      <vt:lpstr>Profile!_SerialInterface</vt:lpstr>
      <vt:lpstr>Profile!_ServiceRoot</vt:lpstr>
      <vt:lpstr>Profile!_Session</vt:lpstr>
      <vt:lpstr>Profile!_SessionService</vt:lpstr>
      <vt:lpstr>Profile!_Settings</vt:lpstr>
      <vt:lpstr>Profile!_SimpleStorage</vt:lpstr>
      <vt:lpstr>Profile!_SoftwareInventory</vt:lpstr>
      <vt:lpstr>Profile!_Status</vt:lpstr>
      <vt:lpstr>Profile!_Storage</vt:lpstr>
      <vt:lpstr>Profile!_Switch</vt:lpstr>
      <vt:lpstr>Profile!_Task</vt:lpstr>
      <vt:lpstr>Profile!_TaskService</vt:lpstr>
      <vt:lpstr>Profile!_TelemetryService</vt:lpstr>
      <vt:lpstr>Profile!_Thermal_1</vt:lpstr>
      <vt:lpstr>Profile!_Toc528775624</vt:lpstr>
      <vt:lpstr>Profile!_Toc528775625</vt:lpstr>
      <vt:lpstr>Profile!_Toc528775626</vt:lpstr>
      <vt:lpstr>Profile!_Toc528775627</vt:lpstr>
      <vt:lpstr>Profile!_Toc528775628</vt:lpstr>
      <vt:lpstr>Profile!_Toc528775629</vt:lpstr>
      <vt:lpstr>Profile!_Toc528775630</vt:lpstr>
      <vt:lpstr>Profile!_Toc534974514</vt:lpstr>
      <vt:lpstr>Profile!_Toc534974518</vt:lpstr>
      <vt:lpstr>Profile!_Triggers</vt:lpstr>
      <vt:lpstr>Profile!_UpdateService</vt:lpstr>
      <vt:lpstr>Profile!_VirtualMedia</vt:lpstr>
      <vt:lpstr>Profile!_VLanNetworkInterface</vt:lpstr>
      <vt:lpstr>Profile!_Volume</vt:lpstr>
      <vt:lpstr>Profile!Print_Area</vt:lpstr>
      <vt:lpstr>Sheet2!Print_Area</vt:lpstr>
    </vt:vector>
  </TitlesOfParts>
  <Company>Wind River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Craig Griffin</dc:creator>
  <cp:lastModifiedBy>رند العريفي</cp:lastModifiedBy>
  <cp:lastPrinted>2020-05-14T03:07:47Z</cp:lastPrinted>
  <dcterms:created xsi:type="dcterms:W3CDTF">2019-03-16T05:03:45Z</dcterms:created>
  <dcterms:modified xsi:type="dcterms:W3CDTF">2026-09-21T13:22:22Z</dcterms:modified>
</cp:coreProperties>
</file>